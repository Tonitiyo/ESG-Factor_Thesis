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OneDrive\Bureau\Edhec course\Master 2\Research Thesis\Data-Analysis\"/>
    </mc:Choice>
  </mc:AlternateContent>
  <xr:revisionPtr revIDLastSave="0" documentId="8_{361C331B-8AB0-4415-AF63-5555003DE581}" xr6:coauthVersionLast="47" xr6:coauthVersionMax="47" xr10:uidLastSave="{00000000-0000-0000-0000-000000000000}"/>
  <bookViews>
    <workbookView xWindow="-98" yWindow="-98" windowWidth="19396" windowHeight="11475" firstSheet="1" activeTab="1" xr2:uid="{71408F81-3BED-4C95-A81D-46DD5A535CBB}"/>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B2" i="1"/>
  <c r="G2" i="1"/>
  <c r="H2" i="1"/>
  <c r="I2" i="1"/>
  <c r="F5" i="1"/>
  <c r="G5" i="1"/>
  <c r="H5" i="1"/>
  <c r="I5" i="1"/>
  <c r="J5" i="1"/>
  <c r="K5" i="1"/>
  <c r="M2" i="1"/>
  <c r="N2" i="1"/>
  <c r="L5" i="1"/>
  <c r="M5" i="1"/>
  <c r="O2" i="1"/>
  <c r="P2" i="1"/>
  <c r="N5" i="1"/>
  <c r="O5" i="1"/>
  <c r="F2" i="1"/>
  <c r="P5" i="1"/>
  <c r="A1" i="1" s="1"/>
  <c r="C2" i="1"/>
  <c r="D2" i="1"/>
  <c r="E2" i="1"/>
  <c r="J2" i="1"/>
  <c r="K2" i="1"/>
  <c r="L2" i="1"/>
</calcChain>
</file>

<file path=xl/sharedStrings.xml><?xml version="1.0" encoding="utf-8"?>
<sst xmlns="http://schemas.openxmlformats.org/spreadsheetml/2006/main" count="1835" uniqueCount="1494">
  <si>
    <t>3M Company (NYSE:MMM)</t>
  </si>
  <si>
    <t>A. O. Smith Corporation (NYSE:AOS)</t>
  </si>
  <si>
    <t>Abbott Laboratories (NYSE:ABT)</t>
  </si>
  <si>
    <t>AbbVie Inc. (NYSE:ABBV)</t>
  </si>
  <si>
    <t>Accenture plc (NYSE:ACN)</t>
  </si>
  <si>
    <t>Adobe Inc. (NASDAQGS:ADBE)</t>
  </si>
  <si>
    <t>Advanced Micro Devices, Inc. (NASDAQGS:AMD)</t>
  </si>
  <si>
    <t>Aflac Incorporated (NYSE:AFL)</t>
  </si>
  <si>
    <t>Agilent Technologies, Inc. (NYSE:A)</t>
  </si>
  <si>
    <t>Air Products and Chemicals, Inc. (NYSE:APD)</t>
  </si>
  <si>
    <t>Akamai Technologies, Inc. (NASDAQGS:AKAM)</t>
  </si>
  <si>
    <t>Albemarle Corporation (NYSE:ALB)</t>
  </si>
  <si>
    <t>Alexandria Real Estate Equities, Inc. (NYSE:ARE)</t>
  </si>
  <si>
    <t>Align Technology, Inc. (NASDAQGS:ALGN)</t>
  </si>
  <si>
    <t>Allegion plc (NYSE:ALLE)</t>
  </si>
  <si>
    <t>Alliant Energy Corporation (NASDAQGS:LNT)</t>
  </si>
  <si>
    <t>Alphabet Inc. (NASDAQGS:GOOGL)</t>
  </si>
  <si>
    <t>Altria Group, Inc. (NYSE:MO)</t>
  </si>
  <si>
    <t>Amazon.com, Inc. (NASDAQGS:AMZN)</t>
  </si>
  <si>
    <t>Amcor plc (NYSE:AMCR)</t>
  </si>
  <si>
    <t>Ameren Corporation (NYSE:AEE)</t>
  </si>
  <si>
    <t>American Electric Power Company, Inc. (NASDAQGS:AEP)</t>
  </si>
  <si>
    <t>American International Group, Inc. (NYSE:AIG)</t>
  </si>
  <si>
    <t>American Tower Corporation (NYSE:AMT)</t>
  </si>
  <si>
    <t>American Water Works Company, Inc. (NYSE:AWK)</t>
  </si>
  <si>
    <t>Ameriprise Financial, Inc. (NYSE:AMP)</t>
  </si>
  <si>
    <t>AMETEK, Inc. (NYSE:AME)</t>
  </si>
  <si>
    <t>Amgen Inc. (NASDAQGS:AMGN)</t>
  </si>
  <si>
    <t>Amphenol Corporation (NYSE:APH)</t>
  </si>
  <si>
    <t>Analog Devices, Inc. (NASDAQGS:ADI)</t>
  </si>
  <si>
    <t>Aon plc (NYSE:AON)</t>
  </si>
  <si>
    <t>APA Corporation (NASDAQGS:APA)</t>
  </si>
  <si>
    <t>Apple Inc. (NASDAQGS:AAPL)</t>
  </si>
  <si>
    <t>Applied Materials, Inc. (NASDAQGS:AMAT)</t>
  </si>
  <si>
    <t>Aptiv PLC (NYSE:APTV)</t>
  </si>
  <si>
    <t>Arch Capital Group Ltd. (NASDAQGS:ACGL)</t>
  </si>
  <si>
    <t>Archer-Daniels-Midland Company (NYSE:ADM)</t>
  </si>
  <si>
    <t>Ares Management Corporation (NYSE:ARES)</t>
  </si>
  <si>
    <t>Arista Networks, Inc. (NYSE:ANET)</t>
  </si>
  <si>
    <t>Arthur J. Gallagher &amp; Co. (NYSE:AJG)</t>
  </si>
  <si>
    <t>Assurant, Inc. (NYSE:AIZ)</t>
  </si>
  <si>
    <t>AT&amp;T Inc. (NYSE:T)</t>
  </si>
  <si>
    <t>Atmos Energy Corporation (NYSE:ATO)</t>
  </si>
  <si>
    <t>Autodesk, Inc. (NASDAQGS:ADSK)</t>
  </si>
  <si>
    <t>Automatic Data Processing, Inc. (NASDAQGS:ADP)</t>
  </si>
  <si>
    <t>AutoZone, Inc. (NYSE:AZO)</t>
  </si>
  <si>
    <t>AvalonBay Communities, Inc. (NYSE:AVB)</t>
  </si>
  <si>
    <t>Avery Dennison Corporation (NYSE:AVY)</t>
  </si>
  <si>
    <t>Axon Enterprise, Inc. (NASDAQGS:AXON)</t>
  </si>
  <si>
    <t>Baker Hughes Company (NASDAQGS:BKR)</t>
  </si>
  <si>
    <t>Ball Corporation (NYSE:BALL)</t>
  </si>
  <si>
    <t>Baxter International Inc. (NYSE:BAX)</t>
  </si>
  <si>
    <t>Becton, Dickinson and Company (NYSE:BDX)</t>
  </si>
  <si>
    <t>Berkshire Hathaway Inc. (NYSE:BRK.A)</t>
  </si>
  <si>
    <t>Best Buy Co., Inc. (NYSE:BBY)</t>
  </si>
  <si>
    <t>Bio-Techne Corporation (NASDAQGS:TECH)</t>
  </si>
  <si>
    <t>Biogen Inc. (NASDAQGS:BIIB)</t>
  </si>
  <si>
    <t>BlackRock, Inc. (NYSE:BLK)</t>
  </si>
  <si>
    <t>Block, Inc. (NYSE:XYZ)</t>
  </si>
  <si>
    <t>Booking Holdings Inc. (NASDAQGS:BKNG)</t>
  </si>
  <si>
    <t>Boston Scientific Corporation (NYSE:BSX)</t>
  </si>
  <si>
    <t>Bristol-Myers Squibb Company (NYSE:BMY)</t>
  </si>
  <si>
    <t>Broadcom Inc. (NASDAQGS:AVGO)</t>
  </si>
  <si>
    <t>Broadridge Financial Solutions, Inc. (NYSE:BR)</t>
  </si>
  <si>
    <t>Brown &amp; Brown, Inc. (NYSE:BRO)</t>
  </si>
  <si>
    <t>Brown-Forman Corporation (NYSE:BF.B)</t>
  </si>
  <si>
    <t>Builders FirstSource, Inc. (NYSE:BLDR)</t>
  </si>
  <si>
    <t>Bunge Global SA (NYSE:BG)</t>
  </si>
  <si>
    <t>BXP, Inc. (NYSE:BXP)</t>
  </si>
  <si>
    <t>C.H. Robinson Worldwide, Inc. (NASDAQGS:CHRW)</t>
  </si>
  <si>
    <t>Cadence Design Systems, Inc. (NASDAQGS:CDNS)</t>
  </si>
  <si>
    <t>Camden Property Trust (NYSE:CPT)</t>
  </si>
  <si>
    <t>Cardinal Health, Inc. (NYSE:CAH)</t>
  </si>
  <si>
    <t>Carnival Corporation &amp; plc (NYSE:CCL)</t>
  </si>
  <si>
    <t>Carvana Co. (NYSE:CVNA)</t>
  </si>
  <si>
    <t>Caterpillar Inc. (NYSE:CAT)</t>
  </si>
  <si>
    <t>Cboe Global Markets, Inc. (BATS:CBOE)</t>
  </si>
  <si>
    <t>CBRE Group, Inc. (NYSE:CBRE)</t>
  </si>
  <si>
    <t>CDW Corporation (NASDAQGS:CDW)</t>
  </si>
  <si>
    <t>Cencora, Inc. (NYSE:COR)</t>
  </si>
  <si>
    <t>Centene Corporation (NYSE:CNC)</t>
  </si>
  <si>
    <t>CenterPoint Energy, Inc. (NYSE:CNP)</t>
  </si>
  <si>
    <t>CF Industries Holdings, Inc. (NYSE:CF)</t>
  </si>
  <si>
    <t>Charles River Laboratories International, Inc. (NYSE:CRL)</t>
  </si>
  <si>
    <t>Charter Communications, Inc. (NASDAQGS:CHTR)</t>
  </si>
  <si>
    <t>Chevron Corporation (NYSE:CVX)</t>
  </si>
  <si>
    <t>Chipotle Mexican Grill, Inc. (NYSE:CMG)</t>
  </si>
  <si>
    <t>Chubb Limited (NYSE:CB)</t>
  </si>
  <si>
    <t>Church &amp; Dwight Co., Inc. (NYSE:CHD)</t>
  </si>
  <si>
    <t>Ciena Corporation (NYSE:CIEN)</t>
  </si>
  <si>
    <t>Cincinnati Financial Corporation (NASDAQGS:CINF)</t>
  </si>
  <si>
    <t>Cintas Corporation (NASDAQGS:CTAS)</t>
  </si>
  <si>
    <t>Cisco Systems, Inc. (NASDAQGS:CSCO)</t>
  </si>
  <si>
    <t>CME Group Inc. (NASDAQGS:CME)</t>
  </si>
  <si>
    <t>CMS Energy Corporation (NYSE:CMS)</t>
  </si>
  <si>
    <t>Cognizant Technology Solutions Corporation (NASDAQGS:CTSH)</t>
  </si>
  <si>
    <t>Coherent Corp. (NYSE:COHR)</t>
  </si>
  <si>
    <t>Colgate-Palmolive Company (NYSE:CL)</t>
  </si>
  <si>
    <t>Comcast Corporation (NASDAQGS:CMCSA)</t>
  </si>
  <si>
    <t>Comfort Systems USA, Inc. (NYSE:FIX)</t>
  </si>
  <si>
    <t>Conagra Brands, Inc. (NYSE:CAG)</t>
  </si>
  <si>
    <t>ConocoPhillips (NYSE:COP)</t>
  </si>
  <si>
    <t>Consolidated Edison, Inc. (NYSE:ED)</t>
  </si>
  <si>
    <t>Constellation Brands, Inc. (NYSE:STZ)</t>
  </si>
  <si>
    <t>Constellation Energy Corporation (NASDAQGS:CEG)</t>
  </si>
  <si>
    <t>Copart, Inc. (NASDAQGS:CPRT)</t>
  </si>
  <si>
    <t>Corning Incorporated (NYSE:GLW)</t>
  </si>
  <si>
    <t>Corpay, Inc. (NYSE:CPAY)</t>
  </si>
  <si>
    <t>CoStar Group, Inc. (NASDAQGS:CSGP)</t>
  </si>
  <si>
    <t>Costco Wholesale Corporation (NASDAQGS:COST)</t>
  </si>
  <si>
    <t>Coterra Energy Inc. (NYSE:CTRA)</t>
  </si>
  <si>
    <t>CRH plc (NYSE:CRH)</t>
  </si>
  <si>
    <t>Crown Castle Inc. (NYSE:CCI)</t>
  </si>
  <si>
    <t>CSX Corporation (NASDAQGS:CSX)</t>
  </si>
  <si>
    <t>Cummins Inc. (NYSE:CMI)</t>
  </si>
  <si>
    <t>CVS Health Corporation (NYSE:CVS)</t>
  </si>
  <si>
    <t>D.R. Horton, Inc. (NYSE:DHI)</t>
  </si>
  <si>
    <t>Danaher Corporation (NYSE:DHR)</t>
  </si>
  <si>
    <t>Darden Restaurants, Inc. (NYSE:DRI)</t>
  </si>
  <si>
    <t>DaVita Inc. (NYSE:DVA)</t>
  </si>
  <si>
    <t>Deckers Outdoor Corporation (NYSE:DECK)</t>
  </si>
  <si>
    <t>Deere &amp; Company (NYSE:DE)</t>
  </si>
  <si>
    <t>Dell Technologies Inc. (NYSE:DELL)</t>
  </si>
  <si>
    <t>Delta Air Lines, Inc. (NYSE:DAL)</t>
  </si>
  <si>
    <t>Devon Energy Corporation (NYSE:DVN)</t>
  </si>
  <si>
    <t>DexCom, Inc. (NASDAQGS:DXCM)</t>
  </si>
  <si>
    <t>Diamondback Energy, Inc. (NASDAQGS:FANG)</t>
  </si>
  <si>
    <t>Digital Realty Trust, Inc. (NYSE:DLR)</t>
  </si>
  <si>
    <t>Dollar General Corporation (NYSE:DG)</t>
  </si>
  <si>
    <t>Dollar Tree, Inc. (NASDAQGS:DLTR)</t>
  </si>
  <si>
    <t>Dominion Energy, Inc. (NYSE:D)</t>
  </si>
  <si>
    <t>Domino's Pizza, Inc. (NASDAQGS:DPZ)</t>
  </si>
  <si>
    <t>Dover Corporation (NYSE:DOV)</t>
  </si>
  <si>
    <t>Dow Inc. (NYSE:DOW)</t>
  </si>
  <si>
    <t>DTE Energy Company (NYSE:DTE)</t>
  </si>
  <si>
    <t>Duke Energy Corporation (NYSE:DUK)</t>
  </si>
  <si>
    <t>DuPont de Nemours, Inc. (NYSE:DD)</t>
  </si>
  <si>
    <t>Eaton Corporation plc (NYSE:ETN)</t>
  </si>
  <si>
    <t>eBay Inc. (NASDAQGS:EBAY)</t>
  </si>
  <si>
    <t>EchoStar Corporation (NASDAQGS:SATS)</t>
  </si>
  <si>
    <t>Ecolab Inc. (NYSE:ECL)</t>
  </si>
  <si>
    <t>Edison International (NYSE:EIX)</t>
  </si>
  <si>
    <t>Edwards Lifesciences Corporation (NYSE:EW)</t>
  </si>
  <si>
    <t>Electronic Arts Inc. (NASDAQGS:EA)</t>
  </si>
  <si>
    <t>Elevance Health, Inc. (NYSE:ELV)</t>
  </si>
  <si>
    <t>Eli Lilly and Company (NYSE:LLY)</t>
  </si>
  <si>
    <t>EMCOR Group, Inc. (NYSE:EME)</t>
  </si>
  <si>
    <t>Emerson Electric Co. (NYSE:EMR)</t>
  </si>
  <si>
    <t>Entergy Corporation (NYSE:ETR)</t>
  </si>
  <si>
    <t>EOG Resources, Inc. (NYSE:EOG)</t>
  </si>
  <si>
    <t>EPAM Systems, Inc. (NYSE:EPAM)</t>
  </si>
  <si>
    <t>EQT Corporation (NYSE:EQT)</t>
  </si>
  <si>
    <t>Equifax Inc. (NYSE:EFX)</t>
  </si>
  <si>
    <t>Equinix, Inc. (NASDAQGS:EQIX)</t>
  </si>
  <si>
    <t>Equity Residential (NYSE:EQR)</t>
  </si>
  <si>
    <t>Erie Indemnity Company (NASDAQGS:ERIE)</t>
  </si>
  <si>
    <t>Essex Property Trust, Inc. (NYSE:ESS)</t>
  </si>
  <si>
    <t>Everest Group, Ltd. (NYSE:EG)</t>
  </si>
  <si>
    <t>Evergy, Inc. (NASDAQGS:EVRG)</t>
  </si>
  <si>
    <t>Eversource Energy (NYSE:ES)</t>
  </si>
  <si>
    <t>Exelon Corporation (NASDAQGS:EXC)</t>
  </si>
  <si>
    <t>Expand Energy Corporation (NASDAQGS:EXE)</t>
  </si>
  <si>
    <t>Expedia Group, Inc. (NASDAQGS:EXPE)</t>
  </si>
  <si>
    <t>Expeditors International of Washington, Inc. (NYSE:EXPD)</t>
  </si>
  <si>
    <t>Extra Space Storage Inc. (NYSE:EXR)</t>
  </si>
  <si>
    <t>Exxon Mobil Corporation (NYSE:XOM)</t>
  </si>
  <si>
    <t>F5, Inc. (NASDAQGS:FFIV)</t>
  </si>
  <si>
    <t>FactSet Research Systems Inc. (NYSE:FDS)</t>
  </si>
  <si>
    <t>Fair Isaac Corporation (NYSE:FICO)</t>
  </si>
  <si>
    <t>Fastenal Company (NASDAQGS:FAST)</t>
  </si>
  <si>
    <t>Federal Realty Investment Trust (NYSE:FRT)</t>
  </si>
  <si>
    <t>FedEx Corporation (NYSE:FDX)</t>
  </si>
  <si>
    <t>Fidelity National Information Services, Inc. (NYSE:FIS)</t>
  </si>
  <si>
    <t>First Solar, Inc. (NASDAQGS:FSLR)</t>
  </si>
  <si>
    <t>FirstEnergy Corp. (NYSE:FE)</t>
  </si>
  <si>
    <t>Fiserv, Inc. (NASDAQGS:FISV)</t>
  </si>
  <si>
    <t>Ford Motor Company (NYSE:F)</t>
  </si>
  <si>
    <t>Fortinet, Inc. (NASDAQGS:FTNT)</t>
  </si>
  <si>
    <t>Fortive Corporation (NYSE:FTV)</t>
  </si>
  <si>
    <t>Franklin Resources, Inc. (NYSE:BEN)</t>
  </si>
  <si>
    <t>Freeport-McMoRan Inc. (NYSE:FCX)</t>
  </si>
  <si>
    <t>Garmin Ltd. (NYSE:GRMN)</t>
  </si>
  <si>
    <t>Gartner, Inc. (NYSE:IT)</t>
  </si>
  <si>
    <t>Gen Digital Inc. (NASDAQGS:GEN)</t>
  </si>
  <si>
    <t>Generac Holdings Inc. (NYSE:GNRC)</t>
  </si>
  <si>
    <t>General Dynamics Corporation (NYSE:GD)</t>
  </si>
  <si>
    <t>General Electric Company (NYSE:GE)</t>
  </si>
  <si>
    <t>General Mills, Inc. (NYSE:GIS)</t>
  </si>
  <si>
    <t>General Motors Company (NYSE:GM)</t>
  </si>
  <si>
    <t>Genuine Parts Company (NYSE:GPC)</t>
  </si>
  <si>
    <t>Gilead Sciences, Inc. (NASDAQGS:GILD)</t>
  </si>
  <si>
    <t>Global Payments Inc. (NYSE:GPN)</t>
  </si>
  <si>
    <t>Globe Life Inc. (NYSE:GL)</t>
  </si>
  <si>
    <t>GoDaddy Inc. (NYSE:GDDY)</t>
  </si>
  <si>
    <t>Halliburton Company (NYSE:HAL)</t>
  </si>
  <si>
    <t>Hasbro, Inc. (NASDAQGS:HAS)</t>
  </si>
  <si>
    <t>HCA Healthcare, Inc. (NYSE:HCA)</t>
  </si>
  <si>
    <t>Healthpeak Properties, Inc. (NYSE:DOC)</t>
  </si>
  <si>
    <t>Henry Schein, Inc. (NASDAQGS:HSIC)</t>
  </si>
  <si>
    <t>Hewlett Packard Enterprise Company (NYSE:HPE)</t>
  </si>
  <si>
    <t>Hilton Worldwide Holdings Inc. (NYSE:HLT)</t>
  </si>
  <si>
    <t>Honeywell International Inc. (NASDAQGS:HON)</t>
  </si>
  <si>
    <t>Hormel Foods Corporation (NYSE:HRL)</t>
  </si>
  <si>
    <t>Host Hotels &amp; Resorts, Inc. (NASDAQGS:HST)</t>
  </si>
  <si>
    <t>Howmet Aerospace Inc. (NYSE:HWM)</t>
  </si>
  <si>
    <t>HP Inc. (NYSE:HPQ)</t>
  </si>
  <si>
    <t>Hubbell Incorporated (NYSE:HUBB)</t>
  </si>
  <si>
    <t>Humana Inc. (NYSE:HUM)</t>
  </si>
  <si>
    <t>Huntington Ingalls Industries, Inc. (NYSE:HII)</t>
  </si>
  <si>
    <t>IDEX Corporation (NYSE:IEX)</t>
  </si>
  <si>
    <t>IDEXX Laboratories, Inc. (NASDAQGS:IDXX)</t>
  </si>
  <si>
    <t>Illinois Tool Works Inc. (NYSE:ITW)</t>
  </si>
  <si>
    <t>Incyte Corporation (NASDAQGS:INCY)</t>
  </si>
  <si>
    <t>Ingersoll Rand Inc. (NYSE:IR)</t>
  </si>
  <si>
    <t>Insulet Corporation (NASDAQGS:PODD)</t>
  </si>
  <si>
    <t>Intel Corporation (NASDAQGS:INTC)</t>
  </si>
  <si>
    <t>Intercontinental Exchange, Inc. (NYSE:ICE)</t>
  </si>
  <si>
    <t>International Business Machines Corporation (NYSE:IBM)</t>
  </si>
  <si>
    <t>International Flavors &amp; Fragrances Inc. (NYSE:IFF)</t>
  </si>
  <si>
    <t>International Paper Company (NYSE:IP)</t>
  </si>
  <si>
    <t>Intuit Inc. (NASDAQGS:INTU)</t>
  </si>
  <si>
    <t>Intuitive Surgical, Inc. (NASDAQGS:ISRG)</t>
  </si>
  <si>
    <t>Invesco Ltd. (NYSE:IVZ)</t>
  </si>
  <si>
    <t>Invitation Homes Inc. (NYSE:INVH)</t>
  </si>
  <si>
    <t>IQVIA Holdings Inc. (NYSE:IQV)</t>
  </si>
  <si>
    <t>Iron Mountain Incorporated (NYSE:IRM)</t>
  </si>
  <si>
    <t>J.B. Hunt Transport Services, Inc. (NASDAQGS:JBHT)</t>
  </si>
  <si>
    <t>Jabil Inc. (NYSE:JBL)</t>
  </si>
  <si>
    <t>Jack Henry &amp; Associates, Inc. (NASDAQGS:JKHY)</t>
  </si>
  <si>
    <t>Jacobs Solutions Inc. (NYSE:J)</t>
  </si>
  <si>
    <t>Johnson &amp; Johnson (NYSE:JNJ)</t>
  </si>
  <si>
    <t>Johnson Controls International plc (NYSE:JCI)</t>
  </si>
  <si>
    <t>Keurig Dr Pepper Inc. (NASDAQGS:KDP)</t>
  </si>
  <si>
    <t>Keysight Technologies, Inc. (NYSE:KEYS)</t>
  </si>
  <si>
    <t>Kimberly-Clark Corporation (NASDAQGS:KMB)</t>
  </si>
  <si>
    <t>Kimco Realty Corporation (NYSE:KIM)</t>
  </si>
  <si>
    <t>Kinder Morgan, Inc. (NYSE:KMI)</t>
  </si>
  <si>
    <t>KLA Corporation (NASDAQGS:KLAC)</t>
  </si>
  <si>
    <t>L3Harris Technologies, Inc. (NYSE:LHX)</t>
  </si>
  <si>
    <t>Labcorp Holdings Inc. (NYSE:LH)</t>
  </si>
  <si>
    <t>Lam Research Corporation (NASDAQGS:LRCX)</t>
  </si>
  <si>
    <t>Las Vegas Sands Corp. (NYSE:LVS)</t>
  </si>
  <si>
    <t>Leidos Holdings, Inc. (NYSE:LDOS)</t>
  </si>
  <si>
    <t>Lennar Corporation (NYSE:LEN)</t>
  </si>
  <si>
    <t>Lennox International Inc. (NYSE:LII)</t>
  </si>
  <si>
    <t>Linde plc (NASDAQGS:LIN)</t>
  </si>
  <si>
    <t>Live Nation Entertainment, Inc. (NYSE:LYV)</t>
  </si>
  <si>
    <t>Lockheed Martin Corporation (NYSE:LMT)</t>
  </si>
  <si>
    <t>Loews Corporation (NYSE:L)</t>
  </si>
  <si>
    <t>Lowe's Companies, Inc. (NYSE:LOW)</t>
  </si>
  <si>
    <t>lululemon athletica inc. (NASDAQGS:LULU)</t>
  </si>
  <si>
    <t>Lumentum Holdings Inc. (NASDAQGS:LITE)</t>
  </si>
  <si>
    <t>LyondellBasell Industries N.V. (NYSE:LYB)</t>
  </si>
  <si>
    <t>Marathon Petroleum Corporation (NYSE:MPC)</t>
  </si>
  <si>
    <t>Marriott International, Inc. (NASDAQGS:MAR)</t>
  </si>
  <si>
    <t>Marsh &amp; McLennan Companies, Inc. (NYSE:MRSH)</t>
  </si>
  <si>
    <t>Martin Marietta Materials, Inc. (NYSE:MLM)</t>
  </si>
  <si>
    <t>Masco Corporation (NYSE:MAS)</t>
  </si>
  <si>
    <t>Mastercard Incorporated (NYSE:MA)</t>
  </si>
  <si>
    <t>McCormick &amp; Company, Incorporated (NYSE:MKC)</t>
  </si>
  <si>
    <t>McDonald's Corporation (NYSE:MCD)</t>
  </si>
  <si>
    <t>McKesson Corporation (NYSE:MCK)</t>
  </si>
  <si>
    <t>Medtronic plc (NYSE:MDT)</t>
  </si>
  <si>
    <t>Merck &amp; Co., Inc. (NYSE:MRK)</t>
  </si>
  <si>
    <t>Meta Platforms, Inc. (NASDAQGS:META)</t>
  </si>
  <si>
    <t>MetLife, Inc. (NYSE:MET)</t>
  </si>
  <si>
    <t>Mettler-Toledo International Inc. (NYSE:MTD)</t>
  </si>
  <si>
    <t>MGM Resorts International (NYSE:MGM)</t>
  </si>
  <si>
    <t>Microchip Technology Incorporated (NASDAQGS:MCHP)</t>
  </si>
  <si>
    <t>Micron Technology, Inc. (NASDAQGS:MU)</t>
  </si>
  <si>
    <t>Microsoft Corporation (NASDAQGS:MSFT)</t>
  </si>
  <si>
    <t>Mid-America Apartment Communities, Inc. (NYSE:MAA)</t>
  </si>
  <si>
    <t>Molson Coors Beverage Company (NYSE:TAP)</t>
  </si>
  <si>
    <t>Mondelez International, Inc. (NASDAQGS:MDLZ)</t>
  </si>
  <si>
    <t>Monolithic Power Systems, Inc. (NASDAQGS:MPWR)</t>
  </si>
  <si>
    <t>Monster Beverage Corporation (NASDAQGS:MNST)</t>
  </si>
  <si>
    <t>Moody's Corporation (NYSE:MCO)</t>
  </si>
  <si>
    <t>Motorola Solutions, Inc. (NYSE:MSI)</t>
  </si>
  <si>
    <t>MSCI Inc. (NYSE:MSCI)</t>
  </si>
  <si>
    <t>Nasdaq, Inc. (NASDAQGS:NDAQ)</t>
  </si>
  <si>
    <t>NetApp, Inc. (NASDAQGS:NTAP)</t>
  </si>
  <si>
    <t>Netflix, Inc. (NASDAQGS:NFLX)</t>
  </si>
  <si>
    <t>Newmont Corporation (NYSE:NEM)</t>
  </si>
  <si>
    <t>News Corporation (NASDAQGS:NWSA)</t>
  </si>
  <si>
    <t>NextEra Energy, Inc. (NYSE:NEE)</t>
  </si>
  <si>
    <t>NIKE, Inc. (NYSE:NKE)</t>
  </si>
  <si>
    <t>NiSource Inc. (NYSE:NI)</t>
  </si>
  <si>
    <t>Nordson Corporation (NASDAQGS:NDSN)</t>
  </si>
  <si>
    <t>Norfolk Southern Corporation (NYSE:NSC)</t>
  </si>
  <si>
    <t>Northrop Grumman Corporation (NYSE:NOC)</t>
  </si>
  <si>
    <t>Norwegian Cruise Line Holdings Ltd. (NYSE:NCLH)</t>
  </si>
  <si>
    <t>NRG Energy, Inc. (NYSE:NRG)</t>
  </si>
  <si>
    <t>Nucor Corporation (NYSE:NUE)</t>
  </si>
  <si>
    <t>NVIDIA Corporation (NASDAQGS:NVDA)</t>
  </si>
  <si>
    <t>NVR, Inc. (NYSE:NVR)</t>
  </si>
  <si>
    <t>NXP Semiconductors N.V. (NASDAQGS:NXPI)</t>
  </si>
  <si>
    <t>O'Reilly Automotive, Inc. (NASDAQGS:ORLY)</t>
  </si>
  <si>
    <t>Occidental Petroleum Corporation (NYSE:OXY)</t>
  </si>
  <si>
    <t>Old Dominion Freight Line, Inc. (NASDAQGS:ODFL)</t>
  </si>
  <si>
    <t>Omnicom Group Inc. (NYSE:OMC)</t>
  </si>
  <si>
    <t>ON Semiconductor Corporation (NASDAQGS:ON)</t>
  </si>
  <si>
    <t>ONEOK, Inc. (NYSE:OKE)</t>
  </si>
  <si>
    <t>Oracle Corporation (NYSE:ORCL)</t>
  </si>
  <si>
    <t>PACCAR Inc (NASDAQGS:PCAR)</t>
  </si>
  <si>
    <t>Packaging Corporation of America (NYSE:PKG)</t>
  </si>
  <si>
    <t>Palo Alto Networks, Inc. (NASDAQGS:PANW)</t>
  </si>
  <si>
    <t>Paramount Skydance Corporation (NASDAQGS:PSKY)</t>
  </si>
  <si>
    <t>Parker-Hannifin Corporation (NYSE:PH)</t>
  </si>
  <si>
    <t>Paychex, Inc. (NASDAQGS:PAYX)</t>
  </si>
  <si>
    <t>PayPal Holdings, Inc. (NASDAQGS:PYPL)</t>
  </si>
  <si>
    <t>Pentair plc (NYSE:PNR)</t>
  </si>
  <si>
    <t>PepsiCo, Inc. (NASDAQGS:PEP)</t>
  </si>
  <si>
    <t>Pfizer Inc. (NYSE:PFE)</t>
  </si>
  <si>
    <t>PG&amp;E Corporation (NYSE:PCG)</t>
  </si>
  <si>
    <t>Philip Morris International Inc. (NYSE:PM)</t>
  </si>
  <si>
    <t>Phillips 66 (NYSE:PSX)</t>
  </si>
  <si>
    <t>Pinnacle West Capital Corporation (NYSE:PNW)</t>
  </si>
  <si>
    <t>Pool Corporation (NASDAQGS:POOL)</t>
  </si>
  <si>
    <t>PPG Industries, Inc. (NYSE:PPG)</t>
  </si>
  <si>
    <t>PPL Corporation (NYSE:PPL)</t>
  </si>
  <si>
    <t>Principal Financial Group, Inc. (NASDAQGS:PFG)</t>
  </si>
  <si>
    <t>Prologis, Inc. (NYSE:PLD)</t>
  </si>
  <si>
    <t>Prudential Financial, Inc. (NYSE:PRU)</t>
  </si>
  <si>
    <t>PTC Inc. (NASDAQGS:PTC)</t>
  </si>
  <si>
    <t>Public Service Enterprise Group Incorporated (NYSE:PEG)</t>
  </si>
  <si>
    <t>Public Storage (NYSE:PSA)</t>
  </si>
  <si>
    <t>PulteGroup, Inc. (NYSE:PHM)</t>
  </si>
  <si>
    <t>QUALCOMM Incorporated (NASDAQGS:QCOM)</t>
  </si>
  <si>
    <t>Quanta Services, Inc. (NYSE:PWR)</t>
  </si>
  <si>
    <t>Quest Diagnostics Incorporated (NYSE:DGX)</t>
  </si>
  <si>
    <t>Ralph Lauren Corporation (NYSE:RL)</t>
  </si>
  <si>
    <t>Realty Income Corporation (NYSE:O)</t>
  </si>
  <si>
    <t>Regency Centers Corporation (NASDAQGS:REG)</t>
  </si>
  <si>
    <t>Regeneron Pharmaceuticals, Inc. (NASDAQGS:REGN)</t>
  </si>
  <si>
    <t>Republic Services, Inc. (NYSE:RSG)</t>
  </si>
  <si>
    <t>ResMed Inc. (NYSE:RMD)</t>
  </si>
  <si>
    <t>Revvity, Inc. (NYSE:RVTY)</t>
  </si>
  <si>
    <t>Rockwell Automation, Inc. (NYSE:ROK)</t>
  </si>
  <si>
    <t>Rollins, Inc. (NYSE:ROL)</t>
  </si>
  <si>
    <t>Roper Technologies, Inc. (NASDAQGS:ROP)</t>
  </si>
  <si>
    <t>Ross Stores, Inc. (NASDAQGS:ROST)</t>
  </si>
  <si>
    <t>Royal Caribbean Cruises Ltd. (NYSE:RCL)</t>
  </si>
  <si>
    <t>RTX Corporation (NYSE:RTX)</t>
  </si>
  <si>
    <t>S&amp;P Global Inc. (NYSE:SPGI)</t>
  </si>
  <si>
    <t>Salesforce, Inc. (NYSE:CRM)</t>
  </si>
  <si>
    <t>SBA Communications Corporation (NASDAQGS:SBAC)</t>
  </si>
  <si>
    <t>Seagate Technology Holdings plc (NASDAQGS:STX)</t>
  </si>
  <si>
    <t>Sempra (NYSE:SRE)</t>
  </si>
  <si>
    <t>ServiceNow, Inc. (NYSE:NOW)</t>
  </si>
  <si>
    <t>Simon Property Group, Inc. (NYSE:SPG)</t>
  </si>
  <si>
    <t>Skyworks Solutions, Inc. (NASDAQGS:SWKS)</t>
  </si>
  <si>
    <t>SLB N.V. (NYSE:SLB)</t>
  </si>
  <si>
    <t>Smurfit Westrock Plc (NYSE:SW)</t>
  </si>
  <si>
    <t>Snap-on Incorporated (NYSE:SNA)</t>
  </si>
  <si>
    <t>Southwest Airlines Co. (NYSE:LUV)</t>
  </si>
  <si>
    <t>Stanley Black &amp; Decker, Inc. (NYSE:SWK)</t>
  </si>
  <si>
    <t>Starbucks Corporation (NASDAQGS:SBUX)</t>
  </si>
  <si>
    <t>Steel Dynamics, Inc. (NASDAQGS:STLD)</t>
  </si>
  <si>
    <t>STERIS plc (NYSE:STE)</t>
  </si>
  <si>
    <t>Stryker Corporation (NYSE:SYK)</t>
  </si>
  <si>
    <t>Super Micro Computer, Inc. (NASDAQGS:SMCI)</t>
  </si>
  <si>
    <t>Synopsys, Inc. (NASDAQGS:SNPS)</t>
  </si>
  <si>
    <t>Sysco Corporation (NYSE:SYY)</t>
  </si>
  <si>
    <t>T-Mobile US, Inc. (NASDAQGS:TMUS)</t>
  </si>
  <si>
    <t>T. Rowe Price Group, Inc. (NASDAQGS:TROW)</t>
  </si>
  <si>
    <t>Take-Two Interactive Software, Inc. (NASDAQGS:TTWO)</t>
  </si>
  <si>
    <t>Tapestry, Inc. (NYSE:TPR)</t>
  </si>
  <si>
    <t>Targa Resources Corp. (NYSE:TRGP)</t>
  </si>
  <si>
    <t>Target Corporation (NYSE:TGT)</t>
  </si>
  <si>
    <t>TE Connectivity plc (NYSE:TEL)</t>
  </si>
  <si>
    <t>Teledyne Technologies Incorporated (NYSE:TDY)</t>
  </si>
  <si>
    <t>Teradyne, Inc. (NASDAQGS:TER)</t>
  </si>
  <si>
    <t>Tesla, Inc. (NASDAQGS:TSLA)</t>
  </si>
  <si>
    <t>Texas Instruments Incorporated (NASDAQGS:TXN)</t>
  </si>
  <si>
    <t>Texas Pacific Land Corporation (NYSE:TPL)</t>
  </si>
  <si>
    <t>Textron Inc. (NYSE:TXT)</t>
  </si>
  <si>
    <t>The AES Corporation (NYSE:AES)</t>
  </si>
  <si>
    <t>The Allstate Corporation (NYSE:ALL)</t>
  </si>
  <si>
    <t>The Boeing Company (NYSE:BA)</t>
  </si>
  <si>
    <t>The Campbell's Company (NASDAQGS:CPB)</t>
  </si>
  <si>
    <t>The Cigna Group (NYSE:CI)</t>
  </si>
  <si>
    <t>The Clorox Company (NYSE:CLX)</t>
  </si>
  <si>
    <t>The Coca-Cola Company (NYSE:KO)</t>
  </si>
  <si>
    <t>The Cooper Companies, Inc. (NASDAQGS:COO)</t>
  </si>
  <si>
    <t>The Estée Lauder Companies Inc. (NYSE:EL)</t>
  </si>
  <si>
    <t>The Hartford Insurance Group, Inc. (NYSE:HIG)</t>
  </si>
  <si>
    <t>The Hershey Company (NYSE:HSY)</t>
  </si>
  <si>
    <t>The Home Depot, Inc. (NYSE:HD)</t>
  </si>
  <si>
    <t>The J. M. Smucker Company (NYSE:SJM)</t>
  </si>
  <si>
    <t>The Kraft Heinz Company (NASDAQGS:KHC)</t>
  </si>
  <si>
    <t>The Kroger Co. (NYSE:KR)</t>
  </si>
  <si>
    <t>The Mosaic Company (NYSE:MOS)</t>
  </si>
  <si>
    <t>The Procter &amp; Gamble Company (NYSE:PG)</t>
  </si>
  <si>
    <t>The Progressive Corporation (NYSE:PGR)</t>
  </si>
  <si>
    <t>The Sherwin-Williams Company (NYSE:SHW)</t>
  </si>
  <si>
    <t>The Southern Company (NYSE:SO)</t>
  </si>
  <si>
    <t>The TJX Companies, Inc. (NYSE:TJX)</t>
  </si>
  <si>
    <t>The Trade Desk, Inc. (NASDAQGM:TTD)</t>
  </si>
  <si>
    <t>The Travelers Companies, Inc. (NYSE:TRV)</t>
  </si>
  <si>
    <t>The Walt Disney Company (NYSE:DIS)</t>
  </si>
  <si>
    <t>The Williams Companies, Inc. (NYSE:WMB)</t>
  </si>
  <si>
    <t>Thermo Fisher Scientific Inc. (NYSE:TMO)</t>
  </si>
  <si>
    <t>Tractor Supply Company (NASDAQGS:TSCO)</t>
  </si>
  <si>
    <t>Trane Technologies plc (NYSE:TT)</t>
  </si>
  <si>
    <t>TransDigm Group Incorporated (NYSE:TDG)</t>
  </si>
  <si>
    <t>Trimble Inc. (NASDAQGS:TRMB)</t>
  </si>
  <si>
    <t>Tyler Technologies, Inc. (NYSE:TYL)</t>
  </si>
  <si>
    <t>Tyson Foods, Inc. (NYSE:TSN)</t>
  </si>
  <si>
    <t>UDR, Inc. (NYSE:UDR)</t>
  </si>
  <si>
    <t>Ulta Beauty, Inc. (NASDAQGS:ULTA)</t>
  </si>
  <si>
    <t>Union Pacific Corporation (NYSE:UNP)</t>
  </si>
  <si>
    <t>United Airlines Holdings, Inc. (NASDAQGS:UAL)</t>
  </si>
  <si>
    <t>United Parcel Service, Inc. (NYSE:UPS)</t>
  </si>
  <si>
    <t>United Rentals, Inc. (NYSE:URI)</t>
  </si>
  <si>
    <t>UnitedHealth Group Incorporated (NYSE:UNH)</t>
  </si>
  <si>
    <t>Universal Health Services, Inc. (NYSE:UHS)</t>
  </si>
  <si>
    <t>Valero Energy Corporation (NYSE:VLO)</t>
  </si>
  <si>
    <t>Ventas, Inc. (NYSE:VTR)</t>
  </si>
  <si>
    <t>VeriSign, Inc. (NASDAQGS:VRSN)</t>
  </si>
  <si>
    <t>Verisk Analytics, Inc. (NASDAQGS:VRSK)</t>
  </si>
  <si>
    <t>Verizon Communications Inc. (NYSE:VZ)</t>
  </si>
  <si>
    <t>Vertex Pharmaceuticals Incorporated (NASDAQGS:VRTX)</t>
  </si>
  <si>
    <t>Viatris Inc. (NASDAQGS:VTRS)</t>
  </si>
  <si>
    <t>VICI Properties Inc. (NYSE:VICI)</t>
  </si>
  <si>
    <t>Visa Inc. (NYSE:V)</t>
  </si>
  <si>
    <t>Vistra Corp. (NYSE:VST)</t>
  </si>
  <si>
    <t>Vulcan Materials Company (NYSE:VMC)</t>
  </si>
  <si>
    <t>W. R. Berkley Corporation (NYSE:WRB)</t>
  </si>
  <si>
    <t>W.W. Grainger, Inc. (NYSE:GWW)</t>
  </si>
  <si>
    <t>Walmart Inc. (NASDAQGS:WMT)</t>
  </si>
  <si>
    <t>Warner Bros. Discovery, Inc. (NASDAQGS:WBD)</t>
  </si>
  <si>
    <t>Waste Management, Inc. (NYSE:WM)</t>
  </si>
  <si>
    <t>Waters Corporation (NYSE:WAT)</t>
  </si>
  <si>
    <t>WEC Energy Group, Inc. (NYSE:WEC)</t>
  </si>
  <si>
    <t>Welltower Inc. (NYSE:WELL)</t>
  </si>
  <si>
    <t>West Pharmaceutical Services, Inc. (NYSE:WST)</t>
  </si>
  <si>
    <t>Western Digital Corporation (NASDAQGS:WDC)</t>
  </si>
  <si>
    <t>Westinghouse Air Brake Technologies Corporation (NYSE:WAB)</t>
  </si>
  <si>
    <t>Weyerhaeuser Company (NYSE:WY)</t>
  </si>
  <si>
    <t>Williams-Sonoma, Inc. (NYSE:WSM)</t>
  </si>
  <si>
    <t>Willis Towers Watson Public Limited Company (NASDAQGS:WTW)</t>
  </si>
  <si>
    <t>Workday, Inc. (NASDAQGS:WDAY)</t>
  </si>
  <si>
    <t>Wynn Resorts, Limited (NASDAQGS:WYNN)</t>
  </si>
  <si>
    <t>Xcel Energy Inc. (NASDAQGS:XEL)</t>
  </si>
  <si>
    <t>Xylem Inc. (NYSE:XYL)</t>
  </si>
  <si>
    <t>Yum! Brands, Inc. (NYSE:YUM)</t>
  </si>
  <si>
    <t>Zebra Technologies Corporation (NASDAQGS:ZBRA)</t>
  </si>
  <si>
    <t>Zimmer Biomet Holdings, Inc. (NYSE:ZBH)</t>
  </si>
  <si>
    <t>Zoetis Inc. (NYSE:ZTS)</t>
  </si>
  <si>
    <t>FY2025</t>
  </si>
  <si>
    <t>FY2024</t>
  </si>
  <si>
    <t>FY2023</t>
  </si>
  <si>
    <t>FY2022</t>
  </si>
  <si>
    <t>FY2021</t>
  </si>
  <si>
    <t>FY2020</t>
  </si>
  <si>
    <t>FY2019</t>
  </si>
  <si>
    <t>FY2018</t>
  </si>
  <si>
    <t>FY2017</t>
  </si>
  <si>
    <t>FY2016</t>
  </si>
  <si>
    <t>FY2015</t>
  </si>
  <si>
    <t>SP_COMPANY_NAME_ABBR</t>
  </si>
  <si>
    <t>SP_TICKER</t>
  </si>
  <si>
    <t>MI_INDUSTRY_CLASSIFICATION</t>
  </si>
  <si>
    <t>IQ_EBIT</t>
  </si>
  <si>
    <t>SP_ENTITY_NAME</t>
  </si>
  <si>
    <t>SP_ENTITY_ID</t>
  </si>
  <si>
    <t>3M Co.</t>
  </si>
  <si>
    <t>MMM</t>
  </si>
  <si>
    <t>Industrial Conglomerates</t>
  </si>
  <si>
    <t>A. O. Smith Corp.</t>
  </si>
  <si>
    <t>AOS</t>
  </si>
  <si>
    <t>Building Products</t>
  </si>
  <si>
    <t>Abbott Laboratories</t>
  </si>
  <si>
    <t>ABT</t>
  </si>
  <si>
    <t>Health Care Equipment</t>
  </si>
  <si>
    <t>AbbVie Inc.</t>
  </si>
  <si>
    <t>ABBV</t>
  </si>
  <si>
    <t>Biotechnology</t>
  </si>
  <si>
    <t>Accenture plc</t>
  </si>
  <si>
    <t>ACN</t>
  </si>
  <si>
    <t>IT Consulting and Other Services</t>
  </si>
  <si>
    <t>Adobe Inc.</t>
  </si>
  <si>
    <t>ADBE</t>
  </si>
  <si>
    <t>Application Software</t>
  </si>
  <si>
    <t>Advanced Micro Devices Inc.</t>
  </si>
  <si>
    <t>AMD</t>
  </si>
  <si>
    <t>Semiconductors</t>
  </si>
  <si>
    <t>Aflac Inc.</t>
  </si>
  <si>
    <t>AFL</t>
  </si>
  <si>
    <t>Life and Health</t>
  </si>
  <si>
    <t>Agilent Technologies Inc</t>
  </si>
  <si>
    <t>A</t>
  </si>
  <si>
    <t>Life Sciences Tools and Services</t>
  </si>
  <si>
    <t>Air Products &amp; Chemicals Inc.</t>
  </si>
  <si>
    <t>APD</t>
  </si>
  <si>
    <t>Industrial Gases</t>
  </si>
  <si>
    <t>Akamai Technologies Inc.</t>
  </si>
  <si>
    <t>AKAM</t>
  </si>
  <si>
    <t>Internet Services and Infrastructure</t>
  </si>
  <si>
    <t>Albemarle Corp.</t>
  </si>
  <si>
    <t>ALB</t>
  </si>
  <si>
    <t>Specialty Chemicals</t>
  </si>
  <si>
    <t>Alexandria Real Estate</t>
  </si>
  <si>
    <t>ARE</t>
  </si>
  <si>
    <t>Health Care REIT</t>
  </si>
  <si>
    <t>Align Technology Inc.</t>
  </si>
  <si>
    <t>ALGN</t>
  </si>
  <si>
    <t>Health Care Supplies</t>
  </si>
  <si>
    <t>Allegion plc</t>
  </si>
  <si>
    <t>ALLE</t>
  </si>
  <si>
    <t>Alliant Energy</t>
  </si>
  <si>
    <t>LNT</t>
  </si>
  <si>
    <t>Electric Utilities</t>
  </si>
  <si>
    <t>Alphabet Inc.</t>
  </si>
  <si>
    <t>GOOGL</t>
  </si>
  <si>
    <t>Interactive Media and Services</t>
  </si>
  <si>
    <t>Altria Group</t>
  </si>
  <si>
    <t>MO</t>
  </si>
  <si>
    <t>Tobacco Producers</t>
  </si>
  <si>
    <t>Amazon.com Inc.</t>
  </si>
  <si>
    <t>AMZN</t>
  </si>
  <si>
    <t>Broadline Retail</t>
  </si>
  <si>
    <t>Amcor plc</t>
  </si>
  <si>
    <t>AMCR</t>
  </si>
  <si>
    <t>Packaging and Materials: Paper and Plastic</t>
  </si>
  <si>
    <t>1178027,13</t>
  </si>
  <si>
    <t>Ameren Corp.</t>
  </si>
  <si>
    <t>AEE</t>
  </si>
  <si>
    <t>Multi-Utilities</t>
  </si>
  <si>
    <t>American Electric Power Co.</t>
  </si>
  <si>
    <t>AEP</t>
  </si>
  <si>
    <t>American International Group</t>
  </si>
  <si>
    <t>AIG</t>
  </si>
  <si>
    <t>Property and Casualty</t>
  </si>
  <si>
    <t>American Tower Corp.</t>
  </si>
  <si>
    <t>AMT</t>
  </si>
  <si>
    <t>Telecom Tower REIT</t>
  </si>
  <si>
    <t>American Water Works Co.</t>
  </si>
  <si>
    <t>AWK</t>
  </si>
  <si>
    <t>Water Utilities</t>
  </si>
  <si>
    <t>Ameriprise Financial Inc.</t>
  </si>
  <si>
    <t>AMP</t>
  </si>
  <si>
    <t>Asset Management</t>
  </si>
  <si>
    <t>AMETEK Inc.</t>
  </si>
  <si>
    <t>AME</t>
  </si>
  <si>
    <t>Electrical Components and Equipment: Light</t>
  </si>
  <si>
    <t>Amgen Inc.</t>
  </si>
  <si>
    <t>AMGN</t>
  </si>
  <si>
    <t>Amphenol Corp.</t>
  </si>
  <si>
    <t>APH</t>
  </si>
  <si>
    <t>Electronic Components</t>
  </si>
  <si>
    <t>Analog Devices Inc.</t>
  </si>
  <si>
    <t>ADI</t>
  </si>
  <si>
    <t>Aon plc</t>
  </si>
  <si>
    <t>AON</t>
  </si>
  <si>
    <t>Insurance Broker</t>
  </si>
  <si>
    <t>APA Corp.</t>
  </si>
  <si>
    <t>APA</t>
  </si>
  <si>
    <t>Oil and Gas Exploration and Production</t>
  </si>
  <si>
    <t>Apple Inc.</t>
  </si>
  <si>
    <t>AAPL</t>
  </si>
  <si>
    <t>Technology Hardware, Storage and Peripherals</t>
  </si>
  <si>
    <t>Applied Materials Inc.</t>
  </si>
  <si>
    <t>AMAT</t>
  </si>
  <si>
    <t>Semiconductor Materials and Equipment</t>
  </si>
  <si>
    <t>Aptiv PLC</t>
  </si>
  <si>
    <t>APTV</t>
  </si>
  <si>
    <t>Automotive Parts and Equipment</t>
  </si>
  <si>
    <t>Arch Capital Group Ltd.</t>
  </si>
  <si>
    <t>ACGL</t>
  </si>
  <si>
    <t>Archer-Daniels-Midland Co.</t>
  </si>
  <si>
    <t>ADM</t>
  </si>
  <si>
    <t>Agricultural Products and Services</t>
  </si>
  <si>
    <t>Ares Management Corporation</t>
  </si>
  <si>
    <t>ARES</t>
  </si>
  <si>
    <t>Arista Networks Inc.</t>
  </si>
  <si>
    <t>ANET</t>
  </si>
  <si>
    <t>Communications Equipment</t>
  </si>
  <si>
    <t>Arthur J. Gallagher &amp; Co.</t>
  </si>
  <si>
    <t>AJG</t>
  </si>
  <si>
    <t>Assurant Inc.</t>
  </si>
  <si>
    <t>AIZ</t>
  </si>
  <si>
    <t>AT&amp;T Inc.</t>
  </si>
  <si>
    <t>T</t>
  </si>
  <si>
    <t>Integrated Telecommunication Services</t>
  </si>
  <si>
    <t>Atmos Energy Corp.</t>
  </si>
  <si>
    <t>ATO</t>
  </si>
  <si>
    <t>Gas Utilities</t>
  </si>
  <si>
    <t>Autodesk Inc.</t>
  </si>
  <si>
    <t>ADSK</t>
  </si>
  <si>
    <t>Automatic Data Processing Inc.</t>
  </si>
  <si>
    <t>ADP</t>
  </si>
  <si>
    <t>Human Resource and Employment Services</t>
  </si>
  <si>
    <t>AutoZone Inc.</t>
  </si>
  <si>
    <t>AZO</t>
  </si>
  <si>
    <t>Automotive Retail</t>
  </si>
  <si>
    <t>AvalonBay Communities Inc.</t>
  </si>
  <si>
    <t>AVB</t>
  </si>
  <si>
    <t>Multi-Family Residential REIT</t>
  </si>
  <si>
    <t>Avery Dennison Corp.</t>
  </si>
  <si>
    <t>AVY</t>
  </si>
  <si>
    <t>1057371,04</t>
  </si>
  <si>
    <t>Axon Enterprise Inc.</t>
  </si>
  <si>
    <t>AXON</t>
  </si>
  <si>
    <t>Aerospace and Defense</t>
  </si>
  <si>
    <t>Baker Hughes Co.</t>
  </si>
  <si>
    <t>BKR</t>
  </si>
  <si>
    <t>Oil and Gas Equipment and Services</t>
  </si>
  <si>
    <t>Ball Corp.</t>
  </si>
  <si>
    <t>BALL</t>
  </si>
  <si>
    <t>Containers and Packaging: Metal, Glass, and Plastic</t>
  </si>
  <si>
    <t>Baxter International Inc.</t>
  </si>
  <si>
    <t>BAX</t>
  </si>
  <si>
    <t>Becton Dickinson &amp; Co.</t>
  </si>
  <si>
    <t>BDX</t>
  </si>
  <si>
    <t>Berkshire Hathaway Inc.</t>
  </si>
  <si>
    <t>BRK.A</t>
  </si>
  <si>
    <t>Holding Companies, Patent Owners, and Trusts or Estates</t>
  </si>
  <si>
    <t>Best Buy Co.</t>
  </si>
  <si>
    <t>BBY</t>
  </si>
  <si>
    <t>Computer and Electronics Retail</t>
  </si>
  <si>
    <t>Bio-Techne Corp.</t>
  </si>
  <si>
    <t>TECH</t>
  </si>
  <si>
    <t>Biogen Inc.</t>
  </si>
  <si>
    <t>BIIB</t>
  </si>
  <si>
    <t>BlackRock Inc.</t>
  </si>
  <si>
    <t>BLK</t>
  </si>
  <si>
    <t>Block Inc.</t>
  </si>
  <si>
    <t>XYZ</t>
  </si>
  <si>
    <t>Payment Processors</t>
  </si>
  <si>
    <t>Booking Holdings</t>
  </si>
  <si>
    <t>BKNG</t>
  </si>
  <si>
    <t>Hotels, Resorts and Cruise Lines</t>
  </si>
  <si>
    <t>Boston Scientific Corp.</t>
  </si>
  <si>
    <t>BSX</t>
  </si>
  <si>
    <t>Bristol-Myers Squibb Co.</t>
  </si>
  <si>
    <t>BMY</t>
  </si>
  <si>
    <t>Pharmaceuticals</t>
  </si>
  <si>
    <t>Broadcom Inc.</t>
  </si>
  <si>
    <t>AVGO</t>
  </si>
  <si>
    <t>Broadridge Finl Solutions Inc.</t>
  </si>
  <si>
    <t>BR</t>
  </si>
  <si>
    <t>Investment and Capital Markets Technology</t>
  </si>
  <si>
    <t>Brown &amp; Brown Inc.</t>
  </si>
  <si>
    <t>BRO</t>
  </si>
  <si>
    <t>Brown-Forman Corp.</t>
  </si>
  <si>
    <t>BF.B</t>
  </si>
  <si>
    <t>Distillers and Vintners</t>
  </si>
  <si>
    <t>Builders FirstSource Inc.</t>
  </si>
  <si>
    <t>BLDR</t>
  </si>
  <si>
    <t>Bunge Global SA</t>
  </si>
  <si>
    <t>BG</t>
  </si>
  <si>
    <t>BXP Inc.</t>
  </si>
  <si>
    <t>BXP</t>
  </si>
  <si>
    <t>Office REIT</t>
  </si>
  <si>
    <t>C.H. Robinson Worldwide Inc.</t>
  </si>
  <si>
    <t>CHRW</t>
  </si>
  <si>
    <t>Air Freight and Logistics</t>
  </si>
  <si>
    <t>Cadence Design Systems Inc.</t>
  </si>
  <si>
    <t>CDNS</t>
  </si>
  <si>
    <t>Camden Property Trust</t>
  </si>
  <si>
    <t>CPT</t>
  </si>
  <si>
    <t>Cardinal Health Inc.</t>
  </si>
  <si>
    <t>CAH</t>
  </si>
  <si>
    <t>Health Care Distributors</t>
  </si>
  <si>
    <t>Carnival Corp. &amp; plc</t>
  </si>
  <si>
    <t>CCL</t>
  </si>
  <si>
    <t>Carvana Co.</t>
  </si>
  <si>
    <t>CVNA</t>
  </si>
  <si>
    <t>Caterpillar Inc.</t>
  </si>
  <si>
    <t>CAT</t>
  </si>
  <si>
    <t>Machinery and Equipment: Construction and Heavy Transportation</t>
  </si>
  <si>
    <t>Cboe Global Markets Inc.</t>
  </si>
  <si>
    <t>CBOE</t>
  </si>
  <si>
    <t>Financial Exchanges</t>
  </si>
  <si>
    <t>CBRE Group Inc.</t>
  </si>
  <si>
    <t>CBRE</t>
  </si>
  <si>
    <t>Real Estate Services</t>
  </si>
  <si>
    <t>1324766,4</t>
  </si>
  <si>
    <t>CDW Corp.</t>
  </si>
  <si>
    <t>CDW</t>
  </si>
  <si>
    <t>Technology Distributors</t>
  </si>
  <si>
    <t>Cencora Inc.</t>
  </si>
  <si>
    <t>COR</t>
  </si>
  <si>
    <t>Centene Corp.</t>
  </si>
  <si>
    <t>CNC</t>
  </si>
  <si>
    <t>Managed Care</t>
  </si>
  <si>
    <t>CenterPoint Energy Inc.</t>
  </si>
  <si>
    <t>CNP</t>
  </si>
  <si>
    <t>CF Industries Holdings Inc.</t>
  </si>
  <si>
    <t>CF</t>
  </si>
  <si>
    <t>Fertilizers and Agricultural Chemicals</t>
  </si>
  <si>
    <t>Charles River Laboratories Int</t>
  </si>
  <si>
    <t>CRL</t>
  </si>
  <si>
    <t>Charter Communications Inc.</t>
  </si>
  <si>
    <t>CHTR</t>
  </si>
  <si>
    <t>Cable and Satellite</t>
  </si>
  <si>
    <t>Chevron Corp.</t>
  </si>
  <si>
    <t>CVX</t>
  </si>
  <si>
    <t>Integrated Oil and Gas</t>
  </si>
  <si>
    <t>Chipotle Mexican Grill Inc.</t>
  </si>
  <si>
    <t>CMG</t>
  </si>
  <si>
    <t>Restaurants</t>
  </si>
  <si>
    <t>Chubb Ltd.</t>
  </si>
  <si>
    <t>CB</t>
  </si>
  <si>
    <t>Church &amp; Dwight Co.</t>
  </si>
  <si>
    <t>CHD</t>
  </si>
  <si>
    <t>Household Products Producers</t>
  </si>
  <si>
    <t>Ciena Corp.</t>
  </si>
  <si>
    <t>CIEN</t>
  </si>
  <si>
    <t>Cincinnati Financial Corp.</t>
  </si>
  <si>
    <t>CINF</t>
  </si>
  <si>
    <t>Cintas Corp.</t>
  </si>
  <si>
    <t>CTAS</t>
  </si>
  <si>
    <t>Diversified Support Services</t>
  </si>
  <si>
    <t>Cisco Systems Inc.</t>
  </si>
  <si>
    <t>CSCO</t>
  </si>
  <si>
    <t>CME Group Inc.</t>
  </si>
  <si>
    <t>CME</t>
  </si>
  <si>
    <t>CMS Energy Corp.</t>
  </si>
  <si>
    <t>CMS</t>
  </si>
  <si>
    <t>Cognizant Technology Solutions</t>
  </si>
  <si>
    <t>CTSH</t>
  </si>
  <si>
    <t>Coherent Corp.</t>
  </si>
  <si>
    <t>COHR</t>
  </si>
  <si>
    <t>Colgate-Palmolive Co.</t>
  </si>
  <si>
    <t>CL</t>
  </si>
  <si>
    <t>Comcast Corp.</t>
  </si>
  <si>
    <t>CMCSA</t>
  </si>
  <si>
    <t>Comfort Systems USA Inc.</t>
  </si>
  <si>
    <t>FIX</t>
  </si>
  <si>
    <t>Construction and Engineering</t>
  </si>
  <si>
    <t>Conagra Brands Inc.</t>
  </si>
  <si>
    <t>CAG</t>
  </si>
  <si>
    <t>Packaged Foods and Meats Producers</t>
  </si>
  <si>
    <t>ConocoPhillips</t>
  </si>
  <si>
    <t>COP</t>
  </si>
  <si>
    <t>Consolidated Edison Inc.</t>
  </si>
  <si>
    <t>ED</t>
  </si>
  <si>
    <t>Constellation Brands Inc.</t>
  </si>
  <si>
    <t>STZ</t>
  </si>
  <si>
    <t>Constellation Energy Corp.</t>
  </si>
  <si>
    <t>CEG</t>
  </si>
  <si>
    <t>Copart Inc.</t>
  </si>
  <si>
    <t>CPRT</t>
  </si>
  <si>
    <t>Corning Inc.</t>
  </si>
  <si>
    <t>GLW</t>
  </si>
  <si>
    <t>Corpay Inc.</t>
  </si>
  <si>
    <t>CPAY</t>
  </si>
  <si>
    <t>CoStar Group Inc.</t>
  </si>
  <si>
    <t>CSGP</t>
  </si>
  <si>
    <t>Costco Wholesale Corp.</t>
  </si>
  <si>
    <t>COST</t>
  </si>
  <si>
    <t>Consumer Staples Merchandise Retail</t>
  </si>
  <si>
    <t>Coterra Energy Inc.</t>
  </si>
  <si>
    <t>CTRA</t>
  </si>
  <si>
    <t>CRH plc</t>
  </si>
  <si>
    <t>CRH</t>
  </si>
  <si>
    <t>Construction Materials</t>
  </si>
  <si>
    <t>Crown Castle Inc.</t>
  </si>
  <si>
    <t>CCI</t>
  </si>
  <si>
    <t>CSX Corp.</t>
  </si>
  <si>
    <t>CSX</t>
  </si>
  <si>
    <t>Rail Transportation</t>
  </si>
  <si>
    <t>Cummins Inc.</t>
  </si>
  <si>
    <t>CMI</t>
  </si>
  <si>
    <t>CVS Health Corp.</t>
  </si>
  <si>
    <t>CVS</t>
  </si>
  <si>
    <t>Health Care Services</t>
  </si>
  <si>
    <t>11976192,8</t>
  </si>
  <si>
    <t>D.R. Horton, Inc.</t>
  </si>
  <si>
    <t>DHI</t>
  </si>
  <si>
    <t>Homebuilding Producers</t>
  </si>
  <si>
    <t>Danaher Corp.</t>
  </si>
  <si>
    <t>DHR</t>
  </si>
  <si>
    <t>Darden Restaurants Inc.</t>
  </si>
  <si>
    <t>DRI</t>
  </si>
  <si>
    <t>DaVita Inc.</t>
  </si>
  <si>
    <t>DVA</t>
  </si>
  <si>
    <t>Deckers Outdoor Corp.</t>
  </si>
  <si>
    <t>DECK</t>
  </si>
  <si>
    <t>Footwear Producers</t>
  </si>
  <si>
    <t>Deere &amp; Co.</t>
  </si>
  <si>
    <t>DE</t>
  </si>
  <si>
    <t>Machinery: Agricultural and Farm</t>
  </si>
  <si>
    <t>Dell Technologies Inc.</t>
  </si>
  <si>
    <t>DELL</t>
  </si>
  <si>
    <t>Delta Air Lines Inc.</t>
  </si>
  <si>
    <t>DAL</t>
  </si>
  <si>
    <t>Passenger Airlines</t>
  </si>
  <si>
    <t>Devon Energy Corp.</t>
  </si>
  <si>
    <t>DVN</t>
  </si>
  <si>
    <t>DexCom Inc.</t>
  </si>
  <si>
    <t>DXCM</t>
  </si>
  <si>
    <t>Diamondback Energy Inc.</t>
  </si>
  <si>
    <t>FANG</t>
  </si>
  <si>
    <t>Digital Realty Trust Inc.</t>
  </si>
  <si>
    <t>DLR</t>
  </si>
  <si>
    <t>Data Center REIT</t>
  </si>
  <si>
    <t>Dollar General Corp.</t>
  </si>
  <si>
    <t>DG</t>
  </si>
  <si>
    <t>Dollar Tree Inc.</t>
  </si>
  <si>
    <t>DLTR</t>
  </si>
  <si>
    <t>Dominion Energy</t>
  </si>
  <si>
    <t>D</t>
  </si>
  <si>
    <t>Domino's Pizza Inc.</t>
  </si>
  <si>
    <t>DPZ</t>
  </si>
  <si>
    <t>Dover Corp.</t>
  </si>
  <si>
    <t>DOV</t>
  </si>
  <si>
    <t>Machinery and Supplies and Components: Industrial</t>
  </si>
  <si>
    <t>Dow Inc.</t>
  </si>
  <si>
    <t>DOW</t>
  </si>
  <si>
    <t>Commodity Chemicals</t>
  </si>
  <si>
    <t>DTE Energy Co.</t>
  </si>
  <si>
    <t>DTE</t>
  </si>
  <si>
    <t>Duke Energy Corp</t>
  </si>
  <si>
    <t>DUK</t>
  </si>
  <si>
    <t>DuPont de Nemours Inc.</t>
  </si>
  <si>
    <t>DD</t>
  </si>
  <si>
    <t>Eaton Corp. plc</t>
  </si>
  <si>
    <t>ETN</t>
  </si>
  <si>
    <t>eBay Inc.</t>
  </si>
  <si>
    <t>EBAY</t>
  </si>
  <si>
    <t>EchoStar Corp.</t>
  </si>
  <si>
    <t>SATS</t>
  </si>
  <si>
    <t>Ecolab Inc.</t>
  </si>
  <si>
    <t>ECL</t>
  </si>
  <si>
    <t>Edison International</t>
  </si>
  <si>
    <t>EIX</t>
  </si>
  <si>
    <t>Edwards Lifesciences Corp.</t>
  </si>
  <si>
    <t>EW</t>
  </si>
  <si>
    <t>Electronic Arts Inc.</t>
  </si>
  <si>
    <t>EA</t>
  </si>
  <si>
    <t>Interactive Home Entertainment</t>
  </si>
  <si>
    <t>Elevance Health Inc.</t>
  </si>
  <si>
    <t>ELV</t>
  </si>
  <si>
    <t>Eli Lilly &amp; Co.</t>
  </si>
  <si>
    <t>LLY</t>
  </si>
  <si>
    <t>EMCOR Group</t>
  </si>
  <si>
    <t>EME</t>
  </si>
  <si>
    <t>Emerson Electric Co.</t>
  </si>
  <si>
    <t>EMR</t>
  </si>
  <si>
    <t>Entergy Corp.</t>
  </si>
  <si>
    <t>ETR</t>
  </si>
  <si>
    <t>EOG Resources Inc.</t>
  </si>
  <si>
    <t>EOG</t>
  </si>
  <si>
    <t>EPAM Systems Inc.</t>
  </si>
  <si>
    <t>EPAM</t>
  </si>
  <si>
    <t>EQT Corp.</t>
  </si>
  <si>
    <t>EQT</t>
  </si>
  <si>
    <t>Equifax Inc.</t>
  </si>
  <si>
    <t>EFX</t>
  </si>
  <si>
    <t>Research and Consulting Services</t>
  </si>
  <si>
    <t>Equinix Inc.</t>
  </si>
  <si>
    <t>EQIX</t>
  </si>
  <si>
    <t>Equity Residential</t>
  </si>
  <si>
    <t>EQR</t>
  </si>
  <si>
    <t>Erie Indemnity Co.</t>
  </si>
  <si>
    <t>ERIE</t>
  </si>
  <si>
    <t>Essex Property Trust Inc.</t>
  </si>
  <si>
    <t>ESS</t>
  </si>
  <si>
    <t>Everest Group</t>
  </si>
  <si>
    <t>EG</t>
  </si>
  <si>
    <t>Reinsurance</t>
  </si>
  <si>
    <t>Evergy, Inc.</t>
  </si>
  <si>
    <t>EVRG</t>
  </si>
  <si>
    <t>Eversource Energy</t>
  </si>
  <si>
    <t>ES</t>
  </si>
  <si>
    <t>Exelon Corp.</t>
  </si>
  <si>
    <t>EXC</t>
  </si>
  <si>
    <t>Expand Energy Corp.</t>
  </si>
  <si>
    <t>EXE</t>
  </si>
  <si>
    <t>Expedia Group, Inc.</t>
  </si>
  <si>
    <t>EXPE</t>
  </si>
  <si>
    <t>Expeditors Intl WA Inc</t>
  </si>
  <si>
    <t>EXPD</t>
  </si>
  <si>
    <t>Extra Space Storage Inc.</t>
  </si>
  <si>
    <t>EXR</t>
  </si>
  <si>
    <t>Self-Storage REIT</t>
  </si>
  <si>
    <t>Exxon Mobil Corp.</t>
  </si>
  <si>
    <t>XOM</t>
  </si>
  <si>
    <t>F5 Inc.</t>
  </si>
  <si>
    <t>FFIV</t>
  </si>
  <si>
    <t>FactSet Research Systems Inc.</t>
  </si>
  <si>
    <t>FDS</t>
  </si>
  <si>
    <t>Financial Media and Data Solutions</t>
  </si>
  <si>
    <t>Fair Isaac Corp.</t>
  </si>
  <si>
    <t>FICO</t>
  </si>
  <si>
    <t>Fastenal Co.</t>
  </si>
  <si>
    <t>FAST</t>
  </si>
  <si>
    <t>Trading Companies and Distributors</t>
  </si>
  <si>
    <t>Federal Realty Investment</t>
  </si>
  <si>
    <t>FRT</t>
  </si>
  <si>
    <t>Retail REIT</t>
  </si>
  <si>
    <t>FedEx Corp.</t>
  </si>
  <si>
    <t>FDX</t>
  </si>
  <si>
    <t>Fidelity National Information</t>
  </si>
  <si>
    <t>FIS</t>
  </si>
  <si>
    <t>First Solar Inc.</t>
  </si>
  <si>
    <t>FSLR</t>
  </si>
  <si>
    <t>FirstEnergy Corp.</t>
  </si>
  <si>
    <t>FE</t>
  </si>
  <si>
    <t>Fiserv Inc.</t>
  </si>
  <si>
    <t>FISV</t>
  </si>
  <si>
    <t>Banking Technology</t>
  </si>
  <si>
    <t>Ford Motor Co.</t>
  </si>
  <si>
    <t>F</t>
  </si>
  <si>
    <t>Automobile Manufacturers</t>
  </si>
  <si>
    <t>Fortinet Inc.</t>
  </si>
  <si>
    <t>FTNT</t>
  </si>
  <si>
    <t>Systems Software</t>
  </si>
  <si>
    <t>Fortive Corp.</t>
  </si>
  <si>
    <t>FTV</t>
  </si>
  <si>
    <t>Franklin Resources Inc.</t>
  </si>
  <si>
    <t>BEN</t>
  </si>
  <si>
    <t>Freeport-McMoRan Inc.</t>
  </si>
  <si>
    <t>FCX</t>
  </si>
  <si>
    <t>Copper</t>
  </si>
  <si>
    <t>Garmin Ltd.</t>
  </si>
  <si>
    <t>GRMN</t>
  </si>
  <si>
    <t>Consumer Electronics Producers</t>
  </si>
  <si>
    <t>Gartner Inc.</t>
  </si>
  <si>
    <t>IT</t>
  </si>
  <si>
    <t>Gen Digital Inc.</t>
  </si>
  <si>
    <t>GEN</t>
  </si>
  <si>
    <t>Generac Holdings Inc.</t>
  </si>
  <si>
    <t>GNRC</t>
  </si>
  <si>
    <t>General Dynamics Corp.</t>
  </si>
  <si>
    <t>GD</t>
  </si>
  <si>
    <t>General Electric Co.</t>
  </si>
  <si>
    <t>GE</t>
  </si>
  <si>
    <t>General Mills Inc.</t>
  </si>
  <si>
    <t>GIS</t>
  </si>
  <si>
    <t>General Motors Co.</t>
  </si>
  <si>
    <t>GM</t>
  </si>
  <si>
    <t>Genuine Parts Co.</t>
  </si>
  <si>
    <t>GPC</t>
  </si>
  <si>
    <t>Other Distributors</t>
  </si>
  <si>
    <t>Gilead Sciences Inc.</t>
  </si>
  <si>
    <t>GILD</t>
  </si>
  <si>
    <t>Global Payments Inc.</t>
  </si>
  <si>
    <t>GPN</t>
  </si>
  <si>
    <t>Globe Life Inc.</t>
  </si>
  <si>
    <t>GL</t>
  </si>
  <si>
    <t>GoDaddy Inc.</t>
  </si>
  <si>
    <t>GDDY</t>
  </si>
  <si>
    <t>Halliburton Co.</t>
  </si>
  <si>
    <t>HAL</t>
  </si>
  <si>
    <t>Hasbro Inc.</t>
  </si>
  <si>
    <t>HAS</t>
  </si>
  <si>
    <t>Leisure Products Producers</t>
  </si>
  <si>
    <t>HCA Healthcare Inc.</t>
  </si>
  <si>
    <t>HCA</t>
  </si>
  <si>
    <t>Health Care Facilities</t>
  </si>
  <si>
    <t>Healthpeak Properties</t>
  </si>
  <si>
    <t>DOC</t>
  </si>
  <si>
    <t>Henry Schein Inc.</t>
  </si>
  <si>
    <t>HSIC</t>
  </si>
  <si>
    <t>Hewlett Packard Entpr Co.</t>
  </si>
  <si>
    <t>HPE</t>
  </si>
  <si>
    <t>Hilton Worldwide Holdings Inc</t>
  </si>
  <si>
    <t>HLT</t>
  </si>
  <si>
    <t>Honeywell International Inc.</t>
  </si>
  <si>
    <t>HON</t>
  </si>
  <si>
    <t>Hormel Foods Corp.</t>
  </si>
  <si>
    <t>HRL</t>
  </si>
  <si>
    <t>Host Hotels &amp; Resorts</t>
  </si>
  <si>
    <t>HST</t>
  </si>
  <si>
    <t>Hotel and Resort REIT</t>
  </si>
  <si>
    <t>Howmet Aerospace Inc.</t>
  </si>
  <si>
    <t>HWM</t>
  </si>
  <si>
    <t>HP Inc.</t>
  </si>
  <si>
    <t>HPQ</t>
  </si>
  <si>
    <t>Hubbell Inc.</t>
  </si>
  <si>
    <t>HUBB</t>
  </si>
  <si>
    <t>Humana Inc.</t>
  </si>
  <si>
    <t>HUM</t>
  </si>
  <si>
    <t>Huntington Ingalls Indstrs Inc</t>
  </si>
  <si>
    <t>HII</t>
  </si>
  <si>
    <t>IDEX Corp.</t>
  </si>
  <si>
    <t>IEX</t>
  </si>
  <si>
    <t>IDEXX Laboratories Inc.</t>
  </si>
  <si>
    <t>IDXX</t>
  </si>
  <si>
    <t>Illinois Tool Works Inc.</t>
  </si>
  <si>
    <t>ITW</t>
  </si>
  <si>
    <t>Incyte Corp.</t>
  </si>
  <si>
    <t>INCY</t>
  </si>
  <si>
    <t>Ingersoll Rand Inc.</t>
  </si>
  <si>
    <t>IR</t>
  </si>
  <si>
    <t>Insulet Corp.</t>
  </si>
  <si>
    <t>PODD</t>
  </si>
  <si>
    <t>106590,4</t>
  </si>
  <si>
    <t>Intel Corp.</t>
  </si>
  <si>
    <t>INTC</t>
  </si>
  <si>
    <t>Intercontinental Exchange Inc.</t>
  </si>
  <si>
    <t>ICE</t>
  </si>
  <si>
    <t>Intl Bus Machines Corp</t>
  </si>
  <si>
    <t>IBM</t>
  </si>
  <si>
    <t>Intl Flavors &amp; Fragrances Inc</t>
  </si>
  <si>
    <t>IFF</t>
  </si>
  <si>
    <t>International Paper Company</t>
  </si>
  <si>
    <t>IP</t>
  </si>
  <si>
    <t>Intuit Inc.</t>
  </si>
  <si>
    <t>INTU</t>
  </si>
  <si>
    <t>Intuitive Surgical Inc.</t>
  </si>
  <si>
    <t>ISRG</t>
  </si>
  <si>
    <t>Invesco Ltd.</t>
  </si>
  <si>
    <t>IVZ</t>
  </si>
  <si>
    <t>996202,4</t>
  </si>
  <si>
    <t>Invitation Homes Inc.</t>
  </si>
  <si>
    <t>INVH</t>
  </si>
  <si>
    <t>Single-Family Residential REIT</t>
  </si>
  <si>
    <t>IQVIA Holdings Inc.</t>
  </si>
  <si>
    <t>IQV</t>
  </si>
  <si>
    <t>Iron Mountain Inc.</t>
  </si>
  <si>
    <t>IRM</t>
  </si>
  <si>
    <t>Other Specialized REIT</t>
  </si>
  <si>
    <t>J.B. Hunt Transport Svcs Inc</t>
  </si>
  <si>
    <t>JBHT</t>
  </si>
  <si>
    <t>Cargo Ground Transportation</t>
  </si>
  <si>
    <t>Jabil Inc.</t>
  </si>
  <si>
    <t>JBL</t>
  </si>
  <si>
    <t>Electronic Manufacturing Services</t>
  </si>
  <si>
    <t>Jack Henry &amp; Assoc. Inc.</t>
  </si>
  <si>
    <t>JKHY</t>
  </si>
  <si>
    <t>Jacobs Solutions Inc.</t>
  </si>
  <si>
    <t>J</t>
  </si>
  <si>
    <t>Johnson &amp; Johnson</t>
  </si>
  <si>
    <t>JNJ</t>
  </si>
  <si>
    <t>Johnson Controls Intl plc</t>
  </si>
  <si>
    <t>JCI</t>
  </si>
  <si>
    <t>Keurig Dr Pepper Inc.</t>
  </si>
  <si>
    <t>KDP</t>
  </si>
  <si>
    <t>Soft Drinks and Non-alcoholic Beverages</t>
  </si>
  <si>
    <t>Keysight Technologies Inc.</t>
  </si>
  <si>
    <t>KEYS</t>
  </si>
  <si>
    <t>Electronic Equipment and Instruments</t>
  </si>
  <si>
    <t>Kimberly-Clark Corp.</t>
  </si>
  <si>
    <t>KMB</t>
  </si>
  <si>
    <t>Kimco Realty Corp.</t>
  </si>
  <si>
    <t>KIM</t>
  </si>
  <si>
    <t>Kinder Morgan Inc.</t>
  </si>
  <si>
    <t>KMI</t>
  </si>
  <si>
    <t>Oil and Gas Storage and Transportation</t>
  </si>
  <si>
    <t>KLA Corp.</t>
  </si>
  <si>
    <t>KLAC</t>
  </si>
  <si>
    <t>L3Harris Technologies Inc.</t>
  </si>
  <si>
    <t>LHX</t>
  </si>
  <si>
    <t>Labcorp Holdings Inc.</t>
  </si>
  <si>
    <t>LH</t>
  </si>
  <si>
    <t>Lam Research Corp.</t>
  </si>
  <si>
    <t>LRCX</t>
  </si>
  <si>
    <t>Las Vegas Sands Corp.</t>
  </si>
  <si>
    <t>LVS</t>
  </si>
  <si>
    <t>Casinos and Gaming</t>
  </si>
  <si>
    <t>Leidos Holdings Inc.</t>
  </si>
  <si>
    <t>LDOS</t>
  </si>
  <si>
    <t>Lennar Corp.</t>
  </si>
  <si>
    <t>LEN</t>
  </si>
  <si>
    <t>Lennox International Inc.</t>
  </si>
  <si>
    <t>LII</t>
  </si>
  <si>
    <t>Linde plc</t>
  </si>
  <si>
    <t>LIN</t>
  </si>
  <si>
    <t>Live Nation Entertainment Inc.</t>
  </si>
  <si>
    <t>LYV</t>
  </si>
  <si>
    <t>Movies and Entertainment</t>
  </si>
  <si>
    <t>Lockheed Martin Corp.</t>
  </si>
  <si>
    <t>LMT</t>
  </si>
  <si>
    <t>Loews Corp.</t>
  </si>
  <si>
    <t>L</t>
  </si>
  <si>
    <t>Lowe's Companies Inc.</t>
  </si>
  <si>
    <t>LOW</t>
  </si>
  <si>
    <t>Home Improvement Retail</t>
  </si>
  <si>
    <t>lululemon athletica inc.</t>
  </si>
  <si>
    <t>LULU</t>
  </si>
  <si>
    <t>Apparel, Accessories and Luxury Goods</t>
  </si>
  <si>
    <t>Lumentum Holdings Inc.</t>
  </si>
  <si>
    <t>LITE</t>
  </si>
  <si>
    <t>LyondellBasell Industries N.V.</t>
  </si>
  <si>
    <t>LYB</t>
  </si>
  <si>
    <t>Marathon Petroleum Corp.</t>
  </si>
  <si>
    <t>MPC</t>
  </si>
  <si>
    <t>Oil and Gas Refining and Marketing</t>
  </si>
  <si>
    <t>Marriott International Inc.</t>
  </si>
  <si>
    <t>MAR</t>
  </si>
  <si>
    <t>Marsh &amp; McLennan Cos Inc</t>
  </si>
  <si>
    <t>MRSH</t>
  </si>
  <si>
    <t>Martin Marietta Materials Inc.</t>
  </si>
  <si>
    <t>MLM</t>
  </si>
  <si>
    <t>Masco Corp.</t>
  </si>
  <si>
    <t>MAS</t>
  </si>
  <si>
    <t>Mastercard Inc.</t>
  </si>
  <si>
    <t>MA</t>
  </si>
  <si>
    <t>McCormick &amp; Co.</t>
  </si>
  <si>
    <t>MKC</t>
  </si>
  <si>
    <t>McDonald's Corp.</t>
  </si>
  <si>
    <t>MCD</t>
  </si>
  <si>
    <t>McKesson Corp.</t>
  </si>
  <si>
    <t>MCK</t>
  </si>
  <si>
    <t>Medtronic plc</t>
  </si>
  <si>
    <t>MDT</t>
  </si>
  <si>
    <t>Merck &amp; Co.</t>
  </si>
  <si>
    <t>MRK</t>
  </si>
  <si>
    <t>Meta Platforms Inc.</t>
  </si>
  <si>
    <t>META</t>
  </si>
  <si>
    <t>MetLife Inc.</t>
  </si>
  <si>
    <t>MET</t>
  </si>
  <si>
    <t>Mettler-Toledo Intl Inc.</t>
  </si>
  <si>
    <t>MTD</t>
  </si>
  <si>
    <t>MGM Resorts International</t>
  </si>
  <si>
    <t>MGM</t>
  </si>
  <si>
    <t>Microchip Technology Inc.</t>
  </si>
  <si>
    <t>MCHP</t>
  </si>
  <si>
    <t>Micron Technology Inc.</t>
  </si>
  <si>
    <t>MU</t>
  </si>
  <si>
    <t>Microsoft Corp.</t>
  </si>
  <si>
    <t>MSFT</t>
  </si>
  <si>
    <t>MAA</t>
  </si>
  <si>
    <t>Molson Coors Beverage Co.</t>
  </si>
  <si>
    <t>TAP</t>
  </si>
  <si>
    <t>Brewer: Beer and Malt Liquor</t>
  </si>
  <si>
    <t>1307255,12</t>
  </si>
  <si>
    <t>Mondelez International</t>
  </si>
  <si>
    <t>MDLZ</t>
  </si>
  <si>
    <t>Monolithic Power Systems Inc.</t>
  </si>
  <si>
    <t>MPWR</t>
  </si>
  <si>
    <t>Monster Beverage Corp.</t>
  </si>
  <si>
    <t>MNST</t>
  </si>
  <si>
    <t>Moody's Corp.</t>
  </si>
  <si>
    <t>MCO</t>
  </si>
  <si>
    <t>Motorola Solutions Inc.</t>
  </si>
  <si>
    <t>MSI</t>
  </si>
  <si>
    <t>MSCI Inc.</t>
  </si>
  <si>
    <t>MSCI</t>
  </si>
  <si>
    <t>Nasdaq Inc.</t>
  </si>
  <si>
    <t>NDAQ</t>
  </si>
  <si>
    <t>NetApp Inc.</t>
  </si>
  <si>
    <t>NTAP</t>
  </si>
  <si>
    <t>Netflix Inc.</t>
  </si>
  <si>
    <t>NFLX</t>
  </si>
  <si>
    <t>Newmont Corp.</t>
  </si>
  <si>
    <t>NEM</t>
  </si>
  <si>
    <t>Gold</t>
  </si>
  <si>
    <t>News Corp.</t>
  </si>
  <si>
    <t>NWSA</t>
  </si>
  <si>
    <t>Publishing</t>
  </si>
  <si>
    <t>NextEra Energy Inc.</t>
  </si>
  <si>
    <t>NEE</t>
  </si>
  <si>
    <t>NIKE Inc.</t>
  </si>
  <si>
    <t>NKE</t>
  </si>
  <si>
    <t>NiSource Inc.</t>
  </si>
  <si>
    <t>NI</t>
  </si>
  <si>
    <t>Nordson Corp.</t>
  </si>
  <si>
    <t>NDSN</t>
  </si>
  <si>
    <t>Norfolk Southern Corporation</t>
  </si>
  <si>
    <t>NSC</t>
  </si>
  <si>
    <t>Northrop Grumman Corp.</t>
  </si>
  <si>
    <t>NOC</t>
  </si>
  <si>
    <t>Norwegian Cruise Line Hldgs Lt</t>
  </si>
  <si>
    <t>NCLH</t>
  </si>
  <si>
    <t>NRG Energy Inc.</t>
  </si>
  <si>
    <t>NRG</t>
  </si>
  <si>
    <t>Nucor Corp.</t>
  </si>
  <si>
    <t>NUE</t>
  </si>
  <si>
    <t>Steel</t>
  </si>
  <si>
    <t>NVIDIA Corp.</t>
  </si>
  <si>
    <t>NVDA</t>
  </si>
  <si>
    <t>NVR Inc.</t>
  </si>
  <si>
    <t>NVR</t>
  </si>
  <si>
    <t>NXP Semiconductors N.V.</t>
  </si>
  <si>
    <t>NXPI</t>
  </si>
  <si>
    <t>O'Reilly Automotive Inc.</t>
  </si>
  <si>
    <t>ORLY</t>
  </si>
  <si>
    <t>Occidental Petroleum Corp.</t>
  </si>
  <si>
    <t>OXY</t>
  </si>
  <si>
    <t>Old Dominion Freight Line Inc.</t>
  </si>
  <si>
    <t>ODFL</t>
  </si>
  <si>
    <t>Omnicom Group Inc.</t>
  </si>
  <si>
    <t>OMC</t>
  </si>
  <si>
    <t>Advertising</t>
  </si>
  <si>
    <t>ON Semiconductor Corp.</t>
  </si>
  <si>
    <t>ON</t>
  </si>
  <si>
    <t>1171733,04</t>
  </si>
  <si>
    <t>ONEOK Inc.</t>
  </si>
  <si>
    <t>OKE</t>
  </si>
  <si>
    <t>Oracle Corporation</t>
  </si>
  <si>
    <t>ORCL</t>
  </si>
  <si>
    <t>PACCAR Inc</t>
  </si>
  <si>
    <t>PCAR</t>
  </si>
  <si>
    <t>Packaging Corp. America</t>
  </si>
  <si>
    <t>PKG</t>
  </si>
  <si>
    <t>Palo Alto Networks Inc.</t>
  </si>
  <si>
    <t>PANW</t>
  </si>
  <si>
    <t>Paramount Skydance Corp.</t>
  </si>
  <si>
    <t>PSKY</t>
  </si>
  <si>
    <t>Broadcasting</t>
  </si>
  <si>
    <t>Parker-Hannifin Corp.</t>
  </si>
  <si>
    <t>PH</t>
  </si>
  <si>
    <t>Paychex Inc.</t>
  </si>
  <si>
    <t>PAYX</t>
  </si>
  <si>
    <t>PayPal Holdings Inc.</t>
  </si>
  <si>
    <t>PYPL</t>
  </si>
  <si>
    <t>Pentair plc</t>
  </si>
  <si>
    <t>PNR</t>
  </si>
  <si>
    <t>PepsiCo Inc.</t>
  </si>
  <si>
    <t>PEP</t>
  </si>
  <si>
    <t>Pfizer Inc.</t>
  </si>
  <si>
    <t>PFE</t>
  </si>
  <si>
    <t>PG&amp;E Corp.</t>
  </si>
  <si>
    <t>PCG</t>
  </si>
  <si>
    <t>Philip Morris Intl Inc</t>
  </si>
  <si>
    <t>PM</t>
  </si>
  <si>
    <t>Phillips 66</t>
  </si>
  <si>
    <t>PSX</t>
  </si>
  <si>
    <t>Pinnacle West Capital Corp.</t>
  </si>
  <si>
    <t>PNW</t>
  </si>
  <si>
    <t>Pool Corp.</t>
  </si>
  <si>
    <t>POOL</t>
  </si>
  <si>
    <t>PPG Industries Inc.</t>
  </si>
  <si>
    <t>PPG</t>
  </si>
  <si>
    <t>PPL Corp.</t>
  </si>
  <si>
    <t>PPL</t>
  </si>
  <si>
    <t>Principal Financial Group Inc.</t>
  </si>
  <si>
    <t>PFG</t>
  </si>
  <si>
    <t>Prologis Inc.</t>
  </si>
  <si>
    <t>PLD</t>
  </si>
  <si>
    <t>Industrial REIT</t>
  </si>
  <si>
    <t>Prudential Financial Inc.</t>
  </si>
  <si>
    <t>PRU</t>
  </si>
  <si>
    <t>PTC Inc.</t>
  </si>
  <si>
    <t>PTC</t>
  </si>
  <si>
    <t>Public Svc Entpr Group Inc.</t>
  </si>
  <si>
    <t>PEG</t>
  </si>
  <si>
    <t>Public Storage</t>
  </si>
  <si>
    <t>PSA</t>
  </si>
  <si>
    <t>PulteGroup Inc.</t>
  </si>
  <si>
    <t>PHM</t>
  </si>
  <si>
    <t>QUALCOMM Inc.</t>
  </si>
  <si>
    <t>QCOM</t>
  </si>
  <si>
    <t>Quanta Services Inc.</t>
  </si>
  <si>
    <t>PWR</t>
  </si>
  <si>
    <t>Quest Diagnostics Inc.</t>
  </si>
  <si>
    <t>DGX</t>
  </si>
  <si>
    <t>Ralph Lauren Corp.</t>
  </si>
  <si>
    <t>RL</t>
  </si>
  <si>
    <t>Realty Income Corp.</t>
  </si>
  <si>
    <t>O</t>
  </si>
  <si>
    <t>Regency Centers Corp.</t>
  </si>
  <si>
    <t>REG</t>
  </si>
  <si>
    <t>Regeneron Pharmaceuticals Inc.</t>
  </si>
  <si>
    <t>REGN</t>
  </si>
  <si>
    <t>Repub Services Inc.</t>
  </si>
  <si>
    <t>RSG</t>
  </si>
  <si>
    <t>Environmental and Facilities Services</t>
  </si>
  <si>
    <t>ResMed Inc.</t>
  </si>
  <si>
    <t>RMD</t>
  </si>
  <si>
    <t>Revvity Inc.</t>
  </si>
  <si>
    <t>RVTY</t>
  </si>
  <si>
    <t>Rockwell Automation Inc.</t>
  </si>
  <si>
    <t>ROK</t>
  </si>
  <si>
    <t>Rollins Inc.</t>
  </si>
  <si>
    <t>ROL</t>
  </si>
  <si>
    <t>Roper Technologies Inc.</t>
  </si>
  <si>
    <t>ROP</t>
  </si>
  <si>
    <t>1129858,24</t>
  </si>
  <si>
    <t>Ross Stores Inc.</t>
  </si>
  <si>
    <t>ROST</t>
  </si>
  <si>
    <t>Apparel Retail</t>
  </si>
  <si>
    <t>Royal Caribbean Cruises Ltd.</t>
  </si>
  <si>
    <t>RCL</t>
  </si>
  <si>
    <t>RTX Corp.</t>
  </si>
  <si>
    <t>RTX</t>
  </si>
  <si>
    <t>S&amp;P Global Inc.</t>
  </si>
  <si>
    <t>SPGI</t>
  </si>
  <si>
    <t>Salesforce Inc.</t>
  </si>
  <si>
    <t>CRM</t>
  </si>
  <si>
    <t>SBA Communications Corp</t>
  </si>
  <si>
    <t>SBAC</t>
  </si>
  <si>
    <t>Seagate Technology Hldgs plc</t>
  </si>
  <si>
    <t>STX</t>
  </si>
  <si>
    <t>Sempra</t>
  </si>
  <si>
    <t>SRE</t>
  </si>
  <si>
    <t>ServiceNow Inc.</t>
  </si>
  <si>
    <t>NOW</t>
  </si>
  <si>
    <t>Simon Property Group</t>
  </si>
  <si>
    <t>SPG</t>
  </si>
  <si>
    <t>Skyworks Solutions Inc.</t>
  </si>
  <si>
    <t>SWKS</t>
  </si>
  <si>
    <t>SLB N.V.</t>
  </si>
  <si>
    <t>SLB</t>
  </si>
  <si>
    <t>Smurfit Westrock Plc</t>
  </si>
  <si>
    <t>SW</t>
  </si>
  <si>
    <t>Snap-on Inc.</t>
  </si>
  <si>
    <t>SNA</t>
  </si>
  <si>
    <t>Southwest Airlines Co.</t>
  </si>
  <si>
    <t>LUV</t>
  </si>
  <si>
    <t>Stanley Black &amp; Decker Inc.</t>
  </si>
  <si>
    <t>SWK</t>
  </si>
  <si>
    <t>Starbucks Corp.</t>
  </si>
  <si>
    <t>SBUX</t>
  </si>
  <si>
    <t>Steel Dynamics Inc.</t>
  </si>
  <si>
    <t>STLD</t>
  </si>
  <si>
    <t>STERIS plc</t>
  </si>
  <si>
    <t>STE</t>
  </si>
  <si>
    <t>Stryker Corp.</t>
  </si>
  <si>
    <t>SYK</t>
  </si>
  <si>
    <t>Super Micro Computer Inc.</t>
  </si>
  <si>
    <t>SMCI</t>
  </si>
  <si>
    <t>Synopsys Inc.</t>
  </si>
  <si>
    <t>SNPS</t>
  </si>
  <si>
    <t>Sysco Corp.</t>
  </si>
  <si>
    <t>SYY</t>
  </si>
  <si>
    <t>Food Distributors</t>
  </si>
  <si>
    <t>T-Mobile US Inc.</t>
  </si>
  <si>
    <t>TMUS</t>
  </si>
  <si>
    <t>Wireless Telecommunication Services</t>
  </si>
  <si>
    <t>T. Rowe Price Group Inc.</t>
  </si>
  <si>
    <t>TROW</t>
  </si>
  <si>
    <t>Take-Two Interactive Software</t>
  </si>
  <si>
    <t>TTWO</t>
  </si>
  <si>
    <t>Tapestry Inc.</t>
  </si>
  <si>
    <t>TPR</t>
  </si>
  <si>
    <t>Targa Resources Corp.</t>
  </si>
  <si>
    <t>TRGP</t>
  </si>
  <si>
    <t>Target Corp.</t>
  </si>
  <si>
    <t>TGT</t>
  </si>
  <si>
    <t>TE Connectivity plc</t>
  </si>
  <si>
    <t>TEL</t>
  </si>
  <si>
    <t>Teledyne Technologies Inc.</t>
  </si>
  <si>
    <t>TDY</t>
  </si>
  <si>
    <t>Teradyne Inc.</t>
  </si>
  <si>
    <t>TER</t>
  </si>
  <si>
    <t>Tesla Inc.</t>
  </si>
  <si>
    <t>TSLA</t>
  </si>
  <si>
    <t>Texas Instruments Inc.</t>
  </si>
  <si>
    <t>TXN</t>
  </si>
  <si>
    <t>Texas Pacific Land Corp.</t>
  </si>
  <si>
    <t>TPL</t>
  </si>
  <si>
    <t>Textron Inc.</t>
  </si>
  <si>
    <t>TXT</t>
  </si>
  <si>
    <t>The AES Corp.</t>
  </si>
  <si>
    <t>AES</t>
  </si>
  <si>
    <t>Independent Power Producers and Energy Traders</t>
  </si>
  <si>
    <t>The Allstate Corp.</t>
  </si>
  <si>
    <t>ALL</t>
  </si>
  <si>
    <t>The Boeing Co.</t>
  </si>
  <si>
    <t>BA</t>
  </si>
  <si>
    <t>The Campbell's Co.</t>
  </si>
  <si>
    <t>CPB</t>
  </si>
  <si>
    <t>The Cigna Group</t>
  </si>
  <si>
    <t>CI</t>
  </si>
  <si>
    <t>The Clorox Co.</t>
  </si>
  <si>
    <t>CLX</t>
  </si>
  <si>
    <t>The Coca-Cola Co.</t>
  </si>
  <si>
    <t>KO</t>
  </si>
  <si>
    <t>The Cooper Companies Inc.</t>
  </si>
  <si>
    <t>COO</t>
  </si>
  <si>
    <t>The Estée Lauder Cos Inc</t>
  </si>
  <si>
    <t>EL</t>
  </si>
  <si>
    <t>Personal Care and Beauty Products: Producers</t>
  </si>
  <si>
    <t>The Hartford Insurance Group</t>
  </si>
  <si>
    <t>HIG</t>
  </si>
  <si>
    <t>The Hershey Co.</t>
  </si>
  <si>
    <t>HSY</t>
  </si>
  <si>
    <t>The Home Depot Inc.</t>
  </si>
  <si>
    <t>HD</t>
  </si>
  <si>
    <t>The J. M. Smucker Co.</t>
  </si>
  <si>
    <t>SJM</t>
  </si>
  <si>
    <t>The Kraft Heinz Co.</t>
  </si>
  <si>
    <t>KHC</t>
  </si>
  <si>
    <t>The Kroger Co.</t>
  </si>
  <si>
    <t>KR</t>
  </si>
  <si>
    <t>Food Retail</t>
  </si>
  <si>
    <t>The Mosaic Co.</t>
  </si>
  <si>
    <t>MOS</t>
  </si>
  <si>
    <t>The Procter &amp; Gamble Co.</t>
  </si>
  <si>
    <t>PG</t>
  </si>
  <si>
    <t>The Progressive Corp.</t>
  </si>
  <si>
    <t>PGR</t>
  </si>
  <si>
    <t>The Sherwin-Williams Co.</t>
  </si>
  <si>
    <t>SHW</t>
  </si>
  <si>
    <t>3376240,8</t>
  </si>
  <si>
    <t>The Southern Co.</t>
  </si>
  <si>
    <t>SO</t>
  </si>
  <si>
    <t>The TJX Companies Inc.</t>
  </si>
  <si>
    <t>TJX</t>
  </si>
  <si>
    <t>The Trade Desk Inc.</t>
  </si>
  <si>
    <t>TTD</t>
  </si>
  <si>
    <t>The Travelers Companies Inc.</t>
  </si>
  <si>
    <t>TRV</t>
  </si>
  <si>
    <t>The Walt Disney Co.</t>
  </si>
  <si>
    <t>DIS</t>
  </si>
  <si>
    <t>The Williams Companies Inc.</t>
  </si>
  <si>
    <t>WMB</t>
  </si>
  <si>
    <t>Thermo Fisher Scientific Inc.</t>
  </si>
  <si>
    <t>TMO</t>
  </si>
  <si>
    <t>Tractor Supply Co.</t>
  </si>
  <si>
    <t>TSCO</t>
  </si>
  <si>
    <t>Other Specialty Retail</t>
  </si>
  <si>
    <t>Trane Technologies plc</t>
  </si>
  <si>
    <t>TT</t>
  </si>
  <si>
    <t>TransDigm Group Inc</t>
  </si>
  <si>
    <t>TDG</t>
  </si>
  <si>
    <t>Trimble Inc.</t>
  </si>
  <si>
    <t>TRMB</t>
  </si>
  <si>
    <t>Tyler Technologies Inc.</t>
  </si>
  <si>
    <t>TYL</t>
  </si>
  <si>
    <t>Tyson Foods Inc.</t>
  </si>
  <si>
    <t>TSN</t>
  </si>
  <si>
    <t>UDR Inc.</t>
  </si>
  <si>
    <t>UDR</t>
  </si>
  <si>
    <t>Ulta Beauty Inc.</t>
  </si>
  <si>
    <t>ULTA</t>
  </si>
  <si>
    <t>Union Pacific Corp.</t>
  </si>
  <si>
    <t>UNP</t>
  </si>
  <si>
    <t>United Airlines Holdings Inc.</t>
  </si>
  <si>
    <t>UAL</t>
  </si>
  <si>
    <t>United Parcel Service Inc.</t>
  </si>
  <si>
    <t>UPS</t>
  </si>
  <si>
    <t>United Rentals Inc.</t>
  </si>
  <si>
    <t>URI</t>
  </si>
  <si>
    <t>UnitedHealth Group Inc.</t>
  </si>
  <si>
    <t>UNH</t>
  </si>
  <si>
    <t>Universal Health Services Inc.</t>
  </si>
  <si>
    <t>UHS</t>
  </si>
  <si>
    <t>Valero Energy Corp.</t>
  </si>
  <si>
    <t>VLO</t>
  </si>
  <si>
    <t>Ventas Inc.</t>
  </si>
  <si>
    <t>VTR</t>
  </si>
  <si>
    <t>VeriSign Inc.</t>
  </si>
  <si>
    <t>VRSN</t>
  </si>
  <si>
    <t>Verisk Analytics Inc.</t>
  </si>
  <si>
    <t>VRSK</t>
  </si>
  <si>
    <t>Verizon Communications Inc.</t>
  </si>
  <si>
    <t>VZ</t>
  </si>
  <si>
    <t>Vertex Pharmaceuticals Inc.</t>
  </si>
  <si>
    <t>VRTX</t>
  </si>
  <si>
    <t>Viatris Inc.</t>
  </si>
  <si>
    <t>VTRS</t>
  </si>
  <si>
    <t>VICI Properties Inc.</t>
  </si>
  <si>
    <t>VICI</t>
  </si>
  <si>
    <t>Visa Inc.</t>
  </si>
  <si>
    <t>V</t>
  </si>
  <si>
    <t>Vistra Corp.</t>
  </si>
  <si>
    <t>VST</t>
  </si>
  <si>
    <t>Vulcan Materials Co.</t>
  </si>
  <si>
    <t>VMC</t>
  </si>
  <si>
    <t>W. R. Berkley Corp.</t>
  </si>
  <si>
    <t>WRB</t>
  </si>
  <si>
    <t>W.W. Grainger Inc.</t>
  </si>
  <si>
    <t>GWW</t>
  </si>
  <si>
    <t>Walmart Inc.</t>
  </si>
  <si>
    <t>WMT</t>
  </si>
  <si>
    <t>Warner Bros. Discovery Inc.</t>
  </si>
  <si>
    <t>WBD</t>
  </si>
  <si>
    <t>Waste Mgmt Inc.</t>
  </si>
  <si>
    <t>WM</t>
  </si>
  <si>
    <t>Waters Corp.</t>
  </si>
  <si>
    <t>WAT</t>
  </si>
  <si>
    <t>WEC Energy Group Inc.</t>
  </si>
  <si>
    <t>WEC</t>
  </si>
  <si>
    <t>Welltower Inc.</t>
  </si>
  <si>
    <t>WELL</t>
  </si>
  <si>
    <t>W Pharmaceutical Svcs Inc</t>
  </si>
  <si>
    <t>WST</t>
  </si>
  <si>
    <t>Western Digital Corp.</t>
  </si>
  <si>
    <t>WDC</t>
  </si>
  <si>
    <t>Westinghouse Air Brake Technol</t>
  </si>
  <si>
    <t>WAB</t>
  </si>
  <si>
    <t>Weyerhaeuser Co.</t>
  </si>
  <si>
    <t>WY</t>
  </si>
  <si>
    <t>Timber REIT</t>
  </si>
  <si>
    <t>Williams-Sonoma Inc.</t>
  </si>
  <si>
    <t>WSM</t>
  </si>
  <si>
    <t>Homefurnishing Retail</t>
  </si>
  <si>
    <t>Willis Towers Watson Plc</t>
  </si>
  <si>
    <t>WTW</t>
  </si>
  <si>
    <t>Workday Inc.</t>
  </si>
  <si>
    <t>WDAY</t>
  </si>
  <si>
    <t>Wynn Resorts Ltd.</t>
  </si>
  <si>
    <t>WYNN</t>
  </si>
  <si>
    <t>Xcel Energy Inc.</t>
  </si>
  <si>
    <t>XEL</t>
  </si>
  <si>
    <t>Xylem Inc.</t>
  </si>
  <si>
    <t>XYL</t>
  </si>
  <si>
    <t>Yum! Brands Inc.</t>
  </si>
  <si>
    <t>YUM</t>
  </si>
  <si>
    <t>Zebra Technologies Corp.</t>
  </si>
  <si>
    <t>ZBRA</t>
  </si>
  <si>
    <t>Zimmer Biomet Holdings Inc.</t>
  </si>
  <si>
    <t>ZBH</t>
  </si>
  <si>
    <t>Zoetis Inc.</t>
  </si>
  <si>
    <t>ZTS</t>
  </si>
  <si>
    <t>允䅁䉁䅳䅁佁䅁䅁杒婂䑁䅉䅍祁䑁䅉䅁䙁䅁䅁䅅䅁䕁䅫兕時䕁䅕村䩂䙁䅑䅁䅁䅁䅁杄䅁䕁䅙兗祁䑁䅁杍硁䅁䅁允䅁䉁䅁䅁䑂䡁䅕杣祂䝁䅕杢あ䅁䅁杁䅁䅁䄴䅁䝂䙁䅫杍睁䑁䅅睎䅁䉁䅉䅁䵃䅁䅁睔睂䡁䅑兡療䝁䄴督㙁䕁䅍兤祂䡁䅉児䙂䙁䅕杕獁䕁䄰兙湂䑁䄰睕あ䝁䅅杢歂䝁䅅杣歂䍁䅷睑療䝁䄴杤乂䝁䅕䅤潂䝁䄸䅚㥁䙁䅉䅌䝂䝁䅫䅢灂䝁䄴睚坂䝁䅕杣㥁䕁䅍兤祂䡁䅉党畂䡁䅑睌卂䝁䅕督あ䝁䅅䅤求䝁䅑䅁䑁䅁䅁杋䅁䙁䅍䅕時䕁䅍睔乂䙁䅁兑佂䙁䅫睘佂䕁䅅兔䙂䙁䄸兑䍂䕁䅉杕䅁䅁䅙䅁佁䅁䅁杒婂䑁䅉䅍祁䑁䅁䅁允䅁䅁䅇䅁䕁䅕村䩂䙁䅑䅉潁䭁杷䅍睁䑁䅁克䅁䅁䅑䅁䍁䅁䅁䅁䡁䅁䅁䅎䅁䕁䅍睢瑂䡁䅁兙畂䡁䅫䅉佂䝁䅅兢求䍁䅷䅉䉂䝁䅉杙祂䝁䅕杤灂䝁䅅䅤求䝁䅑䅁䥁䅁䅁䅆䅁䙁䅍䅕時䙁䅑兓䑂䕁䅳兒卂䅁䅁元䅁䅁䄴䅁䝂䙁䅫杍睁䑁䅅李䅁䉁䅑䅁佁䅁䅁䅖灂䝁䅍睡求䡁䅉䅁䭁䅁䅁䅍䅁䕁䅫杢歂䡁䅕督あ䡁䅉入杁䕁䅍䅢桂䡁䅍督灂䝁䅙兡橂䝁䅅䅤灂䝁䄸杢䅁䅁䄰䅁佁䅁䅁杒婂䑁䅉䅍祁䑁䅍䅁䱁䅁䅁李䅁䕁䄰兓時䕁䅫杔䕂䙁䅕睕啂䙁䅉兗時䕁䅍䅔䉂䙁䅍睕䩂䕁䅙兓䑂䕁䅅䅖䩂䕁䄸杔䅁䅁䅷䅁佁䅁䅁杒婂䑁䅉䅍祁䑁䅕䅁佁䅁䅁䅆䅁䑁䅷材䑂䡁䅕杣祂䝁䅕杢あ䅁䅁杆䅁䅁䄴䅁䝂䙁䅫杍睁䑁䅉䅎䅁䅁䄸䅁佁䅁䅁杒婂䑁䅉䅍硁䑁䅫䅁剁䅁䅁杄䅁䕁䅙兗祁䑁䅁免㑁䅁䅁睅䅁䅁䄴䅁䝂䙁䅫杍睁䑁䅅兎䅁䉁䅕䅁慁䅁䅁睕兂䙁䄸兒佂䙁䅑兓啂䙁䅫睘䩂䕁䅑䅁塁䅁䅁䅆䅁䕁䅕杢あ䝁䅫䅤㕂䍁䅁兓䕂䅁䅁䅇䅁䉁䄴䅁呂䙁䅁睘䙂䕁䄴䅖䩂䙁䅑兗時䕁䄴兑乂䕁䅕䅁婁䅁䅁䅇䅁䕁䅕杢あ䝁䅫䅤㕂䍁䅁杔桂䝁䄰党䅁䉁䅯䅁剁䅁䅁䍄䉁䅁䅁杂䅁䅁䅍睄䅁䅁䅕䅁䅁䑁䝒䕅䭅䅁䅁䅁䭁䅁䅅䅁䭁䅁䅉䅁䭁䅁䅍䅁䉁䅁䅁允䅁䅁䅯䅂䅁䅁杷允䅁䅁䅙䅁䑁䅁䄸䅁䙁䅁䅁䅁ぁ桒䉂权䅁䅁䅁权佁䅁䅁权䍁䅁䅁权䑁䅁䅁允䅁䅁䅅䅁䭁䅁䅑䅁䵁䅉䅅䅁䝁䅁䅁睁偁䅁䅁兂䅁䅁䅁䕎兙兑䅯䅁䅁䅁䅯兂䅁䅁䅯杁䅁䅁䅯睁䅁䅁䅅䅁䉁䅁䅁权䕁䅁䅁䍄䉁䅁䅁杂䅁䅁䅍睄䅁䅁䅕䅁䅁䑁䝒䕅䭅䅁䅁䅁䭁䅁䅳䅁䭁䅁䅉䅁䭁䅁䅍䅁䉁䅁䅁允䅁䅁䅯䅂䅁䅁杷允䅁䅁䅙䅁䑁䅁䄸䅁䙁䅁䅁䅁ぁ桒䉂权䅁䅁䅁权剁䅁䅁权䍁䅁䅁权䑁䅁䅁允䅁䅁䅅䅁䭁䅁䅑䅁䵁䅉䅅䅁䝁䅁䅁睁偁䅁䅁兂䅁䅁䅁䕎兙兑䅯䅁䅁䅁䅯䅆䅁䅁䅯杁䅁䅁䅯睁䅁䅁䅅䅁䉁䅁䅁权䕁䅁䅁䍄䉁䅁䅁杂䅁䅁䅍睄䅁䅁䅕䅁䅁䑁䝒䕅䭅䅁䅙䅁䭁䅁䅣䅁䭁䅁䅣䅁䭁䅁䅍䅁䉁䅁䅁允䅁䅁䅯䅃䅁䅁杷允䅁䅁䅙䅁䑁䅁䄸䅁䙁䅁䅁䅁ぁ桒䉂权䩁䅁䅁权䡁䅁䅁权䡁䅁䅁权䑁䅁䅁允䅁䅁䅅䅁䭁䅁䅯䅁䵁䅉䅅䅁䝁䅁䅁睁偁䅁䅁兂䅁䅁䅁䕎兙兑䅯䅁䅁䅁䅯睄䅁䅁䅯杁䅁䅁䅯睁䅁䅁䅅䅁䉁䅁䅁权䕁䅁䅁䍄䉁䅁䅁杂䅁䅁䅍睄䅁䅁䅕䅁䅁䑁䝒䕅䭅䅁䅷䅁䭁䅁䅣䅁䭁䅁䅣䅁䭁䅁䅍䅁䉁䅁䅁允䅁䅁䅯兄䅁䅁杷允䅁䅁䅙䅁䑁䅁䄸䅁䙁䅁䅁䅁ぁ桒䉂权䅁䅁䅁权允䅁䅁权䍁䅁䅁权䑁䅁䅁允䅁䅁䅅䅁䭁䅁䅑䅁䵁䅉䅅䅁䝁䅁䅁睁偁䅁䅁兂䅁䅁䅁䕎兙兑䅯䅁䅁䅁䅯杅䅁䅁䅯杁䅁䅁䅯睁䅁䅁䅅䅁䉁䅁䅁权䕁䅁䅁䍄䉁䅁䅁杂䅁䅁䅍睄䅁䅁䅕䅁䅁䑁䝒䕅䭅䅁䅁䅁䭁䉁䅍䅁䭁䅁䅉䅁䭁䅁䅍䅁䉁䅁䅁允䅁䅁䅯䅂䅁䅁杷允䅁䅁䅙䅁䑁䅁䄸䅁䙁䅁䅁䅁ぁ桒䉂权䅁䅁䅁权噁䅁䅁权䍁䅁䅁权䑁䅁䅁允䅁䅁䅅䅁䭁䅁䅑䅁䵁䅉䅅䅁䙁䅁䅁睁偁䅁䅁兂䅁䅁䅁䕎兙兑䅯䅁䅁䅁䅯䅂䍁䅧䅯杆䅁䅁䅅䅁䉁䅁䅁权䍁䅁䅁䍄䉁䅁䅁杂䅁䅁䅍睄䅁䅁䅕䅁䅁䑁䝒䕅䭅䉁䅣䅁䭁䅁䅣䅁䭁䅁䅣䅁䭁䅁䅍䅁䉁䅁䅁允䅁䅁䅯䅇䅁䅁杷允䅁䅁䅙䅁䑁䅁䄸䅁䙁䅁䅁䅁ぁ桒䉂权婁䅁䅁权䡁䅁䅁权䡁䅁䅁权䑁䅁䅁允䅁䅁䅅䅁䭁䉁䅯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</si>
</sst>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NumberFormat="1" applyAlignment="1">
      <alignment horizontal="left"/>
    </xf>
    <xf numFmtId="0"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E4DBF-00D7-4AB3-961A-F3892380247B}">
  <dimension ref="A1"/>
  <sheetViews>
    <sheetView workbookViewId="0"/>
  </sheetViews>
  <sheetFormatPr baseColWidth="10" defaultRowHeight="14.25" x14ac:dyDescent="0.45"/>
  <sheetData>
    <row r="1" spans="1:1" x14ac:dyDescent="0.45">
      <c r="A1" t="s">
        <v>1493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2EC30-0394-4FAE-B494-F7C7C37B5171}">
  <dimension ref="A1:P454"/>
  <sheetViews>
    <sheetView tabSelected="1" topLeftCell="D1" workbookViewId="0">
      <selection activeCell="F6" sqref="F6"/>
    </sheetView>
  </sheetViews>
  <sheetFormatPr baseColWidth="10" defaultRowHeight="14.25" x14ac:dyDescent="0.45"/>
  <cols>
    <col min="6" max="16" width="17.73046875" bestFit="1" customWidth="1"/>
  </cols>
  <sheetData>
    <row r="1" spans="1:16" x14ac:dyDescent="0.45">
      <c r="A1" t="str">
        <f>_xll.SNL.Clients.Office.Excel.Functions.SPGTable($B$6:$B$454,$C$3:$P$3,,"Options:Curr=EUR,Mag=Standard,ConvMethod=R,FilingVer=Current/Restated")</f>
        <v>SPGTable</v>
      </c>
    </row>
    <row r="2" spans="1:16" x14ac:dyDescent="0.45">
      <c r="A2" s="3" t="str">
        <f>_xll.SNL.Clients.Office.Excel.Functions.SPGLabel(266637,"SP_ENTITY_NAME","","","Options:Curr=EUR,Mag=Standard,ConvMethod=R,FilingVer=Current/Restated")</f>
        <v>Entity Name</v>
      </c>
      <c r="B2" s="3" t="str">
        <f>_xll.SNL.Clients.Office.Excel.Functions.SPGLabel(266637,"SP_ENTITY_ID","","","Options:Curr=EUR,Mag=Standard,ConvMethod=R,FilingVer=Current/Restated")</f>
        <v>Entity ID</v>
      </c>
      <c r="C2" s="3" t="str">
        <f>_xll.SNL.Clients.Office.Excel.Functions.SPGLabel(266637,"SP_COMPANY_NAME_ABBR","","","Options:Curr=EUR,Mag=Standard,ConvMethod=R,FilingVer=Current/Restated")</f>
        <v>Company Name, Abbreviated</v>
      </c>
      <c r="D2" s="3" t="str">
        <f>_xll.SNL.Clients.Office.Excel.Functions.SPGLabel(266637,"SP_TICKER","","","Options:Curr=EUR,Mag=Standard,ConvMethod=R,FilingVer=Current/Restated")</f>
        <v>Ticker</v>
      </c>
      <c r="E2" s="3" t="str">
        <f>_xll.SNL.Clients.Office.Excel.Functions.SPGLabel(266637,"MI_INDUSTRY_CLASSIFICATION","","","Options:Curr=EUR,Mag=Standard,ConvMethod=R,FilingVer=Current/Restated")</f>
        <v>Industry Classification</v>
      </c>
      <c r="F2" s="3" t="str">
        <f>_xll.SNL.Clients.Office.Excel.Functions.SPGLabel(266637,"IQ_EBIT","FY2025","Current","Options:Curr=EUR,Mag=Standard,ConvMethod=R,FilingVer=Current/Restated")</f>
        <v>EBIT (€000)</v>
      </c>
      <c r="G2" s="3" t="str">
        <f>_xll.SNL.Clients.Office.Excel.Functions.SPGLabel(266637,"IQ_EBIT","FY2024","Current","Options:Curr=EUR,Mag=Standard,ConvMethod=R,FilingVer=Current/Restated")</f>
        <v>EBIT (€000)</v>
      </c>
      <c r="H2" s="3" t="str">
        <f>_xll.SNL.Clients.Office.Excel.Functions.SPGLabel(266637,"IQ_EBIT","FY2023","Current","Options:Curr=EUR,Mag=Standard,ConvMethod=R,FilingVer=Current/Restated")</f>
        <v>EBIT (€000)</v>
      </c>
      <c r="I2" s="3" t="str">
        <f>_xll.SNL.Clients.Office.Excel.Functions.SPGLabel(266637,"IQ_EBIT","FY2022","Current","Options:Curr=EUR,Mag=Standard,ConvMethod=R,FilingVer=Current/Restated")</f>
        <v>EBIT (€000)</v>
      </c>
      <c r="J2" s="3" t="str">
        <f>_xll.SNL.Clients.Office.Excel.Functions.SPGLabel(266637,"IQ_EBIT","FY2021","Current","Options:Curr=EUR,Mag=Standard,ConvMethod=R,FilingVer=Current/Restated")</f>
        <v>EBIT (€000)</v>
      </c>
      <c r="K2" s="3" t="str">
        <f>_xll.SNL.Clients.Office.Excel.Functions.SPGLabel(266637,"IQ_EBIT","FY2020","Current","Options:Curr=EUR,Mag=Standard,ConvMethod=R,FilingVer=Current/Restated")</f>
        <v>EBIT (€000)</v>
      </c>
      <c r="L2" s="3" t="str">
        <f>_xll.SNL.Clients.Office.Excel.Functions.SPGLabel(266637,"IQ_EBIT","FY2019","Current","Options:Curr=EUR,Mag=Standard,ConvMethod=R,FilingVer=Current/Restated")</f>
        <v>EBIT (€000)</v>
      </c>
      <c r="M2" s="3" t="str">
        <f>_xll.SNL.Clients.Office.Excel.Functions.SPGLabel(266637,"IQ_EBIT","FY2018","Current","Options:Curr=EUR,Mag=Standard,ConvMethod=R,FilingVer=Current/Restated")</f>
        <v>EBIT (€000)</v>
      </c>
      <c r="N2" s="3" t="str">
        <f>_xll.SNL.Clients.Office.Excel.Functions.SPGLabel(266637,"IQ_EBIT","FY2017","Current","Options:Curr=EUR,Mag=Standard,ConvMethod=R,FilingVer=Current/Restated")</f>
        <v>EBIT (€000)</v>
      </c>
      <c r="O2" s="3" t="str">
        <f>_xll.SNL.Clients.Office.Excel.Functions.SPGLabel(266637,"IQ_EBIT","FY2016","Current","Options:Curr=EUR,Mag=Standard,ConvMethod=R,FilingVer=Current/Restated")</f>
        <v>EBIT (€000)</v>
      </c>
      <c r="P2" s="3" t="str">
        <f>_xll.SNL.Clients.Office.Excel.Functions.SPGLabel(266637,"IQ_EBIT","FY2015","Current","Options:Curr=EUR,Mag=Standard,ConvMethod=R,FilingVer=Current/Restated")</f>
        <v>EBIT (€000)</v>
      </c>
    </row>
    <row r="3" spans="1:16" x14ac:dyDescent="0.45">
      <c r="A3" s="2" t="s">
        <v>464</v>
      </c>
      <c r="B3" s="2" t="s">
        <v>465</v>
      </c>
      <c r="C3" s="2" t="s">
        <v>460</v>
      </c>
      <c r="D3" s="2" t="s">
        <v>461</v>
      </c>
      <c r="E3" s="2" t="s">
        <v>462</v>
      </c>
      <c r="F3" s="2" t="s">
        <v>463</v>
      </c>
      <c r="G3" s="2" t="s">
        <v>463</v>
      </c>
      <c r="H3" s="2" t="s">
        <v>463</v>
      </c>
      <c r="I3" s="2" t="s">
        <v>463</v>
      </c>
      <c r="J3" s="2" t="s">
        <v>463</v>
      </c>
      <c r="K3" s="2" t="s">
        <v>463</v>
      </c>
      <c r="L3" s="2" t="s">
        <v>463</v>
      </c>
      <c r="M3" s="2" t="s">
        <v>463</v>
      </c>
      <c r="N3" s="2" t="s">
        <v>463</v>
      </c>
      <c r="O3" s="2" t="s">
        <v>463</v>
      </c>
      <c r="P3" s="2" t="s">
        <v>463</v>
      </c>
    </row>
    <row r="4" spans="1:16" x14ac:dyDescent="0.45">
      <c r="A4" s="4"/>
      <c r="B4" s="4"/>
      <c r="C4" s="4"/>
      <c r="D4" s="4"/>
      <c r="E4" s="4"/>
      <c r="F4" s="4" t="s">
        <v>449</v>
      </c>
      <c r="G4" s="4" t="s">
        <v>450</v>
      </c>
      <c r="H4" s="4" t="s">
        <v>451</v>
      </c>
      <c r="I4" s="4" t="s">
        <v>452</v>
      </c>
      <c r="J4" s="4" t="s">
        <v>453</v>
      </c>
      <c r="K4" s="4" t="s">
        <v>454</v>
      </c>
      <c r="L4" s="4" t="s">
        <v>455</v>
      </c>
      <c r="M4" s="4" t="s">
        <v>456</v>
      </c>
      <c r="N4" s="4" t="s">
        <v>457</v>
      </c>
      <c r="O4" s="4" t="s">
        <v>458</v>
      </c>
      <c r="P4" s="4" t="s">
        <v>459</v>
      </c>
    </row>
    <row r="5" spans="1:16" x14ac:dyDescent="0.45">
      <c r="A5" s="4"/>
      <c r="B5" s="4"/>
      <c r="C5" s="4"/>
      <c r="D5" s="4"/>
      <c r="E5" s="4"/>
      <c r="F5" s="4" t="str">
        <f>_xll.SNL.Clients.Office.Excel.Functions.SPGLabel(266637,"IQ_EBIT",,"&lt;&gt;Current")</f>
        <v>Current</v>
      </c>
      <c r="G5" s="4" t="str">
        <f>_xll.SNL.Clients.Office.Excel.Functions.SPGLabel(266637,"IQ_EBIT",,"&lt;&gt;Current")</f>
        <v>Current</v>
      </c>
      <c r="H5" s="4" t="str">
        <f>_xll.SNL.Clients.Office.Excel.Functions.SPGLabel(266637,"IQ_EBIT",,"&lt;&gt;Current")</f>
        <v>Current</v>
      </c>
      <c r="I5" s="4" t="str">
        <f>_xll.SNL.Clients.Office.Excel.Functions.SPGLabel(266637,"IQ_EBIT",,"&lt;&gt;Current")</f>
        <v>Current</v>
      </c>
      <c r="J5" s="4" t="str">
        <f>_xll.SNL.Clients.Office.Excel.Functions.SPGLabel(266637,"IQ_EBIT",,"&lt;&gt;Current")</f>
        <v>Current</v>
      </c>
      <c r="K5" s="4" t="str">
        <f>_xll.SNL.Clients.Office.Excel.Functions.SPGLabel(266637,"IQ_EBIT",,"&lt;&gt;Current")</f>
        <v>Current</v>
      </c>
      <c r="L5" s="4" t="str">
        <f>_xll.SNL.Clients.Office.Excel.Functions.SPGLabel(266637,"IQ_EBIT",,"&lt;&gt;Current")</f>
        <v>Current</v>
      </c>
      <c r="M5" s="4" t="str">
        <f>_xll.SNL.Clients.Office.Excel.Functions.SPGLabel(266637,"IQ_EBIT",,"&lt;&gt;Current")</f>
        <v>Current</v>
      </c>
      <c r="N5" s="4" t="str">
        <f>_xll.SNL.Clients.Office.Excel.Functions.SPGLabel(266637,"IQ_EBIT",,"&lt;&gt;Current")</f>
        <v>Current</v>
      </c>
      <c r="O5" s="4" t="str">
        <f>_xll.SNL.Clients.Office.Excel.Functions.SPGLabel(266637,"IQ_EBIT",,"&lt;&gt;Current")</f>
        <v>Current</v>
      </c>
      <c r="P5" s="4" t="str">
        <f>_xll.SNL.Clients.Office.Excel.Functions.SPGLabel(266637,"IQ_EBIT",,"&lt;&gt;Current")</f>
        <v>Current</v>
      </c>
    </row>
    <row r="6" spans="1:16" x14ac:dyDescent="0.45">
      <c r="A6" s="1" t="s">
        <v>0</v>
      </c>
      <c r="B6" s="2">
        <v>105135</v>
      </c>
      <c r="C6" s="3" t="s">
        <v>466</v>
      </c>
      <c r="D6" s="3" t="s">
        <v>467</v>
      </c>
      <c r="E6" s="3" t="s">
        <v>468</v>
      </c>
      <c r="F6" s="5">
        <v>417233422222222</v>
      </c>
      <c r="G6" s="5">
        <v>386569036374045</v>
      </c>
      <c r="H6" s="5">
        <v>-943453217115378</v>
      </c>
      <c r="I6" s="5">
        <v>328108410846161</v>
      </c>
      <c r="J6" s="5">
        <v>65595393777778</v>
      </c>
      <c r="K6" s="5">
        <v>627674610381658</v>
      </c>
      <c r="L6" s="5">
        <v>563246908237546</v>
      </c>
      <c r="M6" s="5">
        <v>658309493793069</v>
      </c>
      <c r="N6" s="5">
        <v>650349104000009</v>
      </c>
      <c r="O6" s="5">
        <v>643023577777764</v>
      </c>
      <c r="P6" s="5">
        <v>632175331015299</v>
      </c>
    </row>
    <row r="7" spans="1:16" x14ac:dyDescent="0.45">
      <c r="A7" s="1" t="s">
        <v>1</v>
      </c>
      <c r="B7" s="2">
        <v>4020605</v>
      </c>
      <c r="C7" s="3" t="s">
        <v>469</v>
      </c>
      <c r="D7" s="3" t="s">
        <v>470</v>
      </c>
      <c r="E7" s="3" t="s">
        <v>471</v>
      </c>
      <c r="F7" s="5">
        <v>645169777777778</v>
      </c>
      <c r="G7" s="5">
        <v>662742610076335</v>
      </c>
      <c r="H7" s="5">
        <v>700491585769226</v>
      </c>
      <c r="I7" s="5">
        <v>593715451461552</v>
      </c>
      <c r="J7" s="5">
        <v>515102337777779</v>
      </c>
      <c r="K7" s="5">
        <v>386814565648842</v>
      </c>
      <c r="L7" s="5">
        <v>4106655094636</v>
      </c>
      <c r="M7" s="5">
        <v>46641909931032</v>
      </c>
      <c r="N7" s="5">
        <v>451155856000006</v>
      </c>
      <c r="O7" s="5">
        <v>416265544444436</v>
      </c>
      <c r="P7" s="5">
        <v>359762119789257</v>
      </c>
    </row>
    <row r="8" spans="1:16" x14ac:dyDescent="0.45">
      <c r="A8" s="1" t="s">
        <v>2</v>
      </c>
      <c r="B8" s="2">
        <v>4004092</v>
      </c>
      <c r="C8" s="3" t="s">
        <v>472</v>
      </c>
      <c r="D8" s="3" t="s">
        <v>473</v>
      </c>
      <c r="E8" s="3" t="s">
        <v>474</v>
      </c>
      <c r="F8" s="5">
        <v>790244355555556</v>
      </c>
      <c r="G8" s="5">
        <v>69306900183206</v>
      </c>
      <c r="H8" s="5">
        <v>667751419230764</v>
      </c>
      <c r="I8" s="5">
        <v>86693300900002</v>
      </c>
      <c r="J8" s="5">
        <v>778617493333336</v>
      </c>
      <c r="K8" s="5">
        <v>479088697862579</v>
      </c>
      <c r="L8" s="5">
        <v>424958848927202</v>
      </c>
      <c r="M8" s="5">
        <v>325298292413776</v>
      </c>
      <c r="N8" s="5">
        <v>260565344000004</v>
      </c>
      <c r="O8" s="5">
        <v>290951894444438</v>
      </c>
      <c r="P8" s="5">
        <v>267004610076617</v>
      </c>
    </row>
    <row r="9" spans="1:16" x14ac:dyDescent="0.45">
      <c r="A9" s="1" t="s">
        <v>3</v>
      </c>
      <c r="B9" s="2">
        <v>4558282</v>
      </c>
      <c r="C9" s="3" t="s">
        <v>475</v>
      </c>
      <c r="D9" s="3" t="s">
        <v>476</v>
      </c>
      <c r="E9" s="3" t="s">
        <v>477</v>
      </c>
      <c r="F9" s="5">
        <v>187125822222222</v>
      </c>
      <c r="G9" s="5">
        <v>161081218648855</v>
      </c>
      <c r="H9" s="5">
        <v>168454630884614</v>
      </c>
      <c r="I9" s="5">
        <v>192431920400004</v>
      </c>
      <c r="J9" s="5">
        <v>167152358222223</v>
      </c>
      <c r="K9" s="5">
        <v>128736448526713</v>
      </c>
      <c r="L9" s="5">
        <v>127273254586206</v>
      </c>
      <c r="M9" s="5">
        <v>101056058896546</v>
      </c>
      <c r="N9" s="5">
        <v>911091824000013</v>
      </c>
      <c r="O9" s="5">
        <v>87005285277776</v>
      </c>
      <c r="P9" s="5">
        <v>798309529655139</v>
      </c>
    </row>
    <row r="10" spans="1:16" x14ac:dyDescent="0.45">
      <c r="A10" s="1" t="s">
        <v>4</v>
      </c>
      <c r="B10" s="2">
        <v>4142760</v>
      </c>
      <c r="C10" s="3" t="s">
        <v>478</v>
      </c>
      <c r="D10" s="3" t="s">
        <v>479</v>
      </c>
      <c r="E10" s="3" t="s">
        <v>480</v>
      </c>
      <c r="F10" s="5">
        <v>988072622368005</v>
      </c>
      <c r="G10" s="5">
        <v>922481039662115</v>
      </c>
      <c r="H10" s="5">
        <v>931626769866889</v>
      </c>
      <c r="I10" s="5">
        <v>853712314986175</v>
      </c>
      <c r="J10" s="5">
        <v>637651865640021</v>
      </c>
      <c r="K10" s="5">
        <v>585205492587427</v>
      </c>
      <c r="L10" s="5">
        <v>556452123344382</v>
      </c>
      <c r="M10" s="5">
        <v>495074803175067</v>
      </c>
      <c r="N10" s="5">
        <v>468475538452979</v>
      </c>
      <c r="O10" s="5">
        <v>433147706995985</v>
      </c>
      <c r="P10" s="5">
        <v>388460028297597</v>
      </c>
    </row>
    <row r="11" spans="1:16" x14ac:dyDescent="0.45">
      <c r="A11" s="1" t="s">
        <v>5</v>
      </c>
      <c r="B11" s="2">
        <v>4047847</v>
      </c>
      <c r="C11" s="3" t="s">
        <v>481</v>
      </c>
      <c r="D11" s="3" t="s">
        <v>482</v>
      </c>
      <c r="E11" s="3" t="s">
        <v>483</v>
      </c>
      <c r="F11" s="5">
        <v>779151506307672</v>
      </c>
      <c r="G11" s="5">
        <v>720375254827598</v>
      </c>
      <c r="H11" s="5">
        <v>616573786259546</v>
      </c>
      <c r="I11" s="5">
        <v>576920186844113</v>
      </c>
      <c r="J11" s="5">
        <v>487900948863626</v>
      </c>
      <c r="K11" s="5">
        <v>374588444115377</v>
      </c>
      <c r="L11" s="5">
        <v>291377896615385</v>
      </c>
      <c r="M11" s="5">
        <v>239936583908034</v>
      </c>
      <c r="N11" s="5">
        <v>194100359909353</v>
      </c>
      <c r="O11" s="5">
        <v>134710001109997</v>
      </c>
      <c r="P11" s="5">
        <v>805427707159583</v>
      </c>
    </row>
    <row r="12" spans="1:16" x14ac:dyDescent="0.45">
      <c r="A12" s="1" t="s">
        <v>6</v>
      </c>
      <c r="B12" s="2">
        <v>4066743</v>
      </c>
      <c r="C12" s="3" t="s">
        <v>484</v>
      </c>
      <c r="D12" s="3" t="s">
        <v>485</v>
      </c>
      <c r="E12" s="3" t="s">
        <v>486</v>
      </c>
      <c r="F12" s="5">
        <v>331690400000001</v>
      </c>
      <c r="G12" s="5">
        <v>19280384523077</v>
      </c>
      <c r="H12" s="5">
        <v>37087024807692</v>
      </c>
      <c r="I12" s="5">
        <v>120246167384618</v>
      </c>
      <c r="J12" s="5">
        <v>308346914999999</v>
      </c>
      <c r="K12" s="5">
        <v>120207751162788</v>
      </c>
      <c r="L12" s="5">
        <v>563703484555981</v>
      </c>
      <c r="M12" s="5">
        <v>382210357692287</v>
      </c>
      <c r="N12" s="5">
        <v>112633760000002</v>
      </c>
      <c r="O12" s="5">
        <v>-346285194444437</v>
      </c>
      <c r="P12" s="5">
        <v>-317224112062245</v>
      </c>
    </row>
    <row r="13" spans="1:16" x14ac:dyDescent="0.45">
      <c r="A13" s="1" t="s">
        <v>7</v>
      </c>
      <c r="B13" s="2">
        <v>103316</v>
      </c>
      <c r="C13" s="3" t="s">
        <v>487</v>
      </c>
      <c r="D13" s="3" t="s">
        <v>488</v>
      </c>
      <c r="E13" s="3" t="s">
        <v>489</v>
      </c>
      <c r="F13" s="5">
        <v>421221422222222</v>
      </c>
      <c r="G13" s="5">
        <v>611520594732824</v>
      </c>
      <c r="H13" s="5">
        <v>504697990961535</v>
      </c>
      <c r="I13" s="5">
        <v>484694796538473</v>
      </c>
      <c r="J13" s="5">
        <v>460707395555557</v>
      </c>
      <c r="K13" s="5">
        <v>386025148167926</v>
      </c>
      <c r="L13" s="5">
        <v>417454845708811</v>
      </c>
      <c r="M13" s="5">
        <v>356404199999981</v>
      </c>
      <c r="N13" s="5">
        <v>377633504000005</v>
      </c>
      <c r="O13" s="5">
        <v>391944208333325</v>
      </c>
      <c r="P13" s="5">
        <v>378331650402283</v>
      </c>
    </row>
    <row r="14" spans="1:16" x14ac:dyDescent="0.45">
      <c r="A14" s="1" t="s">
        <v>8</v>
      </c>
      <c r="B14" s="2">
        <v>4075849</v>
      </c>
      <c r="C14" s="3" t="s">
        <v>490</v>
      </c>
      <c r="D14" s="3" t="s">
        <v>491</v>
      </c>
      <c r="E14" s="3" t="s">
        <v>492</v>
      </c>
      <c r="F14" s="5">
        <v>150291081839073</v>
      </c>
      <c r="G14" s="5">
        <v>147654180343517</v>
      </c>
      <c r="H14" s="5">
        <v>134748363218394</v>
      </c>
      <c r="I14" s="5">
        <v>15718649505747</v>
      </c>
      <c r="J14" s="5">
        <v>117616967999999</v>
      </c>
      <c r="K14" s="5">
        <v>928742348658977</v>
      </c>
      <c r="L14" s="5">
        <v>927789660536397</v>
      </c>
      <c r="M14" s="5">
        <v>818021368199208</v>
      </c>
      <c r="N14" s="5">
        <v>769315144061293</v>
      </c>
      <c r="O14" s="5">
        <v>62954933295018</v>
      </c>
      <c r="P14" s="5">
        <v>462955701923055</v>
      </c>
    </row>
    <row r="15" spans="1:16" x14ac:dyDescent="0.45">
      <c r="A15" s="1" t="s">
        <v>9</v>
      </c>
      <c r="B15" s="2">
        <v>4014726</v>
      </c>
      <c r="C15" s="3" t="s">
        <v>493</v>
      </c>
      <c r="D15" s="3" t="s">
        <v>494</v>
      </c>
      <c r="E15" s="3" t="s">
        <v>495</v>
      </c>
      <c r="F15" s="5">
        <v>-736358816858217</v>
      </c>
      <c r="G15" s="5">
        <v>262671024965521</v>
      </c>
      <c r="H15" s="5">
        <v>22833967329616</v>
      </c>
      <c r="I15" s="5">
        <v>220911168842912</v>
      </c>
      <c r="J15" s="5">
        <v>196771796842911</v>
      </c>
      <c r="K15" s="5">
        <v>200904865977094</v>
      </c>
      <c r="L15" s="5">
        <v>193598140666665</v>
      </c>
      <c r="M15" s="5">
        <v>161842604415377</v>
      </c>
      <c r="N15" s="5">
        <v>167263936153845</v>
      </c>
      <c r="O15" s="5">
        <v>144720397774807</v>
      </c>
      <c r="P15" s="5">
        <v>122586431534477</v>
      </c>
    </row>
    <row r="16" spans="1:16" x14ac:dyDescent="0.45">
      <c r="A16" s="1" t="s">
        <v>10</v>
      </c>
      <c r="B16" s="2">
        <v>4186103</v>
      </c>
      <c r="C16" s="3" t="s">
        <v>496</v>
      </c>
      <c r="D16" s="3" t="s">
        <v>497</v>
      </c>
      <c r="E16" s="3" t="s">
        <v>498</v>
      </c>
      <c r="F16" s="5">
        <v>556762021333334</v>
      </c>
      <c r="G16" s="5">
        <v>588363435954961</v>
      </c>
      <c r="H16" s="5">
        <v>654182747386534</v>
      </c>
      <c r="I16" s="5">
        <v>683856316527708</v>
      </c>
      <c r="J16" s="5">
        <v>682857016355558</v>
      </c>
      <c r="K16" s="5">
        <v>633002301247307</v>
      </c>
      <c r="L16" s="5">
        <v>521276303570113</v>
      </c>
      <c r="M16" s="5">
        <v>352243467020671</v>
      </c>
      <c r="N16" s="5">
        <v>348141196480005</v>
      </c>
      <c r="O16" s="5">
        <v>432032822527769</v>
      </c>
      <c r="P16" s="5">
        <v>422477554417415</v>
      </c>
    </row>
    <row r="17" spans="1:16" x14ac:dyDescent="0.45">
      <c r="A17" s="1" t="s">
        <v>11</v>
      </c>
      <c r="B17" s="2">
        <v>4121019</v>
      </c>
      <c r="C17" s="3" t="s">
        <v>499</v>
      </c>
      <c r="D17" s="3" t="s">
        <v>500</v>
      </c>
      <c r="E17" s="3" t="s">
        <v>501</v>
      </c>
      <c r="F17" s="5">
        <v>700992915555556</v>
      </c>
      <c r="G17" s="5">
        <v>-552670752194656</v>
      </c>
      <c r="H17" s="5">
        <v>209702616405768</v>
      </c>
      <c r="I17" s="5">
        <v>244170402466698</v>
      </c>
      <c r="J17" s="5">
        <v>525450066133335</v>
      </c>
      <c r="K17" s="5">
        <v>447749701000748</v>
      </c>
      <c r="L17" s="5">
        <v>651924572937162</v>
      </c>
      <c r="M17" s="5">
        <v>635408934744794</v>
      </c>
      <c r="N17" s="5">
        <v>573473458720008</v>
      </c>
      <c r="O17" s="5">
        <v>485185339527768</v>
      </c>
      <c r="P17" s="5">
        <v>474610159463199</v>
      </c>
    </row>
    <row r="18" spans="1:16" x14ac:dyDescent="0.45">
      <c r="A18" s="1" t="s">
        <v>12</v>
      </c>
      <c r="B18" s="2">
        <v>111908</v>
      </c>
      <c r="C18" s="3" t="s">
        <v>502</v>
      </c>
      <c r="D18" s="3" t="s">
        <v>503</v>
      </c>
      <c r="E18" s="3" t="s">
        <v>504</v>
      </c>
      <c r="F18" s="5">
        <v>555479657777778</v>
      </c>
      <c r="G18" s="5">
        <v>779840390243129</v>
      </c>
      <c r="H18" s="5">
        <v>67947128901538</v>
      </c>
      <c r="I18" s="5">
        <v>596502803284629</v>
      </c>
      <c r="J18" s="5">
        <v>448633917866668</v>
      </c>
      <c r="K18" s="5">
        <v>466735191416778</v>
      </c>
      <c r="L18" s="5">
        <v>395304636208811</v>
      </c>
      <c r="M18" s="5">
        <v>327006150827569</v>
      </c>
      <c r="N18" s="5">
        <v>276720750080004</v>
      </c>
      <c r="O18" s="5">
        <v>240356282222217</v>
      </c>
      <c r="P18" s="5">
        <v>237061692679875</v>
      </c>
    </row>
    <row r="19" spans="1:16" x14ac:dyDescent="0.45">
      <c r="A19" s="1" t="s">
        <v>13</v>
      </c>
      <c r="B19" s="2">
        <v>4811737</v>
      </c>
      <c r="C19" s="3" t="s">
        <v>505</v>
      </c>
      <c r="D19" s="3" t="s">
        <v>506</v>
      </c>
      <c r="E19" s="3" t="s">
        <v>507</v>
      </c>
      <c r="F19" s="5">
        <v>612300681777778</v>
      </c>
      <c r="G19" s="5">
        <v>623003941854961</v>
      </c>
      <c r="H19" s="5">
        <v>607315291473072</v>
      </c>
      <c r="I19" s="5">
        <v>622205421563091</v>
      </c>
      <c r="J19" s="5">
        <v>825991004444447</v>
      </c>
      <c r="K19" s="5">
        <v>339599506115256</v>
      </c>
      <c r="L19" s="5">
        <v>459605010453255</v>
      </c>
      <c r="M19" s="5">
        <v>395446775668945</v>
      </c>
      <c r="N19" s="5">
        <v>313610523680004</v>
      </c>
      <c r="O19" s="5">
        <v>225059156361106</v>
      </c>
      <c r="P19" s="5">
        <v>170041011536775</v>
      </c>
    </row>
    <row r="20" spans="1:16" x14ac:dyDescent="0.45">
      <c r="A20" s="1" t="s">
        <v>14</v>
      </c>
      <c r="B20" s="2">
        <v>4987299</v>
      </c>
      <c r="C20" s="3" t="s">
        <v>508</v>
      </c>
      <c r="D20" s="3" t="s">
        <v>509</v>
      </c>
      <c r="E20" s="3" t="s">
        <v>471</v>
      </c>
      <c r="F20" s="5">
        <v>773760622222223</v>
      </c>
      <c r="G20" s="5">
        <v>732548786221373</v>
      </c>
      <c r="H20" s="5">
        <v>680607021346149</v>
      </c>
      <c r="I20" s="5">
        <v>595808343615398</v>
      </c>
      <c r="J20" s="5">
        <v>458254124444446</v>
      </c>
      <c r="K20" s="5">
        <v>480316680610671</v>
      </c>
      <c r="L20" s="5">
        <v>5075028843295</v>
      </c>
      <c r="M20" s="5">
        <v>460655606896528</v>
      </c>
      <c r="N20" s="5">
        <v>437143152000006</v>
      </c>
      <c r="O20" s="5">
        <v>384711097222214</v>
      </c>
      <c r="P20" s="5">
        <v>356787389157073</v>
      </c>
    </row>
    <row r="21" spans="1:16" x14ac:dyDescent="0.45">
      <c r="A21" s="1" t="s">
        <v>15</v>
      </c>
      <c r="B21" s="2">
        <v>4057038</v>
      </c>
      <c r="C21" s="3" t="s">
        <v>510</v>
      </c>
      <c r="D21" s="3" t="s">
        <v>511</v>
      </c>
      <c r="E21" s="3" t="s">
        <v>512</v>
      </c>
      <c r="F21" s="5">
        <v>891539555555556</v>
      </c>
      <c r="G21" s="5">
        <v>859864156488548</v>
      </c>
      <c r="H21" s="5">
        <v>848099794230763</v>
      </c>
      <c r="I21" s="5">
        <v>857134468461558</v>
      </c>
      <c r="J21" s="5">
        <v>664921066666669</v>
      </c>
      <c r="K21" s="5">
        <v>628025462595399</v>
      </c>
      <c r="L21" s="5">
        <v>666426952490419</v>
      </c>
      <c r="M21" s="5">
        <v>573806524137901</v>
      </c>
      <c r="N21" s="5">
        <v>568933520000008</v>
      </c>
      <c r="O21" s="5">
        <v>553332999999988</v>
      </c>
      <c r="P21" s="5">
        <v>527338612068944</v>
      </c>
    </row>
    <row r="22" spans="1:16" x14ac:dyDescent="0.45">
      <c r="A22" s="1" t="s">
        <v>16</v>
      </c>
      <c r="B22" s="2">
        <v>4633618</v>
      </c>
      <c r="C22" s="3" t="s">
        <v>513</v>
      </c>
      <c r="D22" s="3" t="s">
        <v>514</v>
      </c>
      <c r="E22" s="3" t="s">
        <v>515</v>
      </c>
      <c r="F22" s="5">
        <v>114357229333333</v>
      </c>
      <c r="G22" s="5">
        <v>103914121019084</v>
      </c>
      <c r="H22" s="5">
        <v>77959515763461</v>
      </c>
      <c r="I22" s="5">
        <v>71198288444617</v>
      </c>
      <c r="J22" s="5">
        <v>665885456000002</v>
      </c>
      <c r="K22" s="5">
        <v>361588291480904</v>
      </c>
      <c r="L22" s="5">
        <v>320956937655171</v>
      </c>
      <c r="M22" s="5">
        <v>276266228275848</v>
      </c>
      <c r="N22" s="5">
        <v>256432483200004</v>
      </c>
      <c r="O22" s="5">
        <v>214425578888884</v>
      </c>
      <c r="P22" s="5">
        <v>174517530421449</v>
      </c>
    </row>
    <row r="23" spans="1:16" x14ac:dyDescent="0.45">
      <c r="A23" s="1" t="s">
        <v>17</v>
      </c>
      <c r="B23" s="2">
        <v>4087349</v>
      </c>
      <c r="C23" s="3" t="s">
        <v>516</v>
      </c>
      <c r="D23" s="3" t="s">
        <v>517</v>
      </c>
      <c r="E23" s="3" t="s">
        <v>518</v>
      </c>
      <c r="F23" s="5">
        <v>135981937777778</v>
      </c>
      <c r="G23" s="5">
        <v>143643543389313</v>
      </c>
      <c r="H23" s="5">
        <v>145897211057691</v>
      </c>
      <c r="I23" s="5">
        <v>152933337569234</v>
      </c>
      <c r="J23" s="5">
        <v>100829442666667</v>
      </c>
      <c r="K23" s="5">
        <v>100817383618317</v>
      </c>
      <c r="L23" s="5">
        <v>964979080536395</v>
      </c>
      <c r="M23" s="5">
        <v>833502711724094</v>
      </c>
      <c r="N23" s="5">
        <v>883421168000012</v>
      </c>
      <c r="O23" s="5">
        <v>84075875277776</v>
      </c>
      <c r="P23" s="5">
        <v>777306128524872</v>
      </c>
    </row>
    <row r="24" spans="1:16" x14ac:dyDescent="0.45">
      <c r="A24" s="1" t="s">
        <v>18</v>
      </c>
      <c r="B24" s="2">
        <v>3001792</v>
      </c>
      <c r="C24" s="3" t="s">
        <v>519</v>
      </c>
      <c r="D24" s="3" t="s">
        <v>520</v>
      </c>
      <c r="E24" s="3" t="s">
        <v>521</v>
      </c>
      <c r="F24" s="5">
        <v>708756222222223</v>
      </c>
      <c r="G24" s="5">
        <v>634200667591602</v>
      </c>
      <c r="H24" s="5">
        <v>340830682846151</v>
      </c>
      <c r="I24" s="5">
        <v>126981474861541</v>
      </c>
      <c r="J24" s="5">
        <v>210465282666667</v>
      </c>
      <c r="K24" s="5">
        <v>200854121061062</v>
      </c>
      <c r="L24" s="5">
        <v>129899655712643</v>
      </c>
      <c r="M24" s="5">
        <v>105276969517236</v>
      </c>
      <c r="N24" s="5">
        <v>364152928000005</v>
      </c>
      <c r="O24" s="5">
        <v>378472538888881</v>
      </c>
      <c r="P24" s="5">
        <v>201290106111103</v>
      </c>
    </row>
    <row r="25" spans="1:16" x14ac:dyDescent="0.45">
      <c r="A25" s="1" t="s">
        <v>19</v>
      </c>
      <c r="B25" s="2">
        <v>4160328</v>
      </c>
      <c r="C25" s="3" t="s">
        <v>522</v>
      </c>
      <c r="D25" s="3" t="s">
        <v>523</v>
      </c>
      <c r="E25" s="3" t="s">
        <v>524</v>
      </c>
      <c r="F25" s="5">
        <v>120985743678157</v>
      </c>
      <c r="G25" s="5" t="s">
        <v>525</v>
      </c>
      <c r="H25" s="5">
        <v>132702531954025</v>
      </c>
      <c r="I25" s="5">
        <v>133865077816097</v>
      </c>
      <c r="J25" s="5">
        <v>120415697471259</v>
      </c>
      <c r="K25" s="5">
        <v>997625189694641</v>
      </c>
      <c r="L25" s="5">
        <v>962561277692288</v>
      </c>
      <c r="M25" s="5">
        <v>874479271192269</v>
      </c>
      <c r="N25" s="5">
        <v>891409458563214</v>
      </c>
      <c r="O25" s="5">
        <v>947168259083952</v>
      </c>
      <c r="P25" s="5">
        <v>849943645095761</v>
      </c>
    </row>
    <row r="26" spans="1:16" x14ac:dyDescent="0.45">
      <c r="A26" s="1" t="s">
        <v>20</v>
      </c>
      <c r="B26" s="2">
        <v>4007308</v>
      </c>
      <c r="C26" s="3" t="s">
        <v>526</v>
      </c>
      <c r="D26" s="3" t="s">
        <v>527</v>
      </c>
      <c r="E26" s="3" t="s">
        <v>528</v>
      </c>
      <c r="F26" s="5">
        <v>201438311111111</v>
      </c>
      <c r="G26" s="5">
        <v>173729543015267</v>
      </c>
      <c r="H26" s="5">
        <v>171377199423076</v>
      </c>
      <c r="I26" s="5">
        <v>16162835315385</v>
      </c>
      <c r="J26" s="5">
        <v>124270871111111</v>
      </c>
      <c r="K26" s="5">
        <v>124201683664118</v>
      </c>
      <c r="L26" s="5">
        <v>12122538532567</v>
      </c>
      <c r="M26" s="5">
        <v>12094858344827</v>
      </c>
      <c r="N26" s="5">
        <v>128952352000002</v>
      </c>
      <c r="O26" s="5">
        <v>124590338888886</v>
      </c>
      <c r="P26" s="5">
        <v>119710372107275</v>
      </c>
    </row>
    <row r="27" spans="1:16" x14ac:dyDescent="0.45">
      <c r="A27" s="1" t="s">
        <v>21</v>
      </c>
      <c r="B27" s="2">
        <v>4006321</v>
      </c>
      <c r="C27" s="3" t="s">
        <v>529</v>
      </c>
      <c r="D27" s="3" t="s">
        <v>530</v>
      </c>
      <c r="E27" s="3" t="s">
        <v>512</v>
      </c>
      <c r="F27" s="5">
        <v>489460533333333</v>
      </c>
      <c r="G27" s="5">
        <v>422812772862595</v>
      </c>
      <c r="H27" s="5">
        <v>365875985384613</v>
      </c>
      <c r="I27" s="5">
        <v>377386507923085</v>
      </c>
      <c r="J27" s="5">
        <v>299595160000001</v>
      </c>
      <c r="K27" s="5">
        <v>272498143106861</v>
      </c>
      <c r="L27" s="5">
        <v>25627064324521</v>
      </c>
      <c r="M27" s="5">
        <v>243914389241367</v>
      </c>
      <c r="N27" s="5">
        <v>304306265600004</v>
      </c>
      <c r="O27" s="5">
        <v>314179222499993</v>
      </c>
      <c r="P27" s="5">
        <v>300492865526807</v>
      </c>
    </row>
    <row r="28" spans="1:16" x14ac:dyDescent="0.45">
      <c r="A28" s="1" t="s">
        <v>22</v>
      </c>
      <c r="B28" s="2">
        <v>103330</v>
      </c>
      <c r="C28" s="3" t="s">
        <v>531</v>
      </c>
      <c r="D28" s="3" t="s">
        <v>532</v>
      </c>
      <c r="E28" s="3" t="s">
        <v>533</v>
      </c>
      <c r="F28" s="5">
        <v>395698222222222</v>
      </c>
      <c r="G28" s="5">
        <v>390914586412213</v>
      </c>
      <c r="H28" s="5">
        <v>333135818846151</v>
      </c>
      <c r="I28" s="5">
        <v>475467044769242</v>
      </c>
      <c r="J28" s="5">
        <v>105033841777778</v>
      </c>
      <c r="K28" s="5">
        <v>2400706272519</v>
      </c>
      <c r="L28" s="5">
        <v>589600252873561</v>
      </c>
      <c r="M28" s="5">
        <v>180617681379301</v>
      </c>
      <c r="N28" s="5">
        <v>257372576000004</v>
      </c>
      <c r="O28" s="5">
        <v>226938861111106</v>
      </c>
      <c r="P28" s="5">
        <v>518234133467411</v>
      </c>
    </row>
    <row r="29" spans="1:16" x14ac:dyDescent="0.45">
      <c r="A29" s="1" t="s">
        <v>23</v>
      </c>
      <c r="B29" s="2">
        <v>4290489</v>
      </c>
      <c r="C29" s="3" t="s">
        <v>534</v>
      </c>
      <c r="D29" s="3" t="s">
        <v>535</v>
      </c>
      <c r="E29" s="3" t="s">
        <v>536</v>
      </c>
      <c r="F29" s="5">
        <v>431244595555556</v>
      </c>
      <c r="G29" s="5">
        <v>423459982442748</v>
      </c>
      <c r="H29" s="5">
        <v>322379656788459</v>
      </c>
      <c r="I29" s="5">
        <v>276899145100006</v>
      </c>
      <c r="J29" s="5">
        <v>300804876444445</v>
      </c>
      <c r="K29" s="5">
        <v>27771706978625</v>
      </c>
      <c r="L29" s="5">
        <v>255886509747125</v>
      </c>
      <c r="M29" s="5">
        <v>232429783034471</v>
      </c>
      <c r="N29" s="5">
        <v>199388361600003</v>
      </c>
      <c r="O29" s="5">
        <v>174715798888885</v>
      </c>
      <c r="P29" s="5">
        <v>151395760507657</v>
      </c>
    </row>
    <row r="30" spans="1:16" x14ac:dyDescent="0.45">
      <c r="A30" s="1" t="s">
        <v>24</v>
      </c>
      <c r="B30" s="2">
        <v>4004387</v>
      </c>
      <c r="C30" s="3" t="s">
        <v>537</v>
      </c>
      <c r="D30" s="3" t="s">
        <v>538</v>
      </c>
      <c r="E30" s="3" t="s">
        <v>539</v>
      </c>
      <c r="F30" s="5">
        <v>167939111111111</v>
      </c>
      <c r="G30" s="5">
        <v>161432560992366</v>
      </c>
      <c r="H30" s="5">
        <v>142059027692307</v>
      </c>
      <c r="I30" s="5">
        <v>128427473076926</v>
      </c>
      <c r="J30" s="5">
        <v>107774737777778</v>
      </c>
      <c r="K30" s="5">
        <v>11376383030534</v>
      </c>
      <c r="L30" s="5">
        <v>109880047126436</v>
      </c>
      <c r="M30" s="5">
        <v>982336427586156</v>
      </c>
      <c r="N30" s="5">
        <v>108908864000002</v>
      </c>
      <c r="O30" s="5">
        <v>103704730555553</v>
      </c>
      <c r="P30" s="5">
        <v>966336738697278</v>
      </c>
    </row>
    <row r="31" spans="1:16" x14ac:dyDescent="0.45">
      <c r="A31" s="1" t="s">
        <v>25</v>
      </c>
      <c r="B31" s="2">
        <v>113901</v>
      </c>
      <c r="C31" s="3" t="s">
        <v>540</v>
      </c>
      <c r="D31" s="3" t="s">
        <v>541</v>
      </c>
      <c r="E31" s="3" t="s">
        <v>542</v>
      </c>
      <c r="F31" s="5">
        <v>5982000</v>
      </c>
      <c r="G31" s="5">
        <v>597097066946564</v>
      </c>
      <c r="H31" s="5">
        <v>519125860961535</v>
      </c>
      <c r="I31" s="5">
        <v>497727806769242</v>
      </c>
      <c r="J31" s="5">
        <v>410711422222223</v>
      </c>
      <c r="K31" s="5">
        <v>236825244274801</v>
      </c>
      <c r="L31" s="5">
        <v>272645450268198</v>
      </c>
      <c r="M31" s="5">
        <v>297582674482743</v>
      </c>
      <c r="N31" s="5">
        <v>277150000000004</v>
      </c>
      <c r="O31" s="5">
        <v>227571758333329</v>
      </c>
      <c r="P31" s="5">
        <v>290712311781597</v>
      </c>
    </row>
    <row r="32" spans="1:16" x14ac:dyDescent="0.45">
      <c r="A32" s="1" t="s">
        <v>26</v>
      </c>
      <c r="B32" s="2">
        <v>4107063</v>
      </c>
      <c r="C32" s="3" t="s">
        <v>543</v>
      </c>
      <c r="D32" s="3" t="s">
        <v>544</v>
      </c>
      <c r="E32" s="3" t="s">
        <v>545</v>
      </c>
      <c r="F32" s="5">
        <v>171538679911111</v>
      </c>
      <c r="G32" s="5">
        <v>167235442088015</v>
      </c>
      <c r="H32" s="5">
        <v>157916644117499</v>
      </c>
      <c r="I32" s="5">
        <v>14276302327908</v>
      </c>
      <c r="J32" s="5">
        <v>110707665688889</v>
      </c>
      <c r="K32" s="5">
        <v>901588442170962</v>
      </c>
      <c r="L32" s="5">
        <v>105179325110344</v>
      </c>
      <c r="M32" s="5">
        <v>900231240289608</v>
      </c>
      <c r="N32" s="5">
        <v>784841795360011</v>
      </c>
      <c r="O32" s="5">
        <v>760739748694428</v>
      </c>
      <c r="P32" s="5">
        <v>851238100503413</v>
      </c>
    </row>
    <row r="33" spans="1:16" x14ac:dyDescent="0.45">
      <c r="A33" s="1" t="s">
        <v>27</v>
      </c>
      <c r="B33" s="2">
        <v>4092820</v>
      </c>
      <c r="C33" s="3" t="s">
        <v>546</v>
      </c>
      <c r="D33" s="3" t="s">
        <v>547</v>
      </c>
      <c r="E33" s="3" t="s">
        <v>477</v>
      </c>
      <c r="F33" s="5">
        <v>10257136</v>
      </c>
      <c r="G33" s="5">
        <v>894628556793892</v>
      </c>
      <c r="H33" s="5">
        <v>908493378269224</v>
      </c>
      <c r="I33" s="5">
        <v>960637498615406</v>
      </c>
      <c r="J33" s="5">
        <v>774133928888891</v>
      </c>
      <c r="K33" s="5">
        <v>81818736244272</v>
      </c>
      <c r="L33" s="5">
        <v>87010703984674</v>
      </c>
      <c r="M33" s="5">
        <v>894273653793057</v>
      </c>
      <c r="N33" s="5">
        <v>917033920000013</v>
      </c>
      <c r="O33" s="5">
        <v>888949355555537</v>
      </c>
      <c r="P33" s="5">
        <v>777846988639814</v>
      </c>
    </row>
    <row r="34" spans="1:16" x14ac:dyDescent="0.45">
      <c r="A34" s="1" t="s">
        <v>28</v>
      </c>
      <c r="B34" s="2">
        <v>4122605</v>
      </c>
      <c r="C34" s="3" t="s">
        <v>548</v>
      </c>
      <c r="D34" s="3" t="s">
        <v>549</v>
      </c>
      <c r="E34" s="3" t="s">
        <v>550</v>
      </c>
      <c r="F34" s="5">
        <v>536022648888889</v>
      </c>
      <c r="G34" s="5">
        <v>30535347991603</v>
      </c>
      <c r="H34" s="5">
        <v>239891084653844</v>
      </c>
      <c r="I34" s="5">
        <v>247884049330775</v>
      </c>
      <c r="J34" s="5">
        <v>183445462222223</v>
      </c>
      <c r="K34" s="5">
        <v>144121318099232</v>
      </c>
      <c r="L34" s="5">
        <v>146479929490421</v>
      </c>
      <c r="M34" s="5">
        <v>143070223448268</v>
      </c>
      <c r="N34" s="5">
        <v>125644289600002</v>
      </c>
      <c r="O34" s="5">
        <v>110901676111109</v>
      </c>
      <c r="P34" s="5">
        <v>10009517860536</v>
      </c>
    </row>
    <row r="35" spans="1:16" x14ac:dyDescent="0.45">
      <c r="A35" s="1" t="s">
        <v>29</v>
      </c>
      <c r="B35" s="2">
        <v>4113211</v>
      </c>
      <c r="C35" s="3" t="s">
        <v>551</v>
      </c>
      <c r="D35" s="3" t="s">
        <v>552</v>
      </c>
      <c r="E35" s="3" t="s">
        <v>486</v>
      </c>
      <c r="F35" s="5">
        <v>269904582264432</v>
      </c>
      <c r="G35" s="5">
        <v>189825654902061</v>
      </c>
      <c r="H35" s="5">
        <v>370746940762945</v>
      </c>
      <c r="I35" s="5">
        <v>358011499176151</v>
      </c>
      <c r="J35" s="5">
        <v>176296525708152</v>
      </c>
      <c r="K35" s="5">
        <v>137718714701912</v>
      </c>
      <c r="L35" s="5">
        <v>160696280437252</v>
      </c>
      <c r="M35" s="5">
        <v>16516110515969</v>
      </c>
      <c r="N35" s="5">
        <v>145895996016484</v>
      </c>
      <c r="O35" s="5">
        <v>939588399620755</v>
      </c>
      <c r="P35" s="5">
        <v>732652530174195</v>
      </c>
    </row>
    <row r="36" spans="1:16" x14ac:dyDescent="0.45">
      <c r="A36" s="1" t="s">
        <v>30</v>
      </c>
      <c r="B36" s="2">
        <v>103317</v>
      </c>
      <c r="C36" s="3" t="s">
        <v>553</v>
      </c>
      <c r="D36" s="3" t="s">
        <v>554</v>
      </c>
      <c r="E36" s="3" t="s">
        <v>555</v>
      </c>
      <c r="F36" s="5">
        <v>4163472</v>
      </c>
      <c r="G36" s="5">
        <v>405707948244274</v>
      </c>
      <c r="H36" s="5">
        <v>353482814999997</v>
      </c>
      <c r="I36" s="5">
        <v>337526425538469</v>
      </c>
      <c r="J36" s="5">
        <v>178581217777778</v>
      </c>
      <c r="K36" s="5">
        <v>245070271297702</v>
      </c>
      <c r="L36" s="5">
        <v>194568083448275</v>
      </c>
      <c r="M36" s="5">
        <v>152224005517233</v>
      </c>
      <c r="N36" s="5">
        <v>164604928000002</v>
      </c>
      <c r="O36" s="5">
        <v>148097949999997</v>
      </c>
      <c r="P36" s="5">
        <v>158922730440606</v>
      </c>
    </row>
    <row r="37" spans="1:16" x14ac:dyDescent="0.45">
      <c r="A37" s="1" t="s">
        <v>31</v>
      </c>
      <c r="B37" s="2">
        <v>4010203</v>
      </c>
      <c r="C37" s="3" t="s">
        <v>556</v>
      </c>
      <c r="D37" s="3" t="s">
        <v>557</v>
      </c>
      <c r="E37" s="3" t="s">
        <v>558</v>
      </c>
      <c r="F37" s="5">
        <v>2360896</v>
      </c>
      <c r="G37" s="5">
        <v>190094699541984</v>
      </c>
      <c r="H37" s="5">
        <v>316765735576921</v>
      </c>
      <c r="I37" s="5">
        <v>497727806769242</v>
      </c>
      <c r="J37" s="5">
        <v>243973582222223</v>
      </c>
      <c r="K37" s="5">
        <v>-382253486870216</v>
      </c>
      <c r="L37" s="5">
        <v>-111130714329502</v>
      </c>
      <c r="M37" s="5">
        <v>139764691034475</v>
      </c>
      <c r="N37" s="5">
        <v>634119200000009</v>
      </c>
      <c r="O37" s="5">
        <v>-982798972222202</v>
      </c>
      <c r="P37" s="5">
        <v>-8805202671264</v>
      </c>
    </row>
    <row r="38" spans="1:16" x14ac:dyDescent="0.45">
      <c r="A38" s="1" t="s">
        <v>32</v>
      </c>
      <c r="B38" s="2">
        <v>4004205</v>
      </c>
      <c r="C38" s="3" t="s">
        <v>559</v>
      </c>
      <c r="D38" s="3" t="s">
        <v>560</v>
      </c>
      <c r="E38" s="3" t="s">
        <v>561</v>
      </c>
      <c r="F38" s="5">
        <v>120622051216213</v>
      </c>
      <c r="G38" s="5">
        <v>113670314307694</v>
      </c>
      <c r="H38" s="5">
        <v>107145010047311</v>
      </c>
      <c r="I38" s="5">
        <v>110222015554296</v>
      </c>
      <c r="J38" s="5">
        <v>911268088747071</v>
      </c>
      <c r="K38" s="5">
        <v>592538962285697</v>
      </c>
      <c r="L38" s="5">
        <v>566702813192302</v>
      </c>
      <c r="M38" s="5">
        <v>59600649116151</v>
      </c>
      <c r="N38" s="5">
        <v>556192481538457</v>
      </c>
      <c r="O38" s="5">
        <v>540636985447464</v>
      </c>
      <c r="P38" s="5">
        <v>621631664302301</v>
      </c>
    </row>
    <row r="39" spans="1:16" x14ac:dyDescent="0.45">
      <c r="A39" s="1" t="s">
        <v>33</v>
      </c>
      <c r="B39" s="2">
        <v>4073928</v>
      </c>
      <c r="C39" s="3" t="s">
        <v>562</v>
      </c>
      <c r="D39" s="3" t="s">
        <v>563</v>
      </c>
      <c r="E39" s="3" t="s">
        <v>564</v>
      </c>
      <c r="F39" s="5">
        <v>767523642304659</v>
      </c>
      <c r="G39" s="5">
        <v>723700271201576</v>
      </c>
      <c r="H39" s="5">
        <v>713178442471063</v>
      </c>
      <c r="I39" s="5">
        <v>729378763076918</v>
      </c>
      <c r="J39" s="5">
        <v>603163938461533</v>
      </c>
      <c r="K39" s="5">
        <v>397417953593742</v>
      </c>
      <c r="L39" s="5">
        <v>299901218988326</v>
      </c>
      <c r="M39" s="5">
        <v>378566685271304</v>
      </c>
      <c r="N39" s="5">
        <v>355113974362929</v>
      </c>
      <c r="O39" s="5">
        <v>193906970192305</v>
      </c>
      <c r="P39" s="5">
        <v>15009116684313</v>
      </c>
    </row>
    <row r="40" spans="1:16" x14ac:dyDescent="0.45">
      <c r="A40" s="1" t="s">
        <v>34</v>
      </c>
      <c r="B40" s="2">
        <v>4306801</v>
      </c>
      <c r="C40" s="3" t="s">
        <v>565</v>
      </c>
      <c r="D40" s="3" t="s">
        <v>566</v>
      </c>
      <c r="E40" s="3" t="s">
        <v>567</v>
      </c>
      <c r="F40" s="5">
        <v>196298222222222</v>
      </c>
      <c r="G40" s="5">
        <v>195179917671755</v>
      </c>
      <c r="H40" s="5">
        <v>17026736326923</v>
      </c>
      <c r="I40" s="5">
        <v>130330102307695</v>
      </c>
      <c r="J40" s="5">
        <v>102276026666667</v>
      </c>
      <c r="K40" s="5">
        <v>710475732824403</v>
      </c>
      <c r="L40" s="5">
        <v>125781387279693</v>
      </c>
      <c r="M40" s="5">
        <v>135442071724131</v>
      </c>
      <c r="N40" s="5">
        <v>134983136000002</v>
      </c>
      <c r="O40" s="5">
        <v>15270905833333</v>
      </c>
      <c r="P40" s="5">
        <v>115473634540225</v>
      </c>
    </row>
    <row r="41" spans="1:16" x14ac:dyDescent="0.45">
      <c r="A41" s="1" t="s">
        <v>35</v>
      </c>
      <c r="B41" s="2">
        <v>103577</v>
      </c>
      <c r="C41" s="3" t="s">
        <v>568</v>
      </c>
      <c r="D41" s="3" t="s">
        <v>569</v>
      </c>
      <c r="E41" s="3" t="s">
        <v>533</v>
      </c>
      <c r="F41" s="5">
        <v>472356444444445</v>
      </c>
      <c r="G41" s="5">
        <v>427250781412213</v>
      </c>
      <c r="H41" s="5">
        <v>331471064615382</v>
      </c>
      <c r="I41" s="5">
        <v>144219295692311</v>
      </c>
      <c r="J41" s="5">
        <v>186194817777778</v>
      </c>
      <c r="K41" s="5">
        <v>158003575353353</v>
      </c>
      <c r="L41" s="5">
        <v>178917055402375</v>
      </c>
      <c r="M41" s="5">
        <v>774037031172373</v>
      </c>
      <c r="N41" s="5">
        <v>898090163200012</v>
      </c>
      <c r="O41" s="5">
        <v>838030061611094</v>
      </c>
      <c r="P41" s="5">
        <v>49303906644634</v>
      </c>
    </row>
    <row r="42" spans="1:16" x14ac:dyDescent="0.45">
      <c r="A42" s="1" t="s">
        <v>36</v>
      </c>
      <c r="B42" s="2">
        <v>4044801</v>
      </c>
      <c r="C42" s="3" t="s">
        <v>570</v>
      </c>
      <c r="D42" s="3" t="s">
        <v>571</v>
      </c>
      <c r="E42" s="3" t="s">
        <v>572</v>
      </c>
      <c r="F42" s="5">
        <v>127793244444444</v>
      </c>
      <c r="G42" s="5">
        <v>193700581488549</v>
      </c>
      <c r="H42" s="5">
        <v>377436778653843</v>
      </c>
      <c r="I42" s="5">
        <v>396793326076932</v>
      </c>
      <c r="J42" s="5">
        <v>243381413333334</v>
      </c>
      <c r="K42" s="5">
        <v>158409774503811</v>
      </c>
      <c r="L42" s="5">
        <v>141772060804597</v>
      </c>
      <c r="M42" s="5">
        <v>163072932413785</v>
      </c>
      <c r="N42" s="5">
        <v>135160512000002</v>
      </c>
      <c r="O42" s="5">
        <v>149363744444441</v>
      </c>
      <c r="P42" s="5">
        <v>178573981283517</v>
      </c>
    </row>
    <row r="43" spans="1:16" x14ac:dyDescent="0.45">
      <c r="A43" s="1" t="s">
        <v>37</v>
      </c>
      <c r="B43" s="2">
        <v>4438507</v>
      </c>
      <c r="C43" s="3" t="s">
        <v>573</v>
      </c>
      <c r="D43" s="3" t="s">
        <v>574</v>
      </c>
      <c r="E43" s="3" t="s">
        <v>542</v>
      </c>
      <c r="F43" s="5">
        <v>886415418666667</v>
      </c>
      <c r="G43" s="5">
        <v>918242460618319</v>
      </c>
      <c r="H43" s="5">
        <v>850929876423071</v>
      </c>
      <c r="I43" s="5">
        <v>660412119146169</v>
      </c>
      <c r="J43" s="5">
        <v>73505162817778</v>
      </c>
      <c r="K43" s="5">
        <v>275033050351136</v>
      </c>
      <c r="L43" s="5">
        <v>28822608361724</v>
      </c>
      <c r="M43" s="5">
        <v>746702820827547</v>
      </c>
      <c r="N43" s="5">
        <v>222041050560003</v>
      </c>
      <c r="O43" s="5">
        <v>215142561027773</v>
      </c>
      <c r="P43" s="5">
        <v>78606806238694</v>
      </c>
    </row>
    <row r="44" spans="1:16" x14ac:dyDescent="0.45">
      <c r="A44" s="1" t="s">
        <v>38</v>
      </c>
      <c r="B44" s="2">
        <v>4970981</v>
      </c>
      <c r="C44" s="3" t="s">
        <v>575</v>
      </c>
      <c r="D44" s="3" t="s">
        <v>576</v>
      </c>
      <c r="E44" s="3" t="s">
        <v>577</v>
      </c>
      <c r="F44" s="5">
        <v>341736151111111</v>
      </c>
      <c r="G44" s="5">
        <v>272253332816794</v>
      </c>
      <c r="H44" s="5">
        <v>208769429173075</v>
      </c>
      <c r="I44" s="5">
        <v>145275825704157</v>
      </c>
      <c r="J44" s="5">
        <v>782288094488891</v>
      </c>
      <c r="K44" s="5">
        <v>6173981490412</v>
      </c>
      <c r="L44" s="5">
        <v>719825082059001</v>
      </c>
      <c r="M44" s="5">
        <v>57494820417928</v>
      </c>
      <c r="N44" s="5">
        <v>417074831360006</v>
      </c>
      <c r="O44" s="5">
        <v>220075542805551</v>
      </c>
      <c r="P44" s="5">
        <v>134591236736393</v>
      </c>
    </row>
    <row r="45" spans="1:16" x14ac:dyDescent="0.45">
      <c r="A45" s="1" t="s">
        <v>39</v>
      </c>
      <c r="B45" s="2">
        <v>103437</v>
      </c>
      <c r="C45" s="3" t="s">
        <v>578</v>
      </c>
      <c r="D45" s="3" t="s">
        <v>579</v>
      </c>
      <c r="E45" s="3" t="s">
        <v>555</v>
      </c>
      <c r="F45" s="5">
        <v>214731644444445</v>
      </c>
      <c r="G45" s="5">
        <v>202114306030534</v>
      </c>
      <c r="H45" s="5">
        <v>138359573846153</v>
      </c>
      <c r="I45" s="5">
        <v>144495176930772</v>
      </c>
      <c r="J45" s="5">
        <v>114593139555556</v>
      </c>
      <c r="K45" s="5">
        <v>891164622900733</v>
      </c>
      <c r="L45" s="5">
        <v>588706919157086</v>
      </c>
      <c r="M45" s="5">
        <v>471928319999975</v>
      </c>
      <c r="N45" s="5">
        <v>475899808000007</v>
      </c>
      <c r="O45" s="5">
        <v>448633716666657</v>
      </c>
      <c r="P45" s="5">
        <v>444406727777759</v>
      </c>
    </row>
    <row r="46" spans="1:16" x14ac:dyDescent="0.45">
      <c r="A46" s="1" t="s">
        <v>40</v>
      </c>
      <c r="B46" s="2">
        <v>4090153</v>
      </c>
      <c r="C46" s="3" t="s">
        <v>580</v>
      </c>
      <c r="D46" s="3" t="s">
        <v>581</v>
      </c>
      <c r="E46" s="3" t="s">
        <v>533</v>
      </c>
      <c r="F46" s="5">
        <v>108624257777778</v>
      </c>
      <c r="G46" s="5">
        <v>961291143549617</v>
      </c>
      <c r="H46" s="5">
        <v>877695424999994</v>
      </c>
      <c r="I46" s="5">
        <v>494683600000011</v>
      </c>
      <c r="J46" s="5">
        <v>775995031111113</v>
      </c>
      <c r="K46" s="5">
        <v>605307781755705</v>
      </c>
      <c r="L46" s="5">
        <v>547524234827584</v>
      </c>
      <c r="M46" s="5">
        <v>3882729227586</v>
      </c>
      <c r="N46" s="5">
        <v>438118720000006</v>
      </c>
      <c r="O46" s="5">
        <v>828462463888871</v>
      </c>
      <c r="P46" s="5">
        <v>21589332921455</v>
      </c>
    </row>
    <row r="47" spans="1:16" x14ac:dyDescent="0.45">
      <c r="A47" s="1" t="s">
        <v>41</v>
      </c>
      <c r="B47" s="2">
        <v>4024242</v>
      </c>
      <c r="C47" s="3" t="s">
        <v>582</v>
      </c>
      <c r="D47" s="3" t="s">
        <v>583</v>
      </c>
      <c r="E47" s="3" t="s">
        <v>584</v>
      </c>
      <c r="F47" s="5">
        <v>235433795555556</v>
      </c>
      <c r="G47" s="5">
        <v>244552762786259</v>
      </c>
      <c r="H47" s="5">
        <v>242046016519229</v>
      </c>
      <c r="I47" s="5">
        <v>269688180315391</v>
      </c>
      <c r="J47" s="5">
        <v>294087989333334</v>
      </c>
      <c r="K47" s="5">
        <v>214282989541977</v>
      </c>
      <c r="L47" s="5">
        <v>247819706287355</v>
      </c>
      <c r="M47" s="5">
        <v>267985445793089</v>
      </c>
      <c r="N47" s="5">
        <v>212806856000003</v>
      </c>
      <c r="O47" s="5">
        <v>225175790277773</v>
      </c>
      <c r="P47" s="5">
        <v>227116176599607</v>
      </c>
    </row>
    <row r="48" spans="1:16" x14ac:dyDescent="0.45">
      <c r="A48" s="1" t="s">
        <v>42</v>
      </c>
      <c r="B48" s="2">
        <v>4057157</v>
      </c>
      <c r="C48" s="3" t="s">
        <v>585</v>
      </c>
      <c r="D48" s="3" t="s">
        <v>586</v>
      </c>
      <c r="E48" s="3" t="s">
        <v>587</v>
      </c>
      <c r="F48" s="5">
        <v>143858469308808</v>
      </c>
      <c r="G48" s="5">
        <v>126960429355174</v>
      </c>
      <c r="H48" s="5">
        <v>101654415325041</v>
      </c>
      <c r="I48" s="5">
        <v>844136131672413</v>
      </c>
      <c r="J48" s="5">
        <v>741165958375477</v>
      </c>
      <c r="K48" s="5">
        <v>733422926709904</v>
      </c>
      <c r="L48" s="5">
        <v>664099160240609</v>
      </c>
      <c r="M48" s="5">
        <v>607089666398432</v>
      </c>
      <c r="N48" s="5">
        <v>659298983899033</v>
      </c>
      <c r="O48" s="5">
        <v>591839879469455</v>
      </c>
      <c r="P48" s="5">
        <v>534439479820665</v>
      </c>
    </row>
    <row r="49" spans="1:16" x14ac:dyDescent="0.45">
      <c r="A49" s="1" t="s">
        <v>43</v>
      </c>
      <c r="B49" s="2">
        <v>4208149</v>
      </c>
      <c r="C49" s="3" t="s">
        <v>588</v>
      </c>
      <c r="D49" s="3" t="s">
        <v>589</v>
      </c>
      <c r="E49" s="3" t="s">
        <v>483</v>
      </c>
      <c r="F49" s="5">
        <v>131437351717559</v>
      </c>
      <c r="G49" s="5">
        <v>108551812260533</v>
      </c>
      <c r="H49" s="5">
        <v>985406979310381</v>
      </c>
      <c r="I49" s="5">
        <v>636480937931037</v>
      </c>
      <c r="J49" s="5">
        <v>560642373846129</v>
      </c>
      <c r="K49" s="5">
        <v>334321329846745</v>
      </c>
      <c r="L49" s="5">
        <v>282156067432941</v>
      </c>
      <c r="M49" s="5">
        <v>-34934815931035</v>
      </c>
      <c r="N49" s="5">
        <v>-380729717519067</v>
      </c>
      <c r="O49" s="5">
        <v>117855199999997</v>
      </c>
      <c r="P49" s="5">
        <v>946617177692308</v>
      </c>
    </row>
    <row r="50" spans="1:16" x14ac:dyDescent="0.45">
      <c r="A50" s="1" t="s">
        <v>44</v>
      </c>
      <c r="B50" s="2">
        <v>1031164</v>
      </c>
      <c r="C50" s="3" t="s">
        <v>590</v>
      </c>
      <c r="D50" s="3" t="s">
        <v>591</v>
      </c>
      <c r="E50" s="3" t="s">
        <v>592</v>
      </c>
      <c r="F50" s="5">
        <v>500761373149411</v>
      </c>
      <c r="G50" s="5">
        <v>460225795246152</v>
      </c>
      <c r="H50" s="5">
        <v>435795879793109</v>
      </c>
      <c r="I50" s="5">
        <v>343314624586221</v>
      </c>
      <c r="J50" s="5">
        <v>283698041563206</v>
      </c>
      <c r="K50" s="5">
        <v>290894119229003</v>
      </c>
      <c r="L50" s="5">
        <v>265721264919225</v>
      </c>
      <c r="M50" s="5">
        <v>219957236953836</v>
      </c>
      <c r="N50" s="5">
        <v>229134355522987</v>
      </c>
      <c r="O50" s="5">
        <v>201791547545798</v>
      </c>
      <c r="P50" s="5">
        <v>167554822300761</v>
      </c>
    </row>
    <row r="51" spans="1:16" x14ac:dyDescent="0.45">
      <c r="A51" s="1" t="s">
        <v>45</v>
      </c>
      <c r="B51" s="2">
        <v>4344582</v>
      </c>
      <c r="C51" s="3" t="s">
        <v>593</v>
      </c>
      <c r="D51" s="3" t="s">
        <v>594</v>
      </c>
      <c r="E51" s="3" t="s">
        <v>595</v>
      </c>
      <c r="F51" s="5">
        <v>32863902673122</v>
      </c>
      <c r="G51" s="5">
        <v>350575538333949</v>
      </c>
      <c r="H51" s="5">
        <v>327929679548337</v>
      </c>
      <c r="I51" s="5">
        <v>297762731124539</v>
      </c>
      <c r="J51" s="5">
        <v>249925550709375</v>
      </c>
      <c r="K51" s="5">
        <v>224809015134691</v>
      </c>
      <c r="L51" s="5">
        <v>195584403810653</v>
      </c>
      <c r="M51" s="5">
        <v>179055607225303</v>
      </c>
      <c r="N51" s="5">
        <v>189696910520288</v>
      </c>
      <c r="O51" s="5">
        <v>185533836410133</v>
      </c>
      <c r="P51" s="5">
        <v>168564451529419</v>
      </c>
    </row>
    <row r="52" spans="1:16" x14ac:dyDescent="0.45">
      <c r="A52" s="1" t="s">
        <v>46</v>
      </c>
      <c r="B52" s="2">
        <v>103145</v>
      </c>
      <c r="C52" s="3" t="s">
        <v>596</v>
      </c>
      <c r="D52" s="3" t="s">
        <v>597</v>
      </c>
      <c r="E52" s="3" t="s">
        <v>598</v>
      </c>
      <c r="F52" s="5">
        <v>827386815111112</v>
      </c>
      <c r="G52" s="5">
        <v>848626749006869</v>
      </c>
      <c r="H52" s="5">
        <v>827488287126917</v>
      </c>
      <c r="I52" s="5">
        <v>755857514507709</v>
      </c>
      <c r="J52" s="5">
        <v>550959009955557</v>
      </c>
      <c r="K52" s="5">
        <v>626463293113719</v>
      </c>
      <c r="L52" s="5">
        <v>741908291530265</v>
      </c>
      <c r="M52" s="5">
        <v>704424213682722</v>
      </c>
      <c r="N52" s="5">
        <v>73500357376001</v>
      </c>
      <c r="O52" s="5">
        <v>715157586611096</v>
      </c>
      <c r="P52" s="5">
        <v>660305465593459</v>
      </c>
    </row>
    <row r="53" spans="1:16" x14ac:dyDescent="0.45">
      <c r="A53" s="1" t="s">
        <v>47</v>
      </c>
      <c r="B53" s="2">
        <v>3001622</v>
      </c>
      <c r="C53" s="3" t="s">
        <v>599</v>
      </c>
      <c r="D53" s="3" t="s">
        <v>600</v>
      </c>
      <c r="E53" s="3" t="s">
        <v>524</v>
      </c>
      <c r="F53" s="5">
        <v>100222871111111</v>
      </c>
      <c r="G53" s="5" t="s">
        <v>601</v>
      </c>
      <c r="H53" s="5">
        <v>896470153269224</v>
      </c>
      <c r="I53" s="5">
        <v>103522056446156</v>
      </c>
      <c r="J53" s="5">
        <v>886392231111114</v>
      </c>
      <c r="K53" s="5">
        <v>766066815513284</v>
      </c>
      <c r="L53" s="5">
        <v>729955811776058</v>
      </c>
      <c r="M53" s="5">
        <v>679758154999963</v>
      </c>
      <c r="N53" s="5">
        <v>647599776000009</v>
      </c>
      <c r="O53" s="5">
        <v>540584641666655</v>
      </c>
      <c r="P53" s="5">
        <v>482125670076317</v>
      </c>
    </row>
    <row r="54" spans="1:16" x14ac:dyDescent="0.45">
      <c r="A54" s="1" t="s">
        <v>48</v>
      </c>
      <c r="B54" s="2">
        <v>4142027</v>
      </c>
      <c r="C54" s="3" t="s">
        <v>602</v>
      </c>
      <c r="D54" s="3" t="s">
        <v>603</v>
      </c>
      <c r="E54" s="3" t="s">
        <v>604</v>
      </c>
      <c r="F54" s="5">
        <v>-262791475555556</v>
      </c>
      <c r="G54" s="5">
        <v>546882849377862</v>
      </c>
      <c r="H54" s="5">
        <v>145064833942307</v>
      </c>
      <c r="I54" s="5">
        <v>884465737361558</v>
      </c>
      <c r="J54" s="5">
        <v>-142224585866667</v>
      </c>
      <c r="K54" s="5">
        <v>-113588404198469</v>
      </c>
      <c r="L54" s="5">
        <v>-392530835019156</v>
      </c>
      <c r="M54" s="5">
        <v>227496911586195</v>
      </c>
      <c r="N54" s="5">
        <v>124367182400002</v>
      </c>
      <c r="O54" s="5">
        <v>287977277499994</v>
      </c>
      <c r="P54" s="5">
        <v>318521536024891</v>
      </c>
    </row>
    <row r="55" spans="1:16" x14ac:dyDescent="0.45">
      <c r="A55" s="1" t="s">
        <v>49</v>
      </c>
      <c r="B55" s="2">
        <v>6893503</v>
      </c>
      <c r="C55" s="3" t="s">
        <v>605</v>
      </c>
      <c r="D55" s="3" t="s">
        <v>606</v>
      </c>
      <c r="E55" s="3" t="s">
        <v>607</v>
      </c>
      <c r="F55" s="5">
        <v>311152622222222</v>
      </c>
      <c r="G55" s="5">
        <v>31741006980916</v>
      </c>
      <c r="H55" s="5">
        <v>245736221730767</v>
      </c>
      <c r="I55" s="5">
        <v>183413457846158</v>
      </c>
      <c r="J55" s="5">
        <v>125032231111111</v>
      </c>
      <c r="K55" s="5">
        <v>905198711450351</v>
      </c>
      <c r="L55" s="5">
        <v>143380061494252</v>
      </c>
      <c r="M55" s="5">
        <v>111964315862063</v>
      </c>
      <c r="N55" s="5">
        <v>561395040000008</v>
      </c>
      <c r="O55" s="5">
        <v>828191222222205</v>
      </c>
      <c r="P55" s="5">
        <v>21147630494252</v>
      </c>
    </row>
    <row r="56" spans="1:16" x14ac:dyDescent="0.45">
      <c r="A56" s="1" t="s">
        <v>50</v>
      </c>
      <c r="B56" s="2">
        <v>4014079</v>
      </c>
      <c r="C56" s="3" t="s">
        <v>608</v>
      </c>
      <c r="D56" s="3" t="s">
        <v>609</v>
      </c>
      <c r="E56" s="3" t="s">
        <v>610</v>
      </c>
      <c r="F56" s="5">
        <v>123184888888889</v>
      </c>
      <c r="G56" s="5">
        <v>109378419045801</v>
      </c>
      <c r="H56" s="5">
        <v>108301511346153</v>
      </c>
      <c r="I56" s="5">
        <v>104739739153849</v>
      </c>
      <c r="J56" s="5">
        <v>121225431111111</v>
      </c>
      <c r="K56" s="5">
        <v>110957012595416</v>
      </c>
      <c r="L56" s="5">
        <v>105056045057471</v>
      </c>
      <c r="M56" s="5">
        <v>954366537930985</v>
      </c>
      <c r="N56" s="5">
        <v>938319040000013</v>
      </c>
      <c r="O56" s="5">
        <v>799258777777761</v>
      </c>
      <c r="P56" s="5">
        <v>722048253448246</v>
      </c>
    </row>
    <row r="57" spans="1:16" x14ac:dyDescent="0.45">
      <c r="A57" s="1" t="s">
        <v>51</v>
      </c>
      <c r="B57" s="2">
        <v>4081442</v>
      </c>
      <c r="C57" s="3" t="s">
        <v>611</v>
      </c>
      <c r="D57" s="3" t="s">
        <v>612</v>
      </c>
      <c r="E57" s="3" t="s">
        <v>474</v>
      </c>
      <c r="F57" s="5">
        <v>919012444444445</v>
      </c>
      <c r="G57" s="5">
        <v>821031581679388</v>
      </c>
      <c r="H57" s="5">
        <v>828677661538455</v>
      </c>
      <c r="I57" s="5">
        <v>86379367076925</v>
      </c>
      <c r="J57" s="5">
        <v>146350311111112</v>
      </c>
      <c r="K57" s="5">
        <v>150252460534346</v>
      </c>
      <c r="L57" s="5">
        <v>162765403141762</v>
      </c>
      <c r="M57" s="5">
        <v>15264779172413</v>
      </c>
      <c r="N57" s="5">
        <v>133918880000002</v>
      </c>
      <c r="O57" s="5">
        <v>110304944444442</v>
      </c>
      <c r="P57" s="5">
        <v>66255364080457</v>
      </c>
    </row>
    <row r="58" spans="1:16" x14ac:dyDescent="0.45">
      <c r="A58" s="1" t="s">
        <v>52</v>
      </c>
      <c r="B58" s="2">
        <v>4133271</v>
      </c>
      <c r="C58" s="3" t="s">
        <v>613</v>
      </c>
      <c r="D58" s="3" t="s">
        <v>614</v>
      </c>
      <c r="E58" s="3" t="s">
        <v>474</v>
      </c>
      <c r="F58" s="5">
        <v>331841740996159</v>
      </c>
      <c r="G58" s="5">
        <v>262615679195406</v>
      </c>
      <c r="H58" s="5">
        <v>199664807307698</v>
      </c>
      <c r="I58" s="5">
        <v>237153004904214</v>
      </c>
      <c r="J58" s="5">
        <v>236049174559386</v>
      </c>
      <c r="K58" s="5">
        <v>171359244427476</v>
      </c>
      <c r="L58" s="5">
        <v>261003309118772</v>
      </c>
      <c r="M58" s="5">
        <v>23302913953845</v>
      </c>
      <c r="N58" s="5">
        <v>203367849519229</v>
      </c>
      <c r="O58" s="5">
        <v>194329300229004</v>
      </c>
      <c r="P58" s="5">
        <v>156517461896545</v>
      </c>
    </row>
    <row r="59" spans="1:16" x14ac:dyDescent="0.45">
      <c r="A59" s="1" t="s">
        <v>53</v>
      </c>
      <c r="B59" s="2">
        <v>103462</v>
      </c>
      <c r="C59" s="3" t="s">
        <v>615</v>
      </c>
      <c r="D59" s="3" t="s">
        <v>616</v>
      </c>
      <c r="E59" s="3" t="s">
        <v>617</v>
      </c>
      <c r="F59" s="5">
        <v>860681297777778</v>
      </c>
      <c r="G59" s="5">
        <v>105157687998091</v>
      </c>
      <c r="H59" s="5">
        <v>113939479007691</v>
      </c>
      <c r="I59" s="5">
        <v>-266472736915391</v>
      </c>
      <c r="J59" s="5">
        <v>974092443555558</v>
      </c>
      <c r="K59" s="5">
        <v>612149399923643</v>
      </c>
      <c r="L59" s="5">
        <v>943154937842909</v>
      </c>
      <c r="M59" s="5">
        <v>881729582068919</v>
      </c>
      <c r="N59" s="5">
        <v>223582448000003</v>
      </c>
      <c r="O59" s="5">
        <v>328193375277771</v>
      </c>
      <c r="P59" s="5">
        <v>344176334143664</v>
      </c>
    </row>
    <row r="60" spans="1:16" x14ac:dyDescent="0.45">
      <c r="A60" s="1" t="s">
        <v>54</v>
      </c>
      <c r="B60" s="2">
        <v>4095864</v>
      </c>
      <c r="C60" s="3" t="s">
        <v>618</v>
      </c>
      <c r="D60" s="3" t="s">
        <v>619</v>
      </c>
      <c r="E60" s="3" t="s">
        <v>620</v>
      </c>
      <c r="F60" s="5">
        <v>161254588396949</v>
      </c>
      <c r="G60" s="5">
        <v>159733369163494</v>
      </c>
      <c r="H60" s="5">
        <v>185483869111976</v>
      </c>
      <c r="I60" s="5">
        <v>25607551846154</v>
      </c>
      <c r="J60" s="5">
        <v>232266126307682</v>
      </c>
      <c r="K60" s="5">
        <v>183863297662836</v>
      </c>
      <c r="L60" s="5">
        <v>16700587156488</v>
      </c>
      <c r="M60" s="5">
        <v>162300183536123</v>
      </c>
      <c r="N60" s="5">
        <v>173524455999993</v>
      </c>
      <c r="O60" s="5">
        <v>143420712615381</v>
      </c>
      <c r="P60" s="5">
        <v>114465744346154</v>
      </c>
    </row>
    <row r="61" spans="1:16" x14ac:dyDescent="0.45">
      <c r="A61" s="1" t="s">
        <v>55</v>
      </c>
      <c r="B61" s="2">
        <v>4810610</v>
      </c>
      <c r="C61" s="3" t="s">
        <v>621</v>
      </c>
      <c r="D61" s="3" t="s">
        <v>622</v>
      </c>
      <c r="E61" s="3" t="s">
        <v>492</v>
      </c>
      <c r="F61" s="5">
        <v>244031465151717</v>
      </c>
      <c r="G61" s="5">
        <v>229879881267691</v>
      </c>
      <c r="H61" s="5">
        <v>268758957871268</v>
      </c>
      <c r="I61" s="5">
        <v>247884902125298</v>
      </c>
      <c r="J61" s="5">
        <v>210811325517232</v>
      </c>
      <c r="K61" s="5">
        <v>136358992609922</v>
      </c>
      <c r="L61" s="5">
        <v>133899462253843</v>
      </c>
      <c r="M61" s="5">
        <v>137043957354609</v>
      </c>
      <c r="N61" s="5">
        <v>137120855764367</v>
      </c>
      <c r="O61" s="5">
        <v>143125344517173</v>
      </c>
      <c r="P61" s="5">
        <v>132570967898655</v>
      </c>
    </row>
    <row r="62" spans="1:16" x14ac:dyDescent="0.45">
      <c r="A62" s="1" t="s">
        <v>56</v>
      </c>
      <c r="B62" s="2">
        <v>4152157</v>
      </c>
      <c r="C62" s="3" t="s">
        <v>623</v>
      </c>
      <c r="D62" s="3" t="s">
        <v>624</v>
      </c>
      <c r="E62" s="3" t="s">
        <v>477</v>
      </c>
      <c r="F62" s="5">
        <v>250251431111111</v>
      </c>
      <c r="G62" s="5">
        <v>237202311125954</v>
      </c>
      <c r="H62" s="5">
        <v>175613074076922</v>
      </c>
      <c r="I62" s="5">
        <v>287154316653853</v>
      </c>
      <c r="J62" s="5">
        <v>290644950222223</v>
      </c>
      <c r="K62" s="5">
        <v>407962182832047</v>
      </c>
      <c r="L62" s="5">
        <v>649918145409959</v>
      </c>
      <c r="M62" s="5">
        <v>539403559862041</v>
      </c>
      <c r="N62" s="5">
        <v>522044174400007</v>
      </c>
      <c r="O62" s="5">
        <v>516154808888878</v>
      </c>
      <c r="P62" s="5">
        <v>452059898404196</v>
      </c>
    </row>
    <row r="63" spans="1:16" x14ac:dyDescent="0.45">
      <c r="A63" s="1" t="s">
        <v>57</v>
      </c>
      <c r="B63" s="2">
        <v>4048287</v>
      </c>
      <c r="C63" s="3" t="s">
        <v>625</v>
      </c>
      <c r="D63" s="3" t="s">
        <v>626</v>
      </c>
      <c r="E63" s="3" t="s">
        <v>542</v>
      </c>
      <c r="F63" s="5">
        <v>758606222222222</v>
      </c>
      <c r="G63" s="5">
        <v>70989645091603</v>
      </c>
      <c r="H63" s="5">
        <v>586270948269226</v>
      </c>
      <c r="I63" s="5">
        <v>616356739307706</v>
      </c>
      <c r="J63" s="5">
        <v>63311313777778</v>
      </c>
      <c r="K63" s="5">
        <v>501543239541968</v>
      </c>
      <c r="L63" s="5">
        <v>500624214712642</v>
      </c>
      <c r="M63" s="5">
        <v>473114921379286</v>
      </c>
      <c r="N63" s="5">
        <v>466676256000006</v>
      </c>
      <c r="O63" s="5">
        <v>419430030555547</v>
      </c>
      <c r="P63" s="5">
        <v>420428596015308</v>
      </c>
    </row>
    <row r="64" spans="1:16" x14ac:dyDescent="0.45">
      <c r="A64" s="1" t="s">
        <v>58</v>
      </c>
      <c r="B64" s="2">
        <v>4340737</v>
      </c>
      <c r="C64" s="3" t="s">
        <v>627</v>
      </c>
      <c r="D64" s="3" t="s">
        <v>628</v>
      </c>
      <c r="E64" s="3" t="s">
        <v>629</v>
      </c>
      <c r="F64" s="5">
        <v>155780673955556</v>
      </c>
      <c r="G64" s="5">
        <v>959566792311067</v>
      </c>
      <c r="H64" s="5">
        <v>-196939500636537</v>
      </c>
      <c r="I64" s="5">
        <v>-578715122606167</v>
      </c>
      <c r="J64" s="5">
        <v>136293591466667</v>
      </c>
      <c r="K64" s="5">
        <v>-165032110038162</v>
      </c>
      <c r="L64" s="5">
        <v>23724263508429</v>
      </c>
      <c r="M64" s="5">
        <v>-310330163586191</v>
      </c>
      <c r="N64" s="5">
        <v>-480742172800007</v>
      </c>
      <c r="O64" s="5">
        <v>-110714519361109</v>
      </c>
      <c r="P64" s="5">
        <v>-153295982378155</v>
      </c>
    </row>
    <row r="65" spans="1:16" x14ac:dyDescent="0.45">
      <c r="A65" s="1" t="s">
        <v>59</v>
      </c>
      <c r="B65" s="2">
        <v>4122589</v>
      </c>
      <c r="C65" s="3" t="s">
        <v>630</v>
      </c>
      <c r="D65" s="3" t="s">
        <v>631</v>
      </c>
      <c r="E65" s="3" t="s">
        <v>632</v>
      </c>
      <c r="F65" s="5">
        <v>840759022222223</v>
      </c>
      <c r="G65" s="5">
        <v>701667643396946</v>
      </c>
      <c r="H65" s="5">
        <v>547981600961534</v>
      </c>
      <c r="I65" s="5">
        <v>46252916600001</v>
      </c>
      <c r="J65" s="5">
        <v>222655502222223</v>
      </c>
      <c r="K65" s="5">
        <v>444705180916015</v>
      </c>
      <c r="L65" s="5">
        <v>477486871455937</v>
      </c>
      <c r="M65" s="5">
        <v>452688426206873</v>
      </c>
      <c r="N65" s="5">
        <v>402909584000006</v>
      </c>
      <c r="O65" s="5">
        <v>347822230555548</v>
      </c>
      <c r="P65" s="5">
        <v>291749591338704</v>
      </c>
    </row>
    <row r="66" spans="1:16" x14ac:dyDescent="0.45">
      <c r="A66" s="1" t="s">
        <v>60</v>
      </c>
      <c r="B66" s="2">
        <v>4810597</v>
      </c>
      <c r="C66" s="3" t="s">
        <v>633</v>
      </c>
      <c r="D66" s="3" t="s">
        <v>634</v>
      </c>
      <c r="E66" s="3" t="s">
        <v>474</v>
      </c>
      <c r="F66" s="5">
        <v>351918844444445</v>
      </c>
      <c r="G66" s="5">
        <v>277560451374045</v>
      </c>
      <c r="H66" s="5">
        <v>223539498653845</v>
      </c>
      <c r="I66" s="5">
        <v>193402261307697</v>
      </c>
      <c r="J66" s="5">
        <v>154302293333334</v>
      </c>
      <c r="K66" s="5">
        <v>835028268702262</v>
      </c>
      <c r="L66" s="5">
        <v>163569403486589</v>
      </c>
      <c r="M66" s="5">
        <v>146121484137923</v>
      </c>
      <c r="N66" s="5">
        <v>141812112000002</v>
      </c>
      <c r="O66" s="5">
        <v>125765719444442</v>
      </c>
      <c r="P66" s="5">
        <v>976252507471224</v>
      </c>
    </row>
    <row r="67" spans="1:16" x14ac:dyDescent="0.45">
      <c r="A67" s="1" t="s">
        <v>61</v>
      </c>
      <c r="B67" s="2">
        <v>4623856</v>
      </c>
      <c r="C67" s="3" t="s">
        <v>635</v>
      </c>
      <c r="D67" s="3" t="s">
        <v>636</v>
      </c>
      <c r="E67" s="3" t="s">
        <v>637</v>
      </c>
      <c r="F67" s="5">
        <v>13327896</v>
      </c>
      <c r="G67" s="5">
        <v>909052084580151</v>
      </c>
      <c r="H67" s="5">
        <v>773648285576917</v>
      </c>
      <c r="I67" s="5">
        <v>869596689923097</v>
      </c>
      <c r="J67" s="5">
        <v>725153102222224</v>
      </c>
      <c r="K67" s="5">
        <v>297434964198463</v>
      </c>
      <c r="L67" s="5">
        <v>542878899501914</v>
      </c>
      <c r="M67" s="5">
        <v>447348719999977</v>
      </c>
      <c r="N67" s="5">
        <v>352978240000005</v>
      </c>
      <c r="O67" s="5">
        <v>468976841666657</v>
      </c>
      <c r="P67" s="5">
        <v>348584344080445</v>
      </c>
    </row>
    <row r="68" spans="1:16" x14ac:dyDescent="0.45">
      <c r="A68" s="1" t="s">
        <v>62</v>
      </c>
      <c r="B68" s="2">
        <v>4970473</v>
      </c>
      <c r="C68" s="3" t="s">
        <v>638</v>
      </c>
      <c r="D68" s="3" t="s">
        <v>639</v>
      </c>
      <c r="E68" s="3" t="s">
        <v>486</v>
      </c>
      <c r="F68" s="5">
        <v>237573438540219</v>
      </c>
      <c r="G68" s="5">
        <v>145336974730044</v>
      </c>
      <c r="H68" s="5">
        <v>155661863861008</v>
      </c>
      <c r="I68" s="5">
        <v>13386311676923</v>
      </c>
      <c r="J68" s="5">
        <v>727482727999993</v>
      </c>
      <c r="K68" s="5">
        <v>38758329019156</v>
      </c>
      <c r="L68" s="5">
        <v>37877575312977</v>
      </c>
      <c r="M68" s="5">
        <v>462402216501884</v>
      </c>
      <c r="N68" s="5">
        <v>242607082586869</v>
      </c>
      <c r="O68" s="5">
        <v>168744158711536</v>
      </c>
      <c r="P68" s="5">
        <v>165782232307684</v>
      </c>
    </row>
    <row r="69" spans="1:16" x14ac:dyDescent="0.45">
      <c r="A69" s="1" t="s">
        <v>63</v>
      </c>
      <c r="B69" s="2">
        <v>4157226</v>
      </c>
      <c r="C69" s="3" t="s">
        <v>640</v>
      </c>
      <c r="D69" s="3" t="s">
        <v>641</v>
      </c>
      <c r="E69" s="3" t="s">
        <v>642</v>
      </c>
      <c r="F69" s="5">
        <v>109356391586204</v>
      </c>
      <c r="G69" s="5">
        <v>940479901038458</v>
      </c>
      <c r="H69" s="5">
        <v>895264055632195</v>
      </c>
      <c r="I69" s="5">
        <v>675010435517269</v>
      </c>
      <c r="J69" s="5">
        <v>569039639999976</v>
      </c>
      <c r="K69" s="5">
        <v>565200345458007</v>
      </c>
      <c r="L69" s="5">
        <v>572276868923065</v>
      </c>
      <c r="M69" s="5">
        <v>501427369999978</v>
      </c>
      <c r="N69" s="5">
        <v>490077886206894</v>
      </c>
      <c r="O69" s="5">
        <v>450869397786251</v>
      </c>
      <c r="P69" s="5">
        <v>390512387222211</v>
      </c>
    </row>
    <row r="70" spans="1:16" x14ac:dyDescent="0.45">
      <c r="A70" s="1" t="s">
        <v>64</v>
      </c>
      <c r="B70" s="2">
        <v>103448</v>
      </c>
      <c r="C70" s="3" t="s">
        <v>643</v>
      </c>
      <c r="D70" s="3" t="s">
        <v>644</v>
      </c>
      <c r="E70" s="3" t="s">
        <v>555</v>
      </c>
      <c r="F70" s="5">
        <v>143124888888889</v>
      </c>
      <c r="G70" s="5">
        <v>126390785152672</v>
      </c>
      <c r="H70" s="5">
        <v>106914216153845</v>
      </c>
      <c r="I70" s="5">
        <v>918969918461559</v>
      </c>
      <c r="J70" s="5">
        <v>725406888888891</v>
      </c>
      <c r="K70" s="5">
        <v>590659701832041</v>
      </c>
      <c r="L70" s="5">
        <v>511363872652105</v>
      </c>
      <c r="M70" s="5">
        <v>423317499351702</v>
      </c>
      <c r="N70" s="5">
        <v>417724027520006</v>
      </c>
      <c r="O70" s="5">
        <v>422261793555547</v>
      </c>
      <c r="P70" s="5">
        <v>397201358379102</v>
      </c>
    </row>
    <row r="71" spans="1:16" x14ac:dyDescent="0.45">
      <c r="A71" s="1" t="s">
        <v>65</v>
      </c>
      <c r="B71" s="2">
        <v>4086734</v>
      </c>
      <c r="C71" s="3" t="s">
        <v>645</v>
      </c>
      <c r="D71" s="3" t="s">
        <v>646</v>
      </c>
      <c r="E71" s="3" t="s">
        <v>647</v>
      </c>
      <c r="F71" s="5">
        <v>107583309080457</v>
      </c>
      <c r="G71" s="5">
        <v>105772259351147</v>
      </c>
      <c r="H71" s="5">
        <v>113125741307692</v>
      </c>
      <c r="I71" s="5">
        <v>107326586307694</v>
      </c>
      <c r="J71" s="5">
        <v>864598093486564</v>
      </c>
      <c r="K71" s="5">
        <v>992704236641232</v>
      </c>
      <c r="L71" s="5">
        <v>9711517517241</v>
      </c>
      <c r="M71" s="5">
        <v>871911574712626</v>
      </c>
      <c r="N71" s="5">
        <v>907871299038446</v>
      </c>
      <c r="O71" s="5">
        <v>950297198275858</v>
      </c>
      <c r="P71" s="5">
        <v>831573114367797</v>
      </c>
    </row>
    <row r="72" spans="1:16" x14ac:dyDescent="0.45">
      <c r="A72" s="1" t="s">
        <v>66</v>
      </c>
      <c r="B72" s="2">
        <v>4073448</v>
      </c>
      <c r="C72" s="3" t="s">
        <v>648</v>
      </c>
      <c r="D72" s="3" t="s">
        <v>649</v>
      </c>
      <c r="E72" s="3" t="s">
        <v>471</v>
      </c>
      <c r="F72" s="5">
        <v>696815264</v>
      </c>
      <c r="G72" s="5">
        <v>14749434793271</v>
      </c>
      <c r="H72" s="5">
        <v>201279792375191</v>
      </c>
      <c r="I72" s="5">
        <v>358665207081085</v>
      </c>
      <c r="J72" s="5">
        <v>203454341404445</v>
      </c>
      <c r="K72" s="5">
        <v>496766386651892</v>
      </c>
      <c r="L72" s="5">
        <v>350460176975478</v>
      </c>
      <c r="M72" s="5">
        <v>312727098372397</v>
      </c>
      <c r="N72" s="5">
        <v>252852148640003</v>
      </c>
      <c r="O72" s="5">
        <v>209159873999996</v>
      </c>
      <c r="P72" s="5">
        <v>101911567158042</v>
      </c>
    </row>
    <row r="73" spans="1:16" x14ac:dyDescent="0.45">
      <c r="A73" s="1" t="s">
        <v>67</v>
      </c>
      <c r="B73" s="2">
        <v>4500439</v>
      </c>
      <c r="C73" s="3" t="s">
        <v>650</v>
      </c>
      <c r="D73" s="3" t="s">
        <v>651</v>
      </c>
      <c r="E73" s="3" t="s">
        <v>572</v>
      </c>
      <c r="F73" s="5">
        <v>123362133333333</v>
      </c>
      <c r="G73" s="5">
        <v>167072530190839</v>
      </c>
      <c r="H73" s="5">
        <v>303355215384613</v>
      </c>
      <c r="I73" s="5">
        <v>232786686384621</v>
      </c>
      <c r="J73" s="5">
        <v>199560915555556</v>
      </c>
      <c r="K73" s="5">
        <v>123850831450377</v>
      </c>
      <c r="L73" s="5">
        <v>796853675095782</v>
      </c>
      <c r="M73" s="5">
        <v>728912275862031</v>
      </c>
      <c r="N73" s="5">
        <v>400869760000006</v>
      </c>
      <c r="O73" s="5">
        <v>102167694444442</v>
      </c>
      <c r="P73" s="5">
        <v>117366644942524</v>
      </c>
    </row>
    <row r="74" spans="1:16" x14ac:dyDescent="0.45">
      <c r="A74" s="1" t="s">
        <v>68</v>
      </c>
      <c r="B74" s="2">
        <v>112885</v>
      </c>
      <c r="C74" s="3" t="s">
        <v>652</v>
      </c>
      <c r="D74" s="3" t="s">
        <v>653</v>
      </c>
      <c r="E74" s="3" t="s">
        <v>654</v>
      </c>
      <c r="F74" s="5">
        <v>619347920888889</v>
      </c>
      <c r="G74" s="5">
        <v>93329655545267</v>
      </c>
      <c r="H74" s="5">
        <v>938498723551916</v>
      </c>
      <c r="I74" s="5">
        <v>100456349966618</v>
      </c>
      <c r="J74" s="5">
        <v>810244387733336</v>
      </c>
      <c r="K74" s="5">
        <v>779826935653409</v>
      </c>
      <c r="L74" s="5">
        <v>955920676651338</v>
      </c>
      <c r="M74" s="5">
        <v>791277501641338</v>
      </c>
      <c r="N74" s="5">
        <v>821737777120011</v>
      </c>
      <c r="O74" s="5">
        <v>80309232666665</v>
      </c>
      <c r="P74" s="5">
        <v>7855055678674</v>
      </c>
    </row>
    <row r="75" spans="1:16" x14ac:dyDescent="0.45">
      <c r="A75" s="1" t="s">
        <v>69</v>
      </c>
      <c r="B75" s="2">
        <v>4095936</v>
      </c>
      <c r="C75" s="3" t="s">
        <v>655</v>
      </c>
      <c r="D75" s="3" t="s">
        <v>656</v>
      </c>
      <c r="E75" s="3" t="s">
        <v>657</v>
      </c>
      <c r="F75" s="5">
        <v>737532744</v>
      </c>
      <c r="G75" s="5">
        <v>672010651264121</v>
      </c>
      <c r="H75" s="5">
        <v>492104125205766</v>
      </c>
      <c r="I75" s="5">
        <v>124000625645695</v>
      </c>
      <c r="J75" s="5">
        <v>915415274311114</v>
      </c>
      <c r="K75" s="5">
        <v>590543920601507</v>
      </c>
      <c r="L75" s="5">
        <v>705712196006128</v>
      </c>
      <c r="M75" s="5">
        <v>773056389889615</v>
      </c>
      <c r="N75" s="5">
        <v>687437538720009</v>
      </c>
      <c r="O75" s="5">
        <v>757244347749984</v>
      </c>
      <c r="P75" s="5">
        <v>773709408760504</v>
      </c>
    </row>
    <row r="76" spans="1:16" x14ac:dyDescent="0.45">
      <c r="A76" s="1" t="s">
        <v>70</v>
      </c>
      <c r="B76" s="2">
        <v>4963284</v>
      </c>
      <c r="C76" s="3" t="s">
        <v>658</v>
      </c>
      <c r="D76" s="3" t="s">
        <v>659</v>
      </c>
      <c r="E76" s="3" t="s">
        <v>483</v>
      </c>
      <c r="F76" s="5">
        <v>148910236177778</v>
      </c>
      <c r="G76" s="5">
        <v>129206146826336</v>
      </c>
      <c r="H76" s="5">
        <v>117858865384999</v>
      </c>
      <c r="I76" s="5">
        <v>10310737840531</v>
      </c>
      <c r="J76" s="5">
        <v>660387590844446</v>
      </c>
      <c r="K76" s="5">
        <v>576274989641047</v>
      </c>
      <c r="L76" s="5">
        <v>447047237133202</v>
      </c>
      <c r="M76" s="5">
        <v>345174089284597</v>
      </c>
      <c r="N76" s="5">
        <v>295651203680004</v>
      </c>
      <c r="O76" s="5">
        <v>259448078999995</v>
      </c>
      <c r="P76" s="5">
        <v>26201474733854</v>
      </c>
    </row>
    <row r="77" spans="1:16" x14ac:dyDescent="0.45">
      <c r="A77" s="1" t="s">
        <v>71</v>
      </c>
      <c r="B77" s="2">
        <v>103094</v>
      </c>
      <c r="C77" s="3" t="s">
        <v>660</v>
      </c>
      <c r="D77" s="3" t="s">
        <v>661</v>
      </c>
      <c r="E77" s="3" t="s">
        <v>598</v>
      </c>
      <c r="F77" s="5">
        <v>256261790222222</v>
      </c>
      <c r="G77" s="5">
        <v>278932535683969</v>
      </c>
      <c r="H77" s="5">
        <v>300298541644229</v>
      </c>
      <c r="I77" s="5">
        <v>254362501861544</v>
      </c>
      <c r="J77" s="5">
        <v>200645430577778</v>
      </c>
      <c r="K77" s="5">
        <v>194609828787016</v>
      </c>
      <c r="L77" s="5">
        <v>234016807034099</v>
      </c>
      <c r="M77" s="5">
        <v>208825738882748</v>
      </c>
      <c r="N77" s="5">
        <v>218461602880003</v>
      </c>
      <c r="O77" s="5">
        <v>230328477805551</v>
      </c>
      <c r="P77" s="5">
        <v>210401796180834</v>
      </c>
    </row>
    <row r="78" spans="1:16" x14ac:dyDescent="0.45">
      <c r="A78" s="1" t="s">
        <v>72</v>
      </c>
      <c r="B78" s="2">
        <v>4073203</v>
      </c>
      <c r="C78" s="3" t="s">
        <v>662</v>
      </c>
      <c r="D78" s="3" t="s">
        <v>663</v>
      </c>
      <c r="E78" s="3" t="s">
        <v>664</v>
      </c>
      <c r="F78" s="5">
        <v>22844684528735</v>
      </c>
      <c r="G78" s="5">
        <v>198803636538461</v>
      </c>
      <c r="H78" s="5">
        <v>17104094356322</v>
      </c>
      <c r="I78" s="5">
        <v>146389945747132</v>
      </c>
      <c r="J78" s="5">
        <v>150435766896545</v>
      </c>
      <c r="K78" s="5">
        <v>160271245343509</v>
      </c>
      <c r="L78" s="5">
        <v>151923378346151</v>
      </c>
      <c r="M78" s="5">
        <v>166443700576916</v>
      </c>
      <c r="N78" s="5">
        <v>210256261666666</v>
      </c>
      <c r="O78" s="5">
        <v>2181335351145</v>
      </c>
      <c r="P78" s="5">
        <v>183923054080455</v>
      </c>
    </row>
    <row r="79" spans="1:16" x14ac:dyDescent="0.45">
      <c r="A79" s="1" t="s">
        <v>73</v>
      </c>
      <c r="B79" s="2">
        <v>4980730</v>
      </c>
      <c r="C79" s="3" t="s">
        <v>665</v>
      </c>
      <c r="D79" s="3" t="s">
        <v>666</v>
      </c>
      <c r="E79" s="3" t="s">
        <v>632</v>
      </c>
      <c r="F79" s="5">
        <v>390112728692297</v>
      </c>
      <c r="G79" s="5">
        <v>324210323793109</v>
      </c>
      <c r="H79" s="5">
        <v>172088960000001</v>
      </c>
      <c r="I79" s="5">
        <v>-373964250459775</v>
      </c>
      <c r="J79" s="5">
        <v>-528119157547884</v>
      </c>
      <c r="K79" s="5">
        <v>-434617209425278</v>
      </c>
      <c r="L79" s="5">
        <v>293963563384615</v>
      </c>
      <c r="M79" s="5">
        <v>286403175862055</v>
      </c>
      <c r="N79" s="5">
        <v>289865784597703</v>
      </c>
      <c r="O79" s="5">
        <v>272653304427474</v>
      </c>
      <c r="P79" s="5">
        <v>176449915134093</v>
      </c>
    </row>
    <row r="80" spans="1:16" x14ac:dyDescent="0.45">
      <c r="A80" s="1" t="s">
        <v>74</v>
      </c>
      <c r="B80" s="2">
        <v>6676338</v>
      </c>
      <c r="C80" s="3" t="s">
        <v>667</v>
      </c>
      <c r="D80" s="3" t="s">
        <v>668</v>
      </c>
      <c r="E80" s="3" t="s">
        <v>595</v>
      </c>
      <c r="F80" s="5">
        <v>166964266666667</v>
      </c>
      <c r="G80" s="5">
        <v>926434284732823</v>
      </c>
      <c r="H80" s="5">
        <v>-601161249999996</v>
      </c>
      <c r="I80" s="5">
        <v>-137655224846157</v>
      </c>
      <c r="J80" s="5">
        <v>-87979377777778</v>
      </c>
      <c r="K80" s="5">
        <v>-29120733740457</v>
      </c>
      <c r="L80" s="5">
        <v>-250133440613026</v>
      </c>
      <c r="M80" s="5">
        <v>-187085506468956</v>
      </c>
      <c r="N80" s="5">
        <v>-137740445920002</v>
      </c>
      <c r="O80" s="5">
        <v>-809014436388872</v>
      </c>
      <c r="P80" s="5">
        <v>-318494493019144</v>
      </c>
    </row>
    <row r="81" spans="1:16" x14ac:dyDescent="0.45">
      <c r="A81" s="1" t="s">
        <v>75</v>
      </c>
      <c r="B81" s="2">
        <v>114523</v>
      </c>
      <c r="C81" s="3" t="s">
        <v>669</v>
      </c>
      <c r="D81" s="3" t="s">
        <v>670</v>
      </c>
      <c r="E81" s="3" t="s">
        <v>671</v>
      </c>
      <c r="F81" s="5">
        <v>104255182222222</v>
      </c>
      <c r="G81" s="5">
        <v>125401479080152</v>
      </c>
      <c r="H81" s="5">
        <v>126410337923076</v>
      </c>
      <c r="I81" s="5">
        <v>928102538769252</v>
      </c>
      <c r="J81" s="5">
        <v>699943626666669</v>
      </c>
      <c r="K81" s="5">
        <v>424092613358764</v>
      </c>
      <c r="L81" s="5">
        <v>724761644176243</v>
      </c>
      <c r="M81" s="5">
        <v>706536364137894</v>
      </c>
      <c r="N81" s="5">
        <v>494524288000007</v>
      </c>
      <c r="O81" s="5">
        <v>170339766666663</v>
      </c>
      <c r="P81" s="5">
        <v>419977879252856</v>
      </c>
    </row>
    <row r="82" spans="1:16" x14ac:dyDescent="0.45">
      <c r="A82" s="1" t="s">
        <v>76</v>
      </c>
      <c r="B82" s="2">
        <v>4253262</v>
      </c>
      <c r="C82" s="3" t="s">
        <v>672</v>
      </c>
      <c r="D82" s="3" t="s">
        <v>673</v>
      </c>
      <c r="E82" s="3" t="s">
        <v>674</v>
      </c>
      <c r="F82" s="5">
        <v>134803262222222</v>
      </c>
      <c r="G82" s="5">
        <v>109554090217557</v>
      </c>
      <c r="H82" s="5">
        <v>971939011730762</v>
      </c>
      <c r="I82" s="5">
        <v>918208866769252</v>
      </c>
      <c r="J82" s="5">
        <v>692668408888891</v>
      </c>
      <c r="K82" s="5">
        <v>626358914580131</v>
      </c>
      <c r="L82" s="5">
        <v>544129566704979</v>
      </c>
      <c r="M82" s="5">
        <v>533462077241351</v>
      </c>
      <c r="N82" s="5">
        <v>404683344000006</v>
      </c>
      <c r="O82" s="5">
        <v>28191050555555</v>
      </c>
      <c r="P82" s="5">
        <v>288368584616846</v>
      </c>
    </row>
    <row r="83" spans="1:16" x14ac:dyDescent="0.45">
      <c r="A83" s="1" t="s">
        <v>77</v>
      </c>
      <c r="B83" s="2">
        <v>4025774</v>
      </c>
      <c r="C83" s="3" t="s">
        <v>675</v>
      </c>
      <c r="D83" s="3" t="s">
        <v>676</v>
      </c>
      <c r="E83" s="3" t="s">
        <v>677</v>
      </c>
      <c r="F83" s="5">
        <v>114677155555556</v>
      </c>
      <c r="G83" s="5">
        <v>117514768053435</v>
      </c>
      <c r="H83" s="5">
        <v>100810117307692</v>
      </c>
      <c r="I83" s="5">
        <v>134801281000003</v>
      </c>
      <c r="J83" s="5" t="s">
        <v>678</v>
      </c>
      <c r="K83" s="5">
        <v>100557226701829</v>
      </c>
      <c r="L83" s="5">
        <v>118799537618582</v>
      </c>
      <c r="M83" s="5">
        <v>917275921530987</v>
      </c>
      <c r="N83" s="5">
        <v>963333490400013</v>
      </c>
      <c r="O83" s="5">
        <v>908851260777759</v>
      </c>
      <c r="P83" s="5">
        <v>743838606045754</v>
      </c>
    </row>
    <row r="84" spans="1:16" x14ac:dyDescent="0.45">
      <c r="A84" s="1" t="s">
        <v>78</v>
      </c>
      <c r="B84" s="2">
        <v>4114659</v>
      </c>
      <c r="C84" s="3" t="s">
        <v>679</v>
      </c>
      <c r="D84" s="3" t="s">
        <v>680</v>
      </c>
      <c r="E84" s="3" t="s">
        <v>681</v>
      </c>
      <c r="F84" s="5">
        <v>148158631111111</v>
      </c>
      <c r="G84" s="5">
        <v>155025186148855</v>
      </c>
      <c r="H84" s="5">
        <v>155460299249999</v>
      </c>
      <c r="I84" s="5">
        <v>165072112061542</v>
      </c>
      <c r="J84" s="5">
        <v>123001937777778</v>
      </c>
      <c r="K84" s="5">
        <v>103431232610684</v>
      </c>
      <c r="L84" s="5">
        <v>101268310099616</v>
      </c>
      <c r="M84" s="5">
        <v>836808244137887</v>
      </c>
      <c r="N84" s="5">
        <v>768481520000011</v>
      </c>
      <c r="O84" s="5">
        <v>741393888888873</v>
      </c>
      <c r="P84" s="5">
        <v>668863675478899</v>
      </c>
    </row>
    <row r="85" spans="1:16" x14ac:dyDescent="0.45">
      <c r="A85" s="1" t="s">
        <v>79</v>
      </c>
      <c r="B85" s="2">
        <v>4022647</v>
      </c>
      <c r="C85" s="3" t="s">
        <v>682</v>
      </c>
      <c r="D85" s="3" t="s">
        <v>683</v>
      </c>
      <c r="E85" s="3" t="s">
        <v>664</v>
      </c>
      <c r="F85" s="5">
        <v>335036012260527</v>
      </c>
      <c r="G85" s="5">
        <v>275441600204794</v>
      </c>
      <c r="H85" s="5">
        <v>229334528976891</v>
      </c>
      <c r="I85" s="5">
        <v>254514935696168</v>
      </c>
      <c r="J85" s="5">
        <v>223833441505593</v>
      </c>
      <c r="K85" s="5">
        <v>181998616493507</v>
      </c>
      <c r="L85" s="5">
        <v>178411099273332</v>
      </c>
      <c r="M85" s="5">
        <v>138787767298032</v>
      </c>
      <c r="N85" s="5">
        <v>182992440089422</v>
      </c>
      <c r="O85" s="5">
        <v>151537231893127</v>
      </c>
      <c r="P85" s="5">
        <v>114122878540512</v>
      </c>
    </row>
    <row r="86" spans="1:16" x14ac:dyDescent="0.45">
      <c r="A86" s="1" t="s">
        <v>80</v>
      </c>
      <c r="B86" s="2">
        <v>4022661</v>
      </c>
      <c r="C86" s="3" t="s">
        <v>684</v>
      </c>
      <c r="D86" s="3" t="s">
        <v>685</v>
      </c>
      <c r="E86" s="3" t="s">
        <v>686</v>
      </c>
      <c r="F86" s="5">
        <v>113968177777778</v>
      </c>
      <c r="G86" s="5">
        <v>455173251870228</v>
      </c>
      <c r="H86" s="5">
        <v>454385418653843</v>
      </c>
      <c r="I86" s="5">
        <v>416580670076933</v>
      </c>
      <c r="J86" s="5">
        <v>344980675555557</v>
      </c>
      <c r="K86" s="5">
        <v>36962280717556</v>
      </c>
      <c r="L86" s="5">
        <v>230480098850574</v>
      </c>
      <c r="M86" s="5">
        <v>18070243862068</v>
      </c>
      <c r="N86" s="5">
        <v>129927920000002</v>
      </c>
      <c r="O86" s="5">
        <v>145656774999997</v>
      </c>
      <c r="P86" s="5">
        <v>68418804540227</v>
      </c>
    </row>
    <row r="87" spans="1:16" x14ac:dyDescent="0.45">
      <c r="A87" s="1" t="s">
        <v>81</v>
      </c>
      <c r="B87" s="2">
        <v>4074390</v>
      </c>
      <c r="C87" s="3" t="s">
        <v>687</v>
      </c>
      <c r="D87" s="3" t="s">
        <v>688</v>
      </c>
      <c r="E87" s="3" t="s">
        <v>528</v>
      </c>
      <c r="F87" s="5">
        <v>185131822222222</v>
      </c>
      <c r="G87" s="5">
        <v>181865892022901</v>
      </c>
      <c r="H87" s="5">
        <v>160371324230768</v>
      </c>
      <c r="I87" s="5">
        <v>147644028307696</v>
      </c>
      <c r="J87" s="5">
        <v>115895911111111</v>
      </c>
      <c r="K87" s="5">
        <v>106834499083966</v>
      </c>
      <c r="L87" s="5">
        <v>106753379118774</v>
      </c>
      <c r="M87" s="5">
        <v>712808399999963</v>
      </c>
      <c r="N87" s="5">
        <v>949848480000013</v>
      </c>
      <c r="O87" s="5">
        <v>859836083333315</v>
      </c>
      <c r="P87" s="5">
        <v>841037478735597</v>
      </c>
    </row>
    <row r="88" spans="1:16" x14ac:dyDescent="0.45">
      <c r="A88" s="1" t="s">
        <v>82</v>
      </c>
      <c r="B88" s="2">
        <v>4533245</v>
      </c>
      <c r="C88" s="3" t="s">
        <v>689</v>
      </c>
      <c r="D88" s="3" t="s">
        <v>690</v>
      </c>
      <c r="E88" s="3" t="s">
        <v>691</v>
      </c>
      <c r="F88" s="5">
        <v>207553244444445</v>
      </c>
      <c r="G88" s="5">
        <v>159490932251908</v>
      </c>
      <c r="H88" s="5">
        <v>209296601346152</v>
      </c>
      <c r="I88" s="5">
        <v>529977372230781</v>
      </c>
      <c r="J88" s="5">
        <v>184418311111112</v>
      </c>
      <c r="K88" s="5">
        <v>522769798473265</v>
      </c>
      <c r="L88" s="5">
        <v>836160358620687</v>
      </c>
      <c r="M88" s="5">
        <v>613642427586175</v>
      </c>
      <c r="N88" s="5">
        <v>200434880000003</v>
      </c>
      <c r="O88" s="5">
        <v>507221916666656</v>
      </c>
      <c r="P88" s="5">
        <v>118989225287351</v>
      </c>
    </row>
    <row r="89" spans="1:16" x14ac:dyDescent="0.45">
      <c r="A89" s="1" t="s">
        <v>83</v>
      </c>
      <c r="B89" s="2">
        <v>4388431</v>
      </c>
      <c r="C89" s="3" t="s">
        <v>692</v>
      </c>
      <c r="D89" s="3" t="s">
        <v>693</v>
      </c>
      <c r="E89" s="3" t="s">
        <v>492</v>
      </c>
      <c r="F89" s="5">
        <v>441333538852714</v>
      </c>
      <c r="G89" s="5">
        <v>504521264344617</v>
      </c>
      <c r="H89" s="5">
        <v>600135576421149</v>
      </c>
      <c r="I89" s="5">
        <v>633106535740784</v>
      </c>
      <c r="J89" s="5">
        <v>536214270885937</v>
      </c>
      <c r="K89" s="5">
        <v>385538483139525</v>
      </c>
      <c r="L89" s="5">
        <v>346441798754824</v>
      </c>
      <c r="M89" s="5">
        <v>290017151546138</v>
      </c>
      <c r="N89" s="5">
        <v>277649313440004</v>
      </c>
      <c r="O89" s="5">
        <v>246946550583328</v>
      </c>
      <c r="P89" s="5">
        <v>207326684944545</v>
      </c>
    </row>
    <row r="90" spans="1:16" x14ac:dyDescent="0.45">
      <c r="A90" s="1" t="s">
        <v>84</v>
      </c>
      <c r="B90" s="2">
        <v>4121481</v>
      </c>
      <c r="C90" s="3" t="s">
        <v>694</v>
      </c>
      <c r="D90" s="3" t="s">
        <v>695</v>
      </c>
      <c r="E90" s="3" t="s">
        <v>696</v>
      </c>
      <c r="F90" s="5">
        <v>11828408</v>
      </c>
      <c r="G90" s="5">
        <v>122248643839694</v>
      </c>
      <c r="H90" s="5">
        <v>113665719423076</v>
      </c>
      <c r="I90" s="5">
        <v>118885787484618</v>
      </c>
      <c r="J90" s="5">
        <v>944086400000003</v>
      </c>
      <c r="K90" s="5">
        <v>736526509694631</v>
      </c>
      <c r="L90" s="5">
        <v>584686917432948</v>
      </c>
      <c r="M90" s="5">
        <v>47870889931032</v>
      </c>
      <c r="N90" s="5">
        <v>394927664000005</v>
      </c>
      <c r="O90" s="5">
        <v>39239627777777</v>
      </c>
      <c r="P90" s="5">
        <v>114932774425283</v>
      </c>
    </row>
    <row r="91" spans="1:16" x14ac:dyDescent="0.45">
      <c r="A91" s="1" t="s">
        <v>85</v>
      </c>
      <c r="B91" s="2">
        <v>4004170</v>
      </c>
      <c r="C91" s="3" t="s">
        <v>697</v>
      </c>
      <c r="D91" s="3" t="s">
        <v>698</v>
      </c>
      <c r="E91" s="3" t="s">
        <v>699</v>
      </c>
      <c r="F91" s="5">
        <v>15624984</v>
      </c>
      <c r="G91" s="5">
        <v>206358151706107</v>
      </c>
      <c r="H91" s="5">
        <v>249380183769229</v>
      </c>
      <c r="I91" s="5">
        <v>399599704192317</v>
      </c>
      <c r="J91" s="5">
        <v>136088870222223</v>
      </c>
      <c r="K91" s="5">
        <v>-372955903206094</v>
      </c>
      <c r="L91" s="5">
        <v>936035068122602</v>
      </c>
      <c r="M91" s="5">
        <v>123948989793097</v>
      </c>
      <c r="N91" s="5">
        <v>310319312000004</v>
      </c>
      <c r="O91" s="5">
        <v>-273954083333328</v>
      </c>
      <c r="P91" s="5">
        <v>-283681130287344</v>
      </c>
    </row>
    <row r="92" spans="1:16" x14ac:dyDescent="0.45">
      <c r="A92" s="1" t="s">
        <v>86</v>
      </c>
      <c r="B92" s="2">
        <v>4225889</v>
      </c>
      <c r="C92" s="3" t="s">
        <v>700</v>
      </c>
      <c r="D92" s="3" t="s">
        <v>701</v>
      </c>
      <c r="E92" s="3" t="s">
        <v>702</v>
      </c>
      <c r="F92" s="5">
        <v>179066517333333</v>
      </c>
      <c r="G92" s="5">
        <v>181252152423893</v>
      </c>
      <c r="H92" s="5">
        <v>147625133462884</v>
      </c>
      <c r="I92" s="5">
        <v>112401817329079</v>
      </c>
      <c r="J92" s="5">
        <v>69726533137778</v>
      </c>
      <c r="K92" s="5">
        <v>281331724718311</v>
      </c>
      <c r="L92" s="5">
        <v>428361557053255</v>
      </c>
      <c r="M92" s="5">
        <v>298395496427571</v>
      </c>
      <c r="N92" s="5">
        <v>251997196320003</v>
      </c>
      <c r="O92" s="5">
        <v>528414932222211</v>
      </c>
      <c r="P92" s="5">
        <v>700218237775641</v>
      </c>
    </row>
    <row r="93" spans="1:16" x14ac:dyDescent="0.45">
      <c r="A93" s="1" t="s">
        <v>87</v>
      </c>
      <c r="B93" s="2">
        <v>103417</v>
      </c>
      <c r="C93" s="3" t="s">
        <v>703</v>
      </c>
      <c r="D93" s="3" t="s">
        <v>704</v>
      </c>
      <c r="E93" s="3" t="s">
        <v>533</v>
      </c>
      <c r="F93" s="5">
        <v>114916435555556</v>
      </c>
      <c r="G93" s="5">
        <v>106244075507633</v>
      </c>
      <c r="H93" s="5">
        <v>873810998461532</v>
      </c>
      <c r="I93" s="5">
        <v>637856449615399</v>
      </c>
      <c r="J93" s="5">
        <v>63539721777778</v>
      </c>
      <c r="K93" s="5">
        <v>363307467328232</v>
      </c>
      <c r="L93" s="5">
        <v>465158866168581</v>
      </c>
      <c r="M93" s="5">
        <v>410479319999979</v>
      </c>
      <c r="N93" s="5">
        <v>378786448000005</v>
      </c>
      <c r="O93" s="5">
        <v>512646749999989</v>
      </c>
      <c r="P93" s="5">
        <v>316944027356309</v>
      </c>
    </row>
    <row r="94" spans="1:16" x14ac:dyDescent="0.45">
      <c r="A94" s="1" t="s">
        <v>88</v>
      </c>
      <c r="B94" s="2">
        <v>4438978</v>
      </c>
      <c r="C94" s="3" t="s">
        <v>705</v>
      </c>
      <c r="D94" s="3" t="s">
        <v>706</v>
      </c>
      <c r="E94" s="3" t="s">
        <v>707</v>
      </c>
      <c r="F94" s="5">
        <v>103484168888889</v>
      </c>
      <c r="G94" s="5">
        <v>109517106812977</v>
      </c>
      <c r="H94" s="5">
        <v>100495663730768</v>
      </c>
      <c r="I94" s="5">
        <v>959686184000022</v>
      </c>
      <c r="J94" s="5">
        <v>839526293333336</v>
      </c>
      <c r="K94" s="5">
        <v>820731040992339</v>
      </c>
      <c r="L94" s="5">
        <v>751650989042143</v>
      </c>
      <c r="M94" s="5">
        <v>664666286896517</v>
      </c>
      <c r="N94" s="5">
        <v>689371824000009</v>
      </c>
      <c r="O94" s="5">
        <v>659207663888875</v>
      </c>
      <c r="P94" s="5">
        <v>607746482490396</v>
      </c>
    </row>
    <row r="95" spans="1:16" x14ac:dyDescent="0.45">
      <c r="A95" s="1" t="s">
        <v>89</v>
      </c>
      <c r="B95" s="2">
        <v>4067589</v>
      </c>
      <c r="C95" s="3" t="s">
        <v>708</v>
      </c>
      <c r="D95" s="3" t="s">
        <v>709</v>
      </c>
      <c r="E95" s="3" t="s">
        <v>577</v>
      </c>
      <c r="F95" s="5">
        <v>280031570185428</v>
      </c>
      <c r="G95" s="5">
        <v>175906681865787</v>
      </c>
      <c r="H95" s="5">
        <v>358595326783794</v>
      </c>
      <c r="I95" s="5">
        <v>241030446076921</v>
      </c>
      <c r="J95" s="5">
        <v>407314094459996</v>
      </c>
      <c r="K95" s="5">
        <v>456503082451328</v>
      </c>
      <c r="L95" s="5">
        <v>333295975876335</v>
      </c>
      <c r="M95" s="5">
        <v>213374141806836</v>
      </c>
      <c r="N95" s="5">
        <v>202959004326252</v>
      </c>
      <c r="O95" s="5">
        <v>149463850587162</v>
      </c>
      <c r="P95" s="5">
        <v>118704487434225</v>
      </c>
    </row>
    <row r="96" spans="1:16" x14ac:dyDescent="0.45">
      <c r="A96" s="1" t="s">
        <v>90</v>
      </c>
      <c r="B96" s="2">
        <v>103262</v>
      </c>
      <c r="C96" s="3" t="s">
        <v>710</v>
      </c>
      <c r="D96" s="3" t="s">
        <v>711</v>
      </c>
      <c r="E96" s="3" t="s">
        <v>533</v>
      </c>
      <c r="F96" s="5">
        <v>2687912</v>
      </c>
      <c r="G96" s="5">
        <v>269146726832061</v>
      </c>
      <c r="H96" s="5">
        <v>21549318653846</v>
      </c>
      <c r="I96" s="5">
        <v>-609792668461552</v>
      </c>
      <c r="J96" s="5">
        <v>31731792888889</v>
      </c>
      <c r="K96" s="5">
        <v>136218371984728</v>
      </c>
      <c r="L96" s="5">
        <v>225566763409961</v>
      </c>
      <c r="M96" s="5">
        <v>25766201379309</v>
      </c>
      <c r="N96" s="5">
        <v>69442704000001</v>
      </c>
      <c r="O96" s="5">
        <v>782080138888872</v>
      </c>
      <c r="P96" s="5">
        <v>841938912260501</v>
      </c>
    </row>
    <row r="97" spans="1:16" x14ac:dyDescent="0.45">
      <c r="A97" s="1" t="s">
        <v>91</v>
      </c>
      <c r="B97" s="2">
        <v>4008247</v>
      </c>
      <c r="C97" s="3" t="s">
        <v>712</v>
      </c>
      <c r="D97" s="3" t="s">
        <v>713</v>
      </c>
      <c r="E97" s="3" t="s">
        <v>714</v>
      </c>
      <c r="F97" s="5">
        <v>218275108793457</v>
      </c>
      <c r="G97" s="5">
        <v>192551468065149</v>
      </c>
      <c r="H97" s="5">
        <v>172717381895175</v>
      </c>
      <c r="I97" s="5">
        <v>13944589309196</v>
      </c>
      <c r="J97" s="5">
        <v>11728696011532</v>
      </c>
      <c r="K97" s="5">
        <v>105986550534462</v>
      </c>
      <c r="L97" s="5">
        <v>100370505631261</v>
      </c>
      <c r="M97" s="5">
        <v>834467921628702</v>
      </c>
      <c r="N97" s="5">
        <v>782772218083327</v>
      </c>
      <c r="O97" s="5">
        <v>693158342582826</v>
      </c>
      <c r="P97" s="5">
        <v>563063749003443</v>
      </c>
    </row>
    <row r="98" spans="1:16" x14ac:dyDescent="0.45">
      <c r="A98" s="1" t="s">
        <v>92</v>
      </c>
      <c r="B98" s="2">
        <v>4047857</v>
      </c>
      <c r="C98" s="3" t="s">
        <v>715</v>
      </c>
      <c r="D98" s="3" t="s">
        <v>716</v>
      </c>
      <c r="E98" s="3" t="s">
        <v>577</v>
      </c>
      <c r="F98" s="5">
        <v>114516578661476</v>
      </c>
      <c r="G98" s="5">
        <v>121075032880309</v>
      </c>
      <c r="H98" s="5">
        <v>148082103000005</v>
      </c>
      <c r="I98" s="5">
        <v>126143398830771</v>
      </c>
      <c r="J98" s="5">
        <v>115107112442304</v>
      </c>
      <c r="K98" s="5">
        <v>127626063891049</v>
      </c>
      <c r="L98" s="5">
        <v>128075837860463</v>
      </c>
      <c r="M98" s="5">
        <v>1074873269498</v>
      </c>
      <c r="N98" s="5">
        <v>116574882976923</v>
      </c>
      <c r="O98" s="5">
        <v>116078249338459</v>
      </c>
      <c r="P98" s="5">
        <v>960242025468727</v>
      </c>
    </row>
    <row r="99" spans="1:16" x14ac:dyDescent="0.45">
      <c r="A99" s="1" t="s">
        <v>93</v>
      </c>
      <c r="B99" s="2">
        <v>4054016</v>
      </c>
      <c r="C99" s="3" t="s">
        <v>717</v>
      </c>
      <c r="D99" s="3" t="s">
        <v>718</v>
      </c>
      <c r="E99" s="3" t="s">
        <v>674</v>
      </c>
      <c r="F99" s="5">
        <v>377450906666667</v>
      </c>
      <c r="G99" s="5">
        <v>363981422026717</v>
      </c>
      <c r="H99" s="5">
        <v>319845530903844</v>
      </c>
      <c r="I99" s="5">
        <v>285651239561545</v>
      </c>
      <c r="J99" s="5">
        <v>220329124444445</v>
      </c>
      <c r="K99" s="5">
        <v>234492077053427</v>
      </c>
      <c r="L99" s="5">
        <v>237278368432949</v>
      </c>
      <c r="M99" s="5">
        <v>227251115586195</v>
      </c>
      <c r="N99" s="5">
        <v>204088825600003</v>
      </c>
      <c r="O99" s="5">
        <v>200971992222218</v>
      </c>
      <c r="P99" s="5">
        <v>180286704980835</v>
      </c>
    </row>
    <row r="100" spans="1:16" x14ac:dyDescent="0.45">
      <c r="A100" s="1" t="s">
        <v>94</v>
      </c>
      <c r="B100" s="2">
        <v>4004172</v>
      </c>
      <c r="C100" s="3" t="s">
        <v>719</v>
      </c>
      <c r="D100" s="3" t="s">
        <v>720</v>
      </c>
      <c r="E100" s="3" t="s">
        <v>528</v>
      </c>
      <c r="F100" s="5">
        <v>169534311111111</v>
      </c>
      <c r="G100" s="5">
        <v>153111294961832</v>
      </c>
      <c r="H100" s="5">
        <v>130868179807691</v>
      </c>
      <c r="I100" s="5">
        <v>135942858538465</v>
      </c>
      <c r="J100" s="5">
        <v>110904773333334</v>
      </c>
      <c r="K100" s="5">
        <v>11823719603053</v>
      </c>
      <c r="L100" s="5">
        <v>107736046206896</v>
      </c>
      <c r="M100" s="5">
        <v>106116066206891</v>
      </c>
      <c r="N100" s="5">
        <v>120793056000002</v>
      </c>
      <c r="O100" s="5">
        <v>118170952777775</v>
      </c>
      <c r="P100" s="5">
        <v>104836718946356</v>
      </c>
    </row>
    <row r="101" spans="1:16" x14ac:dyDescent="0.45">
      <c r="A101" s="1" t="s">
        <v>95</v>
      </c>
      <c r="B101" s="2">
        <v>4222286</v>
      </c>
      <c r="C101" s="3" t="s">
        <v>721</v>
      </c>
      <c r="D101" s="3" t="s">
        <v>722</v>
      </c>
      <c r="E101" s="3" t="s">
        <v>480</v>
      </c>
      <c r="F101" s="5">
        <v>294846133333333</v>
      </c>
      <c r="G101" s="5">
        <v>279779455648855</v>
      </c>
      <c r="H101" s="5">
        <v>269875158076921</v>
      </c>
      <c r="I101" s="5">
        <v>28235017784616</v>
      </c>
      <c r="J101" s="5">
        <v>239067040000001</v>
      </c>
      <c r="K101" s="5">
        <v>204283701450375</v>
      </c>
      <c r="L101" s="5">
        <v>248972106781608</v>
      </c>
      <c r="M101" s="5">
        <v>239015420689643</v>
      </c>
      <c r="N101" s="5">
        <v>226420464000003</v>
      </c>
      <c r="O101" s="5">
        <v>206957391666662</v>
      </c>
      <c r="P101" s="5">
        <v>193087061034475</v>
      </c>
    </row>
    <row r="102" spans="1:16" x14ac:dyDescent="0.45">
      <c r="A102" s="1" t="s">
        <v>96</v>
      </c>
      <c r="B102" s="2">
        <v>4964205</v>
      </c>
      <c r="C102" s="3" t="s">
        <v>723</v>
      </c>
      <c r="D102" s="3" t="s">
        <v>724</v>
      </c>
      <c r="E102" s="3" t="s">
        <v>550</v>
      </c>
      <c r="F102" s="5">
        <v>50781534802987</v>
      </c>
      <c r="G102" s="5">
        <v>113895990375</v>
      </c>
      <c r="H102" s="5">
        <v>267681466851727</v>
      </c>
      <c r="I102" s="5">
        <v>368012598200015</v>
      </c>
      <c r="J102" s="5">
        <v>337196656347112</v>
      </c>
      <c r="K102" s="5">
        <v>11502898821412</v>
      </c>
      <c r="L102" s="5">
        <v>130329745019997</v>
      </c>
      <c r="M102" s="5">
        <v>114676774921918</v>
      </c>
      <c r="N102" s="5">
        <v>108345758303448</v>
      </c>
      <c r="O102" s="5">
        <v>827582407416016</v>
      </c>
      <c r="P102" s="5">
        <v>642342275139828</v>
      </c>
    </row>
    <row r="103" spans="1:16" x14ac:dyDescent="0.45">
      <c r="A103" s="1" t="s">
        <v>97</v>
      </c>
      <c r="B103" s="2">
        <v>4004173</v>
      </c>
      <c r="C103" s="3" t="s">
        <v>725</v>
      </c>
      <c r="D103" s="3" t="s">
        <v>726</v>
      </c>
      <c r="E103" s="3" t="s">
        <v>707</v>
      </c>
      <c r="F103" s="5">
        <v>375580977777778</v>
      </c>
      <c r="G103" s="5">
        <v>392948673664122</v>
      </c>
      <c r="H103" s="5">
        <v>363841285769228</v>
      </c>
      <c r="I103" s="5">
        <v>338858266000008</v>
      </c>
      <c r="J103" s="5">
        <v>322562853333334</v>
      </c>
      <c r="K103" s="5">
        <v>332257046412202</v>
      </c>
      <c r="L103" s="5">
        <v>325530806283524</v>
      </c>
      <c r="M103" s="5">
        <v>318602470344811</v>
      </c>
      <c r="N103" s="5">
        <v>348100400000005</v>
      </c>
      <c r="O103" s="5">
        <v>359395208333326</v>
      </c>
      <c r="P103" s="5">
        <v>355525382222207</v>
      </c>
    </row>
    <row r="104" spans="1:16" x14ac:dyDescent="0.45">
      <c r="A104" s="1" t="s">
        <v>98</v>
      </c>
      <c r="B104" s="2">
        <v>4057180</v>
      </c>
      <c r="C104" s="3" t="s">
        <v>727</v>
      </c>
      <c r="D104" s="3" t="s">
        <v>728</v>
      </c>
      <c r="E104" s="3" t="s">
        <v>584</v>
      </c>
      <c r="F104" s="5">
        <v>183182133333333</v>
      </c>
      <c r="G104" s="5">
        <v>215409839977099</v>
      </c>
      <c r="H104" s="5">
        <v>21561341878846</v>
      </c>
      <c r="I104" s="5">
        <v>21522541858462</v>
      </c>
      <c r="J104" s="5">
        <v>176102568000001</v>
      </c>
      <c r="K104" s="5">
        <v>153436444374041</v>
      </c>
      <c r="L104" s="5">
        <v>188716747605363</v>
      </c>
      <c r="M104" s="5">
        <v>162293165793095</v>
      </c>
      <c r="N104" s="5">
        <v>155878028800002</v>
      </c>
      <c r="O104" s="5">
        <v>152727141111108</v>
      </c>
      <c r="P104" s="5">
        <v>14421133531417</v>
      </c>
    </row>
    <row r="105" spans="1:16" x14ac:dyDescent="0.45">
      <c r="A105" s="1" t="s">
        <v>99</v>
      </c>
      <c r="B105" s="2">
        <v>4990366</v>
      </c>
      <c r="C105" s="3" t="s">
        <v>729</v>
      </c>
      <c r="D105" s="3" t="s">
        <v>730</v>
      </c>
      <c r="E105" s="3" t="s">
        <v>731</v>
      </c>
      <c r="F105" s="5">
        <v>116326858222222</v>
      </c>
      <c r="G105" s="5">
        <v>690053929773663</v>
      </c>
      <c r="H105" s="5">
        <v>378071234988459</v>
      </c>
      <c r="I105" s="5">
        <v>23998243013539</v>
      </c>
      <c r="J105" s="5">
        <v>158107401422223</v>
      </c>
      <c r="K105" s="5">
        <v>165958359882437</v>
      </c>
      <c r="L105" s="5">
        <v>140376673539463</v>
      </c>
      <c r="M105" s="5">
        <v>126536628372407</v>
      </c>
      <c r="N105" s="5">
        <v>884175016000012</v>
      </c>
      <c r="O105" s="5">
        <v>911444331111092</v>
      </c>
      <c r="P105" s="5">
        <v>80375418814556</v>
      </c>
    </row>
    <row r="106" spans="1:16" x14ac:dyDescent="0.45">
      <c r="A106" s="1" t="s">
        <v>100</v>
      </c>
      <c r="B106" s="2">
        <v>4101861</v>
      </c>
      <c r="C106" s="3" t="s">
        <v>732</v>
      </c>
      <c r="D106" s="3" t="s">
        <v>733</v>
      </c>
      <c r="E106" s="3" t="s">
        <v>734</v>
      </c>
      <c r="F106" s="5">
        <v>155774889313723</v>
      </c>
      <c r="G106" s="5">
        <v>179148099202331</v>
      </c>
      <c r="H106" s="5">
        <v>17798309636822</v>
      </c>
      <c r="I106" s="5">
        <v>14245009159074</v>
      </c>
      <c r="J106" s="5">
        <v>162091098830761</v>
      </c>
      <c r="K106" s="5">
        <v>131769174692308</v>
      </c>
      <c r="L106" s="5">
        <v>113985273511714</v>
      </c>
      <c r="M106" s="5">
        <v>106780806400774</v>
      </c>
      <c r="N106" s="5">
        <v>12069616089341</v>
      </c>
      <c r="O106" s="5">
        <v>668439719807694</v>
      </c>
      <c r="P106" s="5">
        <v>816379387384589</v>
      </c>
    </row>
    <row r="107" spans="1:16" x14ac:dyDescent="0.45">
      <c r="A107" s="1" t="s">
        <v>101</v>
      </c>
      <c r="B107" s="2">
        <v>4980342</v>
      </c>
      <c r="C107" s="3" t="s">
        <v>735</v>
      </c>
      <c r="D107" s="3" t="s">
        <v>736</v>
      </c>
      <c r="E107" s="3" t="s">
        <v>558</v>
      </c>
      <c r="F107" s="5">
        <v>111398133333333</v>
      </c>
      <c r="G107" s="5">
        <v>135932503534351</v>
      </c>
      <c r="H107" s="5">
        <v>151955066730768</v>
      </c>
      <c r="I107" s="5">
        <v>259927692361544</v>
      </c>
      <c r="J107" s="5">
        <v>110447957333334</v>
      </c>
      <c r="K107" s="5">
        <v>-139376041908392</v>
      </c>
      <c r="L107" s="5">
        <v>664193618199231</v>
      </c>
      <c r="M107" s="5">
        <v>819856795862026</v>
      </c>
      <c r="N107" s="5">
        <v>224824080000003</v>
      </c>
      <c r="O107" s="5">
        <v>-430912594444435</v>
      </c>
      <c r="P107" s="5">
        <v>-438367123160901</v>
      </c>
    </row>
    <row r="108" spans="1:16" x14ac:dyDescent="0.45">
      <c r="A108" s="1" t="s">
        <v>102</v>
      </c>
      <c r="B108" s="2">
        <v>4057041</v>
      </c>
      <c r="C108" s="3" t="s">
        <v>737</v>
      </c>
      <c r="D108" s="3" t="s">
        <v>738</v>
      </c>
      <c r="E108" s="3" t="s">
        <v>528</v>
      </c>
      <c r="F108" s="5">
        <v>327990844444445</v>
      </c>
      <c r="G108" s="5">
        <v>303541293091603</v>
      </c>
      <c r="H108" s="5">
        <v>284488000769229</v>
      </c>
      <c r="I108" s="5">
        <v>283301492461545</v>
      </c>
      <c r="J108" s="5">
        <v>227392853333334</v>
      </c>
      <c r="K108" s="5">
        <v>214984693969458</v>
      </c>
      <c r="L108" s="5">
        <v>231820099425287</v>
      </c>
      <c r="M108" s="5">
        <v>2002813613793</v>
      </c>
      <c r="N108" s="5">
        <v>231475680000003</v>
      </c>
      <c r="O108" s="5">
        <v>22341271944444</v>
      </c>
      <c r="P108" s="5">
        <v>218777916494244</v>
      </c>
    </row>
    <row r="109" spans="1:16" x14ac:dyDescent="0.45">
      <c r="A109" s="1" t="s">
        <v>103</v>
      </c>
      <c r="B109" s="2">
        <v>4276708</v>
      </c>
      <c r="C109" s="3" t="s">
        <v>739</v>
      </c>
      <c r="D109" s="3" t="s">
        <v>740</v>
      </c>
      <c r="E109" s="3" t="s">
        <v>647</v>
      </c>
      <c r="F109" s="5">
        <v>327051226616855</v>
      </c>
      <c r="G109" s="5">
        <v>294376590835883</v>
      </c>
      <c r="H109" s="5">
        <v>284929936781613</v>
      </c>
      <c r="I109" s="5">
        <v>260450591057478</v>
      </c>
      <c r="J109" s="5">
        <v>254650735653834</v>
      </c>
      <c r="K109" s="5">
        <v>24439618868965</v>
      </c>
      <c r="L109" s="5">
        <v>225741051065132</v>
      </c>
      <c r="M109" s="5">
        <v>215769852873564</v>
      </c>
      <c r="N109" s="5">
        <v>204863658339073</v>
      </c>
      <c r="O109" s="5">
        <v>166774284283521</v>
      </c>
      <c r="P109" s="5">
        <v>118991651999999</v>
      </c>
    </row>
    <row r="110" spans="1:16" x14ac:dyDescent="0.45">
      <c r="A110" s="1" t="s">
        <v>104</v>
      </c>
      <c r="B110" s="2">
        <v>4072145</v>
      </c>
      <c r="C110" s="3" t="s">
        <v>741</v>
      </c>
      <c r="D110" s="3" t="s">
        <v>742</v>
      </c>
      <c r="E110" s="3" t="s">
        <v>512</v>
      </c>
      <c r="F110" s="5">
        <v>268613955555556</v>
      </c>
      <c r="G110" s="5">
        <v>39498276091603</v>
      </c>
      <c r="H110" s="5">
        <v>15177009403846</v>
      </c>
      <c r="I110" s="5">
        <v>469949420000011</v>
      </c>
      <c r="J110" s="5">
        <v>103206577777778</v>
      </c>
      <c r="K110" s="5">
        <v>142533711832056</v>
      </c>
      <c r="L110" s="5">
        <v>131498723065134</v>
      </c>
      <c r="M110" s="5">
        <v>131797510344821</v>
      </c>
      <c r="N110" s="5">
        <v>120172240000002</v>
      </c>
      <c r="O110" s="5">
        <v>160213411111108</v>
      </c>
      <c r="P110" s="5">
        <v>2050761269157</v>
      </c>
    </row>
    <row r="111" spans="1:16" x14ac:dyDescent="0.45">
      <c r="A111" s="1" t="s">
        <v>105</v>
      </c>
      <c r="B111" s="2">
        <v>4988311</v>
      </c>
      <c r="C111" s="3" t="s">
        <v>743</v>
      </c>
      <c r="D111" s="3" t="s">
        <v>744</v>
      </c>
      <c r="E111" s="3" t="s">
        <v>714</v>
      </c>
      <c r="F111" s="5">
        <v>160241105181375</v>
      </c>
      <c r="G111" s="5">
        <v>145689516848589</v>
      </c>
      <c r="H111" s="5">
        <v>141196089276671</v>
      </c>
      <c r="I111" s="5">
        <v>123678547463001</v>
      </c>
      <c r="J111" s="5">
        <v>950313951066895</v>
      </c>
      <c r="K111" s="5">
        <v>736694747717173</v>
      </c>
      <c r="L111" s="5">
        <v>630306390976999</v>
      </c>
      <c r="M111" s="5">
        <v>490384378865869</v>
      </c>
      <c r="N111" s="5">
        <v>439734079181607</v>
      </c>
      <c r="O111" s="5">
        <v>366208677496145</v>
      </c>
      <c r="P111" s="5">
        <v>293215819884862</v>
      </c>
    </row>
    <row r="112" spans="1:16" x14ac:dyDescent="0.45">
      <c r="A112" s="1" t="s">
        <v>106</v>
      </c>
      <c r="B112" s="2">
        <v>4004201</v>
      </c>
      <c r="C112" s="3" t="s">
        <v>745</v>
      </c>
      <c r="D112" s="3" t="s">
        <v>746</v>
      </c>
      <c r="E112" s="3" t="s">
        <v>550</v>
      </c>
      <c r="F112" s="5">
        <v>205958044444445</v>
      </c>
      <c r="G112" s="5">
        <v>122599986183206</v>
      </c>
      <c r="H112" s="5">
        <v>11015123826923</v>
      </c>
      <c r="I112" s="5">
        <v>174851626307696</v>
      </c>
      <c r="J112" s="5">
        <v>193977608888889</v>
      </c>
      <c r="K112" s="5">
        <v>117974056870225</v>
      </c>
      <c r="L112" s="5">
        <v>148293396934865</v>
      </c>
      <c r="M112" s="5">
        <v>135950615172407</v>
      </c>
      <c r="N112" s="5">
        <v>142610304000002</v>
      </c>
      <c r="O112" s="5">
        <v>130648069444442</v>
      </c>
      <c r="P112" s="5">
        <v>120161088869727</v>
      </c>
    </row>
    <row r="113" spans="1:16" x14ac:dyDescent="0.45">
      <c r="A113" s="1" t="s">
        <v>107</v>
      </c>
      <c r="B113" s="2">
        <v>4256640</v>
      </c>
      <c r="C113" s="3" t="s">
        <v>747</v>
      </c>
      <c r="D113" s="3" t="s">
        <v>748</v>
      </c>
      <c r="E113" s="3" t="s">
        <v>629</v>
      </c>
      <c r="F113" s="5">
        <v>189903863022222</v>
      </c>
      <c r="G113" s="5">
        <v>162342999954618</v>
      </c>
      <c r="H113" s="5">
        <v>15323812981096</v>
      </c>
      <c r="I113" s="5">
        <v>137621072651465</v>
      </c>
      <c r="J113" s="5">
        <v>105114715128889</v>
      </c>
      <c r="K113" s="5">
        <v>931832780125923</v>
      </c>
      <c r="L113" s="5">
        <v>110168593916858</v>
      </c>
      <c r="M113" s="5">
        <v>931819416579262</v>
      </c>
      <c r="N113" s="5">
        <v>783789068800011</v>
      </c>
      <c r="O113" s="5">
        <v>681859055472208</v>
      </c>
      <c r="P113" s="5">
        <v>601737526613385</v>
      </c>
    </row>
    <row r="114" spans="1:16" x14ac:dyDescent="0.45">
      <c r="A114" s="1" t="s">
        <v>108</v>
      </c>
      <c r="B114" s="2">
        <v>4094053</v>
      </c>
      <c r="C114" s="3" t="s">
        <v>749</v>
      </c>
      <c r="D114" s="3" t="s">
        <v>750</v>
      </c>
      <c r="E114" s="3" t="s">
        <v>677</v>
      </c>
      <c r="F114" s="5">
        <v>-47856</v>
      </c>
      <c r="G114" s="5">
        <v>462292557251908</v>
      </c>
      <c r="H114" s="5">
        <v>260811496153844</v>
      </c>
      <c r="I114" s="5">
        <v>437604723076933</v>
      </c>
      <c r="J114" s="5">
        <v>365706586666668</v>
      </c>
      <c r="K114" s="5">
        <v>253667904795411</v>
      </c>
      <c r="L114" s="5">
        <v>32476879262337</v>
      </c>
      <c r="M114" s="5">
        <v>231865299806884</v>
      </c>
      <c r="N114" s="5">
        <v>154153934080002</v>
      </c>
      <c r="O114" s="5">
        <v>131014245694442</v>
      </c>
      <c r="P114" s="5">
        <v>103259210277773</v>
      </c>
    </row>
    <row r="115" spans="1:16" x14ac:dyDescent="0.45">
      <c r="A115" s="1" t="s">
        <v>109</v>
      </c>
      <c r="B115" s="2">
        <v>4126080</v>
      </c>
      <c r="C115" s="3" t="s">
        <v>751</v>
      </c>
      <c r="D115" s="3" t="s">
        <v>752</v>
      </c>
      <c r="E115" s="3" t="s">
        <v>753</v>
      </c>
      <c r="F115" s="5">
        <v>945183259269199</v>
      </c>
      <c r="G115" s="5">
        <v>85915670287357</v>
      </c>
      <c r="H115" s="5">
        <v>802482133396974</v>
      </c>
      <c r="I115" s="5">
        <v>720206708023265</v>
      </c>
      <c r="J115" s="5">
        <v>56819380725867</v>
      </c>
      <c r="K115" s="5">
        <v>48842630884615</v>
      </c>
      <c r="L115" s="5">
        <v>418062295269229</v>
      </c>
      <c r="M115" s="5">
        <v>375999019157066</v>
      </c>
      <c r="N115" s="5">
        <v>374334244332054</v>
      </c>
      <c r="O115" s="5">
        <v>33065516432432</v>
      </c>
      <c r="P115" s="5">
        <v>3127811676923</v>
      </c>
    </row>
    <row r="116" spans="1:16" x14ac:dyDescent="0.45">
      <c r="A116" s="1" t="s">
        <v>110</v>
      </c>
      <c r="B116" s="2">
        <v>4010469</v>
      </c>
      <c r="C116" s="3" t="s">
        <v>754</v>
      </c>
      <c r="D116" s="3" t="s">
        <v>755</v>
      </c>
      <c r="E116" s="3" t="s">
        <v>558</v>
      </c>
      <c r="F116" s="5">
        <v>218187911111111</v>
      </c>
      <c r="G116" s="5">
        <v>128147496870229</v>
      </c>
      <c r="H116" s="5">
        <v>198105753461537</v>
      </c>
      <c r="I116" s="5">
        <v>495634914615396</v>
      </c>
      <c r="J116" s="5" t="s">
        <v>678</v>
      </c>
      <c r="K116" s="5">
        <v>25963063816793</v>
      </c>
      <c r="L116" s="5">
        <v>782560335632181</v>
      </c>
      <c r="M116" s="5">
        <v>667031861503413</v>
      </c>
      <c r="N116" s="5">
        <v>-347736779200005</v>
      </c>
      <c r="O116" s="5">
        <v>-506870206638878</v>
      </c>
      <c r="P116" s="5">
        <v>-894176985028698</v>
      </c>
    </row>
    <row r="117" spans="1:16" x14ac:dyDescent="0.45">
      <c r="A117" s="1" t="s">
        <v>111</v>
      </c>
      <c r="B117" s="2">
        <v>4213375</v>
      </c>
      <c r="C117" s="3" t="s">
        <v>756</v>
      </c>
      <c r="D117" s="3" t="s">
        <v>757</v>
      </c>
      <c r="E117" s="3" t="s">
        <v>758</v>
      </c>
      <c r="F117" s="5">
        <v>473597155555556</v>
      </c>
      <c r="G117" s="5">
        <v>455728002938931</v>
      </c>
      <c r="H117" s="5">
        <v>415263694230766</v>
      </c>
      <c r="I117" s="5">
        <v>364163234769239</v>
      </c>
      <c r="J117" s="5">
        <v>280095884444445</v>
      </c>
      <c r="K117" s="5">
        <v>23629896595419</v>
      </c>
      <c r="L117" s="5">
        <v>249508107011493</v>
      </c>
      <c r="M117" s="5">
        <v>209943686896541</v>
      </c>
      <c r="N117" s="5">
        <v>1917000</v>
      </c>
      <c r="O117" s="5">
        <v>1896000</v>
      </c>
      <c r="P117" s="5">
        <v>1179000</v>
      </c>
    </row>
    <row r="118" spans="1:16" x14ac:dyDescent="0.45">
      <c r="A118" s="1" t="s">
        <v>112</v>
      </c>
      <c r="B118" s="2">
        <v>4417219</v>
      </c>
      <c r="C118" s="3" t="s">
        <v>759</v>
      </c>
      <c r="D118" s="3" t="s">
        <v>760</v>
      </c>
      <c r="E118" s="3" t="s">
        <v>536</v>
      </c>
      <c r="F118" s="5">
        <v>184865955555556</v>
      </c>
      <c r="G118" s="5">
        <v>203316266679389</v>
      </c>
      <c r="H118" s="5">
        <v>201620234615383</v>
      </c>
      <c r="I118" s="5">
        <v>234118526846159</v>
      </c>
      <c r="J118" s="5">
        <v>171136808888889</v>
      </c>
      <c r="K118" s="5">
        <v>140779450763354</v>
      </c>
      <c r="L118" s="5">
        <v>142129394291187</v>
      </c>
      <c r="M118" s="5">
        <v>121711398620683</v>
      </c>
      <c r="N118" s="5">
        <v>926789600000013</v>
      </c>
      <c r="O118" s="5">
        <v>90413888888887</v>
      </c>
      <c r="P118" s="5">
        <v>897220224608775</v>
      </c>
    </row>
    <row r="119" spans="1:16" x14ac:dyDescent="0.45">
      <c r="A119" s="1" t="s">
        <v>113</v>
      </c>
      <c r="B119" s="2">
        <v>4004350</v>
      </c>
      <c r="C119" s="3" t="s">
        <v>761</v>
      </c>
      <c r="D119" s="3" t="s">
        <v>762</v>
      </c>
      <c r="E119" s="3" t="s">
        <v>763</v>
      </c>
      <c r="F119" s="5">
        <v>420423822222222</v>
      </c>
      <c r="G119" s="5">
        <v>501772341641221</v>
      </c>
      <c r="H119" s="5">
        <v>511449494230765</v>
      </c>
      <c r="I119" s="5">
        <v>553760237615397</v>
      </c>
      <c r="J119" s="5">
        <v>442688542222224</v>
      </c>
      <c r="K119" s="5">
        <v>383920034885483</v>
      </c>
      <c r="L119" s="5">
        <v>435857520268198</v>
      </c>
      <c r="M119" s="5">
        <v>417937957241357</v>
      </c>
      <c r="N119" s="5">
        <v>336837024000005</v>
      </c>
      <c r="O119" s="5">
        <v>301891974999994</v>
      </c>
      <c r="P119" s="5">
        <v>323983148540844</v>
      </c>
    </row>
    <row r="120" spans="1:16" x14ac:dyDescent="0.45">
      <c r="A120" s="1" t="s">
        <v>114</v>
      </c>
      <c r="B120" s="2">
        <v>4074303</v>
      </c>
      <c r="C120" s="3" t="s">
        <v>764</v>
      </c>
      <c r="D120" s="3" t="s">
        <v>765</v>
      </c>
      <c r="E120" s="3" t="s">
        <v>671</v>
      </c>
      <c r="F120" s="5">
        <v>363085244444445</v>
      </c>
      <c r="G120" s="5">
        <v>349400714770992</v>
      </c>
      <c r="H120" s="5">
        <v>118197550384615</v>
      </c>
      <c r="I120" s="5">
        <v>255903631538467</v>
      </c>
      <c r="J120" s="5">
        <v>186110222222223</v>
      </c>
      <c r="K120" s="5">
        <v>159374618091598</v>
      </c>
      <c r="L120" s="5">
        <v>222350762030651</v>
      </c>
      <c r="M120" s="5">
        <v>2027393213793</v>
      </c>
      <c r="N120" s="5">
        <v>175336176000002</v>
      </c>
      <c r="O120" s="5">
        <v>161027136111108</v>
      </c>
      <c r="P120" s="5">
        <v>190923620574705</v>
      </c>
    </row>
    <row r="121" spans="1:16" x14ac:dyDescent="0.45">
      <c r="A121" s="1" t="s">
        <v>115</v>
      </c>
      <c r="B121" s="2">
        <v>4206348</v>
      </c>
      <c r="C121" s="3" t="s">
        <v>766</v>
      </c>
      <c r="D121" s="3" t="s">
        <v>767</v>
      </c>
      <c r="E121" s="3" t="s">
        <v>768</v>
      </c>
      <c r="F121" s="5">
        <v>887906044444445</v>
      </c>
      <c r="G121" s="5">
        <v>74142480332061</v>
      </c>
      <c r="H121" s="5">
        <v>130156034942307</v>
      </c>
      <c r="I121" s="5">
        <v>14975594675385</v>
      </c>
      <c r="J121" s="5" t="s">
        <v>769</v>
      </c>
      <c r="K121" s="5">
        <v>119842344908393</v>
      </c>
      <c r="L121" s="5">
        <v>105574178613026</v>
      </c>
      <c r="M121" s="5">
        <v>851895033103404</v>
      </c>
      <c r="N121" s="5">
        <v>866481760000012</v>
      </c>
      <c r="O121" s="5">
        <v>956217288888869</v>
      </c>
      <c r="P121" s="5">
        <v>873939802394599</v>
      </c>
    </row>
    <row r="122" spans="1:16" x14ac:dyDescent="0.45">
      <c r="A122" s="1" t="s">
        <v>116</v>
      </c>
      <c r="B122" s="2">
        <v>4049266</v>
      </c>
      <c r="C122" s="3" t="s">
        <v>770</v>
      </c>
      <c r="D122" s="3" t="s">
        <v>771</v>
      </c>
      <c r="E122" s="3" t="s">
        <v>772</v>
      </c>
      <c r="F122" s="5">
        <v>423293047662823</v>
      </c>
      <c r="G122" s="5">
        <v>564139434781618</v>
      </c>
      <c r="H122" s="5">
        <v>586677071838478</v>
      </c>
      <c r="I122" s="5">
        <v>710719067739463</v>
      </c>
      <c r="J122" s="5">
        <v>44989918357088</v>
      </c>
      <c r="K122" s="5">
        <v>262569178022894</v>
      </c>
      <c r="L122" s="5">
        <v>187161713954022</v>
      </c>
      <c r="M122" s="5">
        <v>173056921592299</v>
      </c>
      <c r="N122" s="5">
        <v>145295131009614</v>
      </c>
      <c r="O122" s="5">
        <v>124233875160303</v>
      </c>
      <c r="P122" s="5">
        <v>103504046051719</v>
      </c>
    </row>
    <row r="123" spans="1:16" x14ac:dyDescent="0.45">
      <c r="A123" s="1" t="s">
        <v>117</v>
      </c>
      <c r="B123" s="2">
        <v>4810677</v>
      </c>
      <c r="C123" s="3" t="s">
        <v>773</v>
      </c>
      <c r="D123" s="3" t="s">
        <v>774</v>
      </c>
      <c r="E123" s="3" t="s">
        <v>492</v>
      </c>
      <c r="F123" s="5">
        <v>477496533333333</v>
      </c>
      <c r="G123" s="5">
        <v>480506884007633</v>
      </c>
      <c r="H123" s="5">
        <v>490177634615381</v>
      </c>
      <c r="I123" s="5">
        <v>721096478461555</v>
      </c>
      <c r="J123" s="5">
        <v>599105724444446</v>
      </c>
      <c r="K123" s="5">
        <v>422338352290062</v>
      </c>
      <c r="L123" s="5">
        <v>293102792375478</v>
      </c>
      <c r="M123" s="5">
        <v>261899875862055</v>
      </c>
      <c r="N123" s="5">
        <v>230854864000003</v>
      </c>
      <c r="O123" s="5">
        <v>262525767777772</v>
      </c>
      <c r="P123" s="5">
        <v>209736538239455</v>
      </c>
    </row>
    <row r="124" spans="1:16" x14ac:dyDescent="0.45">
      <c r="A124" s="1" t="s">
        <v>118</v>
      </c>
      <c r="B124" s="2">
        <v>4297825</v>
      </c>
      <c r="C124" s="3" t="s">
        <v>775</v>
      </c>
      <c r="D124" s="3" t="s">
        <v>776</v>
      </c>
      <c r="E124" s="3" t="s">
        <v>702</v>
      </c>
      <c r="F124" s="5">
        <v>130684253352939</v>
      </c>
      <c r="G124" s="5">
        <v>122598848801554</v>
      </c>
      <c r="H124" s="5">
        <v>114163730759692</v>
      </c>
      <c r="I124" s="5">
        <v>101874250301163</v>
      </c>
      <c r="J124" s="5">
        <v>552759664153818</v>
      </c>
      <c r="K124" s="5">
        <v>396211911000001</v>
      </c>
      <c r="L124" s="5">
        <v>744142148242156</v>
      </c>
      <c r="M124" s="5">
        <v>647834400077797</v>
      </c>
      <c r="N124" s="5">
        <v>614267903352708</v>
      </c>
      <c r="O124" s="5">
        <v>56612291846154</v>
      </c>
      <c r="P124" s="5">
        <v>353912654115373</v>
      </c>
    </row>
    <row r="125" spans="1:16" x14ac:dyDescent="0.45">
      <c r="A125" s="1" t="s">
        <v>119</v>
      </c>
      <c r="B125" s="2">
        <v>4189919</v>
      </c>
      <c r="C125" s="3" t="s">
        <v>777</v>
      </c>
      <c r="D125" s="3" t="s">
        <v>778</v>
      </c>
      <c r="E125" s="3" t="s">
        <v>768</v>
      </c>
      <c r="F125" s="5">
        <v>180418449333333</v>
      </c>
      <c r="G125" s="5">
        <v>180740487021526</v>
      </c>
      <c r="H125" s="5">
        <v>148070917651345</v>
      </c>
      <c r="I125" s="5">
        <v>124864038790618</v>
      </c>
      <c r="J125" s="5">
        <v>149770763208889</v>
      </c>
      <c r="K125" s="5">
        <v>147706326019232</v>
      </c>
      <c r="L125" s="5">
        <v>156827413928352</v>
      </c>
      <c r="M125" s="5">
        <v>126300918484131</v>
      </c>
      <c r="N125" s="5">
        <v>144709992400002</v>
      </c>
      <c r="O125" s="5">
        <v>153511029527775</v>
      </c>
      <c r="P125" s="5">
        <v>146204675267791</v>
      </c>
    </row>
    <row r="126" spans="1:16" x14ac:dyDescent="0.45">
      <c r="A126" s="1" t="s">
        <v>120</v>
      </c>
      <c r="B126" s="2">
        <v>4391531</v>
      </c>
      <c r="C126" s="3" t="s">
        <v>779</v>
      </c>
      <c r="D126" s="3" t="s">
        <v>780</v>
      </c>
      <c r="E126" s="3" t="s">
        <v>781</v>
      </c>
      <c r="F126" s="5">
        <v>110265585126817</v>
      </c>
      <c r="G126" s="5">
        <v>863745871025786</v>
      </c>
      <c r="H126" s="5">
        <v>630147032128748</v>
      </c>
      <c r="I126" s="5">
        <v>488955655416476</v>
      </c>
      <c r="J126" s="5">
        <v>44750633313102</v>
      </c>
      <c r="K126" s="5">
        <v>30524703270229</v>
      </c>
      <c r="L126" s="5">
        <v>281776892400374</v>
      </c>
      <c r="M126" s="5">
        <v>193967653799997</v>
      </c>
      <c r="N126" s="5">
        <v>140663163017621</v>
      </c>
      <c r="O126" s="5">
        <v>174091437572518</v>
      </c>
      <c r="P126" s="5">
        <v>170089423825857</v>
      </c>
    </row>
    <row r="127" spans="1:16" x14ac:dyDescent="0.45">
      <c r="A127" s="1" t="s">
        <v>121</v>
      </c>
      <c r="B127" s="2">
        <v>114526</v>
      </c>
      <c r="C127" s="3" t="s">
        <v>782</v>
      </c>
      <c r="D127" s="3" t="s">
        <v>783</v>
      </c>
      <c r="E127" s="3" t="s">
        <v>784</v>
      </c>
      <c r="F127" s="5">
        <v>595758173333306</v>
      </c>
      <c r="G127" s="5">
        <v>865735763604682</v>
      </c>
      <c r="H127" s="5">
        <v>124801568571432</v>
      </c>
      <c r="I127" s="5">
        <v>914815629999994</v>
      </c>
      <c r="J127" s="5">
        <v>66398296892307</v>
      </c>
      <c r="K127" s="5">
        <v>404202890114931</v>
      </c>
      <c r="L127" s="5">
        <v>383401478625953</v>
      </c>
      <c r="M127" s="5">
        <v>350191024030995</v>
      </c>
      <c r="N127" s="5">
        <v>263989707567564</v>
      </c>
      <c r="O127" s="5">
        <v>212323622896151</v>
      </c>
      <c r="P127" s="5">
        <v>230604848780758</v>
      </c>
    </row>
    <row r="128" spans="1:16" x14ac:dyDescent="0.45">
      <c r="A128" s="1" t="s">
        <v>122</v>
      </c>
      <c r="B128" s="2">
        <v>4625099</v>
      </c>
      <c r="C128" s="3" t="s">
        <v>785</v>
      </c>
      <c r="D128" s="3" t="s">
        <v>786</v>
      </c>
      <c r="E128" s="3" t="s">
        <v>561</v>
      </c>
      <c r="F128" s="5">
        <v>643717913358787</v>
      </c>
      <c r="G128" s="5">
        <v>559759678288959</v>
      </c>
      <c r="H128" s="5">
        <v>601097103560629</v>
      </c>
      <c r="I128" s="5">
        <v>407764106307694</v>
      </c>
      <c r="J128" s="5">
        <v>320802352115371</v>
      </c>
      <c r="K128" s="5">
        <v>267331682183909</v>
      </c>
      <c r="L128" s="5">
        <v>180731213740452</v>
      </c>
      <c r="M128" s="5">
        <v>-209510004866922</v>
      </c>
      <c r="N128" s="5">
        <v>-212661935698105</v>
      </c>
      <c r="O128" s="5">
        <v>-442410289230759</v>
      </c>
      <c r="P128" s="5">
        <v>-203392705384615</v>
      </c>
    </row>
    <row r="129" spans="1:16" x14ac:dyDescent="0.45">
      <c r="A129" s="1" t="s">
        <v>123</v>
      </c>
      <c r="B129" s="2">
        <v>4004278</v>
      </c>
      <c r="C129" s="3" t="s">
        <v>787</v>
      </c>
      <c r="D129" s="3" t="s">
        <v>788</v>
      </c>
      <c r="E129" s="3" t="s">
        <v>789</v>
      </c>
      <c r="F129" s="5">
        <v>5000952</v>
      </c>
      <c r="G129" s="5">
        <v>537276410038167</v>
      </c>
      <c r="H129" s="5">
        <v>488142934999996</v>
      </c>
      <c r="I129" s="5">
        <v>375959536000009</v>
      </c>
      <c r="J129" s="5">
        <v>-183995333333334</v>
      </c>
      <c r="K129" s="5">
        <v>-698459044503793</v>
      </c>
      <c r="L129" s="5">
        <v>586652251609193</v>
      </c>
      <c r="M129" s="5">
        <v>462689780689631</v>
      </c>
      <c r="N129" s="5">
        <v>547648400000008</v>
      </c>
      <c r="O129" s="5">
        <v>562736044444433</v>
      </c>
      <c r="P129" s="5">
        <v>586021934540205</v>
      </c>
    </row>
    <row r="130" spans="1:16" x14ac:dyDescent="0.45">
      <c r="A130" s="1" t="s">
        <v>124</v>
      </c>
      <c r="B130" s="2">
        <v>4010561</v>
      </c>
      <c r="C130" s="3" t="s">
        <v>790</v>
      </c>
      <c r="D130" s="3" t="s">
        <v>791</v>
      </c>
      <c r="E130" s="3" t="s">
        <v>558</v>
      </c>
      <c r="F130" s="5">
        <v>339600355555556</v>
      </c>
      <c r="G130" s="5">
        <v>377785477786259</v>
      </c>
      <c r="H130" s="5">
        <v>453275582499997</v>
      </c>
      <c r="I130" s="5">
        <v>764856950769248</v>
      </c>
      <c r="J130" s="5">
        <v>280603457777779</v>
      </c>
      <c r="K130" s="5">
        <v>640305290076314</v>
      </c>
      <c r="L130" s="5">
        <v>158120067816091</v>
      </c>
      <c r="M130" s="5">
        <v>117812565517235</v>
      </c>
      <c r="N130" s="5">
        <v>125936960000002</v>
      </c>
      <c r="O130" s="5">
        <v>-822766388888872</v>
      </c>
      <c r="P130" s="5">
        <v>-15917513182758</v>
      </c>
    </row>
    <row r="131" spans="1:16" x14ac:dyDescent="0.45">
      <c r="A131" s="1" t="s">
        <v>125</v>
      </c>
      <c r="B131" s="2">
        <v>4270258</v>
      </c>
      <c r="C131" s="3" t="s">
        <v>792</v>
      </c>
      <c r="D131" s="3" t="s">
        <v>793</v>
      </c>
      <c r="E131" s="3" t="s">
        <v>474</v>
      </c>
      <c r="F131" s="5">
        <v>808057422222223</v>
      </c>
      <c r="G131" s="5">
        <v>554751068702289</v>
      </c>
      <c r="H131" s="5">
        <v>552790890961534</v>
      </c>
      <c r="I131" s="5">
        <v>37215427753847</v>
      </c>
      <c r="J131" s="5">
        <v>224854986666667</v>
      </c>
      <c r="K131" s="5">
        <v>262700595038159</v>
      </c>
      <c r="L131" s="5">
        <v>127121387854406</v>
      </c>
      <c r="M131" s="5">
        <v>-157902740689647</v>
      </c>
      <c r="N131" s="5">
        <v>-376924000000005</v>
      </c>
      <c r="O131" s="5">
        <v>-577744749999988</v>
      </c>
      <c r="P131" s="5">
        <v>-18569530613026</v>
      </c>
    </row>
    <row r="132" spans="1:16" x14ac:dyDescent="0.45">
      <c r="A132" s="1" t="s">
        <v>126</v>
      </c>
      <c r="B132" s="2">
        <v>4337452</v>
      </c>
      <c r="C132" s="3" t="s">
        <v>794</v>
      </c>
      <c r="D132" s="3" t="s">
        <v>795</v>
      </c>
      <c r="E132" s="3" t="s">
        <v>558</v>
      </c>
      <c r="F132" s="5">
        <v>134351288888889</v>
      </c>
      <c r="G132" s="5">
        <v>451659828435114</v>
      </c>
      <c r="H132" s="5">
        <v>400558365192305</v>
      </c>
      <c r="I132" s="5">
        <v>570217980461551</v>
      </c>
      <c r="J132" s="5">
        <v>262330817777779</v>
      </c>
      <c r="K132" s="5">
        <v>449967964122122</v>
      </c>
      <c r="L132" s="5">
        <v>119170717777777</v>
      </c>
      <c r="M132" s="5">
        <v>973013131034432</v>
      </c>
      <c r="N132" s="5">
        <v>467385760000006</v>
      </c>
      <c r="O132" s="5">
        <v>137043947944442</v>
      </c>
      <c r="P132" s="5">
        <v>959846417317968</v>
      </c>
    </row>
    <row r="133" spans="1:16" x14ac:dyDescent="0.45">
      <c r="A133" s="1" t="s">
        <v>127</v>
      </c>
      <c r="B133" s="2">
        <v>4094311</v>
      </c>
      <c r="C133" s="3" t="s">
        <v>796</v>
      </c>
      <c r="D133" s="3" t="s">
        <v>797</v>
      </c>
      <c r="E133" s="3" t="s">
        <v>798</v>
      </c>
      <c r="F133" s="5">
        <v>788868938666667</v>
      </c>
      <c r="G133" s="5">
        <v>588786895937404</v>
      </c>
      <c r="H133" s="5">
        <v>645328104605764</v>
      </c>
      <c r="I133" s="5">
        <v>616677332333091</v>
      </c>
      <c r="J133" s="5">
        <v>695383080266669</v>
      </c>
      <c r="K133" s="5">
        <v>537716979909142</v>
      </c>
      <c r="L133" s="5">
        <v>567765390175477</v>
      </c>
      <c r="M133" s="5">
        <v>532354300096524</v>
      </c>
      <c r="N133" s="5">
        <v>516032014880007</v>
      </c>
      <c r="O133" s="5">
        <v>489141851305545</v>
      </c>
      <c r="P133" s="5">
        <v>336348285413396</v>
      </c>
    </row>
    <row r="134" spans="1:16" x14ac:dyDescent="0.45">
      <c r="A134" s="1" t="s">
        <v>128</v>
      </c>
      <c r="B134" s="2">
        <v>4022058</v>
      </c>
      <c r="C134" s="3" t="s">
        <v>799</v>
      </c>
      <c r="D134" s="3" t="s">
        <v>800</v>
      </c>
      <c r="E134" s="3" t="s">
        <v>753</v>
      </c>
      <c r="F134" s="5">
        <v>181938461793667</v>
      </c>
      <c r="G134" s="5">
        <v>226619985285165</v>
      </c>
      <c r="H134" s="5">
        <v>317862019036603</v>
      </c>
      <c r="I134" s="5">
        <v>274219872680771</v>
      </c>
      <c r="J134" s="5">
        <v>309699630819025</v>
      </c>
      <c r="K134" s="5">
        <v>209289272168277</v>
      </c>
      <c r="L134" s="5">
        <v>180765825472895</v>
      </c>
      <c r="M134" s="5">
        <v>176543535530876</v>
      </c>
      <c r="N134" s="5">
        <v>1875401912012</v>
      </c>
      <c r="O134" s="5">
        <v>176437756237534</v>
      </c>
      <c r="P134" s="5">
        <v>136509613975269</v>
      </c>
    </row>
    <row r="135" spans="1:16" x14ac:dyDescent="0.45">
      <c r="A135" s="1" t="s">
        <v>129</v>
      </c>
      <c r="B135" s="2">
        <v>4911259</v>
      </c>
      <c r="C135" s="3" t="s">
        <v>801</v>
      </c>
      <c r="D135" s="3" t="s">
        <v>802</v>
      </c>
      <c r="E135" s="3" t="s">
        <v>753</v>
      </c>
      <c r="F135" s="5">
        <v>140642610767177</v>
      </c>
      <c r="G135" s="5">
        <v>164943873513304</v>
      </c>
      <c r="H135" s="5">
        <v>20064158797298</v>
      </c>
      <c r="I135" s="5">
        <v>154479045323078</v>
      </c>
      <c r="J135" s="5">
        <v>164753989519224</v>
      </c>
      <c r="K135" s="5">
        <v>141887297850575</v>
      </c>
      <c r="L135" s="5">
        <v>153493655820606</v>
      </c>
      <c r="M135" s="5">
        <v>175587251988595</v>
      </c>
      <c r="N135" s="5">
        <v>154732010999993</v>
      </c>
      <c r="O135" s="5">
        <v>111835519015382</v>
      </c>
      <c r="P135" s="5">
        <v>818311553769231</v>
      </c>
    </row>
    <row r="136" spans="1:16" x14ac:dyDescent="0.45">
      <c r="A136" s="1" t="s">
        <v>130</v>
      </c>
      <c r="B136" s="2">
        <v>4001616</v>
      </c>
      <c r="C136" s="3" t="s">
        <v>803</v>
      </c>
      <c r="D136" s="3" t="s">
        <v>804</v>
      </c>
      <c r="E136" s="3" t="s">
        <v>528</v>
      </c>
      <c r="F136" s="5">
        <v>4809528</v>
      </c>
      <c r="G136" s="5">
        <v>422997689885496</v>
      </c>
      <c r="H136" s="5">
        <v>378269155769228</v>
      </c>
      <c r="I136" s="5">
        <v>269697693461545</v>
      </c>
      <c r="J136" s="5">
        <v>26402272888889</v>
      </c>
      <c r="K136" s="5">
        <v>311907618015257</v>
      </c>
      <c r="L136" s="5">
        <v>299802795249041</v>
      </c>
      <c r="M136" s="5">
        <v>265120651034469</v>
      </c>
      <c r="N136" s="5">
        <v>358476896000005</v>
      </c>
      <c r="O136" s="5">
        <v>357496516666659</v>
      </c>
      <c r="P136" s="5">
        <v>327671086302668</v>
      </c>
    </row>
    <row r="137" spans="1:16" x14ac:dyDescent="0.45">
      <c r="A137" s="1" t="s">
        <v>131</v>
      </c>
      <c r="B137" s="2">
        <v>4206221</v>
      </c>
      <c r="C137" s="3" t="s">
        <v>805</v>
      </c>
      <c r="D137" s="3" t="s">
        <v>806</v>
      </c>
      <c r="E137" s="3" t="s">
        <v>702</v>
      </c>
      <c r="F137" s="5">
        <v>846689175937986</v>
      </c>
      <c r="G137" s="5">
        <v>812583174312311</v>
      </c>
      <c r="H137" s="5">
        <v>758080983792302</v>
      </c>
      <c r="I137" s="5">
        <v>710396091667708</v>
      </c>
      <c r="J137" s="5">
        <v>660190483200002</v>
      </c>
      <c r="K137" s="5">
        <v>6363212638996</v>
      </c>
      <c r="L137" s="5">
        <v>563620403059842</v>
      </c>
      <c r="M137" s="5">
        <v>484914772411512</v>
      </c>
      <c r="N137" s="5">
        <v>462802364160006</v>
      </c>
      <c r="O137" s="5">
        <v>41051702938888</v>
      </c>
      <c r="P137" s="5">
        <v>36487483466907</v>
      </c>
    </row>
    <row r="138" spans="1:16" x14ac:dyDescent="0.45">
      <c r="A138" s="1" t="s">
        <v>132</v>
      </c>
      <c r="B138" s="2">
        <v>4068060</v>
      </c>
      <c r="C138" s="3" t="s">
        <v>807</v>
      </c>
      <c r="D138" s="3" t="s">
        <v>808</v>
      </c>
      <c r="E138" s="3" t="s">
        <v>809</v>
      </c>
      <c r="F138" s="5">
        <v>128047147111111</v>
      </c>
      <c r="G138" s="5">
        <v>11936060977603</v>
      </c>
      <c r="H138" s="5">
        <v>117560411945961</v>
      </c>
      <c r="I138" s="5">
        <v>125311727448618</v>
      </c>
      <c r="J138" s="5">
        <v>11089665216</v>
      </c>
      <c r="K138" s="5">
        <v>862967507612948</v>
      </c>
      <c r="L138" s="5">
        <v>944892471921452</v>
      </c>
      <c r="M138" s="5">
        <v>764184001862029</v>
      </c>
      <c r="N138" s="5">
        <v>765479431200011</v>
      </c>
      <c r="O138" s="5">
        <v>661447215916653</v>
      </c>
      <c r="P138" s="5">
        <v>87976847156663</v>
      </c>
    </row>
    <row r="139" spans="1:16" x14ac:dyDescent="0.45">
      <c r="A139" s="1" t="s">
        <v>133</v>
      </c>
      <c r="B139" s="2">
        <v>4209300</v>
      </c>
      <c r="C139" s="3" t="s">
        <v>810</v>
      </c>
      <c r="D139" s="3" t="s">
        <v>811</v>
      </c>
      <c r="E139" s="3" t="s">
        <v>812</v>
      </c>
      <c r="F139" s="5">
        <v>-540595555555556</v>
      </c>
      <c r="G139" s="5">
        <v>207476899694656</v>
      </c>
      <c r="H139" s="5">
        <v>184695233269229</v>
      </c>
      <c r="I139" s="5">
        <v>574594027692321</v>
      </c>
      <c r="J139" s="5">
        <v>689622968888891</v>
      </c>
      <c r="K139" s="5">
        <v>233229009083962</v>
      </c>
      <c r="L139" s="5">
        <v>339466812260535</v>
      </c>
      <c r="M139" s="5">
        <v>474810066206872</v>
      </c>
      <c r="N139" s="5">
        <v>328677728000005</v>
      </c>
      <c r="O139" s="5">
        <v>298637074999994</v>
      </c>
      <c r="P139" s="5">
        <v>423583613352473</v>
      </c>
    </row>
    <row r="140" spans="1:16" x14ac:dyDescent="0.45">
      <c r="A140" s="1" t="s">
        <v>134</v>
      </c>
      <c r="B140" s="2">
        <v>4057044</v>
      </c>
      <c r="C140" s="3" t="s">
        <v>813</v>
      </c>
      <c r="D140" s="3" t="s">
        <v>814</v>
      </c>
      <c r="E140" s="3" t="s">
        <v>528</v>
      </c>
      <c r="F140" s="5">
        <v>214731644444445</v>
      </c>
      <c r="G140" s="5">
        <v>195919585763359</v>
      </c>
      <c r="H140" s="5">
        <v>208094278846152</v>
      </c>
      <c r="I140" s="5">
        <v>165909268923081</v>
      </c>
      <c r="J140" s="5">
        <v>127823884444445</v>
      </c>
      <c r="K140" s="5">
        <v>135253528396942</v>
      </c>
      <c r="L140" s="5">
        <v>125513387164751</v>
      </c>
      <c r="M140" s="5">
        <v>134255470344821</v>
      </c>
      <c r="N140" s="5">
        <v>149616656000002</v>
      </c>
      <c r="O140" s="5">
        <v>131823449999997</v>
      </c>
      <c r="P140" s="5">
        <v>122594959386968</v>
      </c>
    </row>
    <row r="141" spans="1:16" x14ac:dyDescent="0.45">
      <c r="A141" s="1" t="s">
        <v>135</v>
      </c>
      <c r="B141" s="2">
        <v>4121470</v>
      </c>
      <c r="C141" s="3" t="s">
        <v>815</v>
      </c>
      <c r="D141" s="3" t="s">
        <v>816</v>
      </c>
      <c r="E141" s="3" t="s">
        <v>512</v>
      </c>
      <c r="F141" s="5">
        <v>7601128</v>
      </c>
      <c r="G141" s="5">
        <v>736154668167938</v>
      </c>
      <c r="H141" s="5">
        <v>667843905576918</v>
      </c>
      <c r="I141" s="5">
        <v>626440674230783</v>
      </c>
      <c r="J141" s="5">
        <v>504950871111113</v>
      </c>
      <c r="K141" s="5">
        <v>478299280381663</v>
      </c>
      <c r="L141" s="5">
        <v>5110762191954</v>
      </c>
      <c r="M141" s="5">
        <v>454468328275838</v>
      </c>
      <c r="N141" s="5">
        <v>526629344000007</v>
      </c>
      <c r="O141" s="5">
        <v>532718633333322</v>
      </c>
      <c r="P141" s="5">
        <v>462976258390785</v>
      </c>
    </row>
    <row r="142" spans="1:16" x14ac:dyDescent="0.45">
      <c r="A142" s="1" t="s">
        <v>136</v>
      </c>
      <c r="B142" s="2">
        <v>4873611</v>
      </c>
      <c r="C142" s="3" t="s">
        <v>817</v>
      </c>
      <c r="D142" s="3" t="s">
        <v>818</v>
      </c>
      <c r="E142" s="3" t="s">
        <v>501</v>
      </c>
      <c r="F142" s="5">
        <v>766582222222222</v>
      </c>
      <c r="G142" s="5">
        <v>72210097442748</v>
      </c>
      <c r="H142" s="5">
        <v>74821454038461</v>
      </c>
      <c r="I142" s="5">
        <v>195019496153851</v>
      </c>
      <c r="J142" s="5">
        <v>160731555555556</v>
      </c>
      <c r="K142" s="5">
        <v>129639892977095</v>
      </c>
      <c r="L142" s="5">
        <v>181793411302681</v>
      </c>
      <c r="M142" s="5">
        <v>328349553103431</v>
      </c>
      <c r="N142" s="5">
        <v>838101600000012</v>
      </c>
      <c r="O142" s="5">
        <v>491309072222212</v>
      </c>
      <c r="P142" s="5">
        <v>54807158314174</v>
      </c>
    </row>
    <row r="143" spans="1:16" x14ac:dyDescent="0.45">
      <c r="A143" s="1" t="s">
        <v>137</v>
      </c>
      <c r="B143" s="2">
        <v>4991395</v>
      </c>
      <c r="C143" s="3" t="s">
        <v>819</v>
      </c>
      <c r="D143" s="3" t="s">
        <v>820</v>
      </c>
      <c r="E143" s="3" t="s">
        <v>545</v>
      </c>
      <c r="F143" s="5">
        <v>470052266666667</v>
      </c>
      <c r="G143" s="5">
        <v>432058624007633</v>
      </c>
      <c r="H143" s="5">
        <v>363748799423074</v>
      </c>
      <c r="I143" s="5">
        <v>288058065538468</v>
      </c>
      <c r="J143" s="5">
        <v>212081057777778</v>
      </c>
      <c r="K143" s="5">
        <v>156655513435109</v>
      </c>
      <c r="L143" s="5">
        <v>255225442796934</v>
      </c>
      <c r="M143" s="5">
        <v>251898521379297</v>
      </c>
      <c r="N143" s="5">
        <v>222074752000003</v>
      </c>
      <c r="O143" s="5">
        <v>203160008333329</v>
      </c>
      <c r="P143" s="5">
        <v>214270748869723</v>
      </c>
    </row>
    <row r="144" spans="1:16" x14ac:dyDescent="0.45">
      <c r="A144" s="1" t="s">
        <v>138</v>
      </c>
      <c r="B144" s="2">
        <v>4081627</v>
      </c>
      <c r="C144" s="3" t="s">
        <v>821</v>
      </c>
      <c r="D144" s="3" t="s">
        <v>822</v>
      </c>
      <c r="E144" s="3" t="s">
        <v>521</v>
      </c>
      <c r="F144" s="5">
        <v>204451466666667</v>
      </c>
      <c r="G144" s="5">
        <v>209141152900763</v>
      </c>
      <c r="H144" s="5">
        <v>179515997884614</v>
      </c>
      <c r="I144" s="5">
        <v>22355893461539</v>
      </c>
      <c r="J144" s="5">
        <v>250233653333334</v>
      </c>
      <c r="K144" s="5">
        <v>231825600229</v>
      </c>
      <c r="L144" s="5">
        <v>163837403601532</v>
      </c>
      <c r="M144" s="5">
        <v>154342936551716</v>
      </c>
      <c r="N144" s="5">
        <v>200789632000003</v>
      </c>
      <c r="O144" s="5">
        <v>210212291666662</v>
      </c>
      <c r="P144" s="5">
        <v>198044945421448</v>
      </c>
    </row>
    <row r="145" spans="1:16" x14ac:dyDescent="0.45">
      <c r="A145" s="1" t="s">
        <v>139</v>
      </c>
      <c r="B145" s="2">
        <v>4190757</v>
      </c>
      <c r="C145" s="3" t="s">
        <v>823</v>
      </c>
      <c r="D145" s="3" t="s">
        <v>824</v>
      </c>
      <c r="E145" s="3" t="s">
        <v>696</v>
      </c>
      <c r="F145" s="5">
        <v>-807658622222222</v>
      </c>
      <c r="G145" s="5">
        <v>-281138595767175</v>
      </c>
      <c r="H145" s="5">
        <v>446884775980766</v>
      </c>
      <c r="I145" s="5">
        <v>212480780787774</v>
      </c>
      <c r="J145" s="5">
        <v>289540893626668</v>
      </c>
      <c r="K145" s="5">
        <v>100131467540455</v>
      </c>
      <c r="L145" s="5">
        <v>966381614471261</v>
      </c>
      <c r="M145" s="5">
        <v>859073971448231</v>
      </c>
      <c r="N145" s="5">
        <v>366494291200005</v>
      </c>
      <c r="O145" s="5">
        <v>267772485749994</v>
      </c>
      <c r="P145" s="5">
        <v>253992417144625</v>
      </c>
    </row>
    <row r="146" spans="1:16" x14ac:dyDescent="0.45">
      <c r="A146" s="1" t="s">
        <v>140</v>
      </c>
      <c r="B146" s="2">
        <v>4051243</v>
      </c>
      <c r="C146" s="3" t="s">
        <v>825</v>
      </c>
      <c r="D146" s="3" t="s">
        <v>826</v>
      </c>
      <c r="E146" s="3" t="s">
        <v>501</v>
      </c>
      <c r="F146" s="5">
        <v>261577351111111</v>
      </c>
      <c r="G146" s="5">
        <v>246873471423664</v>
      </c>
      <c r="H146" s="5">
        <v>202184401326922</v>
      </c>
      <c r="I146" s="5">
        <v>175802940923081</v>
      </c>
      <c r="J146" s="5">
        <v>157872225777778</v>
      </c>
      <c r="K146" s="5">
        <v>147717553290071</v>
      </c>
      <c r="L146" s="5">
        <v>186528079999999</v>
      </c>
      <c r="M146" s="5">
        <v>163098359586198</v>
      </c>
      <c r="N146" s="5">
        <v>182493297600003</v>
      </c>
      <c r="O146" s="5">
        <v>182590848611107</v>
      </c>
      <c r="P146" s="5">
        <v>185397833067042</v>
      </c>
    </row>
    <row r="147" spans="1:16" x14ac:dyDescent="0.45">
      <c r="A147" s="1" t="s">
        <v>141</v>
      </c>
      <c r="B147" s="2">
        <v>4056943</v>
      </c>
      <c r="C147" s="3" t="s">
        <v>827</v>
      </c>
      <c r="D147" s="3" t="s">
        <v>828</v>
      </c>
      <c r="E147" s="3" t="s">
        <v>512</v>
      </c>
      <c r="F147" s="5">
        <v>485029422222222</v>
      </c>
      <c r="G147" s="5">
        <v>357999356335877</v>
      </c>
      <c r="H147" s="5">
        <v>333690736923074</v>
      </c>
      <c r="I147" s="5">
        <v>303945019615392</v>
      </c>
      <c r="J147" s="5">
        <v>268167911111112</v>
      </c>
      <c r="K147" s="5">
        <v>239632061984725</v>
      </c>
      <c r="L147" s="5">
        <v>202697420268198</v>
      </c>
      <c r="M147" s="5">
        <v>192144666206887</v>
      </c>
      <c r="N147" s="5">
        <v>197862928000003</v>
      </c>
      <c r="O147" s="5">
        <v>188332130555552</v>
      </c>
      <c r="P147" s="5">
        <v>181458568563211</v>
      </c>
    </row>
    <row r="148" spans="1:16" x14ac:dyDescent="0.45">
      <c r="A148" s="1" t="s">
        <v>142</v>
      </c>
      <c r="B148" s="2">
        <v>4812781</v>
      </c>
      <c r="C148" s="3" t="s">
        <v>829</v>
      </c>
      <c r="D148" s="3" t="s">
        <v>830</v>
      </c>
      <c r="E148" s="3" t="s">
        <v>474</v>
      </c>
      <c r="F148" s="5">
        <v>145154337777778</v>
      </c>
      <c r="G148" s="5">
        <v>13690331790458</v>
      </c>
      <c r="H148" s="5">
        <v>13756419126923</v>
      </c>
      <c r="I148" s="5">
        <v>146673687400003</v>
      </c>
      <c r="J148" s="5">
        <v>134210848888889</v>
      </c>
      <c r="K148" s="5">
        <v>115447920931294</v>
      </c>
      <c r="L148" s="5">
        <v>11063938078544</v>
      </c>
      <c r="M148" s="5">
        <v>909275685517194</v>
      </c>
      <c r="N148" s="5">
        <v>906746112000013</v>
      </c>
      <c r="O148" s="5">
        <v>74085140555554</v>
      </c>
      <c r="P148" s="5">
        <v>579531613160895</v>
      </c>
    </row>
    <row r="149" spans="1:16" x14ac:dyDescent="0.45">
      <c r="A149" s="1" t="s">
        <v>143</v>
      </c>
      <c r="B149" s="2">
        <v>4100183</v>
      </c>
      <c r="C149" s="3" t="s">
        <v>831</v>
      </c>
      <c r="D149" s="3" t="s">
        <v>832</v>
      </c>
      <c r="E149" s="3" t="s">
        <v>833</v>
      </c>
      <c r="F149" s="5">
        <v>147594510344824</v>
      </c>
      <c r="G149" s="5">
        <v>152150244230772</v>
      </c>
      <c r="H149" s="5">
        <v>142549369195405</v>
      </c>
      <c r="I149" s="5">
        <v>101081355019157</v>
      </c>
      <c r="J149" s="5">
        <v>897511282758592</v>
      </c>
      <c r="K149" s="5">
        <v>130496679389313</v>
      </c>
      <c r="L149" s="5">
        <v>872703319230736</v>
      </c>
      <c r="M149" s="5">
        <v>122712343846152</v>
      </c>
      <c r="N149" s="5">
        <v>113000407816089</v>
      </c>
      <c r="O149" s="5">
        <v>813553725190837</v>
      </c>
      <c r="P149" s="5">
        <v>749236732758599</v>
      </c>
    </row>
    <row r="150" spans="1:16" x14ac:dyDescent="0.45">
      <c r="A150" s="1" t="s">
        <v>144</v>
      </c>
      <c r="B150" s="2">
        <v>4072364</v>
      </c>
      <c r="C150" s="3" t="s">
        <v>834</v>
      </c>
      <c r="D150" s="3" t="s">
        <v>835</v>
      </c>
      <c r="E150" s="3" t="s">
        <v>686</v>
      </c>
      <c r="F150" s="5">
        <v>735298577777778</v>
      </c>
      <c r="G150" s="5">
        <v>911918298435113</v>
      </c>
      <c r="H150" s="5">
        <v>914597477115378</v>
      </c>
      <c r="I150" s="5">
        <v>80500242753848</v>
      </c>
      <c r="J150" s="5">
        <v>763644080000002</v>
      </c>
      <c r="K150" s="5">
        <v>724509821374021</v>
      </c>
      <c r="L150" s="5">
        <v>601392257931032</v>
      </c>
      <c r="M150" s="5">
        <v>493117630344802</v>
      </c>
      <c r="N150" s="5">
        <v>442907872000006</v>
      </c>
      <c r="O150" s="5">
        <v>477114091666657</v>
      </c>
      <c r="P150" s="5">
        <v>475650413750938</v>
      </c>
    </row>
    <row r="151" spans="1:16" x14ac:dyDescent="0.45">
      <c r="A151" s="1" t="s">
        <v>145</v>
      </c>
      <c r="B151" s="2">
        <v>4059821</v>
      </c>
      <c r="C151" s="3" t="s">
        <v>836</v>
      </c>
      <c r="D151" s="3" t="s">
        <v>837</v>
      </c>
      <c r="E151" s="3" t="s">
        <v>637</v>
      </c>
      <c r="F151" s="5">
        <v>263172551111111</v>
      </c>
      <c r="G151" s="5">
        <v>15754930351145</v>
      </c>
      <c r="H151" s="5">
        <v>954921524038455</v>
      </c>
      <c r="I151" s="5">
        <v>823201076130788</v>
      </c>
      <c r="J151" s="5">
        <v>699833652444447</v>
      </c>
      <c r="K151" s="5">
        <v>632481285709902</v>
      </c>
      <c r="L151" s="5">
        <v>535946629862067</v>
      </c>
      <c r="M151" s="5">
        <v>510730185103422</v>
      </c>
      <c r="N151" s="5">
        <v>416523192000006</v>
      </c>
      <c r="O151" s="5">
        <v>350019288055548</v>
      </c>
      <c r="P151" s="5">
        <v>323803936480829</v>
      </c>
    </row>
    <row r="152" spans="1:16" x14ac:dyDescent="0.45">
      <c r="A152" s="1" t="s">
        <v>146</v>
      </c>
      <c r="B152" s="2">
        <v>4279452</v>
      </c>
      <c r="C152" s="3" t="s">
        <v>838</v>
      </c>
      <c r="D152" s="3" t="s">
        <v>839</v>
      </c>
      <c r="E152" s="3" t="s">
        <v>731</v>
      </c>
      <c r="F152" s="5">
        <v>139859425866667</v>
      </c>
      <c r="G152" s="5">
        <v>124426688993931</v>
      </c>
      <c r="H152" s="5">
        <v>811093232544225</v>
      </c>
      <c r="I152" s="5">
        <v>541476863301551</v>
      </c>
      <c r="J152" s="5">
        <v>452099797777779</v>
      </c>
      <c r="K152" s="5">
        <v>433984891525176</v>
      </c>
      <c r="L152" s="5">
        <v>414478257765516</v>
      </c>
      <c r="M152" s="5">
        <v>346690172565499</v>
      </c>
      <c r="N152" s="5">
        <v>345838856000005</v>
      </c>
      <c r="O152" s="5">
        <v>285820002111105</v>
      </c>
      <c r="P152" s="5">
        <v>259528120421062</v>
      </c>
    </row>
    <row r="153" spans="1:16" x14ac:dyDescent="0.45">
      <c r="A153" s="1" t="s">
        <v>147</v>
      </c>
      <c r="B153" s="2">
        <v>4136907</v>
      </c>
      <c r="C153" s="3" t="s">
        <v>840</v>
      </c>
      <c r="D153" s="3" t="s">
        <v>841</v>
      </c>
      <c r="E153" s="3" t="s">
        <v>545</v>
      </c>
      <c r="F153" s="5">
        <v>400167429885046</v>
      </c>
      <c r="G153" s="5">
        <v>366573484061308</v>
      </c>
      <c r="H153" s="5">
        <v>303809220884624</v>
      </c>
      <c r="I153" s="5">
        <v>228088654482758</v>
      </c>
      <c r="J153" s="5">
        <v>169861688888888</v>
      </c>
      <c r="K153" s="5">
        <v>25337581709923</v>
      </c>
      <c r="L153" s="5">
        <v>271464718927201</v>
      </c>
      <c r="M153" s="5">
        <v>244293895923065</v>
      </c>
      <c r="N153" s="5">
        <v>237277602403844</v>
      </c>
      <c r="O153" s="5">
        <v>234671990916026</v>
      </c>
      <c r="P153" s="5">
        <v>26772953465516</v>
      </c>
    </row>
    <row r="154" spans="1:16" x14ac:dyDescent="0.45">
      <c r="A154" s="1" t="s">
        <v>148</v>
      </c>
      <c r="B154" s="2">
        <v>4007889</v>
      </c>
      <c r="C154" s="3" t="s">
        <v>842</v>
      </c>
      <c r="D154" s="3" t="s">
        <v>843</v>
      </c>
      <c r="E154" s="3" t="s">
        <v>512</v>
      </c>
      <c r="F154" s="5">
        <v>289779512266667</v>
      </c>
      <c r="G154" s="5">
        <v>261222107815648</v>
      </c>
      <c r="H154" s="5">
        <v>249430866286921</v>
      </c>
      <c r="I154" s="5">
        <v>18100263634785</v>
      </c>
      <c r="J154" s="5">
        <v>174584077777778</v>
      </c>
      <c r="K154" s="5">
        <v>152019966274117</v>
      </c>
      <c r="L154" s="5">
        <v>149770256234942</v>
      </c>
      <c r="M154" s="5">
        <v>894148213075815</v>
      </c>
      <c r="N154" s="5">
        <v>171390535568002</v>
      </c>
      <c r="O154" s="5">
        <v>178799070938885</v>
      </c>
      <c r="P154" s="5">
        <v>14834927576689</v>
      </c>
    </row>
    <row r="155" spans="1:16" x14ac:dyDescent="0.45">
      <c r="A155" s="1" t="s">
        <v>149</v>
      </c>
      <c r="B155" s="2">
        <v>4075407</v>
      </c>
      <c r="C155" s="3" t="s">
        <v>844</v>
      </c>
      <c r="D155" s="3" t="s">
        <v>845</v>
      </c>
      <c r="E155" s="3" t="s">
        <v>558</v>
      </c>
      <c r="F155" s="5">
        <v>575424088888889</v>
      </c>
      <c r="G155" s="5">
        <v>74882148423664</v>
      </c>
      <c r="H155" s="5">
        <v>88241222865384</v>
      </c>
      <c r="I155" s="5">
        <v>943989492846175</v>
      </c>
      <c r="J155" s="5">
        <v>517893991111113</v>
      </c>
      <c r="K155" s="5">
        <v>-120166883206103</v>
      </c>
      <c r="L155" s="5">
        <v>327496140459769</v>
      </c>
      <c r="M155" s="5">
        <v>368144434046877</v>
      </c>
      <c r="N155" s="5">
        <v>948729237440013</v>
      </c>
      <c r="O155" s="5">
        <v>-123853375280553</v>
      </c>
      <c r="P155" s="5">
        <v>-601912494860569</v>
      </c>
    </row>
    <row r="156" spans="1:16" x14ac:dyDescent="0.45">
      <c r="A156" s="1" t="s">
        <v>150</v>
      </c>
      <c r="B156" s="2">
        <v>4309704</v>
      </c>
      <c r="C156" s="3" t="s">
        <v>846</v>
      </c>
      <c r="D156" s="3" t="s">
        <v>847</v>
      </c>
      <c r="E156" s="3" t="s">
        <v>480</v>
      </c>
      <c r="F156" s="5">
        <v>516375988444445</v>
      </c>
      <c r="G156" s="5">
        <v>558792430237785</v>
      </c>
      <c r="H156" s="5">
        <v>519569795423073</v>
      </c>
      <c r="I156" s="5">
        <v>673403271533861</v>
      </c>
      <c r="J156" s="5">
        <v>461820673066668</v>
      </c>
      <c r="K156" s="5">
        <v>332716662812202</v>
      </c>
      <c r="L156" s="5">
        <v>270546116034482</v>
      </c>
      <c r="M156" s="5">
        <v>208302786703437</v>
      </c>
      <c r="N156" s="5">
        <v>153382348480002</v>
      </c>
      <c r="O156" s="5">
        <v>121993651999997</v>
      </c>
      <c r="P156" s="5">
        <v>116295741914938</v>
      </c>
    </row>
    <row r="157" spans="1:16" x14ac:dyDescent="0.45">
      <c r="A157" s="1" t="s">
        <v>151</v>
      </c>
      <c r="B157" s="2">
        <v>4004341</v>
      </c>
      <c r="C157" s="3" t="s">
        <v>848</v>
      </c>
      <c r="D157" s="3" t="s">
        <v>849</v>
      </c>
      <c r="E157" s="3" t="s">
        <v>558</v>
      </c>
      <c r="F157" s="5">
        <v>309349425866667</v>
      </c>
      <c r="G157" s="5">
        <v>318343900774809</v>
      </c>
      <c r="H157" s="5">
        <v>231852356418844</v>
      </c>
      <c r="I157" s="5">
        <v>278805199063391</v>
      </c>
      <c r="J157" s="5">
        <v>-852434729155558</v>
      </c>
      <c r="K157" s="5">
        <v>-35884988995266</v>
      </c>
      <c r="L157" s="5">
        <v>633828311842526</v>
      </c>
      <c r="M157" s="5">
        <v>668775317958586</v>
      </c>
      <c r="N157" s="5">
        <v>480646389760007</v>
      </c>
      <c r="O157" s="5">
        <v>-675723568972208</v>
      </c>
      <c r="P157" s="5">
        <v>651743649973919</v>
      </c>
    </row>
    <row r="158" spans="1:16" x14ac:dyDescent="0.45">
      <c r="A158" s="1" t="s">
        <v>152</v>
      </c>
      <c r="B158" s="2">
        <v>4040823</v>
      </c>
      <c r="C158" s="3" t="s">
        <v>850</v>
      </c>
      <c r="D158" s="3" t="s">
        <v>851</v>
      </c>
      <c r="E158" s="3" t="s">
        <v>852</v>
      </c>
      <c r="F158" s="5">
        <v>101179991111111</v>
      </c>
      <c r="G158" s="5">
        <v>995593251297709</v>
      </c>
      <c r="H158" s="5">
        <v>893880535576916</v>
      </c>
      <c r="I158" s="5">
        <v>103721832515387</v>
      </c>
      <c r="J158" s="5">
        <v>962866613333336</v>
      </c>
      <c r="K158" s="5">
        <v>607676034198453</v>
      </c>
      <c r="L158" s="5">
        <v>436214853754788</v>
      </c>
      <c r="M158" s="5">
        <v>423023391724116</v>
      </c>
      <c r="N158" s="5">
        <v>686888560000009</v>
      </c>
      <c r="O158" s="5">
        <v>766890605555539</v>
      </c>
      <c r="P158" s="5">
        <v>644164396896525</v>
      </c>
    </row>
    <row r="159" spans="1:16" x14ac:dyDescent="0.45">
      <c r="A159" s="1" t="s">
        <v>153</v>
      </c>
      <c r="B159" s="2">
        <v>4570011</v>
      </c>
      <c r="C159" s="3" t="s">
        <v>853</v>
      </c>
      <c r="D159" s="3" t="s">
        <v>854</v>
      </c>
      <c r="E159" s="3" t="s">
        <v>798</v>
      </c>
      <c r="F159" s="5">
        <v>177776177777778</v>
      </c>
      <c r="G159" s="5">
        <v>148858203435114</v>
      </c>
      <c r="H159" s="5">
        <v>134752606346153</v>
      </c>
      <c r="I159" s="5">
        <v>980805368461561</v>
      </c>
      <c r="J159" s="5">
        <v>629670944622224</v>
      </c>
      <c r="K159" s="5">
        <v>648125785920589</v>
      </c>
      <c r="L159" s="5">
        <v>681590398993867</v>
      </c>
      <c r="M159" s="5">
        <v>878412183641333</v>
      </c>
      <c r="N159" s="5">
        <v>73327593152001</v>
      </c>
      <c r="O159" s="5">
        <v>594757027333321</v>
      </c>
      <c r="P159" s="5">
        <v>549031609845762</v>
      </c>
    </row>
    <row r="160" spans="1:16" x14ac:dyDescent="0.45">
      <c r="A160" s="1" t="s">
        <v>154</v>
      </c>
      <c r="B160" s="2">
        <v>103054</v>
      </c>
      <c r="C160" s="3" t="s">
        <v>855</v>
      </c>
      <c r="D160" s="3" t="s">
        <v>856</v>
      </c>
      <c r="E160" s="3" t="s">
        <v>598</v>
      </c>
      <c r="F160" s="5">
        <v>770793550222223</v>
      </c>
      <c r="G160" s="5">
        <v>805959919727862</v>
      </c>
      <c r="H160" s="5">
        <v>812072662949994</v>
      </c>
      <c r="I160" s="5">
        <v>772202050914633</v>
      </c>
      <c r="J160" s="5">
        <v>524853667466668</v>
      </c>
      <c r="K160" s="5">
        <v>689585114887763</v>
      </c>
      <c r="L160" s="5">
        <v>8116142280931</v>
      </c>
      <c r="M160" s="5">
        <v>727648545393065</v>
      </c>
      <c r="N160" s="5">
        <v>75310656832001</v>
      </c>
      <c r="O160" s="5">
        <v>774020644833317</v>
      </c>
      <c r="P160" s="5">
        <v>909760967807242</v>
      </c>
    </row>
    <row r="161" spans="1:16" x14ac:dyDescent="0.45">
      <c r="A161" s="1" t="s">
        <v>155</v>
      </c>
      <c r="B161" s="2">
        <v>103619</v>
      </c>
      <c r="C161" s="3" t="s">
        <v>857</v>
      </c>
      <c r="D161" s="3" t="s">
        <v>858</v>
      </c>
      <c r="E161" s="3" t="s">
        <v>533</v>
      </c>
      <c r="F161" s="5">
        <v>655399440888889</v>
      </c>
      <c r="G161" s="5">
        <v>656277910955724</v>
      </c>
      <c r="H161" s="5">
        <v>511280244217304</v>
      </c>
      <c r="I161" s="5">
        <v>363634303843085</v>
      </c>
      <c r="J161" s="5">
        <v>265641887822223</v>
      </c>
      <c r="K161" s="5">
        <v>295173721680906</v>
      </c>
      <c r="L161" s="5">
        <v>320715737551723</v>
      </c>
      <c r="M161" s="5">
        <v>291855627682743</v>
      </c>
      <c r="N161" s="5">
        <v>257418693760004</v>
      </c>
      <c r="O161" s="5">
        <v>263199351249994</v>
      </c>
      <c r="P161" s="5">
        <v>209620253314742</v>
      </c>
    </row>
    <row r="162" spans="1:16" x14ac:dyDescent="0.45">
      <c r="A162" s="1" t="s">
        <v>156</v>
      </c>
      <c r="B162" s="2">
        <v>103163</v>
      </c>
      <c r="C162" s="3" t="s">
        <v>859</v>
      </c>
      <c r="D162" s="3" t="s">
        <v>860</v>
      </c>
      <c r="E162" s="3" t="s">
        <v>598</v>
      </c>
      <c r="F162" s="5">
        <v>574174515555556</v>
      </c>
      <c r="G162" s="5">
        <v>535745297088549</v>
      </c>
      <c r="H162" s="5">
        <v>526985350657688</v>
      </c>
      <c r="I162" s="5">
        <v>501193445913088</v>
      </c>
      <c r="J162" s="5">
        <v>421897492533335</v>
      </c>
      <c r="K162" s="5">
        <v>43401383683281</v>
      </c>
      <c r="L162" s="5">
        <v>549415422305362</v>
      </c>
      <c r="M162" s="5">
        <v>453958089682735</v>
      </c>
      <c r="N162" s="5">
        <v>472677772960006</v>
      </c>
      <c r="O162" s="5">
        <v>412737594499991</v>
      </c>
      <c r="P162" s="5">
        <v>321661228992132</v>
      </c>
    </row>
    <row r="163" spans="1:16" x14ac:dyDescent="0.45">
      <c r="A163" s="1" t="s">
        <v>157</v>
      </c>
      <c r="B163" s="2">
        <v>4050636</v>
      </c>
      <c r="C163" s="3" t="s">
        <v>861</v>
      </c>
      <c r="D163" s="3" t="s">
        <v>862</v>
      </c>
      <c r="E163" s="3" t="s">
        <v>863</v>
      </c>
      <c r="F163" s="5">
        <v>186992888888889</v>
      </c>
      <c r="G163" s="5">
        <v>141646439541985</v>
      </c>
      <c r="H163" s="5">
        <v>212996055192306</v>
      </c>
      <c r="I163" s="5">
        <v>751538546153863</v>
      </c>
      <c r="J163" s="5">
        <v>133381812444445</v>
      </c>
      <c r="K163" s="5">
        <v>533909356259524</v>
      </c>
      <c r="L163" s="5">
        <v>101495216863601</v>
      </c>
      <c r="M163" s="5">
        <v>-180999936537922</v>
      </c>
      <c r="N163" s="5">
        <v>413176993760006</v>
      </c>
      <c r="O163" s="5">
        <v>10463346202222</v>
      </c>
      <c r="P163" s="5">
        <v>962793203510879</v>
      </c>
    </row>
    <row r="164" spans="1:16" x14ac:dyDescent="0.45">
      <c r="A164" s="1" t="s">
        <v>158</v>
      </c>
      <c r="B164" s="2">
        <v>8603803</v>
      </c>
      <c r="C164" s="3" t="s">
        <v>864</v>
      </c>
      <c r="D164" s="3" t="s">
        <v>865</v>
      </c>
      <c r="E164" s="3" t="s">
        <v>512</v>
      </c>
      <c r="F164" s="5">
        <v>134998231111111</v>
      </c>
      <c r="G164" s="5">
        <v>134194283519084</v>
      </c>
      <c r="H164" s="5">
        <v>113869189384615</v>
      </c>
      <c r="I164" s="5">
        <v>117886907138464</v>
      </c>
      <c r="J164" s="5">
        <v>109915005333334</v>
      </c>
      <c r="K164" s="5">
        <v>951949768931265</v>
      </c>
      <c r="L164" s="5">
        <v>100964576636015</v>
      </c>
      <c r="M164" s="5">
        <v>834943584827543</v>
      </c>
      <c r="N164" s="5">
        <v>584276544000008</v>
      </c>
      <c r="O164" s="5">
        <v>616441894444432</v>
      </c>
      <c r="P164" s="5">
        <v>559787514664919</v>
      </c>
    </row>
    <row r="165" spans="1:16" x14ac:dyDescent="0.45">
      <c r="A165" s="1" t="s">
        <v>159</v>
      </c>
      <c r="B165" s="2">
        <v>4057052</v>
      </c>
      <c r="C165" s="3" t="s">
        <v>866</v>
      </c>
      <c r="D165" s="3" t="s">
        <v>867</v>
      </c>
      <c r="E165" s="3" t="s">
        <v>512</v>
      </c>
      <c r="F165" s="5">
        <v>277200474044445</v>
      </c>
      <c r="G165" s="5">
        <v>233375360878511</v>
      </c>
      <c r="H165" s="5">
        <v>234197162752883</v>
      </c>
      <c r="I165" s="5">
        <v>230023497952774</v>
      </c>
      <c r="J165" s="5">
        <v>175765962284445</v>
      </c>
      <c r="K165" s="5">
        <v>178332391182742</v>
      </c>
      <c r="L165" s="5">
        <v>166288264652681</v>
      </c>
      <c r="M165" s="5">
        <v>149234617613785</v>
      </c>
      <c r="N165" s="5">
        <v>170116798512002</v>
      </c>
      <c r="O165" s="5">
        <v>165672059238885</v>
      </c>
      <c r="P165" s="5">
        <v>159027657302905</v>
      </c>
    </row>
    <row r="166" spans="1:16" x14ac:dyDescent="0.45">
      <c r="A166" s="1" t="s">
        <v>160</v>
      </c>
      <c r="B166" s="2">
        <v>4057056</v>
      </c>
      <c r="C166" s="3" t="s">
        <v>868</v>
      </c>
      <c r="D166" s="3" t="s">
        <v>869</v>
      </c>
      <c r="E166" s="3" t="s">
        <v>512</v>
      </c>
      <c r="F166" s="5">
        <v>451352977777778</v>
      </c>
      <c r="G166" s="5">
        <v>394705385381679</v>
      </c>
      <c r="H166" s="5">
        <v>369482952884613</v>
      </c>
      <c r="I166" s="5">
        <v>326110650153854</v>
      </c>
      <c r="J166" s="5">
        <v>234583475555556</v>
      </c>
      <c r="K166" s="5">
        <v>195687822213734</v>
      </c>
      <c r="L166" s="5">
        <v>404769506934864</v>
      </c>
      <c r="M166" s="5">
        <v>374287977931015</v>
      </c>
      <c r="N166" s="5">
        <v>417809168000006</v>
      </c>
      <c r="O166" s="5">
        <v>386790616666659</v>
      </c>
      <c r="P166" s="5">
        <v>395819460785424</v>
      </c>
    </row>
    <row r="167" spans="1:16" x14ac:dyDescent="0.45">
      <c r="A167" s="1" t="s">
        <v>161</v>
      </c>
      <c r="B167" s="2">
        <v>4010492</v>
      </c>
      <c r="C167" s="3" t="s">
        <v>870</v>
      </c>
      <c r="D167" s="3" t="s">
        <v>871</v>
      </c>
      <c r="E167" s="3" t="s">
        <v>558</v>
      </c>
      <c r="F167" s="5">
        <v>233519555555556</v>
      </c>
      <c r="G167" s="5">
        <v>-445650025190839</v>
      </c>
      <c r="H167" s="5">
        <v>203562447884614</v>
      </c>
      <c r="I167" s="5">
        <v>335433533384623</v>
      </c>
      <c r="J167" s="5">
        <v>690299733333335</v>
      </c>
      <c r="K167" s="5">
        <v>-751788580992341</v>
      </c>
      <c r="L167" s="5">
        <v>142933394636015</v>
      </c>
      <c r="M167" s="5">
        <v>646697751724104</v>
      </c>
      <c r="N167" s="5">
        <v>255421440000004</v>
      </c>
      <c r="O167" s="5">
        <v>-810108444444427</v>
      </c>
      <c r="P167" s="5">
        <v>-162258034482752</v>
      </c>
    </row>
    <row r="168" spans="1:16" x14ac:dyDescent="0.45">
      <c r="A168" s="1" t="s">
        <v>162</v>
      </c>
      <c r="B168" s="2">
        <v>4122573</v>
      </c>
      <c r="C168" s="3" t="s">
        <v>872</v>
      </c>
      <c r="D168" s="3" t="s">
        <v>873</v>
      </c>
      <c r="E168" s="3" t="s">
        <v>632</v>
      </c>
      <c r="F168" s="5">
        <v>191689866666667</v>
      </c>
      <c r="G168" s="5">
        <v>153850963053435</v>
      </c>
      <c r="H168" s="5">
        <v>135677469807691</v>
      </c>
      <c r="I168" s="5">
        <v>113111307769233</v>
      </c>
      <c r="J168" s="5">
        <v>221640355555556</v>
      </c>
      <c r="K168" s="5">
        <v>-133937832595415</v>
      </c>
      <c r="L168" s="5">
        <v>858493701532564</v>
      </c>
      <c r="M168" s="5">
        <v>663649199999965</v>
      </c>
      <c r="N168" s="5">
        <v>555186880000008</v>
      </c>
      <c r="O168" s="5">
        <v>524400555555545</v>
      </c>
      <c r="P168" s="5">
        <v>421922271366074</v>
      </c>
    </row>
    <row r="169" spans="1:16" x14ac:dyDescent="0.45">
      <c r="A169" s="1" t="s">
        <v>163</v>
      </c>
      <c r="B169" s="2">
        <v>4077460</v>
      </c>
      <c r="C169" s="3" t="s">
        <v>874</v>
      </c>
      <c r="D169" s="3" t="s">
        <v>875</v>
      </c>
      <c r="E169" s="3" t="s">
        <v>657</v>
      </c>
      <c r="F169" s="5">
        <v>932789655111111</v>
      </c>
      <c r="G169" s="5">
        <v>962791745190457</v>
      </c>
      <c r="H169" s="5">
        <v>869309687994224</v>
      </c>
      <c r="I169" s="5">
        <v>179738624618389</v>
      </c>
      <c r="J169" s="5">
        <v>161520493706667</v>
      </c>
      <c r="K169" s="5">
        <v>82488600833356</v>
      </c>
      <c r="L169" s="5">
        <v>684911813751722</v>
      </c>
      <c r="M169" s="5">
        <v>675144824648241</v>
      </c>
      <c r="N169" s="5">
        <v>617499068800009</v>
      </c>
      <c r="O169" s="5">
        <v>605920430194432</v>
      </c>
      <c r="P169" s="5">
        <v>650369865281965</v>
      </c>
    </row>
    <row r="170" spans="1:16" x14ac:dyDescent="0.45">
      <c r="A170" s="1" t="s">
        <v>164</v>
      </c>
      <c r="B170" s="2">
        <v>4092889</v>
      </c>
      <c r="C170" s="3" t="s">
        <v>876</v>
      </c>
      <c r="D170" s="3" t="s">
        <v>877</v>
      </c>
      <c r="E170" s="3" t="s">
        <v>878</v>
      </c>
      <c r="F170" s="5">
        <v>138057115733333</v>
      </c>
      <c r="G170" s="5">
        <v>135756924821107</v>
      </c>
      <c r="H170" s="5">
        <v>119465353217691</v>
      </c>
      <c r="I170" s="5">
        <v>102651223047233</v>
      </c>
      <c r="J170" s="5">
        <v>73390958817778</v>
      </c>
      <c r="K170" s="5">
        <v>588051115622881</v>
      </c>
      <c r="L170" s="5">
        <v>576224367136779</v>
      </c>
      <c r="M170" s="5">
        <v>511381120717215</v>
      </c>
      <c r="N170" s="5">
        <v>493935399680007</v>
      </c>
      <c r="O170" s="5">
        <v>432941482111102</v>
      </c>
      <c r="P170" s="5">
        <v>339306790242131</v>
      </c>
    </row>
    <row r="171" spans="1:16" x14ac:dyDescent="0.45">
      <c r="A171" s="1" t="s">
        <v>165</v>
      </c>
      <c r="B171" s="2">
        <v>3007562</v>
      </c>
      <c r="C171" s="3" t="s">
        <v>879</v>
      </c>
      <c r="D171" s="3" t="s">
        <v>880</v>
      </c>
      <c r="E171" s="3" t="s">
        <v>699</v>
      </c>
      <c r="F171" s="5">
        <v>313660631111111</v>
      </c>
      <c r="G171" s="5">
        <v>371119219110686</v>
      </c>
      <c r="H171" s="5">
        <v>435120512749997</v>
      </c>
      <c r="I171" s="5">
        <v>64733154318463</v>
      </c>
      <c r="J171" s="5">
        <v>210482201777778</v>
      </c>
      <c r="K171" s="5">
        <v>-349273378778614</v>
      </c>
      <c r="L171" s="5">
        <v>138868726226053</v>
      </c>
      <c r="M171" s="5">
        <v>197204673517231</v>
      </c>
      <c r="N171" s="5">
        <v>124819491200002</v>
      </c>
      <c r="O171" s="5">
        <v>410117399999991</v>
      </c>
      <c r="P171" s="5">
        <v>130121929319918</v>
      </c>
    </row>
    <row r="172" spans="1:16" x14ac:dyDescent="0.45">
      <c r="A172" s="1" t="s">
        <v>166</v>
      </c>
      <c r="B172" s="2">
        <v>4135450</v>
      </c>
      <c r="C172" s="3" t="s">
        <v>881</v>
      </c>
      <c r="D172" s="3" t="s">
        <v>882</v>
      </c>
      <c r="E172" s="3" t="s">
        <v>577</v>
      </c>
      <c r="F172" s="5">
        <v>717177784275842</v>
      </c>
      <c r="G172" s="5">
        <v>615487395435259</v>
      </c>
      <c r="H172" s="5">
        <v>504276436995399</v>
      </c>
      <c r="I172" s="5">
        <v>386507601705747</v>
      </c>
      <c r="J172" s="5">
        <v>371706743957087</v>
      </c>
      <c r="K172" s="5">
        <v>379742092030524</v>
      </c>
      <c r="L172" s="5">
        <v>466096588732564</v>
      </c>
      <c r="M172" s="5">
        <v>512231170451898</v>
      </c>
      <c r="N172" s="5">
        <v>523212073485573</v>
      </c>
      <c r="O172" s="5">
        <v>501067024410678</v>
      </c>
      <c r="P172" s="5">
        <v>482645555856874</v>
      </c>
    </row>
    <row r="173" spans="1:16" x14ac:dyDescent="0.45">
      <c r="A173" s="1" t="s">
        <v>167</v>
      </c>
      <c r="B173" s="2">
        <v>4047873</v>
      </c>
      <c r="C173" s="3" t="s">
        <v>883</v>
      </c>
      <c r="D173" s="3" t="s">
        <v>884</v>
      </c>
      <c r="E173" s="3" t="s">
        <v>885</v>
      </c>
      <c r="F173" s="5">
        <v>681193747915747</v>
      </c>
      <c r="G173" s="5">
        <v>648923787365139</v>
      </c>
      <c r="H173" s="5">
        <v>593724305634119</v>
      </c>
      <c r="I173" s="5">
        <v>491924557519544</v>
      </c>
      <c r="J173" s="5">
        <v>396604313963591</v>
      </c>
      <c r="K173" s="5">
        <v>409827951141758</v>
      </c>
      <c r="L173" s="5">
        <v>386586272974998</v>
      </c>
      <c r="M173" s="5">
        <v>311461473226035</v>
      </c>
      <c r="N173" s="5">
        <v>324286704272982</v>
      </c>
      <c r="O173" s="5">
        <v>315489650097705</v>
      </c>
      <c r="P173" s="5">
        <v>286510409469343</v>
      </c>
    </row>
    <row r="174" spans="1:16" x14ac:dyDescent="0.45">
      <c r="A174" s="1" t="s">
        <v>168</v>
      </c>
      <c r="B174" s="2">
        <v>108391</v>
      </c>
      <c r="C174" s="3" t="s">
        <v>886</v>
      </c>
      <c r="D174" s="3" t="s">
        <v>887</v>
      </c>
      <c r="E174" s="3" t="s">
        <v>483</v>
      </c>
      <c r="F174" s="5">
        <v>847974357333309</v>
      </c>
      <c r="G174" s="5">
        <v>67672103306093</v>
      </c>
      <c r="H174" s="5">
        <v>60076515817194</v>
      </c>
      <c r="I174" s="5">
        <v>501696996888122</v>
      </c>
      <c r="J174" s="5">
        <v>345837561820689</v>
      </c>
      <c r="K174" s="5">
        <v>30465672383358</v>
      </c>
      <c r="L174" s="5">
        <v>224785553737929</v>
      </c>
      <c r="M174" s="5">
        <v>147416150361916</v>
      </c>
      <c r="N174" s="5">
        <v>169213293605768</v>
      </c>
      <c r="O174" s="5">
        <v>152718696406104</v>
      </c>
      <c r="P174" s="5">
        <v>135957195415511</v>
      </c>
    </row>
    <row r="175" spans="1:16" x14ac:dyDescent="0.45">
      <c r="A175" s="1" t="s">
        <v>169</v>
      </c>
      <c r="B175" s="2">
        <v>4101711</v>
      </c>
      <c r="C175" s="3" t="s">
        <v>888</v>
      </c>
      <c r="D175" s="3" t="s">
        <v>889</v>
      </c>
      <c r="E175" s="3" t="s">
        <v>890</v>
      </c>
      <c r="F175" s="5">
        <v>146731813333333</v>
      </c>
      <c r="G175" s="5">
        <v>139612352290076</v>
      </c>
      <c r="H175" s="5">
        <v>141383877365384</v>
      </c>
      <c r="I175" s="5">
        <v>138283092492311</v>
      </c>
      <c r="J175" s="5">
        <v>102986629333334</v>
      </c>
      <c r="K175" s="5">
        <v>10015076441221</v>
      </c>
      <c r="L175" s="5">
        <v>944432405057468</v>
      </c>
      <c r="M175" s="5">
        <v>846470569655128</v>
      </c>
      <c r="N175" s="5">
        <v>781163904000011</v>
      </c>
      <c r="O175" s="5">
        <v>719061658333318</v>
      </c>
      <c r="P175" s="5">
        <v>745846098505716</v>
      </c>
    </row>
    <row r="176" spans="1:16" x14ac:dyDescent="0.45">
      <c r="A176" s="1" t="s">
        <v>170</v>
      </c>
      <c r="B176" s="2">
        <v>102950</v>
      </c>
      <c r="C176" s="3" t="s">
        <v>891</v>
      </c>
      <c r="D176" s="3" t="s">
        <v>892</v>
      </c>
      <c r="E176" s="3" t="s">
        <v>893</v>
      </c>
      <c r="F176" s="5">
        <v>408932178666667</v>
      </c>
      <c r="G176" s="5">
        <v>38969043572061</v>
      </c>
      <c r="H176" s="5">
        <v>370368972080766</v>
      </c>
      <c r="I176" s="5">
        <v>349818361683854</v>
      </c>
      <c r="J176" s="5">
        <v>258879319111112</v>
      </c>
      <c r="K176" s="5">
        <v>211005152735107</v>
      </c>
      <c r="L176" s="5">
        <v>314905495059769</v>
      </c>
      <c r="M176" s="5">
        <v>293533821062054</v>
      </c>
      <c r="N176" s="5">
        <v>294329752480004</v>
      </c>
      <c r="O176" s="5">
        <v>290269269583327</v>
      </c>
      <c r="P176" s="5">
        <v>271845308105353</v>
      </c>
    </row>
    <row r="177" spans="1:16" x14ac:dyDescent="0.45">
      <c r="A177" s="1" t="s">
        <v>171</v>
      </c>
      <c r="B177" s="2">
        <v>4379438</v>
      </c>
      <c r="C177" s="3" t="s">
        <v>894</v>
      </c>
      <c r="D177" s="3" t="s">
        <v>895</v>
      </c>
      <c r="E177" s="3" t="s">
        <v>657</v>
      </c>
      <c r="F177" s="5">
        <v>623913797115371</v>
      </c>
      <c r="G177" s="5">
        <v>643460663244263</v>
      </c>
      <c r="H177" s="5">
        <v>612432214252884</v>
      </c>
      <c r="I177" s="5">
        <v>509249791954045</v>
      </c>
      <c r="J177" s="5">
        <v>671027634482725</v>
      </c>
      <c r="K177" s="5">
        <v>246897630000001</v>
      </c>
      <c r="L177" s="5">
        <v>138234765287351</v>
      </c>
      <c r="M177" s="5">
        <v>459418416091936</v>
      </c>
      <c r="N177" s="5">
        <v>467874614444441</v>
      </c>
      <c r="O177" s="5">
        <v>441708255725192</v>
      </c>
      <c r="P177" s="5">
        <v>373103170384603</v>
      </c>
    </row>
    <row r="178" spans="1:16" x14ac:dyDescent="0.45">
      <c r="A178" s="1" t="s">
        <v>172</v>
      </c>
      <c r="B178" s="2">
        <v>4093074</v>
      </c>
      <c r="C178" s="3" t="s">
        <v>896</v>
      </c>
      <c r="D178" s="3" t="s">
        <v>897</v>
      </c>
      <c r="E178" s="3" t="s">
        <v>629</v>
      </c>
      <c r="F178" s="5">
        <v>208528088888889</v>
      </c>
      <c r="G178" s="5">
        <v>214041454007633</v>
      </c>
      <c r="H178" s="5">
        <v>185620096730768</v>
      </c>
      <c r="I178" s="5">
        <v>161438090230773</v>
      </c>
      <c r="J178" s="5">
        <v>120971644444445</v>
      </c>
      <c r="K178" s="5">
        <v>603465807633567</v>
      </c>
      <c r="L178" s="5">
        <v>943360404597698</v>
      </c>
      <c r="M178" s="5">
        <v>131627995862062</v>
      </c>
      <c r="N178" s="5">
        <v>127001216000002</v>
      </c>
      <c r="O178" s="5">
        <v>111118669444442</v>
      </c>
      <c r="P178" s="5">
        <v>118538508524899</v>
      </c>
    </row>
    <row r="179" spans="1:16" x14ac:dyDescent="0.45">
      <c r="A179" s="1" t="s">
        <v>173</v>
      </c>
      <c r="B179" s="2">
        <v>4211343</v>
      </c>
      <c r="C179" s="3" t="s">
        <v>898</v>
      </c>
      <c r="D179" s="3" t="s">
        <v>899</v>
      </c>
      <c r="E179" s="3" t="s">
        <v>486</v>
      </c>
      <c r="F179" s="5">
        <v>141517636266667</v>
      </c>
      <c r="G179" s="5">
        <v>128862663456298</v>
      </c>
      <c r="H179" s="5">
        <v>819404055609609</v>
      </c>
      <c r="I179" s="5">
        <v>-267078724325391</v>
      </c>
      <c r="J179" s="5">
        <v>371769550133334</v>
      </c>
      <c r="K179" s="5">
        <v>299004150724417</v>
      </c>
      <c r="L179" s="5">
        <v>179752143760536</v>
      </c>
      <c r="M179" s="5">
        <v>33998672234481</v>
      </c>
      <c r="N179" s="5">
        <v>190707580160003</v>
      </c>
      <c r="O179" s="5">
        <v>226614275249995</v>
      </c>
      <c r="P179" s="5">
        <v>658189801110509</v>
      </c>
    </row>
    <row r="180" spans="1:16" x14ac:dyDescent="0.45">
      <c r="A180" s="1" t="s">
        <v>174</v>
      </c>
      <c r="B180" s="2">
        <v>4056944</v>
      </c>
      <c r="C180" s="3" t="s">
        <v>900</v>
      </c>
      <c r="D180" s="3" t="s">
        <v>901</v>
      </c>
      <c r="E180" s="3" t="s">
        <v>512</v>
      </c>
      <c r="F180" s="5">
        <v>285097688888889</v>
      </c>
      <c r="G180" s="5">
        <v>241686548931297</v>
      </c>
      <c r="H180" s="5">
        <v>215678159230768</v>
      </c>
      <c r="I180" s="5">
        <v>217660784000005</v>
      </c>
      <c r="J180" s="5">
        <v>243381413333334</v>
      </c>
      <c r="K180" s="5">
        <v>147796495038163</v>
      </c>
      <c r="L180" s="5">
        <v>164016070344827</v>
      </c>
      <c r="M180" s="5">
        <v>199857575172403</v>
      </c>
      <c r="N180" s="5">
        <v>206288288000003</v>
      </c>
      <c r="O180" s="5">
        <v>179833224999996</v>
      </c>
      <c r="P180" s="5">
        <v>210394584712635</v>
      </c>
    </row>
    <row r="181" spans="1:16" x14ac:dyDescent="0.45">
      <c r="A181" s="1" t="s">
        <v>175</v>
      </c>
      <c r="B181" s="2">
        <v>113881</v>
      </c>
      <c r="C181" s="3" t="s">
        <v>902</v>
      </c>
      <c r="D181" s="3" t="s">
        <v>903</v>
      </c>
      <c r="E181" s="3" t="s">
        <v>904</v>
      </c>
      <c r="F181" s="5">
        <v>504969422222222</v>
      </c>
      <c r="G181" s="5">
        <v>543563588816793</v>
      </c>
      <c r="H181" s="5">
        <v>448281319807689</v>
      </c>
      <c r="I181" s="5">
        <v>350654567230777</v>
      </c>
      <c r="J181" s="5">
        <v>194823564444445</v>
      </c>
      <c r="K181" s="5">
        <v>132622136793889</v>
      </c>
      <c r="L181" s="5">
        <v>153564065862068</v>
      </c>
      <c r="M181" s="5">
        <v>129339550344821</v>
      </c>
      <c r="N181" s="5">
        <v>134983136000002</v>
      </c>
      <c r="O181" s="5">
        <v>130648069444442</v>
      </c>
      <c r="P181" s="5">
        <v>118177935114938</v>
      </c>
    </row>
    <row r="182" spans="1:16" x14ac:dyDescent="0.45">
      <c r="A182" s="1" t="s">
        <v>176</v>
      </c>
      <c r="B182" s="2">
        <v>113873</v>
      </c>
      <c r="C182" s="3" t="s">
        <v>905</v>
      </c>
      <c r="D182" s="3" t="s">
        <v>906</v>
      </c>
      <c r="E182" s="3" t="s">
        <v>907</v>
      </c>
      <c r="F182" s="5">
        <v>-533505777777778</v>
      </c>
      <c r="G182" s="5">
        <v>520541419465648</v>
      </c>
      <c r="H182" s="5">
        <v>274129529999998</v>
      </c>
      <c r="I182" s="5">
        <v>768662209230787</v>
      </c>
      <c r="J182" s="5">
        <v>568228346666668</v>
      </c>
      <c r="K182" s="5">
        <v>-360939214885484</v>
      </c>
      <c r="L182" s="5">
        <v>100946709961685</v>
      </c>
      <c r="M182" s="5">
        <v>428363097931012</v>
      </c>
      <c r="N182" s="5">
        <v>584986048000008</v>
      </c>
      <c r="O182" s="5">
        <v>394475797222214</v>
      </c>
      <c r="P182" s="5">
        <v>725744130900353</v>
      </c>
    </row>
    <row r="183" spans="1:16" x14ac:dyDescent="0.45">
      <c r="A183" s="1" t="s">
        <v>177</v>
      </c>
      <c r="B183" s="2">
        <v>4868602</v>
      </c>
      <c r="C183" s="3" t="s">
        <v>908</v>
      </c>
      <c r="D183" s="3" t="s">
        <v>909</v>
      </c>
      <c r="E183" s="3" t="s">
        <v>910</v>
      </c>
      <c r="F183" s="5">
        <v>183829075555556</v>
      </c>
      <c r="G183" s="5">
        <v>166314370396946</v>
      </c>
      <c r="H183" s="5">
        <v>11435936701923</v>
      </c>
      <c r="I183" s="5">
        <v>918018603846175</v>
      </c>
      <c r="J183" s="5">
        <v>546318097777779</v>
      </c>
      <c r="K183" s="5">
        <v>431197370687008</v>
      </c>
      <c r="L183" s="5">
        <v>313560134482757</v>
      </c>
      <c r="M183" s="5">
        <v>198670973793093</v>
      </c>
      <c r="N183" s="5">
        <v>976454880000014</v>
      </c>
      <c r="O183" s="5">
        <v>42404113888888</v>
      </c>
      <c r="P183" s="5">
        <v>217939583316083</v>
      </c>
    </row>
    <row r="184" spans="1:16" x14ac:dyDescent="0.45">
      <c r="A184" s="1" t="s">
        <v>178</v>
      </c>
      <c r="B184" s="2">
        <v>4992262</v>
      </c>
      <c r="C184" s="3" t="s">
        <v>911</v>
      </c>
      <c r="D184" s="3" t="s">
        <v>912</v>
      </c>
      <c r="E184" s="3" t="s">
        <v>809</v>
      </c>
      <c r="F184" s="5">
        <v>638611733333334</v>
      </c>
      <c r="G184" s="5">
        <v>663019985610686</v>
      </c>
      <c r="H184" s="5">
        <v>530131736153842</v>
      </c>
      <c r="I184" s="5">
        <v>956737108692329</v>
      </c>
      <c r="J184" s="5">
        <v>685731573333335</v>
      </c>
      <c r="K184" s="5">
        <v>494526195267159</v>
      </c>
      <c r="L184" s="5">
        <v>53117622781609</v>
      </c>
      <c r="M184" s="5">
        <v>583807878620659</v>
      </c>
      <c r="N184" s="5">
        <v>104323694400001</v>
      </c>
      <c r="O184" s="5">
        <v>973938411111091</v>
      </c>
      <c r="P184" s="5">
        <v>1166454981226</v>
      </c>
    </row>
    <row r="185" spans="1:16" x14ac:dyDescent="0.45">
      <c r="A185" s="1" t="s">
        <v>179</v>
      </c>
      <c r="B185" s="2">
        <v>102719</v>
      </c>
      <c r="C185" s="3" t="s">
        <v>913</v>
      </c>
      <c r="D185" s="3" t="s">
        <v>914</v>
      </c>
      <c r="E185" s="3" t="s">
        <v>542</v>
      </c>
      <c r="F185" s="5">
        <v>105977311877392</v>
      </c>
      <c r="G185" s="5">
        <v>113800127651343</v>
      </c>
      <c r="H185" s="5">
        <v>140618393165388</v>
      </c>
      <c r="I185" s="5">
        <v>18068580151341</v>
      </c>
      <c r="J185" s="5">
        <v>175317345103448</v>
      </c>
      <c r="K185" s="5">
        <v>116100801946562</v>
      </c>
      <c r="L185" s="5">
        <v>142629797455938</v>
      </c>
      <c r="M185" s="5">
        <v>173435215649992</v>
      </c>
      <c r="N185" s="5">
        <v>206169484182691</v>
      </c>
      <c r="O185" s="5">
        <v>215572248293889</v>
      </c>
      <c r="P185" s="5">
        <v>265005973689643</v>
      </c>
    </row>
    <row r="186" spans="1:16" x14ac:dyDescent="0.45">
      <c r="A186" s="1" t="s">
        <v>180</v>
      </c>
      <c r="B186" s="2">
        <v>4004107</v>
      </c>
      <c r="C186" s="3" t="s">
        <v>915</v>
      </c>
      <c r="D186" s="3" t="s">
        <v>916</v>
      </c>
      <c r="E186" s="3" t="s">
        <v>917</v>
      </c>
      <c r="F186" s="5">
        <v>576221688888889</v>
      </c>
      <c r="G186" s="5">
        <v>643603698206106</v>
      </c>
      <c r="H186" s="5">
        <v>575727504807688</v>
      </c>
      <c r="I186" s="5">
        <v>666966676846169</v>
      </c>
      <c r="J186" s="5">
        <v>709333733333335</v>
      </c>
      <c r="K186" s="5">
        <v>181829159770986</v>
      </c>
      <c r="L186" s="5">
        <v>554760237931032</v>
      </c>
      <c r="M186" s="5">
        <v>383780788965497</v>
      </c>
      <c r="N186" s="5">
        <v>348809904000005</v>
      </c>
      <c r="O186" s="5">
        <v>874302305555537</v>
      </c>
      <c r="P186" s="5">
        <v>549874450191548</v>
      </c>
    </row>
    <row r="187" spans="1:16" x14ac:dyDescent="0.45">
      <c r="A187" s="1" t="s">
        <v>181</v>
      </c>
      <c r="B187" s="2">
        <v>4156047</v>
      </c>
      <c r="C187" s="3" t="s">
        <v>918</v>
      </c>
      <c r="D187" s="3" t="s">
        <v>919</v>
      </c>
      <c r="E187" s="3" t="s">
        <v>920</v>
      </c>
      <c r="F187" s="5">
        <v>166339588043411</v>
      </c>
      <c r="G187" s="5">
        <v>147328941742462</v>
      </c>
      <c r="H187" s="5">
        <v>101009887815384</v>
      </c>
      <c r="I187" s="5">
        <v>977803970850022</v>
      </c>
      <c r="J187" s="5">
        <v>103003760295312</v>
      </c>
      <c r="K187" s="5">
        <v>925696271627882</v>
      </c>
      <c r="L187" s="5">
        <v>844738705463316</v>
      </c>
      <c r="M187" s="5">
        <v>659624737111503</v>
      </c>
      <c r="N187" s="5">
        <v>606303982560008</v>
      </c>
      <c r="O187" s="5">
        <v>572196953777766</v>
      </c>
      <c r="P187" s="5">
        <v>49528507025932</v>
      </c>
    </row>
    <row r="188" spans="1:16" x14ac:dyDescent="0.45">
      <c r="A188" s="1" t="s">
        <v>182</v>
      </c>
      <c r="B188" s="2">
        <v>4094069</v>
      </c>
      <c r="C188" s="3" t="s">
        <v>921</v>
      </c>
      <c r="D188" s="3" t="s">
        <v>922</v>
      </c>
      <c r="E188" s="3" t="s">
        <v>480</v>
      </c>
      <c r="F188" s="5">
        <v>104452189422222</v>
      </c>
      <c r="G188" s="5">
        <v>107862099458015</v>
      </c>
      <c r="H188" s="5">
        <v>104589571843268</v>
      </c>
      <c r="I188" s="5">
        <v>11055607671231</v>
      </c>
      <c r="J188" s="5">
        <v>820768074844447</v>
      </c>
      <c r="K188" s="5">
        <v>434822551185481</v>
      </c>
      <c r="L188" s="5">
        <v>338554718536014</v>
      </c>
      <c r="M188" s="5">
        <v>310386950937915</v>
      </c>
      <c r="N188" s="5">
        <v>134243478080002</v>
      </c>
      <c r="O188" s="5">
        <v>314404353083327</v>
      </c>
      <c r="P188" s="5">
        <v>283205173386195</v>
      </c>
    </row>
    <row r="189" spans="1:16" x14ac:dyDescent="0.45">
      <c r="A189" s="1" t="s">
        <v>183</v>
      </c>
      <c r="B189" s="2">
        <v>4048156</v>
      </c>
      <c r="C189" s="3" t="s">
        <v>923</v>
      </c>
      <c r="D189" s="3" t="s">
        <v>924</v>
      </c>
      <c r="E189" s="3" t="s">
        <v>910</v>
      </c>
      <c r="F189" s="5">
        <v>157102971461535</v>
      </c>
      <c r="G189" s="5">
        <v>141638045538464</v>
      </c>
      <c r="H189" s="5">
        <v>122555931034485</v>
      </c>
      <c r="I189" s="5">
        <v>892173543511455</v>
      </c>
      <c r="J189" s="5">
        <v>907745092775633</v>
      </c>
      <c r="K189" s="5">
        <v>558127977358492</v>
      </c>
      <c r="L189" s="5">
        <v>327479760384603</v>
      </c>
      <c r="M189" s="5">
        <v>19339602307692</v>
      </c>
      <c r="N189" s="5">
        <v>157781037547889</v>
      </c>
      <c r="O189" s="5">
        <v>537176941634979</v>
      </c>
      <c r="P189" s="5">
        <v>252581015909084</v>
      </c>
    </row>
    <row r="190" spans="1:16" x14ac:dyDescent="0.45">
      <c r="A190" s="1" t="s">
        <v>184</v>
      </c>
      <c r="B190" s="2">
        <v>4991196</v>
      </c>
      <c r="C190" s="3" t="s">
        <v>925</v>
      </c>
      <c r="D190" s="3" t="s">
        <v>926</v>
      </c>
      <c r="E190" s="3" t="s">
        <v>545</v>
      </c>
      <c r="F190" s="5">
        <v>256287490666667</v>
      </c>
      <c r="G190" s="5">
        <v>496263663529007</v>
      </c>
      <c r="H190" s="5">
        <v>35718134398269</v>
      </c>
      <c r="I190" s="5">
        <v>538758006130781</v>
      </c>
      <c r="J190" s="5">
        <v>628207441511113</v>
      </c>
      <c r="K190" s="5">
        <v>421476132974795</v>
      </c>
      <c r="L190" s="5">
        <v>334119316633715</v>
      </c>
      <c r="M190" s="5">
        <v>302736762331019</v>
      </c>
      <c r="N190" s="5">
        <v>222282281920003</v>
      </c>
      <c r="O190" s="5">
        <v>189554526333329</v>
      </c>
      <c r="P190" s="5">
        <v>198538930993095</v>
      </c>
    </row>
    <row r="191" spans="1:16" x14ac:dyDescent="0.45">
      <c r="A191" s="1" t="s">
        <v>185</v>
      </c>
      <c r="B191" s="2">
        <v>4040505</v>
      </c>
      <c r="C191" s="3" t="s">
        <v>927</v>
      </c>
      <c r="D191" s="3" t="s">
        <v>928</v>
      </c>
      <c r="E191" s="3" t="s">
        <v>604</v>
      </c>
      <c r="F191" s="5">
        <v>480332444444445</v>
      </c>
      <c r="G191" s="5">
        <v>44093464110687</v>
      </c>
      <c r="H191" s="5">
        <v>342846885192305</v>
      </c>
      <c r="I191" s="5">
        <v>437699854538471</v>
      </c>
      <c r="J191" s="5">
        <v>37061312888889</v>
      </c>
      <c r="K191" s="5">
        <v>36944738106869</v>
      </c>
      <c r="L191" s="5">
        <v>4070921745977</v>
      </c>
      <c r="M191" s="5">
        <v>373270891034463</v>
      </c>
      <c r="N191" s="5">
        <v>370449776000005</v>
      </c>
      <c r="O191" s="5">
        <v>337605461111104</v>
      </c>
      <c r="P191" s="5">
        <v>387165698946344</v>
      </c>
    </row>
    <row r="192" spans="1:16" x14ac:dyDescent="0.45">
      <c r="A192" s="1" t="s">
        <v>186</v>
      </c>
      <c r="B192" s="2">
        <v>114527</v>
      </c>
      <c r="C192" s="3" t="s">
        <v>929</v>
      </c>
      <c r="D192" s="3" t="s">
        <v>930</v>
      </c>
      <c r="E192" s="3" t="s">
        <v>604</v>
      </c>
      <c r="F192" s="5">
        <v>840404533333334</v>
      </c>
      <c r="G192" s="5">
        <v>71720067332061</v>
      </c>
      <c r="H192" s="5">
        <v>577577231730765</v>
      </c>
      <c r="I192" s="5">
        <v>378718348384624</v>
      </c>
      <c r="J192" s="5">
        <v>-592168888888891</v>
      </c>
      <c r="K192" s="5">
        <v>-554346497709905</v>
      </c>
      <c r="L192" s="5">
        <v>3174014694636</v>
      </c>
      <c r="M192" s="5">
        <v>568805846896522</v>
      </c>
      <c r="N192" s="5">
        <v>-473948672000006</v>
      </c>
      <c r="O192" s="5">
        <v>892837152777759</v>
      </c>
      <c r="P192" s="5">
        <v>846986939999965</v>
      </c>
    </row>
    <row r="193" spans="1:16" x14ac:dyDescent="0.45">
      <c r="A193" s="1" t="s">
        <v>187</v>
      </c>
      <c r="B193" s="2">
        <v>4096376</v>
      </c>
      <c r="C193" s="3" t="s">
        <v>931</v>
      </c>
      <c r="D193" s="3" t="s">
        <v>932</v>
      </c>
      <c r="E193" s="3" t="s">
        <v>734</v>
      </c>
      <c r="F193" s="5">
        <v>311568295701955</v>
      </c>
      <c r="G193" s="5">
        <v>349581385015557</v>
      </c>
      <c r="H193" s="5">
        <v>301069462565897</v>
      </c>
      <c r="I193" s="5">
        <v>296078076702716</v>
      </c>
      <c r="J193" s="5">
        <v>295561511861524</v>
      </c>
      <c r="K193" s="5">
        <v>282024018092308</v>
      </c>
      <c r="L193" s="5">
        <v>255193128253895</v>
      </c>
      <c r="M193" s="5">
        <v>227120546233455</v>
      </c>
      <c r="N193" s="5">
        <v>260607128567827</v>
      </c>
      <c r="O193" s="5">
        <v>256603326019232</v>
      </c>
      <c r="P193" s="5">
        <v>223203000384608</v>
      </c>
    </row>
    <row r="194" spans="1:16" x14ac:dyDescent="0.45">
      <c r="A194" s="1" t="s">
        <v>188</v>
      </c>
      <c r="B194" s="2">
        <v>4272273</v>
      </c>
      <c r="C194" s="3" t="s">
        <v>933</v>
      </c>
      <c r="D194" s="3" t="s">
        <v>934</v>
      </c>
      <c r="E194" s="3" t="s">
        <v>907</v>
      </c>
      <c r="F194" s="5">
        <v>100958435555556</v>
      </c>
      <c r="G194" s="5">
        <v>11759798071374</v>
      </c>
      <c r="H194" s="5">
        <v>889718649999993</v>
      </c>
      <c r="I194" s="5">
        <v>114148240700003</v>
      </c>
      <c r="J194" s="5">
        <v>967265582222225</v>
      </c>
      <c r="K194" s="5">
        <v>75073602435112</v>
      </c>
      <c r="L194" s="5">
        <v>57566424689655</v>
      </c>
      <c r="M194" s="5">
        <v>533377319999972</v>
      </c>
      <c r="N194" s="5">
        <v>900183200000012</v>
      </c>
      <c r="O194" s="5">
        <v>958387222222202</v>
      </c>
      <c r="P194" s="5">
        <v>707985890459741</v>
      </c>
    </row>
    <row r="195" spans="1:16" x14ac:dyDescent="0.45">
      <c r="A195" s="1" t="s">
        <v>189</v>
      </c>
      <c r="B195" s="2">
        <v>4004397</v>
      </c>
      <c r="C195" s="3" t="s">
        <v>935</v>
      </c>
      <c r="D195" s="3" t="s">
        <v>936</v>
      </c>
      <c r="E195" s="3" t="s">
        <v>937</v>
      </c>
      <c r="F195" s="5">
        <v>130814110133333</v>
      </c>
      <c r="G195" s="5">
        <v>14846266592313</v>
      </c>
      <c r="H195" s="5">
        <v>16624365229346</v>
      </c>
      <c r="I195" s="5">
        <v>159843972329773</v>
      </c>
      <c r="J195" s="5">
        <v>107595648986667</v>
      </c>
      <c r="K195" s="5">
        <v>87867165269997</v>
      </c>
      <c r="L195" s="5">
        <v>926116383868579</v>
      </c>
      <c r="M195" s="5">
        <v>899464187255125</v>
      </c>
      <c r="N195" s="5">
        <v>904297436320012</v>
      </c>
      <c r="O195" s="5">
        <v>967222467444424</v>
      </c>
      <c r="P195" s="5">
        <v>101358447547161</v>
      </c>
    </row>
    <row r="196" spans="1:16" x14ac:dyDescent="0.45">
      <c r="A196" s="1" t="s">
        <v>190</v>
      </c>
      <c r="B196" s="2">
        <v>4135343</v>
      </c>
      <c r="C196" s="3" t="s">
        <v>938</v>
      </c>
      <c r="D196" s="3" t="s">
        <v>939</v>
      </c>
      <c r="E196" s="3" t="s">
        <v>477</v>
      </c>
      <c r="F196" s="5">
        <v>10472488</v>
      </c>
      <c r="G196" s="5">
        <v>988104111870228</v>
      </c>
      <c r="H196" s="5">
        <v>86271263692307</v>
      </c>
      <c r="I196" s="5">
        <v>10439726589231</v>
      </c>
      <c r="J196" s="5">
        <v>100939416888889</v>
      </c>
      <c r="K196" s="5">
        <v>961247352595387</v>
      </c>
      <c r="L196" s="5">
        <v>834195024444441</v>
      </c>
      <c r="M196" s="5">
        <v>788072830344786</v>
      </c>
      <c r="N196" s="5">
        <v>125262931200002</v>
      </c>
      <c r="O196" s="5">
        <v>163332690277774</v>
      </c>
      <c r="P196" s="5">
        <v>200055142181984</v>
      </c>
    </row>
    <row r="197" spans="1:16" x14ac:dyDescent="0.45">
      <c r="A197" s="1" t="s">
        <v>191</v>
      </c>
      <c r="B197" s="2">
        <v>4090258</v>
      </c>
      <c r="C197" s="3" t="s">
        <v>940</v>
      </c>
      <c r="D197" s="3" t="s">
        <v>941</v>
      </c>
      <c r="E197" s="3" t="s">
        <v>629</v>
      </c>
      <c r="F197" s="5">
        <v>195798924622222</v>
      </c>
      <c r="G197" s="5">
        <v>200198010922213</v>
      </c>
      <c r="H197" s="5">
        <v>16519522707346</v>
      </c>
      <c r="I197" s="5">
        <v>188229012429235</v>
      </c>
      <c r="J197" s="5">
        <v>114954870151111</v>
      </c>
      <c r="K197" s="5">
        <v>784113472574783</v>
      </c>
      <c r="L197" s="5">
        <v>706999489891568</v>
      </c>
      <c r="M197" s="5">
        <v>672256297862034</v>
      </c>
      <c r="N197" s="5">
        <v>495648851840007</v>
      </c>
      <c r="O197" s="5">
        <v>510788442600934</v>
      </c>
      <c r="P197" s="5">
        <v>376065757810372</v>
      </c>
    </row>
    <row r="198" spans="1:16" x14ac:dyDescent="0.45">
      <c r="A198" s="1" t="s">
        <v>192</v>
      </c>
      <c r="B198" s="2">
        <v>103323</v>
      </c>
      <c r="C198" s="3" t="s">
        <v>942</v>
      </c>
      <c r="D198" s="3" t="s">
        <v>943</v>
      </c>
      <c r="E198" s="3" t="s">
        <v>489</v>
      </c>
      <c r="F198" s="5">
        <v>141285889155556</v>
      </c>
      <c r="G198" s="5">
        <v>136404411776794</v>
      </c>
      <c r="H198" s="5">
        <v>119999369380384</v>
      </c>
      <c r="I198" s="5">
        <v>113682286801387</v>
      </c>
      <c r="J198" s="5">
        <v>11557749344</v>
      </c>
      <c r="K198" s="5">
        <v>865432244414474</v>
      </c>
      <c r="L198" s="5">
        <v>914722805648656</v>
      </c>
      <c r="M198" s="5">
        <v>808369646937889</v>
      </c>
      <c r="N198" s="5">
        <v>811654838400011</v>
      </c>
      <c r="O198" s="5">
        <v>773563150555539</v>
      </c>
      <c r="P198" s="5">
        <v>759754316361463</v>
      </c>
    </row>
    <row r="199" spans="1:16" x14ac:dyDescent="0.45">
      <c r="A199" s="1" t="s">
        <v>193</v>
      </c>
      <c r="B199" s="2">
        <v>4972972</v>
      </c>
      <c r="C199" s="3" t="s">
        <v>944</v>
      </c>
      <c r="D199" s="3" t="s">
        <v>945</v>
      </c>
      <c r="E199" s="3" t="s">
        <v>498</v>
      </c>
      <c r="F199" s="5">
        <v>100887537777778</v>
      </c>
      <c r="G199" s="5">
        <v>86254545332061</v>
      </c>
      <c r="H199" s="5">
        <v>590247861153842</v>
      </c>
      <c r="I199" s="5">
        <v>522842512615396</v>
      </c>
      <c r="J199" s="5">
        <v>389139555555557</v>
      </c>
      <c r="K199" s="5">
        <v>268226517404571</v>
      </c>
      <c r="L199" s="5">
        <v>197158751226053</v>
      </c>
      <c r="M199" s="5">
        <v>126796833103442</v>
      </c>
      <c r="N199" s="5">
        <v>75828240000001</v>
      </c>
      <c r="O199" s="5">
        <v>452973583333324</v>
      </c>
      <c r="P199" s="5">
        <v>-25240138697317</v>
      </c>
    </row>
    <row r="200" spans="1:16" x14ac:dyDescent="0.45">
      <c r="A200" s="1" t="s">
        <v>194</v>
      </c>
      <c r="B200" s="2">
        <v>4010641</v>
      </c>
      <c r="C200" s="3" t="s">
        <v>946</v>
      </c>
      <c r="D200" s="3" t="s">
        <v>947</v>
      </c>
      <c r="E200" s="3" t="s">
        <v>607</v>
      </c>
      <c r="F200" s="5">
        <v>264537333333333</v>
      </c>
      <c r="G200" s="5">
        <v>362992115954198</v>
      </c>
      <c r="H200" s="5">
        <v>377621751346151</v>
      </c>
      <c r="I200" s="5">
        <v>285679779000006</v>
      </c>
      <c r="J200" s="5">
        <v>147280862222223</v>
      </c>
      <c r="K200" s="5">
        <v>506104318320594</v>
      </c>
      <c r="L200" s="5">
        <v>132302723409961</v>
      </c>
      <c r="M200" s="5">
        <v>231556783448264</v>
      </c>
      <c r="N200" s="5">
        <v>179238448000002</v>
      </c>
      <c r="O200" s="5">
        <v>582265444444432</v>
      </c>
      <c r="P200" s="5">
        <v>209132577777769</v>
      </c>
    </row>
    <row r="201" spans="1:16" x14ac:dyDescent="0.45">
      <c r="A201" s="1" t="s">
        <v>195</v>
      </c>
      <c r="B201" s="2">
        <v>4095387</v>
      </c>
      <c r="C201" s="3" t="s">
        <v>948</v>
      </c>
      <c r="D201" s="3" t="s">
        <v>949</v>
      </c>
      <c r="E201" s="3" t="s">
        <v>950</v>
      </c>
      <c r="F201" s="5">
        <v>943912322480622</v>
      </c>
      <c r="G201" s="5">
        <v>700785596615387</v>
      </c>
      <c r="H201" s="5">
        <v>282268328461536</v>
      </c>
      <c r="I201" s="5">
        <v>408979476705891</v>
      </c>
      <c r="J201" s="5">
        <v>758442123984374</v>
      </c>
      <c r="K201" s="5">
        <v>637303037209285</v>
      </c>
      <c r="L201" s="5">
        <v>590861306949804</v>
      </c>
      <c r="M201" s="5">
        <v>493490352476896</v>
      </c>
      <c r="N201" s="5">
        <v>73465502992001</v>
      </c>
      <c r="O201" s="5">
        <v>741396604237096</v>
      </c>
      <c r="P201" s="5">
        <v>623573385032856</v>
      </c>
    </row>
    <row r="202" spans="1:16" x14ac:dyDescent="0.45">
      <c r="A202" s="1" t="s">
        <v>196</v>
      </c>
      <c r="B202" s="2">
        <v>4283738</v>
      </c>
      <c r="C202" s="3" t="s">
        <v>951</v>
      </c>
      <c r="D202" s="3" t="s">
        <v>952</v>
      </c>
      <c r="E202" s="3" t="s">
        <v>953</v>
      </c>
      <c r="F202" s="5">
        <v>106036488888889</v>
      </c>
      <c r="G202" s="5">
        <v>975159920267174</v>
      </c>
      <c r="H202" s="5">
        <v>890273568076916</v>
      </c>
      <c r="I202" s="5">
        <v>86132025276925</v>
      </c>
      <c r="J202" s="5">
        <v>818715786666669</v>
      </c>
      <c r="K202" s="5">
        <v>63697219404578</v>
      </c>
      <c r="L202" s="5">
        <v>644808276551722</v>
      </c>
      <c r="M202" s="5">
        <v>56295759724135</v>
      </c>
      <c r="N202" s="5">
        <v>537005840000007</v>
      </c>
      <c r="O202" s="5">
        <v>560385283333322</v>
      </c>
      <c r="P202" s="5">
        <v>537705097605342</v>
      </c>
    </row>
    <row r="203" spans="1:16" x14ac:dyDescent="0.45">
      <c r="A203" s="1" t="s">
        <v>197</v>
      </c>
      <c r="B203" s="2">
        <v>102953</v>
      </c>
      <c r="C203" s="3" t="s">
        <v>954</v>
      </c>
      <c r="D203" s="3" t="s">
        <v>955</v>
      </c>
      <c r="E203" s="3" t="s">
        <v>504</v>
      </c>
      <c r="F203" s="5">
        <v>472789807111111</v>
      </c>
      <c r="G203" s="5">
        <v>425186182851526</v>
      </c>
      <c r="H203" s="5">
        <v>393350904236536</v>
      </c>
      <c r="I203" s="5">
        <v>372660376913855</v>
      </c>
      <c r="J203" s="5">
        <v>286334806666668</v>
      </c>
      <c r="K203" s="5">
        <v>172624551943506</v>
      </c>
      <c r="L203" s="5">
        <v>272444450181991</v>
      </c>
      <c r="M203" s="5">
        <v>264563795958607</v>
      </c>
      <c r="N203" s="5">
        <v>361550822080005</v>
      </c>
      <c r="O203" s="5">
        <v>647684413749986</v>
      </c>
      <c r="P203" s="5">
        <v>632473705512043</v>
      </c>
    </row>
    <row r="204" spans="1:16" x14ac:dyDescent="0.45">
      <c r="A204" s="1" t="s">
        <v>198</v>
      </c>
      <c r="B204" s="2">
        <v>4811795</v>
      </c>
      <c r="C204" s="3" t="s">
        <v>956</v>
      </c>
      <c r="D204" s="3" t="s">
        <v>957</v>
      </c>
      <c r="E204" s="3" t="s">
        <v>664</v>
      </c>
      <c r="F204" s="5">
        <v>65788365891473</v>
      </c>
      <c r="G204" s="5">
        <v>694130813846156</v>
      </c>
      <c r="H204" s="5">
        <v>673300599999995</v>
      </c>
      <c r="I204" s="5">
        <v>843816063846173</v>
      </c>
      <c r="J204" s="5">
        <v>726914328124999</v>
      </c>
      <c r="K204" s="5">
        <v>497865558139522</v>
      </c>
      <c r="L204" s="5">
        <v>654794751602313</v>
      </c>
      <c r="M204" s="5">
        <v>587700544546122</v>
      </c>
      <c r="N204" s="5">
        <v>598720271680008</v>
      </c>
      <c r="O204" s="5">
        <v>73910189680554</v>
      </c>
      <c r="P204" s="5">
        <v>692939123400557</v>
      </c>
    </row>
    <row r="205" spans="1:16" x14ac:dyDescent="0.45">
      <c r="A205" s="1" t="s">
        <v>199</v>
      </c>
      <c r="B205" s="2">
        <v>4641383</v>
      </c>
      <c r="C205" s="3" t="s">
        <v>958</v>
      </c>
      <c r="D205" s="3" t="s">
        <v>959</v>
      </c>
      <c r="E205" s="3" t="s">
        <v>561</v>
      </c>
      <c r="F205" s="5">
        <v>158039902605357</v>
      </c>
      <c r="G205" s="5">
        <v>229530953244284</v>
      </c>
      <c r="H205" s="5">
        <v>227842149425293</v>
      </c>
      <c r="I205" s="5">
        <v>222891762222221</v>
      </c>
      <c r="J205" s="5">
        <v>188991367384614</v>
      </c>
      <c r="K205" s="5">
        <v>145577030344823</v>
      </c>
      <c r="L205" s="5">
        <v>260101339157088</v>
      </c>
      <c r="M205" s="5">
        <v>954498671647479</v>
      </c>
      <c r="N205" s="5">
        <v>171720519846741</v>
      </c>
      <c r="O205" s="5">
        <v>245686587816087</v>
      </c>
      <c r="P205" s="5">
        <v>266045210038449</v>
      </c>
    </row>
    <row r="206" spans="1:16" x14ac:dyDescent="0.45">
      <c r="A206" s="1" t="s">
        <v>200</v>
      </c>
      <c r="B206" s="2">
        <v>4019144</v>
      </c>
      <c r="C206" s="3" t="s">
        <v>960</v>
      </c>
      <c r="D206" s="3" t="s">
        <v>961</v>
      </c>
      <c r="E206" s="3" t="s">
        <v>632</v>
      </c>
      <c r="F206" s="5">
        <v>237064444444445</v>
      </c>
      <c r="G206" s="5">
        <v>217739794465649</v>
      </c>
      <c r="H206" s="5">
        <v>209574060384614</v>
      </c>
      <c r="I206" s="5">
        <v>200822515307697</v>
      </c>
      <c r="J206" s="5">
        <v>873026133333336</v>
      </c>
      <c r="K206" s="5">
        <v>-982386198473249</v>
      </c>
      <c r="L206" s="5">
        <v>141146727203065</v>
      </c>
      <c r="M206" s="5">
        <v>120440039999994</v>
      </c>
      <c r="N206" s="5">
        <v>995079360000014</v>
      </c>
      <c r="O206" s="5">
        <v>776655305555539</v>
      </c>
      <c r="P206" s="5">
        <v>676075143678133</v>
      </c>
    </row>
    <row r="207" spans="1:16" x14ac:dyDescent="0.45">
      <c r="A207" s="1" t="s">
        <v>201</v>
      </c>
      <c r="B207" s="2">
        <v>4121346</v>
      </c>
      <c r="C207" s="3" t="s">
        <v>962</v>
      </c>
      <c r="D207" s="3" t="s">
        <v>963</v>
      </c>
      <c r="E207" s="3" t="s">
        <v>468</v>
      </c>
      <c r="F207" s="5">
        <v>627445333333334</v>
      </c>
      <c r="G207" s="5">
        <v>670601583549617</v>
      </c>
      <c r="H207" s="5">
        <v>60800523961538</v>
      </c>
      <c r="I207" s="5">
        <v>672579433076938</v>
      </c>
      <c r="J207" s="5">
        <v>632182586666669</v>
      </c>
      <c r="K207" s="5">
        <v>583642657557232</v>
      </c>
      <c r="L207" s="5">
        <v>670357620842909</v>
      </c>
      <c r="M207" s="5">
        <v>669751721379275</v>
      </c>
      <c r="N207" s="5">
        <v>638464912000009</v>
      </c>
      <c r="O207" s="5">
        <v>604688088888876</v>
      </c>
      <c r="P207" s="5">
        <v>615498810804572</v>
      </c>
    </row>
    <row r="208" spans="1:16" x14ac:dyDescent="0.45">
      <c r="A208" s="1" t="s">
        <v>202</v>
      </c>
      <c r="B208" s="2">
        <v>4068867</v>
      </c>
      <c r="C208" s="3" t="s">
        <v>964</v>
      </c>
      <c r="D208" s="3" t="s">
        <v>965</v>
      </c>
      <c r="E208" s="3" t="s">
        <v>734</v>
      </c>
      <c r="F208" s="5">
        <v>866321457081218</v>
      </c>
      <c r="G208" s="5">
        <v>100702152202911</v>
      </c>
      <c r="H208" s="5">
        <v>985511230679565</v>
      </c>
      <c r="I208" s="5">
        <v>120446914056153</v>
      </c>
      <c r="J208" s="5">
        <v>936611393652299</v>
      </c>
      <c r="K208" s="5">
        <v>946979916910528</v>
      </c>
      <c r="L208" s="5">
        <v>101440253242646</v>
      </c>
      <c r="M208" s="5">
        <v>958430479782911</v>
      </c>
      <c r="N208" s="5">
        <v>111634625032122</v>
      </c>
      <c r="O208" s="5">
        <v>116001553008517</v>
      </c>
      <c r="P208" s="5">
        <v>947871107311329</v>
      </c>
    </row>
    <row r="209" spans="1:16" x14ac:dyDescent="0.45">
      <c r="A209" s="1" t="s">
        <v>203</v>
      </c>
      <c r="B209" s="2">
        <v>4041118</v>
      </c>
      <c r="C209" s="3" t="s">
        <v>966</v>
      </c>
      <c r="D209" s="3" t="s">
        <v>967</v>
      </c>
      <c r="E209" s="3" t="s">
        <v>968</v>
      </c>
      <c r="F209" s="5">
        <v>752402666666667</v>
      </c>
      <c r="G209" s="5">
        <v>719327219083968</v>
      </c>
      <c r="H209" s="5">
        <v>690873005769226</v>
      </c>
      <c r="I209" s="5">
        <v>723950422307709</v>
      </c>
      <c r="J209" s="5">
        <v>-114204</v>
      </c>
      <c r="K209" s="5">
        <v>-862219315267146</v>
      </c>
      <c r="L209" s="5">
        <v>734320314942526</v>
      </c>
      <c r="M209" s="5">
        <v>689076372413757</v>
      </c>
      <c r="N209" s="5">
        <v>651856800000009</v>
      </c>
      <c r="O209" s="5">
        <v>632897222222209</v>
      </c>
      <c r="P209" s="5">
        <v>635510635057445</v>
      </c>
    </row>
    <row r="210" spans="1:16" x14ac:dyDescent="0.45">
      <c r="A210" s="1" t="s">
        <v>204</v>
      </c>
      <c r="B210" s="2">
        <v>6661591</v>
      </c>
      <c r="C210" s="3" t="s">
        <v>969</v>
      </c>
      <c r="D210" s="3" t="s">
        <v>970</v>
      </c>
      <c r="E210" s="3" t="s">
        <v>604</v>
      </c>
      <c r="F210" s="5">
        <v>186549777777778</v>
      </c>
      <c r="G210" s="5">
        <v>148580827900763</v>
      </c>
      <c r="H210" s="5">
        <v>109596320192307</v>
      </c>
      <c r="I210" s="5">
        <v>946558042307714</v>
      </c>
      <c r="J210" s="5">
        <v>697913333333335</v>
      </c>
      <c r="K210" s="5">
        <v>721878429770968</v>
      </c>
      <c r="L210" s="5">
        <v>104966711685823</v>
      </c>
      <c r="M210" s="5">
        <v>775528758620649</v>
      </c>
      <c r="N210" s="5">
        <v>108908864000002</v>
      </c>
      <c r="O210" s="5">
        <v>105513008333331</v>
      </c>
      <c r="P210" s="5">
        <v>819403074137897</v>
      </c>
    </row>
    <row r="211" spans="1:16" x14ac:dyDescent="0.45">
      <c r="A211" s="1" t="s">
        <v>205</v>
      </c>
      <c r="B211" s="2">
        <v>105223</v>
      </c>
      <c r="C211" s="3" t="s">
        <v>971</v>
      </c>
      <c r="D211" s="3" t="s">
        <v>972</v>
      </c>
      <c r="E211" s="3" t="s">
        <v>561</v>
      </c>
      <c r="F211" s="5">
        <v>328874369731785</v>
      </c>
      <c r="G211" s="5">
        <v>387672720229023</v>
      </c>
      <c r="H211" s="5">
        <v>404245089655183</v>
      </c>
      <c r="I211" s="5">
        <v>51673771452107</v>
      </c>
      <c r="J211" s="5">
        <v>475578010923072</v>
      </c>
      <c r="K211" s="5">
        <v>369452817547882</v>
      </c>
      <c r="L211" s="5">
        <v>379922304904214</v>
      </c>
      <c r="M211" s="5">
        <v>363855230613015</v>
      </c>
      <c r="N211" s="5">
        <v>361208341379306</v>
      </c>
      <c r="O211" s="5">
        <v>3553616578544</v>
      </c>
      <c r="P211" s="5">
        <v>346290865038445</v>
      </c>
    </row>
    <row r="212" spans="1:16" x14ac:dyDescent="0.45">
      <c r="A212" s="1" t="s">
        <v>206</v>
      </c>
      <c r="B212" s="2">
        <v>4992018</v>
      </c>
      <c r="C212" s="3" t="s">
        <v>973</v>
      </c>
      <c r="D212" s="3" t="s">
        <v>974</v>
      </c>
      <c r="E212" s="3" t="s">
        <v>545</v>
      </c>
      <c r="F212" s="5">
        <v>107179715555556</v>
      </c>
      <c r="G212" s="5">
        <v>102296097068702</v>
      </c>
      <c r="H212" s="5">
        <v>950852124807685</v>
      </c>
      <c r="I212" s="5">
        <v>677716532000015</v>
      </c>
      <c r="J212" s="5">
        <v>45360136888889</v>
      </c>
      <c r="K212" s="5">
        <v>444968320076321</v>
      </c>
      <c r="L212" s="5">
        <v>496246879501914</v>
      </c>
      <c r="M212" s="5">
        <v>490235884137905</v>
      </c>
      <c r="N212" s="5">
        <v>484059104000007</v>
      </c>
      <c r="O212" s="5">
        <v>474492088888879</v>
      </c>
      <c r="P212" s="5">
        <v>462886115038295</v>
      </c>
    </row>
    <row r="213" spans="1:16" x14ac:dyDescent="0.45">
      <c r="A213" s="1" t="s">
        <v>207</v>
      </c>
      <c r="B213" s="2">
        <v>111564</v>
      </c>
      <c r="C213" s="3" t="s">
        <v>975</v>
      </c>
      <c r="D213" s="3" t="s">
        <v>976</v>
      </c>
      <c r="E213" s="3" t="s">
        <v>686</v>
      </c>
      <c r="F213" s="5">
        <v>290769511111111</v>
      </c>
      <c r="G213" s="5">
        <v>281351250343511</v>
      </c>
      <c r="H213" s="5">
        <v>423032547307689</v>
      </c>
      <c r="I213" s="5">
        <v>406496735153855</v>
      </c>
      <c r="J213" s="5">
        <v>26630680888889</v>
      </c>
      <c r="K213" s="5">
        <v>437337284427466</v>
      </c>
      <c r="L213" s="5">
        <v>28515212229885</v>
      </c>
      <c r="M213" s="5">
        <v>2637645351724</v>
      </c>
      <c r="N213" s="5">
        <v>308102112000004</v>
      </c>
      <c r="O213" s="5">
        <v>166813624999997</v>
      </c>
      <c r="P213" s="5">
        <v>21363974540229</v>
      </c>
    </row>
    <row r="214" spans="1:16" x14ac:dyDescent="0.45">
      <c r="A214" s="1" t="s">
        <v>208</v>
      </c>
      <c r="B214" s="2">
        <v>4436418</v>
      </c>
      <c r="C214" s="3" t="s">
        <v>977</v>
      </c>
      <c r="D214" s="3" t="s">
        <v>978</v>
      </c>
      <c r="E214" s="3" t="s">
        <v>604</v>
      </c>
      <c r="F214" s="5">
        <v>709864</v>
      </c>
      <c r="G214" s="5">
        <v>614849101145037</v>
      </c>
      <c r="H214" s="5">
        <v>713994592307687</v>
      </c>
      <c r="I214" s="5">
        <v>754392490000017</v>
      </c>
      <c r="J214" s="5">
        <v>552408977777779</v>
      </c>
      <c r="K214" s="5">
        <v>777137653435088</v>
      </c>
      <c r="L214" s="5">
        <v>674466955938695</v>
      </c>
      <c r="M214" s="5">
        <v>854352993103404</v>
      </c>
      <c r="N214" s="5">
        <v>75650864000001</v>
      </c>
      <c r="O214" s="5">
        <v>770326333333317</v>
      </c>
      <c r="P214" s="5">
        <v>653539305555528</v>
      </c>
    </row>
    <row r="215" spans="1:16" x14ac:dyDescent="0.45">
      <c r="A215" s="1" t="s">
        <v>209</v>
      </c>
      <c r="B215" s="2">
        <v>4992897</v>
      </c>
      <c r="C215" s="3" t="s">
        <v>979</v>
      </c>
      <c r="D215" s="3" t="s">
        <v>980</v>
      </c>
      <c r="E215" s="3" t="s">
        <v>809</v>
      </c>
      <c r="F215" s="5">
        <v>642422488888889</v>
      </c>
      <c r="G215" s="5">
        <v>652572173816793</v>
      </c>
      <c r="H215" s="5">
        <v>695127377692303</v>
      </c>
      <c r="I215" s="5">
        <v>75049210007694</v>
      </c>
      <c r="J215" s="5">
        <v>553339528888891</v>
      </c>
      <c r="K215" s="5">
        <v>471983940534335</v>
      </c>
      <c r="L215" s="5">
        <v>537340230459768</v>
      </c>
      <c r="M215" s="5">
        <v>492637056786181</v>
      </c>
      <c r="N215" s="5">
        <v>442751781120006</v>
      </c>
      <c r="O215" s="5">
        <v>407482739277769</v>
      </c>
      <c r="P215" s="5">
        <v>393168344788681</v>
      </c>
    </row>
    <row r="216" spans="1:16" x14ac:dyDescent="0.45">
      <c r="A216" s="1" t="s">
        <v>210</v>
      </c>
      <c r="B216" s="2">
        <v>4811348</v>
      </c>
      <c r="C216" s="3" t="s">
        <v>981</v>
      </c>
      <c r="D216" s="3" t="s">
        <v>982</v>
      </c>
      <c r="E216" s="3" t="s">
        <v>474</v>
      </c>
      <c r="F216" s="5">
        <v>120528969511111</v>
      </c>
      <c r="G216" s="5">
        <v>110010557888588</v>
      </c>
      <c r="H216" s="5">
        <v>101469359983076</v>
      </c>
      <c r="I216" s="5">
        <v>855008280296173</v>
      </c>
      <c r="J216" s="5">
        <v>788454264533336</v>
      </c>
      <c r="K216" s="5">
        <v>609188207239674</v>
      </c>
      <c r="L216" s="5">
        <v>503613309327968</v>
      </c>
      <c r="M216" s="5">
        <v>416441991931013</v>
      </c>
      <c r="N216" s="5">
        <v>366306272640005</v>
      </c>
      <c r="O216" s="5">
        <v>318679121749993</v>
      </c>
      <c r="P216" s="5">
        <v>277753303427575</v>
      </c>
    </row>
    <row r="217" spans="1:16" x14ac:dyDescent="0.45">
      <c r="A217" s="1" t="s">
        <v>211</v>
      </c>
      <c r="B217" s="2">
        <v>4992234</v>
      </c>
      <c r="C217" s="3" t="s">
        <v>983</v>
      </c>
      <c r="D217" s="3" t="s">
        <v>984</v>
      </c>
      <c r="E217" s="3" t="s">
        <v>809</v>
      </c>
      <c r="F217" s="5">
        <v>377353422222222</v>
      </c>
      <c r="G217" s="5">
        <v>396831931145038</v>
      </c>
      <c r="H217" s="5">
        <v>376696887884613</v>
      </c>
      <c r="I217" s="5">
        <v>364448629153854</v>
      </c>
      <c r="J217" s="5">
        <v>296084444444445</v>
      </c>
      <c r="K217" s="5">
        <v>253929289694648</v>
      </c>
      <c r="L217" s="5">
        <v>306056131264367</v>
      </c>
      <c r="M217" s="5">
        <v>305465097931019</v>
      </c>
      <c r="N217" s="5">
        <v>301450512000004</v>
      </c>
      <c r="O217" s="5">
        <v>27702815555555</v>
      </c>
      <c r="P217" s="5">
        <v>258621278295008</v>
      </c>
    </row>
    <row r="218" spans="1:16" x14ac:dyDescent="0.45">
      <c r="A218" s="1" t="s">
        <v>212</v>
      </c>
      <c r="B218" s="2">
        <v>4810794</v>
      </c>
      <c r="C218" s="3" t="s">
        <v>985</v>
      </c>
      <c r="D218" s="3" t="s">
        <v>986</v>
      </c>
      <c r="E218" s="3" t="s">
        <v>477</v>
      </c>
      <c r="F218" s="5">
        <v>119328404266667</v>
      </c>
      <c r="G218" s="5">
        <v>780802883347327</v>
      </c>
      <c r="H218" s="5">
        <v>608555533374995</v>
      </c>
      <c r="I218" s="5">
        <v>565454748182321</v>
      </c>
      <c r="J218" s="5">
        <v>506824662666668</v>
      </c>
      <c r="K218" s="5">
        <v>-211599847237397</v>
      </c>
      <c r="L218" s="5">
        <v>37620337468314</v>
      </c>
      <c r="M218" s="5">
        <v>131262692151717</v>
      </c>
      <c r="N218" s="5">
        <v>-198687726400003</v>
      </c>
      <c r="O218" s="5">
        <v>148281490194441</v>
      </c>
      <c r="P218" s="5">
        <v>456585094699215</v>
      </c>
    </row>
    <row r="219" spans="1:16" x14ac:dyDescent="0.45">
      <c r="A219" s="1" t="s">
        <v>213</v>
      </c>
      <c r="B219" s="2">
        <v>4380458</v>
      </c>
      <c r="C219" s="3" t="s">
        <v>987</v>
      </c>
      <c r="D219" s="3" t="s">
        <v>988</v>
      </c>
      <c r="E219" s="3" t="s">
        <v>809</v>
      </c>
      <c r="F219" s="5">
        <v>133819555555556</v>
      </c>
      <c r="G219" s="5">
        <v>13446241320229</v>
      </c>
      <c r="H219" s="5">
        <v>114821798749999</v>
      </c>
      <c r="I219" s="5">
        <v>83658607276925</v>
      </c>
      <c r="J219" s="5">
        <v>526522737777779</v>
      </c>
      <c r="K219" s="5">
        <v>240684618625946</v>
      </c>
      <c r="L219" s="5">
        <v>232534766398467</v>
      </c>
      <c r="M219" s="5">
        <v>381153314482739</v>
      </c>
      <c r="N219" s="5">
        <v>114850960000002</v>
      </c>
      <c r="O219" s="5">
        <v>145295119444441</v>
      </c>
      <c r="P219" s="5">
        <v>199937955823746</v>
      </c>
    </row>
    <row r="220" spans="1:16" x14ac:dyDescent="0.45">
      <c r="A220" s="1" t="s">
        <v>214</v>
      </c>
      <c r="B220" s="2">
        <v>4811052</v>
      </c>
      <c r="C220" s="3" t="s">
        <v>989</v>
      </c>
      <c r="D220" s="3" t="s">
        <v>990</v>
      </c>
      <c r="E220" s="3" t="s">
        <v>474</v>
      </c>
      <c r="F220" s="5">
        <v>419892088888889</v>
      </c>
      <c r="G220" s="5">
        <v>285604341870229</v>
      </c>
      <c r="H220" s="5">
        <v>203562447884614</v>
      </c>
      <c r="I220" s="5">
        <v>547957218461551</v>
      </c>
      <c r="J220" s="5" t="s">
        <v>991</v>
      </c>
      <c r="K220" s="5">
        <v>451722225190824</v>
      </c>
      <c r="L220" s="5">
        <v>446666858237546</v>
      </c>
      <c r="M220" s="5">
        <v>232234841379298</v>
      </c>
      <c r="N220" s="5">
        <v>-656291200000009</v>
      </c>
      <c r="O220" s="5">
        <v>-967790266666646</v>
      </c>
      <c r="P220" s="5">
        <v>-335657787333319</v>
      </c>
    </row>
    <row r="221" spans="1:16" x14ac:dyDescent="0.45">
      <c r="A221" s="1" t="s">
        <v>215</v>
      </c>
      <c r="B221" s="2">
        <v>4025746</v>
      </c>
      <c r="C221" s="3" t="s">
        <v>992</v>
      </c>
      <c r="D221" s="3" t="s">
        <v>993</v>
      </c>
      <c r="E221" s="3" t="s">
        <v>486</v>
      </c>
      <c r="F221" s="5">
        <v>821911255813955</v>
      </c>
      <c r="G221" s="5">
        <v>-130137974153847</v>
      </c>
      <c r="H221" s="5">
        <v>286707673076921</v>
      </c>
      <c r="I221" s="5">
        <v>372534803384624</v>
      </c>
      <c r="J221" s="5">
        <v>186647932484375</v>
      </c>
      <c r="K221" s="5">
        <v>209647937674413</v>
      </c>
      <c r="L221" s="5">
        <v>200360408108107</v>
      </c>
      <c r="M221" s="5">
        <v>196986641999989</v>
      </c>
      <c r="N221" s="5">
        <v>163487459200002</v>
      </c>
      <c r="O221" s="5">
        <v>135666040277775</v>
      </c>
      <c r="P221" s="5">
        <v>129376970249022</v>
      </c>
    </row>
    <row r="222" spans="1:16" x14ac:dyDescent="0.45">
      <c r="A222" s="1" t="s">
        <v>216</v>
      </c>
      <c r="B222" s="2">
        <v>4099823</v>
      </c>
      <c r="C222" s="3" t="s">
        <v>994</v>
      </c>
      <c r="D222" s="3" t="s">
        <v>995</v>
      </c>
      <c r="E222" s="3" t="s">
        <v>674</v>
      </c>
      <c r="F222" s="5">
        <v>441693155555556</v>
      </c>
      <c r="G222" s="5">
        <v>409128913167938</v>
      </c>
      <c r="H222" s="5">
        <v>367170794230767</v>
      </c>
      <c r="I222" s="5">
        <v>354935483000008</v>
      </c>
      <c r="J222" s="5">
        <v>300398817777779</v>
      </c>
      <c r="K222" s="5">
        <v>27524356167938</v>
      </c>
      <c r="L222" s="5">
        <v>238966769157087</v>
      </c>
      <c r="M222" s="5">
        <v>221470671724126</v>
      </c>
      <c r="N222" s="5">
        <v>214979712000003</v>
      </c>
      <c r="O222" s="5">
        <v>207499874999996</v>
      </c>
      <c r="P222" s="5">
        <v>165953911934859</v>
      </c>
    </row>
    <row r="223" spans="1:16" x14ac:dyDescent="0.45">
      <c r="A223" s="1" t="s">
        <v>217</v>
      </c>
      <c r="B223" s="2">
        <v>4000193</v>
      </c>
      <c r="C223" s="3" t="s">
        <v>996</v>
      </c>
      <c r="D223" s="3" t="s">
        <v>997</v>
      </c>
      <c r="E223" s="3" t="s">
        <v>480</v>
      </c>
      <c r="F223" s="5">
        <v>111380408888889</v>
      </c>
      <c r="G223" s="5">
        <v>904983910076335</v>
      </c>
      <c r="H223" s="5">
        <v>871313867115378</v>
      </c>
      <c r="I223" s="5">
        <v>715483722230785</v>
      </c>
      <c r="J223" s="5">
        <v>472296986666668</v>
      </c>
      <c r="K223" s="5">
        <v>40891825511449</v>
      </c>
      <c r="L223" s="5">
        <v>673484288850572</v>
      </c>
      <c r="M223" s="5">
        <v>112032121655167</v>
      </c>
      <c r="N223" s="5">
        <v>103605321600001</v>
      </c>
      <c r="O223" s="5">
        <v>128116480555553</v>
      </c>
      <c r="P223" s="5">
        <v>148889775308423</v>
      </c>
    </row>
    <row r="224" spans="1:16" x14ac:dyDescent="0.45">
      <c r="A224" s="1" t="s">
        <v>218</v>
      </c>
      <c r="B224" s="2">
        <v>4985791</v>
      </c>
      <c r="C224" s="3" t="s">
        <v>998</v>
      </c>
      <c r="D224" s="3" t="s">
        <v>999</v>
      </c>
      <c r="E224" s="3" t="s">
        <v>501</v>
      </c>
      <c r="F224" s="5">
        <v>794055111111111</v>
      </c>
      <c r="G224" s="5">
        <v>668475037786259</v>
      </c>
      <c r="H224" s="5">
        <v>560467257692304</v>
      </c>
      <c r="I224" s="5">
        <v>101505269461541</v>
      </c>
      <c r="J224" s="5">
        <v>557484711111113</v>
      </c>
      <c r="K224" s="5">
        <v>531541103816776</v>
      </c>
      <c r="L224" s="5">
        <v>638733607279691</v>
      </c>
      <c r="M224" s="5">
        <v>52284538518618</v>
      </c>
      <c r="N224" s="5">
        <v>565209510880008</v>
      </c>
      <c r="O224" s="5">
        <v>560584193888877</v>
      </c>
      <c r="P224" s="5">
        <v>551731403252851</v>
      </c>
    </row>
    <row r="225" spans="1:16" x14ac:dyDescent="0.45">
      <c r="A225" s="1" t="s">
        <v>219</v>
      </c>
      <c r="B225" s="2">
        <v>4060689</v>
      </c>
      <c r="C225" s="3" t="s">
        <v>1000</v>
      </c>
      <c r="D225" s="3" t="s">
        <v>1001</v>
      </c>
      <c r="E225" s="3" t="s">
        <v>524</v>
      </c>
      <c r="F225" s="5">
        <v>106435288888889</v>
      </c>
      <c r="G225" s="5">
        <v>984683146946564</v>
      </c>
      <c r="H225" s="5">
        <v>965557453846147</v>
      </c>
      <c r="I225" s="5">
        <v>18512582415385</v>
      </c>
      <c r="J225" s="5">
        <v>140936195555556</v>
      </c>
      <c r="K225" s="5">
        <v>122798274809156</v>
      </c>
      <c r="L225" s="5">
        <v>152581398773946</v>
      </c>
      <c r="M225" s="5">
        <v>209180871724127</v>
      </c>
      <c r="N225" s="5">
        <v>163540672000002</v>
      </c>
      <c r="O225" s="5">
        <v>134355038888886</v>
      </c>
      <c r="P225" s="5">
        <v>20282254310344</v>
      </c>
    </row>
    <row r="226" spans="1:16" x14ac:dyDescent="0.45">
      <c r="A226" s="1" t="s">
        <v>220</v>
      </c>
      <c r="B226" s="2">
        <v>4048157</v>
      </c>
      <c r="C226" s="3" t="s">
        <v>1002</v>
      </c>
      <c r="D226" s="3" t="s">
        <v>1003</v>
      </c>
      <c r="E226" s="3" t="s">
        <v>904</v>
      </c>
      <c r="F226" s="5">
        <v>451454474252863</v>
      </c>
      <c r="G226" s="5">
        <v>356810006221376</v>
      </c>
      <c r="H226" s="5">
        <v>298335910689665</v>
      </c>
      <c r="I226" s="5">
        <v>236923639846156</v>
      </c>
      <c r="J226" s="5">
        <v>211649910346148</v>
      </c>
      <c r="K226" s="5">
        <v>198955668854961</v>
      </c>
      <c r="L226" s="5">
        <v>163102417931031</v>
      </c>
      <c r="M226" s="5">
        <v>130662850574704</v>
      </c>
      <c r="N226" s="5">
        <v>129725322528735</v>
      </c>
      <c r="O226" s="5">
        <v>111897846692305</v>
      </c>
      <c r="P226" s="5">
        <v>754321899233705</v>
      </c>
    </row>
    <row r="227" spans="1:16" x14ac:dyDescent="0.45">
      <c r="A227" s="1" t="s">
        <v>221</v>
      </c>
      <c r="B227" s="2">
        <v>4410647</v>
      </c>
      <c r="C227" s="3" t="s">
        <v>1004</v>
      </c>
      <c r="D227" s="3" t="s">
        <v>1005</v>
      </c>
      <c r="E227" s="3" t="s">
        <v>474</v>
      </c>
      <c r="F227" s="5">
        <v>261036755555556</v>
      </c>
      <c r="G227" s="5">
        <v>217175797545801</v>
      </c>
      <c r="H227" s="5">
        <v>163404876384614</v>
      </c>
      <c r="I227" s="5">
        <v>152705022061542</v>
      </c>
      <c r="J227" s="5">
        <v>154048506666667</v>
      </c>
      <c r="K227" s="5">
        <v>920811634961801</v>
      </c>
      <c r="L227" s="5">
        <v>122788719329501</v>
      </c>
      <c r="M227" s="5">
        <v>105488862620684</v>
      </c>
      <c r="N227" s="5">
        <v>942664752000013</v>
      </c>
      <c r="O227" s="5">
        <v>869600783333315</v>
      </c>
      <c r="P227" s="5">
        <v>678959730957826</v>
      </c>
    </row>
    <row r="228" spans="1:16" x14ac:dyDescent="0.45">
      <c r="A228" s="1" t="s">
        <v>222</v>
      </c>
      <c r="B228" s="2">
        <v>103661</v>
      </c>
      <c r="C228" s="3" t="s">
        <v>1006</v>
      </c>
      <c r="D228" s="3" t="s">
        <v>1007</v>
      </c>
      <c r="E228" s="3" t="s">
        <v>542</v>
      </c>
      <c r="F228" s="5" t="s">
        <v>1008</v>
      </c>
      <c r="G228" s="5">
        <v>954356755190838</v>
      </c>
      <c r="H228" s="5">
        <v>791405664038456</v>
      </c>
      <c r="I228" s="5">
        <v>120712311546157</v>
      </c>
      <c r="J228" s="5">
        <v>145698925333334</v>
      </c>
      <c r="K228" s="5">
        <v>109746572458012</v>
      </c>
      <c r="L228" s="5">
        <v>128077254931034</v>
      </c>
      <c r="M228" s="5">
        <v>114100198344822</v>
      </c>
      <c r="N228" s="5">
        <v>122291883200002</v>
      </c>
      <c r="O228" s="5">
        <v>11260145722222</v>
      </c>
      <c r="P228" s="5">
        <v>123198919848654</v>
      </c>
    </row>
    <row r="229" spans="1:16" x14ac:dyDescent="0.45">
      <c r="A229" s="1" t="s">
        <v>223</v>
      </c>
      <c r="B229" s="2">
        <v>4426247</v>
      </c>
      <c r="C229" s="3" t="s">
        <v>1009</v>
      </c>
      <c r="D229" s="3" t="s">
        <v>1010</v>
      </c>
      <c r="E229" s="3" t="s">
        <v>1011</v>
      </c>
      <c r="F229" s="5">
        <v>658960281777778</v>
      </c>
      <c r="G229" s="5">
        <v>659629531995801</v>
      </c>
      <c r="H229" s="5">
        <v>631314573436534</v>
      </c>
      <c r="I229" s="5">
        <v>611127362866937</v>
      </c>
      <c r="J229" s="5">
        <v>465628319022224</v>
      </c>
      <c r="K229" s="5">
        <v>410881273250368</v>
      </c>
      <c r="L229" s="5">
        <v>391193514445592</v>
      </c>
      <c r="M229" s="5">
        <v>304834504055156</v>
      </c>
      <c r="N229" s="5">
        <v>170298697600002</v>
      </c>
      <c r="O229" s="5">
        <v>188027435749996</v>
      </c>
      <c r="P229" s="5">
        <v>107235433556126</v>
      </c>
    </row>
    <row r="230" spans="1:16" x14ac:dyDescent="0.45">
      <c r="A230" s="1" t="s">
        <v>224</v>
      </c>
      <c r="B230" s="2">
        <v>4326091</v>
      </c>
      <c r="C230" s="3" t="s">
        <v>1012</v>
      </c>
      <c r="D230" s="3" t="s">
        <v>1013</v>
      </c>
      <c r="E230" s="3" t="s">
        <v>492</v>
      </c>
      <c r="F230" s="5">
        <v>203653866666667</v>
      </c>
      <c r="G230" s="5">
        <v>21071294759542</v>
      </c>
      <c r="H230" s="5">
        <v>191539222884614</v>
      </c>
      <c r="I230" s="5">
        <v>176944518461542</v>
      </c>
      <c r="J230" s="5">
        <v>122325173333334</v>
      </c>
      <c r="K230" s="5">
        <v>710475732824403</v>
      </c>
      <c r="L230" s="5">
        <v>781667001915706</v>
      </c>
      <c r="M230" s="5">
        <v>706027820689618</v>
      </c>
      <c r="N230" s="5">
        <v>69620080000001</v>
      </c>
      <c r="O230" s="5">
        <v>691666249999986</v>
      </c>
      <c r="P230" s="5">
        <v>611171929885032</v>
      </c>
    </row>
    <row r="231" spans="1:16" x14ac:dyDescent="0.45">
      <c r="A231" s="1" t="s">
        <v>225</v>
      </c>
      <c r="B231" s="2">
        <v>4094831</v>
      </c>
      <c r="C231" s="3" t="s">
        <v>1014</v>
      </c>
      <c r="D231" s="3" t="s">
        <v>1015</v>
      </c>
      <c r="E231" s="3" t="s">
        <v>1016</v>
      </c>
      <c r="F231" s="5">
        <v>124418510222222</v>
      </c>
      <c r="G231" s="5">
        <v>112144407874351</v>
      </c>
      <c r="H231" s="5">
        <v>102663821143653</v>
      </c>
      <c r="I231" s="5">
        <v>995343358413869</v>
      </c>
      <c r="J231" s="5">
        <v>762477507288891</v>
      </c>
      <c r="K231" s="5">
        <v>699887890144251</v>
      </c>
      <c r="L231" s="5">
        <v>696267871955553</v>
      </c>
      <c r="M231" s="5">
        <v>665607092275827</v>
      </c>
      <c r="N231" s="5">
        <v>639615195360009</v>
      </c>
      <c r="O231" s="5">
        <v>574093837166655</v>
      </c>
      <c r="P231" s="5">
        <v>527075393479671</v>
      </c>
    </row>
    <row r="232" spans="1:16" x14ac:dyDescent="0.45">
      <c r="A232" s="1" t="s">
        <v>226</v>
      </c>
      <c r="B232" s="2">
        <v>4994170</v>
      </c>
      <c r="C232" s="3" t="s">
        <v>1017</v>
      </c>
      <c r="D232" s="3" t="s">
        <v>1018</v>
      </c>
      <c r="E232" s="3" t="s">
        <v>1019</v>
      </c>
      <c r="F232" s="5">
        <v>766643371555556</v>
      </c>
      <c r="G232" s="5">
        <v>768538261803434</v>
      </c>
      <c r="H232" s="5">
        <v>918570690546147</v>
      </c>
      <c r="I232" s="5">
        <v>126672583005926</v>
      </c>
      <c r="J232" s="5">
        <v>884471912000003</v>
      </c>
      <c r="K232" s="5">
        <v>625498449525933</v>
      </c>
      <c r="L232" s="5">
        <v>712902639090036</v>
      </c>
      <c r="M232" s="5">
        <v>577214612813763</v>
      </c>
      <c r="N232" s="5">
        <v>553225988320008</v>
      </c>
      <c r="O232" s="5">
        <v>638159310555542</v>
      </c>
      <c r="P232" s="5">
        <v>64515056517277</v>
      </c>
    </row>
    <row r="233" spans="1:16" x14ac:dyDescent="0.45">
      <c r="A233" s="1" t="s">
        <v>227</v>
      </c>
      <c r="B233" s="2">
        <v>4069059</v>
      </c>
      <c r="C233" s="3" t="s">
        <v>1020</v>
      </c>
      <c r="D233" s="3" t="s">
        <v>1021</v>
      </c>
      <c r="E233" s="3" t="s">
        <v>1022</v>
      </c>
      <c r="F233" s="5">
        <v>131631993923073</v>
      </c>
      <c r="G233" s="5">
        <v>133893349386974</v>
      </c>
      <c r="H233" s="5">
        <v>151826411302687</v>
      </c>
      <c r="I233" s="5">
        <v>130419421034484</v>
      </c>
      <c r="J233" s="5">
        <v>911943697317984</v>
      </c>
      <c r="K233" s="5">
        <v>603745140229879</v>
      </c>
      <c r="L233" s="5">
        <v>689268846538458</v>
      </c>
      <c r="M233" s="5">
        <v>499933499429089</v>
      </c>
      <c r="N233" s="5">
        <v>519844242906886</v>
      </c>
      <c r="O233" s="5">
        <v>481012403993122</v>
      </c>
      <c r="P233" s="5">
        <v>507971204433898</v>
      </c>
    </row>
    <row r="234" spans="1:16" x14ac:dyDescent="0.45">
      <c r="A234" s="1" t="s">
        <v>228</v>
      </c>
      <c r="B234" s="2">
        <v>3008229</v>
      </c>
      <c r="C234" s="3" t="s">
        <v>1023</v>
      </c>
      <c r="D234" s="3" t="s">
        <v>1024</v>
      </c>
      <c r="E234" s="3" t="s">
        <v>629</v>
      </c>
      <c r="F234" s="5">
        <v>523242640425272</v>
      </c>
      <c r="G234" s="5">
        <v>467728552022306</v>
      </c>
      <c r="H234" s="5">
        <v>4595714314115</v>
      </c>
      <c r="I234" s="5">
        <v>421598602309213</v>
      </c>
      <c r="J234" s="5">
        <v>334345588301135</v>
      </c>
      <c r="K234" s="5">
        <v>344263901249231</v>
      </c>
      <c r="L234" s="5">
        <v>304498984006148</v>
      </c>
      <c r="M234" s="5">
        <v>298180745181141</v>
      </c>
      <c r="N234" s="5">
        <v>310609345230458</v>
      </c>
      <c r="O234" s="5">
        <v>308472366890452</v>
      </c>
      <c r="P234" s="5">
        <v>260111025518575</v>
      </c>
    </row>
    <row r="235" spans="1:16" x14ac:dyDescent="0.45">
      <c r="A235" s="1" t="s">
        <v>229</v>
      </c>
      <c r="B235" s="2">
        <v>4004212</v>
      </c>
      <c r="C235" s="3" t="s">
        <v>1025</v>
      </c>
      <c r="D235" s="3" t="s">
        <v>1026</v>
      </c>
      <c r="E235" s="3" t="s">
        <v>852</v>
      </c>
      <c r="F235" s="5">
        <v>942342436556729</v>
      </c>
      <c r="G235" s="5">
        <v>804622279384628</v>
      </c>
      <c r="H235" s="5">
        <v>638514930261556</v>
      </c>
      <c r="I235" s="5">
        <v>592748396871647</v>
      </c>
      <c r="J235" s="5">
        <v>91895127183206</v>
      </c>
      <c r="K235" s="5">
        <v>519869362772714</v>
      </c>
      <c r="L235" s="5">
        <v>675354980431148</v>
      </c>
      <c r="M235" s="5">
        <v>537068276973051</v>
      </c>
      <c r="N235" s="5">
        <v>314853868889421</v>
      </c>
      <c r="O235" s="5">
        <v>304909696009918</v>
      </c>
      <c r="P235" s="5">
        <v>523675067602638</v>
      </c>
    </row>
    <row r="236" spans="1:16" x14ac:dyDescent="0.45">
      <c r="A236" s="1" t="s">
        <v>230</v>
      </c>
      <c r="B236" s="2">
        <v>4044333</v>
      </c>
      <c r="C236" s="3" t="s">
        <v>1027</v>
      </c>
      <c r="D236" s="3" t="s">
        <v>1028</v>
      </c>
      <c r="E236" s="3" t="s">
        <v>637</v>
      </c>
      <c r="F236" s="5">
        <v>233477768062016</v>
      </c>
      <c r="G236" s="5">
        <v>208895479676924</v>
      </c>
      <c r="H236" s="5">
        <v>21885968953846</v>
      </c>
      <c r="I236" s="5">
        <v>211011094838466</v>
      </c>
      <c r="J236" s="5">
        <v>182345720000001</v>
      </c>
      <c r="K236" s="5">
        <v>177722941277561</v>
      </c>
      <c r="L236" s="5">
        <v>189952887355211</v>
      </c>
      <c r="M236" s="5">
        <v>179452424038452</v>
      </c>
      <c r="N236" s="5">
        <v>167593713600002</v>
      </c>
      <c r="O236" s="5">
        <v>191360995833329</v>
      </c>
      <c r="P236" s="5">
        <v>165606741946559</v>
      </c>
    </row>
    <row r="237" spans="1:16" x14ac:dyDescent="0.45">
      <c r="A237" s="1" t="s">
        <v>231</v>
      </c>
      <c r="B237" s="2">
        <v>5234450</v>
      </c>
      <c r="C237" s="3" t="s">
        <v>1029</v>
      </c>
      <c r="D237" s="3" t="s">
        <v>1030</v>
      </c>
      <c r="E237" s="3" t="s">
        <v>471</v>
      </c>
      <c r="F237" s="5">
        <v>269315580076621</v>
      </c>
      <c r="G237" s="5">
        <v>268426985057475</v>
      </c>
      <c r="H237" s="5">
        <v>226567999653852</v>
      </c>
      <c r="I237" s="5">
        <v>210144940383142</v>
      </c>
      <c r="J237" s="5">
        <v>232200091954022</v>
      </c>
      <c r="K237" s="5">
        <v>156349675572515</v>
      </c>
      <c r="L237" s="5">
        <v>147257641455938</v>
      </c>
      <c r="M237" s="5">
        <v>161153268576915</v>
      </c>
      <c r="N237" s="5">
        <v>137452367307691</v>
      </c>
      <c r="O237" s="5">
        <v>130573440839692</v>
      </c>
      <c r="P237" s="5">
        <v>117759094310339</v>
      </c>
    </row>
    <row r="238" spans="1:16" x14ac:dyDescent="0.45">
      <c r="A238" s="1" t="s">
        <v>232</v>
      </c>
      <c r="B238" s="2">
        <v>4547508</v>
      </c>
      <c r="C238" s="3" t="s">
        <v>1031</v>
      </c>
      <c r="D238" s="3" t="s">
        <v>1032</v>
      </c>
      <c r="E238" s="3" t="s">
        <v>1033</v>
      </c>
      <c r="F238" s="5">
        <v>328965688888889</v>
      </c>
      <c r="G238" s="5">
        <v>313989104885496</v>
      </c>
      <c r="H238" s="5">
        <v>298453439038459</v>
      </c>
      <c r="I238" s="5">
        <v>273407820461545</v>
      </c>
      <c r="J238" s="5">
        <v>256239937777779</v>
      </c>
      <c r="K238" s="5">
        <v>215423259236634</v>
      </c>
      <c r="L238" s="5">
        <v>209844089999999</v>
      </c>
      <c r="M238" s="5">
        <v>115608877241373</v>
      </c>
      <c r="N238" s="5">
        <v>833667200000011</v>
      </c>
      <c r="O238" s="5">
        <v>752986338521391</v>
      </c>
      <c r="P238" s="5">
        <v>681302369644159</v>
      </c>
    </row>
    <row r="239" spans="1:16" x14ac:dyDescent="0.45">
      <c r="A239" s="1" t="s">
        <v>233</v>
      </c>
      <c r="B239" s="2">
        <v>4972803</v>
      </c>
      <c r="C239" s="3" t="s">
        <v>1034</v>
      </c>
      <c r="D239" s="3" t="s">
        <v>1035</v>
      </c>
      <c r="E239" s="3" t="s">
        <v>1036</v>
      </c>
      <c r="F239" s="5">
        <v>845162078927164</v>
      </c>
      <c r="G239" s="5">
        <v>776449396946597</v>
      </c>
      <c r="H239" s="5">
        <v>128504836015329</v>
      </c>
      <c r="I239" s="5">
        <v>130004572835248</v>
      </c>
      <c r="J239" s="5">
        <v>912285456923068</v>
      </c>
      <c r="K239" s="5">
        <v>691446456704961</v>
      </c>
      <c r="L239" s="5">
        <v>670712755555555</v>
      </c>
      <c r="M239" s="5">
        <v>366466833333322</v>
      </c>
      <c r="N239" s="5">
        <v>178574910344825</v>
      </c>
      <c r="O239" s="5">
        <v>357165524137924</v>
      </c>
      <c r="P239" s="5">
        <v>424155604999979</v>
      </c>
    </row>
    <row r="240" spans="1:16" x14ac:dyDescent="0.45">
      <c r="A240" s="1" t="s">
        <v>234</v>
      </c>
      <c r="B240" s="2">
        <v>4060881</v>
      </c>
      <c r="C240" s="3" t="s">
        <v>1037</v>
      </c>
      <c r="D240" s="3" t="s">
        <v>1038</v>
      </c>
      <c r="E240" s="3" t="s">
        <v>707</v>
      </c>
      <c r="F240" s="5">
        <v>229265688888889</v>
      </c>
      <c r="G240" s="5">
        <v>247326518129771</v>
      </c>
      <c r="H240" s="5">
        <v>223354525961537</v>
      </c>
      <c r="I240" s="5">
        <v>250861664076929</v>
      </c>
      <c r="J240" s="5">
        <v>240505164444445</v>
      </c>
      <c r="K240" s="5">
        <v>312872461603043</v>
      </c>
      <c r="L240" s="5">
        <v>290690791340995</v>
      </c>
      <c r="M240" s="5">
        <v>25647541241378</v>
      </c>
      <c r="N240" s="5">
        <v>291428768000004</v>
      </c>
      <c r="O240" s="5">
        <v>304785219444438</v>
      </c>
      <c r="P240" s="5">
        <v>305856394999987</v>
      </c>
    </row>
    <row r="241" spans="1:16" x14ac:dyDescent="0.45">
      <c r="A241" s="1" t="s">
        <v>235</v>
      </c>
      <c r="B241" s="2">
        <v>102965</v>
      </c>
      <c r="C241" s="3" t="s">
        <v>1039</v>
      </c>
      <c r="D241" s="3" t="s">
        <v>1040</v>
      </c>
      <c r="E241" s="3" t="s">
        <v>893</v>
      </c>
      <c r="F241" s="5">
        <v>636021305777778</v>
      </c>
      <c r="G241" s="5">
        <v>607947997850381</v>
      </c>
      <c r="H241" s="5">
        <v>549088662524996</v>
      </c>
      <c r="I241" s="5">
        <v>543810438053089</v>
      </c>
      <c r="J241" s="5">
        <v>378339240977779</v>
      </c>
      <c r="K241" s="5">
        <v>291866939566402</v>
      </c>
      <c r="L241" s="5">
        <v>399420224640612</v>
      </c>
      <c r="M241" s="5">
        <v>365958883820671</v>
      </c>
      <c r="N241" s="5">
        <v>363895732800005</v>
      </c>
      <c r="O241" s="5">
        <v>357848226694437</v>
      </c>
      <c r="P241" s="5">
        <v>354943957598644</v>
      </c>
    </row>
    <row r="242" spans="1:16" x14ac:dyDescent="0.45">
      <c r="A242" s="1" t="s">
        <v>236</v>
      </c>
      <c r="B242" s="2">
        <v>4275772</v>
      </c>
      <c r="C242" s="3" t="s">
        <v>1041</v>
      </c>
      <c r="D242" s="3" t="s">
        <v>1042</v>
      </c>
      <c r="E242" s="3" t="s">
        <v>1043</v>
      </c>
      <c r="F242" s="5">
        <v>418651377777778</v>
      </c>
      <c r="G242" s="5">
        <v>401639773740457</v>
      </c>
      <c r="H242" s="5">
        <v>394269293653843</v>
      </c>
      <c r="I242" s="5">
        <v>386709391153855</v>
      </c>
      <c r="J242" s="5">
        <v>384063822222223</v>
      </c>
      <c r="K242" s="5">
        <v>306293982595409</v>
      </c>
      <c r="L242" s="5">
        <v>344558814444443</v>
      </c>
      <c r="M242" s="5">
        <v>329027611034466</v>
      </c>
      <c r="N242" s="5">
        <v>315729280000004</v>
      </c>
      <c r="O242" s="5">
        <v>357225274999993</v>
      </c>
      <c r="P242" s="5">
        <v>378872510517226</v>
      </c>
    </row>
    <row r="243" spans="1:16" x14ac:dyDescent="0.45">
      <c r="A243" s="1" t="s">
        <v>237</v>
      </c>
      <c r="B243" s="2">
        <v>4069171</v>
      </c>
      <c r="C243" s="3" t="s">
        <v>1044</v>
      </c>
      <c r="D243" s="3" t="s">
        <v>1045</v>
      </c>
      <c r="E243" s="3" t="s">
        <v>564</v>
      </c>
      <c r="F243" s="5">
        <v>461330785221366</v>
      </c>
      <c r="G243" s="5">
        <v>336180093257999</v>
      </c>
      <c r="H243" s="5">
        <v>381920946388051</v>
      </c>
      <c r="I243" s="5">
        <v>32436831904714</v>
      </c>
      <c r="J243" s="5">
        <v>208517138144589</v>
      </c>
      <c r="K243" s="5">
        <v>158916537266333</v>
      </c>
      <c r="L243" s="5">
        <v>121648196213882</v>
      </c>
      <c r="M243" s="5">
        <v>128894840234071</v>
      </c>
      <c r="N243" s="5">
        <v>117128798353218</v>
      </c>
      <c r="O243" s="5">
        <v>873746494196549</v>
      </c>
      <c r="P243" s="5">
        <v>579570900839064</v>
      </c>
    </row>
    <row r="244" spans="1:16" x14ac:dyDescent="0.45">
      <c r="A244" s="1" t="s">
        <v>238</v>
      </c>
      <c r="B244" s="2">
        <v>4104164</v>
      </c>
      <c r="C244" s="3" t="s">
        <v>1046</v>
      </c>
      <c r="D244" s="3" t="s">
        <v>1047</v>
      </c>
      <c r="E244" s="3" t="s">
        <v>604</v>
      </c>
      <c r="F244" s="5">
        <v>249751395133079</v>
      </c>
      <c r="G244" s="5">
        <v>246911607207547</v>
      </c>
      <c r="H244" s="5">
        <v>197735808076922</v>
      </c>
      <c r="I244" s="5">
        <v>223939460461544</v>
      </c>
      <c r="J244" s="5">
        <v>177312284444445</v>
      </c>
      <c r="K244" s="5">
        <v>174767761368816</v>
      </c>
      <c r="L244" s="5">
        <v>23888168871212</v>
      </c>
      <c r="M244" s="5">
        <v>969314447692265</v>
      </c>
      <c r="N244" s="5">
        <v>10232899683908</v>
      </c>
      <c r="O244" s="5">
        <v>968965147338383</v>
      </c>
      <c r="P244" s="5">
        <v>642078651893924</v>
      </c>
    </row>
    <row r="245" spans="1:16" x14ac:dyDescent="0.45">
      <c r="A245" s="1" t="s">
        <v>239</v>
      </c>
      <c r="B245" s="2">
        <v>4069312</v>
      </c>
      <c r="C245" s="3" t="s">
        <v>1048</v>
      </c>
      <c r="D245" s="3" t="s">
        <v>1049</v>
      </c>
      <c r="E245" s="3" t="s">
        <v>768</v>
      </c>
      <c r="F245" s="5">
        <v>133385306666667</v>
      </c>
      <c r="G245" s="5">
        <v>105217786030534</v>
      </c>
      <c r="H245" s="5">
        <v>102918805999999</v>
      </c>
      <c r="I245" s="5">
        <v>166689346907696</v>
      </c>
      <c r="J245" s="5">
        <v>267406551111112</v>
      </c>
      <c r="K245" s="5">
        <v>260998961801518</v>
      </c>
      <c r="L245" s="5">
        <v>123708853057471</v>
      </c>
      <c r="M245" s="5">
        <v>115803818896546</v>
      </c>
      <c r="N245" s="5">
        <v>122043556800002</v>
      </c>
      <c r="O245" s="5">
        <v>123767572499997</v>
      </c>
      <c r="P245" s="5">
        <v>113950211883137</v>
      </c>
    </row>
    <row r="246" spans="1:16" x14ac:dyDescent="0.45">
      <c r="A246" s="1" t="s">
        <v>240</v>
      </c>
      <c r="B246" s="2">
        <v>4069378</v>
      </c>
      <c r="C246" s="3" t="s">
        <v>1050</v>
      </c>
      <c r="D246" s="3" t="s">
        <v>1051</v>
      </c>
      <c r="E246" s="3" t="s">
        <v>564</v>
      </c>
      <c r="F246" s="5">
        <v>543070397285829</v>
      </c>
      <c r="G246" s="5">
        <v>399962865002883</v>
      </c>
      <c r="H246" s="5">
        <v>506671190830946</v>
      </c>
      <c r="I246" s="5">
        <v>477535138933098</v>
      </c>
      <c r="J246" s="5">
        <v>375829789077501</v>
      </c>
      <c r="K246" s="5">
        <v>241868221055534</v>
      </c>
      <c r="L246" s="5">
        <v>216070635982611</v>
      </c>
      <c r="M246" s="5">
        <v>269308983412772</v>
      </c>
      <c r="N246" s="5">
        <v>175600386294608</v>
      </c>
      <c r="O246" s="5">
        <v>968273150790684</v>
      </c>
      <c r="P246" s="5">
        <v>733370423340517</v>
      </c>
    </row>
    <row r="247" spans="1:16" x14ac:dyDescent="0.45">
      <c r="A247" s="1" t="s">
        <v>241</v>
      </c>
      <c r="B247" s="2">
        <v>4107929</v>
      </c>
      <c r="C247" s="3" t="s">
        <v>1052</v>
      </c>
      <c r="D247" s="3" t="s">
        <v>1053</v>
      </c>
      <c r="E247" s="3" t="s">
        <v>1054</v>
      </c>
      <c r="F247" s="5">
        <v>271627111111111</v>
      </c>
      <c r="G247" s="5">
        <v>226708270076336</v>
      </c>
      <c r="H247" s="5">
        <v>216418049999998</v>
      </c>
      <c r="I247" s="5">
        <v>-744879343846171</v>
      </c>
      <c r="J247" s="5">
        <v>-560022577777779</v>
      </c>
      <c r="K247" s="5">
        <v>-115781230534347</v>
      </c>
      <c r="L247" s="5">
        <v>307842798697317</v>
      </c>
      <c r="M247" s="5">
        <v>330637998620672</v>
      </c>
      <c r="N247" s="5">
        <v>308988992000004</v>
      </c>
      <c r="O247" s="5">
        <v>240500944444439</v>
      </c>
      <c r="P247" s="5">
        <v>259252281762441</v>
      </c>
    </row>
    <row r="248" spans="1:16" x14ac:dyDescent="0.45">
      <c r="A248" s="1" t="s">
        <v>242</v>
      </c>
      <c r="B248" s="2">
        <v>4276840</v>
      </c>
      <c r="C248" s="3" t="s">
        <v>1055</v>
      </c>
      <c r="D248" s="3" t="s">
        <v>1056</v>
      </c>
      <c r="E248" s="3" t="s">
        <v>852</v>
      </c>
      <c r="F248" s="5">
        <v>18605105703422</v>
      </c>
      <c r="G248" s="5">
        <v>167907293773584</v>
      </c>
      <c r="H248" s="5">
        <v>120417222692307</v>
      </c>
      <c r="I248" s="5">
        <v>107783945923079</v>
      </c>
      <c r="J248" s="5">
        <v>983846311111114</v>
      </c>
      <c r="K248" s="5">
        <v>907599764258526</v>
      </c>
      <c r="L248" s="5">
        <v>803121309469693</v>
      </c>
      <c r="M248" s="5">
        <v>656791634615349</v>
      </c>
      <c r="N248" s="5">
        <v>607512800000008</v>
      </c>
      <c r="O248" s="5">
        <v>465631527777768</v>
      </c>
      <c r="P248" s="5">
        <v>272209786153846</v>
      </c>
    </row>
    <row r="249" spans="1:16" x14ac:dyDescent="0.45">
      <c r="A249" s="1" t="s">
        <v>243</v>
      </c>
      <c r="B249" s="2">
        <v>4054537</v>
      </c>
      <c r="C249" s="3" t="s">
        <v>1057</v>
      </c>
      <c r="D249" s="3" t="s">
        <v>1058</v>
      </c>
      <c r="E249" s="3" t="s">
        <v>772</v>
      </c>
      <c r="F249" s="5">
        <v>255779795633455</v>
      </c>
      <c r="G249" s="5">
        <v>469373446348284</v>
      </c>
      <c r="H249" s="5">
        <v>508626445425175</v>
      </c>
      <c r="I249" s="5">
        <v>642492719308514</v>
      </c>
      <c r="J249" s="5">
        <v>448718913041755</v>
      </c>
      <c r="K249" s="5">
        <v>273007579988883</v>
      </c>
      <c r="L249" s="5">
        <v>219994680829846</v>
      </c>
      <c r="M249" s="5">
        <v>184039892813439</v>
      </c>
      <c r="N249" s="5">
        <v>120967340841917</v>
      </c>
      <c r="O249" s="5">
        <v>11759670461389</v>
      </c>
      <c r="P249" s="5">
        <v>998264056777741</v>
      </c>
    </row>
    <row r="250" spans="1:16" x14ac:dyDescent="0.45">
      <c r="A250" s="1" t="s">
        <v>244</v>
      </c>
      <c r="B250" s="2">
        <v>4021939</v>
      </c>
      <c r="C250" s="3" t="s">
        <v>1059</v>
      </c>
      <c r="D250" s="3" t="s">
        <v>1060</v>
      </c>
      <c r="E250" s="3" t="s">
        <v>471</v>
      </c>
      <c r="F250" s="5">
        <v>923709422222223</v>
      </c>
      <c r="G250" s="5">
        <v>961198685038167</v>
      </c>
      <c r="H250" s="5">
        <v>768006618461533</v>
      </c>
      <c r="I250" s="5">
        <v>619400946076937</v>
      </c>
      <c r="J250" s="5">
        <v>490738817777779</v>
      </c>
      <c r="K250" s="5">
        <v>422162926183192</v>
      </c>
      <c r="L250" s="5">
        <v>43612552038314</v>
      </c>
      <c r="M250" s="5">
        <v>422006304827564</v>
      </c>
      <c r="N250" s="5">
        <v>431023680000006</v>
      </c>
      <c r="O250" s="5">
        <v>381365783333325</v>
      </c>
      <c r="P250" s="5">
        <v>325237215785427</v>
      </c>
    </row>
    <row r="251" spans="1:16" x14ac:dyDescent="0.45">
      <c r="A251" s="1" t="s">
        <v>245</v>
      </c>
      <c r="B251" s="2">
        <v>4062407</v>
      </c>
      <c r="C251" s="3" t="s">
        <v>1061</v>
      </c>
      <c r="D251" s="3" t="s">
        <v>1062</v>
      </c>
      <c r="E251" s="3" t="s">
        <v>495</v>
      </c>
      <c r="F251" s="5">
        <v>849000888888889</v>
      </c>
      <c r="G251" s="5">
        <v>821863708282442</v>
      </c>
      <c r="H251" s="5">
        <v>764769596346148</v>
      </c>
      <c r="I251" s="5">
        <v>633099876538476</v>
      </c>
      <c r="J251" s="5">
        <v>465360151111113</v>
      </c>
      <c r="K251" s="5">
        <v>360149797404568</v>
      </c>
      <c r="L251" s="5">
        <v>300874795708811</v>
      </c>
      <c r="M251" s="5">
        <v>187737289655163</v>
      </c>
      <c r="N251" s="5">
        <v>221631312000003</v>
      </c>
      <c r="O251" s="5">
        <v>209669808333329</v>
      </c>
      <c r="P251" s="5">
        <v>221932933831408</v>
      </c>
    </row>
    <row r="252" spans="1:16" x14ac:dyDescent="0.45">
      <c r="A252" s="1" t="s">
        <v>246</v>
      </c>
      <c r="B252" s="2">
        <v>4121693</v>
      </c>
      <c r="C252" s="3" t="s">
        <v>1063</v>
      </c>
      <c r="D252" s="3" t="s">
        <v>1064</v>
      </c>
      <c r="E252" s="3" t="s">
        <v>1065</v>
      </c>
      <c r="F252" s="5">
        <v>117348583822222</v>
      </c>
      <c r="G252" s="5">
        <v>732062454451144</v>
      </c>
      <c r="H252" s="5">
        <v>102766850933268</v>
      </c>
      <c r="I252" s="5">
        <v>710301911520785</v>
      </c>
      <c r="J252" s="5">
        <v>-352595121511112</v>
      </c>
      <c r="K252" s="5">
        <v>-144940294879155</v>
      </c>
      <c r="L252" s="5">
        <v>29405776611839</v>
      </c>
      <c r="M252" s="5">
        <v>260653944413779</v>
      </c>
      <c r="N252" s="5">
        <v>113909980320002</v>
      </c>
      <c r="O252" s="5">
        <v>171197794472219</v>
      </c>
      <c r="P252" s="5">
        <v>126405318896738</v>
      </c>
    </row>
    <row r="253" spans="1:16" x14ac:dyDescent="0.45">
      <c r="A253" s="1" t="s">
        <v>247</v>
      </c>
      <c r="B253" s="2">
        <v>4004271</v>
      </c>
      <c r="C253" s="3" t="s">
        <v>1066</v>
      </c>
      <c r="D253" s="3" t="s">
        <v>1067</v>
      </c>
      <c r="E253" s="3" t="s">
        <v>604</v>
      </c>
      <c r="F253" s="5">
        <v>619557955555556</v>
      </c>
      <c r="G253" s="5">
        <v>66394457072519</v>
      </c>
      <c r="H253" s="5">
        <v>837741323461532</v>
      </c>
      <c r="I253" s="5">
        <v>710536886230785</v>
      </c>
      <c r="J253" s="5">
        <v>661621840000002</v>
      </c>
      <c r="K253" s="5">
        <v>778628775343485</v>
      </c>
      <c r="L253" s="5">
        <v>687688294942526</v>
      </c>
      <c r="M253" s="5">
        <v>563127111724108</v>
      </c>
      <c r="N253" s="5">
        <v>496031984000007</v>
      </c>
      <c r="O253" s="5">
        <v>445469230555546</v>
      </c>
      <c r="P253" s="5">
        <v>414839708160902</v>
      </c>
    </row>
    <row r="254" spans="1:16" x14ac:dyDescent="0.45">
      <c r="A254" s="1" t="s">
        <v>248</v>
      </c>
      <c r="B254" s="2">
        <v>103455</v>
      </c>
      <c r="C254" s="3" t="s">
        <v>1068</v>
      </c>
      <c r="D254" s="3" t="s">
        <v>1069</v>
      </c>
      <c r="E254" s="3" t="s">
        <v>533</v>
      </c>
      <c r="F254" s="5">
        <v>2344944</v>
      </c>
      <c r="G254" s="5">
        <v>208678860343511</v>
      </c>
      <c r="H254" s="5">
        <v>20827925153846</v>
      </c>
      <c r="I254" s="5">
        <v>131091154000003</v>
      </c>
      <c r="J254" s="5">
        <v>216395431111112</v>
      </c>
      <c r="K254" s="5">
        <v>-631533984732803</v>
      </c>
      <c r="L254" s="5">
        <v>161604069310344</v>
      </c>
      <c r="M254" s="5">
        <v>121202855172407</v>
      </c>
      <c r="N254" s="5">
        <v>197596864000003</v>
      </c>
      <c r="O254" s="5">
        <v>194570688888885</v>
      </c>
      <c r="P254" s="5">
        <v>144409650689649</v>
      </c>
    </row>
    <row r="255" spans="1:16" x14ac:dyDescent="0.45">
      <c r="A255" s="1" t="s">
        <v>249</v>
      </c>
      <c r="B255" s="2">
        <v>4004318</v>
      </c>
      <c r="C255" s="3" t="s">
        <v>1070</v>
      </c>
      <c r="D255" s="3" t="s">
        <v>1071</v>
      </c>
      <c r="E255" s="3" t="s">
        <v>1072</v>
      </c>
      <c r="F255" s="5">
        <v>972636402709937</v>
      </c>
      <c r="G255" s="5">
        <v>107535940836499</v>
      </c>
      <c r="H255" s="5">
        <v>975040966969734</v>
      </c>
      <c r="I255" s="5">
        <v>103170359215385</v>
      </c>
      <c r="J255" s="5">
        <v>839831829269194</v>
      </c>
      <c r="K255" s="5">
        <v>575143739693489</v>
      </c>
      <c r="L255" s="5">
        <v>423695345419833</v>
      </c>
      <c r="M255" s="5">
        <v>576853215741451</v>
      </c>
      <c r="N255" s="5">
        <v>533965397132055</v>
      </c>
      <c r="O255" s="5">
        <v>501791178461527</v>
      </c>
      <c r="P255" s="5">
        <v>369624187153846</v>
      </c>
    </row>
    <row r="256" spans="1:16" x14ac:dyDescent="0.45">
      <c r="A256" s="1" t="s">
        <v>250</v>
      </c>
      <c r="B256" s="2">
        <v>4218591</v>
      </c>
      <c r="C256" s="3" t="s">
        <v>1073</v>
      </c>
      <c r="D256" s="3" t="s">
        <v>1074</v>
      </c>
      <c r="E256" s="3" t="s">
        <v>1075</v>
      </c>
      <c r="F256" s="5">
        <v>23275065575027</v>
      </c>
      <c r="G256" s="5">
        <v>204233651700459</v>
      </c>
      <c r="H256" s="5">
        <v>164866792643056</v>
      </c>
      <c r="I256" s="5">
        <v>116956665425078</v>
      </c>
      <c r="J256" s="5">
        <v>707530675793815</v>
      </c>
      <c r="K256" s="5">
        <v>796272267827589</v>
      </c>
      <c r="L256" s="5">
        <v>601729231045782</v>
      </c>
      <c r="M256" s="5">
        <v>43503210920582</v>
      </c>
      <c r="N256" s="5">
        <v>388950177559983</v>
      </c>
      <c r="O256" s="5">
        <v>323755487027685</v>
      </c>
      <c r="P256" s="5">
        <v>282634044621923</v>
      </c>
    </row>
    <row r="257" spans="1:16" x14ac:dyDescent="0.45">
      <c r="A257" s="1" t="s">
        <v>251</v>
      </c>
      <c r="B257" s="2">
        <v>4973038</v>
      </c>
      <c r="C257" s="3" t="s">
        <v>1076</v>
      </c>
      <c r="D257" s="3" t="s">
        <v>1077</v>
      </c>
      <c r="E257" s="3" t="s">
        <v>577</v>
      </c>
      <c r="F257" s="5">
        <v>-174398234807687</v>
      </c>
      <c r="G257" s="5">
        <v>-317623484423076</v>
      </c>
      <c r="H257" s="5">
        <v>-382428045977016</v>
      </c>
      <c r="I257" s="5">
        <v>275989083282454</v>
      </c>
      <c r="J257" s="5">
        <v>278915704258543</v>
      </c>
      <c r="K257" s="5">
        <v>217371867923073</v>
      </c>
      <c r="L257" s="5">
        <v>123870590653844</v>
      </c>
      <c r="M257" s="5">
        <v>123344424961533</v>
      </c>
      <c r="N257" s="5">
        <v>546978314942526</v>
      </c>
      <c r="O257" s="5">
        <v>170357593346004</v>
      </c>
      <c r="P257" s="5">
        <v>-104492060810807</v>
      </c>
    </row>
    <row r="258" spans="1:16" x14ac:dyDescent="0.45">
      <c r="A258" s="1" t="s">
        <v>252</v>
      </c>
      <c r="B258" s="2">
        <v>4986300</v>
      </c>
      <c r="C258" s="3" t="s">
        <v>1078</v>
      </c>
      <c r="D258" s="3" t="s">
        <v>1079</v>
      </c>
      <c r="E258" s="3" t="s">
        <v>812</v>
      </c>
      <c r="F258" s="5">
        <v>834821333333334</v>
      </c>
      <c r="G258" s="5">
        <v>263414299122137</v>
      </c>
      <c r="H258" s="5">
        <v>298083493653844</v>
      </c>
      <c r="I258" s="5">
        <v>487263346000011</v>
      </c>
      <c r="J258" s="5">
        <v>625245751111113</v>
      </c>
      <c r="K258" s="5">
        <v>188056786564879</v>
      </c>
      <c r="L258" s="5">
        <v>367696157701148</v>
      </c>
      <c r="M258" s="5">
        <v>451162795862045</v>
      </c>
      <c r="N258" s="5">
        <v>485655488000007</v>
      </c>
      <c r="O258" s="5">
        <v>453244824999991</v>
      </c>
      <c r="P258" s="5">
        <v>551857603946337</v>
      </c>
    </row>
    <row r="259" spans="1:16" x14ac:dyDescent="0.45">
      <c r="A259" s="1" t="s">
        <v>253</v>
      </c>
      <c r="B259" s="2">
        <v>4136924</v>
      </c>
      <c r="C259" s="3" t="s">
        <v>1080</v>
      </c>
      <c r="D259" s="3" t="s">
        <v>1081</v>
      </c>
      <c r="E259" s="3" t="s">
        <v>1082</v>
      </c>
      <c r="F259" s="5">
        <v>551230222222222</v>
      </c>
      <c r="G259" s="5">
        <v>532376108931297</v>
      </c>
      <c r="H259" s="5">
        <v>126188370692307</v>
      </c>
      <c r="I259" s="5">
        <v>187884636538466</v>
      </c>
      <c r="J259" s="5">
        <v>317825502222223</v>
      </c>
      <c r="K259" s="5">
        <v>-22805393893129</v>
      </c>
      <c r="L259" s="5">
        <v>452473527394634</v>
      </c>
      <c r="M259" s="5">
        <v>387849136551704</v>
      </c>
      <c r="N259" s="5">
        <v>323977264000004</v>
      </c>
      <c r="O259" s="5">
        <v>240591358333328</v>
      </c>
      <c r="P259" s="5">
        <v>430073934731783</v>
      </c>
    </row>
    <row r="260" spans="1:16" x14ac:dyDescent="0.45">
      <c r="A260" s="1" t="s">
        <v>254</v>
      </c>
      <c r="B260" s="2">
        <v>4046286</v>
      </c>
      <c r="C260" s="3" t="s">
        <v>1083</v>
      </c>
      <c r="D260" s="3" t="s">
        <v>1084</v>
      </c>
      <c r="E260" s="3" t="s">
        <v>632</v>
      </c>
      <c r="F260" s="5">
        <v>366807377777778</v>
      </c>
      <c r="G260" s="5">
        <v>355410518015267</v>
      </c>
      <c r="H260" s="5">
        <v>36291642230769</v>
      </c>
      <c r="I260" s="5">
        <v>330486697384623</v>
      </c>
      <c r="J260" s="5">
        <v>148718986666667</v>
      </c>
      <c r="K260" s="5">
        <v>409619959541971</v>
      </c>
      <c r="L260" s="5">
        <v>181972078045976</v>
      </c>
      <c r="M260" s="5">
        <v>21367300551723</v>
      </c>
      <c r="N260" s="5">
        <v>236176144000003</v>
      </c>
      <c r="O260" s="5">
        <v>163649138888885</v>
      </c>
      <c r="P260" s="5">
        <v>121693525862064</v>
      </c>
    </row>
    <row r="261" spans="1:16" x14ac:dyDescent="0.45">
      <c r="A261" s="1" t="s">
        <v>255</v>
      </c>
      <c r="B261" s="2">
        <v>103442</v>
      </c>
      <c r="C261" s="3" t="s">
        <v>1085</v>
      </c>
      <c r="D261" s="3" t="s">
        <v>1086</v>
      </c>
      <c r="E261" s="3" t="s">
        <v>555</v>
      </c>
      <c r="F261" s="5">
        <v>6133544</v>
      </c>
      <c r="G261" s="5">
        <v>599131154198472</v>
      </c>
      <c r="H261" s="5">
        <v>538455507307688</v>
      </c>
      <c r="I261" s="5">
        <v>470139682923088</v>
      </c>
      <c r="J261" s="5">
        <v>401998080000001</v>
      </c>
      <c r="K261" s="5">
        <v>291470476564876</v>
      </c>
      <c r="L261" s="5">
        <v>262818779386972</v>
      </c>
      <c r="M261" s="5">
        <v>25283085103447</v>
      </c>
      <c r="N261" s="5">
        <v>253292928000003</v>
      </c>
      <c r="O261" s="5">
        <v>240862599999995</v>
      </c>
      <c r="P261" s="5">
        <v>21805676967432</v>
      </c>
    </row>
    <row r="262" spans="1:16" x14ac:dyDescent="0.45">
      <c r="A262" s="1" t="s">
        <v>256</v>
      </c>
      <c r="B262" s="2">
        <v>4095241</v>
      </c>
      <c r="C262" s="3" t="s">
        <v>1087</v>
      </c>
      <c r="D262" s="3" t="s">
        <v>1088</v>
      </c>
      <c r="E262" s="3" t="s">
        <v>758</v>
      </c>
      <c r="F262" s="5">
        <v>130451911111111</v>
      </c>
      <c r="G262" s="5">
        <v>116127890381679</v>
      </c>
      <c r="H262" s="5">
        <v>123746731153845</v>
      </c>
      <c r="I262" s="5">
        <v>10340789869231</v>
      </c>
      <c r="J262" s="5">
        <v>87294153777778</v>
      </c>
      <c r="K262" s="5">
        <v>825028980610659</v>
      </c>
      <c r="L262" s="5">
        <v>785865670383139</v>
      </c>
      <c r="M262" s="5">
        <v>582282248275832</v>
      </c>
      <c r="N262" s="5">
        <v>614607840000008</v>
      </c>
      <c r="O262" s="5">
        <v>602774930999987</v>
      </c>
      <c r="P262" s="5">
        <v>463883100516839</v>
      </c>
    </row>
    <row r="263" spans="1:16" x14ac:dyDescent="0.45">
      <c r="A263" s="1" t="s">
        <v>257</v>
      </c>
      <c r="B263" s="2">
        <v>6331137</v>
      </c>
      <c r="C263" s="3" t="s">
        <v>1089</v>
      </c>
      <c r="D263" s="3" t="s">
        <v>1090</v>
      </c>
      <c r="E263" s="3" t="s">
        <v>471</v>
      </c>
      <c r="F263" s="5">
        <v>112195733333333</v>
      </c>
      <c r="G263" s="5">
        <v>126298326641221</v>
      </c>
      <c r="H263" s="5">
        <v>125411485384614</v>
      </c>
      <c r="I263" s="5">
        <v>125002740461541</v>
      </c>
      <c r="J263" s="5">
        <v>874718044444447</v>
      </c>
      <c r="K263" s="5">
        <v>110518447328241</v>
      </c>
      <c r="L263" s="5">
        <v>9612270789272</v>
      </c>
      <c r="M263" s="5">
        <v>934872372413744</v>
      </c>
      <c r="N263" s="5">
        <v>889540640000012</v>
      </c>
      <c r="O263" s="5">
        <v>953866527777758</v>
      </c>
      <c r="P263" s="5">
        <v>823910241762418</v>
      </c>
    </row>
    <row r="264" spans="1:16" x14ac:dyDescent="0.45">
      <c r="A264" s="1" t="s">
        <v>258</v>
      </c>
      <c r="B264" s="2">
        <v>4073702</v>
      </c>
      <c r="C264" s="3" t="s">
        <v>1091</v>
      </c>
      <c r="D264" s="3" t="s">
        <v>1092</v>
      </c>
      <c r="E264" s="3" t="s">
        <v>629</v>
      </c>
      <c r="F264" s="5">
        <v>171935973333333</v>
      </c>
      <c r="G264" s="5">
        <v>152112743038168</v>
      </c>
      <c r="H264" s="5">
        <v>134539887749999</v>
      </c>
      <c r="I264" s="5">
        <v>120693285253849</v>
      </c>
      <c r="J264" s="5">
        <v>868627164444447</v>
      </c>
      <c r="K264" s="5">
        <v>71591394213738</v>
      </c>
      <c r="L264" s="5">
        <v>863585703716472</v>
      </c>
      <c r="M264" s="5">
        <v>713486457930997</v>
      </c>
      <c r="N264" s="5">
        <v>603876592000008</v>
      </c>
      <c r="O264" s="5">
        <v>531362424999989</v>
      </c>
      <c r="P264" s="5">
        <v>470368013294999</v>
      </c>
    </row>
    <row r="265" spans="1:16" x14ac:dyDescent="0.45">
      <c r="A265" s="1" t="s">
        <v>259</v>
      </c>
      <c r="B265" s="2">
        <v>4219024</v>
      </c>
      <c r="C265" s="3" t="s">
        <v>1093</v>
      </c>
      <c r="D265" s="3" t="s">
        <v>1094</v>
      </c>
      <c r="E265" s="3" t="s">
        <v>734</v>
      </c>
      <c r="F265" s="5">
        <v>983381202769205</v>
      </c>
      <c r="G265" s="5">
        <v>993360531724155</v>
      </c>
      <c r="H265" s="5">
        <v>959562848620694</v>
      </c>
      <c r="I265" s="5">
        <v>876966506896562</v>
      </c>
      <c r="J265" s="5">
        <v>931099959655156</v>
      </c>
      <c r="K265" s="5">
        <v>909363809348639</v>
      </c>
      <c r="L265" s="5">
        <v>888221115692308</v>
      </c>
      <c r="M265" s="5">
        <v>795930477816054</v>
      </c>
      <c r="N265" s="5">
        <v>704113272873569</v>
      </c>
      <c r="O265" s="5">
        <v>592371762595406</v>
      </c>
      <c r="P265" s="5">
        <v>550848445881206</v>
      </c>
    </row>
    <row r="266" spans="1:16" x14ac:dyDescent="0.45">
      <c r="A266" s="1" t="s">
        <v>260</v>
      </c>
      <c r="B266" s="2">
        <v>4095638</v>
      </c>
      <c r="C266" s="3" t="s">
        <v>1095</v>
      </c>
      <c r="D266" s="3" t="s">
        <v>1096</v>
      </c>
      <c r="E266" s="3" t="s">
        <v>702</v>
      </c>
      <c r="F266" s="5">
        <v>109847244444444</v>
      </c>
      <c r="G266" s="5">
        <v>109581827770992</v>
      </c>
      <c r="H266" s="5">
        <v>108634462192307</v>
      </c>
      <c r="I266" s="5">
        <v>986037598846176</v>
      </c>
      <c r="J266" s="5">
        <v>859330112888891</v>
      </c>
      <c r="K266" s="5">
        <v>655567361374024</v>
      </c>
      <c r="L266" s="5">
        <v>799953543091951</v>
      </c>
      <c r="M266" s="5">
        <v>731090536965479</v>
      </c>
      <c r="N266" s="5">
        <v>74429630240001</v>
      </c>
      <c r="O266" s="5">
        <v>707054693888874</v>
      </c>
      <c r="P266" s="5">
        <v>662995343231773</v>
      </c>
    </row>
    <row r="267" spans="1:16" x14ac:dyDescent="0.45">
      <c r="A267" s="1" t="s">
        <v>261</v>
      </c>
      <c r="B267" s="2">
        <v>4069640</v>
      </c>
      <c r="C267" s="3" t="s">
        <v>1097</v>
      </c>
      <c r="D267" s="3" t="s">
        <v>1098</v>
      </c>
      <c r="E267" s="3" t="s">
        <v>664</v>
      </c>
      <c r="F267" s="5">
        <v>457971602490411</v>
      </c>
      <c r="G267" s="5">
        <v>421778919461547</v>
      </c>
      <c r="H267" s="5">
        <v>414767719540238</v>
      </c>
      <c r="I267" s="5">
        <v>357056541111112</v>
      </c>
      <c r="J267" s="5">
        <v>272513942068957</v>
      </c>
      <c r="K267" s="5">
        <v>278452914503817</v>
      </c>
      <c r="L267" s="5">
        <v>269155528653836</v>
      </c>
      <c r="M267" s="5">
        <v>248762052692304</v>
      </c>
      <c r="N267" s="5">
        <v>317659742068958</v>
      </c>
      <c r="O267" s="5">
        <v>332578588549617</v>
      </c>
      <c r="P267" s="5">
        <v>24728776396551</v>
      </c>
    </row>
    <row r="268" spans="1:16" x14ac:dyDescent="0.45">
      <c r="A268" s="1" t="s">
        <v>262</v>
      </c>
      <c r="B268" s="2">
        <v>4806212</v>
      </c>
      <c r="C268" s="3" t="s">
        <v>1099</v>
      </c>
      <c r="D268" s="3" t="s">
        <v>1100</v>
      </c>
      <c r="E268" s="3" t="s">
        <v>474</v>
      </c>
      <c r="F268" s="5">
        <v>594719078061996</v>
      </c>
      <c r="G268" s="5">
        <v>590333228692315</v>
      </c>
      <c r="H268" s="5">
        <v>534802422192305</v>
      </c>
      <c r="I268" s="5">
        <v>594551081269242</v>
      </c>
      <c r="J268" s="5">
        <v>467189324137917</v>
      </c>
      <c r="K268" s="5">
        <v>465707036666671</v>
      </c>
      <c r="L268" s="5">
        <v>583699319189168</v>
      </c>
      <c r="M268" s="5">
        <v>554090889423066</v>
      </c>
      <c r="N268" s="5">
        <v>559747087499991</v>
      </c>
      <c r="O268" s="5">
        <v>516120577107277</v>
      </c>
      <c r="P268" s="5">
        <v>401850485680925</v>
      </c>
    </row>
    <row r="269" spans="1:16" x14ac:dyDescent="0.45">
      <c r="A269" s="1" t="s">
        <v>263</v>
      </c>
      <c r="B269" s="2">
        <v>4004265</v>
      </c>
      <c r="C269" s="3" t="s">
        <v>1101</v>
      </c>
      <c r="D269" s="3" t="s">
        <v>1102</v>
      </c>
      <c r="E269" s="3" t="s">
        <v>637</v>
      </c>
      <c r="F269" s="5">
        <v>216831991111111</v>
      </c>
      <c r="G269" s="5">
        <v>230119989148855</v>
      </c>
      <c r="H269" s="5">
        <v>147737689346153</v>
      </c>
      <c r="I269" s="5">
        <v>194924364692312</v>
      </c>
      <c r="J269" s="5">
        <v>117528605333334</v>
      </c>
      <c r="K269" s="5">
        <v>911777190457984</v>
      </c>
      <c r="L269" s="5">
        <v>950328407586204</v>
      </c>
      <c r="M269" s="5">
        <v>856217652413748</v>
      </c>
      <c r="N269" s="5">
        <v>70959268800001</v>
      </c>
      <c r="O269" s="5">
        <v>910558274999981</v>
      </c>
      <c r="P269" s="5">
        <v>780911862624488</v>
      </c>
    </row>
    <row r="270" spans="1:16" x14ac:dyDescent="0.45">
      <c r="A270" s="1" t="s">
        <v>264</v>
      </c>
      <c r="B270" s="2">
        <v>4144156</v>
      </c>
      <c r="C270" s="3" t="s">
        <v>1103</v>
      </c>
      <c r="D270" s="3" t="s">
        <v>1104</v>
      </c>
      <c r="E270" s="3" t="s">
        <v>515</v>
      </c>
      <c r="F270" s="5">
        <v>738010417777778</v>
      </c>
      <c r="G270" s="5">
        <v>641477152442747</v>
      </c>
      <c r="H270" s="5">
        <v>432382916903843</v>
      </c>
      <c r="I270" s="5">
        <v>319213619192315</v>
      </c>
      <c r="J270" s="5">
        <v>39550960088889</v>
      </c>
      <c r="K270" s="5">
        <v>286567316877853</v>
      </c>
      <c r="L270" s="5">
        <v>25894171105747</v>
      </c>
      <c r="M270" s="5">
        <v>211155715448265</v>
      </c>
      <c r="N270" s="5">
        <v>179176366400002</v>
      </c>
      <c r="O270" s="5">
        <v>11235733972222</v>
      </c>
      <c r="P270" s="5">
        <v>56114236925285</v>
      </c>
    </row>
    <row r="271" spans="1:16" x14ac:dyDescent="0.45">
      <c r="A271" s="1" t="s">
        <v>265</v>
      </c>
      <c r="B271" s="2">
        <v>4051708</v>
      </c>
      <c r="C271" s="3" t="s">
        <v>1105</v>
      </c>
      <c r="D271" s="3" t="s">
        <v>1106</v>
      </c>
      <c r="E271" s="3" t="s">
        <v>489</v>
      </c>
      <c r="F271" s="5">
        <v>461633155555556</v>
      </c>
      <c r="G271" s="5">
        <v>512682445992366</v>
      </c>
      <c r="H271" s="5">
        <v>204117365961537</v>
      </c>
      <c r="I271" s="5">
        <v>344471022230777</v>
      </c>
      <c r="J271" s="5">
        <v>692922195555558</v>
      </c>
      <c r="K271" s="5">
        <v>687494912824404</v>
      </c>
      <c r="L271" s="5">
        <v>701802967662833</v>
      </c>
      <c r="M271" s="5">
        <v>634831737931001</v>
      </c>
      <c r="N271" s="5">
        <v>429072544000006</v>
      </c>
      <c r="O271" s="5">
        <v>508939780555545</v>
      </c>
      <c r="P271" s="5">
        <v>612614223524879</v>
      </c>
    </row>
    <row r="272" spans="1:16" x14ac:dyDescent="0.45">
      <c r="A272" s="1" t="s">
        <v>266</v>
      </c>
      <c r="B272" s="2">
        <v>4811730</v>
      </c>
      <c r="C272" s="3" t="s">
        <v>1107</v>
      </c>
      <c r="D272" s="3" t="s">
        <v>1108</v>
      </c>
      <c r="E272" s="3" t="s">
        <v>492</v>
      </c>
      <c r="F272" s="5">
        <v>100328331555556</v>
      </c>
      <c r="G272" s="5">
        <v>104917665702366</v>
      </c>
      <c r="H272" s="5">
        <v>100558831905192</v>
      </c>
      <c r="I272" s="5">
        <v>108746676313849</v>
      </c>
      <c r="J272" s="5">
        <v>851146338844447</v>
      </c>
      <c r="K272" s="5">
        <v>698409048063335</v>
      </c>
      <c r="L272" s="5">
        <v>65498156091494</v>
      </c>
      <c r="M272" s="5">
        <v>584130803710314</v>
      </c>
      <c r="N272" s="5">
        <v>544465387680007</v>
      </c>
      <c r="O272" s="5">
        <v>494497065944434</v>
      </c>
      <c r="P272" s="5">
        <v>451758819606878</v>
      </c>
    </row>
    <row r="273" spans="1:16" x14ac:dyDescent="0.45">
      <c r="A273" s="1" t="s">
        <v>267</v>
      </c>
      <c r="B273" s="2">
        <v>4094582</v>
      </c>
      <c r="C273" s="3" t="s">
        <v>1109</v>
      </c>
      <c r="D273" s="3" t="s">
        <v>1110</v>
      </c>
      <c r="E273" s="3" t="s">
        <v>1054</v>
      </c>
      <c r="F273" s="5">
        <v>1184667304</v>
      </c>
      <c r="G273" s="5">
        <v>153705340897901</v>
      </c>
      <c r="H273" s="5">
        <v>146414024759999</v>
      </c>
      <c r="I273" s="5">
        <v>-16316558244085</v>
      </c>
      <c r="J273" s="5">
        <v>476959047733335</v>
      </c>
      <c r="K273" s="5">
        <v>-174579588191521</v>
      </c>
      <c r="L273" s="5">
        <v>126719387681992</v>
      </c>
      <c r="M273" s="5">
        <v>112807057113098</v>
      </c>
      <c r="N273" s="5">
        <v>139768297040002</v>
      </c>
      <c r="O273" s="5">
        <v>11538683789722</v>
      </c>
      <c r="P273" s="5">
        <v>982406594145744</v>
      </c>
    </row>
    <row r="274" spans="1:16" x14ac:dyDescent="0.45">
      <c r="A274" s="1" t="s">
        <v>268</v>
      </c>
      <c r="B274" s="2">
        <v>4133448</v>
      </c>
      <c r="C274" s="3" t="s">
        <v>1111</v>
      </c>
      <c r="D274" s="3" t="s">
        <v>1112</v>
      </c>
      <c r="E274" s="3" t="s">
        <v>486</v>
      </c>
      <c r="F274" s="5">
        <v>349884713601524</v>
      </c>
      <c r="G274" s="5">
        <v>235943533280774</v>
      </c>
      <c r="H274" s="5">
        <v>299132594022994</v>
      </c>
      <c r="I274" s="5">
        <v>161790438003832</v>
      </c>
      <c r="J274" s="5">
        <v>857869771034455</v>
      </c>
      <c r="K274" s="5">
        <v>624404111450381</v>
      </c>
      <c r="L274" s="5">
        <v>646318893846129</v>
      </c>
      <c r="M274" s="5">
        <v>814659353846141</v>
      </c>
      <c r="N274" s="5">
        <v>510827509425276</v>
      </c>
      <c r="O274" s="5">
        <v>363471887022899</v>
      </c>
      <c r="P274" s="5">
        <v>359046927827576</v>
      </c>
    </row>
    <row r="275" spans="1:16" x14ac:dyDescent="0.45">
      <c r="A275" s="1" t="s">
        <v>269</v>
      </c>
      <c r="B275" s="2">
        <v>4133530</v>
      </c>
      <c r="C275" s="3" t="s">
        <v>1113</v>
      </c>
      <c r="D275" s="3" t="s">
        <v>1114</v>
      </c>
      <c r="E275" s="3" t="s">
        <v>486</v>
      </c>
      <c r="F275" s="5">
        <v>893140884247073</v>
      </c>
      <c r="G275" s="5">
        <v>12076449923077</v>
      </c>
      <c r="H275" s="5">
        <v>-337245241762463</v>
      </c>
      <c r="I275" s="5">
        <v>88521659270993</v>
      </c>
      <c r="J275" s="5">
        <v>568618994372609</v>
      </c>
      <c r="K275" s="5">
        <v>274725293181815</v>
      </c>
      <c r="L275" s="5">
        <v>652125842084939</v>
      </c>
      <c r="M275" s="5">
        <v>125258704961531</v>
      </c>
      <c r="N275" s="5">
        <v>535293710172402</v>
      </c>
      <c r="O275" s="5">
        <v>210694801140681</v>
      </c>
      <c r="P275" s="5">
        <v>257678233636358</v>
      </c>
    </row>
    <row r="276" spans="1:16" x14ac:dyDescent="0.45">
      <c r="A276" s="1" t="s">
        <v>270</v>
      </c>
      <c r="B276" s="2">
        <v>4004214</v>
      </c>
      <c r="C276" s="3" t="s">
        <v>1115</v>
      </c>
      <c r="D276" s="3" t="s">
        <v>1116</v>
      </c>
      <c r="E276" s="3" t="s">
        <v>910</v>
      </c>
      <c r="F276" s="5">
        <v>118251373866663</v>
      </c>
      <c r="G276" s="5">
        <v>101189201661923</v>
      </c>
      <c r="H276" s="5">
        <v>846341947850585</v>
      </c>
      <c r="I276" s="5">
        <v>740681604747157</v>
      </c>
      <c r="J276" s="5">
        <v>586280216183883</v>
      </c>
      <c r="K276" s="5">
        <v>478995760843504</v>
      </c>
      <c r="L276" s="5">
        <v>376599908273069</v>
      </c>
      <c r="M276" s="5">
        <v>293963891930756</v>
      </c>
      <c r="N276" s="5">
        <v>269184915362068</v>
      </c>
      <c r="O276" s="5">
        <v>245066717053431</v>
      </c>
      <c r="P276" s="5">
        <v>235628934950185</v>
      </c>
    </row>
    <row r="277" spans="1:16" x14ac:dyDescent="0.45">
      <c r="A277" s="1" t="s">
        <v>271</v>
      </c>
      <c r="B277" s="2">
        <v>103123</v>
      </c>
      <c r="C277" s="3" t="s">
        <v>1117</v>
      </c>
      <c r="D277" s="3" t="s">
        <v>1117</v>
      </c>
      <c r="E277" s="3" t="s">
        <v>598</v>
      </c>
      <c r="F277" s="5">
        <v>548959720888889</v>
      </c>
      <c r="G277" s="5">
        <v>607222198535495</v>
      </c>
      <c r="H277" s="5">
        <v>637140288380765</v>
      </c>
      <c r="I277" s="5">
        <v>59826083269386</v>
      </c>
      <c r="J277" s="5">
        <v>393257667200001</v>
      </c>
      <c r="K277" s="5">
        <v>374984706132048</v>
      </c>
      <c r="L277" s="5">
        <v>386342712365133</v>
      </c>
      <c r="M277" s="5">
        <v>339462075020672</v>
      </c>
      <c r="N277" s="5">
        <v>332372470080005</v>
      </c>
      <c r="O277" s="5">
        <v>285618379138883</v>
      </c>
      <c r="P277" s="5">
        <v>262234223862824</v>
      </c>
    </row>
    <row r="278" spans="1:16" x14ac:dyDescent="0.45">
      <c r="A278" s="1" t="s">
        <v>272</v>
      </c>
      <c r="B278" s="2">
        <v>4209632</v>
      </c>
      <c r="C278" s="3" t="s">
        <v>1118</v>
      </c>
      <c r="D278" s="3" t="s">
        <v>1119</v>
      </c>
      <c r="E278" s="3" t="s">
        <v>1120</v>
      </c>
      <c r="F278" s="5">
        <v>148451084444445</v>
      </c>
      <c r="G278" s="5">
        <v>167433118385496</v>
      </c>
      <c r="H278" s="5">
        <v>147894916134614</v>
      </c>
      <c r="I278" s="5">
        <v>107403420076926</v>
      </c>
      <c r="J278" s="5" t="s">
        <v>1121</v>
      </c>
      <c r="K278" s="5">
        <v>121850973832057</v>
      </c>
      <c r="L278" s="5">
        <v>134098324180076</v>
      </c>
      <c r="M278" s="5">
        <v>123669290896545</v>
      </c>
      <c r="N278" s="5">
        <v>162485284800002</v>
      </c>
      <c r="O278" s="5">
        <v>440858122222213</v>
      </c>
      <c r="P278" s="5">
        <v>36462986082374</v>
      </c>
    </row>
    <row r="279" spans="1:16" x14ac:dyDescent="0.45">
      <c r="A279" s="1" t="s">
        <v>273</v>
      </c>
      <c r="B279" s="2">
        <v>4060931</v>
      </c>
      <c r="C279" s="3" t="s">
        <v>1122</v>
      </c>
      <c r="D279" s="3" t="s">
        <v>1123</v>
      </c>
      <c r="E279" s="3" t="s">
        <v>734</v>
      </c>
      <c r="F279" s="5">
        <v>321875911111111</v>
      </c>
      <c r="G279" s="5">
        <v>595247896717556</v>
      </c>
      <c r="H279" s="5">
        <v>525599905192304</v>
      </c>
      <c r="I279" s="5">
        <v>450066944538472</v>
      </c>
      <c r="J279" s="5">
        <v>422470204444446</v>
      </c>
      <c r="K279" s="5">
        <v>37716612977098</v>
      </c>
      <c r="L279" s="5">
        <v>36510548992337</v>
      </c>
      <c r="M279" s="5">
        <v>319111013793087</v>
      </c>
      <c r="N279" s="5">
        <v>332580000000005</v>
      </c>
      <c r="O279" s="5">
        <v>30704556666666</v>
      </c>
      <c r="P279" s="5">
        <v>339840438888875</v>
      </c>
    </row>
    <row r="280" spans="1:16" x14ac:dyDescent="0.45">
      <c r="A280" s="1" t="s">
        <v>274</v>
      </c>
      <c r="B280" s="2">
        <v>4967353</v>
      </c>
      <c r="C280" s="3" t="s">
        <v>1124</v>
      </c>
      <c r="D280" s="3" t="s">
        <v>1125</v>
      </c>
      <c r="E280" s="3" t="s">
        <v>486</v>
      </c>
      <c r="F280" s="5">
        <v>645733415111111</v>
      </c>
      <c r="G280" s="5">
        <v>498682378188549</v>
      </c>
      <c r="H280" s="5">
        <v>445540024507689</v>
      </c>
      <c r="I280" s="5">
        <v>501138269665396</v>
      </c>
      <c r="J280" s="5">
        <v>221993119022223</v>
      </c>
      <c r="K280" s="5">
        <v>14620538024885</v>
      </c>
      <c r="L280" s="5">
        <v>938232669065131</v>
      </c>
      <c r="M280" s="5">
        <v>97818332275857</v>
      </c>
      <c r="N280" s="5">
        <v>69768188960001</v>
      </c>
      <c r="O280" s="5">
        <v>46398599499999</v>
      </c>
      <c r="P280" s="5">
        <v>35663414545784</v>
      </c>
    </row>
    <row r="281" spans="1:16" x14ac:dyDescent="0.45">
      <c r="A281" s="1" t="s">
        <v>275</v>
      </c>
      <c r="B281" s="2">
        <v>4915639</v>
      </c>
      <c r="C281" s="3" t="s">
        <v>1126</v>
      </c>
      <c r="D281" s="3" t="s">
        <v>1127</v>
      </c>
      <c r="E281" s="3" t="s">
        <v>1033</v>
      </c>
      <c r="F281" s="5">
        <v>225460516533333</v>
      </c>
      <c r="G281" s="5">
        <v>190223586706946</v>
      </c>
      <c r="H281" s="5">
        <v>184237888287499</v>
      </c>
      <c r="I281" s="5">
        <v>15096611407608</v>
      </c>
      <c r="J281" s="5">
        <v>152506075902223</v>
      </c>
      <c r="K281" s="5">
        <v>1432663789674</v>
      </c>
      <c r="L281" s="5">
        <v>126338738185402</v>
      </c>
      <c r="M281" s="5">
        <v>111050548042753</v>
      </c>
      <c r="N281" s="5">
        <v>109457576656002</v>
      </c>
      <c r="O281" s="5">
        <v>10534465767222</v>
      </c>
      <c r="P281" s="5">
        <v>875904026045366</v>
      </c>
    </row>
    <row r="282" spans="1:16" x14ac:dyDescent="0.45">
      <c r="A282" s="1" t="s">
        <v>276</v>
      </c>
      <c r="B282" s="2">
        <v>108462</v>
      </c>
      <c r="C282" s="3" t="s">
        <v>1128</v>
      </c>
      <c r="D282" s="3" t="s">
        <v>1129</v>
      </c>
      <c r="E282" s="3" t="s">
        <v>885</v>
      </c>
      <c r="F282" s="5">
        <v>307341866666667</v>
      </c>
      <c r="G282" s="5">
        <v>275618822633587</v>
      </c>
      <c r="H282" s="5">
        <v>206522010961537</v>
      </c>
      <c r="I282" s="5">
        <v>190643448923081</v>
      </c>
      <c r="J282" s="5">
        <v>239997591111112</v>
      </c>
      <c r="K282" s="5">
        <v>214107563435107</v>
      </c>
      <c r="L282" s="5">
        <v>185009412681992</v>
      </c>
      <c r="M282" s="5">
        <v>16239487448275</v>
      </c>
      <c r="N282" s="5">
        <v>162476416000002</v>
      </c>
      <c r="O282" s="5">
        <v>136931834722219</v>
      </c>
      <c r="P282" s="5">
        <v>132871301570876</v>
      </c>
    </row>
    <row r="283" spans="1:16" x14ac:dyDescent="0.45">
      <c r="A283" s="1" t="s">
        <v>277</v>
      </c>
      <c r="B283" s="2">
        <v>4280272</v>
      </c>
      <c r="C283" s="3" t="s">
        <v>1130</v>
      </c>
      <c r="D283" s="3" t="s">
        <v>1131</v>
      </c>
      <c r="E283" s="3" t="s">
        <v>577</v>
      </c>
      <c r="F283" s="5">
        <v>274551644444445</v>
      </c>
      <c r="G283" s="5">
        <v>261842504427481</v>
      </c>
      <c r="H283" s="5">
        <v>228071329615383</v>
      </c>
      <c r="I283" s="5">
        <v>193497392769235</v>
      </c>
      <c r="J283" s="5">
        <v>156501777777778</v>
      </c>
      <c r="K283" s="5">
        <v>133586980381675</v>
      </c>
      <c r="L283" s="5">
        <v>154278732835248</v>
      </c>
      <c r="M283" s="5">
        <v>125271202758614</v>
      </c>
      <c r="N283" s="5">
        <v>118398480000002</v>
      </c>
      <c r="O283" s="5">
        <v>112746119444442</v>
      </c>
      <c r="P283" s="5">
        <v>972646773371607</v>
      </c>
    </row>
    <row r="284" spans="1:16" x14ac:dyDescent="0.45">
      <c r="A284" s="1" t="s">
        <v>278</v>
      </c>
      <c r="B284" s="2">
        <v>4167462</v>
      </c>
      <c r="C284" s="3" t="s">
        <v>1132</v>
      </c>
      <c r="D284" s="3" t="s">
        <v>1133</v>
      </c>
      <c r="E284" s="3" t="s">
        <v>885</v>
      </c>
      <c r="F284" s="5">
        <v>151551798755556</v>
      </c>
      <c r="G284" s="5">
        <v>141205412442366</v>
      </c>
      <c r="H284" s="5">
        <v>127954212499422</v>
      </c>
      <c r="I284" s="5">
        <v>115174328644156</v>
      </c>
      <c r="J284" s="5">
        <v>931957935200003</v>
      </c>
      <c r="K284" s="5">
        <v>774813257519058</v>
      </c>
      <c r="L284" s="5">
        <v>674432115923752</v>
      </c>
      <c r="M284" s="5">
        <v>588845849048245</v>
      </c>
      <c r="N284" s="5">
        <v>514186417600007</v>
      </c>
      <c r="O284" s="5">
        <v>441313808222213</v>
      </c>
      <c r="P284" s="5">
        <v>364087197841747</v>
      </c>
    </row>
    <row r="285" spans="1:16" x14ac:dyDescent="0.45">
      <c r="A285" s="1" t="s">
        <v>279</v>
      </c>
      <c r="B285" s="2">
        <v>4057757</v>
      </c>
      <c r="C285" s="3" t="s">
        <v>1134</v>
      </c>
      <c r="D285" s="3" t="s">
        <v>1135</v>
      </c>
      <c r="E285" s="3" t="s">
        <v>674</v>
      </c>
      <c r="F285" s="5">
        <v>220226222222222</v>
      </c>
      <c r="G285" s="5">
        <v>185286856946565</v>
      </c>
      <c r="H285" s="5">
        <v>170174876923076</v>
      </c>
      <c r="I285" s="5">
        <v>161152695846157</v>
      </c>
      <c r="J285" s="5">
        <v>137298586666667</v>
      </c>
      <c r="K285" s="5">
        <v>117974056870225</v>
      </c>
      <c r="L285" s="5">
        <v>101572043563218</v>
      </c>
      <c r="M285" s="5">
        <v>916225779310297</v>
      </c>
      <c r="N285" s="5">
        <v>947187840000013</v>
      </c>
      <c r="O285" s="5">
        <v>893289222222204</v>
      </c>
      <c r="P285" s="5">
        <v>83743174463598</v>
      </c>
    </row>
    <row r="286" spans="1:16" x14ac:dyDescent="0.45">
      <c r="A286" s="1" t="s">
        <v>280</v>
      </c>
      <c r="B286" s="2">
        <v>4305562</v>
      </c>
      <c r="C286" s="3" t="s">
        <v>1136</v>
      </c>
      <c r="D286" s="3" t="s">
        <v>1137</v>
      </c>
      <c r="E286" s="3" t="s">
        <v>561</v>
      </c>
      <c r="F286" s="5">
        <v>132355877906972</v>
      </c>
      <c r="G286" s="5">
        <v>117124477230771</v>
      </c>
      <c r="H286" s="5">
        <v>111301132576923</v>
      </c>
      <c r="I286" s="5">
        <v>104461070653848</v>
      </c>
      <c r="J286" s="5">
        <v>793966556321815</v>
      </c>
      <c r="K286" s="5">
        <v>837226133333342</v>
      </c>
      <c r="L286" s="5">
        <v>102923877567564</v>
      </c>
      <c r="M286" s="5">
        <v>79579134615383</v>
      </c>
      <c r="N286" s="5">
        <v>60738513749999</v>
      </c>
      <c r="O286" s="5">
        <v>372718654214558</v>
      </c>
      <c r="P286" s="5">
        <v>578690562645902</v>
      </c>
    </row>
    <row r="287" spans="1:16" x14ac:dyDescent="0.45">
      <c r="A287" s="1" t="s">
        <v>281</v>
      </c>
      <c r="B287" s="2">
        <v>4104060</v>
      </c>
      <c r="C287" s="3" t="s">
        <v>1138</v>
      </c>
      <c r="D287" s="3" t="s">
        <v>1139</v>
      </c>
      <c r="E287" s="3" t="s">
        <v>1065</v>
      </c>
      <c r="F287" s="5">
        <v>118103317253333</v>
      </c>
      <c r="G287" s="5">
        <v>963197083304655</v>
      </c>
      <c r="H287" s="5">
        <v>64315032861288</v>
      </c>
      <c r="I287" s="5">
        <v>535859445629166</v>
      </c>
      <c r="J287" s="5">
        <v>52402793024889</v>
      </c>
      <c r="K287" s="5">
        <v>402189699072429</v>
      </c>
      <c r="L287" s="5">
        <v>232646790446513</v>
      </c>
      <c r="M287" s="5">
        <v>136054527550338</v>
      </c>
      <c r="N287" s="5">
        <v>74380763152001</v>
      </c>
      <c r="O287" s="5">
        <v>343385621027771</v>
      </c>
      <c r="P287" s="5">
        <v>275681809187345</v>
      </c>
    </row>
    <row r="288" spans="1:16" x14ac:dyDescent="0.45">
      <c r="A288" s="1" t="s">
        <v>282</v>
      </c>
      <c r="B288" s="2">
        <v>4075105</v>
      </c>
      <c r="C288" s="3" t="s">
        <v>1140</v>
      </c>
      <c r="D288" s="3" t="s">
        <v>1141</v>
      </c>
      <c r="E288" s="3" t="s">
        <v>1142</v>
      </c>
      <c r="F288" s="5">
        <v>975819288888889</v>
      </c>
      <c r="G288" s="5">
        <v>546707178206106</v>
      </c>
      <c r="H288" s="5">
        <v>656653057692303</v>
      </c>
      <c r="I288" s="5">
        <v>152685995769234</v>
      </c>
      <c r="J288" s="5">
        <v>168852728888889</v>
      </c>
      <c r="K288" s="5">
        <v>283576301755716</v>
      </c>
      <c r="L288" s="5">
        <v>154904066436781</v>
      </c>
      <c r="M288" s="5">
        <v>102132475862064</v>
      </c>
      <c r="N288" s="5">
        <v>138974096000002</v>
      </c>
      <c r="O288" s="5">
        <v>129653516666664</v>
      </c>
      <c r="P288" s="5">
        <v>875291952681956</v>
      </c>
    </row>
    <row r="289" spans="1:16" x14ac:dyDescent="0.45">
      <c r="A289" s="1" t="s">
        <v>283</v>
      </c>
      <c r="B289" s="2">
        <v>4382367</v>
      </c>
      <c r="C289" s="3" t="s">
        <v>1143</v>
      </c>
      <c r="D289" s="3" t="s">
        <v>1144</v>
      </c>
      <c r="E289" s="3" t="s">
        <v>1145</v>
      </c>
      <c r="F289" s="5">
        <v>879561756321813</v>
      </c>
      <c r="G289" s="5">
        <v>723090436153844</v>
      </c>
      <c r="H289" s="5">
        <v>648215537931042</v>
      </c>
      <c r="I289" s="5">
        <v>882070486206933</v>
      </c>
      <c r="J289" s="5">
        <v>508160951724116</v>
      </c>
      <c r="K289" s="5">
        <v>336461079389308</v>
      </c>
      <c r="L289" s="5">
        <v>525113119615374</v>
      </c>
      <c r="M289" s="5">
        <v>475433643461518</v>
      </c>
      <c r="N289" s="5">
        <v>413904731609193</v>
      </c>
      <c r="O289" s="5">
        <v>320890654961826</v>
      </c>
      <c r="P289" s="5">
        <v>415687848467421</v>
      </c>
    </row>
    <row r="290" spans="1:16" x14ac:dyDescent="0.45">
      <c r="A290" s="1" t="s">
        <v>284</v>
      </c>
      <c r="B290" s="2">
        <v>3010401</v>
      </c>
      <c r="C290" s="3" t="s">
        <v>1146</v>
      </c>
      <c r="D290" s="3" t="s">
        <v>1147</v>
      </c>
      <c r="E290" s="3" t="s">
        <v>512</v>
      </c>
      <c r="F290" s="5">
        <v>734412355555556</v>
      </c>
      <c r="G290" s="5">
        <v>683175941106869</v>
      </c>
      <c r="H290" s="5">
        <v>931984910192301</v>
      </c>
      <c r="I290" s="5">
        <v>373581249461547</v>
      </c>
      <c r="J290" s="5">
        <v>261654053333334</v>
      </c>
      <c r="K290" s="5">
        <v>435319884198458</v>
      </c>
      <c r="L290" s="5">
        <v>479362872260535</v>
      </c>
      <c r="M290" s="5">
        <v>370473902068946</v>
      </c>
      <c r="N290" s="5">
        <v>530620304000007</v>
      </c>
      <c r="O290" s="5">
        <v>388598894444436</v>
      </c>
      <c r="P290" s="5">
        <v>421600459597684</v>
      </c>
    </row>
    <row r="291" spans="1:16" x14ac:dyDescent="0.45">
      <c r="A291" s="1" t="s">
        <v>285</v>
      </c>
      <c r="B291" s="2">
        <v>4004236</v>
      </c>
      <c r="C291" s="3" t="s">
        <v>1148</v>
      </c>
      <c r="D291" s="3" t="s">
        <v>1149</v>
      </c>
      <c r="E291" s="3" t="s">
        <v>781</v>
      </c>
      <c r="F291" s="5">
        <v>342435711923069</v>
      </c>
      <c r="G291" s="5">
        <v>624146678091592</v>
      </c>
      <c r="H291" s="5">
        <v>566729747701159</v>
      </c>
      <c r="I291" s="5">
        <v>586379568965543</v>
      </c>
      <c r="J291" s="5">
        <v>609879440038284</v>
      </c>
      <c r="K291" s="5">
        <v>281716526538462</v>
      </c>
      <c r="L291" s="5">
        <v>417239911417609</v>
      </c>
      <c r="M291" s="5">
        <v>374013710536383</v>
      </c>
      <c r="N291" s="5">
        <v>435844751666663</v>
      </c>
      <c r="O291" s="5">
        <v>405830728015268</v>
      </c>
      <c r="P291" s="5">
        <v>343864400961527</v>
      </c>
    </row>
    <row r="292" spans="1:16" x14ac:dyDescent="0.45">
      <c r="A292" s="1" t="s">
        <v>286</v>
      </c>
      <c r="B292" s="2">
        <v>4057051</v>
      </c>
      <c r="C292" s="3" t="s">
        <v>1150</v>
      </c>
      <c r="D292" s="3" t="s">
        <v>1151</v>
      </c>
      <c r="E292" s="3" t="s">
        <v>528</v>
      </c>
      <c r="F292" s="5">
        <v>161549448888889</v>
      </c>
      <c r="G292" s="5">
        <v>134157300114504</v>
      </c>
      <c r="H292" s="5">
        <v>117864599538461</v>
      </c>
      <c r="I292" s="5">
        <v>113130334061541</v>
      </c>
      <c r="J292" s="5">
        <v>888337928888892</v>
      </c>
      <c r="K292" s="5">
        <v>851430609694628</v>
      </c>
      <c r="L292" s="5">
        <v>115123916042145</v>
      </c>
      <c r="M292" s="5">
        <v>121965670344821</v>
      </c>
      <c r="N292" s="5">
        <v>812470768000011</v>
      </c>
      <c r="O292" s="5">
        <v>775027855555539</v>
      </c>
      <c r="P292" s="5">
        <v>722498970210698</v>
      </c>
    </row>
    <row r="293" spans="1:16" x14ac:dyDescent="0.45">
      <c r="A293" s="1" t="s">
        <v>287</v>
      </c>
      <c r="B293" s="2">
        <v>4298336</v>
      </c>
      <c r="C293" s="3" t="s">
        <v>1152</v>
      </c>
      <c r="D293" s="3" t="s">
        <v>1153</v>
      </c>
      <c r="E293" s="3" t="s">
        <v>809</v>
      </c>
      <c r="F293" s="5">
        <v>660890615976598</v>
      </c>
      <c r="G293" s="5">
        <v>632960812419873</v>
      </c>
      <c r="H293" s="5">
        <v>643332111134116</v>
      </c>
      <c r="I293" s="5">
        <v>621390926999613</v>
      </c>
      <c r="J293" s="5">
        <v>509990189067687</v>
      </c>
      <c r="K293" s="5">
        <v>379379251320296</v>
      </c>
      <c r="L293" s="5">
        <v>426594661480459</v>
      </c>
      <c r="M293" s="5">
        <v>419620530763971</v>
      </c>
      <c r="N293" s="5">
        <v>412825509403826</v>
      </c>
      <c r="O293" s="5">
        <v>360057121790415</v>
      </c>
      <c r="P293" s="5">
        <v>290243243212678</v>
      </c>
    </row>
    <row r="294" spans="1:16" x14ac:dyDescent="0.45">
      <c r="A294" s="1" t="s">
        <v>288</v>
      </c>
      <c r="B294" s="2">
        <v>4021829</v>
      </c>
      <c r="C294" s="3" t="s">
        <v>1154</v>
      </c>
      <c r="D294" s="3" t="s">
        <v>1155</v>
      </c>
      <c r="E294" s="3" t="s">
        <v>763</v>
      </c>
      <c r="F294" s="5">
        <v>372567822222222</v>
      </c>
      <c r="G294" s="5">
        <v>423367523931297</v>
      </c>
      <c r="H294" s="5">
        <v>366893335192305</v>
      </c>
      <c r="I294" s="5">
        <v>457487198538472</v>
      </c>
      <c r="J294" s="5">
        <v>384825182222223</v>
      </c>
      <c r="K294" s="5">
        <v>305065999847318</v>
      </c>
      <c r="L294" s="5">
        <v>361978821915708</v>
      </c>
      <c r="M294" s="5">
        <v>34072411034481</v>
      </c>
      <c r="N294" s="5">
        <v>318035168000004</v>
      </c>
      <c r="O294" s="5">
        <v>277932294444439</v>
      </c>
      <c r="P294" s="5">
        <v>265652459789261</v>
      </c>
    </row>
    <row r="295" spans="1:16" x14ac:dyDescent="0.45">
      <c r="A295" s="1" t="s">
        <v>289</v>
      </c>
      <c r="B295" s="2">
        <v>4069910</v>
      </c>
      <c r="C295" s="3" t="s">
        <v>1156</v>
      </c>
      <c r="D295" s="3" t="s">
        <v>1157</v>
      </c>
      <c r="E295" s="3" t="s">
        <v>604</v>
      </c>
      <c r="F295" s="5">
        <v>473951644444445</v>
      </c>
      <c r="G295" s="5">
        <v>505655599122137</v>
      </c>
      <c r="H295" s="5">
        <v>244626385576921</v>
      </c>
      <c r="I295" s="5">
        <v>602943203230783</v>
      </c>
      <c r="J295" s="5">
        <v>634043688888891</v>
      </c>
      <c r="K295" s="5">
        <v>370938502977087</v>
      </c>
      <c r="L295" s="5">
        <v>265230780421455</v>
      </c>
      <c r="M295" s="5">
        <v>356234685517223</v>
      </c>
      <c r="N295" s="5">
        <v>394927664000005</v>
      </c>
      <c r="O295" s="5">
        <v>26563600555555</v>
      </c>
      <c r="P295" s="5">
        <v>277280952260525</v>
      </c>
    </row>
    <row r="296" spans="1:16" x14ac:dyDescent="0.45">
      <c r="A296" s="1" t="s">
        <v>290</v>
      </c>
      <c r="B296" s="2">
        <v>4232236</v>
      </c>
      <c r="C296" s="3" t="s">
        <v>1158</v>
      </c>
      <c r="D296" s="3" t="s">
        <v>1159</v>
      </c>
      <c r="E296" s="3" t="s">
        <v>632</v>
      </c>
      <c r="F296" s="5">
        <v>138322007555556</v>
      </c>
      <c r="G296" s="5">
        <v>135500537368855</v>
      </c>
      <c r="H296" s="5">
        <v>860729729661532</v>
      </c>
      <c r="I296" s="5">
        <v>-147656871055003</v>
      </c>
      <c r="J296" s="5">
        <v>-215949274151112</v>
      </c>
      <c r="K296" s="5">
        <v>-164615034469078</v>
      </c>
      <c r="L296" s="5">
        <v>105789740038812</v>
      </c>
      <c r="M296" s="5">
        <v>10328814084827</v>
      </c>
      <c r="N296" s="5">
        <v>930176594720013</v>
      </c>
      <c r="O296" s="5">
        <v>850445696833316</v>
      </c>
      <c r="P296" s="5">
        <v>649350343965299</v>
      </c>
    </row>
    <row r="297" spans="1:16" x14ac:dyDescent="0.45">
      <c r="A297" s="1" t="s">
        <v>291</v>
      </c>
      <c r="B297" s="2">
        <v>4057436</v>
      </c>
      <c r="C297" s="3" t="s">
        <v>1160</v>
      </c>
      <c r="D297" s="3" t="s">
        <v>1161</v>
      </c>
      <c r="E297" s="3" t="s">
        <v>512</v>
      </c>
      <c r="F297" s="5">
        <v>1722816</v>
      </c>
      <c r="G297" s="5">
        <v>210990323129771</v>
      </c>
      <c r="H297" s="5">
        <v>-976655815384608</v>
      </c>
      <c r="I297" s="5">
        <v>203866722076928</v>
      </c>
      <c r="J297" s="5">
        <v>315626017777779</v>
      </c>
      <c r="K297" s="5">
        <v>105255664122134</v>
      </c>
      <c r="L297" s="5">
        <v>115240049425287</v>
      </c>
      <c r="M297" s="5">
        <v>965384979310294</v>
      </c>
      <c r="N297" s="5">
        <v>72812848000001</v>
      </c>
      <c r="O297" s="5">
        <v>538866777777766</v>
      </c>
      <c r="P297" s="5">
        <v>710329617624491</v>
      </c>
    </row>
    <row r="298" spans="1:16" x14ac:dyDescent="0.45">
      <c r="A298" s="1" t="s">
        <v>292</v>
      </c>
      <c r="B298" s="2">
        <v>4121108</v>
      </c>
      <c r="C298" s="3" t="s">
        <v>1162</v>
      </c>
      <c r="D298" s="3" t="s">
        <v>1163</v>
      </c>
      <c r="E298" s="3" t="s">
        <v>1164</v>
      </c>
      <c r="F298" s="5">
        <v>235646488888889</v>
      </c>
      <c r="G298" s="5">
        <v>275433905610687</v>
      </c>
      <c r="H298" s="5">
        <v>576189936538457</v>
      </c>
      <c r="I298" s="5">
        <v>990318514615407</v>
      </c>
      <c r="J298" s="5">
        <v>784776472755558</v>
      </c>
      <c r="K298" s="5">
        <v>139104920860224</v>
      </c>
      <c r="L298" s="5">
        <v>172666846055057</v>
      </c>
      <c r="M298" s="5">
        <v>281791213812399</v>
      </c>
      <c r="N298" s="5">
        <v>166899818688002</v>
      </c>
      <c r="O298" s="5">
        <v>132261595705553</v>
      </c>
      <c r="P298" s="5">
        <v>59034971689327</v>
      </c>
    </row>
    <row r="299" spans="1:16" x14ac:dyDescent="0.45">
      <c r="A299" s="1" t="s">
        <v>293</v>
      </c>
      <c r="B299" s="2">
        <v>4094286</v>
      </c>
      <c r="C299" s="3" t="s">
        <v>1165</v>
      </c>
      <c r="D299" s="3" t="s">
        <v>1166</v>
      </c>
      <c r="E299" s="3" t="s">
        <v>486</v>
      </c>
      <c r="F299" s="5">
        <v>756136122443592</v>
      </c>
      <c r="G299" s="5">
        <v>30461220539534</v>
      </c>
      <c r="H299" s="5">
        <v>532669175096545</v>
      </c>
      <c r="I299" s="5">
        <v>854237302615389</v>
      </c>
      <c r="J299" s="5">
        <v>410992647038444</v>
      </c>
      <c r="K299" s="5">
        <v>254821390390626</v>
      </c>
      <c r="L299" s="5">
        <v>324135583657578</v>
      </c>
      <c r="M299" s="5">
        <v>281595756976748</v>
      </c>
      <c r="N299" s="5">
        <v>175426341999992</v>
      </c>
      <c r="O299" s="5">
        <v>795975889230751</v>
      </c>
      <c r="P299" s="5">
        <v>578587932352949</v>
      </c>
    </row>
    <row r="300" spans="1:16" x14ac:dyDescent="0.45">
      <c r="A300" s="1" t="s">
        <v>294</v>
      </c>
      <c r="B300" s="2">
        <v>4094401</v>
      </c>
      <c r="C300" s="3" t="s">
        <v>1167</v>
      </c>
      <c r="D300" s="3" t="s">
        <v>1168</v>
      </c>
      <c r="E300" s="3" t="s">
        <v>772</v>
      </c>
      <c r="F300" s="5">
        <v>158590352888889</v>
      </c>
      <c r="G300" s="5">
        <v>198091806031374</v>
      </c>
      <c r="H300" s="5">
        <v>180833743344614</v>
      </c>
      <c r="I300" s="5">
        <v>217977952292774</v>
      </c>
      <c r="J300" s="5">
        <v>13890023432</v>
      </c>
      <c r="K300" s="5">
        <v>100264001964195</v>
      </c>
      <c r="L300" s="5">
        <v>938116535681989</v>
      </c>
      <c r="M300" s="5">
        <v>83381461837237</v>
      </c>
      <c r="N300" s="5">
        <v>771539482240011</v>
      </c>
      <c r="O300" s="5">
        <v>616910238388876</v>
      </c>
      <c r="P300" s="5">
        <v>564414572948252</v>
      </c>
    </row>
    <row r="301" spans="1:16" x14ac:dyDescent="0.45">
      <c r="A301" s="1" t="s">
        <v>295</v>
      </c>
      <c r="B301" s="2">
        <v>4203993</v>
      </c>
      <c r="C301" s="3" t="s">
        <v>1169</v>
      </c>
      <c r="D301" s="3" t="s">
        <v>1170</v>
      </c>
      <c r="E301" s="3" t="s">
        <v>486</v>
      </c>
      <c r="F301" s="5">
        <v>289262933333333</v>
      </c>
      <c r="G301" s="5">
        <v>326008711374045</v>
      </c>
      <c r="H301" s="5">
        <v>346453852692305</v>
      </c>
      <c r="I301" s="5">
        <v>359406661692316</v>
      </c>
      <c r="J301" s="5">
        <v>220709804444445</v>
      </c>
      <c r="K301" s="5">
        <v>356992127480904</v>
      </c>
      <c r="L301" s="5">
        <v>57530691340996</v>
      </c>
      <c r="M301" s="5">
        <v>5983861241379</v>
      </c>
      <c r="N301" s="5">
        <v>467385760000006</v>
      </c>
      <c r="O301" s="5">
        <v>403245944444436</v>
      </c>
      <c r="P301" s="5">
        <v>108803026455934</v>
      </c>
    </row>
    <row r="302" spans="1:16" x14ac:dyDescent="0.45">
      <c r="A302" s="1" t="s">
        <v>296</v>
      </c>
      <c r="B302" s="2">
        <v>4930128</v>
      </c>
      <c r="C302" s="3" t="s">
        <v>1171</v>
      </c>
      <c r="D302" s="3" t="s">
        <v>1172</v>
      </c>
      <c r="E302" s="3" t="s">
        <v>595</v>
      </c>
      <c r="F302" s="5">
        <v>306687125688889</v>
      </c>
      <c r="G302" s="5">
        <v>300643365967213</v>
      </c>
      <c r="H302" s="5">
        <v>294899743673844</v>
      </c>
      <c r="I302" s="5">
        <v>281788046039929</v>
      </c>
      <c r="J302" s="5">
        <v>24784535160889</v>
      </c>
      <c r="K302" s="5">
        <v>212505572227168</v>
      </c>
      <c r="L302" s="5">
        <v>171754662997164</v>
      </c>
      <c r="M302" s="5">
        <v>154816220987578</v>
      </c>
      <c r="N302" s="5">
        <v>153022275200002</v>
      </c>
      <c r="O302" s="5">
        <v>15363182248333</v>
      </c>
      <c r="P302" s="5">
        <v>138191652378213</v>
      </c>
    </row>
    <row r="303" spans="1:16" x14ac:dyDescent="0.45">
      <c r="A303" s="1" t="s">
        <v>297</v>
      </c>
      <c r="B303" s="2">
        <v>4010841</v>
      </c>
      <c r="C303" s="3" t="s">
        <v>1173</v>
      </c>
      <c r="D303" s="3" t="s">
        <v>1174</v>
      </c>
      <c r="E303" s="3" t="s">
        <v>699</v>
      </c>
      <c r="F303" s="5">
        <v>329851911111111</v>
      </c>
      <c r="G303" s="5">
        <v>403488943969465</v>
      </c>
      <c r="H303" s="5">
        <v>422940060961535</v>
      </c>
      <c r="I303" s="5">
        <v>129997142192311</v>
      </c>
      <c r="J303" s="5">
        <v>370782320000001</v>
      </c>
      <c r="K303" s="5">
        <v>-731088300381655</v>
      </c>
      <c r="L303" s="5">
        <v>245398771915708</v>
      </c>
      <c r="M303" s="5">
        <v>398443791724117</v>
      </c>
      <c r="N303" s="5">
        <v>615494720000008</v>
      </c>
      <c r="O303" s="5">
        <v>-142582702777775</v>
      </c>
      <c r="P303" s="5">
        <v>-409340963658987</v>
      </c>
    </row>
    <row r="304" spans="1:16" x14ac:dyDescent="0.45">
      <c r="A304" s="1" t="s">
        <v>298</v>
      </c>
      <c r="B304" s="2">
        <v>4298644</v>
      </c>
      <c r="C304" s="3" t="s">
        <v>1175</v>
      </c>
      <c r="D304" s="3" t="s">
        <v>1176</v>
      </c>
      <c r="E304" s="3" t="s">
        <v>1019</v>
      </c>
      <c r="F304" s="5">
        <v>120618832444444</v>
      </c>
      <c r="G304" s="5">
        <v>142755756762366</v>
      </c>
      <c r="H304" s="5">
        <v>151739851003268</v>
      </c>
      <c r="I304" s="5">
        <v>175102012314466</v>
      </c>
      <c r="J304" s="5">
        <v>117723344302223</v>
      </c>
      <c r="K304" s="5">
        <v>795453893253408</v>
      </c>
      <c r="L304" s="5">
        <v>731377673680457</v>
      </c>
      <c r="M304" s="5">
        <v>692509888262033</v>
      </c>
      <c r="N304" s="5">
        <v>510741775680007</v>
      </c>
      <c r="O304" s="5">
        <v>437454039305546</v>
      </c>
      <c r="P304" s="5">
        <v>449130239448257</v>
      </c>
    </row>
    <row r="305" spans="1:16" x14ac:dyDescent="0.45">
      <c r="A305" s="1" t="s">
        <v>299</v>
      </c>
      <c r="B305" s="2">
        <v>4070013</v>
      </c>
      <c r="C305" s="3" t="s">
        <v>1177</v>
      </c>
      <c r="D305" s="3" t="s">
        <v>1178</v>
      </c>
      <c r="E305" s="3" t="s">
        <v>1179</v>
      </c>
      <c r="F305" s="5">
        <v>224426915555556</v>
      </c>
      <c r="G305" s="5">
        <v>212349463248091</v>
      </c>
      <c r="H305" s="5">
        <v>201749715499999</v>
      </c>
      <c r="I305" s="5">
        <v>205569575238466</v>
      </c>
      <c r="J305" s="5">
        <v>178674272888889</v>
      </c>
      <c r="K305" s="5">
        <v>15191023724427</v>
      </c>
      <c r="L305" s="5">
        <v>184839679275861</v>
      </c>
      <c r="M305" s="5">
        <v>173515024551715</v>
      </c>
      <c r="N305" s="5">
        <v>180462342400002</v>
      </c>
      <c r="O305" s="5">
        <v>181632461388885</v>
      </c>
      <c r="P305" s="5">
        <v>173084251116851</v>
      </c>
    </row>
    <row r="306" spans="1:16" x14ac:dyDescent="0.45">
      <c r="A306" s="1" t="s">
        <v>300</v>
      </c>
      <c r="B306" s="2">
        <v>4133677</v>
      </c>
      <c r="C306" s="3" t="s">
        <v>1180</v>
      </c>
      <c r="D306" s="3" t="s">
        <v>1181</v>
      </c>
      <c r="E306" s="3" t="s">
        <v>486</v>
      </c>
      <c r="F306" s="5">
        <v>947814666666667</v>
      </c>
      <c r="G306" s="5">
        <v>176050251652672</v>
      </c>
      <c r="H306" s="5">
        <v>241315374384614</v>
      </c>
      <c r="I306" s="5">
        <v>266701052423083</v>
      </c>
      <c r="J306" s="5" t="s">
        <v>1182</v>
      </c>
      <c r="K306" s="5">
        <v>366903702519072</v>
      </c>
      <c r="L306" s="5">
        <v>55163356992337</v>
      </c>
      <c r="M306" s="5">
        <v>727301888275824</v>
      </c>
      <c r="N306" s="5">
        <v>633941824000009</v>
      </c>
      <c r="O306" s="5">
        <v>328835313888882</v>
      </c>
      <c r="P306" s="5">
        <v>247173072528725</v>
      </c>
    </row>
    <row r="307" spans="1:16" x14ac:dyDescent="0.45">
      <c r="A307" s="1" t="s">
        <v>301</v>
      </c>
      <c r="B307" s="2">
        <v>4010846</v>
      </c>
      <c r="C307" s="3" t="s">
        <v>1183</v>
      </c>
      <c r="D307" s="3" t="s">
        <v>1184</v>
      </c>
      <c r="E307" s="3" t="s">
        <v>1043</v>
      </c>
      <c r="F307" s="5">
        <v>515958577777778</v>
      </c>
      <c r="G307" s="5">
        <v>468024984961831</v>
      </c>
      <c r="H307" s="5">
        <v>319170380576921</v>
      </c>
      <c r="I307" s="5">
        <v>267034012538468</v>
      </c>
      <c r="J307" s="5">
        <v>219610062222223</v>
      </c>
      <c r="K307" s="5">
        <v>172668145331063</v>
      </c>
      <c r="L307" s="5">
        <v>170109410291532</v>
      </c>
      <c r="M307" s="5">
        <v>154099428997233</v>
      </c>
      <c r="N307" s="5">
        <v>123561363232002</v>
      </c>
      <c r="O307" s="5">
        <v>115371829191664</v>
      </c>
      <c r="P307" s="5">
        <v>968322596752642</v>
      </c>
    </row>
    <row r="308" spans="1:16" x14ac:dyDescent="0.45">
      <c r="A308" s="1" t="s">
        <v>302</v>
      </c>
      <c r="B308" s="2">
        <v>4041363</v>
      </c>
      <c r="C308" s="3" t="s">
        <v>1185</v>
      </c>
      <c r="D308" s="3" t="s">
        <v>1186</v>
      </c>
      <c r="E308" s="3" t="s">
        <v>910</v>
      </c>
      <c r="F308" s="5">
        <v>166074845269227</v>
      </c>
      <c r="G308" s="5">
        <v>145677350213738</v>
      </c>
      <c r="H308" s="5">
        <v>130975412528738</v>
      </c>
      <c r="I308" s="5">
        <v>139114709425293</v>
      </c>
      <c r="J308" s="5">
        <v>132021060363978</v>
      </c>
      <c r="K308" s="5">
        <v>127979793484616</v>
      </c>
      <c r="L308" s="5">
        <v>122461487831413</v>
      </c>
      <c r="M308" s="5">
        <v>116966582455934</v>
      </c>
      <c r="N308" s="5">
        <v>123319560499999</v>
      </c>
      <c r="O308" s="5">
        <v>118125407816794</v>
      </c>
      <c r="P308" s="5">
        <v>11768810599615</v>
      </c>
    </row>
    <row r="309" spans="1:16" x14ac:dyDescent="0.45">
      <c r="A309" s="1" t="s">
        <v>303</v>
      </c>
      <c r="B309" s="2">
        <v>4001586</v>
      </c>
      <c r="C309" s="3" t="s">
        <v>1187</v>
      </c>
      <c r="D309" s="3" t="s">
        <v>1188</v>
      </c>
      <c r="E309" s="3" t="s">
        <v>671</v>
      </c>
      <c r="F309" s="5">
        <v>271680284444445</v>
      </c>
      <c r="G309" s="5">
        <v>46159911841603</v>
      </c>
      <c r="H309" s="5">
        <v>558904238442304</v>
      </c>
      <c r="I309" s="5">
        <v>359520819446162</v>
      </c>
      <c r="J309" s="5">
        <v>201904212444445</v>
      </c>
      <c r="K309" s="5">
        <v>142261801366407</v>
      </c>
      <c r="L309" s="5">
        <v>271037449578543</v>
      </c>
      <c r="M309" s="5">
        <v>232506064551712</v>
      </c>
      <c r="N309" s="5">
        <v>190111596800003</v>
      </c>
      <c r="O309" s="5">
        <v>176072007222219</v>
      </c>
      <c r="P309" s="5">
        <v>209817667256696</v>
      </c>
    </row>
    <row r="310" spans="1:16" x14ac:dyDescent="0.45">
      <c r="A310" s="1" t="s">
        <v>304</v>
      </c>
      <c r="B310" s="2">
        <v>4062146</v>
      </c>
      <c r="C310" s="3" t="s">
        <v>1189</v>
      </c>
      <c r="D310" s="3" t="s">
        <v>1190</v>
      </c>
      <c r="E310" s="3" t="s">
        <v>524</v>
      </c>
      <c r="F310" s="5">
        <v>115084817777778</v>
      </c>
      <c r="G310" s="5">
        <v>106983743599237</v>
      </c>
      <c r="H310" s="5">
        <v>102548860615384</v>
      </c>
      <c r="I310" s="5">
        <v>141412917576926</v>
      </c>
      <c r="J310" s="5">
        <v>110228008888889</v>
      </c>
      <c r="K310" s="5">
        <v>725386951908372</v>
      </c>
      <c r="L310" s="5">
        <v>957475077318004</v>
      </c>
      <c r="M310" s="5">
        <v>932414412413744</v>
      </c>
      <c r="N310" s="5">
        <v>838722416000011</v>
      </c>
      <c r="O310" s="5">
        <v>733618294444429</v>
      </c>
      <c r="P310" s="5">
        <v>695996824578515</v>
      </c>
    </row>
    <row r="311" spans="1:16" x14ac:dyDescent="0.45">
      <c r="A311" s="1" t="s">
        <v>305</v>
      </c>
      <c r="B311" s="2">
        <v>4318651</v>
      </c>
      <c r="C311" s="3" t="s">
        <v>1191</v>
      </c>
      <c r="D311" s="3" t="s">
        <v>1192</v>
      </c>
      <c r="E311" s="3" t="s">
        <v>910</v>
      </c>
      <c r="F311" s="5">
        <v>977145690727946</v>
      </c>
      <c r="G311" s="5">
        <v>822616995916036</v>
      </c>
      <c r="H311" s="5">
        <v>367862140114954</v>
      </c>
      <c r="I311" s="5">
        <v>-169822259692309</v>
      </c>
      <c r="J311" s="5">
        <v>-254297659961531</v>
      </c>
      <c r="K311" s="5">
        <v>-161583778244274</v>
      </c>
      <c r="L311" s="5">
        <v>-238407525670493</v>
      </c>
      <c r="M311" s="5">
        <v>-544428544061267</v>
      </c>
      <c r="N311" s="5">
        <v>-132561348620689</v>
      </c>
      <c r="O311" s="5">
        <v>-141719253499996</v>
      </c>
      <c r="P311" s="5">
        <v>-849676360536386</v>
      </c>
    </row>
    <row r="312" spans="1:16" x14ac:dyDescent="0.45">
      <c r="A312" s="1" t="s">
        <v>306</v>
      </c>
      <c r="B312" s="2">
        <v>4074329</v>
      </c>
      <c r="C312" s="3" t="s">
        <v>1193</v>
      </c>
      <c r="D312" s="3" t="s">
        <v>1194</v>
      </c>
      <c r="E312" s="3" t="s">
        <v>1195</v>
      </c>
      <c r="F312" s="5">
        <v>167230133333333</v>
      </c>
      <c r="G312" s="5">
        <v>233457741412213</v>
      </c>
      <c r="H312" s="5">
        <v>168232663653845</v>
      </c>
      <c r="I312" s="5">
        <v>269507430538468</v>
      </c>
      <c r="J312" s="5">
        <v>338466817777779</v>
      </c>
      <c r="K312" s="5">
        <v>409181394274795</v>
      </c>
      <c r="L312" s="5">
        <v>435589520153255</v>
      </c>
      <c r="M312" s="5">
        <v>464978226206872</v>
      </c>
      <c r="N312" s="5">
        <v>475101616000007</v>
      </c>
      <c r="O312" s="5">
        <v>257860411111106</v>
      </c>
      <c r="P312" s="5">
        <v>231127555785431</v>
      </c>
    </row>
    <row r="313" spans="1:16" x14ac:dyDescent="0.45">
      <c r="A313" s="1" t="s">
        <v>307</v>
      </c>
      <c r="B313" s="2">
        <v>4004412</v>
      </c>
      <c r="C313" s="3" t="s">
        <v>1196</v>
      </c>
      <c r="D313" s="3" t="s">
        <v>1197</v>
      </c>
      <c r="E313" s="3" t="s">
        <v>809</v>
      </c>
      <c r="F313" s="5">
        <v>38724638413792</v>
      </c>
      <c r="G313" s="5">
        <v>371069299269229</v>
      </c>
      <c r="H313" s="5">
        <v>323056091839084</v>
      </c>
      <c r="I313" s="5">
        <v>250674305691045</v>
      </c>
      <c r="J313" s="5">
        <v>198651268736313</v>
      </c>
      <c r="K313" s="5">
        <v>171302917760723</v>
      </c>
      <c r="L313" s="5">
        <v>18210458363965</v>
      </c>
      <c r="M313" s="5">
        <v>164900511727839</v>
      </c>
      <c r="N313" s="5">
        <v>132298819753677</v>
      </c>
      <c r="O313" s="5">
        <v>114948891565914</v>
      </c>
      <c r="P313" s="5">
        <v>129144261429498</v>
      </c>
    </row>
    <row r="314" spans="1:16" x14ac:dyDescent="0.45">
      <c r="A314" s="1" t="s">
        <v>308</v>
      </c>
      <c r="B314" s="2">
        <v>4070114</v>
      </c>
      <c r="C314" s="3" t="s">
        <v>1198</v>
      </c>
      <c r="D314" s="3" t="s">
        <v>1199</v>
      </c>
      <c r="E314" s="3" t="s">
        <v>592</v>
      </c>
      <c r="F314" s="5">
        <v>215460697942303</v>
      </c>
      <c r="G314" s="5">
        <v>20091165129389</v>
      </c>
      <c r="H314" s="5">
        <v>194795984793107</v>
      </c>
      <c r="I314" s="5">
        <v>161638712643685</v>
      </c>
      <c r="J314" s="5">
        <v>123198851896546</v>
      </c>
      <c r="K314" s="5">
        <v>132085710115385</v>
      </c>
      <c r="L314" s="5">
        <v>120363047371643</v>
      </c>
      <c r="M314" s="5">
        <v>108670125344823</v>
      </c>
      <c r="N314" s="5">
        <v>115078065722221</v>
      </c>
      <c r="O314" s="5">
        <v>103359731839695</v>
      </c>
      <c r="P314" s="5">
        <v>867773731384587</v>
      </c>
    </row>
    <row r="315" spans="1:16" x14ac:dyDescent="0.45">
      <c r="A315" s="1" t="s">
        <v>309</v>
      </c>
      <c r="B315" s="2">
        <v>4580296</v>
      </c>
      <c r="C315" s="3" t="s">
        <v>1200</v>
      </c>
      <c r="D315" s="3" t="s">
        <v>1201</v>
      </c>
      <c r="E315" s="3" t="s">
        <v>629</v>
      </c>
      <c r="F315" s="5">
        <v>549723644444445</v>
      </c>
      <c r="G315" s="5">
        <v>520726336488549</v>
      </c>
      <c r="H315" s="5">
        <v>448743751538458</v>
      </c>
      <c r="I315" s="5">
        <v>384235973153855</v>
      </c>
      <c r="J315" s="5">
        <v>365029822222223</v>
      </c>
      <c r="K315" s="5">
        <v>300680347175562</v>
      </c>
      <c r="L315" s="5">
        <v>249865440498083</v>
      </c>
      <c r="M315" s="5">
        <v>18807631862068</v>
      </c>
      <c r="N315" s="5">
        <v>194847536000003</v>
      </c>
      <c r="O315" s="5">
        <v>143396427777775</v>
      </c>
      <c r="P315" s="5">
        <v>13602631890804</v>
      </c>
    </row>
    <row r="316" spans="1:16" x14ac:dyDescent="0.45">
      <c r="A316" s="1" t="s">
        <v>310</v>
      </c>
      <c r="B316" s="2">
        <v>4765589</v>
      </c>
      <c r="C316" s="3" t="s">
        <v>1202</v>
      </c>
      <c r="D316" s="3" t="s">
        <v>1203</v>
      </c>
      <c r="E316" s="3" t="s">
        <v>809</v>
      </c>
      <c r="F316" s="5">
        <v>862648711111111</v>
      </c>
      <c r="G316" s="5">
        <v>84081770312977</v>
      </c>
      <c r="H316" s="5">
        <v>674040490769226</v>
      </c>
      <c r="I316" s="5">
        <v>604655569538475</v>
      </c>
      <c r="J316" s="5">
        <v>538789093333335</v>
      </c>
      <c r="K316" s="5">
        <v>39690156679388</v>
      </c>
      <c r="L316" s="5">
        <v>38699216597701</v>
      </c>
      <c r="M316" s="5">
        <v>39683340413791</v>
      </c>
      <c r="N316" s="5">
        <v>355993632000005</v>
      </c>
      <c r="O316" s="5">
        <v>33145731666666</v>
      </c>
      <c r="P316" s="5">
        <v>624783576111085</v>
      </c>
    </row>
    <row r="317" spans="1:16" x14ac:dyDescent="0.45">
      <c r="A317" s="1" t="s">
        <v>311</v>
      </c>
      <c r="B317" s="2">
        <v>4004166</v>
      </c>
      <c r="C317" s="3" t="s">
        <v>1204</v>
      </c>
      <c r="D317" s="3" t="s">
        <v>1205</v>
      </c>
      <c r="E317" s="3" t="s">
        <v>1033</v>
      </c>
      <c r="F317" s="5">
        <v>132844620775194</v>
      </c>
      <c r="G317" s="5">
        <v>137541419984616</v>
      </c>
      <c r="H317" s="5">
        <v>129443890076922</v>
      </c>
      <c r="I317" s="5">
        <v>117106829153849</v>
      </c>
      <c r="J317" s="5">
        <v>100229652359375</v>
      </c>
      <c r="K317" s="5">
        <v>959818062790672</v>
      </c>
      <c r="L317" s="5">
        <v>957581244208489</v>
      </c>
      <c r="M317" s="5">
        <v>879338064615337</v>
      </c>
      <c r="N317" s="5">
        <v>942487376000013</v>
      </c>
      <c r="O317" s="5">
        <v>924843669444425</v>
      </c>
      <c r="P317" s="5">
        <v>902015948190627</v>
      </c>
    </row>
    <row r="318" spans="1:16" x14ac:dyDescent="0.45">
      <c r="A318" s="1" t="s">
        <v>312</v>
      </c>
      <c r="B318" s="2">
        <v>3009080</v>
      </c>
      <c r="C318" s="3" t="s">
        <v>1206</v>
      </c>
      <c r="D318" s="3" t="s">
        <v>1207</v>
      </c>
      <c r="E318" s="3" t="s">
        <v>637</v>
      </c>
      <c r="F318" s="5">
        <v>169835626666667</v>
      </c>
      <c r="G318" s="5">
        <v>143837706263359</v>
      </c>
      <c r="H318" s="5">
        <v>584236248653842</v>
      </c>
      <c r="I318" s="5">
        <v>379013255915393</v>
      </c>
      <c r="J318" s="5">
        <v>22823880888889</v>
      </c>
      <c r="K318" s="5">
        <v>858798506183177</v>
      </c>
      <c r="L318" s="5">
        <v>72735231195402</v>
      </c>
      <c r="M318" s="5">
        <v>623389510344795</v>
      </c>
      <c r="N318" s="5">
        <v>130468916800002</v>
      </c>
      <c r="O318" s="5">
        <v>127465500555553</v>
      </c>
      <c r="P318" s="5">
        <v>124316697419535</v>
      </c>
    </row>
    <row r="319" spans="1:16" x14ac:dyDescent="0.45">
      <c r="A319" s="1" t="s">
        <v>313</v>
      </c>
      <c r="B319" s="2">
        <v>4057057</v>
      </c>
      <c r="C319" s="3" t="s">
        <v>1208</v>
      </c>
      <c r="D319" s="3" t="s">
        <v>1209</v>
      </c>
      <c r="E319" s="3" t="s">
        <v>512</v>
      </c>
      <c r="F319" s="5">
        <v>473685777777778</v>
      </c>
      <c r="G319" s="5">
        <v>473757412671755</v>
      </c>
      <c r="H319" s="5">
        <v>318892921538459</v>
      </c>
      <c r="I319" s="5">
        <v>298522526307699</v>
      </c>
      <c r="J319" s="5">
        <v>267660337777779</v>
      </c>
      <c r="K319" s="5">
        <v>248666506488541</v>
      </c>
      <c r="L319" s="5">
        <v>136501391877394</v>
      </c>
      <c r="M319" s="5">
        <v>179939623448266</v>
      </c>
      <c r="N319" s="5">
        <v>264644992000004</v>
      </c>
      <c r="O319" s="5">
        <v>202888766666662</v>
      </c>
      <c r="P319" s="5">
        <v>131519151283519</v>
      </c>
    </row>
    <row r="320" spans="1:16" x14ac:dyDescent="0.45">
      <c r="A320" s="1" t="s">
        <v>314</v>
      </c>
      <c r="B320" s="2">
        <v>4913068</v>
      </c>
      <c r="C320" s="3" t="s">
        <v>1210</v>
      </c>
      <c r="D320" s="3" t="s">
        <v>1211</v>
      </c>
      <c r="E320" s="3" t="s">
        <v>518</v>
      </c>
      <c r="F320" s="5">
        <v>148229528888889</v>
      </c>
      <c r="G320" s="5">
        <v>122183922881679</v>
      </c>
      <c r="H320" s="5">
        <v>122359435961538</v>
      </c>
      <c r="I320" s="5">
        <v>121844375938464</v>
      </c>
      <c r="J320" s="5">
        <v>110617148444445</v>
      </c>
      <c r="K320" s="5">
        <v>102799698625951</v>
      </c>
      <c r="L320" s="5">
        <v>987848423678157</v>
      </c>
      <c r="M320" s="5">
        <v>960808088275812</v>
      </c>
      <c r="N320" s="5">
        <v>102017806400001</v>
      </c>
      <c r="O320" s="5">
        <v>977826208333313</v>
      </c>
      <c r="P320" s="5">
        <v>963722581475056</v>
      </c>
    </row>
    <row r="321" spans="1:16" x14ac:dyDescent="0.45">
      <c r="A321" s="1" t="s">
        <v>315</v>
      </c>
      <c r="B321" s="2">
        <v>4095021</v>
      </c>
      <c r="C321" s="3" t="s">
        <v>1212</v>
      </c>
      <c r="D321" s="3" t="s">
        <v>1213</v>
      </c>
      <c r="E321" s="3" t="s">
        <v>1082</v>
      </c>
      <c r="F321" s="5">
        <v>388608444444445</v>
      </c>
      <c r="G321" s="5">
        <v>189632406984733</v>
      </c>
      <c r="H321" s="5">
        <v>761625060576917</v>
      </c>
      <c r="I321" s="5">
        <v>937425422000021</v>
      </c>
      <c r="J321" s="5">
        <v>404366755555557</v>
      </c>
      <c r="K321" s="5">
        <v>-136481511145034</v>
      </c>
      <c r="L321" s="5">
        <v>292030791915708</v>
      </c>
      <c r="M321" s="5">
        <v>43955105379308</v>
      </c>
      <c r="N321" s="5">
        <v>157509888000002</v>
      </c>
      <c r="O321" s="5">
        <v>949345833333313</v>
      </c>
      <c r="P321" s="5">
        <v>408078956724121</v>
      </c>
    </row>
    <row r="322" spans="1:16" x14ac:dyDescent="0.45">
      <c r="A322" s="1" t="s">
        <v>316</v>
      </c>
      <c r="B322" s="2">
        <v>4056951</v>
      </c>
      <c r="C322" s="3" t="s">
        <v>1214</v>
      </c>
      <c r="D322" s="3" t="s">
        <v>1215</v>
      </c>
      <c r="E322" s="3" t="s">
        <v>512</v>
      </c>
      <c r="F322" s="5">
        <v>957164311111112</v>
      </c>
      <c r="G322" s="5">
        <v>980922859285877</v>
      </c>
      <c r="H322" s="5">
        <v>800273254907686</v>
      </c>
      <c r="I322" s="5">
        <v>789969753986172</v>
      </c>
      <c r="J322" s="5">
        <v>776461152622225</v>
      </c>
      <c r="K322" s="5">
        <v>740730596345776</v>
      </c>
      <c r="L322" s="5">
        <v>620821372930649</v>
      </c>
      <c r="M322" s="5">
        <v>697957236165481</v>
      </c>
      <c r="N322" s="5">
        <v>828724617760011</v>
      </c>
      <c r="O322" s="5">
        <v>77392842266665</v>
      </c>
      <c r="P322" s="5">
        <v>770366893250159</v>
      </c>
    </row>
    <row r="323" spans="1:16" x14ac:dyDescent="0.45">
      <c r="A323" s="1" t="s">
        <v>317</v>
      </c>
      <c r="B323" s="2">
        <v>4104752</v>
      </c>
      <c r="C323" s="3" t="s">
        <v>1216</v>
      </c>
      <c r="D323" s="3" t="s">
        <v>1217</v>
      </c>
      <c r="E323" s="3" t="s">
        <v>937</v>
      </c>
      <c r="F323" s="5">
        <v>514442251555556</v>
      </c>
      <c r="G323" s="5">
        <v>570657631012213</v>
      </c>
      <c r="H323" s="5">
        <v>690981214794226</v>
      </c>
      <c r="I323" s="5">
        <v>976417905455407</v>
      </c>
      <c r="J323" s="5">
        <v>70449825137778</v>
      </c>
      <c r="K323" s="5">
        <v>413103044893879</v>
      </c>
      <c r="L323" s="5">
        <v>304846557412259</v>
      </c>
      <c r="M323" s="5">
        <v>26604365739309</v>
      </c>
      <c r="N323" s="5">
        <v>252202952480003</v>
      </c>
      <c r="O323" s="5">
        <v>231332071972217</v>
      </c>
      <c r="P323" s="5">
        <v>194909759621831</v>
      </c>
    </row>
    <row r="324" spans="1:16" x14ac:dyDescent="0.45">
      <c r="A324" s="1" t="s">
        <v>318</v>
      </c>
      <c r="B324" s="2">
        <v>4062397</v>
      </c>
      <c r="C324" s="3" t="s">
        <v>1218</v>
      </c>
      <c r="D324" s="3" t="s">
        <v>1219</v>
      </c>
      <c r="E324" s="3" t="s">
        <v>501</v>
      </c>
      <c r="F324" s="5">
        <v>1882336</v>
      </c>
      <c r="G324" s="5">
        <v>207476899694656</v>
      </c>
      <c r="H324" s="5">
        <v>202175152692306</v>
      </c>
      <c r="I324" s="5">
        <v>159440329538465</v>
      </c>
      <c r="J324" s="5">
        <v>148126817777778</v>
      </c>
      <c r="K324" s="5">
        <v>156918652595415</v>
      </c>
      <c r="L324" s="5">
        <v>162765403141762</v>
      </c>
      <c r="M324" s="5">
        <v>143324495172406</v>
      </c>
      <c r="N324" s="5">
        <v>176134368000002</v>
      </c>
      <c r="O324" s="5">
        <v>179290741666663</v>
      </c>
      <c r="P324" s="5">
        <v>166855345459763</v>
      </c>
    </row>
    <row r="325" spans="1:16" x14ac:dyDescent="0.45">
      <c r="A325" s="1" t="s">
        <v>319</v>
      </c>
      <c r="B325" s="2">
        <v>4057058</v>
      </c>
      <c r="C325" s="3" t="s">
        <v>1220</v>
      </c>
      <c r="D325" s="3" t="s">
        <v>1221</v>
      </c>
      <c r="E325" s="3" t="s">
        <v>512</v>
      </c>
      <c r="F325" s="5">
        <v>189385688888889</v>
      </c>
      <c r="G325" s="5">
        <v>166702696145038</v>
      </c>
      <c r="H325" s="5">
        <v>147053290384614</v>
      </c>
      <c r="I325" s="5">
        <v>126239449461541</v>
      </c>
      <c r="J325" s="5">
        <v>125370613333334</v>
      </c>
      <c r="K325" s="5">
        <v>138937476641217</v>
      </c>
      <c r="L325" s="5">
        <v>137037392107279</v>
      </c>
      <c r="M325" s="5">
        <v>263510263448262</v>
      </c>
      <c r="N325" s="5">
        <v>272094784000004</v>
      </c>
      <c r="O325" s="5">
        <v>275581533333328</v>
      </c>
      <c r="P325" s="5">
        <v>255646547662825</v>
      </c>
    </row>
    <row r="326" spans="1:16" x14ac:dyDescent="0.45">
      <c r="A326" s="1" t="s">
        <v>320</v>
      </c>
      <c r="B326" s="2">
        <v>110230</v>
      </c>
      <c r="C326" s="3" t="s">
        <v>1222</v>
      </c>
      <c r="D326" s="3" t="s">
        <v>1223</v>
      </c>
      <c r="E326" s="3" t="s">
        <v>489</v>
      </c>
      <c r="F326" s="5">
        <v>131081128888889</v>
      </c>
      <c r="G326" s="5">
        <v>177511096133588</v>
      </c>
      <c r="H326" s="5">
        <v>710202652115379</v>
      </c>
      <c r="I326" s="5">
        <v>581472032361552</v>
      </c>
      <c r="J326" s="5">
        <v>169969390222223</v>
      </c>
      <c r="K326" s="5">
        <v>148542055992361</v>
      </c>
      <c r="L326" s="5">
        <v>151268198210727</v>
      </c>
      <c r="M326" s="5">
        <v>151240821517233</v>
      </c>
      <c r="N326" s="5">
        <v>199743113600003</v>
      </c>
      <c r="O326" s="5">
        <v>143911786944441</v>
      </c>
      <c r="P326" s="5">
        <v>147582696697312</v>
      </c>
    </row>
    <row r="327" spans="1:16" x14ac:dyDescent="0.45">
      <c r="A327" s="1" t="s">
        <v>321</v>
      </c>
      <c r="B327" s="2">
        <v>103146</v>
      </c>
      <c r="C327" s="3" t="s">
        <v>1224</v>
      </c>
      <c r="D327" s="3" t="s">
        <v>1225</v>
      </c>
      <c r="E327" s="3" t="s">
        <v>1226</v>
      </c>
      <c r="F327" s="5">
        <v>338256222311111</v>
      </c>
      <c r="G327" s="5">
        <v>31913571546687</v>
      </c>
      <c r="H327" s="5">
        <v>313686865113459</v>
      </c>
      <c r="I327" s="5">
        <v>246511682866621</v>
      </c>
      <c r="J327" s="5">
        <v>171023789226667</v>
      </c>
      <c r="K327" s="5">
        <v>149040002996713</v>
      </c>
      <c r="L327" s="5">
        <v>106496635008659</v>
      </c>
      <c r="M327" s="5">
        <v>970692477765467</v>
      </c>
      <c r="N327" s="5">
        <v>904292115040012</v>
      </c>
      <c r="O327" s="5">
        <v>790836724027761</v>
      </c>
      <c r="P327" s="5">
        <v>508529300138293</v>
      </c>
    </row>
    <row r="328" spans="1:16" x14ac:dyDescent="0.45">
      <c r="A328" s="1" t="s">
        <v>322</v>
      </c>
      <c r="B328" s="2">
        <v>4072932</v>
      </c>
      <c r="C328" s="3" t="s">
        <v>1227</v>
      </c>
      <c r="D328" s="3" t="s">
        <v>1228</v>
      </c>
      <c r="E328" s="3" t="s">
        <v>489</v>
      </c>
      <c r="F328" s="5">
        <v>453302666666667</v>
      </c>
      <c r="G328" s="5">
        <v>277467992862595</v>
      </c>
      <c r="H328" s="5">
        <v>320742648461536</v>
      </c>
      <c r="I328" s="5">
        <v>-311936062384622</v>
      </c>
      <c r="J328" s="5">
        <v>100101920888889</v>
      </c>
      <c r="K328" s="5">
        <v>-226299677862588</v>
      </c>
      <c r="L328" s="5">
        <v>456672195862067</v>
      </c>
      <c r="M328" s="5">
        <v>409801262068944</v>
      </c>
      <c r="N328" s="5">
        <v>585695552000008</v>
      </c>
      <c r="O328" s="5">
        <v>649623791666653</v>
      </c>
      <c r="P328" s="5">
        <v>814174759693453</v>
      </c>
    </row>
    <row r="329" spans="1:16" x14ac:dyDescent="0.45">
      <c r="A329" s="1" t="s">
        <v>323</v>
      </c>
      <c r="B329" s="2">
        <v>4391244</v>
      </c>
      <c r="C329" s="3" t="s">
        <v>1229</v>
      </c>
      <c r="D329" s="3" t="s">
        <v>1230</v>
      </c>
      <c r="E329" s="3" t="s">
        <v>483</v>
      </c>
      <c r="F329" s="5">
        <v>913493618390779</v>
      </c>
      <c r="G329" s="5">
        <v>545131852465143</v>
      </c>
      <c r="H329" s="5">
        <v>447969086547705</v>
      </c>
      <c r="I329" s="5">
        <v>461189524775095</v>
      </c>
      <c r="J329" s="5">
        <v>332005130396934</v>
      </c>
      <c r="K329" s="5">
        <v>224858529701521</v>
      </c>
      <c r="L329" s="5">
        <v>104108758796934</v>
      </c>
      <c r="M329" s="5">
        <v>651506432692276</v>
      </c>
      <c r="N329" s="5">
        <v>457038188076919</v>
      </c>
      <c r="O329" s="5">
        <v>385047569438924</v>
      </c>
      <c r="P329" s="5">
        <v>164510938743096</v>
      </c>
    </row>
    <row r="330" spans="1:16" x14ac:dyDescent="0.45">
      <c r="A330" s="1" t="s">
        <v>324</v>
      </c>
      <c r="B330" s="2">
        <v>4050911</v>
      </c>
      <c r="C330" s="3" t="s">
        <v>1231</v>
      </c>
      <c r="D330" s="3" t="s">
        <v>1232</v>
      </c>
      <c r="E330" s="3" t="s">
        <v>528</v>
      </c>
      <c r="F330" s="5">
        <v>269854666666667</v>
      </c>
      <c r="G330" s="5">
        <v>224304348778626</v>
      </c>
      <c r="H330" s="5">
        <v>320650162115382</v>
      </c>
      <c r="I330" s="5">
        <v>178847147692312</v>
      </c>
      <c r="J330" s="5">
        <v>179511768888889</v>
      </c>
      <c r="K330" s="5">
        <v>210160476030527</v>
      </c>
      <c r="L330" s="5">
        <v>225298763295018</v>
      </c>
      <c r="M330" s="5">
        <v>19663679999999</v>
      </c>
      <c r="N330" s="5">
        <v>212230384000003</v>
      </c>
      <c r="O330" s="5">
        <v>204516216666662</v>
      </c>
      <c r="P330" s="5">
        <v>253032390440602</v>
      </c>
    </row>
    <row r="331" spans="1:16" x14ac:dyDescent="0.45">
      <c r="A331" s="1" t="s">
        <v>325</v>
      </c>
      <c r="B331" s="2">
        <v>103016</v>
      </c>
      <c r="C331" s="3" t="s">
        <v>1233</v>
      </c>
      <c r="D331" s="3" t="s">
        <v>1234</v>
      </c>
      <c r="E331" s="3" t="s">
        <v>878</v>
      </c>
      <c r="F331" s="5">
        <v>199833628533333</v>
      </c>
      <c r="G331" s="5">
        <v>203916045043168</v>
      </c>
      <c r="H331" s="5">
        <v>21569878368596</v>
      </c>
      <c r="I331" s="5">
        <v>214490528044236</v>
      </c>
      <c r="J331" s="5">
        <v>162846613635556</v>
      </c>
      <c r="K331" s="5">
        <v>131119875327705</v>
      </c>
      <c r="L331" s="5">
        <v>137255276200727</v>
      </c>
      <c r="M331" s="5">
        <v>125430292100683</v>
      </c>
      <c r="N331" s="5">
        <v>132925308336002</v>
      </c>
      <c r="O331" s="5">
        <v>129124776244442</v>
      </c>
      <c r="P331" s="5">
        <v>114719675539995</v>
      </c>
    </row>
    <row r="332" spans="1:16" x14ac:dyDescent="0.45">
      <c r="A332" s="1" t="s">
        <v>326</v>
      </c>
      <c r="B332" s="2">
        <v>4006246</v>
      </c>
      <c r="C332" s="3" t="s">
        <v>1235</v>
      </c>
      <c r="D332" s="3" t="s">
        <v>1236</v>
      </c>
      <c r="E332" s="3" t="s">
        <v>772</v>
      </c>
      <c r="F332" s="5">
        <v>272703693866667</v>
      </c>
      <c r="G332" s="5">
        <v>362088981214351</v>
      </c>
      <c r="H332" s="5">
        <v>316899470833459</v>
      </c>
      <c r="I332" s="5">
        <v>3285151929757</v>
      </c>
      <c r="J332" s="5">
        <v>215943944631112</v>
      </c>
      <c r="K332" s="5">
        <v>15478897965801</v>
      </c>
      <c r="L332" s="5">
        <v>121020097237624</v>
      </c>
      <c r="M332" s="5">
        <v>12182980448689</v>
      </c>
      <c r="N332" s="5">
        <v>995677117120014</v>
      </c>
      <c r="O332" s="5">
        <v>886200773333315</v>
      </c>
      <c r="P332" s="5">
        <v>731517812627364</v>
      </c>
    </row>
    <row r="333" spans="1:16" x14ac:dyDescent="0.45">
      <c r="A333" s="1" t="s">
        <v>327</v>
      </c>
      <c r="B333" s="2">
        <v>4062496</v>
      </c>
      <c r="C333" s="3" t="s">
        <v>1237</v>
      </c>
      <c r="D333" s="3" t="s">
        <v>1238</v>
      </c>
      <c r="E333" s="3" t="s">
        <v>486</v>
      </c>
      <c r="F333" s="5">
        <v>112362999081078</v>
      </c>
      <c r="G333" s="5">
        <v>945868825961553</v>
      </c>
      <c r="H333" s="5">
        <v>810693603921597</v>
      </c>
      <c r="I333" s="5">
        <v>136590508152343</v>
      </c>
      <c r="J333" s="5">
        <v>818768719377422</v>
      </c>
      <c r="K333" s="5">
        <v>556622634285698</v>
      </c>
      <c r="L333" s="5">
        <v>716334339653839</v>
      </c>
      <c r="M333" s="5">
        <v>3172626163846</v>
      </c>
      <c r="N333" s="5">
        <v>415970221607843</v>
      </c>
      <c r="O333" s="5">
        <v>613557767704272</v>
      </c>
      <c r="P333" s="5">
        <v>648162062441835</v>
      </c>
    </row>
    <row r="334" spans="1:16" x14ac:dyDescent="0.45">
      <c r="A334" s="1" t="s">
        <v>328</v>
      </c>
      <c r="B334" s="2">
        <v>4097102</v>
      </c>
      <c r="C334" s="3" t="s">
        <v>1239</v>
      </c>
      <c r="D334" s="3" t="s">
        <v>1240</v>
      </c>
      <c r="E334" s="3" t="s">
        <v>731</v>
      </c>
      <c r="F334" s="5">
        <v>140650290577778</v>
      </c>
      <c r="G334" s="5">
        <v>120477878428397</v>
      </c>
      <c r="H334" s="5">
        <v>101081564733653</v>
      </c>
      <c r="I334" s="5">
        <v>797649716876172</v>
      </c>
      <c r="J334" s="5">
        <v>534590615911113</v>
      </c>
      <c r="K334" s="5">
        <v>534233017426699</v>
      </c>
      <c r="L334" s="5">
        <v>520072089720305</v>
      </c>
      <c r="M334" s="5">
        <v>49023249384825</v>
      </c>
      <c r="N334" s="5">
        <v>382897136800005</v>
      </c>
      <c r="O334" s="5">
        <v>301147868694438</v>
      </c>
      <c r="P334" s="5">
        <v>270028018119146</v>
      </c>
    </row>
    <row r="335" spans="1:16" x14ac:dyDescent="0.45">
      <c r="A335" s="1" t="s">
        <v>329</v>
      </c>
      <c r="B335" s="2">
        <v>4070417</v>
      </c>
      <c r="C335" s="3" t="s">
        <v>1241</v>
      </c>
      <c r="D335" s="3" t="s">
        <v>1242</v>
      </c>
      <c r="E335" s="3" t="s">
        <v>768</v>
      </c>
      <c r="F335" s="5">
        <v>142238666666667</v>
      </c>
      <c r="G335" s="5">
        <v>13073633519084</v>
      </c>
      <c r="H335" s="5">
        <v>121712031538461</v>
      </c>
      <c r="I335" s="5">
        <v>14241179792308</v>
      </c>
      <c r="J335" s="5">
        <v>202437164444445</v>
      </c>
      <c r="K335" s="5">
        <v>174373550229002</v>
      </c>
      <c r="L335" s="5">
        <v>102912044137931</v>
      </c>
      <c r="M335" s="5">
        <v>96962284137926</v>
      </c>
      <c r="N335" s="5">
        <v>106248224000001</v>
      </c>
      <c r="O335" s="5">
        <v>111028255555553</v>
      </c>
      <c r="P335" s="5">
        <v>108532596398463</v>
      </c>
    </row>
    <row r="336" spans="1:16" x14ac:dyDescent="0.45">
      <c r="A336" s="1" t="s">
        <v>330</v>
      </c>
      <c r="B336" s="2">
        <v>4157135</v>
      </c>
      <c r="C336" s="3" t="s">
        <v>1243</v>
      </c>
      <c r="D336" s="3" t="s">
        <v>1244</v>
      </c>
      <c r="E336" s="3" t="s">
        <v>1075</v>
      </c>
      <c r="F336" s="5">
        <v>860432288538443</v>
      </c>
      <c r="G336" s="5">
        <v>733917450807707</v>
      </c>
      <c r="H336" s="5">
        <v>717745205517255</v>
      </c>
      <c r="I336" s="5">
        <v>557350113282445</v>
      </c>
      <c r="J336" s="5">
        <v>171108463333327</v>
      </c>
      <c r="K336" s="5">
        <v>541838126769231</v>
      </c>
      <c r="L336" s="5">
        <v>610633104653823</v>
      </c>
      <c r="M336" s="5">
        <v>568036637692298</v>
      </c>
      <c r="N336" s="5">
        <v>618355742528722</v>
      </c>
      <c r="O336" s="5">
        <v>719798984524712</v>
      </c>
      <c r="P336" s="5">
        <v>833293773822364</v>
      </c>
    </row>
    <row r="337" spans="1:16" x14ac:dyDescent="0.45">
      <c r="A337" s="1" t="s">
        <v>331</v>
      </c>
      <c r="B337" s="2">
        <v>103118</v>
      </c>
      <c r="C337" s="3" t="s">
        <v>1245</v>
      </c>
      <c r="D337" s="3" t="s">
        <v>1246</v>
      </c>
      <c r="E337" s="3" t="s">
        <v>893</v>
      </c>
      <c r="F337" s="5">
        <v>227787027111111</v>
      </c>
      <c r="G337" s="5">
        <v>205020092128397</v>
      </c>
      <c r="H337" s="5">
        <v>159526183999614</v>
      </c>
      <c r="I337" s="5">
        <v>123866395153464</v>
      </c>
      <c r="J337" s="5">
        <v>806321691822225</v>
      </c>
      <c r="K337" s="5">
        <v>697927503399976</v>
      </c>
      <c r="L337" s="5">
        <v>660293323193101</v>
      </c>
      <c r="M337" s="5">
        <v>556206682965488</v>
      </c>
      <c r="N337" s="5">
        <v>522420211520007</v>
      </c>
      <c r="O337" s="5">
        <v>48678656949999</v>
      </c>
      <c r="P337" s="5">
        <v>459208266256686</v>
      </c>
    </row>
    <row r="338" spans="1:16" x14ac:dyDescent="0.45">
      <c r="A338" s="1" t="s">
        <v>332</v>
      </c>
      <c r="B338" s="2">
        <v>103091</v>
      </c>
      <c r="C338" s="3" t="s">
        <v>1247</v>
      </c>
      <c r="D338" s="3" t="s">
        <v>1248</v>
      </c>
      <c r="E338" s="3" t="s">
        <v>893</v>
      </c>
      <c r="F338" s="5">
        <v>567699776</v>
      </c>
      <c r="G338" s="5">
        <v>527855812306488</v>
      </c>
      <c r="H338" s="5">
        <v>47679486032692</v>
      </c>
      <c r="I338" s="5">
        <v>494065245500011</v>
      </c>
      <c r="J338" s="5">
        <v>415301577066668</v>
      </c>
      <c r="K338" s="5">
        <v>263977697096174</v>
      </c>
      <c r="L338" s="5">
        <v>359301500767432</v>
      </c>
      <c r="M338" s="5">
        <v>356184678744809</v>
      </c>
      <c r="N338" s="5">
        <v>316627689440004</v>
      </c>
      <c r="O338" s="5">
        <v>225342151833329</v>
      </c>
      <c r="P338" s="5">
        <v>2053150067998</v>
      </c>
    </row>
    <row r="339" spans="1:16" x14ac:dyDescent="0.45">
      <c r="A339" s="1" t="s">
        <v>333</v>
      </c>
      <c r="B339" s="2">
        <v>4094029</v>
      </c>
      <c r="C339" s="3" t="s">
        <v>1249</v>
      </c>
      <c r="D339" s="3" t="s">
        <v>1250</v>
      </c>
      <c r="E339" s="3" t="s">
        <v>477</v>
      </c>
      <c r="F339" s="5">
        <v>328079466666667</v>
      </c>
      <c r="G339" s="5">
        <v>383249775812977</v>
      </c>
      <c r="H339" s="5">
        <v>391513200538459</v>
      </c>
      <c r="I339" s="5">
        <v>475086518923088</v>
      </c>
      <c r="J339" s="5">
        <v>760920103111113</v>
      </c>
      <c r="K339" s="5">
        <v>32143325561831</v>
      </c>
      <c r="L339" s="5">
        <v>197408884666666</v>
      </c>
      <c r="M339" s="5">
        <v>214808752551713</v>
      </c>
      <c r="N339" s="5">
        <v>184435564800003</v>
      </c>
      <c r="O339" s="5">
        <v>120313761944442</v>
      </c>
      <c r="P339" s="5">
        <v>112851905276394</v>
      </c>
    </row>
    <row r="340" spans="1:16" x14ac:dyDescent="0.45">
      <c r="A340" s="1" t="s">
        <v>334</v>
      </c>
      <c r="B340" s="2">
        <v>4102003</v>
      </c>
      <c r="C340" s="3" t="s">
        <v>1251</v>
      </c>
      <c r="D340" s="3" t="s">
        <v>1252</v>
      </c>
      <c r="E340" s="3" t="s">
        <v>1253</v>
      </c>
      <c r="F340" s="5">
        <v>294491644444445</v>
      </c>
      <c r="G340" s="5">
        <v>29808624091603</v>
      </c>
      <c r="H340" s="5">
        <v>260256578076921</v>
      </c>
      <c r="I340" s="5">
        <v>229457085230774</v>
      </c>
      <c r="J340" s="5">
        <v>179054952888889</v>
      </c>
      <c r="K340" s="5">
        <v>161506045290071</v>
      </c>
      <c r="L340" s="5">
        <v>159611935122605</v>
      </c>
      <c r="M340" s="5">
        <v>145553610620682</v>
      </c>
      <c r="N340" s="5">
        <v>146636739200002</v>
      </c>
      <c r="O340" s="5">
        <v>14318847583333</v>
      </c>
      <c r="P340" s="5">
        <v>136413935323749</v>
      </c>
    </row>
    <row r="341" spans="1:16" x14ac:dyDescent="0.45">
      <c r="A341" s="1" t="s">
        <v>335</v>
      </c>
      <c r="B341" s="2">
        <v>4811222</v>
      </c>
      <c r="C341" s="3" t="s">
        <v>1254</v>
      </c>
      <c r="D341" s="3" t="s">
        <v>1255</v>
      </c>
      <c r="E341" s="3" t="s">
        <v>474</v>
      </c>
      <c r="F341" s="5">
        <v>155247618226662</v>
      </c>
      <c r="G341" s="5">
        <v>127985250329884</v>
      </c>
      <c r="H341" s="5">
        <v>110138990420346</v>
      </c>
      <c r="I341" s="5">
        <v>890198326034519</v>
      </c>
      <c r="J341" s="5">
        <v>769411863721806</v>
      </c>
      <c r="K341" s="5">
        <v>731765764595791</v>
      </c>
      <c r="L341" s="5">
        <v>557536882289989</v>
      </c>
      <c r="M341" s="5">
        <v>469784619729595</v>
      </c>
      <c r="N341" s="5">
        <v>419165268020688</v>
      </c>
      <c r="O341" s="5">
        <v>392880129819077</v>
      </c>
      <c r="P341" s="5">
        <v>342282560071255</v>
      </c>
    </row>
    <row r="342" spans="1:16" x14ac:dyDescent="0.45">
      <c r="A342" s="1" t="s">
        <v>336</v>
      </c>
      <c r="B342" s="2">
        <v>4812263</v>
      </c>
      <c r="C342" s="3" t="s">
        <v>1256</v>
      </c>
      <c r="D342" s="3" t="s">
        <v>1257</v>
      </c>
      <c r="E342" s="3" t="s">
        <v>492</v>
      </c>
      <c r="F342" s="5">
        <v>386206966759691</v>
      </c>
      <c r="G342" s="5">
        <v>378755112760001</v>
      </c>
      <c r="H342" s="5">
        <v>352831711123074</v>
      </c>
      <c r="I342" s="5">
        <v>787580051672325</v>
      </c>
      <c r="J342" s="5">
        <v>119715231253334</v>
      </c>
      <c r="K342" s="5">
        <v>75820095088971</v>
      </c>
      <c r="L342" s="5">
        <v>353344709729728</v>
      </c>
      <c r="M342" s="5">
        <v>286587428003831</v>
      </c>
      <c r="N342" s="5">
        <v>283477001920004</v>
      </c>
      <c r="O342" s="5">
        <v>276652937916661</v>
      </c>
      <c r="P342" s="5">
        <v>246351973606479</v>
      </c>
    </row>
    <row r="343" spans="1:16" x14ac:dyDescent="0.45">
      <c r="A343" s="1" t="s">
        <v>337</v>
      </c>
      <c r="B343" s="2">
        <v>4095448</v>
      </c>
      <c r="C343" s="3" t="s">
        <v>1258</v>
      </c>
      <c r="D343" s="3" t="s">
        <v>1259</v>
      </c>
      <c r="E343" s="3" t="s">
        <v>545</v>
      </c>
      <c r="F343" s="5">
        <v>128858262068962</v>
      </c>
      <c r="G343" s="5">
        <v>120746021800768</v>
      </c>
      <c r="H343" s="5">
        <v>150920347307696</v>
      </c>
      <c r="I343" s="5">
        <v>123154924348659</v>
      </c>
      <c r="J343" s="5">
        <v>964278868352488</v>
      </c>
      <c r="K343" s="5">
        <v>964364798931272</v>
      </c>
      <c r="L343" s="5">
        <v>121573993816091</v>
      </c>
      <c r="M343" s="5">
        <v>106931120307687</v>
      </c>
      <c r="N343" s="5">
        <v>936779590384608</v>
      </c>
      <c r="O343" s="5">
        <v>908611046946549</v>
      </c>
      <c r="P343" s="5">
        <v>104464275879306</v>
      </c>
    </row>
    <row r="344" spans="1:16" x14ac:dyDescent="0.45">
      <c r="A344" s="1" t="s">
        <v>338</v>
      </c>
      <c r="B344" s="2">
        <v>4004396</v>
      </c>
      <c r="C344" s="3" t="s">
        <v>1260</v>
      </c>
      <c r="D344" s="3" t="s">
        <v>1261</v>
      </c>
      <c r="E344" s="3" t="s">
        <v>1253</v>
      </c>
      <c r="F344" s="5">
        <v>646293507555556</v>
      </c>
      <c r="G344" s="5">
        <v>607659527294656</v>
      </c>
      <c r="H344" s="5">
        <v>544210007765381</v>
      </c>
      <c r="I344" s="5">
        <v>469367215455395</v>
      </c>
      <c r="J344" s="5">
        <v>378680161066668</v>
      </c>
      <c r="K344" s="5">
        <v>329878268403042</v>
      </c>
      <c r="L344" s="5">
        <v>283538761606896</v>
      </c>
      <c r="M344" s="5">
        <v>262440627062055</v>
      </c>
      <c r="N344" s="5">
        <v>260743606880004</v>
      </c>
      <c r="O344" s="5">
        <v>234803965305551</v>
      </c>
      <c r="P344" s="5">
        <v>217304072681025</v>
      </c>
    </row>
    <row r="345" spans="1:16" x14ac:dyDescent="0.45">
      <c r="A345" s="1" t="s">
        <v>339</v>
      </c>
      <c r="B345" s="2">
        <v>4677071</v>
      </c>
      <c r="C345" s="3" t="s">
        <v>1262</v>
      </c>
      <c r="D345" s="3" t="s">
        <v>1263</v>
      </c>
      <c r="E345" s="3" t="s">
        <v>483</v>
      </c>
      <c r="F345" s="5">
        <v>198106115555556</v>
      </c>
      <c r="G345" s="5">
        <v>184621155664122</v>
      </c>
      <c r="H345" s="5">
        <v>161407171307691</v>
      </c>
      <c r="I345" s="5">
        <v>145027913115388</v>
      </c>
      <c r="J345" s="5" t="s">
        <v>1264</v>
      </c>
      <c r="K345" s="5">
        <v>949844655648823</v>
      </c>
      <c r="L345" s="5">
        <v>118661517559387</v>
      </c>
      <c r="M345" s="5">
        <v>118355011862063</v>
      </c>
      <c r="N345" s="5">
        <v>107330217600001</v>
      </c>
      <c r="O345" s="5">
        <v>961190052777758</v>
      </c>
      <c r="P345" s="5">
        <v>931918203849386</v>
      </c>
    </row>
    <row r="346" spans="1:16" x14ac:dyDescent="0.45">
      <c r="A346" s="1" t="s">
        <v>340</v>
      </c>
      <c r="B346" s="2">
        <v>4070608</v>
      </c>
      <c r="C346" s="3" t="s">
        <v>1265</v>
      </c>
      <c r="D346" s="3" t="s">
        <v>1266</v>
      </c>
      <c r="E346" s="3" t="s">
        <v>1267</v>
      </c>
      <c r="F346" s="5">
        <v>240171432139927</v>
      </c>
      <c r="G346" s="5">
        <v>213193051407713</v>
      </c>
      <c r="H346" s="5">
        <v>190100048760818</v>
      </c>
      <c r="I346" s="5">
        <v>198468565648616</v>
      </c>
      <c r="J346" s="5">
        <v>165154448357685</v>
      </c>
      <c r="K346" s="5">
        <v>192208524064598</v>
      </c>
      <c r="L346" s="5">
        <v>173972036847704</v>
      </c>
      <c r="M346" s="5">
        <v>179414488264793</v>
      </c>
      <c r="N346" s="5">
        <v>163258256503993</v>
      </c>
      <c r="O346" s="5">
        <v>147261976214766</v>
      </c>
      <c r="P346" s="5">
        <v>113804335736539</v>
      </c>
    </row>
    <row r="347" spans="1:16" x14ac:dyDescent="0.45">
      <c r="A347" s="1" t="s">
        <v>341</v>
      </c>
      <c r="B347" s="2">
        <v>4980858</v>
      </c>
      <c r="C347" s="3" t="s">
        <v>1268</v>
      </c>
      <c r="D347" s="3" t="s">
        <v>1269</v>
      </c>
      <c r="E347" s="3" t="s">
        <v>632</v>
      </c>
      <c r="F347" s="5">
        <v>435932711111111</v>
      </c>
      <c r="G347" s="5">
        <v>381483818244274</v>
      </c>
      <c r="H347" s="5">
        <v>267655485769229</v>
      </c>
      <c r="I347" s="5">
        <v>-717291220000016</v>
      </c>
      <c r="J347" s="5">
        <v>-32721560888889</v>
      </c>
      <c r="K347" s="5">
        <v>-261676457426251</v>
      </c>
      <c r="L347" s="5">
        <v>186054702463639</v>
      </c>
      <c r="M347" s="5">
        <v>16059810572275</v>
      </c>
      <c r="N347" s="5">
        <v>154676838528002</v>
      </c>
      <c r="O347" s="5">
        <v>134324026924997</v>
      </c>
      <c r="P347" s="5">
        <v>115939585529248</v>
      </c>
    </row>
    <row r="348" spans="1:16" x14ac:dyDescent="0.45">
      <c r="A348" s="1" t="s">
        <v>342</v>
      </c>
      <c r="B348" s="2">
        <v>4001600</v>
      </c>
      <c r="C348" s="3" t="s">
        <v>1270</v>
      </c>
      <c r="D348" s="3" t="s">
        <v>1271</v>
      </c>
      <c r="E348" s="3" t="s">
        <v>604</v>
      </c>
      <c r="F348" s="5">
        <v>917860355555556</v>
      </c>
      <c r="G348" s="5">
        <v>771196444007633</v>
      </c>
      <c r="H348" s="5">
        <v>493969574807689</v>
      </c>
      <c r="I348" s="5">
        <v>698930847923093</v>
      </c>
      <c r="J348" s="5">
        <v>561376106666668</v>
      </c>
      <c r="K348" s="5">
        <v>154813539312972</v>
      </c>
      <c r="L348" s="5">
        <v>512326886398466</v>
      </c>
      <c r="M348" s="5">
        <v>309194416551708</v>
      </c>
      <c r="N348" s="5">
        <v>72236376000001</v>
      </c>
      <c r="O348" s="5">
        <v>730363394444429</v>
      </c>
      <c r="P348" s="5">
        <v>740527640708781</v>
      </c>
    </row>
    <row r="349" spans="1:16" x14ac:dyDescent="0.45">
      <c r="A349" s="1" t="s">
        <v>343</v>
      </c>
      <c r="B349" s="2">
        <v>4023623</v>
      </c>
      <c r="C349" s="3" t="s">
        <v>1272</v>
      </c>
      <c r="D349" s="3" t="s">
        <v>1273</v>
      </c>
      <c r="E349" s="3" t="s">
        <v>885</v>
      </c>
      <c r="F349" s="5">
        <v>572942666666667</v>
      </c>
      <c r="G349" s="5">
        <v>53551969832061</v>
      </c>
      <c r="H349" s="5">
        <v>422940060961535</v>
      </c>
      <c r="I349" s="5">
        <v>374913089923085</v>
      </c>
      <c r="J349" s="5">
        <v>383387057777779</v>
      </c>
      <c r="K349" s="5">
        <v>339449516793882</v>
      </c>
      <c r="L349" s="5">
        <v>29229879203065</v>
      </c>
      <c r="M349" s="5">
        <v>250966191724125</v>
      </c>
      <c r="N349" s="5">
        <v>243980688000003</v>
      </c>
      <c r="O349" s="5">
        <v>206957391666662</v>
      </c>
      <c r="P349" s="5">
        <v>185064302662828</v>
      </c>
    </row>
    <row r="350" spans="1:16" x14ac:dyDescent="0.45">
      <c r="A350" s="1" t="s">
        <v>344</v>
      </c>
      <c r="B350" s="2">
        <v>4205848</v>
      </c>
      <c r="C350" s="3" t="s">
        <v>1274</v>
      </c>
      <c r="D350" s="3" t="s">
        <v>1275</v>
      </c>
      <c r="E350" s="3" t="s">
        <v>483</v>
      </c>
      <c r="F350" s="5">
        <v>712083913969475</v>
      </c>
      <c r="G350" s="5">
        <v>554214741915694</v>
      </c>
      <c r="H350" s="5">
        <v>177411450344834</v>
      </c>
      <c r="I350" s="5">
        <v>466298868965519</v>
      </c>
      <c r="J350" s="5">
        <v>396106024999983</v>
      </c>
      <c r="K350" s="5">
        <v>414655172030653</v>
      </c>
      <c r="L350" s="5">
        <v>456052858237533</v>
      </c>
      <c r="M350" s="5">
        <v>397902820689661</v>
      </c>
      <c r="N350" s="5">
        <v>197475799236632</v>
      </c>
      <c r="O350" s="5">
        <v>709905330092291</v>
      </c>
      <c r="P350" s="5">
        <v>-111355976929615</v>
      </c>
    </row>
    <row r="351" spans="1:16" x14ac:dyDescent="0.45">
      <c r="A351" s="1" t="s">
        <v>345</v>
      </c>
      <c r="B351" s="2">
        <v>4829067</v>
      </c>
      <c r="C351" s="3" t="s">
        <v>1276</v>
      </c>
      <c r="D351" s="3" t="s">
        <v>1277</v>
      </c>
      <c r="E351" s="3" t="s">
        <v>536</v>
      </c>
      <c r="F351" s="5">
        <v>134560348711111</v>
      </c>
      <c r="G351" s="5">
        <v>141005054848053</v>
      </c>
      <c r="H351" s="5">
        <v>994357702038454</v>
      </c>
      <c r="I351" s="5">
        <v>921098009256175</v>
      </c>
      <c r="J351" s="5">
        <v>688317659466669</v>
      </c>
      <c r="K351" s="5">
        <v>590047464719064</v>
      </c>
      <c r="L351" s="5">
        <v>548003955033331</v>
      </c>
      <c r="M351" s="5">
        <v>48253229846894</v>
      </c>
      <c r="N351" s="5">
        <v>435237246880006</v>
      </c>
      <c r="O351" s="5">
        <v>388253513388881</v>
      </c>
      <c r="P351" s="5">
        <v>362250977751517</v>
      </c>
    </row>
    <row r="352" spans="1:16" x14ac:dyDescent="0.45">
      <c r="A352" s="1" t="s">
        <v>346</v>
      </c>
      <c r="B352" s="2">
        <v>4794937</v>
      </c>
      <c r="C352" s="3" t="s">
        <v>1278</v>
      </c>
      <c r="D352" s="3" t="s">
        <v>1279</v>
      </c>
      <c r="E352" s="3" t="s">
        <v>561</v>
      </c>
      <c r="F352" s="5">
        <v>177435248923071</v>
      </c>
      <c r="G352" s="5">
        <v>401305945384614</v>
      </c>
      <c r="H352" s="5">
        <v>-118552694252875</v>
      </c>
      <c r="I352" s="5">
        <v>173981527709931</v>
      </c>
      <c r="J352" s="5">
        <v>125788802281363</v>
      </c>
      <c r="K352" s="5">
        <v>124972851924526</v>
      </c>
      <c r="L352" s="5">
        <v>128429168653844</v>
      </c>
      <c r="M352" s="5">
        <v>145061764230763</v>
      </c>
      <c r="N352" s="5">
        <v>113066658390804</v>
      </c>
      <c r="O352" s="5">
        <v>606617250380215</v>
      </c>
      <c r="P352" s="5">
        <v>123141811856058</v>
      </c>
    </row>
    <row r="353" spans="1:16" x14ac:dyDescent="0.45">
      <c r="A353" s="1" t="s">
        <v>347</v>
      </c>
      <c r="B353" s="2">
        <v>4057062</v>
      </c>
      <c r="C353" s="3" t="s">
        <v>1280</v>
      </c>
      <c r="D353" s="3" t="s">
        <v>1281</v>
      </c>
      <c r="E353" s="3" t="s">
        <v>528</v>
      </c>
      <c r="F353" s="5">
        <v>260372088888889</v>
      </c>
      <c r="G353" s="5">
        <v>264523801259542</v>
      </c>
      <c r="H353" s="5">
        <v>333875709615382</v>
      </c>
      <c r="I353" s="5">
        <v>237638390923082</v>
      </c>
      <c r="J353" s="5">
        <v>235175644444445</v>
      </c>
      <c r="K353" s="5">
        <v>239456635877854</v>
      </c>
      <c r="L353" s="5">
        <v>222886762260536</v>
      </c>
      <c r="M353" s="5">
        <v>17214195724137</v>
      </c>
      <c r="N353" s="5">
        <v>180568768000002</v>
      </c>
      <c r="O353" s="5">
        <v>14701298333333</v>
      </c>
      <c r="P353" s="5">
        <v>173075236781602</v>
      </c>
    </row>
    <row r="354" spans="1:16" x14ac:dyDescent="0.45">
      <c r="A354" s="1" t="s">
        <v>348</v>
      </c>
      <c r="B354" s="2">
        <v>4587650</v>
      </c>
      <c r="C354" s="3" t="s">
        <v>1282</v>
      </c>
      <c r="D354" s="3" t="s">
        <v>1283</v>
      </c>
      <c r="E354" s="3" t="s">
        <v>910</v>
      </c>
      <c r="F354" s="5">
        <v>177244444444445</v>
      </c>
      <c r="G354" s="5">
        <v>129164540496183</v>
      </c>
      <c r="H354" s="5">
        <v>739890769230764</v>
      </c>
      <c r="I354" s="5">
        <v>360548239230777</v>
      </c>
      <c r="J354" s="5">
        <v>217410577777778</v>
      </c>
      <c r="K354" s="5">
        <v>174548976335872</v>
      </c>
      <c r="L354" s="5">
        <v>375200160919539</v>
      </c>
      <c r="M354" s="5">
        <v>-359591072275843</v>
      </c>
      <c r="N354" s="5">
        <v>-571115244800008</v>
      </c>
      <c r="O354" s="5">
        <v>-100511311999998</v>
      </c>
      <c r="P354" s="5">
        <v>-149966988370683</v>
      </c>
    </row>
    <row r="355" spans="1:16" x14ac:dyDescent="0.45">
      <c r="A355" s="1" t="s">
        <v>349</v>
      </c>
      <c r="B355" s="2">
        <v>103117</v>
      </c>
      <c r="C355" s="3" t="s">
        <v>1284</v>
      </c>
      <c r="D355" s="3" t="s">
        <v>1285</v>
      </c>
      <c r="E355" s="3" t="s">
        <v>893</v>
      </c>
      <c r="F355" s="5">
        <v>281410649955556</v>
      </c>
      <c r="G355" s="5">
        <v>285955314379694</v>
      </c>
      <c r="H355" s="5">
        <v>25961120835346</v>
      </c>
      <c r="I355" s="5">
        <v>245777172852083</v>
      </c>
      <c r="J355" s="5">
        <v>203967498044445</v>
      </c>
      <c r="K355" s="5">
        <v>172497280302971</v>
      </c>
      <c r="L355" s="5">
        <v>252687213708313</v>
      </c>
      <c r="M355" s="5">
        <v>248025030691021</v>
      </c>
      <c r="N355" s="5">
        <v>248533929920003</v>
      </c>
      <c r="O355" s="5">
        <v>246000640477773</v>
      </c>
      <c r="P355" s="5">
        <v>240229600516446</v>
      </c>
    </row>
    <row r="356" spans="1:16" x14ac:dyDescent="0.45">
      <c r="A356" s="1" t="s">
        <v>350</v>
      </c>
      <c r="B356" s="2">
        <v>4967090</v>
      </c>
      <c r="C356" s="3" t="s">
        <v>1286</v>
      </c>
      <c r="D356" s="3" t="s">
        <v>1287</v>
      </c>
      <c r="E356" s="3" t="s">
        <v>486</v>
      </c>
      <c r="F356" s="5">
        <v>463380595416657</v>
      </c>
      <c r="G356" s="5">
        <v>72639921346155</v>
      </c>
      <c r="H356" s="5">
        <v>108109587919234</v>
      </c>
      <c r="I356" s="5">
        <v>144076925015326</v>
      </c>
      <c r="J356" s="5">
        <v>135704524396946</v>
      </c>
      <c r="K356" s="5">
        <v>808807139393919</v>
      </c>
      <c r="L356" s="5">
        <v>849921253384607</v>
      </c>
      <c r="M356" s="5">
        <v>110974663457687</v>
      </c>
      <c r="N356" s="5">
        <v>113615805721153</v>
      </c>
      <c r="O356" s="5">
        <v>101171903988548</v>
      </c>
      <c r="P356" s="5">
        <v>89620455960072</v>
      </c>
    </row>
    <row r="357" spans="1:16" x14ac:dyDescent="0.45">
      <c r="A357" s="1" t="s">
        <v>351</v>
      </c>
      <c r="B357" s="2">
        <v>4011047</v>
      </c>
      <c r="C357" s="3" t="s">
        <v>1288</v>
      </c>
      <c r="D357" s="3" t="s">
        <v>1289</v>
      </c>
      <c r="E357" s="3" t="s">
        <v>607</v>
      </c>
      <c r="F357" s="5">
        <v>498411377777778</v>
      </c>
      <c r="G357" s="5">
        <v>58886825942748</v>
      </c>
      <c r="H357" s="5">
        <v>508582417499996</v>
      </c>
      <c r="I357" s="5">
        <v>394890696846163</v>
      </c>
      <c r="J357" s="5">
        <v>233906711111112</v>
      </c>
      <c r="K357" s="5">
        <v>145252816488545</v>
      </c>
      <c r="L357" s="5">
        <v>265230780421455</v>
      </c>
      <c r="M357" s="5">
        <v>270460357241365</v>
      </c>
      <c r="N357" s="5">
        <v>259235024000004</v>
      </c>
      <c r="O357" s="5">
        <v>206595736111107</v>
      </c>
      <c r="P357" s="5">
        <v>501737899961665</v>
      </c>
    </row>
    <row r="358" spans="1:16" x14ac:dyDescent="0.45">
      <c r="A358" s="1" t="s">
        <v>352</v>
      </c>
      <c r="B358" s="2">
        <v>4217596</v>
      </c>
      <c r="C358" s="3" t="s">
        <v>1290</v>
      </c>
      <c r="D358" s="3" t="s">
        <v>1291</v>
      </c>
      <c r="E358" s="3" t="s">
        <v>524</v>
      </c>
      <c r="F358" s="5">
        <v>199754488888889</v>
      </c>
      <c r="G358" s="5">
        <v>132585505419847</v>
      </c>
      <c r="H358" s="5">
        <v>132532934038461</v>
      </c>
      <c r="I358" s="5">
        <v>163721245307696</v>
      </c>
      <c r="J358" s="5">
        <v>104390915555556</v>
      </c>
      <c r="K358" s="5">
        <v>910000</v>
      </c>
      <c r="L358" s="5">
        <v>1045000</v>
      </c>
      <c r="M358" s="5">
        <v>1087000</v>
      </c>
      <c r="N358" s="5">
        <v>796000</v>
      </c>
      <c r="O358" s="5">
        <v>808000</v>
      </c>
      <c r="P358" s="5">
        <v>760000</v>
      </c>
    </row>
    <row r="359" spans="1:16" x14ac:dyDescent="0.45">
      <c r="A359" s="1" t="s">
        <v>353</v>
      </c>
      <c r="B359" s="2">
        <v>4007403</v>
      </c>
      <c r="C359" s="3" t="s">
        <v>1292</v>
      </c>
      <c r="D359" s="3" t="s">
        <v>1293</v>
      </c>
      <c r="E359" s="3" t="s">
        <v>809</v>
      </c>
      <c r="F359" s="5">
        <v>115962965977186</v>
      </c>
      <c r="G359" s="5">
        <v>12479566243077</v>
      </c>
      <c r="H359" s="5">
        <v>124671594615384</v>
      </c>
      <c r="I359" s="5">
        <v>118276946130772</v>
      </c>
      <c r="J359" s="5">
        <v>963289591111114</v>
      </c>
      <c r="K359" s="5">
        <v>781412705247124</v>
      </c>
      <c r="L359" s="5">
        <v>868692976833972</v>
      </c>
      <c r="M359" s="5">
        <v>81323516461534</v>
      </c>
      <c r="N359" s="5">
        <v>781518656000011</v>
      </c>
      <c r="O359" s="5">
        <v>772948336111095</v>
      </c>
      <c r="P359" s="5">
        <v>689021409198447</v>
      </c>
    </row>
    <row r="360" spans="1:16" x14ac:dyDescent="0.45">
      <c r="A360" s="1" t="s">
        <v>354</v>
      </c>
      <c r="B360" s="2">
        <v>4121199</v>
      </c>
      <c r="C360" s="3" t="s">
        <v>1294</v>
      </c>
      <c r="D360" s="3" t="s">
        <v>1295</v>
      </c>
      <c r="E360" s="3" t="s">
        <v>789</v>
      </c>
      <c r="F360" s="5">
        <v>423614222222222</v>
      </c>
      <c r="G360" s="5">
        <v>263506757633587</v>
      </c>
      <c r="H360" s="5">
        <v>205319688461537</v>
      </c>
      <c r="I360" s="5">
        <v>960827761538483</v>
      </c>
      <c r="J360" s="5">
        <v>-955083822222225</v>
      </c>
      <c r="K360" s="5">
        <v>-352167909541973</v>
      </c>
      <c r="L360" s="5">
        <v>263354779616857</v>
      </c>
      <c r="M360" s="5">
        <v>269528027586193</v>
      </c>
      <c r="N360" s="5">
        <v>297459552000004</v>
      </c>
      <c r="O360" s="5">
        <v>346375608333326</v>
      </c>
      <c r="P360" s="5">
        <v>356697245804583</v>
      </c>
    </row>
    <row r="361" spans="1:16" x14ac:dyDescent="0.45">
      <c r="A361" s="1" t="s">
        <v>355</v>
      </c>
      <c r="B361" s="2">
        <v>4102347</v>
      </c>
      <c r="C361" s="3" t="s">
        <v>1296</v>
      </c>
      <c r="D361" s="3" t="s">
        <v>1297</v>
      </c>
      <c r="E361" s="3" t="s">
        <v>809</v>
      </c>
      <c r="F361" s="5">
        <v>104002540882129</v>
      </c>
      <c r="G361" s="5">
        <v>953574914307696</v>
      </c>
      <c r="H361" s="5">
        <v>328788960576921</v>
      </c>
      <c r="I361" s="5">
        <v>865220642692327</v>
      </c>
      <c r="J361" s="5">
        <v>161662106666667</v>
      </c>
      <c r="K361" s="5">
        <v>183282537901135</v>
      </c>
      <c r="L361" s="5">
        <v>139425044111968</v>
      </c>
      <c r="M361" s="5">
        <v>143392444615377</v>
      </c>
      <c r="N361" s="5">
        <v>138344411200002</v>
      </c>
      <c r="O361" s="5">
        <v>132971706388886</v>
      </c>
      <c r="P361" s="5">
        <v>12373176555343</v>
      </c>
    </row>
    <row r="362" spans="1:16" x14ac:dyDescent="0.45">
      <c r="A362" s="1" t="s">
        <v>356</v>
      </c>
      <c r="B362" s="2">
        <v>4071032</v>
      </c>
      <c r="C362" s="3" t="s">
        <v>1298</v>
      </c>
      <c r="D362" s="3" t="s">
        <v>1299</v>
      </c>
      <c r="E362" s="3" t="s">
        <v>702</v>
      </c>
      <c r="F362" s="5">
        <v>333897793783774</v>
      </c>
      <c r="G362" s="5">
        <v>473340325673084</v>
      </c>
      <c r="H362" s="5">
        <v>518013000780784</v>
      </c>
      <c r="I362" s="5">
        <v>411040543601532</v>
      </c>
      <c r="J362" s="5">
        <v>393456087755725</v>
      </c>
      <c r="K362" s="5">
        <v>143012775428567</v>
      </c>
      <c r="L362" s="5">
        <v>34710436502692</v>
      </c>
      <c r="M362" s="5">
        <v>320297375380754</v>
      </c>
      <c r="N362" s="5">
        <v>35331423807692</v>
      </c>
      <c r="O362" s="5">
        <v>34702818549236</v>
      </c>
      <c r="P362" s="5">
        <v>292454003965105</v>
      </c>
    </row>
    <row r="363" spans="1:16" x14ac:dyDescent="0.45">
      <c r="A363" s="1" t="s">
        <v>357</v>
      </c>
      <c r="B363" s="2">
        <v>4120616</v>
      </c>
      <c r="C363" s="3" t="s">
        <v>1300</v>
      </c>
      <c r="D363" s="3" t="s">
        <v>1301</v>
      </c>
      <c r="E363" s="3" t="s">
        <v>1164</v>
      </c>
      <c r="F363" s="5">
        <v>130805159288889</v>
      </c>
      <c r="G363" s="5">
        <v>179650308713015</v>
      </c>
      <c r="H363" s="5">
        <v>291441216759421</v>
      </c>
      <c r="I363" s="5">
        <v>484392468753703</v>
      </c>
      <c r="J363" s="5">
        <v>363854366977779</v>
      </c>
      <c r="K363" s="5">
        <v>760078341672493</v>
      </c>
      <c r="L363" s="5">
        <v>881613178114939</v>
      </c>
      <c r="M363" s="5">
        <v>145986635366889</v>
      </c>
      <c r="N363" s="5">
        <v>946195421280013</v>
      </c>
      <c r="O363" s="5">
        <v>778287276249984</v>
      </c>
      <c r="P363" s="5">
        <v>320654327744814</v>
      </c>
    </row>
    <row r="364" spans="1:16" x14ac:dyDescent="0.45">
      <c r="A364" s="1" t="s">
        <v>358</v>
      </c>
      <c r="B364" s="2">
        <v>4810920</v>
      </c>
      <c r="C364" s="3" t="s">
        <v>1302</v>
      </c>
      <c r="D364" s="3" t="s">
        <v>1303</v>
      </c>
      <c r="E364" s="3" t="s">
        <v>474</v>
      </c>
      <c r="F364" s="5">
        <v>920817364599595</v>
      </c>
      <c r="G364" s="5">
        <v>835451458335017</v>
      </c>
      <c r="H364" s="5">
        <v>780486152423004</v>
      </c>
      <c r="I364" s="5">
        <v>585279987552491</v>
      </c>
      <c r="J364" s="5">
        <v>498597549020674</v>
      </c>
      <c r="K364" s="5">
        <v>491337097465649</v>
      </c>
      <c r="L364" s="5">
        <v>403656391401139</v>
      </c>
      <c r="M364" s="5">
        <v>356154179719225</v>
      </c>
      <c r="N364" s="5">
        <v>287160576308039</v>
      </c>
      <c r="O364" s="5">
        <v>26725692853435</v>
      </c>
      <c r="P364" s="5">
        <v>21021679897758</v>
      </c>
    </row>
    <row r="365" spans="1:16" x14ac:dyDescent="0.45">
      <c r="A365" s="1" t="s">
        <v>359</v>
      </c>
      <c r="B365" s="2">
        <v>4321488</v>
      </c>
      <c r="C365" s="3" t="s">
        <v>1304</v>
      </c>
      <c r="D365" s="3" t="s">
        <v>1305</v>
      </c>
      <c r="E365" s="3" t="s">
        <v>474</v>
      </c>
      <c r="F365" s="5">
        <v>510109511111111</v>
      </c>
      <c r="G365" s="5">
        <v>458224382748091</v>
      </c>
      <c r="H365" s="5">
        <v>38048882807692</v>
      </c>
      <c r="I365" s="5">
        <v>338002082846161</v>
      </c>
      <c r="J365" s="5">
        <v>309281351111112</v>
      </c>
      <c r="K365" s="5">
        <v>257350098778617</v>
      </c>
      <c r="L365" s="5">
        <v>303554796858236</v>
      </c>
      <c r="M365" s="5">
        <v>245287456551711</v>
      </c>
      <c r="N365" s="5">
        <v>241320048000003</v>
      </c>
      <c r="O365" s="5">
        <v>233267833333328</v>
      </c>
      <c r="P365" s="5">
        <v>204625410153248</v>
      </c>
    </row>
    <row r="366" spans="1:16" x14ac:dyDescent="0.45">
      <c r="A366" s="1" t="s">
        <v>360</v>
      </c>
      <c r="B366" s="2">
        <v>4276821</v>
      </c>
      <c r="C366" s="3" t="s">
        <v>1306</v>
      </c>
      <c r="D366" s="3" t="s">
        <v>1307</v>
      </c>
      <c r="E366" s="3" t="s">
        <v>561</v>
      </c>
      <c r="F366" s="5">
        <v>115280920847353</v>
      </c>
      <c r="G366" s="5">
        <v>111956406616846</v>
      </c>
      <c r="H366" s="5">
        <v>727705119427595</v>
      </c>
      <c r="I366" s="5">
        <v>297724993605759</v>
      </c>
      <c r="J366" s="5">
        <v>103935685616088</v>
      </c>
      <c r="K366" s="5">
        <v>774710679946553</v>
      </c>
      <c r="L366" s="5">
        <v>852392720526906</v>
      </c>
      <c r="M366" s="5">
        <v>794183811407657</v>
      </c>
      <c r="N366" s="5">
        <v>870714221982754</v>
      </c>
      <c r="O366" s="5">
        <v>968900488553418</v>
      </c>
      <c r="P366" s="5">
        <v>110944326655552</v>
      </c>
    </row>
    <row r="367" spans="1:16" x14ac:dyDescent="0.45">
      <c r="A367" s="1" t="s">
        <v>361</v>
      </c>
      <c r="B367" s="2">
        <v>4089979</v>
      </c>
      <c r="C367" s="3" t="s">
        <v>1308</v>
      </c>
      <c r="D367" s="3" t="s">
        <v>1309</v>
      </c>
      <c r="E367" s="3" t="s">
        <v>483</v>
      </c>
      <c r="F367" s="5">
        <v>824372713631762</v>
      </c>
      <c r="G367" s="5">
        <v>129642302265463</v>
      </c>
      <c r="H367" s="5">
        <v>123596678137934</v>
      </c>
      <c r="I367" s="5">
        <v>10872159638908</v>
      </c>
      <c r="J367" s="5">
        <v>643538224592301</v>
      </c>
      <c r="K367" s="5">
        <v>583196870038297</v>
      </c>
      <c r="L367" s="5">
        <v>50473981381839</v>
      </c>
      <c r="M367" s="5">
        <v>336281760601522</v>
      </c>
      <c r="N367" s="5">
        <v>353315871478156</v>
      </c>
      <c r="O367" s="5">
        <v>294957391484286</v>
      </c>
      <c r="P367" s="5">
        <v>248280056569988</v>
      </c>
    </row>
    <row r="368" spans="1:16" x14ac:dyDescent="0.45">
      <c r="A368" s="1" t="s">
        <v>362</v>
      </c>
      <c r="B368" s="2">
        <v>4064204</v>
      </c>
      <c r="C368" s="3" t="s">
        <v>1310</v>
      </c>
      <c r="D368" s="3" t="s">
        <v>1311</v>
      </c>
      <c r="E368" s="3" t="s">
        <v>1312</v>
      </c>
      <c r="F368" s="5">
        <v>31934663576922</v>
      </c>
      <c r="G368" s="5">
        <v>317068683576922</v>
      </c>
      <c r="H368" s="5">
        <v>285386929310348</v>
      </c>
      <c r="I368" s="5">
        <v>210323940801535</v>
      </c>
      <c r="J368" s="5">
        <v>123015997783075</v>
      </c>
      <c r="K368" s="5">
        <v>852783397979985</v>
      </c>
      <c r="L368" s="5">
        <v>20121475627038</v>
      </c>
      <c r="M368" s="5">
        <v>197058943992453</v>
      </c>
      <c r="N368" s="5">
        <v>18843366239816</v>
      </c>
      <c r="O368" s="5">
        <v>181106165986916</v>
      </c>
      <c r="P368" s="5">
        <v>149785607458103</v>
      </c>
    </row>
    <row r="369" spans="1:16" x14ac:dyDescent="0.45">
      <c r="A369" s="1" t="s">
        <v>363</v>
      </c>
      <c r="B369" s="2">
        <v>4091145</v>
      </c>
      <c r="C369" s="3" t="s">
        <v>1313</v>
      </c>
      <c r="D369" s="3" t="s">
        <v>1314</v>
      </c>
      <c r="E369" s="3" t="s">
        <v>1315</v>
      </c>
      <c r="F369" s="5">
        <v>172015733333333</v>
      </c>
      <c r="G369" s="5">
        <v>168154294774809</v>
      </c>
      <c r="H369" s="5">
        <v>141920298173076</v>
      </c>
      <c r="I369" s="5">
        <v>123499663369234</v>
      </c>
      <c r="J369" s="5">
        <v>845870960000003</v>
      </c>
      <c r="K369" s="5">
        <v>826870954732796</v>
      </c>
      <c r="L369" s="5">
        <v>566552242988504</v>
      </c>
      <c r="M369" s="5">
        <v>466588613793079</v>
      </c>
      <c r="N369" s="5">
        <v>412665264000006</v>
      </c>
      <c r="O369" s="5">
        <v>309215499999994</v>
      </c>
      <c r="P369" s="5">
        <v>25032808986589</v>
      </c>
    </row>
    <row r="370" spans="1:16" x14ac:dyDescent="0.45">
      <c r="A370" s="1" t="s">
        <v>364</v>
      </c>
      <c r="B370" s="2">
        <v>4055767</v>
      </c>
      <c r="C370" s="3" t="s">
        <v>1316</v>
      </c>
      <c r="D370" s="3" t="s">
        <v>1317</v>
      </c>
      <c r="E370" s="3" t="s">
        <v>542</v>
      </c>
      <c r="F370" s="5">
        <v>209981493333333</v>
      </c>
      <c r="G370" s="5">
        <v>217369960419847</v>
      </c>
      <c r="H370" s="5">
        <v>176075505807691</v>
      </c>
      <c r="I370" s="5">
        <v>227221495884621</v>
      </c>
      <c r="J370" s="5">
        <v>316548109333334</v>
      </c>
      <c r="K370" s="5">
        <v>240833730816786</v>
      </c>
      <c r="L370" s="5">
        <v>213238758122605</v>
      </c>
      <c r="M370" s="5">
        <v>198857439724128</v>
      </c>
      <c r="N370" s="5">
        <v>182590854400003</v>
      </c>
      <c r="O370" s="5">
        <v>162708834444441</v>
      </c>
      <c r="P370" s="5">
        <v>171173212044054</v>
      </c>
    </row>
    <row r="371" spans="1:16" x14ac:dyDescent="0.45">
      <c r="A371" s="1" t="s">
        <v>365</v>
      </c>
      <c r="B371" s="2">
        <v>4965854</v>
      </c>
      <c r="C371" s="3" t="s">
        <v>1318</v>
      </c>
      <c r="D371" s="3" t="s">
        <v>1319</v>
      </c>
      <c r="E371" s="3" t="s">
        <v>833</v>
      </c>
      <c r="F371" s="5">
        <v>-424147860536389</v>
      </c>
      <c r="G371" s="5">
        <v>-421041221307701</v>
      </c>
      <c r="H371" s="5">
        <v>-553856685977022</v>
      </c>
      <c r="I371" s="5">
        <v>46924479118774</v>
      </c>
      <c r="J371" s="5">
        <v>573600662068947</v>
      </c>
      <c r="K371" s="5">
        <v>382805259160305</v>
      </c>
      <c r="L371" s="5">
        <v>180710071469224</v>
      </c>
      <c r="M371" s="5">
        <v>129540250342306</v>
      </c>
      <c r="N371" s="5">
        <v>101664797898848</v>
      </c>
      <c r="O371" s="5">
        <v>753107951755723</v>
      </c>
      <c r="P371" s="5">
        <v>-18593439324827</v>
      </c>
    </row>
    <row r="372" spans="1:16" x14ac:dyDescent="0.45">
      <c r="A372" s="1" t="s">
        <v>366</v>
      </c>
      <c r="B372" s="2">
        <v>4112718</v>
      </c>
      <c r="C372" s="3" t="s">
        <v>1320</v>
      </c>
      <c r="D372" s="3" t="s">
        <v>1321</v>
      </c>
      <c r="E372" s="3" t="s">
        <v>1075</v>
      </c>
      <c r="F372" s="5">
        <v>129606878142304</v>
      </c>
      <c r="G372" s="5">
        <v>116166050503846</v>
      </c>
      <c r="H372" s="5">
        <v>112089660275863</v>
      </c>
      <c r="I372" s="5">
        <v>104477773381684</v>
      </c>
      <c r="J372" s="5">
        <v>886894915285133</v>
      </c>
      <c r="K372" s="5">
        <v>106650616846152</v>
      </c>
      <c r="L372" s="5">
        <v>718589689730754</v>
      </c>
      <c r="M372" s="5">
        <v>832721607269194</v>
      </c>
      <c r="N372" s="5">
        <v>745762715977008</v>
      </c>
      <c r="O372" s="5">
        <v>699998449695803</v>
      </c>
      <c r="P372" s="5">
        <v>524717332567551</v>
      </c>
    </row>
    <row r="373" spans="1:16" x14ac:dyDescent="0.45">
      <c r="A373" s="1" t="s">
        <v>367</v>
      </c>
      <c r="B373" s="2">
        <v>4276678</v>
      </c>
      <c r="C373" s="3" t="s">
        <v>1322</v>
      </c>
      <c r="D373" s="3" t="s">
        <v>1323</v>
      </c>
      <c r="E373" s="3" t="s">
        <v>1043</v>
      </c>
      <c r="F373" s="5">
        <v>295218346666667</v>
      </c>
      <c r="G373" s="5">
        <v>249212671763358</v>
      </c>
      <c r="H373" s="5">
        <v>242887642269229</v>
      </c>
      <c r="I373" s="5">
        <v>164482297000004</v>
      </c>
      <c r="J373" s="5">
        <v>111420806222223</v>
      </c>
      <c r="K373" s="5">
        <v>109913227259538</v>
      </c>
      <c r="L373" s="5">
        <v>464265532452106</v>
      </c>
      <c r="M373" s="5">
        <v>379203897931015</v>
      </c>
      <c r="N373" s="5">
        <v>240787920000003</v>
      </c>
      <c r="O373" s="5">
        <v>243122947222217</v>
      </c>
      <c r="P373" s="5">
        <v>427009060747109</v>
      </c>
    </row>
    <row r="374" spans="1:16" x14ac:dyDescent="0.45">
      <c r="A374" s="1" t="s">
        <v>368</v>
      </c>
      <c r="B374" s="2">
        <v>4094305</v>
      </c>
      <c r="C374" s="3" t="s">
        <v>1324</v>
      </c>
      <c r="D374" s="3" t="s">
        <v>1325</v>
      </c>
      <c r="E374" s="3" t="s">
        <v>753</v>
      </c>
      <c r="F374" s="5">
        <v>533087605305351</v>
      </c>
      <c r="G374" s="5">
        <v>545070490494282</v>
      </c>
      <c r="H374" s="5">
        <v>378226633204647</v>
      </c>
      <c r="I374" s="5">
        <v>770948952923081</v>
      </c>
      <c r="J374" s="5">
        <v>575267827076898</v>
      </c>
      <c r="K374" s="5">
        <v>423431890574714</v>
      </c>
      <c r="L374" s="5">
        <v>360354170038156</v>
      </c>
      <c r="M374" s="5">
        <v>383109013916354</v>
      </c>
      <c r="N374" s="5">
        <v>45237716999998</v>
      </c>
      <c r="O374" s="5">
        <v>462536331076912</v>
      </c>
      <c r="P374" s="5">
        <v>356243088115385</v>
      </c>
    </row>
    <row r="375" spans="1:16" x14ac:dyDescent="0.45">
      <c r="A375" s="1" t="s">
        <v>369</v>
      </c>
      <c r="B375" s="2">
        <v>4558889</v>
      </c>
      <c r="C375" s="3" t="s">
        <v>1326</v>
      </c>
      <c r="D375" s="3" t="s">
        <v>1327</v>
      </c>
      <c r="E375" s="3" t="s">
        <v>1022</v>
      </c>
      <c r="F375" s="5">
        <v>30534014918918</v>
      </c>
      <c r="G375" s="5">
        <v>270854469230773</v>
      </c>
      <c r="H375" s="5">
        <v>24915918207693</v>
      </c>
      <c r="I375" s="5">
        <v>274335340306513</v>
      </c>
      <c r="J375" s="5">
        <v>226669039688713</v>
      </c>
      <c r="K375" s="5">
        <v>155983057142853</v>
      </c>
      <c r="L375" s="5">
        <v>200336048461537</v>
      </c>
      <c r="M375" s="5">
        <v>208986450538452</v>
      </c>
      <c r="N375" s="5">
        <v>180791570192306</v>
      </c>
      <c r="O375" s="5">
        <v>15866924328244</v>
      </c>
      <c r="P375" s="5">
        <v>173843924651156</v>
      </c>
    </row>
    <row r="376" spans="1:16" x14ac:dyDescent="0.45">
      <c r="A376" s="1" t="s">
        <v>370</v>
      </c>
      <c r="B376" s="2">
        <v>4987124</v>
      </c>
      <c r="C376" s="3" t="s">
        <v>1328</v>
      </c>
      <c r="D376" s="3" t="s">
        <v>1329</v>
      </c>
      <c r="E376" s="3" t="s">
        <v>1036</v>
      </c>
      <c r="F376" s="5">
        <v>102911800930233</v>
      </c>
      <c r="G376" s="5">
        <v>972707414769234</v>
      </c>
      <c r="H376" s="5">
        <v>968147071538454</v>
      </c>
      <c r="I376" s="5">
        <v>935903318615406</v>
      </c>
      <c r="J376" s="5">
        <v>627614426666669</v>
      </c>
      <c r="K376" s="5">
        <v>431614110114055</v>
      </c>
      <c r="L376" s="5">
        <v>449265423745171</v>
      </c>
      <c r="M376" s="5">
        <v>371108460384595</v>
      </c>
      <c r="N376" s="5">
        <v>317946480000004</v>
      </c>
      <c r="O376" s="5">
        <v>246829916666662</v>
      </c>
      <c r="P376" s="5">
        <v>261527032328234</v>
      </c>
    </row>
    <row r="377" spans="1:16" x14ac:dyDescent="0.45">
      <c r="A377" s="1" t="s">
        <v>371</v>
      </c>
      <c r="B377" s="2">
        <v>4071231</v>
      </c>
      <c r="C377" s="3" t="s">
        <v>1330</v>
      </c>
      <c r="D377" s="3" t="s">
        <v>1331</v>
      </c>
      <c r="E377" s="3" t="s">
        <v>564</v>
      </c>
      <c r="F377" s="5">
        <v>606205245333334</v>
      </c>
      <c r="G377" s="5">
        <v>506647678949999</v>
      </c>
      <c r="H377" s="5">
        <v>47742654207115</v>
      </c>
      <c r="I377" s="5">
        <v>853892388252327</v>
      </c>
      <c r="J377" s="5">
        <v>102267228728889</v>
      </c>
      <c r="K377" s="5">
        <v>786965901072492</v>
      </c>
      <c r="L377" s="5">
        <v>473237282966665</v>
      </c>
      <c r="M377" s="5">
        <v>415752915558599</v>
      </c>
      <c r="N377" s="5">
        <v>478841588960007</v>
      </c>
      <c r="O377" s="5">
        <v>271749792722217</v>
      </c>
      <c r="P377" s="5">
        <v>225056400995201</v>
      </c>
    </row>
    <row r="378" spans="1:16" x14ac:dyDescent="0.45">
      <c r="A378" s="1" t="s">
        <v>372</v>
      </c>
      <c r="B378" s="2">
        <v>4574287</v>
      </c>
      <c r="C378" s="3" t="s">
        <v>1332</v>
      </c>
      <c r="D378" s="3" t="s">
        <v>1333</v>
      </c>
      <c r="E378" s="3" t="s">
        <v>907</v>
      </c>
      <c r="F378" s="5">
        <v>385949777777778</v>
      </c>
      <c r="G378" s="5">
        <v>708139739198472</v>
      </c>
      <c r="H378" s="5">
        <v>82229610365384</v>
      </c>
      <c r="I378" s="5">
        <v>130253997138464</v>
      </c>
      <c r="J378" s="5">
        <v>551816808888891</v>
      </c>
      <c r="K378" s="5">
        <v>171128167251903</v>
      </c>
      <c r="L378" s="5">
        <v>714666973180074</v>
      </c>
      <c r="M378" s="5">
        <v>-214435820689644</v>
      </c>
      <c r="N378" s="5">
        <v>-144738816000002</v>
      </c>
      <c r="O378" s="5">
        <v>-58374823222221</v>
      </c>
      <c r="P378" s="5">
        <v>-645993405518555</v>
      </c>
    </row>
    <row r="379" spans="1:16" x14ac:dyDescent="0.45">
      <c r="A379" s="1" t="s">
        <v>373</v>
      </c>
      <c r="B379" s="2">
        <v>4112734</v>
      </c>
      <c r="C379" s="3" t="s">
        <v>1334</v>
      </c>
      <c r="D379" s="3" t="s">
        <v>1335</v>
      </c>
      <c r="E379" s="3" t="s">
        <v>486</v>
      </c>
      <c r="F379" s="5">
        <v>542899733333334</v>
      </c>
      <c r="G379" s="5">
        <v>494653036259541</v>
      </c>
      <c r="H379" s="5">
        <v>67653762211538</v>
      </c>
      <c r="I379" s="5">
        <v>997643637153869</v>
      </c>
      <c r="J379" s="5">
        <v>763221102222225</v>
      </c>
      <c r="K379" s="5">
        <v>519699841603036</v>
      </c>
      <c r="L379" s="5">
        <v>507592217701148</v>
      </c>
      <c r="M379" s="5">
        <v>566517401379281</v>
      </c>
      <c r="N379" s="5">
        <v>535143392000007</v>
      </c>
      <c r="O379" s="5">
        <v>432540044444435</v>
      </c>
      <c r="P379" s="5">
        <v>379954230747111</v>
      </c>
    </row>
    <row r="380" spans="1:16" x14ac:dyDescent="0.45">
      <c r="A380" s="1" t="s">
        <v>374</v>
      </c>
      <c r="B380" s="2">
        <v>4783703</v>
      </c>
      <c r="C380" s="3" t="s">
        <v>1336</v>
      </c>
      <c r="D380" s="3" t="s">
        <v>1337</v>
      </c>
      <c r="E380" s="3" t="s">
        <v>558</v>
      </c>
      <c r="F380" s="5">
        <v>525559909333333</v>
      </c>
      <c r="G380" s="5">
        <v>503278490792747</v>
      </c>
      <c r="H380" s="5">
        <v>450008039890381</v>
      </c>
      <c r="I380" s="5">
        <v>535276194638474</v>
      </c>
      <c r="J380" s="5">
        <v>306663964622223</v>
      </c>
      <c r="K380" s="5">
        <v>190722386258772</v>
      </c>
      <c r="L380" s="5">
        <v>357060126472796</v>
      </c>
      <c r="M380" s="5">
        <v>221177411668954</v>
      </c>
      <c r="N380" s="5">
        <v>128577201760002</v>
      </c>
      <c r="O380" s="5">
        <v>568404995277766</v>
      </c>
      <c r="P380" s="5">
        <v>678382813501887</v>
      </c>
    </row>
    <row r="381" spans="1:16" x14ac:dyDescent="0.45">
      <c r="A381" s="1" t="s">
        <v>375</v>
      </c>
      <c r="B381" s="2">
        <v>3002287</v>
      </c>
      <c r="C381" s="3" t="s">
        <v>1338</v>
      </c>
      <c r="D381" s="3" t="s">
        <v>1339</v>
      </c>
      <c r="E381" s="3" t="s">
        <v>604</v>
      </c>
      <c r="F381" s="5">
        <v>110656081064638</v>
      </c>
      <c r="G381" s="5">
        <v>10509011123077</v>
      </c>
      <c r="H381" s="5">
        <v>117920091346153</v>
      </c>
      <c r="I381" s="5">
        <v>105786185230772</v>
      </c>
      <c r="J381" s="5">
        <v>850185333333336</v>
      </c>
      <c r="K381" s="5">
        <v>551575122433443</v>
      </c>
      <c r="L381" s="5">
        <v>103628556060606</v>
      </c>
      <c r="M381" s="5">
        <v>972899092307639</v>
      </c>
      <c r="N381" s="5">
        <v>919694560000013</v>
      </c>
      <c r="O381" s="5">
        <v>102800591666665</v>
      </c>
      <c r="P381" s="5">
        <v>992558643893092</v>
      </c>
    </row>
    <row r="382" spans="1:16" x14ac:dyDescent="0.45">
      <c r="A382" s="1" t="s">
        <v>376</v>
      </c>
      <c r="B382" s="2">
        <v>4055465</v>
      </c>
      <c r="C382" s="3" t="s">
        <v>1340</v>
      </c>
      <c r="D382" s="3" t="s">
        <v>1341</v>
      </c>
      <c r="E382" s="3" t="s">
        <v>1342</v>
      </c>
      <c r="F382" s="5">
        <v>178839644444445</v>
      </c>
      <c r="G382" s="5">
        <v>186396359083969</v>
      </c>
      <c r="H382" s="5">
        <v>206891956346152</v>
      </c>
      <c r="I382" s="5">
        <v>223178408769236</v>
      </c>
      <c r="J382" s="5">
        <v>217072195555556</v>
      </c>
      <c r="K382" s="5">
        <v>221738599083962</v>
      </c>
      <c r="L382" s="5">
        <v>19081608183908</v>
      </c>
      <c r="M382" s="5">
        <v>201044176551714</v>
      </c>
      <c r="N382" s="5">
        <v>201410448000003</v>
      </c>
      <c r="O382" s="5">
        <v>197644761111107</v>
      </c>
      <c r="P382" s="5">
        <v>22238365059386</v>
      </c>
    </row>
    <row r="383" spans="1:16" x14ac:dyDescent="0.45">
      <c r="A383" s="1" t="s">
        <v>377</v>
      </c>
      <c r="B383" s="2">
        <v>103247</v>
      </c>
      <c r="C383" s="3" t="s">
        <v>1343</v>
      </c>
      <c r="D383" s="3" t="s">
        <v>1344</v>
      </c>
      <c r="E383" s="3" t="s">
        <v>533</v>
      </c>
      <c r="F383" s="5">
        <v>106461875555556</v>
      </c>
      <c r="G383" s="5">
        <v>575276858244274</v>
      </c>
      <c r="H383" s="5">
        <v>184972692307691</v>
      </c>
      <c r="I383" s="5">
        <v>-137369830461542</v>
      </c>
      <c r="J383" s="5">
        <v>591745911111113</v>
      </c>
      <c r="K383" s="5">
        <v>729860317633563</v>
      </c>
      <c r="L383" s="5">
        <v>528406893295017</v>
      </c>
      <c r="M383" s="5">
        <v>256051626206883</v>
      </c>
      <c r="N383" s="5">
        <v>450978480000006</v>
      </c>
      <c r="O383" s="5">
        <v>277932294444439</v>
      </c>
      <c r="P383" s="5">
        <v>325417502490408</v>
      </c>
    </row>
    <row r="384" spans="1:16" x14ac:dyDescent="0.45">
      <c r="A384" s="1" t="s">
        <v>378</v>
      </c>
      <c r="B384" s="2">
        <v>4004086</v>
      </c>
      <c r="C384" s="3" t="s">
        <v>1345</v>
      </c>
      <c r="D384" s="3" t="s">
        <v>1346</v>
      </c>
      <c r="E384" s="3" t="s">
        <v>604</v>
      </c>
      <c r="F384" s="5">
        <v>-460037955555556</v>
      </c>
      <c r="G384" s="5">
        <v>-926341826221373</v>
      </c>
      <c r="H384" s="5">
        <v>721393499999995</v>
      </c>
      <c r="I384" s="5">
        <v>-777224040769248</v>
      </c>
      <c r="J384" s="5">
        <v>-400136977777779</v>
      </c>
      <c r="K384" s="5">
        <v>-744245258396921</v>
      </c>
      <c r="L384" s="5">
        <v>-187778747203064</v>
      </c>
      <c r="M384" s="5">
        <v>100378000965512</v>
      </c>
      <c r="N384" s="5">
        <v>896901744000012</v>
      </c>
      <c r="O384" s="5">
        <v>631812255555542</v>
      </c>
      <c r="P384" s="5">
        <v>646327837356295</v>
      </c>
    </row>
    <row r="385" spans="1:16" x14ac:dyDescent="0.45">
      <c r="A385" s="1" t="s">
        <v>379</v>
      </c>
      <c r="B385" s="2">
        <v>4133211</v>
      </c>
      <c r="C385" s="3" t="s">
        <v>1347</v>
      </c>
      <c r="D385" s="3" t="s">
        <v>1348</v>
      </c>
      <c r="E385" s="3" t="s">
        <v>734</v>
      </c>
      <c r="F385" s="5">
        <v>13491552641221</v>
      </c>
      <c r="G385" s="5">
        <v>129557878996139</v>
      </c>
      <c r="H385" s="5">
        <v>133281492500004</v>
      </c>
      <c r="I385" s="5">
        <v>107398187538463</v>
      </c>
      <c r="J385" s="5">
        <v>134549468884611</v>
      </c>
      <c r="K385" s="5">
        <v>116358374389313</v>
      </c>
      <c r="L385" s="5">
        <v>100705146511626</v>
      </c>
      <c r="M385" s="5">
        <v>11757865760617</v>
      </c>
      <c r="N385" s="5">
        <v>137539876846153</v>
      </c>
      <c r="O385" s="5">
        <v>10360911730769</v>
      </c>
      <c r="P385" s="5">
        <v>960355645976997</v>
      </c>
    </row>
    <row r="386" spans="1:16" x14ac:dyDescent="0.45">
      <c r="A386" s="1" t="s">
        <v>380</v>
      </c>
      <c r="B386" s="2">
        <v>103339</v>
      </c>
      <c r="C386" s="3" t="s">
        <v>1349</v>
      </c>
      <c r="D386" s="3" t="s">
        <v>1350</v>
      </c>
      <c r="E386" s="3" t="s">
        <v>686</v>
      </c>
      <c r="F386" s="5">
        <v>909175377777778</v>
      </c>
      <c r="G386" s="5">
        <v>896107892977098</v>
      </c>
      <c r="H386" s="5">
        <v>83552165115384</v>
      </c>
      <c r="I386" s="5">
        <v>81613280853848</v>
      </c>
      <c r="J386" s="5">
        <v>690468924444447</v>
      </c>
      <c r="K386" s="5">
        <v>75126230267173</v>
      </c>
      <c r="L386" s="5">
        <v>787473671072794</v>
      </c>
      <c r="M386" s="5">
        <v>412259222068944</v>
      </c>
      <c r="N386" s="5">
        <v>365926688000005</v>
      </c>
      <c r="O386" s="5">
        <v>294025966666661</v>
      </c>
      <c r="P386" s="5">
        <v>314870730249029</v>
      </c>
    </row>
    <row r="387" spans="1:16" x14ac:dyDescent="0.45">
      <c r="A387" s="1" t="s">
        <v>381</v>
      </c>
      <c r="B387" s="2">
        <v>4091914</v>
      </c>
      <c r="C387" s="3" t="s">
        <v>1351</v>
      </c>
      <c r="D387" s="3" t="s">
        <v>1352</v>
      </c>
      <c r="E387" s="3" t="s">
        <v>707</v>
      </c>
      <c r="F387" s="5">
        <v>109025175862066</v>
      </c>
      <c r="G387" s="5">
        <v>851619298846151</v>
      </c>
      <c r="H387" s="5">
        <v>776328933333343</v>
      </c>
      <c r="I387" s="5">
        <v>63246141609198</v>
      </c>
      <c r="J387" s="5">
        <v>103309289195398</v>
      </c>
      <c r="K387" s="5">
        <v>113148604923662</v>
      </c>
      <c r="L387" s="5">
        <v>967821175384596</v>
      </c>
      <c r="M387" s="5">
        <v>943320721153805</v>
      </c>
      <c r="N387" s="5">
        <v>101778347528735</v>
      </c>
      <c r="O387" s="5">
        <v>947348534732807</v>
      </c>
      <c r="P387" s="5">
        <v>838066849425263</v>
      </c>
    </row>
    <row r="388" spans="1:16" x14ac:dyDescent="0.45">
      <c r="A388" s="1" t="s">
        <v>382</v>
      </c>
      <c r="B388" s="2">
        <v>4202062</v>
      </c>
      <c r="C388" s="3" t="s">
        <v>1353</v>
      </c>
      <c r="D388" s="3" t="s">
        <v>1354</v>
      </c>
      <c r="E388" s="3" t="s">
        <v>1033</v>
      </c>
      <c r="F388" s="5">
        <v>133181475555556</v>
      </c>
      <c r="G388" s="5">
        <v>132141704564885</v>
      </c>
      <c r="H388" s="5">
        <v>122507414115384</v>
      </c>
      <c r="I388" s="5">
        <v>117401736684618</v>
      </c>
      <c r="J388" s="5">
        <v>96718098666667</v>
      </c>
      <c r="K388" s="5">
        <v>876428829923634</v>
      </c>
      <c r="L388" s="5">
        <v>949703073984671</v>
      </c>
      <c r="M388" s="5">
        <v>864778133793058</v>
      </c>
      <c r="N388" s="5">
        <v>828345920000011</v>
      </c>
      <c r="O388" s="5">
        <v>879094241666648</v>
      </c>
      <c r="P388" s="5">
        <v>923067929501877</v>
      </c>
    </row>
    <row r="389" spans="1:16" x14ac:dyDescent="0.45">
      <c r="A389" s="1" t="s">
        <v>383</v>
      </c>
      <c r="B389" s="2">
        <v>4578418</v>
      </c>
      <c r="C389" s="3" t="s">
        <v>1355</v>
      </c>
      <c r="D389" s="3" t="s">
        <v>1356</v>
      </c>
      <c r="E389" s="3" t="s">
        <v>507</v>
      </c>
      <c r="F389" s="5">
        <v>618734327931006</v>
      </c>
      <c r="G389" s="5">
        <v>651242331870256</v>
      </c>
      <c r="H389" s="5">
        <v>470128279693499</v>
      </c>
      <c r="I389" s="5">
        <v>473809023563216</v>
      </c>
      <c r="J389" s="5">
        <v>481358331999995</v>
      </c>
      <c r="K389" s="5">
        <v>278533829731793</v>
      </c>
      <c r="L389" s="5">
        <v>472345455172413</v>
      </c>
      <c r="M389" s="5">
        <v>360148439655161</v>
      </c>
      <c r="N389" s="5">
        <v>38700249509578</v>
      </c>
      <c r="O389" s="5">
        <v>307018041455933</v>
      </c>
      <c r="P389" s="5">
        <v>313134418576908</v>
      </c>
    </row>
    <row r="390" spans="1:16" x14ac:dyDescent="0.45">
      <c r="A390" s="1" t="s">
        <v>384</v>
      </c>
      <c r="B390" s="2">
        <v>4913043</v>
      </c>
      <c r="C390" s="3" t="s">
        <v>1357</v>
      </c>
      <c r="D390" s="3" t="s">
        <v>1358</v>
      </c>
      <c r="E390" s="3" t="s">
        <v>1359</v>
      </c>
      <c r="F390" s="5">
        <v>104056939999997</v>
      </c>
      <c r="G390" s="5">
        <v>145912622538461</v>
      </c>
      <c r="H390" s="5">
        <v>170754122528738</v>
      </c>
      <c r="I390" s="5">
        <v>315786563793116</v>
      </c>
      <c r="J390" s="5">
        <v>252403377011483</v>
      </c>
      <c r="K390" s="5">
        <v>190028152633585</v>
      </c>
      <c r="L390" s="5">
        <v>228104229923072</v>
      </c>
      <c r="M390" s="5">
        <v>189334950076915</v>
      </c>
      <c r="N390" s="5">
        <v>172169684367815</v>
      </c>
      <c r="O390" s="5">
        <v>157831330572516</v>
      </c>
      <c r="P390" s="5">
        <v>134324886245207</v>
      </c>
    </row>
    <row r="391" spans="1:16" x14ac:dyDescent="0.45">
      <c r="A391" s="1" t="s">
        <v>385</v>
      </c>
      <c r="B391" s="2">
        <v>103647</v>
      </c>
      <c r="C391" s="3" t="s">
        <v>1360</v>
      </c>
      <c r="D391" s="3" t="s">
        <v>1361</v>
      </c>
      <c r="E391" s="3" t="s">
        <v>533</v>
      </c>
      <c r="F391" s="5">
        <v>440186577777778</v>
      </c>
      <c r="G391" s="5">
        <v>376768434160305</v>
      </c>
      <c r="H391" s="5">
        <v>306962182884613</v>
      </c>
      <c r="I391" s="5">
        <v>236116287538467</v>
      </c>
      <c r="J391" s="5">
        <v>262161626666667</v>
      </c>
      <c r="K391" s="5">
        <v>210511328244268</v>
      </c>
      <c r="L391" s="5">
        <v>269161448773945</v>
      </c>
      <c r="M391" s="5">
        <v>17578651862068</v>
      </c>
      <c r="N391" s="5">
        <v>903730720000012</v>
      </c>
      <c r="O391" s="5">
        <v>668158638888875</v>
      </c>
      <c r="P391" s="5">
        <v>165322908467426</v>
      </c>
    </row>
    <row r="392" spans="1:16" x14ac:dyDescent="0.45">
      <c r="A392" s="1" t="s">
        <v>386</v>
      </c>
      <c r="B392" s="2">
        <v>4914369</v>
      </c>
      <c r="C392" s="3" t="s">
        <v>1362</v>
      </c>
      <c r="D392" s="3" t="s">
        <v>1363</v>
      </c>
      <c r="E392" s="3" t="s">
        <v>734</v>
      </c>
      <c r="F392" s="5">
        <v>130400864711111</v>
      </c>
      <c r="G392" s="5">
        <v>276739419792366</v>
      </c>
      <c r="H392" s="5">
        <v>23457284229096</v>
      </c>
      <c r="I392" s="5">
        <v>213735469634005</v>
      </c>
      <c r="J392" s="5">
        <v>173856048426667</v>
      </c>
      <c r="K392" s="5">
        <v>15857213136572</v>
      </c>
      <c r="L392" s="5">
        <v>151621958362452</v>
      </c>
      <c r="M392" s="5">
        <v>146669609217923</v>
      </c>
      <c r="N392" s="5">
        <v>137706921856002</v>
      </c>
      <c r="O392" s="5">
        <v>118475557169442</v>
      </c>
      <c r="P392" s="5">
        <v>131648506994343</v>
      </c>
    </row>
    <row r="393" spans="1:16" x14ac:dyDescent="0.45">
      <c r="A393" s="1" t="s">
        <v>387</v>
      </c>
      <c r="B393" s="2">
        <v>4004135</v>
      </c>
      <c r="C393" s="3" t="s">
        <v>1364</v>
      </c>
      <c r="D393" s="3" t="s">
        <v>1365</v>
      </c>
      <c r="E393" s="3" t="s">
        <v>1072</v>
      </c>
      <c r="F393" s="5">
        <v>199951974068705</v>
      </c>
      <c r="G393" s="5">
        <v>200374078697669</v>
      </c>
      <c r="H393" s="5">
        <v>229600758474912</v>
      </c>
      <c r="I393" s="5">
        <v>196012622769232</v>
      </c>
      <c r="J393" s="5">
        <v>159121448899993</v>
      </c>
      <c r="K393" s="5">
        <v>141887297850575</v>
      </c>
      <c r="L393" s="5">
        <v>134499828263354</v>
      </c>
      <c r="M393" s="5">
        <v>128788389662792</v>
      </c>
      <c r="N393" s="5">
        <v>121602968199995</v>
      </c>
      <c r="O393" s="5">
        <v>106740548061536</v>
      </c>
      <c r="P393" s="5">
        <v>7982016735</v>
      </c>
    </row>
    <row r="394" spans="1:16" x14ac:dyDescent="0.45">
      <c r="A394" s="1" t="s">
        <v>388</v>
      </c>
      <c r="B394" s="2">
        <v>4912995</v>
      </c>
      <c r="C394" s="3" t="s">
        <v>1366</v>
      </c>
      <c r="D394" s="3" t="s">
        <v>1367</v>
      </c>
      <c r="E394" s="3" t="s">
        <v>734</v>
      </c>
      <c r="F394" s="5">
        <v>153503466977007</v>
      </c>
      <c r="G394" s="5">
        <v>133328473293895</v>
      </c>
      <c r="H394" s="5">
        <v>112559152280769</v>
      </c>
      <c r="I394" s="5">
        <v>102264175319233</v>
      </c>
      <c r="J394" s="5">
        <v>116814350681989</v>
      </c>
      <c r="K394" s="5">
        <v>115920781087787</v>
      </c>
      <c r="L394" s="5">
        <v>100569899593866</v>
      </c>
      <c r="M394" s="5">
        <v>107524473999998</v>
      </c>
      <c r="N394" s="5">
        <v>118911901730767</v>
      </c>
      <c r="O394" s="5">
        <v>116725013888888</v>
      </c>
      <c r="P394" s="5">
        <v>676918328735616</v>
      </c>
    </row>
    <row r="395" spans="1:16" x14ac:dyDescent="0.45">
      <c r="A395" s="1" t="s">
        <v>389</v>
      </c>
      <c r="B395" s="2">
        <v>4384788</v>
      </c>
      <c r="C395" s="3" t="s">
        <v>1368</v>
      </c>
      <c r="D395" s="3" t="s">
        <v>1369</v>
      </c>
      <c r="E395" s="3" t="s">
        <v>734</v>
      </c>
      <c r="F395" s="5">
        <v>42194991007752</v>
      </c>
      <c r="G395" s="5">
        <v>510107584769233</v>
      </c>
      <c r="H395" s="5">
        <v>484720940192304</v>
      </c>
      <c r="I395" s="5">
        <v>481935984153857</v>
      </c>
      <c r="J395" s="5">
        <v>461506073437499</v>
      </c>
      <c r="K395" s="5">
        <v>515690374418591</v>
      </c>
      <c r="L395" s="5">
        <v>497416957528955</v>
      </c>
      <c r="M395" s="5">
        <v>538992876923048</v>
      </c>
      <c r="N395" s="5">
        <v>649639600000009</v>
      </c>
      <c r="O395" s="5">
        <v>619154311111098</v>
      </c>
      <c r="P395" s="5">
        <v>388549296564871</v>
      </c>
    </row>
    <row r="396" spans="1:16" x14ac:dyDescent="0.45">
      <c r="A396" s="1" t="s">
        <v>390</v>
      </c>
      <c r="B396" s="2">
        <v>4004136</v>
      </c>
      <c r="C396" s="3" t="s">
        <v>1370</v>
      </c>
      <c r="D396" s="3" t="s">
        <v>1371</v>
      </c>
      <c r="E396" s="3" t="s">
        <v>1372</v>
      </c>
      <c r="F396" s="5">
        <v>425429732061074</v>
      </c>
      <c r="G396" s="5">
        <v>454256203688201</v>
      </c>
      <c r="H396" s="5">
        <v>427701733204649</v>
      </c>
      <c r="I396" s="5">
        <v>315542889692309</v>
      </c>
      <c r="J396" s="5">
        <v>276751879884603</v>
      </c>
      <c r="K396" s="5">
        <v>239299917854407</v>
      </c>
      <c r="L396" s="5">
        <v>22821578263358</v>
      </c>
      <c r="M396" s="5">
        <v>214590096958177</v>
      </c>
      <c r="N396" s="5">
        <v>313539491999986</v>
      </c>
      <c r="O396" s="5">
        <v>328362718769223</v>
      </c>
      <c r="P396" s="5">
        <v>242694904846154</v>
      </c>
    </row>
    <row r="397" spans="1:16" x14ac:dyDescent="0.45">
      <c r="A397" s="1" t="s">
        <v>391</v>
      </c>
      <c r="B397" s="2">
        <v>4097833</v>
      </c>
      <c r="C397" s="3" t="s">
        <v>1373</v>
      </c>
      <c r="D397" s="3" t="s">
        <v>1374</v>
      </c>
      <c r="E397" s="3" t="s">
        <v>691</v>
      </c>
      <c r="F397" s="5">
        <v>955967911111112</v>
      </c>
      <c r="G397" s="5">
        <v>574629648664121</v>
      </c>
      <c r="H397" s="5">
        <v>118530501230768</v>
      </c>
      <c r="I397" s="5">
        <v>45523258290001</v>
      </c>
      <c r="J397" s="5">
        <v>222198686222223</v>
      </c>
      <c r="K397" s="5">
        <v>362167197633576</v>
      </c>
      <c r="L397" s="5">
        <v>34250414689655</v>
      </c>
      <c r="M397" s="5">
        <v>840283291034439</v>
      </c>
      <c r="N397" s="5">
        <v>390404576000005</v>
      </c>
      <c r="O397" s="5">
        <v>406862499999992</v>
      </c>
      <c r="P397" s="5">
        <v>118664709218386</v>
      </c>
    </row>
    <row r="398" spans="1:16" x14ac:dyDescent="0.45">
      <c r="A398" s="1" t="s">
        <v>392</v>
      </c>
      <c r="B398" s="2">
        <v>4004124</v>
      </c>
      <c r="C398" s="3" t="s">
        <v>1375</v>
      </c>
      <c r="D398" s="3" t="s">
        <v>1376</v>
      </c>
      <c r="E398" s="3" t="s">
        <v>707</v>
      </c>
      <c r="F398" s="5">
        <v>198803037977006</v>
      </c>
      <c r="G398" s="5">
        <v>193699468753845</v>
      </c>
      <c r="H398" s="5">
        <v>179138857436784</v>
      </c>
      <c r="I398" s="5">
        <v>163844814885064</v>
      </c>
      <c r="J398" s="5">
        <v>154989090275855</v>
      </c>
      <c r="K398" s="5">
        <v>14564604197328</v>
      </c>
      <c r="L398" s="5">
        <v>12454561085769</v>
      </c>
      <c r="M398" s="5">
        <v>114783265349995</v>
      </c>
      <c r="N398" s="5">
        <v>126337306770114</v>
      </c>
      <c r="O398" s="5">
        <v>121271428984731</v>
      </c>
      <c r="P398" s="5">
        <v>109375251396549</v>
      </c>
    </row>
    <row r="399" spans="1:16" x14ac:dyDescent="0.45">
      <c r="A399" s="1" t="s">
        <v>393</v>
      </c>
      <c r="B399" s="2">
        <v>103383</v>
      </c>
      <c r="C399" s="3" t="s">
        <v>1377</v>
      </c>
      <c r="D399" s="3" t="s">
        <v>1378</v>
      </c>
      <c r="E399" s="3" t="s">
        <v>533</v>
      </c>
      <c r="F399" s="5">
        <v>128511084444444</v>
      </c>
      <c r="G399" s="5">
        <v>101630395786259</v>
      </c>
      <c r="H399" s="5">
        <v>478339382307689</v>
      </c>
      <c r="I399" s="5">
        <v>132327863000003</v>
      </c>
      <c r="J399" s="5">
        <v>374639877333334</v>
      </c>
      <c r="K399" s="5">
        <v>648217007496161</v>
      </c>
      <c r="L399" s="5">
        <v>477933538314174</v>
      </c>
      <c r="M399" s="5">
        <v>282250089517227</v>
      </c>
      <c r="N399" s="5">
        <v>203361584000003</v>
      </c>
      <c r="O399" s="5">
        <v>145566361111108</v>
      </c>
      <c r="P399" s="5">
        <v>184658657576621</v>
      </c>
    </row>
    <row r="400" spans="1:16" x14ac:dyDescent="0.45">
      <c r="A400" s="1" t="s">
        <v>394</v>
      </c>
      <c r="B400" s="2">
        <v>4191577</v>
      </c>
      <c r="C400" s="3" t="s">
        <v>1379</v>
      </c>
      <c r="D400" s="3" t="s">
        <v>1380</v>
      </c>
      <c r="E400" s="3" t="s">
        <v>501</v>
      </c>
      <c r="F400" s="5" t="s">
        <v>1381</v>
      </c>
      <c r="G400" s="5">
        <v>34903088072519</v>
      </c>
      <c r="H400" s="5">
        <v>335494220673074</v>
      </c>
      <c r="I400" s="5">
        <v>28507093764616</v>
      </c>
      <c r="J400" s="5">
        <v>225049556444445</v>
      </c>
      <c r="K400" s="5">
        <v>249920803152663</v>
      </c>
      <c r="L400" s="5">
        <v>21306009137931</v>
      </c>
      <c r="M400" s="5">
        <v>158453662758612</v>
      </c>
      <c r="N400" s="5">
        <v>152073313600002</v>
      </c>
      <c r="O400" s="5">
        <v>16078283778333</v>
      </c>
      <c r="P400" s="5">
        <v>145548792235071</v>
      </c>
    </row>
    <row r="401" spans="1:16" x14ac:dyDescent="0.45">
      <c r="A401" s="1" t="s">
        <v>395</v>
      </c>
      <c r="B401" s="2">
        <v>4004298</v>
      </c>
      <c r="C401" s="3" t="s">
        <v>1382</v>
      </c>
      <c r="D401" s="3" t="s">
        <v>1383</v>
      </c>
      <c r="E401" s="3" t="s">
        <v>512</v>
      </c>
      <c r="F401" s="5">
        <v>699849688888889</v>
      </c>
      <c r="G401" s="5">
        <v>70989645091603</v>
      </c>
      <c r="H401" s="5">
        <v>593854828653842</v>
      </c>
      <c r="I401" s="5">
        <v>573262187230782</v>
      </c>
      <c r="J401" s="5">
        <v>361138426666668</v>
      </c>
      <c r="K401" s="5">
        <v>459177834732809</v>
      </c>
      <c r="L401" s="5">
        <v>500445547969347</v>
      </c>
      <c r="M401" s="5">
        <v>368270213793084</v>
      </c>
      <c r="N401" s="5">
        <v>224203264000003</v>
      </c>
      <c r="O401" s="5">
        <v>405687119444436</v>
      </c>
      <c r="P401" s="5">
        <v>385993835363969</v>
      </c>
    </row>
    <row r="402" spans="1:16" x14ac:dyDescent="0.45">
      <c r="A402" s="1" t="s">
        <v>396</v>
      </c>
      <c r="B402" s="2">
        <v>4074192</v>
      </c>
      <c r="C402" s="3" t="s">
        <v>1384</v>
      </c>
      <c r="D402" s="3" t="s">
        <v>1385</v>
      </c>
      <c r="E402" s="3" t="s">
        <v>1267</v>
      </c>
      <c r="F402" s="5">
        <v>585383880229016</v>
      </c>
      <c r="G402" s="5">
        <v>535554853117857</v>
      </c>
      <c r="H402" s="5">
        <v>464187231660249</v>
      </c>
      <c r="I402" s="5">
        <v>404531259230771</v>
      </c>
      <c r="J402" s="5">
        <v>506667486923055</v>
      </c>
      <c r="K402" s="5">
        <v>395508402293373</v>
      </c>
      <c r="L402" s="5">
        <v>35960336824598</v>
      </c>
      <c r="M402" s="5">
        <v>349249849776962</v>
      </c>
      <c r="N402" s="5">
        <v>348635900017985</v>
      </c>
      <c r="O402" s="5">
        <v>335860122646146</v>
      </c>
      <c r="P402" s="5">
        <v>275765411790346</v>
      </c>
    </row>
    <row r="403" spans="1:16" x14ac:dyDescent="0.45">
      <c r="A403" s="1" t="s">
        <v>397</v>
      </c>
      <c r="B403" s="2">
        <v>4844112</v>
      </c>
      <c r="C403" s="3" t="s">
        <v>1386</v>
      </c>
      <c r="D403" s="3" t="s">
        <v>1387</v>
      </c>
      <c r="E403" s="3" t="s">
        <v>1179</v>
      </c>
      <c r="F403" s="5">
        <v>522269366222222</v>
      </c>
      <c r="G403" s="5">
        <v>394952249607251</v>
      </c>
      <c r="H403" s="5">
        <v>185416626769229</v>
      </c>
      <c r="I403" s="5">
        <v>108120711296926</v>
      </c>
      <c r="J403" s="5">
        <v>105589634577778</v>
      </c>
      <c r="K403" s="5">
        <v>126489240097706</v>
      </c>
      <c r="L403" s="5">
        <v>100228469653639</v>
      </c>
      <c r="M403" s="5">
        <v>909640141655125</v>
      </c>
      <c r="N403" s="5">
        <v>615104492800008</v>
      </c>
      <c r="O403" s="5">
        <v>5200426061111</v>
      </c>
      <c r="P403" s="5">
        <v>342364452758606</v>
      </c>
    </row>
    <row r="404" spans="1:16" x14ac:dyDescent="0.45">
      <c r="A404" s="1" t="s">
        <v>398</v>
      </c>
      <c r="B404" s="2">
        <v>4055530</v>
      </c>
      <c r="C404" s="3" t="s">
        <v>1388</v>
      </c>
      <c r="D404" s="3" t="s">
        <v>1389</v>
      </c>
      <c r="E404" s="3" t="s">
        <v>533</v>
      </c>
      <c r="F404" s="5">
        <v>728563288888889</v>
      </c>
      <c r="G404" s="5">
        <v>607637337251908</v>
      </c>
      <c r="H404" s="5">
        <v>346546339038459</v>
      </c>
      <c r="I404" s="5">
        <v>352462065000008</v>
      </c>
      <c r="J404" s="5">
        <v>405889475555557</v>
      </c>
      <c r="K404" s="5">
        <v>313661879083959</v>
      </c>
      <c r="L404" s="5">
        <v>311058800076627</v>
      </c>
      <c r="M404" s="5">
        <v>28080074068964</v>
      </c>
      <c r="N404" s="5">
        <v>274844112000004</v>
      </c>
      <c r="O404" s="5">
        <v>387875583333325</v>
      </c>
      <c r="P404" s="5">
        <v>460902961283506</v>
      </c>
    </row>
    <row r="405" spans="1:16" x14ac:dyDescent="0.45">
      <c r="A405" s="1" t="s">
        <v>399</v>
      </c>
      <c r="B405" s="2">
        <v>4097175</v>
      </c>
      <c r="C405" s="3" t="s">
        <v>1390</v>
      </c>
      <c r="D405" s="3" t="s">
        <v>1391</v>
      </c>
      <c r="E405" s="3" t="s">
        <v>1065</v>
      </c>
      <c r="F405" s="5">
        <v>127765995324321</v>
      </c>
      <c r="G405" s="5">
        <v>113637103269233</v>
      </c>
      <c r="H405" s="5">
        <v>874775578307717</v>
      </c>
      <c r="I405" s="5">
        <v>631914715095785</v>
      </c>
      <c r="J405" s="5">
        <v>292230019236641</v>
      </c>
      <c r="K405" s="5">
        <v>337687698106052</v>
      </c>
      <c r="L405" s="5">
        <v>106639055884614</v>
      </c>
      <c r="M405" s="5">
        <v>124727754088456</v>
      </c>
      <c r="N405" s="5">
        <v>125783422932691</v>
      </c>
      <c r="O405" s="5">
        <v>130456374996181</v>
      </c>
      <c r="P405" s="5">
        <v>115454545505698</v>
      </c>
    </row>
    <row r="406" spans="1:16" x14ac:dyDescent="0.45">
      <c r="A406" s="1" t="s">
        <v>400</v>
      </c>
      <c r="B406" s="2">
        <v>4011165</v>
      </c>
      <c r="C406" s="3" t="s">
        <v>1392</v>
      </c>
      <c r="D406" s="3" t="s">
        <v>1393</v>
      </c>
      <c r="E406" s="3" t="s">
        <v>1043</v>
      </c>
      <c r="F406" s="5">
        <v>392596444444445</v>
      </c>
      <c r="G406" s="5">
        <v>312232393167939</v>
      </c>
      <c r="H406" s="5">
        <v>390847298846151</v>
      </c>
      <c r="I406" s="5">
        <v>28796293407693</v>
      </c>
      <c r="J406" s="5">
        <v>223247671111112</v>
      </c>
      <c r="K406" s="5">
        <v>224545416793886</v>
      </c>
      <c r="L406" s="5">
        <v>21306009137931</v>
      </c>
      <c r="M406" s="5">
        <v>165615649655164</v>
      </c>
      <c r="N406" s="5">
        <v>148995840000002</v>
      </c>
      <c r="O406" s="5">
        <v>146741741666664</v>
      </c>
      <c r="P406" s="5">
        <v>132240298103443</v>
      </c>
    </row>
    <row r="407" spans="1:16" x14ac:dyDescent="0.45">
      <c r="A407" s="1" t="s">
        <v>401</v>
      </c>
      <c r="B407" s="2">
        <v>4072879</v>
      </c>
      <c r="C407" s="3" t="s">
        <v>1394</v>
      </c>
      <c r="D407" s="3" t="s">
        <v>1395</v>
      </c>
      <c r="E407" s="3" t="s">
        <v>492</v>
      </c>
      <c r="F407" s="5">
        <v>740704533333334</v>
      </c>
      <c r="G407" s="5">
        <v>714426917977098</v>
      </c>
      <c r="H407" s="5">
        <v>677185026538457</v>
      </c>
      <c r="I407" s="5">
        <v>814325310769249</v>
      </c>
      <c r="J407" s="5">
        <v>877425102222225</v>
      </c>
      <c r="K407" s="5">
        <v>690038591374022</v>
      </c>
      <c r="L407" s="5">
        <v>373949493716474</v>
      </c>
      <c r="M407" s="5">
        <v>328858096551707</v>
      </c>
      <c r="N407" s="5">
        <v>285664048000004</v>
      </c>
      <c r="O407" s="5">
        <v>253610958333328</v>
      </c>
      <c r="P407" s="5">
        <v>225538667931025</v>
      </c>
    </row>
    <row r="408" spans="1:16" x14ac:dyDescent="0.45">
      <c r="A408" s="1" t="s">
        <v>402</v>
      </c>
      <c r="B408" s="2">
        <v>4071364</v>
      </c>
      <c r="C408" s="3" t="s">
        <v>1396</v>
      </c>
      <c r="D408" s="3" t="s">
        <v>1397</v>
      </c>
      <c r="E408" s="3" t="s">
        <v>1398</v>
      </c>
      <c r="F408" s="5">
        <v>130103941289923</v>
      </c>
      <c r="G408" s="5">
        <v>135640370373539</v>
      </c>
      <c r="H408" s="5">
        <v>136779167163076</v>
      </c>
      <c r="I408" s="5">
        <v>136508224814388</v>
      </c>
      <c r="J408" s="5">
        <v>110448546364219</v>
      </c>
      <c r="K408" s="5">
        <v>940394281465091</v>
      </c>
      <c r="L408" s="5">
        <v>663955156563703</v>
      </c>
      <c r="M408" s="5">
        <v>594703214580737</v>
      </c>
      <c r="N408" s="5">
        <v>608738468160008</v>
      </c>
      <c r="O408" s="5">
        <v>627544719999987</v>
      </c>
      <c r="P408" s="5">
        <v>586240973549394</v>
      </c>
    </row>
    <row r="409" spans="1:16" x14ac:dyDescent="0.45">
      <c r="A409" s="1" t="s">
        <v>403</v>
      </c>
      <c r="B409" s="2">
        <v>4402486</v>
      </c>
      <c r="C409" s="3" t="s">
        <v>1399</v>
      </c>
      <c r="D409" s="3" t="s">
        <v>1400</v>
      </c>
      <c r="E409" s="3" t="s">
        <v>471</v>
      </c>
      <c r="F409" s="5">
        <v>343092071111111</v>
      </c>
      <c r="G409" s="5">
        <v>320230054408397</v>
      </c>
      <c r="H409" s="5">
        <v>261246181980767</v>
      </c>
      <c r="I409" s="5">
        <v>225233248338467</v>
      </c>
      <c r="J409" s="5">
        <v>171026834666667</v>
      </c>
      <c r="K409" s="5">
        <v>133157186419843</v>
      </c>
      <c r="L409" s="5">
        <v>150776864666666</v>
      </c>
      <c r="M409" s="5">
        <v>130059986896545</v>
      </c>
      <c r="N409" s="5">
        <v>150414848000002</v>
      </c>
      <c r="O409" s="5">
        <v>145439781666664</v>
      </c>
      <c r="P409" s="5">
        <v>137540727229879</v>
      </c>
    </row>
    <row r="410" spans="1:16" x14ac:dyDescent="0.45">
      <c r="A410" s="1" t="s">
        <v>404</v>
      </c>
      <c r="B410" s="2">
        <v>4421633</v>
      </c>
      <c r="C410" s="3" t="s">
        <v>1401</v>
      </c>
      <c r="D410" s="3" t="s">
        <v>1402</v>
      </c>
      <c r="E410" s="3" t="s">
        <v>604</v>
      </c>
      <c r="F410" s="5">
        <v>380503405363974</v>
      </c>
      <c r="G410" s="5">
        <v>331890134789277</v>
      </c>
      <c r="H410" s="5">
        <v>2740001088077</v>
      </c>
      <c r="I410" s="5">
        <v>205242791685824</v>
      </c>
      <c r="J410" s="5">
        <v>142667083524904</v>
      </c>
      <c r="K410" s="5">
        <v>157511130305339</v>
      </c>
      <c r="L410" s="5">
        <v>171106109578543</v>
      </c>
      <c r="M410" s="5">
        <v>139716605307686</v>
      </c>
      <c r="N410" s="5">
        <v>136149471187499</v>
      </c>
      <c r="O410" s="5">
        <v>119362945513089</v>
      </c>
      <c r="P410" s="5">
        <v>969102351193059</v>
      </c>
    </row>
    <row r="411" spans="1:16" x14ac:dyDescent="0.45">
      <c r="A411" s="1" t="s">
        <v>405</v>
      </c>
      <c r="B411" s="2">
        <v>4104139</v>
      </c>
      <c r="C411" s="3" t="s">
        <v>1403</v>
      </c>
      <c r="D411" s="3" t="s">
        <v>1404</v>
      </c>
      <c r="E411" s="3" t="s">
        <v>483</v>
      </c>
      <c r="F411" s="5">
        <v>547610277870721</v>
      </c>
      <c r="G411" s="5">
        <v>444237368981131</v>
      </c>
      <c r="H411" s="5">
        <v>457252495384612</v>
      </c>
      <c r="I411" s="5">
        <v>514756338384627</v>
      </c>
      <c r="J411" s="5">
        <v>48329440888889</v>
      </c>
      <c r="K411" s="5">
        <v>410568318479075</v>
      </c>
      <c r="L411" s="5">
        <v>379048244280301</v>
      </c>
      <c r="M411" s="5">
        <v>312293828846137</v>
      </c>
      <c r="N411" s="5">
        <v>227396032000003</v>
      </c>
      <c r="O411" s="5">
        <v>181279847222218</v>
      </c>
      <c r="P411" s="5">
        <v>159656799122131</v>
      </c>
    </row>
    <row r="412" spans="1:16" x14ac:dyDescent="0.45">
      <c r="A412" s="1" t="s">
        <v>406</v>
      </c>
      <c r="B412" s="2">
        <v>4964207</v>
      </c>
      <c r="C412" s="3" t="s">
        <v>1405</v>
      </c>
      <c r="D412" s="3" t="s">
        <v>1406</v>
      </c>
      <c r="E412" s="3" t="s">
        <v>483</v>
      </c>
      <c r="F412" s="5">
        <v>317613182222222</v>
      </c>
      <c r="G412" s="5">
        <v>27693728100687</v>
      </c>
      <c r="H412" s="5">
        <v>202116886294229</v>
      </c>
      <c r="I412" s="5">
        <v>203818205031543</v>
      </c>
      <c r="J412" s="5">
        <v>152893777333334</v>
      </c>
      <c r="K412" s="5">
        <v>151678674783201</v>
      </c>
      <c r="L412" s="5">
        <v>139687913244061</v>
      </c>
      <c r="M412" s="5">
        <v>129248012524131</v>
      </c>
      <c r="N412" s="5">
        <v>144346815040002</v>
      </c>
      <c r="O412" s="5">
        <v>124460142888886</v>
      </c>
      <c r="P412" s="5">
        <v>102712040128157</v>
      </c>
    </row>
    <row r="413" spans="1:16" x14ac:dyDescent="0.45">
      <c r="A413" s="1" t="s">
        <v>407</v>
      </c>
      <c r="B413" s="2">
        <v>3009699</v>
      </c>
      <c r="C413" s="3" t="s">
        <v>1407</v>
      </c>
      <c r="D413" s="3" t="s">
        <v>1408</v>
      </c>
      <c r="E413" s="3" t="s">
        <v>734</v>
      </c>
      <c r="F413" s="5">
        <v>137529989999996</v>
      </c>
      <c r="G413" s="5">
        <v>16254958269231</v>
      </c>
      <c r="H413" s="5">
        <v>723667752307712</v>
      </c>
      <c r="I413" s="5">
        <v>411687997203065</v>
      </c>
      <c r="J413" s="5">
        <v>369890230534351</v>
      </c>
      <c r="K413" s="5">
        <v>277938142424235</v>
      </c>
      <c r="L413" s="5">
        <v>253079388653844</v>
      </c>
      <c r="M413" s="5">
        <v>26497397107691</v>
      </c>
      <c r="N413" s="5">
        <v>284062181249998</v>
      </c>
      <c r="O413" s="5">
        <v>255113488206102</v>
      </c>
      <c r="P413" s="5">
        <v>215298630684401</v>
      </c>
    </row>
    <row r="414" spans="1:16" x14ac:dyDescent="0.45">
      <c r="A414" s="1" t="s">
        <v>408</v>
      </c>
      <c r="B414" s="2">
        <v>103025</v>
      </c>
      <c r="C414" s="3" t="s">
        <v>1409</v>
      </c>
      <c r="D414" s="3" t="s">
        <v>1410</v>
      </c>
      <c r="E414" s="3" t="s">
        <v>598</v>
      </c>
      <c r="F414" s="5">
        <v>318120987555556</v>
      </c>
      <c r="G414" s="5">
        <v>287745680995419</v>
      </c>
      <c r="H414" s="5">
        <v>269732729103844</v>
      </c>
      <c r="I414" s="5">
        <v>228315507692313</v>
      </c>
      <c r="J414" s="5">
        <v>128932086222223</v>
      </c>
      <c r="K414" s="5">
        <v>132272161710683</v>
      </c>
      <c r="L414" s="5">
        <v>316349122345593</v>
      </c>
      <c r="M414" s="5">
        <v>182725593972404</v>
      </c>
      <c r="N414" s="5">
        <v>195189871680003</v>
      </c>
      <c r="O414" s="5">
        <v>162824564222219</v>
      </c>
      <c r="P414" s="5">
        <v>150498834150377</v>
      </c>
    </row>
    <row r="415" spans="1:16" x14ac:dyDescent="0.45">
      <c r="A415" s="1" t="s">
        <v>409</v>
      </c>
      <c r="B415" s="2">
        <v>4107935</v>
      </c>
      <c r="C415" s="3" t="s">
        <v>1411</v>
      </c>
      <c r="D415" s="3" t="s">
        <v>1412</v>
      </c>
      <c r="E415" s="3" t="s">
        <v>1398</v>
      </c>
      <c r="F415" s="5">
        <v>14536803900504</v>
      </c>
      <c r="G415" s="5">
        <v>155024422049768</v>
      </c>
      <c r="H415" s="5">
        <v>156506551372593</v>
      </c>
      <c r="I415" s="5">
        <v>110384032092924</v>
      </c>
      <c r="J415" s="5">
        <v>305691124902294</v>
      </c>
      <c r="K415" s="5">
        <v>807004940790041</v>
      </c>
      <c r="L415" s="5">
        <v>728108089770968</v>
      </c>
      <c r="M415" s="5">
        <v>687819068695444</v>
      </c>
      <c r="N415" s="5">
        <v>593047903839974</v>
      </c>
      <c r="O415" s="5">
        <v>458997955341528</v>
      </c>
      <c r="P415" s="5">
        <v>313817357821154</v>
      </c>
    </row>
    <row r="416" spans="1:16" x14ac:dyDescent="0.45">
      <c r="A416" s="1" t="s">
        <v>410</v>
      </c>
      <c r="B416" s="2">
        <v>4004099</v>
      </c>
      <c r="C416" s="3" t="s">
        <v>1413</v>
      </c>
      <c r="D416" s="3" t="s">
        <v>1414</v>
      </c>
      <c r="E416" s="3" t="s">
        <v>763</v>
      </c>
      <c r="F416" s="5">
        <v>883829422222223</v>
      </c>
      <c r="G416" s="5">
        <v>903134739847327</v>
      </c>
      <c r="H416" s="5">
        <v>844770285769225</v>
      </c>
      <c r="I416" s="5">
        <v>951409746846175</v>
      </c>
      <c r="J416" s="5">
        <v>792068186666669</v>
      </c>
      <c r="K416" s="5">
        <v>690740295801503</v>
      </c>
      <c r="L416" s="5">
        <v>76826699616858</v>
      </c>
      <c r="M416" s="5">
        <v>722979268965479</v>
      </c>
      <c r="N416" s="5">
        <v>72254113600001</v>
      </c>
      <c r="O416" s="5">
        <v>657489799999986</v>
      </c>
      <c r="P416" s="5">
        <v>725834274252843</v>
      </c>
    </row>
    <row r="417" spans="1:16" x14ac:dyDescent="0.45">
      <c r="A417" s="1" t="s">
        <v>411</v>
      </c>
      <c r="B417" s="2">
        <v>4994529</v>
      </c>
      <c r="C417" s="3" t="s">
        <v>1415</v>
      </c>
      <c r="D417" s="3" t="s">
        <v>1416</v>
      </c>
      <c r="E417" s="3" t="s">
        <v>789</v>
      </c>
      <c r="F417" s="5">
        <v>451530222222222</v>
      </c>
      <c r="G417" s="5">
        <v>491601905381679</v>
      </c>
      <c r="H417" s="5">
        <v>489345257499996</v>
      </c>
      <c r="I417" s="5">
        <v>244202461769236</v>
      </c>
      <c r="J417" s="5">
        <v>-366298755555557</v>
      </c>
      <c r="K417" s="5">
        <v>-780997027786233</v>
      </c>
      <c r="L417" s="5">
        <v>408074841685822</v>
      </c>
      <c r="M417" s="5">
        <v>311059075862053</v>
      </c>
      <c r="N417" s="5">
        <v>327258720000004</v>
      </c>
      <c r="O417" s="5">
        <v>460116280555546</v>
      </c>
      <c r="P417" s="5">
        <v>495067291877374</v>
      </c>
    </row>
    <row r="418" spans="1:16" x14ac:dyDescent="0.45">
      <c r="A418" s="1" t="s">
        <v>412</v>
      </c>
      <c r="B418" s="2">
        <v>4051574</v>
      </c>
      <c r="C418" s="3" t="s">
        <v>1417</v>
      </c>
      <c r="D418" s="3" t="s">
        <v>1418</v>
      </c>
      <c r="E418" s="3" t="s">
        <v>657</v>
      </c>
      <c r="F418" s="5">
        <v>755415822222222</v>
      </c>
      <c r="G418" s="5">
        <v>740685135229007</v>
      </c>
      <c r="H418" s="5">
        <v>882689687692301</v>
      </c>
      <c r="I418" s="5">
        <v>136171174046157</v>
      </c>
      <c r="J418" s="5">
        <v>108857560888889</v>
      </c>
      <c r="K418" s="5">
        <v>672583693740435</v>
      </c>
      <c r="L418" s="5">
        <v>699837633486587</v>
      </c>
      <c r="M418" s="5">
        <v>600505055172382</v>
      </c>
      <c r="N418" s="5">
        <v>649994352000009</v>
      </c>
      <c r="O418" s="5">
        <v>679550788888875</v>
      </c>
      <c r="P418" s="5">
        <v>701856142490392</v>
      </c>
    </row>
    <row r="419" spans="1:16" x14ac:dyDescent="0.45">
      <c r="A419" s="1" t="s">
        <v>413</v>
      </c>
      <c r="B419" s="2">
        <v>4086110</v>
      </c>
      <c r="C419" s="3" t="s">
        <v>1419</v>
      </c>
      <c r="D419" s="3" t="s">
        <v>1420</v>
      </c>
      <c r="E419" s="3" t="s">
        <v>890</v>
      </c>
      <c r="F419" s="5">
        <v>355995466666667</v>
      </c>
      <c r="G419" s="5">
        <v>381946110801526</v>
      </c>
      <c r="H419" s="5">
        <v>36652338980769</v>
      </c>
      <c r="I419" s="5">
        <v>310033433153853</v>
      </c>
      <c r="J419" s="5">
        <v>196177093333334</v>
      </c>
      <c r="K419" s="5">
        <v>163672557709918</v>
      </c>
      <c r="L419" s="5">
        <v>200642752720306</v>
      </c>
      <c r="M419" s="5">
        <v>176634091034474</v>
      </c>
      <c r="N419" s="5">
        <v>149794032000002</v>
      </c>
      <c r="O419" s="5">
        <v>132365933333331</v>
      </c>
      <c r="P419" s="5">
        <v>137648899252868</v>
      </c>
    </row>
    <row r="420" spans="1:16" x14ac:dyDescent="0.45">
      <c r="A420" s="1" t="s">
        <v>414</v>
      </c>
      <c r="B420" s="2">
        <v>111568</v>
      </c>
      <c r="C420" s="3" t="s">
        <v>1421</v>
      </c>
      <c r="D420" s="3" t="s">
        <v>1422</v>
      </c>
      <c r="E420" s="3" t="s">
        <v>686</v>
      </c>
      <c r="F420" s="5">
        <v>168063182222222</v>
      </c>
      <c r="G420" s="5">
        <v>298520795919847</v>
      </c>
      <c r="H420" s="5">
        <v>299267318884613</v>
      </c>
      <c r="I420" s="5">
        <v>270506310884622</v>
      </c>
      <c r="J420" s="5">
        <v>202775546666667</v>
      </c>
      <c r="K420" s="5">
        <v>196521096221367</v>
      </c>
      <c r="L420" s="5">
        <v>175852742088122</v>
      </c>
      <c r="M420" s="5">
        <v>147002959448268</v>
      </c>
      <c r="N420" s="5">
        <v>134885579200002</v>
      </c>
      <c r="O420" s="5">
        <v>116905158333331</v>
      </c>
      <c r="P420" s="5">
        <v>993469887796893</v>
      </c>
    </row>
    <row r="421" spans="1:16" x14ac:dyDescent="0.45">
      <c r="A421" s="1" t="s">
        <v>415</v>
      </c>
      <c r="B421" s="2">
        <v>4540311</v>
      </c>
      <c r="C421" s="3" t="s">
        <v>1423</v>
      </c>
      <c r="D421" s="3" t="s">
        <v>1424</v>
      </c>
      <c r="E421" s="3" t="s">
        <v>953</v>
      </c>
      <c r="F421" s="5">
        <v>176714040444445</v>
      </c>
      <c r="G421" s="5">
        <v>155498018976412</v>
      </c>
      <c r="H421" s="5">
        <v>108706694028653</v>
      </c>
      <c r="I421" s="5">
        <v>100944469495772</v>
      </c>
      <c r="J421" s="5">
        <v>11795293664</v>
      </c>
      <c r="K421" s="5">
        <v>119265105303736</v>
      </c>
      <c r="L421" s="5">
        <v>117342867660498</v>
      </c>
      <c r="M421" s="5">
        <v>104130373555857</v>
      </c>
      <c r="N421" s="5">
        <v>113536426464002</v>
      </c>
      <c r="O421" s="5">
        <v>115857351774998</v>
      </c>
      <c r="P421" s="5">
        <v>11352608740967</v>
      </c>
    </row>
    <row r="422" spans="1:16" x14ac:dyDescent="0.45">
      <c r="A422" s="1" t="s">
        <v>416</v>
      </c>
      <c r="B422" s="2">
        <v>4011157</v>
      </c>
      <c r="C422" s="3" t="s">
        <v>1425</v>
      </c>
      <c r="D422" s="3" t="s">
        <v>1426</v>
      </c>
      <c r="E422" s="3" t="s">
        <v>1082</v>
      </c>
      <c r="F422" s="5">
        <v>420157955555556</v>
      </c>
      <c r="G422" s="5">
        <v>355502976526717</v>
      </c>
      <c r="H422" s="5">
        <v>110595172730768</v>
      </c>
      <c r="I422" s="5">
        <v>149917670238465</v>
      </c>
      <c r="J422" s="5">
        <v>188394302222223</v>
      </c>
      <c r="K422" s="5">
        <v>-135692093664118</v>
      </c>
      <c r="L422" s="5">
        <v>346881482107278</v>
      </c>
      <c r="M422" s="5">
        <v>389883310344807</v>
      </c>
      <c r="N422" s="5">
        <v>319542864000004</v>
      </c>
      <c r="O422" s="5">
        <v>32738869166666</v>
      </c>
      <c r="P422" s="5">
        <v>573131435134076</v>
      </c>
    </row>
    <row r="423" spans="1:16" x14ac:dyDescent="0.45">
      <c r="A423" s="1" t="s">
        <v>417</v>
      </c>
      <c r="B423" s="2">
        <v>4046115</v>
      </c>
      <c r="C423" s="3" t="s">
        <v>1427</v>
      </c>
      <c r="D423" s="3" t="s">
        <v>1428</v>
      </c>
      <c r="E423" s="3" t="s">
        <v>504</v>
      </c>
      <c r="F423" s="5">
        <v>830551514666667</v>
      </c>
      <c r="G423" s="5">
        <v>676776887529388</v>
      </c>
      <c r="H423" s="5">
        <v>595913574719226</v>
      </c>
      <c r="I423" s="5">
        <v>586495924845398</v>
      </c>
      <c r="J423" s="5">
        <v>533802185333335</v>
      </c>
      <c r="K423" s="5">
        <v>648616101889291</v>
      </c>
      <c r="L423" s="5">
        <v>754365830206511</v>
      </c>
      <c r="M423" s="5">
        <v>800675384565475</v>
      </c>
      <c r="N423" s="5">
        <v>938011292640013</v>
      </c>
      <c r="O423" s="5">
        <v>885271318555537</v>
      </c>
      <c r="P423" s="5">
        <v>767686931380619</v>
      </c>
    </row>
    <row r="424" spans="1:16" x14ac:dyDescent="0.45">
      <c r="A424" s="1" t="s">
        <v>418</v>
      </c>
      <c r="B424" s="2">
        <v>4087927</v>
      </c>
      <c r="C424" s="3" t="s">
        <v>1429</v>
      </c>
      <c r="D424" s="3" t="s">
        <v>1430</v>
      </c>
      <c r="E424" s="3" t="s">
        <v>498</v>
      </c>
      <c r="F424" s="5">
        <v>993455111111111</v>
      </c>
      <c r="G424" s="5">
        <v>978395968167938</v>
      </c>
      <c r="H424" s="5">
        <v>925418379615378</v>
      </c>
      <c r="I424" s="5">
        <v>897184813769251</v>
      </c>
      <c r="J424" s="5">
        <v>733274275555558</v>
      </c>
      <c r="K424" s="5">
        <v>722930986412189</v>
      </c>
      <c r="L424" s="5">
        <v>720140428860917</v>
      </c>
      <c r="M424" s="5">
        <v>650420289765483</v>
      </c>
      <c r="N424" s="5">
        <v>627664487360009</v>
      </c>
      <c r="O424" s="5">
        <v>620756445222209</v>
      </c>
      <c r="P424" s="5">
        <v>546220038681586</v>
      </c>
    </row>
    <row r="425" spans="1:16" x14ac:dyDescent="0.45">
      <c r="A425" s="1" t="s">
        <v>419</v>
      </c>
      <c r="B425" s="2">
        <v>4241337</v>
      </c>
      <c r="C425" s="3" t="s">
        <v>1431</v>
      </c>
      <c r="D425" s="3" t="s">
        <v>1432</v>
      </c>
      <c r="E425" s="3" t="s">
        <v>885</v>
      </c>
      <c r="F425" s="5">
        <v>122085973333333</v>
      </c>
      <c r="G425" s="5">
        <v>117782897736641</v>
      </c>
      <c r="H425" s="5">
        <v>104898013807692</v>
      </c>
      <c r="I425" s="5">
        <v>133973637284618</v>
      </c>
      <c r="J425" s="5">
        <v>773372568888891</v>
      </c>
      <c r="K425" s="5">
        <v>840729617175544</v>
      </c>
      <c r="L425" s="5">
        <v>736910982720304</v>
      </c>
      <c r="M425" s="5">
        <v>70823150896548</v>
      </c>
      <c r="N425" s="5">
        <v>71659904000001</v>
      </c>
      <c r="O425" s="5">
        <v>708573647222207</v>
      </c>
      <c r="P425" s="5">
        <v>658947906704953</v>
      </c>
    </row>
    <row r="426" spans="1:16" x14ac:dyDescent="0.45">
      <c r="A426" s="1" t="s">
        <v>420</v>
      </c>
      <c r="B426" s="2">
        <v>4057229</v>
      </c>
      <c r="C426" s="3" t="s">
        <v>1433</v>
      </c>
      <c r="D426" s="3" t="s">
        <v>1434</v>
      </c>
      <c r="E426" s="3" t="s">
        <v>584</v>
      </c>
      <c r="F426" s="5">
        <v>280471608888889</v>
      </c>
      <c r="G426" s="5">
        <v>285687554530534</v>
      </c>
      <c r="H426" s="5">
        <v>279179284499998</v>
      </c>
      <c r="I426" s="5">
        <v>292729020300007</v>
      </c>
      <c r="J426" s="5">
        <v>310169604444445</v>
      </c>
      <c r="K426" s="5">
        <v>275322503427472</v>
      </c>
      <c r="L426" s="5">
        <v>279765319988505</v>
      </c>
      <c r="M426" s="5">
        <v>251195036275849</v>
      </c>
      <c r="N426" s="5">
        <v>262374579200004</v>
      </c>
      <c r="O426" s="5">
        <v>269795044444439</v>
      </c>
      <c r="P426" s="5">
        <v>275387941858226</v>
      </c>
    </row>
    <row r="427" spans="1:16" x14ac:dyDescent="0.45">
      <c r="A427" s="1" t="s">
        <v>421</v>
      </c>
      <c r="B427" s="2">
        <v>4159057</v>
      </c>
      <c r="C427" s="3" t="s">
        <v>1435</v>
      </c>
      <c r="D427" s="3" t="s">
        <v>1436</v>
      </c>
      <c r="E427" s="3" t="s">
        <v>477</v>
      </c>
      <c r="F427" s="5">
        <v>415407804444445</v>
      </c>
      <c r="G427" s="5">
        <v>406355157824427</v>
      </c>
      <c r="H427" s="5">
        <v>398384936057689</v>
      </c>
      <c r="I427" s="5">
        <v>416523591200009</v>
      </c>
      <c r="J427" s="5">
        <v>32927128088889</v>
      </c>
      <c r="K427" s="5">
        <v>267875665190831</v>
      </c>
      <c r="L427" s="5">
        <v>107378712720306</v>
      </c>
      <c r="M427" s="5">
        <v>562759265296522</v>
      </c>
      <c r="N427" s="5">
        <v>348392183520005</v>
      </c>
      <c r="O427" s="5">
        <v>101245472777776</v>
      </c>
      <c r="P427" s="5">
        <v>-418871820317799</v>
      </c>
    </row>
    <row r="428" spans="1:16" x14ac:dyDescent="0.45">
      <c r="A428" s="1" t="s">
        <v>422</v>
      </c>
      <c r="B428" s="2">
        <v>4761964</v>
      </c>
      <c r="C428" s="3" t="s">
        <v>1437</v>
      </c>
      <c r="D428" s="3" t="s">
        <v>1438</v>
      </c>
      <c r="E428" s="3" t="s">
        <v>637</v>
      </c>
      <c r="F428" s="5">
        <v>109342097777778</v>
      </c>
      <c r="G428" s="5">
        <v>147970601725191</v>
      </c>
      <c r="H428" s="5">
        <v>188773881134614</v>
      </c>
      <c r="I428" s="5">
        <v>261316611700006</v>
      </c>
      <c r="J428" s="5">
        <v>929112986666669</v>
      </c>
      <c r="K428" s="5">
        <v>11938623703053</v>
      </c>
      <c r="L428" s="5">
        <v>127032054482758</v>
      </c>
      <c r="M428" s="5">
        <v>13462840220689</v>
      </c>
      <c r="N428" s="5">
        <v>154902460800002</v>
      </c>
      <c r="O428" s="5">
        <v>176243793611107</v>
      </c>
      <c r="P428" s="5">
        <v>162898052285434</v>
      </c>
    </row>
    <row r="429" spans="1:16" x14ac:dyDescent="0.45">
      <c r="A429" s="1" t="s">
        <v>423</v>
      </c>
      <c r="B429" s="2">
        <v>6614190</v>
      </c>
      <c r="C429" s="3" t="s">
        <v>1439</v>
      </c>
      <c r="D429" s="3" t="s">
        <v>1440</v>
      </c>
      <c r="E429" s="3" t="s">
        <v>1016</v>
      </c>
      <c r="F429" s="5">
        <v>323255936355556</v>
      </c>
      <c r="G429" s="5">
        <v>327337062808053</v>
      </c>
      <c r="H429" s="5">
        <v>308729689445959</v>
      </c>
      <c r="I429" s="5">
        <v>158828253714927</v>
      </c>
      <c r="J429" s="5">
        <v>121304697146667</v>
      </c>
      <c r="K429" s="5">
        <v>793413687630508</v>
      </c>
      <c r="L429" s="5">
        <v>752632762796549</v>
      </c>
      <c r="M429" s="5">
        <v>652874859475828</v>
      </c>
      <c r="N429" s="5">
        <v>127884548480002</v>
      </c>
      <c r="O429" s="5">
        <v>632897222222209</v>
      </c>
      <c r="P429" s="5">
        <v>162258034482752</v>
      </c>
    </row>
    <row r="430" spans="1:16" x14ac:dyDescent="0.45">
      <c r="A430" s="1" t="s">
        <v>424</v>
      </c>
      <c r="B430" s="2">
        <v>4163620</v>
      </c>
      <c r="C430" s="3" t="s">
        <v>1441</v>
      </c>
      <c r="D430" s="3" t="s">
        <v>1442</v>
      </c>
      <c r="E430" s="3" t="s">
        <v>629</v>
      </c>
      <c r="F430" s="5">
        <v>242927727816085</v>
      </c>
      <c r="G430" s="5">
        <v>221346183279697</v>
      </c>
      <c r="H430" s="5">
        <v>205542264311544</v>
      </c>
      <c r="I430" s="5">
        <v>182036204739463</v>
      </c>
      <c r="J430" s="5">
        <v>13226619291954</v>
      </c>
      <c r="K430" s="5">
        <v>126196523854958</v>
      </c>
      <c r="L430" s="5">
        <v>136867156459769</v>
      </c>
      <c r="M430" s="5">
        <v>114362496907687</v>
      </c>
      <c r="N430" s="5">
        <v>112083520096153</v>
      </c>
      <c r="O430" s="5">
        <v>902667704122121</v>
      </c>
      <c r="P430" s="5">
        <v>792451488620653</v>
      </c>
    </row>
    <row r="431" spans="1:16" x14ac:dyDescent="0.45">
      <c r="A431" s="1" t="s">
        <v>425</v>
      </c>
      <c r="B431" s="2">
        <v>4085953</v>
      </c>
      <c r="C431" s="3" t="s">
        <v>1443</v>
      </c>
      <c r="D431" s="3" t="s">
        <v>1444</v>
      </c>
      <c r="E431" s="3" t="s">
        <v>1342</v>
      </c>
      <c r="F431" s="5">
        <v>196120977777778</v>
      </c>
      <c r="G431" s="5">
        <v>381021525687022</v>
      </c>
      <c r="H431" s="5">
        <v>254337451923075</v>
      </c>
      <c r="I431" s="5">
        <v>-104930002076925</v>
      </c>
      <c r="J431" s="5">
        <v>-122832746666667</v>
      </c>
      <c r="K431" s="5">
        <v>164023409923659</v>
      </c>
      <c r="L431" s="5">
        <v>177773409578543</v>
      </c>
      <c r="M431" s="5">
        <v>413615337931013</v>
      </c>
      <c r="N431" s="5">
        <v>358299520000005</v>
      </c>
      <c r="O431" s="5">
        <v>36798452777777</v>
      </c>
      <c r="P431" s="5">
        <v>585931791187715</v>
      </c>
    </row>
    <row r="432" spans="1:16" x14ac:dyDescent="0.45">
      <c r="A432" s="1" t="s">
        <v>426</v>
      </c>
      <c r="B432" s="2">
        <v>4063773</v>
      </c>
      <c r="C432" s="3" t="s">
        <v>1445</v>
      </c>
      <c r="D432" s="3" t="s">
        <v>1446</v>
      </c>
      <c r="E432" s="3" t="s">
        <v>758</v>
      </c>
      <c r="F432" s="5">
        <v>138498808888889</v>
      </c>
      <c r="G432" s="5">
        <v>131124660938931</v>
      </c>
      <c r="H432" s="5">
        <v>127658903596153</v>
      </c>
      <c r="I432" s="5">
        <v>959305658153868</v>
      </c>
      <c r="J432" s="5">
        <v>753238826666669</v>
      </c>
      <c r="K432" s="5">
        <v>780733888625928</v>
      </c>
      <c r="L432" s="5">
        <v>763889660957852</v>
      </c>
      <c r="M432" s="5">
        <v>631749117062036</v>
      </c>
      <c r="N432" s="5">
        <v>570975117760008</v>
      </c>
      <c r="O432" s="5">
        <v>612515219249987</v>
      </c>
      <c r="P432" s="5">
        <v>497087404406684</v>
      </c>
    </row>
    <row r="433" spans="1:16" x14ac:dyDescent="0.45">
      <c r="A433" s="1" t="s">
        <v>427</v>
      </c>
      <c r="B433" s="2">
        <v>103336</v>
      </c>
      <c r="C433" s="3" t="s">
        <v>1447</v>
      </c>
      <c r="D433" s="3" t="s">
        <v>1448</v>
      </c>
      <c r="E433" s="3" t="s">
        <v>533</v>
      </c>
      <c r="F433" s="5">
        <v>2193790824</v>
      </c>
      <c r="G433" s="5">
        <v>216262677286717</v>
      </c>
      <c r="H433" s="5">
        <v>176987513667114</v>
      </c>
      <c r="I433" s="5">
        <v>171153390740388</v>
      </c>
      <c r="J433" s="5">
        <v>119777239795556</v>
      </c>
      <c r="K433" s="5">
        <v>750562352505318</v>
      </c>
      <c r="L433" s="5">
        <v>871548880465131</v>
      </c>
      <c r="M433" s="5">
        <v>798592899144786</v>
      </c>
      <c r="N433" s="5">
        <v>829529017920011</v>
      </c>
      <c r="O433" s="5">
        <v>927131140833314</v>
      </c>
      <c r="P433" s="5">
        <v>778276070997669</v>
      </c>
    </row>
    <row r="434" spans="1:16" x14ac:dyDescent="0.45">
      <c r="A434" s="1" t="s">
        <v>428</v>
      </c>
      <c r="B434" s="2">
        <v>4071818</v>
      </c>
      <c r="C434" s="3" t="s">
        <v>1449</v>
      </c>
      <c r="D434" s="3" t="s">
        <v>1450</v>
      </c>
      <c r="E434" s="3" t="s">
        <v>890</v>
      </c>
      <c r="F434" s="5">
        <v>2400776</v>
      </c>
      <c r="G434" s="5">
        <v>24704914259542</v>
      </c>
      <c r="H434" s="5">
        <v>238892232115383</v>
      </c>
      <c r="I434" s="5">
        <v>212904210923082</v>
      </c>
      <c r="J434" s="5">
        <v>132730426666667</v>
      </c>
      <c r="K434" s="5">
        <v>108062481832057</v>
      </c>
      <c r="L434" s="5">
        <v>125692053908046</v>
      </c>
      <c r="M434" s="5">
        <v>114168004137925</v>
      </c>
      <c r="N434" s="5">
        <v>103232832000001</v>
      </c>
      <c r="O434" s="5">
        <v>109581633333331</v>
      </c>
      <c r="P434" s="5">
        <v>121303295289133</v>
      </c>
    </row>
    <row r="435" spans="1:16" x14ac:dyDescent="0.45">
      <c r="A435" s="1" t="s">
        <v>429</v>
      </c>
      <c r="B435" s="2">
        <v>3005566</v>
      </c>
      <c r="C435" s="3" t="s">
        <v>1451</v>
      </c>
      <c r="D435" s="3" t="s">
        <v>1452</v>
      </c>
      <c r="E435" s="3" t="s">
        <v>753</v>
      </c>
      <c r="F435" s="5">
        <v>272609427435118</v>
      </c>
      <c r="G435" s="5">
        <v>249549068321832</v>
      </c>
      <c r="H435" s="5">
        <v>23420603089656</v>
      </c>
      <c r="I435" s="5">
        <v>220743161655173</v>
      </c>
      <c r="J435" s="5">
        <v>19629447586153</v>
      </c>
      <c r="K435" s="5">
        <v>192263871126438</v>
      </c>
      <c r="L435" s="5">
        <v>187169207632178</v>
      </c>
      <c r="M435" s="5">
        <v>183499809620692</v>
      </c>
      <c r="N435" s="5">
        <v>206208215312968</v>
      </c>
      <c r="O435" s="5">
        <v>218530738153841</v>
      </c>
      <c r="P435" s="5">
        <v>207575254626923</v>
      </c>
    </row>
    <row r="436" spans="1:16" x14ac:dyDescent="0.45">
      <c r="A436" s="1" t="s">
        <v>430</v>
      </c>
      <c r="B436" s="2">
        <v>4216584</v>
      </c>
      <c r="C436" s="3" t="s">
        <v>1453</v>
      </c>
      <c r="D436" s="3" t="s">
        <v>1454</v>
      </c>
      <c r="E436" s="3" t="s">
        <v>1065</v>
      </c>
      <c r="F436" s="5">
        <v>148708088888889</v>
      </c>
      <c r="G436" s="5">
        <v>471538408396946</v>
      </c>
      <c r="H436" s="5">
        <v>-53272135384615</v>
      </c>
      <c r="I436" s="5">
        <v>-214045788461543</v>
      </c>
      <c r="J436" s="5">
        <v>175366586666667</v>
      </c>
      <c r="K436" s="5">
        <v>24419314076335</v>
      </c>
      <c r="L436" s="5">
        <v>293281459118773</v>
      </c>
      <c r="M436" s="5">
        <v>231811055172402</v>
      </c>
      <c r="N436" s="5">
        <v>197774240000003</v>
      </c>
      <c r="O436" s="5">
        <v>191858272222218</v>
      </c>
      <c r="P436" s="5">
        <v>190382760459762</v>
      </c>
    </row>
    <row r="437" spans="1:16" x14ac:dyDescent="0.45">
      <c r="A437" s="1" t="s">
        <v>431</v>
      </c>
      <c r="B437" s="2">
        <v>4063852</v>
      </c>
      <c r="C437" s="3" t="s">
        <v>1455</v>
      </c>
      <c r="D437" s="3" t="s">
        <v>1456</v>
      </c>
      <c r="E437" s="3" t="s">
        <v>1253</v>
      </c>
      <c r="F437" s="5">
        <v>416169955555556</v>
      </c>
      <c r="G437" s="5">
        <v>398403725839694</v>
      </c>
      <c r="H437" s="5">
        <v>353575301346151</v>
      </c>
      <c r="I437" s="5">
        <v>326110650153854</v>
      </c>
      <c r="J437" s="5">
        <v>250149057777779</v>
      </c>
      <c r="K437" s="5">
        <v>217352946412206</v>
      </c>
      <c r="L437" s="5">
        <v>247453439463601</v>
      </c>
      <c r="M437" s="5">
        <v>231811055172402</v>
      </c>
      <c r="N437" s="5">
        <v>232362560000003</v>
      </c>
      <c r="O437" s="5">
        <v>218078299999995</v>
      </c>
      <c r="P437" s="5">
        <v>187137599770107</v>
      </c>
    </row>
    <row r="438" spans="1:16" x14ac:dyDescent="0.45">
      <c r="A438" s="1" t="s">
        <v>432</v>
      </c>
      <c r="B438" s="2">
        <v>4337758</v>
      </c>
      <c r="C438" s="3" t="s">
        <v>1457</v>
      </c>
      <c r="D438" s="3" t="s">
        <v>1458</v>
      </c>
      <c r="E438" s="3" t="s">
        <v>492</v>
      </c>
      <c r="F438" s="5">
        <v>786797837333334</v>
      </c>
      <c r="G438" s="5">
        <v>791006604670991</v>
      </c>
      <c r="H438" s="5">
        <v>79755230660384</v>
      </c>
      <c r="I438" s="5">
        <v>840640575660019</v>
      </c>
      <c r="J438" s="5">
        <v>69938952577778</v>
      </c>
      <c r="K438" s="5">
        <v>572425035153416</v>
      </c>
      <c r="L438" s="5">
        <v>640338927968197</v>
      </c>
      <c r="M438" s="5">
        <v>585871717448245</v>
      </c>
      <c r="N438" s="5">
        <v>601279807360008</v>
      </c>
      <c r="O438" s="5">
        <v>568308252416655</v>
      </c>
      <c r="P438" s="5">
        <v>521249428608216</v>
      </c>
    </row>
    <row r="439" spans="1:16" x14ac:dyDescent="0.45">
      <c r="A439" s="1" t="s">
        <v>433</v>
      </c>
      <c r="B439" s="2">
        <v>4009725</v>
      </c>
      <c r="C439" s="3" t="s">
        <v>1459</v>
      </c>
      <c r="D439" s="3" t="s">
        <v>1460</v>
      </c>
      <c r="E439" s="3" t="s">
        <v>528</v>
      </c>
      <c r="F439" s="5">
        <v>211736213333333</v>
      </c>
      <c r="G439" s="5">
        <v>207902208847328</v>
      </c>
      <c r="H439" s="5">
        <v>202045671807691</v>
      </c>
      <c r="I439" s="5">
        <v>192983682876927</v>
      </c>
      <c r="J439" s="5">
        <v>151180717333334</v>
      </c>
      <c r="K439" s="5">
        <v>15326101826717</v>
      </c>
      <c r="L439" s="5">
        <v>140038993394636</v>
      </c>
      <c r="M439" s="5">
        <v>126661221517235</v>
      </c>
      <c r="N439" s="5">
        <v>158325817600002</v>
      </c>
      <c r="O439" s="5">
        <v>152085202499997</v>
      </c>
      <c r="P439" s="5">
        <v>112724262289267</v>
      </c>
    </row>
    <row r="440" spans="1:16" x14ac:dyDescent="0.45">
      <c r="A440" s="1" t="s">
        <v>434</v>
      </c>
      <c r="B440" s="2">
        <v>102952</v>
      </c>
      <c r="C440" s="3" t="s">
        <v>1461</v>
      </c>
      <c r="D440" s="3" t="s">
        <v>1462</v>
      </c>
      <c r="E440" s="3" t="s">
        <v>504</v>
      </c>
      <c r="F440" s="5">
        <v>466211379555556</v>
      </c>
      <c r="G440" s="5">
        <v>118642576976107</v>
      </c>
      <c r="H440" s="5">
        <v>95698674414807</v>
      </c>
      <c r="I440" s="5">
        <v>790320789079249</v>
      </c>
      <c r="J440" s="5">
        <v>752292202400002</v>
      </c>
      <c r="K440" s="5">
        <v>763186015155699</v>
      </c>
      <c r="L440" s="5">
        <v>112466426902375</v>
      </c>
      <c r="M440" s="5">
        <v>100915361875857</v>
      </c>
      <c r="N440" s="5">
        <v>998646391360014</v>
      </c>
      <c r="O440" s="5">
        <v>117047017724998</v>
      </c>
      <c r="P440" s="5">
        <v>103934113557869</v>
      </c>
    </row>
    <row r="441" spans="1:16" x14ac:dyDescent="0.45">
      <c r="A441" s="1" t="s">
        <v>435</v>
      </c>
      <c r="B441" s="2">
        <v>4102413</v>
      </c>
      <c r="C441" s="3" t="s">
        <v>1463</v>
      </c>
      <c r="D441" s="3" t="s">
        <v>1464</v>
      </c>
      <c r="E441" s="3" t="s">
        <v>507</v>
      </c>
      <c r="F441" s="5">
        <v>566030133333334</v>
      </c>
      <c r="G441" s="5">
        <v>548833723969465</v>
      </c>
      <c r="H441" s="5">
        <v>653138576538457</v>
      </c>
      <c r="I441" s="5">
        <v>726614103230786</v>
      </c>
      <c r="J441" s="5">
        <v>650201440000002</v>
      </c>
      <c r="K441" s="5">
        <v>370675363816781</v>
      </c>
      <c r="L441" s="5">
        <v>264426780076627</v>
      </c>
      <c r="M441" s="5">
        <v>212655918620679</v>
      </c>
      <c r="N441" s="5">
        <v>212141696000003</v>
      </c>
      <c r="O441" s="5">
        <v>206957391666662</v>
      </c>
      <c r="P441" s="5">
        <v>117276501590033</v>
      </c>
    </row>
    <row r="442" spans="1:16" x14ac:dyDescent="0.45">
      <c r="A442" s="1" t="s">
        <v>436</v>
      </c>
      <c r="B442" s="2">
        <v>4071659</v>
      </c>
      <c r="C442" s="3" t="s">
        <v>1465</v>
      </c>
      <c r="D442" s="3" t="s">
        <v>1466</v>
      </c>
      <c r="E442" s="3" t="s">
        <v>561</v>
      </c>
      <c r="F442" s="5">
        <v>19666967165384</v>
      </c>
      <c r="G442" s="5">
        <v>104487492692307</v>
      </c>
      <c r="H442" s="5">
        <v>-362350573563223</v>
      </c>
      <c r="I442" s="5">
        <v>236358970229017</v>
      </c>
      <c r="J442" s="5">
        <v>92999854486688</v>
      </c>
      <c r="K442" s="5">
        <v>33277865056603</v>
      </c>
      <c r="L442" s="5">
        <v>194616214615381</v>
      </c>
      <c r="M442" s="5">
        <v>32114829884614</v>
      </c>
      <c r="N442" s="5">
        <v>200619898735631</v>
      </c>
      <c r="O442" s="5">
        <v>731005334410631</v>
      </c>
      <c r="P442" s="5">
        <v>149595117462118</v>
      </c>
    </row>
    <row r="443" spans="1:16" x14ac:dyDescent="0.45">
      <c r="A443" s="1" t="s">
        <v>437</v>
      </c>
      <c r="B443" s="2">
        <v>4994265</v>
      </c>
      <c r="C443" s="3" t="s">
        <v>1467</v>
      </c>
      <c r="D443" s="3" t="s">
        <v>1468</v>
      </c>
      <c r="E443" s="3" t="s">
        <v>671</v>
      </c>
      <c r="F443" s="5">
        <v>175294755555556</v>
      </c>
      <c r="G443" s="5">
        <v>15505292370229</v>
      </c>
      <c r="H443" s="5">
        <v>122266949615384</v>
      </c>
      <c r="I443" s="5">
        <v>100649086307695</v>
      </c>
      <c r="J443" s="5">
        <v>744440888888891</v>
      </c>
      <c r="K443" s="5">
        <v>763980695419821</v>
      </c>
      <c r="L443" s="5">
        <v>657493615325668</v>
      </c>
      <c r="M443" s="5">
        <v>408868932413772</v>
      </c>
      <c r="N443" s="5">
        <v>419405552000006</v>
      </c>
      <c r="O443" s="5">
        <v>421417327833324</v>
      </c>
      <c r="P443" s="5">
        <v>547681262425456</v>
      </c>
    </row>
    <row r="444" spans="1:16" x14ac:dyDescent="0.45">
      <c r="A444" s="1" t="s">
        <v>438</v>
      </c>
      <c r="B444" s="2">
        <v>4006248</v>
      </c>
      <c r="C444" s="3" t="s">
        <v>1469</v>
      </c>
      <c r="D444" s="3" t="s">
        <v>1470</v>
      </c>
      <c r="E444" s="3" t="s">
        <v>1471</v>
      </c>
      <c r="F444" s="5">
        <v>174585777777778</v>
      </c>
      <c r="G444" s="5">
        <v>628717877862595</v>
      </c>
      <c r="H444" s="5">
        <v>985904449999993</v>
      </c>
      <c r="I444" s="5">
        <v>28977043184616</v>
      </c>
      <c r="J444" s="5">
        <v>29980664888889</v>
      </c>
      <c r="K444" s="5">
        <v>138411198320606</v>
      </c>
      <c r="L444" s="5">
        <v>142933394636015</v>
      </c>
      <c r="M444" s="5">
        <v>971317986206846</v>
      </c>
      <c r="N444" s="5">
        <v>125493520000002</v>
      </c>
      <c r="O444" s="5">
        <v>902330611111092</v>
      </c>
      <c r="P444" s="5">
        <v>680582311302654</v>
      </c>
    </row>
    <row r="445" spans="1:16" x14ac:dyDescent="0.45">
      <c r="A445" s="1" t="s">
        <v>439</v>
      </c>
      <c r="B445" s="2">
        <v>4252151</v>
      </c>
      <c r="C445" s="3" t="s">
        <v>1472</v>
      </c>
      <c r="D445" s="3" t="s">
        <v>1473</v>
      </c>
      <c r="E445" s="3" t="s">
        <v>1474</v>
      </c>
      <c r="F445" s="5">
        <v>133210037526872</v>
      </c>
      <c r="G445" s="5">
        <v>116284499164648</v>
      </c>
      <c r="H445" s="5">
        <v>144606930216608</v>
      </c>
      <c r="I445" s="5">
        <v>123623731921847</v>
      </c>
      <c r="J445" s="5">
        <v>816411081158041</v>
      </c>
      <c r="K445" s="5">
        <v>417229079081228</v>
      </c>
      <c r="L445" s="5">
        <v>376439248061056</v>
      </c>
      <c r="M445" s="5">
        <v>40090901962675</v>
      </c>
      <c r="N445" s="5">
        <v>432848423419981</v>
      </c>
      <c r="O445" s="5">
        <v>44237583924922</v>
      </c>
      <c r="P445" s="5">
        <v>38005532733</v>
      </c>
    </row>
    <row r="446" spans="1:16" x14ac:dyDescent="0.45">
      <c r="A446" s="1" t="s">
        <v>440</v>
      </c>
      <c r="B446" s="2">
        <v>4248534</v>
      </c>
      <c r="C446" s="3" t="s">
        <v>1475</v>
      </c>
      <c r="D446" s="3" t="s">
        <v>1476</v>
      </c>
      <c r="E446" s="3" t="s">
        <v>555</v>
      </c>
      <c r="F446" s="5">
        <v>195943733333333</v>
      </c>
      <c r="G446" s="5">
        <v>203686100725191</v>
      </c>
      <c r="H446" s="5">
        <v>178313675384614</v>
      </c>
      <c r="I446" s="5">
        <v>172283076846158</v>
      </c>
      <c r="J446" s="5">
        <v>147957626666667</v>
      </c>
      <c r="K446" s="5">
        <v>120605448473278</v>
      </c>
      <c r="L446" s="5">
        <v>11622271651341</v>
      </c>
      <c r="M446" s="5">
        <v>109421598620684</v>
      </c>
      <c r="N446" s="5">
        <v>101015632000001</v>
      </c>
      <c r="O446" s="5">
        <v>923125805555536</v>
      </c>
      <c r="P446" s="5">
        <v>61928483160917</v>
      </c>
    </row>
    <row r="447" spans="1:16" x14ac:dyDescent="0.45">
      <c r="A447" s="1" t="s">
        <v>441</v>
      </c>
      <c r="B447" s="2">
        <v>4334777</v>
      </c>
      <c r="C447" s="3" t="s">
        <v>1477</v>
      </c>
      <c r="D447" s="3" t="s">
        <v>1478</v>
      </c>
      <c r="E447" s="3" t="s">
        <v>483</v>
      </c>
      <c r="F447" s="5">
        <v>463514053053441</v>
      </c>
      <c r="G447" s="5">
        <v>169063673563214</v>
      </c>
      <c r="H447" s="5">
        <v>-17378301379311</v>
      </c>
      <c r="I447" s="5">
        <v>-987056000000003</v>
      </c>
      <c r="J447" s="5">
        <v>-216421014744991</v>
      </c>
      <c r="K447" s="5">
        <v>-449788913712645</v>
      </c>
      <c r="L447" s="5">
        <v>-373608730691176</v>
      </c>
      <c r="M447" s="5">
        <v>-265756138762073</v>
      </c>
      <c r="N447" s="5">
        <v>-319843761693879</v>
      </c>
      <c r="O447" s="5">
        <v>-226453327329225</v>
      </c>
      <c r="P447" s="5">
        <v>-164933132845385</v>
      </c>
    </row>
    <row r="448" spans="1:16" x14ac:dyDescent="0.45">
      <c r="A448" s="1" t="s">
        <v>442</v>
      </c>
      <c r="B448" s="2">
        <v>4107971</v>
      </c>
      <c r="C448" s="3" t="s">
        <v>1479</v>
      </c>
      <c r="D448" s="3" t="s">
        <v>1480</v>
      </c>
      <c r="E448" s="3" t="s">
        <v>1054</v>
      </c>
      <c r="F448" s="5">
        <v>101267195377778</v>
      </c>
      <c r="G448" s="5">
        <v>106801692790191</v>
      </c>
      <c r="H448" s="5">
        <v>864433807824994</v>
      </c>
      <c r="I448" s="5">
        <v>-223205996893082</v>
      </c>
      <c r="J448" s="5">
        <v>-325089722577779</v>
      </c>
      <c r="K448" s="5">
        <v>-108066428919462</v>
      </c>
      <c r="L448" s="5">
        <v>784619469848656</v>
      </c>
      <c r="M448" s="5">
        <v>101632492895167</v>
      </c>
      <c r="N448" s="5">
        <v>936159487200013</v>
      </c>
      <c r="O448" s="5">
        <v>493535062166656</v>
      </c>
      <c r="P448" s="5">
        <v>59387702627622</v>
      </c>
    </row>
    <row r="449" spans="1:16" x14ac:dyDescent="0.45">
      <c r="A449" s="1" t="s">
        <v>443</v>
      </c>
      <c r="B449" s="2">
        <v>4025308</v>
      </c>
      <c r="C449" s="3" t="s">
        <v>1481</v>
      </c>
      <c r="D449" s="3" t="s">
        <v>1482</v>
      </c>
      <c r="E449" s="3" t="s">
        <v>512</v>
      </c>
      <c r="F449" s="5">
        <v>2568272</v>
      </c>
      <c r="G449" s="5">
        <v>222547637061068</v>
      </c>
      <c r="H449" s="5">
        <v>241666822499998</v>
      </c>
      <c r="I449" s="5">
        <v>233928263923082</v>
      </c>
      <c r="J449" s="5">
        <v>186533200000001</v>
      </c>
      <c r="K449" s="5">
        <v>184899116641215</v>
      </c>
      <c r="L449" s="5">
        <v>185634746283524</v>
      </c>
      <c r="M449" s="5">
        <v>156885653793095</v>
      </c>
      <c r="N449" s="5">
        <v>186599552000003</v>
      </c>
      <c r="O449" s="5">
        <v>19900096944444</v>
      </c>
      <c r="P449" s="5">
        <v>180286704980835</v>
      </c>
    </row>
    <row r="450" spans="1:16" x14ac:dyDescent="0.45">
      <c r="A450" s="1" t="s">
        <v>444</v>
      </c>
      <c r="B450" s="2">
        <v>4317520</v>
      </c>
      <c r="C450" s="3" t="s">
        <v>1483</v>
      </c>
      <c r="D450" s="3" t="s">
        <v>1484</v>
      </c>
      <c r="E450" s="3" t="s">
        <v>809</v>
      </c>
      <c r="F450" s="5">
        <v>116892711111111</v>
      </c>
      <c r="G450" s="5">
        <v>986532317175571</v>
      </c>
      <c r="H450" s="5">
        <v>67052600961538</v>
      </c>
      <c r="I450" s="5">
        <v>619305814615399</v>
      </c>
      <c r="J450" s="5">
        <v>488962311111113</v>
      </c>
      <c r="K450" s="5">
        <v>425408309160291</v>
      </c>
      <c r="L450" s="5">
        <v>616400264367814</v>
      </c>
      <c r="M450" s="5">
        <v>582282248275832</v>
      </c>
      <c r="N450" s="5">
        <v>514390400000007</v>
      </c>
      <c r="O450" s="5">
        <v>439411499999991</v>
      </c>
      <c r="P450" s="5">
        <v>410152253831401</v>
      </c>
    </row>
    <row r="451" spans="1:16" x14ac:dyDescent="0.45">
      <c r="A451" s="1" t="s">
        <v>445</v>
      </c>
      <c r="B451" s="2">
        <v>4025819</v>
      </c>
      <c r="C451" s="3" t="s">
        <v>1485</v>
      </c>
      <c r="D451" s="3" t="s">
        <v>1486</v>
      </c>
      <c r="E451" s="3" t="s">
        <v>702</v>
      </c>
      <c r="F451" s="5">
        <v>239634488888889</v>
      </c>
      <c r="G451" s="5">
        <v>235954121221374</v>
      </c>
      <c r="H451" s="5">
        <v>220117503846152</v>
      </c>
      <c r="I451" s="5">
        <v>203200801846158</v>
      </c>
      <c r="J451" s="5">
        <v>183064782222223</v>
      </c>
      <c r="K451" s="5">
        <v>148849051679384</v>
      </c>
      <c r="L451" s="5">
        <v>17250274065134</v>
      </c>
      <c r="M451" s="5">
        <v>149427016551716</v>
      </c>
      <c r="N451" s="5">
        <v>154849248000002</v>
      </c>
      <c r="O451" s="5">
        <v>143306013888886</v>
      </c>
      <c r="P451" s="5">
        <v>137017895785435</v>
      </c>
    </row>
    <row r="452" spans="1:16" x14ac:dyDescent="0.45">
      <c r="A452" s="1" t="s">
        <v>446</v>
      </c>
      <c r="B452" s="2">
        <v>4376897</v>
      </c>
      <c r="C452" s="3" t="s">
        <v>1487</v>
      </c>
      <c r="D452" s="3" t="s">
        <v>1488</v>
      </c>
      <c r="E452" s="3" t="s">
        <v>1036</v>
      </c>
      <c r="F452" s="5">
        <v>708977777777778</v>
      </c>
      <c r="G452" s="5">
        <v>707307612595419</v>
      </c>
      <c r="H452" s="5">
        <v>541045124999996</v>
      </c>
      <c r="I452" s="5">
        <v>89043048000002</v>
      </c>
      <c r="J452" s="5">
        <v>855261066666669</v>
      </c>
      <c r="K452" s="5">
        <v>600834416030514</v>
      </c>
      <c r="L452" s="5">
        <v>646773610727967</v>
      </c>
      <c r="M452" s="5">
        <v>544141489655144</v>
      </c>
      <c r="N452" s="5">
        <v>344109440000005</v>
      </c>
      <c r="O452" s="5">
        <v>258583722222217</v>
      </c>
      <c r="P452" s="5">
        <v>200118242528727</v>
      </c>
    </row>
    <row r="453" spans="1:16" x14ac:dyDescent="0.45">
      <c r="A453" s="1" t="s">
        <v>447</v>
      </c>
      <c r="B453" s="2">
        <v>4812735</v>
      </c>
      <c r="C453" s="3" t="s">
        <v>1489</v>
      </c>
      <c r="D453" s="3" t="s">
        <v>1490</v>
      </c>
      <c r="E453" s="3" t="s">
        <v>474</v>
      </c>
      <c r="F453" s="5">
        <v>124212906666667</v>
      </c>
      <c r="G453" s="5">
        <v>147378867251908</v>
      </c>
      <c r="H453" s="5">
        <v>139228945499999</v>
      </c>
      <c r="I453" s="5">
        <v>122358085830772</v>
      </c>
      <c r="J453" s="5">
        <v>103409607111111</v>
      </c>
      <c r="K453" s="5">
        <v>783277567175546</v>
      </c>
      <c r="L453" s="5">
        <v>124075119881226</v>
      </c>
      <c r="M453" s="5">
        <v>110269171034477</v>
      </c>
      <c r="N453" s="5">
        <v>148250860800002</v>
      </c>
      <c r="O453" s="5">
        <v>160213411111108</v>
      </c>
      <c r="P453" s="5">
        <v>146446890455933</v>
      </c>
    </row>
    <row r="454" spans="1:16" x14ac:dyDescent="0.45">
      <c r="A454" s="1" t="s">
        <v>448</v>
      </c>
      <c r="B454" s="2">
        <v>4810470</v>
      </c>
      <c r="C454" s="3" t="s">
        <v>1491</v>
      </c>
      <c r="D454" s="3" t="s">
        <v>1492</v>
      </c>
      <c r="E454" s="3" t="s">
        <v>637</v>
      </c>
      <c r="F454" s="5">
        <v>321255555555556</v>
      </c>
      <c r="G454" s="5">
        <v>314266480419847</v>
      </c>
      <c r="H454" s="5">
        <v>283933082692306</v>
      </c>
      <c r="I454" s="5">
        <v>279305971076929</v>
      </c>
      <c r="J454" s="5">
        <v>237798106666667</v>
      </c>
      <c r="K454" s="5">
        <v>201827735954192</v>
      </c>
      <c r="L454" s="5">
        <v>187332080344827</v>
      </c>
      <c r="M454" s="5">
        <v>160275943448267</v>
      </c>
      <c r="N454" s="5">
        <v>155026624000002</v>
      </c>
      <c r="O454" s="5">
        <v>132365933333331</v>
      </c>
      <c r="P454" s="5">
        <v>113490480785436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2026-04-07T15:24:43Z</dcterms:created>
  <dcterms:modified xsi:type="dcterms:W3CDTF">2026-04-07T16:31:37Z</dcterms:modified>
</cp:coreProperties>
</file>