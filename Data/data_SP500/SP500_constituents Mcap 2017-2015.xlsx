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ton\OneDrive\Bureau\Edhec course\Master 2\Research Thesis\Data-Analysis\Data\"/>
    </mc:Choice>
  </mc:AlternateContent>
  <xr:revisionPtr revIDLastSave="0" documentId="8_{FC101D83-E3A8-46F6-BF80-094342903D1D}" xr6:coauthVersionLast="47" xr6:coauthVersionMax="47" xr10:uidLastSave="{00000000-0000-0000-0000-000000000000}"/>
  <bookViews>
    <workbookView xWindow="-98" yWindow="-98" windowWidth="19396" windowHeight="11475" firstSheet="1" activeTab="1" xr2:uid="{34F59E71-9A75-47EE-BF1A-C6E756EC2ECE}"/>
  </bookViews>
  <sheets>
    <sheet name="__snloffice" sheetId="2" state="veryHidden" r:id="rId1"/>
    <sheet name="Feuil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 i="1" l="1"/>
  <c r="AK4" i="1"/>
  <c r="O2" i="1"/>
  <c r="AE2" i="1"/>
  <c r="AC2" i="1"/>
  <c r="C2" i="1"/>
  <c r="V4" i="1"/>
  <c r="AL4" i="1"/>
  <c r="P2" i="1"/>
  <c r="AF2" i="1"/>
  <c r="D2" i="1"/>
  <c r="W4" i="1"/>
  <c r="AM4" i="1"/>
  <c r="Q2" i="1"/>
  <c r="AG2" i="1"/>
  <c r="H4" i="1"/>
  <c r="X4" i="1"/>
  <c r="AN4" i="1"/>
  <c r="R2" i="1"/>
  <c r="AH2" i="1"/>
  <c r="I4" i="1"/>
  <c r="Y4" i="1"/>
  <c r="AO4" i="1"/>
  <c r="S2" i="1"/>
  <c r="AI2" i="1"/>
  <c r="AH4" i="1"/>
  <c r="J4" i="1"/>
  <c r="Z4" i="1"/>
  <c r="AP4" i="1"/>
  <c r="T2" i="1"/>
  <c r="AJ2" i="1"/>
  <c r="K4" i="1"/>
  <c r="AA4" i="1"/>
  <c r="E2" i="1"/>
  <c r="U2" i="1"/>
  <c r="AK2" i="1"/>
  <c r="AI4" i="1"/>
  <c r="L4" i="1"/>
  <c r="AB4" i="1"/>
  <c r="F2" i="1"/>
  <c r="V2" i="1"/>
  <c r="AL2" i="1"/>
  <c r="AB2" i="1"/>
  <c r="M4" i="1"/>
  <c r="AC4" i="1"/>
  <c r="G2" i="1"/>
  <c r="W2" i="1"/>
  <c r="AM2" i="1"/>
  <c r="R4" i="1"/>
  <c r="N4" i="1"/>
  <c r="AD4" i="1"/>
  <c r="H2" i="1"/>
  <c r="X2" i="1"/>
  <c r="AN2" i="1"/>
  <c r="L2" i="1"/>
  <c r="O4" i="1"/>
  <c r="AE4" i="1"/>
  <c r="I2" i="1"/>
  <c r="Y2" i="1"/>
  <c r="AO2" i="1"/>
  <c r="P4" i="1"/>
  <c r="AF4" i="1"/>
  <c r="J2" i="1"/>
  <c r="Z2" i="1"/>
  <c r="AP2" i="1"/>
  <c r="Q4" i="1"/>
  <c r="AG4" i="1"/>
  <c r="K2" i="1"/>
  <c r="AA2" i="1"/>
  <c r="M2" i="1"/>
  <c r="T4" i="1"/>
  <c r="AJ4" i="1"/>
  <c r="N2" i="1"/>
  <c r="AD2" i="1"/>
  <c r="S4" i="1"/>
  <c r="C1" i="1" s="1"/>
</calcChain>
</file>

<file path=xl/sharedStrings.xml><?xml version="1.0" encoding="utf-8"?>
<sst xmlns="http://schemas.openxmlformats.org/spreadsheetml/2006/main" count="1865" uniqueCount="1497">
  <si>
    <t>3M Company (NYSE:MMM)</t>
  </si>
  <si>
    <t>A. O. Smith Corporation (NYSE:AOS)</t>
  </si>
  <si>
    <t>Abbott Laboratories (NYSE:ABT)</t>
  </si>
  <si>
    <t>AbbVie Inc. (NYSE:ABBV)</t>
  </si>
  <si>
    <t>Accenture plc (NYSE:ACN)</t>
  </si>
  <si>
    <t>Adobe Inc. (NASDAQGS:ADBE)</t>
  </si>
  <si>
    <t>Advanced Micro Devices, Inc. (NASDAQGS:AMD)</t>
  </si>
  <si>
    <t>Aflac Incorporated (NYSE:AFL)</t>
  </si>
  <si>
    <t>Agilent Technologies, Inc. (NYSE:A)</t>
  </si>
  <si>
    <t>Air Products and Chemicals, Inc. (NYSE:APD)</t>
  </si>
  <si>
    <t>Akamai Technologies, Inc. (NASDAQGS:AKAM)</t>
  </si>
  <si>
    <t>Albemarle Corporation (NYSE:ALB)</t>
  </si>
  <si>
    <t>Alexandria Real Estate Equities, Inc. (NYSE:ARE)</t>
  </si>
  <si>
    <t>Align Technology, Inc. (NASDAQGS:ALGN)</t>
  </si>
  <si>
    <t>Allegion plc (NYSE:ALLE)</t>
  </si>
  <si>
    <t>Alliant Energy Corporation (NASDAQGS:LNT)</t>
  </si>
  <si>
    <t>Alphabet Inc. (NASDAQGS:GOOGL)</t>
  </si>
  <si>
    <t>Altria Group, Inc. (NYSE:MO)</t>
  </si>
  <si>
    <t>Amazon.com, Inc. (NASDAQGS:AMZN)</t>
  </si>
  <si>
    <t>Ameren Corporation (NYSE:AEE)</t>
  </si>
  <si>
    <t>American Electric Power Company, Inc. (NASDAQGS:AEP)</t>
  </si>
  <si>
    <t>American Express Company (NYSE:AXP)</t>
  </si>
  <si>
    <t>American International Group, Inc. (NYSE:AIG)</t>
  </si>
  <si>
    <t>American Tower Corporation (NYSE:AMT)</t>
  </si>
  <si>
    <t>American Water Works Company, Inc. (NYSE:AWK)</t>
  </si>
  <si>
    <t>Ameriprise Financial, Inc. (NYSE:AMP)</t>
  </si>
  <si>
    <t>AMETEK, Inc. (NYSE:AME)</t>
  </si>
  <si>
    <t>Amgen Inc. (NASDAQGS:AMGN)</t>
  </si>
  <si>
    <t>Amphenol Corporation (NYSE:APH)</t>
  </si>
  <si>
    <t>Analog Devices, Inc. (NASDAQGS:ADI)</t>
  </si>
  <si>
    <t>Aon plc (NYSE:AON)</t>
  </si>
  <si>
    <t>APA Corporation (NASDAQGS:APA)</t>
  </si>
  <si>
    <t>Apollo Global Management, Inc. (NYSE:APO)</t>
  </si>
  <si>
    <t>Apple Inc. (NASDAQGS:AAPL)</t>
  </si>
  <si>
    <t>Applied Materials, Inc. (NASDAQGS:AMAT)</t>
  </si>
  <si>
    <t>Aptiv PLC (NYSE:APTV)</t>
  </si>
  <si>
    <t>Arch Capital Group Ltd. (NASDAQGS:ACGL)</t>
  </si>
  <si>
    <t>Archer-Daniels-Midland Company (NYSE:ADM)</t>
  </si>
  <si>
    <t>Ares Management Corporation (NYSE:ARES)</t>
  </si>
  <si>
    <t>Arista Networks, Inc. (NYSE:ANET)</t>
  </si>
  <si>
    <t>Arthur J. Gallagher &amp; Co. (NYSE:AJG)</t>
  </si>
  <si>
    <t>Assurant, Inc. (NYSE:AIZ)</t>
  </si>
  <si>
    <t>AT&amp;T Inc. (NYSE:T)</t>
  </si>
  <si>
    <t>Atmos Energy Corporation (NYSE:ATO)</t>
  </si>
  <si>
    <t>Autodesk, Inc. (NASDAQGS:ADSK)</t>
  </si>
  <si>
    <t>Automatic Data Processing, Inc. (NASDAQGS:ADP)</t>
  </si>
  <si>
    <t>AutoZone, Inc. (NYSE:AZO)</t>
  </si>
  <si>
    <t>AvalonBay Communities, Inc. (NYSE:AVB)</t>
  </si>
  <si>
    <t>Avery Dennison Corporation (NYSE:AVY)</t>
  </si>
  <si>
    <t>Axon Enterprise, Inc. (NASDAQGS:AXON)</t>
  </si>
  <si>
    <t>Ball Corporation (NYSE:BALL)</t>
  </si>
  <si>
    <t>Bank of America Corporation (NYSE:BAC)</t>
  </si>
  <si>
    <t>Baxter International Inc. (NYSE:BAX)</t>
  </si>
  <si>
    <t>Becton, Dickinson and Company (NYSE:BDX)</t>
  </si>
  <si>
    <t>Berkshire Hathaway Inc. (NYSE:BRK.A)</t>
  </si>
  <si>
    <t>Best Buy Co., Inc. (NYSE:BBY)</t>
  </si>
  <si>
    <t>Bio-Techne Corporation (NASDAQGS:TECH)</t>
  </si>
  <si>
    <t>Biogen Inc. (NASDAQGS:BIIB)</t>
  </si>
  <si>
    <t>BlackRock, Inc. (NYSE:BLK)</t>
  </si>
  <si>
    <t>Blackstone Inc. (NYSE:BX)</t>
  </si>
  <si>
    <t>Booking Holdings Inc. (NASDAQGS:BKNG)</t>
  </si>
  <si>
    <t>Boston Scientific Corporation (NYSE:BSX)</t>
  </si>
  <si>
    <t>Bristol-Myers Squibb Company (NYSE:BMY)</t>
  </si>
  <si>
    <t>Broadcom Inc. (NASDAQGS:AVGO)</t>
  </si>
  <si>
    <t>Broadridge Financial Solutions, Inc. (NYSE:BR)</t>
  </si>
  <si>
    <t>Brown &amp; Brown, Inc. (NYSE:BRO)</t>
  </si>
  <si>
    <t>Brown-Forman Corporation (NYSE:BF.B)</t>
  </si>
  <si>
    <t>Builders FirstSource, Inc. (NYSE:BLDR)</t>
  </si>
  <si>
    <t>Bunge Global SA (NYSE:BG)</t>
  </si>
  <si>
    <t>BXP, Inc. (NYSE:BXP)</t>
  </si>
  <si>
    <t>C.H. Robinson Worldwide, Inc. (NASDAQGS:CHRW)</t>
  </si>
  <si>
    <t>Cadence Design Systems, Inc. (NASDAQGS:CDNS)</t>
  </si>
  <si>
    <t>Camden Property Trust (NYSE:CPT)</t>
  </si>
  <si>
    <t>Capital One Financial Corporation (NYSE:COF)</t>
  </si>
  <si>
    <t>Cardinal Health, Inc. (NYSE:CAH)</t>
  </si>
  <si>
    <t>Carnival Corporation &amp; plc (NYSE:CCL)</t>
  </si>
  <si>
    <t>Caterpillar Inc. (NYSE:CAT)</t>
  </si>
  <si>
    <t>Cboe Global Markets, Inc. (BATS:CBOE)</t>
  </si>
  <si>
    <t>CBRE Group, Inc. (NYSE:CBRE)</t>
  </si>
  <si>
    <t>CDW Corporation (NASDAQGS:CDW)</t>
  </si>
  <si>
    <t>Cencora, Inc. (NYSE:COR)</t>
  </si>
  <si>
    <t>Centene Corporation (NYSE:CNC)</t>
  </si>
  <si>
    <t>CenterPoint Energy, Inc. (NYSE:CNP)</t>
  </si>
  <si>
    <t>CF Industries Holdings, Inc. (NYSE:CF)</t>
  </si>
  <si>
    <t>Charles River Laboratories International, Inc. (NYSE:CRL)</t>
  </si>
  <si>
    <t>Charter Communications, Inc. (NASDAQGS:CHTR)</t>
  </si>
  <si>
    <t>Chevron Corporation (NYSE:CVX)</t>
  </si>
  <si>
    <t>Chipotle Mexican Grill, Inc. (NYSE:CMG)</t>
  </si>
  <si>
    <t>Chubb Limited (NYSE:CB)</t>
  </si>
  <si>
    <t>Church &amp; Dwight Co., Inc. (NYSE:CHD)</t>
  </si>
  <si>
    <t>Ciena Corporation (NYSE:CIEN)</t>
  </si>
  <si>
    <t>Cincinnati Financial Corporation (NASDAQGS:CINF)</t>
  </si>
  <si>
    <t>Cintas Corporation (NASDAQGS:CTAS)</t>
  </si>
  <si>
    <t>Cisco Systems, Inc. (NASDAQGS:CSCO)</t>
  </si>
  <si>
    <t>Citigroup Inc. (NYSE:C)</t>
  </si>
  <si>
    <t>Citizens Financial Group, Inc. (NYSE:CFG)</t>
  </si>
  <si>
    <t>CME Group Inc. (NASDAQGS:CME)</t>
  </si>
  <si>
    <t>CMS Energy Corporation (NYSE:CMS)</t>
  </si>
  <si>
    <t>Cognizant Technology Solutions Corporation (NASDAQGS:CTSH)</t>
  </si>
  <si>
    <t>Coherent Corp. (NYSE:COHR)</t>
  </si>
  <si>
    <t>Colgate-Palmolive Company (NYSE:CL)</t>
  </si>
  <si>
    <t>Comcast Corporation (NASDAQGS:CMCSA)</t>
  </si>
  <si>
    <t>Comfort Systems USA, Inc. (NYSE:FIX)</t>
  </si>
  <si>
    <t>Conagra Brands, Inc. (NYSE:CAG)</t>
  </si>
  <si>
    <t>ConocoPhillips (NYSE:COP)</t>
  </si>
  <si>
    <t>Consolidated Edison, Inc. (NYSE:ED)</t>
  </si>
  <si>
    <t>Constellation Brands, Inc. (NYSE:STZ)</t>
  </si>
  <si>
    <t>Copart, Inc. (NASDAQGS:CPRT)</t>
  </si>
  <si>
    <t>Corning Incorporated (NYSE:GLW)</t>
  </si>
  <si>
    <t>Corpay, Inc. (NYSE:CPAY)</t>
  </si>
  <si>
    <t>CoStar Group, Inc. (NASDAQGS:CSGP)</t>
  </si>
  <si>
    <t>Costco Wholesale Corporation (NASDAQGS:COST)</t>
  </si>
  <si>
    <t>Coterra Energy Inc. (NYSE:CTRA)</t>
  </si>
  <si>
    <t>CRH plc (NYSE:CRH)</t>
  </si>
  <si>
    <t>Crown Castle Inc. (NYSE:CCI)</t>
  </si>
  <si>
    <t>CSX Corporation (NASDAQGS:CSX)</t>
  </si>
  <si>
    <t>Cummins Inc. (NYSE:CMI)</t>
  </si>
  <si>
    <t>CVS Health Corporation (NYSE:CVS)</t>
  </si>
  <si>
    <t>D.R. Horton, Inc. (NYSE:DHI)</t>
  </si>
  <si>
    <t>Danaher Corporation (NYSE:DHR)</t>
  </si>
  <si>
    <t>Darden Restaurants, Inc. (NYSE:DRI)</t>
  </si>
  <si>
    <t>DaVita Inc. (NYSE:DVA)</t>
  </si>
  <si>
    <t>Deckers Outdoor Corporation (NYSE:DECK)</t>
  </si>
  <si>
    <t>Deere &amp; Company (NYSE:DE)</t>
  </si>
  <si>
    <t>Delta Air Lines, Inc. (NYSE:DAL)</t>
  </si>
  <si>
    <t>Devon Energy Corporation (NYSE:DVN)</t>
  </si>
  <si>
    <t>DexCom, Inc. (NASDAQGS:DXCM)</t>
  </si>
  <si>
    <t>Diamondback Energy, Inc. (NASDAQGS:FANG)</t>
  </si>
  <si>
    <t>Digital Realty Trust, Inc. (NYSE:DLR)</t>
  </si>
  <si>
    <t>Dollar General Corporation (NYSE:DG)</t>
  </si>
  <si>
    <t>Dollar Tree, Inc. (NASDAQGS:DLTR)</t>
  </si>
  <si>
    <t>Dominion Energy, Inc. (NYSE:D)</t>
  </si>
  <si>
    <t>Domino's Pizza, Inc. (NASDAQGS:DPZ)</t>
  </si>
  <si>
    <t>Dover Corporation (NYSE:DOV)</t>
  </si>
  <si>
    <t>DTE Energy Company (NYSE:DTE)</t>
  </si>
  <si>
    <t>Duke Energy Corporation (NYSE:DUK)</t>
  </si>
  <si>
    <t>DuPont de Nemours, Inc. (NYSE:DD)</t>
  </si>
  <si>
    <t>Eaton Corporation plc (NYSE:ETN)</t>
  </si>
  <si>
    <t>eBay Inc. (NASDAQGS:EBAY)</t>
  </si>
  <si>
    <t>EchoStar Corporation (NASDAQGS:SATS)</t>
  </si>
  <si>
    <t>Ecolab Inc. (NYSE:ECL)</t>
  </si>
  <si>
    <t>Edison International (NYSE:EIX)</t>
  </si>
  <si>
    <t>Edwards Lifesciences Corporation (NYSE:EW)</t>
  </si>
  <si>
    <t>Electronic Arts Inc. (NASDAQGS:EA)</t>
  </si>
  <si>
    <t>Elevance Health, Inc. (NYSE:ELV)</t>
  </si>
  <si>
    <t>Eli Lilly and Company (NYSE:LLY)</t>
  </si>
  <si>
    <t>EMCOR Group, Inc. (NYSE:EME)</t>
  </si>
  <si>
    <t>Emerson Electric Co. (NYSE:EMR)</t>
  </si>
  <si>
    <t>Entergy Corporation (NYSE:ETR)</t>
  </si>
  <si>
    <t>EOG Resources, Inc. (NYSE:EOG)</t>
  </si>
  <si>
    <t>EPAM Systems, Inc. (NYSE:EPAM)</t>
  </si>
  <si>
    <t>EQT Corporation (NYSE:EQT)</t>
  </si>
  <si>
    <t>Equifax Inc. (NYSE:EFX)</t>
  </si>
  <si>
    <t>Equinix, Inc. (NASDAQGS:EQIX)</t>
  </si>
  <si>
    <t>Equity Residential (NYSE:EQR)</t>
  </si>
  <si>
    <t>Erie Indemnity Company (NASDAQGS:ERIE)</t>
  </si>
  <si>
    <t>Essex Property Trust, Inc. (NYSE:ESS)</t>
  </si>
  <si>
    <t>Everest Group, Ltd. (NYSE:EG)</t>
  </si>
  <si>
    <t>Evergy, Inc. (NASDAQGS:EVRG)</t>
  </si>
  <si>
    <t>Eversource Energy (NYSE:ES)</t>
  </si>
  <si>
    <t>Exelon Corporation (NASDAQGS:EXC)</t>
  </si>
  <si>
    <t>Expedia Group, Inc. (NASDAQGS:EXPE)</t>
  </si>
  <si>
    <t>Expeditors International of Washington, Inc. (NYSE:EXPD)</t>
  </si>
  <si>
    <t>Extra Space Storage Inc. (NYSE:EXR)</t>
  </si>
  <si>
    <t>Exxon Mobil Corporation (NYSE:XOM)</t>
  </si>
  <si>
    <t>F5, Inc. (NASDAQGS:FFIV)</t>
  </si>
  <si>
    <t>FactSet Research Systems Inc. (NYSE:FDS)</t>
  </si>
  <si>
    <t>Fair Isaac Corporation (NYSE:FICO)</t>
  </si>
  <si>
    <t>Fastenal Company (NASDAQGS:FAST)</t>
  </si>
  <si>
    <t>Federal Realty Investment Trust (NYSE:FRT)</t>
  </si>
  <si>
    <t>FedEx Corporation (NYSE:FDX)</t>
  </si>
  <si>
    <t>Fidelity National Information Services, Inc. (NYSE:FIS)</t>
  </si>
  <si>
    <t>Fifth Third Bancorp (NASDAQGS:FITB)</t>
  </si>
  <si>
    <t>First Solar, Inc. (NASDAQGS:FSLR)</t>
  </si>
  <si>
    <t>FirstEnergy Corp. (NYSE:FE)</t>
  </si>
  <si>
    <t>Fiserv, Inc. (NASDAQGS:FISV)</t>
  </si>
  <si>
    <t>Ford Motor Company (NYSE:F)</t>
  </si>
  <si>
    <t>Fortinet, Inc. (NASDAQGS:FTNT)</t>
  </si>
  <si>
    <t>Franklin Resources, Inc. (NYSE:BEN)</t>
  </si>
  <si>
    <t>Freeport-McMoRan Inc. (NYSE:FCX)</t>
  </si>
  <si>
    <t>Garmin Ltd. (NYSE:GRMN)</t>
  </si>
  <si>
    <t>Gartner, Inc. (NYSE:IT)</t>
  </si>
  <si>
    <t>Gen Digital Inc. (NASDAQGS:GEN)</t>
  </si>
  <si>
    <t>Generac Holdings Inc. (NYSE:GNRC)</t>
  </si>
  <si>
    <t>General Dynamics Corporation (NYSE:GD)</t>
  </si>
  <si>
    <t>General Electric Company (NYSE:GE)</t>
  </si>
  <si>
    <t>General Mills, Inc. (NYSE:GIS)</t>
  </si>
  <si>
    <t>General Motors Company (NYSE:GM)</t>
  </si>
  <si>
    <t>Genuine Parts Company (NYSE:GPC)</t>
  </si>
  <si>
    <t>Gilead Sciences, Inc. (NASDAQGS:GILD)</t>
  </si>
  <si>
    <t>Global Payments Inc. (NYSE:GPN)</t>
  </si>
  <si>
    <t>Globe Life Inc. (NYSE:GL)</t>
  </si>
  <si>
    <t>Halliburton Company (NYSE:HAL)</t>
  </si>
  <si>
    <t>Hasbro, Inc. (NASDAQGS:HAS)</t>
  </si>
  <si>
    <t>HCA Healthcare, Inc. (NYSE:HCA)</t>
  </si>
  <si>
    <t>Healthpeak Properties, Inc. (NYSE:DOC)</t>
  </si>
  <si>
    <t>Henry Schein, Inc. (NASDAQGS:HSIC)</t>
  </si>
  <si>
    <t>Hilton Worldwide Holdings Inc. (NYSE:HLT)</t>
  </si>
  <si>
    <t>Honeywell International Inc. (NASDAQGS:HON)</t>
  </si>
  <si>
    <t>Hormel Foods Corporation (NYSE:HRL)</t>
  </si>
  <si>
    <t>Host Hotels &amp; Resorts, Inc. (NASDAQGS:HST)</t>
  </si>
  <si>
    <t>HP Inc. (NYSE:HPQ)</t>
  </si>
  <si>
    <t>Hubbell Incorporated (NYSE:HUBB)</t>
  </si>
  <si>
    <t>Humana Inc. (NYSE:HUM)</t>
  </si>
  <si>
    <t>Huntington Bancshares Incorporated (NASDAQGS:HBAN)</t>
  </si>
  <si>
    <t>Huntington Ingalls Industries, Inc. (NYSE:HII)</t>
  </si>
  <si>
    <t>IDEX Corporation (NYSE:IEX)</t>
  </si>
  <si>
    <t>IDEXX Laboratories, Inc. (NASDAQGS:IDXX)</t>
  </si>
  <si>
    <t>Illinois Tool Works Inc. (NYSE:ITW)</t>
  </si>
  <si>
    <t>Incyte Corporation (NASDAQGS:INCY)</t>
  </si>
  <si>
    <t>Insulet Corporation (NASDAQGS:PODD)</t>
  </si>
  <si>
    <t>Intel Corporation (NASDAQGS:INTC)</t>
  </si>
  <si>
    <t>Interactive Brokers Group, Inc. (NASDAQGS:IBKR)</t>
  </si>
  <si>
    <t>Intercontinental Exchange, Inc. (NYSE:ICE)</t>
  </si>
  <si>
    <t>International Business Machines Corporation (NYSE:IBM)</t>
  </si>
  <si>
    <t>International Flavors &amp; Fragrances Inc. (NYSE:IFF)</t>
  </si>
  <si>
    <t>International Paper Company (NYSE:IP)</t>
  </si>
  <si>
    <t>Intuit Inc. (NASDAQGS:INTU)</t>
  </si>
  <si>
    <t>Intuitive Surgical, Inc. (NASDAQGS:ISRG)</t>
  </si>
  <si>
    <t>Invesco Ltd. (NYSE:IVZ)</t>
  </si>
  <si>
    <t>IQVIA Holdings Inc. (NYSE:IQV)</t>
  </si>
  <si>
    <t>Iron Mountain Incorporated (NYSE:IRM)</t>
  </si>
  <si>
    <t>J.B. Hunt Transport Services, Inc. (NASDAQGS:JBHT)</t>
  </si>
  <si>
    <t>Jabil Inc. (NYSE:JBL)</t>
  </si>
  <si>
    <t>Jack Henry &amp; Associates, Inc. (NASDAQGS:JKHY)</t>
  </si>
  <si>
    <t>Jacobs Solutions Inc. (NYSE:J)</t>
  </si>
  <si>
    <t>Johnson &amp; Johnson (NYSE:JNJ)</t>
  </si>
  <si>
    <t>Johnson Controls International plc (NYSE:JCI)</t>
  </si>
  <si>
    <t>JPMorgan Chase &amp; Co. (NYSE:JPM)</t>
  </si>
  <si>
    <t>KeyCorp (NYSE:KEY)</t>
  </si>
  <si>
    <t>Keysight Technologies, Inc. (NYSE:KEYS)</t>
  </si>
  <si>
    <t>Kimberly-Clark Corporation (NASDAQGS:KMB)</t>
  </si>
  <si>
    <t>Kimco Realty Corporation (NYSE:KIM)</t>
  </si>
  <si>
    <t>Kinder Morgan, Inc. (NYSE:KMI)</t>
  </si>
  <si>
    <t>KKR &amp; Co. Inc. (NYSE:KKR)</t>
  </si>
  <si>
    <t>KLA Corporation (NASDAQGS:KLAC)</t>
  </si>
  <si>
    <t>L3Harris Technologies, Inc. (NYSE:LHX)</t>
  </si>
  <si>
    <t>Labcorp Holdings Inc. (NYSE:LH)</t>
  </si>
  <si>
    <t>Lam Research Corporation (NASDAQGS:LRCX)</t>
  </si>
  <si>
    <t>Las Vegas Sands Corp. (NYSE:LVS)</t>
  </si>
  <si>
    <t>Leidos Holdings, Inc. (NYSE:LDOS)</t>
  </si>
  <si>
    <t>Lennar Corporation (NYSE:LEN)</t>
  </si>
  <si>
    <t>Lennox International Inc. (NYSE:LII)</t>
  </si>
  <si>
    <t>Linde plc (NASDAQGS:LIN)</t>
  </si>
  <si>
    <t>Live Nation Entertainment, Inc. (NYSE:LYV)</t>
  </si>
  <si>
    <t>Lockheed Martin Corporation (NYSE:LMT)</t>
  </si>
  <si>
    <t>Loews Corporation (NYSE:L)</t>
  </si>
  <si>
    <t>Lowe's Companies, Inc. (NYSE:LOW)</t>
  </si>
  <si>
    <t>lululemon athletica inc. (NASDAQGS:LULU)</t>
  </si>
  <si>
    <t>LyondellBasell Industries N.V. (NYSE:LYB)</t>
  </si>
  <si>
    <t>M&amp;T Bank Corporation (NYSE:MTB)</t>
  </si>
  <si>
    <t>Marathon Petroleum Corporation (NYSE:MPC)</t>
  </si>
  <si>
    <t>Marriott International, Inc. (NASDAQGS:MAR)</t>
  </si>
  <si>
    <t>Marsh &amp; McLennan Companies, Inc. (NYSE:MRSH)</t>
  </si>
  <si>
    <t>Martin Marietta Materials, Inc. (NYSE:MLM)</t>
  </si>
  <si>
    <t>Masco Corporation (NYSE:MAS)</t>
  </si>
  <si>
    <t>Mastercard Incorporated (NYSE:MA)</t>
  </si>
  <si>
    <t>McCormick &amp; Company, Incorporated (NYSE:MKC)</t>
  </si>
  <si>
    <t>McDonald's Corporation (NYSE:MCD)</t>
  </si>
  <si>
    <t>McKesson Corporation (NYSE:MCK)</t>
  </si>
  <si>
    <t>Medtronic plc (NYSE:MDT)</t>
  </si>
  <si>
    <t>Merck &amp; Co., Inc. (NYSE:MRK)</t>
  </si>
  <si>
    <t>Meta Platforms, Inc. (NASDAQGS:META)</t>
  </si>
  <si>
    <t>MetLife, Inc. (NYSE:MET)</t>
  </si>
  <si>
    <t>Mettler-Toledo International Inc. (NYSE:MTD)</t>
  </si>
  <si>
    <t>MGM Resorts International (NYSE:MGM)</t>
  </si>
  <si>
    <t>Microchip Technology Incorporated (NASDAQGS:MCHP)</t>
  </si>
  <si>
    <t>Micron Technology, Inc. (NASDAQGS:MU)</t>
  </si>
  <si>
    <t>Microsoft Corporation (NASDAQGS:MSFT)</t>
  </si>
  <si>
    <t>Mid-America Apartment Communities, Inc. (NYSE:MAA)</t>
  </si>
  <si>
    <t>Molson Coors Beverage Company (NYSE:TAP)</t>
  </si>
  <si>
    <t>Mondelez International, Inc. (NASDAQGS:MDLZ)</t>
  </si>
  <si>
    <t>Monolithic Power Systems, Inc. (NASDAQGS:MPWR)</t>
  </si>
  <si>
    <t>Monster Beverage Corporation (NASDAQGS:MNST)</t>
  </si>
  <si>
    <t>Moody's Corporation (NYSE:MCO)</t>
  </si>
  <si>
    <t>Morgan Stanley (NYSE:MS)</t>
  </si>
  <si>
    <t>Motorola Solutions, Inc. (NYSE:MSI)</t>
  </si>
  <si>
    <t>MSCI Inc. (NYSE:MSCI)</t>
  </si>
  <si>
    <t>Nasdaq, Inc. (NASDAQGS:NDAQ)</t>
  </si>
  <si>
    <t>NetApp, Inc. (NASDAQGS:NTAP)</t>
  </si>
  <si>
    <t>Netflix, Inc. (NASDAQGS:NFLX)</t>
  </si>
  <si>
    <t>Newmont Corporation (NYSE:NEM)</t>
  </si>
  <si>
    <t>News Corporation (NASDAQGS:NWSA)</t>
  </si>
  <si>
    <t>NextEra Energy, Inc. (NYSE:NEE)</t>
  </si>
  <si>
    <t>NIKE, Inc. (NYSE:NKE)</t>
  </si>
  <si>
    <t>NiSource Inc. (NYSE:NI)</t>
  </si>
  <si>
    <t>Nordson Corporation (NASDAQGS:NDSN)</t>
  </si>
  <si>
    <t>Norfolk Southern Corporation (NYSE:NSC)</t>
  </si>
  <si>
    <t>Northern Trust Corporation (NASDAQGS:NTRS)</t>
  </si>
  <si>
    <t>Northrop Grumman Corporation (NYSE:NOC)</t>
  </si>
  <si>
    <t>Norwegian Cruise Line Holdings Ltd. (NYSE:NCLH)</t>
  </si>
  <si>
    <t>NRG Energy, Inc. (NYSE:NRG)</t>
  </si>
  <si>
    <t>Nucor Corporation (NYSE:NUE)</t>
  </si>
  <si>
    <t>NVIDIA Corporation (NASDAQGS:NVDA)</t>
  </si>
  <si>
    <t>NVR, Inc. (NYSE:NVR)</t>
  </si>
  <si>
    <t>NXP Semiconductors N.V. (NASDAQGS:NXPI)</t>
  </si>
  <si>
    <t>O'Reilly Automotive, Inc. (NASDAQGS:ORLY)</t>
  </si>
  <si>
    <t>Occidental Petroleum Corporation (NYSE:OXY)</t>
  </si>
  <si>
    <t>Old Dominion Freight Line, Inc. (NASDAQGS:ODFL)</t>
  </si>
  <si>
    <t>Omnicom Group Inc. (NYSE:OMC)</t>
  </si>
  <si>
    <t>ON Semiconductor Corporation (NASDAQGS:ON)</t>
  </si>
  <si>
    <t>ONEOK, Inc. (NYSE:OKE)</t>
  </si>
  <si>
    <t>Oracle Corporation (NYSE:ORCL)</t>
  </si>
  <si>
    <t>PACCAR Inc (NASDAQGS:PCAR)</t>
  </si>
  <si>
    <t>Packaging Corporation of America (NYSE:PKG)</t>
  </si>
  <si>
    <t>Palo Alto Networks, Inc. (NASDAQGS:PANW)</t>
  </si>
  <si>
    <t>Paramount Skydance Corporation (NASDAQGS:PSKY)</t>
  </si>
  <si>
    <t>Parker-Hannifin Corporation (NYSE:PH)</t>
  </si>
  <si>
    <t>Paychex, Inc. (NASDAQGS:PAYX)</t>
  </si>
  <si>
    <t>Pentair plc (NYSE:PNR)</t>
  </si>
  <si>
    <t>PepsiCo, Inc. (NASDAQGS:PEP)</t>
  </si>
  <si>
    <t>Pfizer Inc. (NYSE:PFE)</t>
  </si>
  <si>
    <t>PG&amp;E Corporation (NYSE:PCG)</t>
  </si>
  <si>
    <t>Philip Morris International Inc. (NYSE:PM)</t>
  </si>
  <si>
    <t>Phillips 66 (NYSE:PSX)</t>
  </si>
  <si>
    <t>Pinnacle West Capital Corporation (NYSE:PNW)</t>
  </si>
  <si>
    <t>Pool Corporation (NASDAQGS:POOL)</t>
  </si>
  <si>
    <t>PPG Industries, Inc. (NYSE:PPG)</t>
  </si>
  <si>
    <t>PPL Corporation (NYSE:PPL)</t>
  </si>
  <si>
    <t>Principal Financial Group, Inc. (NASDAQGS:PFG)</t>
  </si>
  <si>
    <t>Prologis, Inc. (NYSE:PLD)</t>
  </si>
  <si>
    <t>Prudential Financial, Inc. (NYSE:PRU)</t>
  </si>
  <si>
    <t>PTC Inc. (NASDAQGS:PTC)</t>
  </si>
  <si>
    <t>Public Service Enterprise Group Incorporated (NYSE:PEG)</t>
  </si>
  <si>
    <t>Public Storage (NYSE:PSA)</t>
  </si>
  <si>
    <t>PulteGroup, Inc. (NYSE:PHM)</t>
  </si>
  <si>
    <t>QUALCOMM Incorporated (NASDAQGS:QCOM)</t>
  </si>
  <si>
    <t>Quanta Services, Inc. (NYSE:PWR)</t>
  </si>
  <si>
    <t>Quest Diagnostics Incorporated (NYSE:DGX)</t>
  </si>
  <si>
    <t>Ralph Lauren Corporation (NYSE:RL)</t>
  </si>
  <si>
    <t>Raymond James Financial, Inc. (NYSE:RJF)</t>
  </si>
  <si>
    <t>Realty Income Corporation (NYSE:O)</t>
  </si>
  <si>
    <t>Regency Centers Corporation (NASDAQGS:REG)</t>
  </si>
  <si>
    <t>Regeneron Pharmaceuticals, Inc. (NASDAQGS:REGN)</t>
  </si>
  <si>
    <t>Regions Financial Corporation (NYSE:RF)</t>
  </si>
  <si>
    <t>Republic Services, Inc. (NYSE:RSG)</t>
  </si>
  <si>
    <t>ResMed Inc. (NYSE:RMD)</t>
  </si>
  <si>
    <t>Revvity, Inc. (NYSE:RVTY)</t>
  </si>
  <si>
    <t>Rockwell Automation, Inc. (NYSE:ROK)</t>
  </si>
  <si>
    <t>Rollins, Inc. (NYSE:ROL)</t>
  </si>
  <si>
    <t>Roper Technologies, Inc. (NASDAQGS:ROP)</t>
  </si>
  <si>
    <t>Ross Stores, Inc. (NASDAQGS:ROST)</t>
  </si>
  <si>
    <t>Royal Caribbean Cruises Ltd. (NYSE:RCL)</t>
  </si>
  <si>
    <t>RTX Corporation (NYSE:RTX)</t>
  </si>
  <si>
    <t>S&amp;P Global Inc. (NYSE:SPGI)</t>
  </si>
  <si>
    <t>Salesforce, Inc. (NYSE:CRM)</t>
  </si>
  <si>
    <t>SBA Communications Corporation (NASDAQGS:SBAC)</t>
  </si>
  <si>
    <t>Seagate Technology Holdings plc (NASDAQGS:STX)</t>
  </si>
  <si>
    <t>Sempra (NYSE:SRE)</t>
  </si>
  <si>
    <t>ServiceNow, Inc. (NYSE:NOW)</t>
  </si>
  <si>
    <t>Simon Property Group, Inc. (NYSE:SPG)</t>
  </si>
  <si>
    <t>Skyworks Solutions, Inc. (NASDAQGS:SWKS)</t>
  </si>
  <si>
    <t>SLB N.V. (NYSE:SLB)</t>
  </si>
  <si>
    <t>Smurfit Westrock Plc (NYSE:SW)</t>
  </si>
  <si>
    <t>Snap-on Incorporated (NYSE:SNA)</t>
  </si>
  <si>
    <t>Southwest Airlines Co. (NYSE:LUV)</t>
  </si>
  <si>
    <t>Stanley Black &amp; Decker, Inc. (NYSE:SWK)</t>
  </si>
  <si>
    <t>Starbucks Corporation (NASDAQGS:SBUX)</t>
  </si>
  <si>
    <t>State Street Corporation (NYSE:STT)</t>
  </si>
  <si>
    <t>Steel Dynamics, Inc. (NASDAQGS:STLD)</t>
  </si>
  <si>
    <t>STERIS plc (NYSE:STE)</t>
  </si>
  <si>
    <t>Stryker Corporation (NYSE:SYK)</t>
  </si>
  <si>
    <t>Super Micro Computer, Inc. (NASDAQGS:SMCI)</t>
  </si>
  <si>
    <t>Synchrony Financial (NYSE:SYF)</t>
  </si>
  <si>
    <t>Synopsys, Inc. (NASDAQGS:SNPS)</t>
  </si>
  <si>
    <t>Sysco Corporation (NYSE:SYY)</t>
  </si>
  <si>
    <t>T-Mobile US, Inc. (NASDAQGS:TMUS)</t>
  </si>
  <si>
    <t>T. Rowe Price Group, Inc. (NASDAQGS:TROW)</t>
  </si>
  <si>
    <t>Take-Two Interactive Software, Inc. (NASDAQGS:TTWO)</t>
  </si>
  <si>
    <t>Tapestry, Inc. (NYSE:TPR)</t>
  </si>
  <si>
    <t>Targa Resources Corp. (NYSE:TRGP)</t>
  </si>
  <si>
    <t>Target Corporation (NYSE:TGT)</t>
  </si>
  <si>
    <t>TE Connectivity plc (NYSE:TEL)</t>
  </si>
  <si>
    <t>Teledyne Technologies Incorporated (NYSE:TDY)</t>
  </si>
  <si>
    <t>Teradyne, Inc. (NASDAQGS:TER)</t>
  </si>
  <si>
    <t>Tesla, Inc. (NASDAQGS:TSLA)</t>
  </si>
  <si>
    <t>Texas Instruments Incorporated (NASDAQGS:TXN)</t>
  </si>
  <si>
    <t>Texas Pacific Land Corporation (NYSE:TPL)</t>
  </si>
  <si>
    <t>Textron Inc. (NYSE:TXT)</t>
  </si>
  <si>
    <t>The AES Corporation (NYSE:AES)</t>
  </si>
  <si>
    <t>The Allstate Corporation (NYSE:ALL)</t>
  </si>
  <si>
    <t>The Bank of New York Mellon Corporation (NYSE:BK)</t>
  </si>
  <si>
    <t>The Boeing Company (NYSE:BA)</t>
  </si>
  <si>
    <t>The Campbell's Company (NASDAQGS:CPB)</t>
  </si>
  <si>
    <t>The Charles Schwab Corporation (NYSE:SCHW)</t>
  </si>
  <si>
    <t>The Cigna Group (NYSE:CI)</t>
  </si>
  <si>
    <t>The Clorox Company (NYSE:CLX)</t>
  </si>
  <si>
    <t>The Coca-Cola Company (NYSE:KO)</t>
  </si>
  <si>
    <t>The Cooper Companies, Inc. (NASDAQGS:COO)</t>
  </si>
  <si>
    <t>The Estée Lauder Companies Inc. (NYSE:EL)</t>
  </si>
  <si>
    <t>The Goldman Sachs Group, Inc. (NYSE:GS)</t>
  </si>
  <si>
    <t>The Hartford Insurance Group, Inc. (NYSE:HIG)</t>
  </si>
  <si>
    <t>The Hershey Company (NYSE:HSY)</t>
  </si>
  <si>
    <t>The Home Depot, Inc. (NYSE:HD)</t>
  </si>
  <si>
    <t>The J. M. Smucker Company (NYSE:SJM)</t>
  </si>
  <si>
    <t>The Kroger Co. (NYSE:KR)</t>
  </si>
  <si>
    <t>The Mosaic Company (NYSE:MOS)</t>
  </si>
  <si>
    <t>The PNC Financial Services Group, Inc. (NYSE:PNC)</t>
  </si>
  <si>
    <t>The Procter &amp; Gamble Company (NYSE:PG)</t>
  </si>
  <si>
    <t>The Progressive Corporation (NYSE:PGR)</t>
  </si>
  <si>
    <t>The Sherwin-Williams Company (NYSE:SHW)</t>
  </si>
  <si>
    <t>The Southern Company (NYSE:SO)</t>
  </si>
  <si>
    <t>The TJX Companies, Inc. (NYSE:TJX)</t>
  </si>
  <si>
    <t>The Travelers Companies, Inc. (NYSE:TRV)</t>
  </si>
  <si>
    <t>The Walt Disney Company (NYSE:DIS)</t>
  </si>
  <si>
    <t>The Williams Companies, Inc. (NYSE:WMB)</t>
  </si>
  <si>
    <t>Thermo Fisher Scientific Inc. (NYSE:TMO)</t>
  </si>
  <si>
    <t>Tractor Supply Company (NASDAQGS:TSCO)</t>
  </si>
  <si>
    <t>Trane Technologies plc (NYSE:TT)</t>
  </si>
  <si>
    <t>TransDigm Group Incorporated (NYSE:TDG)</t>
  </si>
  <si>
    <t>Trimble Inc. (NASDAQGS:TRMB)</t>
  </si>
  <si>
    <t>Truist Financial Corporation (NYSE:TFC)</t>
  </si>
  <si>
    <t>Tyler Technologies, Inc. (NYSE:TYL)</t>
  </si>
  <si>
    <t>Tyson Foods, Inc. (NYSE:TSN)</t>
  </si>
  <si>
    <t>U.S. Bancorp (NYSE:USB)</t>
  </si>
  <si>
    <t>UDR, Inc. (NYSE:UDR)</t>
  </si>
  <si>
    <t>Ulta Beauty, Inc. (NASDAQGS:ULTA)</t>
  </si>
  <si>
    <t>Union Pacific Corporation (NYSE:UNP)</t>
  </si>
  <si>
    <t>United Airlines Holdings, Inc. (NASDAQGS:UAL)</t>
  </si>
  <si>
    <t>United Parcel Service, Inc. (NYSE:UPS)</t>
  </si>
  <si>
    <t>United Rentals, Inc. (NYSE:URI)</t>
  </si>
  <si>
    <t>UnitedHealth Group Incorporated (NYSE:UNH)</t>
  </si>
  <si>
    <t>Universal Health Services, Inc. (NYSE:UHS)</t>
  </si>
  <si>
    <t>Valero Energy Corporation (NYSE:VLO)</t>
  </si>
  <si>
    <t>Ventas, Inc. (NYSE:VTR)</t>
  </si>
  <si>
    <t>VeriSign, Inc. (NASDAQGS:VRSN)</t>
  </si>
  <si>
    <t>Verisk Analytics, Inc. (NASDAQGS:VRSK)</t>
  </si>
  <si>
    <t>Verizon Communications Inc. (NYSE:VZ)</t>
  </si>
  <si>
    <t>Vertex Pharmaceuticals Incorporated (NASDAQGS:VRTX)</t>
  </si>
  <si>
    <t>Viatris Inc. (NASDAQGS:VTRS)</t>
  </si>
  <si>
    <t>Visa Inc. (NYSE:V)</t>
  </si>
  <si>
    <t>Vulcan Materials Company (NYSE:VMC)</t>
  </si>
  <si>
    <t>W. R. Berkley Corporation (NYSE:WRB)</t>
  </si>
  <si>
    <t>W.W. Grainger, Inc. (NYSE:GWW)</t>
  </si>
  <si>
    <t>Walmart Inc. (NASDAQGS:WMT)</t>
  </si>
  <si>
    <t>Warner Bros. Discovery, Inc. (NASDAQGS:WBD)</t>
  </si>
  <si>
    <t>Waste Management, Inc. (NYSE:WM)</t>
  </si>
  <si>
    <t>Waters Corporation (NYSE:WAT)</t>
  </si>
  <si>
    <t>WEC Energy Group, Inc. (NYSE:WEC)</t>
  </si>
  <si>
    <t>Wells Fargo &amp; Company (NYSE:WFC)</t>
  </si>
  <si>
    <t>Welltower Inc. (NYSE:WELL)</t>
  </si>
  <si>
    <t>West Pharmaceutical Services, Inc. (NYSE:WST)</t>
  </si>
  <si>
    <t>Western Digital Corporation (NASDAQGS:WDC)</t>
  </si>
  <si>
    <t>Westinghouse Air Brake Technologies Corporation (NYSE:WAB)</t>
  </si>
  <si>
    <t>Weyerhaeuser Company (NYSE:WY)</t>
  </si>
  <si>
    <t>Williams-Sonoma, Inc. (NYSE:WSM)</t>
  </si>
  <si>
    <t>Willis Towers Watson Public Limited Company (NASDAQGS:WTW)</t>
  </si>
  <si>
    <t>Workday, Inc. (NASDAQGS:WDAY)</t>
  </si>
  <si>
    <t>Wynn Resorts, Limited (NASDAQGS:WYNN)</t>
  </si>
  <si>
    <t>Xcel Energy Inc. (NASDAQGS:XEL)</t>
  </si>
  <si>
    <t>Xylem Inc. (NYSE:XYL)</t>
  </si>
  <si>
    <t>Yum! Brands, Inc. (NYSE:YUM)</t>
  </si>
  <si>
    <t>Zebra Technologies Corporation (NASDAQGS:ZBRA)</t>
  </si>
  <si>
    <t>Zimmer Biomet Holdings, Inc. (NYSE:ZBH)</t>
  </si>
  <si>
    <t>Zoetis Inc. (NYSE:ZTS)</t>
  </si>
  <si>
    <t>SP_COMPANY_NAME_ABBR</t>
  </si>
  <si>
    <t>SP_TICKER</t>
  </si>
  <si>
    <t>MI_INDUSTRY_CLASSIFICATION</t>
  </si>
  <si>
    <t>SP_MARKETCAP</t>
  </si>
  <si>
    <t>SP_ENTITY_NAME</t>
  </si>
  <si>
    <t>SP_ENTITY_ID</t>
  </si>
  <si>
    <t>3M Co.</t>
  </si>
  <si>
    <t>MMM</t>
  </si>
  <si>
    <t>Industrial Conglomerates</t>
  </si>
  <si>
    <t>A. O. Smith Corp.</t>
  </si>
  <si>
    <t>AOS</t>
  </si>
  <si>
    <t>Building Products</t>
  </si>
  <si>
    <t>Abbott Laboratories</t>
  </si>
  <si>
    <t>ABT</t>
  </si>
  <si>
    <t>Health Care Equipment</t>
  </si>
  <si>
    <t>AbbVie Inc.</t>
  </si>
  <si>
    <t>ABBV</t>
  </si>
  <si>
    <t>Biotechnology</t>
  </si>
  <si>
    <t>Accenture plc</t>
  </si>
  <si>
    <t>ACN</t>
  </si>
  <si>
    <t>IT Consulting and Other Services</t>
  </si>
  <si>
    <t>Adobe Inc.</t>
  </si>
  <si>
    <t>ADBE</t>
  </si>
  <si>
    <t>Application Software</t>
  </si>
  <si>
    <t>Advanced Micro Devices Inc.</t>
  </si>
  <si>
    <t>AMD</t>
  </si>
  <si>
    <t>Semiconductors</t>
  </si>
  <si>
    <t>Aflac Inc.</t>
  </si>
  <si>
    <t>AFL</t>
  </si>
  <si>
    <t>Life and Health</t>
  </si>
  <si>
    <t>Agilent Technologies Inc</t>
  </si>
  <si>
    <t>A</t>
  </si>
  <si>
    <t>Life Sciences Tools and Services</t>
  </si>
  <si>
    <t>Air Products &amp; Chemicals Inc.</t>
  </si>
  <si>
    <t>APD</t>
  </si>
  <si>
    <t>Industrial Gases</t>
  </si>
  <si>
    <t>Akamai Technologies Inc.</t>
  </si>
  <si>
    <t>AKAM</t>
  </si>
  <si>
    <t>Internet Services and Infrastructure</t>
  </si>
  <si>
    <t>Albemarle Corp.</t>
  </si>
  <si>
    <t>ALB</t>
  </si>
  <si>
    <t>Specialty Chemicals</t>
  </si>
  <si>
    <t>Alexandria Real Estate</t>
  </si>
  <si>
    <t>ARE</t>
  </si>
  <si>
    <t>Health Care REIT</t>
  </si>
  <si>
    <t>Align Technology Inc.</t>
  </si>
  <si>
    <t>ALGN</t>
  </si>
  <si>
    <t>Health Care Supplies</t>
  </si>
  <si>
    <t>Allegion plc</t>
  </si>
  <si>
    <t>ALLE</t>
  </si>
  <si>
    <t>Alliant Energy</t>
  </si>
  <si>
    <t>LNT</t>
  </si>
  <si>
    <t>Electric Utilities</t>
  </si>
  <si>
    <t>Alphabet Inc.</t>
  </si>
  <si>
    <t>GOOGL</t>
  </si>
  <si>
    <t>Interactive Media and Services</t>
  </si>
  <si>
    <t>Altria Group</t>
  </si>
  <si>
    <t>MO</t>
  </si>
  <si>
    <t>Tobacco Producers</t>
  </si>
  <si>
    <t>Amazon.com Inc.</t>
  </si>
  <si>
    <t>AMZN</t>
  </si>
  <si>
    <t>Broadline Retail</t>
  </si>
  <si>
    <t>Ameren Corp.</t>
  </si>
  <si>
    <t>AEE</t>
  </si>
  <si>
    <t>Multi-Utilities</t>
  </si>
  <si>
    <t>American Electric Power Co.</t>
  </si>
  <si>
    <t>AEP</t>
  </si>
  <si>
    <t>American Express Co.</t>
  </si>
  <si>
    <t>AXP</t>
  </si>
  <si>
    <t>Payment Processors</t>
  </si>
  <si>
    <t>American International Group</t>
  </si>
  <si>
    <t>AIG</t>
  </si>
  <si>
    <t>Property and Casualty</t>
  </si>
  <si>
    <t>American Tower Corp.</t>
  </si>
  <si>
    <t>AMT</t>
  </si>
  <si>
    <t>Telecom Tower REIT</t>
  </si>
  <si>
    <t>American Water Works Co.</t>
  </si>
  <si>
    <t>AWK</t>
  </si>
  <si>
    <t>Water Utilities</t>
  </si>
  <si>
    <t>Ameriprise Financial Inc.</t>
  </si>
  <si>
    <t>AMP</t>
  </si>
  <si>
    <t>Asset Management</t>
  </si>
  <si>
    <t>AMETEK Inc.</t>
  </si>
  <si>
    <t>AME</t>
  </si>
  <si>
    <t>Electrical Components and Equipment: Light</t>
  </si>
  <si>
    <t>Amgen Inc.</t>
  </si>
  <si>
    <t>AMGN</t>
  </si>
  <si>
    <t>Amphenol Corp.</t>
  </si>
  <si>
    <t>APH</t>
  </si>
  <si>
    <t>Electronic Components</t>
  </si>
  <si>
    <t>Analog Devices Inc.</t>
  </si>
  <si>
    <t>ADI</t>
  </si>
  <si>
    <t>Aon plc</t>
  </si>
  <si>
    <t>AON</t>
  </si>
  <si>
    <t>Insurance Broker</t>
  </si>
  <si>
    <t>APA Corp.</t>
  </si>
  <si>
    <t>APA</t>
  </si>
  <si>
    <t>Oil and Gas Exploration and Production</t>
  </si>
  <si>
    <t>Apollo Global Management Inc.</t>
  </si>
  <si>
    <t>APO</t>
  </si>
  <si>
    <t>Apple Inc.</t>
  </si>
  <si>
    <t>AAPL</t>
  </si>
  <si>
    <t>Technology Hardware, Storage and Peripherals</t>
  </si>
  <si>
    <t>Applied Materials Inc.</t>
  </si>
  <si>
    <t>AMAT</t>
  </si>
  <si>
    <t>Semiconductor Materials and Equipment</t>
  </si>
  <si>
    <t>Aptiv PLC</t>
  </si>
  <si>
    <t>APTV</t>
  </si>
  <si>
    <t>Automotive Parts and Equipment</t>
  </si>
  <si>
    <t>Arch Capital Group Ltd.</t>
  </si>
  <si>
    <t>ACGL</t>
  </si>
  <si>
    <t>Archer-Daniels-Midland Co.</t>
  </si>
  <si>
    <t>ADM</t>
  </si>
  <si>
    <t>Agricultural Products and Services</t>
  </si>
  <si>
    <t>Ares Management Corporation</t>
  </si>
  <si>
    <t>ARES</t>
  </si>
  <si>
    <t>Arista Networks Inc.</t>
  </si>
  <si>
    <t>ANET</t>
  </si>
  <si>
    <t>Communications Equipment</t>
  </si>
  <si>
    <t>Arthur J. Gallagher &amp; Co.</t>
  </si>
  <si>
    <t>AJG</t>
  </si>
  <si>
    <t>Assurant Inc.</t>
  </si>
  <si>
    <t>AIZ</t>
  </si>
  <si>
    <t>AT&amp;T Inc.</t>
  </si>
  <si>
    <t>T</t>
  </si>
  <si>
    <t>Integrated Telecommunication Services</t>
  </si>
  <si>
    <t>Atmos Energy Corp.</t>
  </si>
  <si>
    <t>ATO</t>
  </si>
  <si>
    <t>Gas Utilities</t>
  </si>
  <si>
    <t>Autodesk Inc.</t>
  </si>
  <si>
    <t>ADSK</t>
  </si>
  <si>
    <t>Automatic Data Processing Inc.</t>
  </si>
  <si>
    <t>ADP</t>
  </si>
  <si>
    <t>Human Resource and Employment Services</t>
  </si>
  <si>
    <t>AutoZone Inc.</t>
  </si>
  <si>
    <t>AZO</t>
  </si>
  <si>
    <t>Automotive Retail</t>
  </si>
  <si>
    <t>AvalonBay Communities Inc.</t>
  </si>
  <si>
    <t>AVB</t>
  </si>
  <si>
    <t>Multi-Family Residential REIT</t>
  </si>
  <si>
    <t>Avery Dennison Corp.</t>
  </si>
  <si>
    <t>AVY</t>
  </si>
  <si>
    <t>Packaging and Materials: Paper and Plastic</t>
  </si>
  <si>
    <t>Axon Enterprise Inc.</t>
  </si>
  <si>
    <t>AXON</t>
  </si>
  <si>
    <t>Aerospace and Defense</t>
  </si>
  <si>
    <t>Oil and Gas Equipment and Services</t>
  </si>
  <si>
    <t>Ball Corp.</t>
  </si>
  <si>
    <t>BALL</t>
  </si>
  <si>
    <t>Containers and Packaging: Metal, Glass, and Plastic</t>
  </si>
  <si>
    <t>Bank of America Corporation</t>
  </si>
  <si>
    <t>BAC</t>
  </si>
  <si>
    <t>Bank</t>
  </si>
  <si>
    <t>Baxter International Inc.</t>
  </si>
  <si>
    <t>BAX</t>
  </si>
  <si>
    <t>Becton Dickinson &amp; Co.</t>
  </si>
  <si>
    <t>BDX</t>
  </si>
  <si>
    <t>Berkshire Hathaway Inc.</t>
  </si>
  <si>
    <t>BRK.A</t>
  </si>
  <si>
    <t>Holding Companies, Patent Owners, and Trusts or Estates</t>
  </si>
  <si>
    <t>Best Buy Co.</t>
  </si>
  <si>
    <t>BBY</t>
  </si>
  <si>
    <t>Computer and Electronics Retail</t>
  </si>
  <si>
    <t>Bio-Techne Corp.</t>
  </si>
  <si>
    <t>TECH</t>
  </si>
  <si>
    <t>Biogen Inc.</t>
  </si>
  <si>
    <t>BIIB</t>
  </si>
  <si>
    <t>BlackRock Inc.</t>
  </si>
  <si>
    <t>BLK</t>
  </si>
  <si>
    <t>Blackstone Inc.</t>
  </si>
  <si>
    <t>BX</t>
  </si>
  <si>
    <t>Booking Holdings</t>
  </si>
  <si>
    <t>BKNG</t>
  </si>
  <si>
    <t>Hotels, Resorts and Cruise Lines</t>
  </si>
  <si>
    <t>Boston Scientific Corp.</t>
  </si>
  <si>
    <t>BSX</t>
  </si>
  <si>
    <t>Bristol-Myers Squibb Co.</t>
  </si>
  <si>
    <t>BMY</t>
  </si>
  <si>
    <t>Pharmaceuticals</t>
  </si>
  <si>
    <t>Broadcom Inc.</t>
  </si>
  <si>
    <t>AVGO</t>
  </si>
  <si>
    <t>Broadridge Finl Solutions Inc.</t>
  </si>
  <si>
    <t>BR</t>
  </si>
  <si>
    <t>Investment and Capital Markets Technology</t>
  </si>
  <si>
    <t>Brown &amp; Brown Inc.</t>
  </si>
  <si>
    <t>BRO</t>
  </si>
  <si>
    <t>Brown-Forman Corp.</t>
  </si>
  <si>
    <t>BF.B</t>
  </si>
  <si>
    <t>Distillers and Vintners</t>
  </si>
  <si>
    <t>Builders FirstSource Inc.</t>
  </si>
  <si>
    <t>BLDR</t>
  </si>
  <si>
    <t>Bunge Global SA</t>
  </si>
  <si>
    <t>BG</t>
  </si>
  <si>
    <t>BXP Inc.</t>
  </si>
  <si>
    <t>BXP</t>
  </si>
  <si>
    <t>Office REIT</t>
  </si>
  <si>
    <t>C.H. Robinson Worldwide Inc.</t>
  </si>
  <si>
    <t>CHRW</t>
  </si>
  <si>
    <t>Air Freight and Logistics</t>
  </si>
  <si>
    <t>Cadence Design Systems Inc.</t>
  </si>
  <si>
    <t>CDNS</t>
  </si>
  <si>
    <t>Camden Property Trust</t>
  </si>
  <si>
    <t>CPT</t>
  </si>
  <si>
    <t>Capital One Financial Corp.</t>
  </si>
  <si>
    <t>COF</t>
  </si>
  <si>
    <t>Specialty Finance: Consumer Focused</t>
  </si>
  <si>
    <t>Cardinal Health Inc.</t>
  </si>
  <si>
    <t>CAH</t>
  </si>
  <si>
    <t>Health Care Distributors</t>
  </si>
  <si>
    <t>Carnival Corp. &amp; plc</t>
  </si>
  <si>
    <t>CCL</t>
  </si>
  <si>
    <t>Caterpillar Inc.</t>
  </si>
  <si>
    <t>CAT</t>
  </si>
  <si>
    <t>Machinery and Equipment: Construction and Heavy Transportation</t>
  </si>
  <si>
    <t>Cboe Global Markets Inc.</t>
  </si>
  <si>
    <t>CBOE</t>
  </si>
  <si>
    <t>Financial Exchanges</t>
  </si>
  <si>
    <t>CBRE Group Inc.</t>
  </si>
  <si>
    <t>CBRE</t>
  </si>
  <si>
    <t>Real Estate Services</t>
  </si>
  <si>
    <t>CDW Corp.</t>
  </si>
  <si>
    <t>CDW</t>
  </si>
  <si>
    <t>Technology Distributors</t>
  </si>
  <si>
    <t>Cencora Inc.</t>
  </si>
  <si>
    <t>COR</t>
  </si>
  <si>
    <t>Centene Corp.</t>
  </si>
  <si>
    <t>CNC</t>
  </si>
  <si>
    <t>Managed Care</t>
  </si>
  <si>
    <t>CenterPoint Energy Inc.</t>
  </si>
  <si>
    <t>CNP</t>
  </si>
  <si>
    <t>CF Industries Holdings Inc.</t>
  </si>
  <si>
    <t>CF</t>
  </si>
  <si>
    <t>Fertilizers and Agricultural Chemicals</t>
  </si>
  <si>
    <t>Charles River Laboratories Int</t>
  </si>
  <si>
    <t>CRL</t>
  </si>
  <si>
    <t>Charter Communications Inc.</t>
  </si>
  <si>
    <t>CHTR</t>
  </si>
  <si>
    <t>Cable and Satellite</t>
  </si>
  <si>
    <t>Chevron Corp.</t>
  </si>
  <si>
    <t>CVX</t>
  </si>
  <si>
    <t>Integrated Oil and Gas</t>
  </si>
  <si>
    <t>Chipotle Mexican Grill Inc.</t>
  </si>
  <si>
    <t>CMG</t>
  </si>
  <si>
    <t>Restaurants</t>
  </si>
  <si>
    <t>Chubb Ltd.</t>
  </si>
  <si>
    <t>CB</t>
  </si>
  <si>
    <t>Church &amp; Dwight Co.</t>
  </si>
  <si>
    <t>CHD</t>
  </si>
  <si>
    <t>Household Products Producers</t>
  </si>
  <si>
    <t>Ciena Corp.</t>
  </si>
  <si>
    <t>CIEN</t>
  </si>
  <si>
    <t>Cincinnati Financial Corp.</t>
  </si>
  <si>
    <t>CINF</t>
  </si>
  <si>
    <t>Cintas Corp.</t>
  </si>
  <si>
    <t>CTAS</t>
  </si>
  <si>
    <t>Diversified Support Services</t>
  </si>
  <si>
    <t>Cisco Systems Inc.</t>
  </si>
  <si>
    <t>CSCO</t>
  </si>
  <si>
    <t>Citigroup Inc.</t>
  </si>
  <si>
    <t>C</t>
  </si>
  <si>
    <t>Citizens Financial Group Inc.</t>
  </si>
  <si>
    <t>CFG</t>
  </si>
  <si>
    <t>CME Group Inc.</t>
  </si>
  <si>
    <t>CME</t>
  </si>
  <si>
    <t>CMS Energy Corp.</t>
  </si>
  <si>
    <t>CMS</t>
  </si>
  <si>
    <t>Cognizant Technology Solutions</t>
  </si>
  <si>
    <t>CTSH</t>
  </si>
  <si>
    <t>Coherent Corp.</t>
  </si>
  <si>
    <t>COHR</t>
  </si>
  <si>
    <t>Colgate-Palmolive Co.</t>
  </si>
  <si>
    <t>CL</t>
  </si>
  <si>
    <t>Comcast Corp.</t>
  </si>
  <si>
    <t>CMCSA</t>
  </si>
  <si>
    <t>Comfort Systems USA Inc.</t>
  </si>
  <si>
    <t>FIX</t>
  </si>
  <si>
    <t>Construction and Engineering</t>
  </si>
  <si>
    <t>Conagra Brands Inc.</t>
  </si>
  <si>
    <t>CAG</t>
  </si>
  <si>
    <t>Packaged Foods and Meats Producers</t>
  </si>
  <si>
    <t>ConocoPhillips</t>
  </si>
  <si>
    <t>COP</t>
  </si>
  <si>
    <t>Consolidated Edison Inc.</t>
  </si>
  <si>
    <t>ED</t>
  </si>
  <si>
    <t>Constellation Brands Inc.</t>
  </si>
  <si>
    <t>STZ</t>
  </si>
  <si>
    <t>Copart Inc.</t>
  </si>
  <si>
    <t>CPRT</t>
  </si>
  <si>
    <t>Corning Inc.</t>
  </si>
  <si>
    <t>GLW</t>
  </si>
  <si>
    <t>Corpay Inc.</t>
  </si>
  <si>
    <t>CPAY</t>
  </si>
  <si>
    <t>CoStar Group Inc.</t>
  </si>
  <si>
    <t>CSGP</t>
  </si>
  <si>
    <t>Costco Wholesale Corp.</t>
  </si>
  <si>
    <t>COST</t>
  </si>
  <si>
    <t>Consumer Staples Merchandise Retail</t>
  </si>
  <si>
    <t>Coterra Energy Inc.</t>
  </si>
  <si>
    <t>CTRA</t>
  </si>
  <si>
    <t>CRH plc</t>
  </si>
  <si>
    <t>CRH</t>
  </si>
  <si>
    <t>Construction Materials</t>
  </si>
  <si>
    <t>Crown Castle Inc.</t>
  </si>
  <si>
    <t>CCI</t>
  </si>
  <si>
    <t>CSX Corp.</t>
  </si>
  <si>
    <t>CSX</t>
  </si>
  <si>
    <t>Rail Transportation</t>
  </si>
  <si>
    <t>Cummins Inc.</t>
  </si>
  <si>
    <t>CMI</t>
  </si>
  <si>
    <t>CVS Health Corp.</t>
  </si>
  <si>
    <t>CVS</t>
  </si>
  <si>
    <t>Health Care Services</t>
  </si>
  <si>
    <t>D.R. Horton, Inc.</t>
  </si>
  <si>
    <t>DHI</t>
  </si>
  <si>
    <t>Homebuilding Producers</t>
  </si>
  <si>
    <t>Danaher Corp.</t>
  </si>
  <si>
    <t>DHR</t>
  </si>
  <si>
    <t>Darden Restaurants Inc.</t>
  </si>
  <si>
    <t>DRI</t>
  </si>
  <si>
    <t>DaVita Inc.</t>
  </si>
  <si>
    <t>DVA</t>
  </si>
  <si>
    <t>Deckers Outdoor Corp.</t>
  </si>
  <si>
    <t>DECK</t>
  </si>
  <si>
    <t>Footwear Producers</t>
  </si>
  <si>
    <t>Deere &amp; Co.</t>
  </si>
  <si>
    <t>DE</t>
  </si>
  <si>
    <t>Machinery: Agricultural and Farm</t>
  </si>
  <si>
    <t>Delta Air Lines Inc.</t>
  </si>
  <si>
    <t>DAL</t>
  </si>
  <si>
    <t>Passenger Airlines</t>
  </si>
  <si>
    <t>Devon Energy Corp.</t>
  </si>
  <si>
    <t>DVN</t>
  </si>
  <si>
    <t>DexCom Inc.</t>
  </si>
  <si>
    <t>DXCM</t>
  </si>
  <si>
    <t>Diamondback Energy Inc.</t>
  </si>
  <si>
    <t>FANG</t>
  </si>
  <si>
    <t>Digital Realty Trust Inc.</t>
  </si>
  <si>
    <t>DLR</t>
  </si>
  <si>
    <t>Data Center REIT</t>
  </si>
  <si>
    <t>Dollar General Corp.</t>
  </si>
  <si>
    <t>DG</t>
  </si>
  <si>
    <t>Dollar Tree Inc.</t>
  </si>
  <si>
    <t>DLTR</t>
  </si>
  <si>
    <t>Dominion Energy</t>
  </si>
  <si>
    <t>D</t>
  </si>
  <si>
    <t>Domino's Pizza Inc.</t>
  </si>
  <si>
    <t>DPZ</t>
  </si>
  <si>
    <t>Dover Corp.</t>
  </si>
  <si>
    <t>DOV</t>
  </si>
  <si>
    <t>Machinery and Supplies and Components: Industrial</t>
  </si>
  <si>
    <t>DTE Energy Co.</t>
  </si>
  <si>
    <t>DTE</t>
  </si>
  <si>
    <t>Duke Energy Corp</t>
  </si>
  <si>
    <t>DUK</t>
  </si>
  <si>
    <t>DuPont de Nemours Inc.</t>
  </si>
  <si>
    <t>DD</t>
  </si>
  <si>
    <t>Eaton Corp. plc</t>
  </si>
  <si>
    <t>ETN</t>
  </si>
  <si>
    <t>eBay Inc.</t>
  </si>
  <si>
    <t>EBAY</t>
  </si>
  <si>
    <t>EchoStar Corp.</t>
  </si>
  <si>
    <t>SATS</t>
  </si>
  <si>
    <t>Ecolab Inc.</t>
  </si>
  <si>
    <t>ECL</t>
  </si>
  <si>
    <t>Edison International</t>
  </si>
  <si>
    <t>EIX</t>
  </si>
  <si>
    <t>Edwards Lifesciences Corp.</t>
  </si>
  <si>
    <t>EW</t>
  </si>
  <si>
    <t>Electronic Arts Inc.</t>
  </si>
  <si>
    <t>EA</t>
  </si>
  <si>
    <t>Interactive Home Entertainment</t>
  </si>
  <si>
    <t>Elevance Health Inc.</t>
  </si>
  <si>
    <t>ELV</t>
  </si>
  <si>
    <t>Eli Lilly &amp; Co.</t>
  </si>
  <si>
    <t>LLY</t>
  </si>
  <si>
    <t>EMCOR Group</t>
  </si>
  <si>
    <t>EME</t>
  </si>
  <si>
    <t>Emerson Electric Co.</t>
  </si>
  <si>
    <t>EMR</t>
  </si>
  <si>
    <t>Entergy Corp.</t>
  </si>
  <si>
    <t>ETR</t>
  </si>
  <si>
    <t>EOG Resources Inc.</t>
  </si>
  <si>
    <t>EOG</t>
  </si>
  <si>
    <t>EPAM Systems Inc.</t>
  </si>
  <si>
    <t>EPAM</t>
  </si>
  <si>
    <t>EQT Corp.</t>
  </si>
  <si>
    <t>EQT</t>
  </si>
  <si>
    <t>Equifax Inc.</t>
  </si>
  <si>
    <t>EFX</t>
  </si>
  <si>
    <t>Research and Consulting Services</t>
  </si>
  <si>
    <t>Equinix Inc.</t>
  </si>
  <si>
    <t>EQIX</t>
  </si>
  <si>
    <t>Equity Residential</t>
  </si>
  <si>
    <t>EQR</t>
  </si>
  <si>
    <t>Erie Indemnity Co.</t>
  </si>
  <si>
    <t>ERIE</t>
  </si>
  <si>
    <t>Essex Property Trust Inc.</t>
  </si>
  <si>
    <t>ESS</t>
  </si>
  <si>
    <t>Everest Group</t>
  </si>
  <si>
    <t>EG</t>
  </si>
  <si>
    <t>Reinsurance</t>
  </si>
  <si>
    <t>Evergy, Inc.</t>
  </si>
  <si>
    <t>EVRG</t>
  </si>
  <si>
    <t>Eversource Energy</t>
  </si>
  <si>
    <t>ES</t>
  </si>
  <si>
    <t>Exelon Corp.</t>
  </si>
  <si>
    <t>EXC</t>
  </si>
  <si>
    <t>Expedia Group, Inc.</t>
  </si>
  <si>
    <t>EXPE</t>
  </si>
  <si>
    <t>Expeditors Intl WA Inc</t>
  </si>
  <si>
    <t>EXPD</t>
  </si>
  <si>
    <t>Extra Space Storage Inc.</t>
  </si>
  <si>
    <t>EXR</t>
  </si>
  <si>
    <t>Self-Storage REIT</t>
  </si>
  <si>
    <t>Exxon Mobil Corp.</t>
  </si>
  <si>
    <t>XOM</t>
  </si>
  <si>
    <t>F5 Inc.</t>
  </si>
  <si>
    <t>FFIV</t>
  </si>
  <si>
    <t>FactSet Research Systems Inc.</t>
  </si>
  <si>
    <t>FDS</t>
  </si>
  <si>
    <t>Financial Media and Data Solutions</t>
  </si>
  <si>
    <t>Fair Isaac Corp.</t>
  </si>
  <si>
    <t>FICO</t>
  </si>
  <si>
    <t>Fastenal Co.</t>
  </si>
  <si>
    <t>FAST</t>
  </si>
  <si>
    <t>Trading Companies and Distributors</t>
  </si>
  <si>
    <t>Federal Realty Investment</t>
  </si>
  <si>
    <t>FRT</t>
  </si>
  <si>
    <t>Retail REIT</t>
  </si>
  <si>
    <t>FedEx Corp.</t>
  </si>
  <si>
    <t>FDX</t>
  </si>
  <si>
    <t>Fidelity National Information</t>
  </si>
  <si>
    <t>FIS</t>
  </si>
  <si>
    <t>Fifth Third Bancorp</t>
  </si>
  <si>
    <t>FITB</t>
  </si>
  <si>
    <t>First Solar Inc.</t>
  </si>
  <si>
    <t>FSLR</t>
  </si>
  <si>
    <t>FirstEnergy Corp.</t>
  </si>
  <si>
    <t>FE</t>
  </si>
  <si>
    <t>Fiserv Inc.</t>
  </si>
  <si>
    <t>FISV</t>
  </si>
  <si>
    <t>Banking Technology</t>
  </si>
  <si>
    <t>Ford Motor Co.</t>
  </si>
  <si>
    <t>F</t>
  </si>
  <si>
    <t>Automobile Manufacturers</t>
  </si>
  <si>
    <t>Fortinet Inc.</t>
  </si>
  <si>
    <t>FTNT</t>
  </si>
  <si>
    <t>Systems Software</t>
  </si>
  <si>
    <t>Franklin Resources Inc.</t>
  </si>
  <si>
    <t>BEN</t>
  </si>
  <si>
    <t>Freeport-McMoRan Inc.</t>
  </si>
  <si>
    <t>FCX</t>
  </si>
  <si>
    <t>Copper</t>
  </si>
  <si>
    <t>Garmin Ltd.</t>
  </si>
  <si>
    <t>GRMN</t>
  </si>
  <si>
    <t>Consumer Electronics Producers</t>
  </si>
  <si>
    <t>Gartner Inc.</t>
  </si>
  <si>
    <t>IT</t>
  </si>
  <si>
    <t>Gen Digital Inc.</t>
  </si>
  <si>
    <t>GEN</t>
  </si>
  <si>
    <t>Generac Holdings Inc.</t>
  </si>
  <si>
    <t>GNRC</t>
  </si>
  <si>
    <t>General Dynamics Corp.</t>
  </si>
  <si>
    <t>GD</t>
  </si>
  <si>
    <t>General Electric Co.</t>
  </si>
  <si>
    <t>GE</t>
  </si>
  <si>
    <t>General Mills Inc.</t>
  </si>
  <si>
    <t>GIS</t>
  </si>
  <si>
    <t>General Motors Co.</t>
  </si>
  <si>
    <t>GM</t>
  </si>
  <si>
    <t>Genuine Parts Co.</t>
  </si>
  <si>
    <t>GPC</t>
  </si>
  <si>
    <t>Other Distributors</t>
  </si>
  <si>
    <t>Gilead Sciences Inc.</t>
  </si>
  <si>
    <t>GILD</t>
  </si>
  <si>
    <t>Global Payments Inc.</t>
  </si>
  <si>
    <t>GPN</t>
  </si>
  <si>
    <t>Globe Life Inc.</t>
  </si>
  <si>
    <t>GL</t>
  </si>
  <si>
    <t>Halliburton Co.</t>
  </si>
  <si>
    <t>HAL</t>
  </si>
  <si>
    <t>Hasbro Inc.</t>
  </si>
  <si>
    <t>HAS</t>
  </si>
  <si>
    <t>Leisure Products Producers</t>
  </si>
  <si>
    <t>HCA Healthcare Inc.</t>
  </si>
  <si>
    <t>HCA</t>
  </si>
  <si>
    <t>Health Care Facilities</t>
  </si>
  <si>
    <t>Healthpeak Properties</t>
  </si>
  <si>
    <t>DOC</t>
  </si>
  <si>
    <t>Henry Schein Inc.</t>
  </si>
  <si>
    <t>HSIC</t>
  </si>
  <si>
    <t>Hilton Worldwide Holdings Inc</t>
  </si>
  <si>
    <t>HLT</t>
  </si>
  <si>
    <t>Honeywell International Inc.</t>
  </si>
  <si>
    <t>HON</t>
  </si>
  <si>
    <t>Hormel Foods Corp.</t>
  </si>
  <si>
    <t>HRL</t>
  </si>
  <si>
    <t>Host Hotels &amp; Resorts</t>
  </si>
  <si>
    <t>HST</t>
  </si>
  <si>
    <t>Hotel and Resort REIT</t>
  </si>
  <si>
    <t>HP Inc.</t>
  </si>
  <si>
    <t>HPQ</t>
  </si>
  <si>
    <t>Hubbell Inc.</t>
  </si>
  <si>
    <t>HUBB</t>
  </si>
  <si>
    <t>Humana Inc.</t>
  </si>
  <si>
    <t>HUM</t>
  </si>
  <si>
    <t>Huntington Bancshares Inc.</t>
  </si>
  <si>
    <t>HBAN</t>
  </si>
  <si>
    <t>Huntington Ingalls Indstrs Inc</t>
  </si>
  <si>
    <t>HII</t>
  </si>
  <si>
    <t>IDEX Corp.</t>
  </si>
  <si>
    <t>IEX</t>
  </si>
  <si>
    <t>IDEXX Laboratories Inc.</t>
  </si>
  <si>
    <t>IDXX</t>
  </si>
  <si>
    <t>Illinois Tool Works Inc.</t>
  </si>
  <si>
    <t>ITW</t>
  </si>
  <si>
    <t>Incyte Corp.</t>
  </si>
  <si>
    <t>INCY</t>
  </si>
  <si>
    <t>Insulet Corp.</t>
  </si>
  <si>
    <t>PODD</t>
  </si>
  <si>
    <t>Intel Corp.</t>
  </si>
  <si>
    <t>INTC</t>
  </si>
  <si>
    <t>Interactive Brokers Group Inc.</t>
  </si>
  <si>
    <t>IBKR</t>
  </si>
  <si>
    <t>Investment Banks, Brokers and Capital Markets</t>
  </si>
  <si>
    <t>Intercontinental Exchange Inc.</t>
  </si>
  <si>
    <t>ICE</t>
  </si>
  <si>
    <t>Intl Bus Machines Corp</t>
  </si>
  <si>
    <t>IBM</t>
  </si>
  <si>
    <t>Intl Flavors &amp; Fragrances Inc</t>
  </si>
  <si>
    <t>IFF</t>
  </si>
  <si>
    <t>International Paper Company</t>
  </si>
  <si>
    <t>IP</t>
  </si>
  <si>
    <t>Intuit Inc.</t>
  </si>
  <si>
    <t>INTU</t>
  </si>
  <si>
    <t>Intuitive Surgical Inc.</t>
  </si>
  <si>
    <t>ISRG</t>
  </si>
  <si>
    <t>Invesco Ltd.</t>
  </si>
  <si>
    <t>IVZ</t>
  </si>
  <si>
    <t>IQVIA Holdings Inc.</t>
  </si>
  <si>
    <t>IQV</t>
  </si>
  <si>
    <t>Iron Mountain Inc.</t>
  </si>
  <si>
    <t>IRM</t>
  </si>
  <si>
    <t>Other Specialized REIT</t>
  </si>
  <si>
    <t>J.B. Hunt Transport Svcs Inc</t>
  </si>
  <si>
    <t>JBHT</t>
  </si>
  <si>
    <t>Cargo Ground Transportation</t>
  </si>
  <si>
    <t>Jabil Inc.</t>
  </si>
  <si>
    <t>JBL</t>
  </si>
  <si>
    <t>Electronic Manufacturing Services</t>
  </si>
  <si>
    <t>Jack Henry &amp; Assoc. Inc.</t>
  </si>
  <si>
    <t>JKHY</t>
  </si>
  <si>
    <t>Jacobs Solutions Inc.</t>
  </si>
  <si>
    <t>J</t>
  </si>
  <si>
    <t>Johnson &amp; Johnson</t>
  </si>
  <si>
    <t>JNJ</t>
  </si>
  <si>
    <t>Johnson Controls Intl plc</t>
  </si>
  <si>
    <t>JCI</t>
  </si>
  <si>
    <t>JPMorgan Chase &amp; Co.</t>
  </si>
  <si>
    <t>JPM</t>
  </si>
  <si>
    <t>KeyCorp</t>
  </si>
  <si>
    <t>KEY</t>
  </si>
  <si>
    <t>Keysight Technologies Inc.</t>
  </si>
  <si>
    <t>KEYS</t>
  </si>
  <si>
    <t>Electronic Equipment and Instruments</t>
  </si>
  <si>
    <t>Kimberly-Clark Corp.</t>
  </si>
  <si>
    <t>KMB</t>
  </si>
  <si>
    <t>Kimco Realty Corp.</t>
  </si>
  <si>
    <t>KIM</t>
  </si>
  <si>
    <t>Kinder Morgan Inc.</t>
  </si>
  <si>
    <t>KMI</t>
  </si>
  <si>
    <t>Oil and Gas Storage and Transportation</t>
  </si>
  <si>
    <t>KKR &amp; Co.</t>
  </si>
  <si>
    <t>KKR</t>
  </si>
  <si>
    <t>KLA Corp.</t>
  </si>
  <si>
    <t>KLAC</t>
  </si>
  <si>
    <t>L3Harris Technologies Inc.</t>
  </si>
  <si>
    <t>LHX</t>
  </si>
  <si>
    <t>Labcorp Holdings Inc.</t>
  </si>
  <si>
    <t>LH</t>
  </si>
  <si>
    <t>Lam Research Corp.</t>
  </si>
  <si>
    <t>LRCX</t>
  </si>
  <si>
    <t>Las Vegas Sands Corp.</t>
  </si>
  <si>
    <t>LVS</t>
  </si>
  <si>
    <t>Casinos and Gaming</t>
  </si>
  <si>
    <t>Leidos Holdings Inc.</t>
  </si>
  <si>
    <t>LDOS</t>
  </si>
  <si>
    <t>Lennar Corp.</t>
  </si>
  <si>
    <t>LEN</t>
  </si>
  <si>
    <t>Lennox International Inc.</t>
  </si>
  <si>
    <t>LII</t>
  </si>
  <si>
    <t>Linde plc</t>
  </si>
  <si>
    <t>LIN</t>
  </si>
  <si>
    <t>Live Nation Entertainment Inc.</t>
  </si>
  <si>
    <t>LYV</t>
  </si>
  <si>
    <t>Movies and Entertainment</t>
  </si>
  <si>
    <t>Lockheed Martin Corp.</t>
  </si>
  <si>
    <t>LMT</t>
  </si>
  <si>
    <t>Loews Corp.</t>
  </si>
  <si>
    <t>L</t>
  </si>
  <si>
    <t>Lowe's Companies Inc.</t>
  </si>
  <si>
    <t>LOW</t>
  </si>
  <si>
    <t>Home Improvement Retail</t>
  </si>
  <si>
    <t>lululemon athletica inc.</t>
  </si>
  <si>
    <t>LULU</t>
  </si>
  <si>
    <t>Apparel, Accessories and Luxury Goods</t>
  </si>
  <si>
    <t>LyondellBasell Industries N.V.</t>
  </si>
  <si>
    <t>LYB</t>
  </si>
  <si>
    <t>Commodity Chemicals</t>
  </si>
  <si>
    <t>M&amp;T Bank Corp.</t>
  </si>
  <si>
    <t>MTB</t>
  </si>
  <si>
    <t>Marathon Petroleum Corp.</t>
  </si>
  <si>
    <t>MPC</t>
  </si>
  <si>
    <t>Oil and Gas Refining and Marketing</t>
  </si>
  <si>
    <t>Marriott International Inc.</t>
  </si>
  <si>
    <t>MAR</t>
  </si>
  <si>
    <t>Marsh &amp; McLennan Cos Inc</t>
  </si>
  <si>
    <t>MRSH</t>
  </si>
  <si>
    <t>Martin Marietta Materials Inc.</t>
  </si>
  <si>
    <t>MLM</t>
  </si>
  <si>
    <t>Masco Corp.</t>
  </si>
  <si>
    <t>MAS</t>
  </si>
  <si>
    <t>Mastercard Inc.</t>
  </si>
  <si>
    <t>MA</t>
  </si>
  <si>
    <t>McCormick &amp; Co.</t>
  </si>
  <si>
    <t>MKC</t>
  </si>
  <si>
    <t>McDonald's Corp.</t>
  </si>
  <si>
    <t>MCD</t>
  </si>
  <si>
    <t>McKesson Corp.</t>
  </si>
  <si>
    <t>MCK</t>
  </si>
  <si>
    <t>Medtronic plc</t>
  </si>
  <si>
    <t>MDT</t>
  </si>
  <si>
    <t>Merck &amp; Co.</t>
  </si>
  <si>
    <t>MRK</t>
  </si>
  <si>
    <t>Meta Platforms Inc.</t>
  </si>
  <si>
    <t>META</t>
  </si>
  <si>
    <t>MetLife Inc.</t>
  </si>
  <si>
    <t>MET</t>
  </si>
  <si>
    <t>Mettler-Toledo Intl Inc.</t>
  </si>
  <si>
    <t>MTD</t>
  </si>
  <si>
    <t>MGM Resorts International</t>
  </si>
  <si>
    <t>MGM</t>
  </si>
  <si>
    <t>Microchip Technology Inc.</t>
  </si>
  <si>
    <t>MCHP</t>
  </si>
  <si>
    <t>Micron Technology Inc.</t>
  </si>
  <si>
    <t>MU</t>
  </si>
  <si>
    <t>Microsoft Corp.</t>
  </si>
  <si>
    <t>MSFT</t>
  </si>
  <si>
    <t>MAA</t>
  </si>
  <si>
    <t>Molson Coors Beverage Co.</t>
  </si>
  <si>
    <t>TAP</t>
  </si>
  <si>
    <t>Brewer: Beer and Malt Liquor</t>
  </si>
  <si>
    <t>Mondelez International</t>
  </si>
  <si>
    <t>MDLZ</t>
  </si>
  <si>
    <t>Monolithic Power Systems Inc.</t>
  </si>
  <si>
    <t>MPWR</t>
  </si>
  <si>
    <t>Monster Beverage Corp.</t>
  </si>
  <si>
    <t>MNST</t>
  </si>
  <si>
    <t>Soft Drinks and Non-alcoholic Beverages</t>
  </si>
  <si>
    <t>Moody's Corp.</t>
  </si>
  <si>
    <t>MCO</t>
  </si>
  <si>
    <t>Morgan Stanley</t>
  </si>
  <si>
    <t>MS</t>
  </si>
  <si>
    <t>Motorola Solutions Inc.</t>
  </si>
  <si>
    <t>MSI</t>
  </si>
  <si>
    <t>MSCI Inc.</t>
  </si>
  <si>
    <t>MSCI</t>
  </si>
  <si>
    <t>Nasdaq Inc.</t>
  </si>
  <si>
    <t>NDAQ</t>
  </si>
  <si>
    <t>NetApp Inc.</t>
  </si>
  <si>
    <t>NTAP</t>
  </si>
  <si>
    <t>Netflix Inc.</t>
  </si>
  <si>
    <t>NFLX</t>
  </si>
  <si>
    <t>Newmont Corp.</t>
  </si>
  <si>
    <t>NEM</t>
  </si>
  <si>
    <t>Gold</t>
  </si>
  <si>
    <t>News Corp.</t>
  </si>
  <si>
    <t>NWSA</t>
  </si>
  <si>
    <t>Publishing</t>
  </si>
  <si>
    <t>NextEra Energy Inc.</t>
  </si>
  <si>
    <t>NEE</t>
  </si>
  <si>
    <t>NIKE Inc.</t>
  </si>
  <si>
    <t>NKE</t>
  </si>
  <si>
    <t>NiSource Inc.</t>
  </si>
  <si>
    <t>NI</t>
  </si>
  <si>
    <t>Nordson Corp.</t>
  </si>
  <si>
    <t>NDSN</t>
  </si>
  <si>
    <t>Norfolk Southern Corporation</t>
  </si>
  <si>
    <t>NSC</t>
  </si>
  <si>
    <t>Northern Trust Corp.</t>
  </si>
  <si>
    <t>NTRS</t>
  </si>
  <si>
    <t>Northrop Grumman Corp.</t>
  </si>
  <si>
    <t>NOC</t>
  </si>
  <si>
    <t>Norwegian Cruise Line Hldgs Lt</t>
  </si>
  <si>
    <t>NCLH</t>
  </si>
  <si>
    <t>NRG Energy Inc.</t>
  </si>
  <si>
    <t>NRG</t>
  </si>
  <si>
    <t>Nucor Corp.</t>
  </si>
  <si>
    <t>NUE</t>
  </si>
  <si>
    <t>Steel</t>
  </si>
  <si>
    <t>NVIDIA Corp.</t>
  </si>
  <si>
    <t>NVDA</t>
  </si>
  <si>
    <t>NVR Inc.</t>
  </si>
  <si>
    <t>NVR</t>
  </si>
  <si>
    <t>NXP Semiconductors N.V.</t>
  </si>
  <si>
    <t>NXPI</t>
  </si>
  <si>
    <t>O'Reilly Automotive Inc.</t>
  </si>
  <si>
    <t>ORLY</t>
  </si>
  <si>
    <t>Occidental Petroleum Corp.</t>
  </si>
  <si>
    <t>OXY</t>
  </si>
  <si>
    <t>Old Dominion Freight Line Inc.</t>
  </si>
  <si>
    <t>ODFL</t>
  </si>
  <si>
    <t>Omnicom Group Inc.</t>
  </si>
  <si>
    <t>OMC</t>
  </si>
  <si>
    <t>Advertising</t>
  </si>
  <si>
    <t>ON Semiconductor Corp.</t>
  </si>
  <si>
    <t>ON</t>
  </si>
  <si>
    <t>ONEOK Inc.</t>
  </si>
  <si>
    <t>OKE</t>
  </si>
  <si>
    <t>Oracle Corporation</t>
  </si>
  <si>
    <t>ORCL</t>
  </si>
  <si>
    <t>PACCAR Inc</t>
  </si>
  <si>
    <t>PCAR</t>
  </si>
  <si>
    <t>Packaging Corp. America</t>
  </si>
  <si>
    <t>PKG</t>
  </si>
  <si>
    <t>Palo Alto Networks Inc.</t>
  </si>
  <si>
    <t>PANW</t>
  </si>
  <si>
    <t>Paramount Skydance Corp.</t>
  </si>
  <si>
    <t>PSKY</t>
  </si>
  <si>
    <t>Broadcasting</t>
  </si>
  <si>
    <t>Parker-Hannifin Corp.</t>
  </si>
  <si>
    <t>PH</t>
  </si>
  <si>
    <t>Paychex Inc.</t>
  </si>
  <si>
    <t>PAYX</t>
  </si>
  <si>
    <t>Pentair plc</t>
  </si>
  <si>
    <t>PNR</t>
  </si>
  <si>
    <t>PepsiCo Inc.</t>
  </si>
  <si>
    <t>PEP</t>
  </si>
  <si>
    <t>Pfizer Inc.</t>
  </si>
  <si>
    <t>PFE</t>
  </si>
  <si>
    <t>PG&amp;E Corp.</t>
  </si>
  <si>
    <t>PCG</t>
  </si>
  <si>
    <t>Philip Morris Intl Inc</t>
  </si>
  <si>
    <t>PM</t>
  </si>
  <si>
    <t>Phillips 66</t>
  </si>
  <si>
    <t>PSX</t>
  </si>
  <si>
    <t>Pinnacle West Capital Corp.</t>
  </si>
  <si>
    <t>PNW</t>
  </si>
  <si>
    <t>Pool Corp.</t>
  </si>
  <si>
    <t>POOL</t>
  </si>
  <si>
    <t>PPG Industries Inc.</t>
  </si>
  <si>
    <t>PPG</t>
  </si>
  <si>
    <t>PPL Corp.</t>
  </si>
  <si>
    <t>PPL</t>
  </si>
  <si>
    <t>Principal Financial Group Inc.</t>
  </si>
  <si>
    <t>PFG</t>
  </si>
  <si>
    <t>Prologis Inc.</t>
  </si>
  <si>
    <t>PLD</t>
  </si>
  <si>
    <t>Industrial REIT</t>
  </si>
  <si>
    <t>Prudential Financial Inc.</t>
  </si>
  <si>
    <t>PRU</t>
  </si>
  <si>
    <t>PTC Inc.</t>
  </si>
  <si>
    <t>PTC</t>
  </si>
  <si>
    <t>Public Svc Entpr Group Inc.</t>
  </si>
  <si>
    <t>PEG</t>
  </si>
  <si>
    <t>Public Storage</t>
  </si>
  <si>
    <t>PSA</t>
  </si>
  <si>
    <t>PulteGroup Inc.</t>
  </si>
  <si>
    <t>PHM</t>
  </si>
  <si>
    <t>QUALCOMM Inc.</t>
  </si>
  <si>
    <t>QCOM</t>
  </si>
  <si>
    <t>Quanta Services Inc.</t>
  </si>
  <si>
    <t>PWR</t>
  </si>
  <si>
    <t>Quest Diagnostics Inc.</t>
  </si>
  <si>
    <t>DGX</t>
  </si>
  <si>
    <t>Ralph Lauren Corp.</t>
  </si>
  <si>
    <t>RL</t>
  </si>
  <si>
    <t>Raymond James Financial Inc.</t>
  </si>
  <si>
    <t>RJF</t>
  </si>
  <si>
    <t>Realty Income Corp.</t>
  </si>
  <si>
    <t>O</t>
  </si>
  <si>
    <t>Regency Centers Corp.</t>
  </si>
  <si>
    <t>REG</t>
  </si>
  <si>
    <t>Regeneron Pharmaceuticals Inc.</t>
  </si>
  <si>
    <t>REGN</t>
  </si>
  <si>
    <t>Regions Financial Corp.</t>
  </si>
  <si>
    <t>RF</t>
  </si>
  <si>
    <t>Repub Services Inc.</t>
  </si>
  <si>
    <t>RSG</t>
  </si>
  <si>
    <t>Environmental and Facilities Services</t>
  </si>
  <si>
    <t>ResMed Inc.</t>
  </si>
  <si>
    <t>RMD</t>
  </si>
  <si>
    <t>Revvity Inc.</t>
  </si>
  <si>
    <t>RVTY</t>
  </si>
  <si>
    <t>Rockwell Automation Inc.</t>
  </si>
  <si>
    <t>ROK</t>
  </si>
  <si>
    <t>Rollins Inc.</t>
  </si>
  <si>
    <t>ROL</t>
  </si>
  <si>
    <t>Roper Technologies Inc.</t>
  </si>
  <si>
    <t>ROP</t>
  </si>
  <si>
    <t>Ross Stores Inc.</t>
  </si>
  <si>
    <t>ROST</t>
  </si>
  <si>
    <t>Apparel Retail</t>
  </si>
  <si>
    <t>Royal Caribbean Cruises Ltd.</t>
  </si>
  <si>
    <t>RCL</t>
  </si>
  <si>
    <t>RTX Corp.</t>
  </si>
  <si>
    <t>RTX</t>
  </si>
  <si>
    <t>S&amp;P Global Inc.</t>
  </si>
  <si>
    <t>SPGI</t>
  </si>
  <si>
    <t>Salesforce Inc.</t>
  </si>
  <si>
    <t>CRM</t>
  </si>
  <si>
    <t>SBA Communications Corp</t>
  </si>
  <si>
    <t>SBAC</t>
  </si>
  <si>
    <t>Seagate Technology Hldgs plc</t>
  </si>
  <si>
    <t>STX</t>
  </si>
  <si>
    <t>Sempra</t>
  </si>
  <si>
    <t>SRE</t>
  </si>
  <si>
    <t>ServiceNow Inc.</t>
  </si>
  <si>
    <t>NOW</t>
  </si>
  <si>
    <t>Simon Property Group</t>
  </si>
  <si>
    <t>SPG</t>
  </si>
  <si>
    <t>Skyworks Solutions Inc.</t>
  </si>
  <si>
    <t>SWKS</t>
  </si>
  <si>
    <t>SLB N.V.</t>
  </si>
  <si>
    <t>SLB</t>
  </si>
  <si>
    <t>Smurfit Westrock Plc</t>
  </si>
  <si>
    <t>SW</t>
  </si>
  <si>
    <t>Snap-on Inc.</t>
  </si>
  <si>
    <t>SNA</t>
  </si>
  <si>
    <t>Southwest Airlines Co.</t>
  </si>
  <si>
    <t>LUV</t>
  </si>
  <si>
    <t>Stanley Black &amp; Decker Inc.</t>
  </si>
  <si>
    <t>SWK</t>
  </si>
  <si>
    <t>Starbucks Corp.</t>
  </si>
  <si>
    <t>SBUX</t>
  </si>
  <si>
    <t>State Street Corp.</t>
  </si>
  <si>
    <t>STT</t>
  </si>
  <si>
    <t>Steel Dynamics Inc.</t>
  </si>
  <si>
    <t>STLD</t>
  </si>
  <si>
    <t>STERIS plc</t>
  </si>
  <si>
    <t>STE</t>
  </si>
  <si>
    <t>Stryker Corp.</t>
  </si>
  <si>
    <t>SYK</t>
  </si>
  <si>
    <t>Super Micro Computer Inc.</t>
  </si>
  <si>
    <t>SMCI</t>
  </si>
  <si>
    <t>Synchrony Financial</t>
  </si>
  <si>
    <t>SYF</t>
  </si>
  <si>
    <t>Synopsys Inc.</t>
  </si>
  <si>
    <t>SNPS</t>
  </si>
  <si>
    <t>Sysco Corp.</t>
  </si>
  <si>
    <t>SYY</t>
  </si>
  <si>
    <t>Food Distributors</t>
  </si>
  <si>
    <t>T-Mobile US Inc.</t>
  </si>
  <si>
    <t>TMUS</t>
  </si>
  <si>
    <t>Wireless Telecommunication Services</t>
  </si>
  <si>
    <t>T. Rowe Price Group Inc.</t>
  </si>
  <si>
    <t>TROW</t>
  </si>
  <si>
    <t>Take-Two Interactive Software</t>
  </si>
  <si>
    <t>TTWO</t>
  </si>
  <si>
    <t>Tapestry Inc.</t>
  </si>
  <si>
    <t>TPR</t>
  </si>
  <si>
    <t>Targa Resources Corp.</t>
  </si>
  <si>
    <t>TRGP</t>
  </si>
  <si>
    <t>Target Corp.</t>
  </si>
  <si>
    <t>TGT</t>
  </si>
  <si>
    <t>TE Connectivity plc</t>
  </si>
  <si>
    <t>TEL</t>
  </si>
  <si>
    <t>Teledyne Technologies Inc.</t>
  </si>
  <si>
    <t>TDY</t>
  </si>
  <si>
    <t>Teradyne Inc.</t>
  </si>
  <si>
    <t>TER</t>
  </si>
  <si>
    <t>Tesla Inc.</t>
  </si>
  <si>
    <t>TSLA</t>
  </si>
  <si>
    <t>Texas Instruments Inc.</t>
  </si>
  <si>
    <t>TXN</t>
  </si>
  <si>
    <t>Texas Pacific Land Corp.</t>
  </si>
  <si>
    <t>TPL</t>
  </si>
  <si>
    <t>Textron Inc.</t>
  </si>
  <si>
    <t>TXT</t>
  </si>
  <si>
    <t>The AES Corp.</t>
  </si>
  <si>
    <t>AES</t>
  </si>
  <si>
    <t>Independent Power Producers and Energy Traders</t>
  </si>
  <si>
    <t>The Allstate Corp.</t>
  </si>
  <si>
    <t>ALL</t>
  </si>
  <si>
    <t>The Bank New York Mellon</t>
  </si>
  <si>
    <t>BK</t>
  </si>
  <si>
    <t>The Boeing Co.</t>
  </si>
  <si>
    <t>BA</t>
  </si>
  <si>
    <t>The Campbell's Co.</t>
  </si>
  <si>
    <t>CPB</t>
  </si>
  <si>
    <t>The Charles Schwab Corp.</t>
  </si>
  <si>
    <t>SCHW</t>
  </si>
  <si>
    <t>The Cigna Group</t>
  </si>
  <si>
    <t>CI</t>
  </si>
  <si>
    <t>The Clorox Co.</t>
  </si>
  <si>
    <t>CLX</t>
  </si>
  <si>
    <t>The Coca-Cola Co.</t>
  </si>
  <si>
    <t>KO</t>
  </si>
  <si>
    <t>The Cooper Companies Inc.</t>
  </si>
  <si>
    <t>COO</t>
  </si>
  <si>
    <t>The Estée Lauder Cos Inc</t>
  </si>
  <si>
    <t>EL</t>
  </si>
  <si>
    <t>Personal Care and Beauty Products: Producers</t>
  </si>
  <si>
    <t>The Goldman Sachs Group</t>
  </si>
  <si>
    <t>GS</t>
  </si>
  <si>
    <t>The Hartford Insurance Group</t>
  </si>
  <si>
    <t>HIG</t>
  </si>
  <si>
    <t>The Hershey Co.</t>
  </si>
  <si>
    <t>HSY</t>
  </si>
  <si>
    <t>The Home Depot Inc.</t>
  </si>
  <si>
    <t>HD</t>
  </si>
  <si>
    <t>The J. M. Smucker Co.</t>
  </si>
  <si>
    <t>SJM</t>
  </si>
  <si>
    <t>The Kroger Co.</t>
  </si>
  <si>
    <t>KR</t>
  </si>
  <si>
    <t>Food Retail</t>
  </si>
  <si>
    <t>The Mosaic Co.</t>
  </si>
  <si>
    <t>MOS</t>
  </si>
  <si>
    <t>The PNC Finl Svcs Grp</t>
  </si>
  <si>
    <t>PNC</t>
  </si>
  <si>
    <t>The Procter &amp; Gamble Co.</t>
  </si>
  <si>
    <t>PG</t>
  </si>
  <si>
    <t>The Progressive Corp.</t>
  </si>
  <si>
    <t>PGR</t>
  </si>
  <si>
    <t>The Sherwin-Williams Co.</t>
  </si>
  <si>
    <t>SHW</t>
  </si>
  <si>
    <t>The Southern Co.</t>
  </si>
  <si>
    <t>SO</t>
  </si>
  <si>
    <t>The TJX Companies Inc.</t>
  </si>
  <si>
    <t>TJX</t>
  </si>
  <si>
    <t>The Travelers Companies Inc.</t>
  </si>
  <si>
    <t>TRV</t>
  </si>
  <si>
    <t>The Walt Disney Co.</t>
  </si>
  <si>
    <t>DIS</t>
  </si>
  <si>
    <t>The Williams Companies Inc.</t>
  </si>
  <si>
    <t>WMB</t>
  </si>
  <si>
    <t>Thermo Fisher Scientific Inc.</t>
  </si>
  <si>
    <t>TMO</t>
  </si>
  <si>
    <t>Tractor Supply Co.</t>
  </si>
  <si>
    <t>TSCO</t>
  </si>
  <si>
    <t>Other Specialty Retail</t>
  </si>
  <si>
    <t>Trane Technologies plc</t>
  </si>
  <si>
    <t>TT</t>
  </si>
  <si>
    <t>TransDigm Group Inc</t>
  </si>
  <si>
    <t>TDG</t>
  </si>
  <si>
    <t>Trimble Inc.</t>
  </si>
  <si>
    <t>TRMB</t>
  </si>
  <si>
    <t>Truist Financial Corp.</t>
  </si>
  <si>
    <t>TFC</t>
  </si>
  <si>
    <t>Tyler Technologies Inc.</t>
  </si>
  <si>
    <t>TYL</t>
  </si>
  <si>
    <t>Tyson Foods Inc.</t>
  </si>
  <si>
    <t>TSN</t>
  </si>
  <si>
    <t>U.S. Bancorp</t>
  </si>
  <si>
    <t>USB</t>
  </si>
  <si>
    <t>UDR Inc.</t>
  </si>
  <si>
    <t>UDR</t>
  </si>
  <si>
    <t>Ulta Beauty Inc.</t>
  </si>
  <si>
    <t>ULTA</t>
  </si>
  <si>
    <t>Union Pacific Corp.</t>
  </si>
  <si>
    <t>UNP</t>
  </si>
  <si>
    <t>United Airlines Holdings Inc.</t>
  </si>
  <si>
    <t>UAL</t>
  </si>
  <si>
    <t>United Parcel Service Inc.</t>
  </si>
  <si>
    <t>UPS</t>
  </si>
  <si>
    <t>United Rentals Inc.</t>
  </si>
  <si>
    <t>URI</t>
  </si>
  <si>
    <t>UnitedHealth Group Inc.</t>
  </si>
  <si>
    <t>UNH</t>
  </si>
  <si>
    <t>Universal Health Services Inc.</t>
  </si>
  <si>
    <t>UHS</t>
  </si>
  <si>
    <t>Valero Energy Corp.</t>
  </si>
  <si>
    <t>VLO</t>
  </si>
  <si>
    <t>Ventas Inc.</t>
  </si>
  <si>
    <t>VTR</t>
  </si>
  <si>
    <t>VeriSign Inc.</t>
  </si>
  <si>
    <t>VRSN</t>
  </si>
  <si>
    <t>Verisk Analytics Inc.</t>
  </si>
  <si>
    <t>VRSK</t>
  </si>
  <si>
    <t>Verizon Communications Inc.</t>
  </si>
  <si>
    <t>VZ</t>
  </si>
  <si>
    <t>Vertex Pharmaceuticals Inc.</t>
  </si>
  <si>
    <t>VRTX</t>
  </si>
  <si>
    <t>Viatris Inc.</t>
  </si>
  <si>
    <t>VTRS</t>
  </si>
  <si>
    <t>Visa Inc.</t>
  </si>
  <si>
    <t>V</t>
  </si>
  <si>
    <t>Vulcan Materials Co.</t>
  </si>
  <si>
    <t>VMC</t>
  </si>
  <si>
    <t>W. R. Berkley Corp.</t>
  </si>
  <si>
    <t>WRB</t>
  </si>
  <si>
    <t>W.W. Grainger Inc.</t>
  </si>
  <si>
    <t>GWW</t>
  </si>
  <si>
    <t>Walmart Inc.</t>
  </si>
  <si>
    <t>WMT</t>
  </si>
  <si>
    <t>Warner Bros. Discovery Inc.</t>
  </si>
  <si>
    <t>WBD</t>
  </si>
  <si>
    <t>Waste Mgmt Inc.</t>
  </si>
  <si>
    <t>WM</t>
  </si>
  <si>
    <t>Waters Corp.</t>
  </si>
  <si>
    <t>WAT</t>
  </si>
  <si>
    <t>WEC Energy Group Inc.</t>
  </si>
  <si>
    <t>WEC</t>
  </si>
  <si>
    <t>Wells Fargo &amp; Co.</t>
  </si>
  <si>
    <t>WFC</t>
  </si>
  <si>
    <t>Welltower Inc.</t>
  </si>
  <si>
    <t>WELL</t>
  </si>
  <si>
    <t>W Pharmaceutical Svcs Inc</t>
  </si>
  <si>
    <t>WST</t>
  </si>
  <si>
    <t>Western Digital Corp.</t>
  </si>
  <si>
    <t>WDC</t>
  </si>
  <si>
    <t>Westinghouse Air Brake Technol</t>
  </si>
  <si>
    <t>WAB</t>
  </si>
  <si>
    <t>Weyerhaeuser Co.</t>
  </si>
  <si>
    <t>WY</t>
  </si>
  <si>
    <t>Timber REIT</t>
  </si>
  <si>
    <t>Williams-Sonoma Inc.</t>
  </si>
  <si>
    <t>WSM</t>
  </si>
  <si>
    <t>Homefurnishing Retail</t>
  </si>
  <si>
    <t>Willis Towers Watson Plc</t>
  </si>
  <si>
    <t>WTW</t>
  </si>
  <si>
    <t>Workday Inc.</t>
  </si>
  <si>
    <t>WDAY</t>
  </si>
  <si>
    <t>Wynn Resorts Ltd.</t>
  </si>
  <si>
    <t>WYNN</t>
  </si>
  <si>
    <t>Xcel Energy Inc.</t>
  </si>
  <si>
    <t>XEL</t>
  </si>
  <si>
    <t>Xylem Inc.</t>
  </si>
  <si>
    <t>XYL</t>
  </si>
  <si>
    <t>Yum! Brands Inc.</t>
  </si>
  <si>
    <t>YUM</t>
  </si>
  <si>
    <t>Zebra Technologies Corp.</t>
  </si>
  <si>
    <t>ZBRA</t>
  </si>
  <si>
    <t>Zimmer Biomet Holdings Inc.</t>
  </si>
  <si>
    <t>ZBH</t>
  </si>
  <si>
    <t>Zoetis Inc.</t>
  </si>
  <si>
    <t>ZTS</t>
  </si>
  <si>
    <t>203181,81</t>
  </si>
  <si>
    <t>77825,4</t>
  </si>
  <si>
    <t>71630,37</t>
  </si>
  <si>
    <t>186011,28</t>
  </si>
  <si>
    <t>允䅁䱁䅑䅁煁䅁䅁睕兂䙁䄸睑偂䕁䄰䅕䉂䕁䄴兗時䕁䄴兑乂䕁䅕睘䉂䕁䅉村卂䅁䅁䅁䅁䉁䅙䅁睁䑁䅑睌穁䑁䅁睌祁䑁䅁杍睁䅁䅁䅈䅁䉁䅙䅁睁䑁䅉睌祁䑁䅙睌祁䑁䅁杍硁䅁䅁兂䅁䉁䅯䅁㡁䑁䄴䅍㍁䍁䄸睍睁䍁䄸杍睁䑁䅉免䅁䕁䅣䅁坁䅁䅁䅍㉁䍁䄸睍睁䍁䄸杍睁䑁䅅李䅁䥁䅯䅁坁䅁䅁免硁䍁䄸睍睁䍁䄸杍睁䑁䅅䅏䅁䑁䅫䅁坁䅁䅁䅍硁䍁䄸睍硁䍁䄸杍睁䑁䅅䅏䅁䍁䅳䅁㉁䅁䅁兔桂䡁䅉睡求䡁䅑䅉䑂䝁䅅䅣灂䡁䅑兙獂䝁䅫来桂䡁䅑兡療䝁䄴䅉潁䭁杷兔灁䅁䅁杂䅁䑁䅙䅁乂䕁䅫睘䩂䕁䄴䅒噂䙁䅍䅖卂䙁䅫睘䑂䕁䅷兑呂䙁䅍兓䝂䕁䅫睑䉂䙁䅑兓偂䕁䄴䅁允䅁䅁杁䅁䅁䅁允䅁䉁䅙䅁睁䑁䅫睌穁䑁䅁睌祁䑁䅁免㕁䅁䅁权䅁䥁䅷䅁偂䡁䅁䅤灂䝁䄸杢穂䑁䅯睑ㅂ䡁䅉杣㥁䕁䅕兖卂䍁䅷兔桂䝁䅣児呂䡁䅑兙畂䝁䅑兙祂䝁䅑䅌䑂䝁䄸杢㉂䕁䄰党あ䝁䅧睢歂䑁䄰杕獁䕁䅙兡獂䝁䅫杢湂䙁䅙党祂䑁䄰睑ㅂ䡁䅉杣求䝁䄴䅤癁䙁䅉党穂䡁䅑兙あ䝁䅕䅚䅁䅁䅉䅁坁䅁䅁䅍祁䍁䄸杍㑁䍁䄸杍睁䑁䅅䅏䅁䑁䅉䅁坁䅁䅁䅍硁䍁䄸睍硁䍁䄸杍睁䑁䅅兏䅁䍁䅷䅁慁䅁䅁䅐⭁䑁䅁李癁䑁䅍䅍癁䑁䅉䅍硁䑁䅕䅁獃䅁䅁杆䅁䑁䅁李癁䑁䅍䅍癁䑁䅉䅍硁䑁䅣䅁䱃䅁䅁䅎䅁䕁䅍睢瑂䡁䅁兙畂䡁䅫䅉佂䝁䅅兢求䍁䅷䅉䉂䝁䅉杙祂䝁䅕杤灂䝁䅅䅤求䝁䅑䅁䑁䅁䅁杇䅁䑁䅷材硁䑁䅁睌祁䑁䅫睌祁䑁䅁杍硁䅁䅁睐䅁䉁䅯䅁㡁䑁䄴䅍穁䍁䄸睍硁䍁䄸杍睁䑁䅉免䅁䕁䅷䅁慁䅁䅁睕兂䙁䄸兔䉂䙁䅉睓䙂䙁䅑睑䉂䙁䅁䅁䕁䅁䅁杆䅁䑁䅅䅍癁䑁䅍䅍癁䑁䅉䅍祁䑁䅁䅁奁䅁䅁杆䅁䑁䅁䅎癁䑁䅍䅍癁䑁䅉䅍硁䑁䅧䅁䡁䅁䅁杆䅁䑁䅁䅎癁䑁䅍䅍癁䑁䅉䅍硁䑁䅫䅁䥁䅁䅁杆䅁䑁䅁䅏癁䑁䅍䅍癁䑁䅉䅍硁䑁䅫䅁䩁䅁䅁杆䅁䑁䅁睍癁䑁䅍免癁䑁䅉䅍祁䑁䅁䅁呁䅁䅁杆䅁䑁䅅免癁䑁䅉兏癁䑁䅉䅍硁䑁䅫䅁潁䅁䅁杆䅁䑁䅅䅍癁䑁䅉兏癁䑁䅉䅍祁䑁䅅䅁䱁䅁䅁杇䅁䑁䅷材硁䑁䅅睌祁䑁䅫睌祁䑁䅁免㕁䅁䅁兗䅁䉁䅙䅁睁䑁䅅睌穁䑁䅅睌祁䑁䅁杍睁䅁䅁杅䅁䉁䅯䅁㡁䑁䄴䅍㑁䍁䄸睍睁䍁䄸杍睁䑁䅅兏䅁䙁䅷䅁坁䅁䅁免硁䍁䄸睍睁䍁䄸杍睁䑁䅉䅍䅁䉁䅫䅁坁䅁䅁䅍㕁䍁䄸睍睁䍁䄸杍睁䑁䅉免䅁䍁䅍䅁坁䅁䅁免祁䍁䄸睍硁䍁䄸杍睁䑁䅉䅍䅁䅁䅷䅁慁䅁䅁䅐⭁䑁䅁睍癁䑁䅉兏癁䑁䅉䅍硁䑁䅧䅁㙁䅁䅁杆䅁䑁䅅杍癁䑁䅍免癁䑁䅉䅍祁䑁䅅䅁乁䅁䅁杇䅁䑁䅷材睁䑁䅍睌祁䑁䅫睌祁䑁䅁免㕁䅁䅁睏䅁䉁䅙䅁睁䑁䅧睌穁䑁䅅睌祁䑁䅁免㍁䅁䅁睤䅁䉁䅑䅁呂䙁䅁睘啂䕁䅫睑䱂䕁䅕杕䅁䅁䄴䅁坁䅁䅁䅍ㅁ䍁䄸杍㑁䍁䄸杍睁䑁䅉免䅁䉁䄴䅁坁䅁䅁䅍㉁䍁䄸杍㑁䍁䄸杍睁䑁䅅兏䅁䑁䅑䅁佁䅁䅁䅖灂䝁䅍睡求䡁䅉䅁偁䅁䅁杆䅁䑁䅁杍癁䑁䅉䅏癁䑁䅉䅍硁䑁䅫䅁穁䅁䅁䅍䅁䕁䅫杢歂䡁䅕督あ䡁䅉入杁䕁䅍䅢桂䡁䅍督灂䝁䅙兡橂䝁䅅䅤灂䝁䄸杢䅁䉁䅅䅁坁䅁䅁䅍ㅁ䍁䄸杍㕁䍁䄸杍睁䑁䅅兎䅁䥁䅑䅁坁䅁䅁䅍穁䍁䄸睍硁䍁䄸杍睁䑁䅉免䅁䉁䅑䅁坁䅁䅁䅍祁䍁䄸杍㑁䍁䄸杍睁䑁䅉䅍䅁䉁䅳䅁坁䅁䅁䅍㍁䍁䄸睍硁䍁䄸杍睁䑁䅉䅍䅁䉁䅕䅁坁䅁䅁䅍㑁䍁䄸睍硁䍁䄸杍睁䑁䅉䅍䅁䉁䅙䅁慁䅁䅁䅐⭁䑁䅁䅏癁䑁䅍免癁䑁䅉䅍硁䑁䅧䅁歂䅁䅁杆䅁䑁䅁䅏癁䑁䅍免癁䑁䅉䅍祁䑁䅅䅁塁䅁䅁杇䅁䑁䅷材睁䑁䅕睌祁䑁䅫睌祁䑁䅁免ㅁ䅁䅁䅬䅁䉁䅙䅁硁䑁䅅睌穁䑁䅁睌祁䑁䅁杍硁䅁䅁杇䅁䉁䅙䅁睁䑁䅫睌穁䑁䅁睌祁䑁䅁杍睁䅁䅁杉䅁䉁䅙䅁睁䑁䅑睌穁䑁䅁睌祁䑁䅁杍硁䅁䅁先䅁䉁䅙䅁睁䑁䅙睌祁䑁䅫睌祁䑁䅁免㑁䅁䅁䅏䅁䉁䅙䅁睁䑁䅙睌穁䑁䅁睌祁䑁䅁杍睁䅁䅁睈䅁䉁䅙䅁睁䑁䅉睌祁䑁䅧睌祁䑁䅁免㍁䅁䅁杪䅁䉁䅙䅁睁䑁䅙睌穁䑁䅁睌祁䑁䅁杍硁䅁䅁䅉䅁䉁䅙䅁硁䑁䅁睌穁䑁䅁睌祁䑁䅁免ㅁ䅁䅁䅦䅁䉁䅯䅁㡁䑁䄴䅍㉁䍁䄸杍㕁䍁䄸杍睁䑁䅅䅏䅁䑁䅷䅁坁䅁䅁䅍㍁䍁䄸睍睁䍁䄸杍睁䑁䅉免䅁䍁䅅䅁坁䅁䅁䅍㍁䍁䄸睍硁䍁䄸杍睁䑁䅅兎䅁䡁䅍䅁坁䅁䅁䅍硁䍁䄸杍㕁䍁䄸杍睁䑁䅉免䅁䍁䅑䅁慁䅁䅁䅐⭁䑁䅅杍癁䑁䅍免癁䑁䅉䅍祁䑁䅁䅁㥁䅁䅁杆䅁䑁䅁兎癁䑁䅉兏癁䑁䅉䅍祁䑁䅁䅁汁䅁䅁杆䅁䑁䅅䅍癁䑁䅍免癁䑁䅉䅍硁䑁䅧䅁流䅁䅁杆䅁䑁䅁兏癁䑁䅉䅏癁䑁䅉䅍硁䑁䅧䅁ㅁ䅁䅁杆䅁䑁䅅䅍癁䑁䅍免癁䑁䅉䅍硁䑁䅫䅁湁䅁䅁杆䅁䑁䅁䅏癁䑁䅍免癁䑁䅉䅍硁䑁䅧䅁硁䅁䅁杆䅁䑁䅅杍癁䑁䅍免癁䑁䅉䅍硁䑁䅧䅁灁䅁䅁杆䅁䑁䅅杍癁䑁䅍免癁䑁䅉䅍硁䑁䅫䅁煁䅁䅁杆䅁䑁䅁兎癁䑁䅍免癁䑁䅉䅍硁䑁䅧䅁瑁䅁䅁杆䅁䑁䅁兎癁䑁䅍免癁䑁䅉䅍硁䑁䅫䅁畁䅁䅁杆䅁䑁䅁睎癁䑁䅍免癁䑁䅉䅍硁䑁䅧䅁癁䅁䅁杆䅁䑁䅁睎癁䑁䅍免癁䑁䅉䅍硁䑁䅫䅁睁䅁䅁杆䅁䑁䅁睍癁䑁䅉兏癁䑁䅉䅍硁䑁䅧䅁㉁䅁䅁杆䅁䑁䅁睍癁䑁䅉兏癁䑁䅉䅍硁䑁䅫䅁㍁䅁䅁杇䅁䑁䅷材硁䑁䅉睌穁䑁䅅睌祁䑁䅁杍硁䅁䅁材䅁䉁䅯䅁㡁䑁䄴免睁䍁䄸睍睁䍁䄸杍睁䑁䅉䅍䅁䕁䅁䅁慁䅁䅁䅐⭁䑁䅅免癁䑁䅍䅍癁䑁䅉䅍祁䑁䅁䅁䉂䅁䅁杇䅁䑁䅷材睁䑁䅅睌穁䑁䅅睌祁䑁䅁杍睁䅁䅁杓䅁䉁䅯䅁㡁䑁䄴免硁䍁䄸睍睁䍁䄸杍睁䑁䅉免䅁䕁䅉䅁慁䅁䅁䅐⭁䑁䅁兏癁䑁䅍䅍癁䑁䅉䅍硁䑁䅙䅁睃䅁䅁杆䅁䑁䅅杍癁䑁䅍䅍癁䑁䅉䅍硁䑁䅙䅁䅃䅁䅁杇䅁䑁䅷材睁䑁䅑睌穁䑁䅁睌祁䑁䅁杍睁䅁䅁睑䅁䉁䅯䅁㡁䑁䄴䅍ぁ䍁䄸睍睁䍁䄸杍睁䑁䅉免䅁䕁䅑䅁慁䅁䅁䅐⭁䑁䅅杍癁䑁䅍䅍癁䑁䅉䅍硁䑁䅙䅁捃䅁䅁杇䅁䑁䅷材睁䑁䅙睌穁䑁䅁睌祁䑁䅁杍睁䅁䅁兒䅁䉁䅯䅁㡁䑁䄴䅍㉁䍁䄸睍睁䍁䄸杍睁䑁䅉免䅁䕁䅙䅁慁䅁䅁䅐⭁䑁䅁兏癁䑁䅍䅍癁䑁䅉䅍祁䑁䅁䅁䥂䅁䅁杆䅁䑁䅁睎癁䑁䅉兏癁䑁䅉䅍硁䑁䅙䅁䙃䅁䅁杇䅁䑁䅷材睁䑁䅫睌穁䑁䅁睌祁䑁䅁杍硁䅁䅁兓䅁䉁䅯䅁㡁䑁䄴䅍穁䍁䄸睍硁䍁䄸杍睁䑁䅉䅍䅁䕁䅳䅁慁䅁䅁䅐⭁䑁䅁睎癁䑁䅍免癁䑁䅉䅍祁䑁䅁䅁乂䅁䅁杇䅁䑁䅷材睁䑁䅧睌穁䑁䅅睌祁䑁䅁杍睁䅁䅁杔䅁䉁䅯䅁㡁䑁䄴䅍㑁䍁䄸睍硁䍁䄸杍睁䑁䅉免䅁䕁䄸䅁慁䅁䅁䅐⭁䑁䅁李癁䑁䅍䅍癁䑁䅉䅍硁䑁䅙䅁瑃䅁䅁杇䅁䑁䅷材睁䑁䅉睌祁䑁䅧睌祁䑁䅁杍睁䅁䅁䅕䅁䉁䅯䅁㡁䑁䄴䅍硁䍁䄸睍硁䍁䄸杍睁䑁䅅䅏䅁䙁䄴䅁慁䅁䅁䅐⭁䑁䅅免癁䑁䅍䅍癁䑁䅉䅍硁䑁䅧䅁灂䅁䅁杇䅁䑁䅷材睁䑁䅕睌祁䑁䅧睌祁䑁䅁杍硁䅁䅁兕䅁䉁䅯䅁㡁䑁䄴䅍祁䍁䄸杍㉁䍁䄸杍睁䑁䅉免䅁䙁䅉䅁慁䅁䅁䅐⭁䑁䅁兎癁䑁䅍免癁䑁䅉䅍硁䑁䅣䅁歃䅁䅁杇䅁䑁䅷材睁䑁䅅睌祁䑁䅫睌祁䑁䅁杍硁䅁䅁睕䅁䉁䅯䅁㡁䑁䄴免硁䍁䄸睍睁䍁䄸杍睁䑁䅅李䅁䩁䅯䅁慁䅁䅁䅐⭁䑁䅁兎癁䑁䅉兏癁䑁䅉䅍祁䑁䅁䅁啂䅁䅁杇䅁䑁䅷材硁䑁䅁睌穁䑁䅅睌祁䑁䅁免㑁䅁䅁兖䅁䉁䅯䅁㡁䑁䄴免睁䍁䄸睍硁䍁䄸杍睁䑁䅅兏䅁䙁䅙䅁慁䅁䅁䅐⭁䑁䅅杍癁䑁䅍免癁䑁䅉䅍硁䑁䅧䅁塂䅁䅁杇䅁䑁䅷材硁䑁䅉睌穁䑁䅅睌祁䑁䅁免㕁䅁䅁䅗䅁䉁䅯䅁㡁䑁䄴䅍ぁ䍁䄸睍睁䍁䄸杍睁䑁䅅䅏䅁䙁䅯䅁慁䅁䅁䅐⭁䑁䅁䅎癁䑁䅍䅍癁䑁䅉䅍硁䑁䅫䅁扂䅁䅁杇䅁䑁䅷材睁䑁䅫睌穁䑁䅁睌祁䑁䅁免㕁䅁䅁兘䅁䉁䅯䅁㡁䑁䄴䅍㉁䍁䄸睍睁䍁䄸杍睁䑁䅅睎䅁䭁䄴䅁坁䅁䅁䅍㉁䍁䄸睍睁䍁䄸杍睁䑁䅅兎䅁䥁䅫䅁慁䅁䅁䅐⭁䑁䅁免癁䑁䅍免癁䑁䅉䅍硁䑁䅫䅁時䅁䅁杇䅁䑁䅷材睁䑁䅕睌穁䑁䅅睌祁䑁䅁免㑁䅁䅁䅙䅁䉁䅯䅁㡁䑁䄴䅍ㅁ䍁䄸睍硁䍁䄸杍睁䑁䅅兏䅁䝁䅅䅁慁䅁䅁䅐⭁䑁䅁睎癁䑁䅍免癁䑁䅉䅍硁䑁䅧䅁楂䅁䅁杇䅁䑁䅷材睁䑁䅣睌穁䑁䅅睌祁䑁䅁免㕁䅁䅁睙䅁䉁䅯䅁㡁䑁䄴䅍祁䍁䄸杍㑁䍁䄸杍睁䑁䅅䅏䅁䝁䅕䅁慁䅁䅁䅐⭁䑁䅁杍癁䑁䅉䅏癁䑁䅉䅍硁䑁䅫䅁浂䅁䅁杇䅁䑁䅷材睁䑁䅙睌祁䑁䅧睌祁䑁䅁免㕁䅁䅁睚䅁䉁䅯䅁㡁䑁䄴䅍㕁䍁䄸杍㑁䍁䄸杍睁䑁䅅䅏䅁䝁䅧䅁慁䅁䅁睕兂䙁䄸兒佂䙁䅑兓啂䙁䅫睘䩂䕁䅑䅁煂䅁䅁䅆䅁䕁䅕杢あ䝁䅫䅤㕂䍁䅁兓䕂䅁䅁睡䅁䉁䄴䅁呂䙁䅁睘䙂䕁䄴䅖䩂䙁䅑兗時䕁䄴兑乂䕁䅕䅁獂䅁䅁䅇䅁䕁䅕杢あ䝁䅫䅤㕂䍁䅁杔桂䝁䄰党䅁䝁䄰䅁坁䅁䅁䅍硁䍁䄸睍硁䍁䄸杍睁䑁䅅睎䅁䝁䄴䅁坁䅁䅁䅍穁䍁䄸睍硁䍁䄸杍睁䑁䅅兎䅁䝁䄸䅁坁䅁䅁䅍穁䍁䄸睍硁䍁䄸杍睁䑁䅅睎䅁䡁䅁䅁坁䅁䅁䅍ㅁ䍁䄸睍硁䍁䄸杍睁䑁䅅李䅁䡁䅅䅁坁䅁䅁䅍ㅁ䍁䄸睍硁䍁䄸杍睁䑁䅅睎䅁䡁䅉䅁坁䅁䅁䅍㍁䍁䄸睍硁䍁䄸杍睁䑁䅅睎䅁䡁䅑䅁坁䅁䅁䅍㑁䍁䄸睍硁䍁䄸杍睁䑁䅅兎䅁䡁䅕䅁坁䅁䅁䅍㑁䍁䄸睍硁䍁䄸杍睁䑁䅅李䅁䡁䅙䅁坁䅁䅁免睁䍁䄸睍硁䍁䄸杍睁䑁䅅李䅁䡁䅧䅁坁䅁䅁免睁䍁䄸睍硁䍁䄸杍睁䑁䅅睎䅁䡁䅫䅁慁䅁䅁䅐⭁䑁䅁兏癁䑁䅉兏癁䑁䅉䅍硁䑁䅣䅁坃䅁䅁杆䅁䑁䅅杍癁䑁䅉兏癁䑁䅉䅍硁䑁䅣䅁㙂䅁䅁杆䅁䑁䅅杍癁䑁䅍免癁䑁䅉䅍硁䑁䅕䅁㝂䅁䅁杇䅁䑁䅷材睁䑁䅅睌穁䑁䅅睌祁䑁䅁免㍁䅁䅁䅯䅁䉁䅯䅁㡁䑁䄴免硁䍁䄸睍睁䍁䄸杍睁䑁䅅睎䅁䩁䅳䅁坁䅁䅁免硁䍁䄸睍睁䍁䄸杍睁䑁䅅兎䅁䡁䄰䅁坁䅁䅁免硁䍁䄸睍睁䍁䄸杍睁䑁䅅李䅁䡁䄴䅁慁䅁䅁䅐⭁䑁䅅免癁䑁䅍䅍癁䑁䅉䅍硁䑁䅕䅁婃䅁䅁杆䅁䑁䅅免癁䑁䅍䅍癁䑁䅉䅍硁䑁䅣䅁⽂䅁䅁杆䅁䑁䅁免癁䑁䅉兏癁䑁䅉䅍硁䑁䅙䅁䉃䅁䅁杆䅁䑁䅁杍癁䑁䅉兏癁䑁䅉䅍硁䑁䅙䅁䍃䅁䅁杆䅁䑁䅁䅎癁䑁䅉兏癁䑁䅉䅍硁䑁䅙䅁䑃䅁䅁杆䅁䑁䅁兏癁䑁䅉兏癁䑁䅉䅍硁䑁䅣䅁䝃䅁䅁杆䅁䑁䅁免癁䑁䅍䅍癁䑁䅉䅍硁䑁䅕䅁䡃䅁䅁杆䅁䑁䅁䅎癁䑁䅍䅍癁䑁䅉䅍硁䑁䅕䅁䥃䅁䅁杆䅁䑁䅁兏癁䑁䅍䅍癁䑁䅉䅍硁䑁䅕䅁䵃䅁䅁杆䅁䑁䅁兏癁䑁䅍䅍癁䑁䅉䅍硁䑁䅙䅁乃䅁䅁杆䅁䑁䅁䅎癁䑁䅉䅏癁䑁䅉䅍硁䑁䅣䅁偃䅁䅁杇䅁䑁䅷材睁䑁䅣睌穁䑁䅅睌祁䑁䅁免ㅁ䅁䅁兰䅁䉁䅙䅁睁䑁䅉睌祁䑁䅣睌祁䑁䅁免ㅁ䅁䅁䅫䅁䉁䅯䅁㡁䑁䄴䅍硁䍁䄸杍㕁䍁䄸杍睁䑁䅅李䅁䩁䅅䅁慁䅁䅁䅐⭁䑁䅁䅏癁䑁䅍免癁䑁䅉䅍硁䑁䅕䅁湃䅁䅁杇䅁䑁䅷材睁䑁䅉睌祁䑁䅫睌祁䑁䅁免㉁䅁䅁杫䅁䉁䅯䅁㡁䑁䄴䅍ぁ䍁䄸杍㕁䍁䄸杍睁䑁䅅李䅁䩁䅍䅁慁䅁䅁䅐⭁䑁䅁睎癁䑁䅉兏癁䑁䅉䅍硁䑁䅙䅁噃䅁䅁杇䅁䑁䅷材硁䑁䅉睌祁䑁䅫睌祁䑁䅁免㍁䅁䅁睬䅁䉁䅯䅁㡁䑁䄴免睁䍁䄸睍睁䍁䄸杍睁䑁䅅兎䅁䩁䅧䅁慁䅁䅁䅐⭁䑁䅅䅍癁䑁䅍免癁䑁䅉䅍硁䑁䅙䅁摃䅁䅁杇䅁䑁䅷材硁䑁䅁睌穁䑁䅅睌祁䑁䅁免㍁䅁䅁杮䅁䉁䅯䅁㡁䑁䄴免祁䍁䄸睍硁䍁䄸杍睁䑁䅅兎䅁䩁䄸䅁慁䅁䅁䅐⭁䑁䅁睍癁䑁䅍免癁䑁䅉䅍硁䑁䅕䅁桃䅁䅁杇䅁䑁䅷材睁䑁䅍睌穁䑁䅅睌祁䑁䅁免㍁䅁䅁杯䅁䉁䅯䅁㡁䑁䄴䅍ㅁ䍁䄸睍硁䍁䄸杍睁䑁䅅李䅁䭁䅍䅁慁䅁䅁䅐⭁䑁䅁睎癁䑁䅍免癁䑁䅉䅍硁䑁䅣䅁浃䅁䅁杇䅁䑁䅷材睁䑁䅧睌穁䑁䅅睌祁䑁䅁免㉁䅁䅁䅱䅁䉁䅯䅁㡁䑁䄴䅍㑁䍁䄸睍硁䍁䄸杍睁䑁䅅睎䅁䭁䅫䅁慁䅁䅁䅐⭁䑁䅁免癁䑁䅍䅍癁䑁䅉䅍硁䑁䅕䅁煃䅁䅁杇䅁䑁䅷材睁䑁䅑睌穁䑁䅁睌祁䑁䅁免ㅁ䅁䅁睱䅁䉁䅯䅁㡁䑁䄴䅍㕁䍁䄸睍睁䍁䄸杍睁䑁䅅兎䅁䭁䄸䅁慁䅁䅁䅐⭁䑁䅁杍癁䑁䅉䅏癁䑁䅉䅍硁䑁䅣䅁硃䅁䅁杇䅁䑁䅷材睁䑁䅑睌祁䑁䅧睌祁䑁䅁免㍁䅁䅁杳䅁䉁䅯䅁㡁䑁䄴䅍祁䍁䄸杍㍁䍁䄸杍睁䑁䅅兎䅁䱁䅍䅁䱂䅁䅁䍄䉁䅁䅁杂䅁䅁䅍睄䅁䅁䅕䅁䅁䑁䝒䕅䭅䅁䅁䅁䭁䅁䅅䅁䭁䅁䅅䅁䭁䅁䅉䅁䉁䅁䅁允䅁䅁䅯睁䅁䅁杷允䅁䅁䅙䅁䑁䅁䄸䅁䙁䅁䅁䅁ぁ桒䉂权䕁䅁䅁权䭃䅁䅁权䉁䅁䅁权䍁䅁䅁允䅁䅁䅅䅁䭁䅁䅙䅁䵁䅉䅅䅁䝁䅁䅁睁偁䅁䅁兂䅁䅁䅁䕎兙兑䅯杄䅁䅁䅯允䅁䅁䅯允䅁䅁䅯杁䅁䅁䅅䅁䉁䅁䅁权偁䅁䅁䍄䉁䅁䅁杂䅁䅁䅍睄䅁䅁䅕䅁䅁䑁䝒䕅䭅䉁䅁䅁䭁䅁䅅䅁䭁䅁䅅䅁䭁䅁䅉䅁䉁䅁䅁允䅁䅁䅯充䅁䅁杷允䅁䅁䅙䅁䑁䅁䄸䅁䙁䅁䅁䅁ぁ桒䉂权䕁䅁䅁权㡂䅁䅁权䉁䅁䅁权䍁䅁䅁允䅁䅁䅅䅁䭁䅁䅙䅁䵁䅉䅅䅁䕁䅁䅁睁偁䅁䅁兂䅁䅁䅁䕎兙兑䅯䅂䅁䅁䅯兲䅁䅁䅅䅁䉁䅁䅁权䭃䅁䅁䍄䉁䅁䅁杂䅁䅁䅍睄䅁䅁䅕䅁䅁䑁䝒䕅䭅䅁䅑䅁䭁䥁䅕䅁䭁䅁䅅䅁䭁䅁䅉䅁䉁䅁䅁允䅁䅁䅯杂䅁䅁杷允䅁䅁䅙䅁䑁䅁䄸䅁䙁䅁䅁䅁ぁ桒䉂权䕁䅁䅁权睂䅁䅁权䉁䅁䅁权䍁䅁䅁允䅁䅁䅅䅁䭁䅁䅙䅁䵁䅉䅅䅁䕁䅁䅁睁偁䅁䅁兂䅁䅁䅁䕎兙兑䅯䅂䅁䅁䅯杮䅁䅁䅅䅁䉁䅁䅁权㕂䅁䅁䍄䉁䅁䅁杂䅁䅁䅍睄䅁䅁䅕䅁䅁䑁䝒䕅䭅䅁䅑䅁䭁䡁䅅䅁䭁䅁䅅䅁䭁䅁䅉䅁䉁䅁䅁允䅁䅁䅯杂䅁䅁杷允䅁䅁䅙䅁䑁䅁䄸䅁䙁䅁䅁䅁ぁ桒䉂权䕁䅁䅁权㕂䅁䅁权䉁䅁䅁权䍁䅁䅁允䅁䅁䅅䅁䭁䅁䅙䅁䵁䅉䅅䅁䕁䅁䅁睁偁䅁䅁兂䅁䅁䅁䕎兙兑䅯䅂䅁䅁䅯䅭䅁䅁䅅䅁䉁䅁䅁权㡂䅁䅁䍄䉁䅁䅁杂䅁䅁䅍睄䅁䅁䅕䅁䅁䑁䝒䕅䭅䅁䅑䅁䭁䥁䅷䅁䭁䅁䅅䅁䭁䅁䅉䅁䉁䅁䅁允䅁䅁䅯杂䅁䅁杷允䅁䅁䅑䅁䑁䅁䄸䅁䙁䅁䅁䅁ぁ桒䉂权䕁䅁䅁权浃䅁䅁允䅁䅁䅅䅁䭁䡁䅑䅁䵁䅉䅅䅁䕁䅁䅁睁偁䅁䅁兂䅁䅁䅁䕎兙兑䅯䅂䅁䅁䅯睫䅁䅁䅅䅁䉁䅁䅁权䑃䅁䅁䍄䉁䅁䅁杂䅁䅁䅍睄䅁䅁䅕䅁䅁䑁䝒䕅䭅䝁䅯䅁䭁䅁䅅䅁䭁䅁䅅䅁䭁䅁䅉䅁䉁䅁䅁允䅁䅁䅯睡䅁䅁杷允䅁䅁䅙䅁䑁䅁䄸䅁䙁䅁䅁䅁ぁ桒䉂权獂䅁䅁权䉁䅁䅁权䉁䅁䅁权䍁䅁䅁允䅁䅁䅅䅁䭁䝁䄰䅁䵁䅉䅅䅁䝁䅁䅁睁偁䅁䅁兂䅁䅁䅁䕎兙兑䅯䅂䅁䅁䅯杢䅁䅁䅯允䅁䅁䅯杁䅁䅁䅅䅁䉁䅁䅁权䝁䅁䅁䍄䉁䅁䅁杂䅁䅁䅍睄䅁䅁䅕䅁䅁䑁䝒䕅䭅䅁䅑䅁䭁䝁䄸䅁䭁䅁䅅䅁䭁䅁䅉䅁䉁䅁䅁允䅁䅁䅯杂䅁䅁杷允䅁䅁䅙䅁䑁䅁䄸䅁䙁䅁䅁䅁ぁ桒䉂权䕁䅁䅁权祂䅁䅁权䉁䅁䅁权䍁䅁䅁允䅁䅁䅅䅁䭁䅁䅙䅁䵁䅉䅅䅁䕁䅁䅁睁偁䅁䅁兂䅁䅁䅁䕎兙兑䅯䅂䅁䅁䅯杭䅁䅁䅅䅁䉁䅁䅁权⭂䅁䅁䍄䉁䅁䅁䅂䅁䅁䅍睄䅁䅁䅕䅁䅁䑁䝒䕅䭅䅁䅑䅁䭁䭁䅉䅁䉁䅁䅁允䅁䅁䅯䅣䅁䅁杷允䅁䅁䅙䅁䑁䅁䄸䅁䙁䅁䅁䅁ぁ桒䉂权䕁䅁䅁权穂䅁䅁权䉁䅁䅁权䍁䅁䅁允䅁䅁䅅䅁䭁䅁䅙䅁䵁䅉䅅䅁䝁䅁䅁睁偁䅁䅁兂䅁䅁䅁䕎兙兑䅯䅂䅁䅁䅯䅤䅁䅁䅯允䅁䅁䅯杁䅁䅁䅅䅁䉁䅁䅁权䝁䅁䅁䍄䉁䅁䅁杂䅁䅁䅍睄䅁䅁䅕䅁䅁䑁䝒䕅䭅䅁䅑䅁䭁䡁䅕䅁䭁䅁䅅䅁䭁䅁䅉䅁䉁䅁䅁允䅁䅁䅯杂䅁䅁杷允䅁䅁䅙䅁䑁䅁䄸䅁䙁䅁䅁䅁ぁ桒䉂权䕁䅁䅁权㉂䅁䅁权䉁䅁䅁权䍁䅁䅁允䅁䅁䅅䅁䭁䅁䅙䅁䵁䅉䅅䅁䝁䅁䅁睁偁䅁䅁兂䅁䅁䅁䕎兙兑䅯䅂䅁䅁䅯睤䅁䅁䅯允䅁䅁䅯杁䅁䅁䅅䅁䉁䅁䅁权䝁䅁䅁䍄䉁䅁䅁杂䅁䅁䅍睄䅁䅁䅕䅁䅁䑁䝒䕅䭅䅁䅑䅁䭁䡁䅧䅁䭁䅁䅅䅁䭁䅁䅉䅁䉁䅁䅁允䅁䅁䅯杂䅁䅁杷允䅁䅁䅙䅁䑁䅁䄸䅁䙁䅁䅁䅁ぁ桒䉂权䕁䅁䅁权㙂䅁䅁权䉁䅁䅁权䍁䅁䅁允䅁䅁䅅䅁䭁䅁䅙䅁䵁䅉䅅䅁䝁䅁䅁睁偁䅁䅁兂䅁䅁䅁䕎兙兑䅯䅂䅁䅁䅯睥䅁䅁䅯允䅁䅁䅯杁䅁䅁䅅䅁䉁䅁䅁权䝁䅁䅁䍄䉁䅁䅁杂䅁䅁䅍睄䅁䅁䅕䅁䅁䑁䝒䕅䭅䅁䅑䅁䭁䥁䅍䅁䭁䅁䅅䅁䭁䅁䅉䅁䉁䅁䅁允䅁䅁䅯杂䅁䅁杷允䅁䅁䅙䅁䑁䅁䄸䅁䙁䅁䅁䅁ぁ桒䉂权䕁䅁䅁权㥂䅁䅁权䉁䅁䅁权䍁䅁䅁允䅁䅁䅅䅁䭁䅁䅙䅁䵁䅉䅅䅁䝁䅁䅁睁偁䅁䅁兂䅁䅁䅁䕎兙兑䅯䅂䅁䅁䅯杦䅁䅁䅯允䅁䅁䅯杁䅁䅁䅅䅁䉁䅁䅁权䝁䅁䅁䍄䉁䅁䅁杂䅁䅁䅍睄䅁䅁䅕䅁䅁䑁䝒䕅䭅䅁䅑䅁䭁䡁䄸䅁䭁䅁䅅䅁䭁䅁䅉䅁䉁䅁䅁允䅁䅁䅯杂䅁䅁杷允䅁䅁䅙䅁䑁䅁䄸䅁䙁䅁䅁䅁ぁ桒䉂权䕁䅁䅁权䅃䅁䅁权䉁䅁䅁权䍁䅁䅁允䅁䅁䅅䅁䭁䅁䅙䅁䵁䅉䅅䅁䝁䅁䅁睁偁䅁䅁兂䅁䅁䅁䕎兙兑䅯䅂䅁䅁䅯內䅁䅁䅯允䅁䅁䅯杁䅁䅁䅅䅁䉁䅁䅁权䝁䅁䅁䍄䉁䅁䅁杂䅁䅁䅍睄䅁䅁䅕䅁䅁䑁䝒䕅䭅䅁䅑䅁䭁䥁䅉䅁䭁䅁䅅䅁䭁䅁䅉䅁䉁䅁䅁允䅁䅁䅯杂䅁䅁杷允䅁䅁䅙䅁䑁䅁䄸䅁䙁䅁䅁䅁ぁ桒䉂权䕁䅁䅁权䕃䅁䅁权䉁䅁䅁权䍁䅁䅁允䅁䅁䅅䅁䭁䅁䅙䅁䵁䅉䅅䅁䝁䅁䅁睁偁䅁䅁兂䅁䅁䅁䕎兙兑䅯䅂䅁䅁䅯杨䅁䅁䅯允䅁䅁䅯杁䅁䅁䅅䅁䉁䅁䅁权䝁䅁䅁䍄䉁䅁䅁杂䅁䅁䅍睄䅁䅁䅕䅁䅁䑁䝒䕅䭅䅁䅑䅁䭁䥁䅣䅁䭁䅁䅅䅁䭁䅁䅉䅁䉁䅁䅁允䅁䅁䅯杂䅁䅁杷允䅁䅁䅑䅁䑁䅁䄸䅁䙁䅁䅁䅁ぁ桒䉂权䕁䅁䅁权扃䅁䅁允䅁䅁䅅䅁䭁䡁䄸䅁䵁䅉䅅䅁䕁䅁䅁睁偁䅁䅁兂䅁䅁䅁䕎兙兑䅯䅂䅁䅁䅯睯䅁䅁䅅䅁䉁䅁䅁权硂䅁䅁䍄䉁䅁䅁杂䅁䅁䅍睄䅁䅁䅕䅁䅁䑁䝒䕅䭅䅁䅑䅁䭁䥁䅧䅁䭁䅁䅅䅁䭁䅁䅉䅁䉁䅁䅁允䅁䅁䅯杂䅁䅁杷允䅁䅁䅙䅁䑁䅁䄸䅁䙁䅁䅁䅁ぁ桒䉂权䕁䅁䅁权䩃䅁䅁权䉁䅁䅁权䍁䅁䅁允䅁䅁䅅䅁䭁䅁䅙䅁䵁䅉䅅䅁䝁䅁䅁睁偁䅁䅁兂䅁䅁䅁䕎兙兑䅯䅂䅁䅁䅯睩䅁䅁䅯允䅁䅁䅯杁䅁䅁䅅䅁䉁䅁䅁权䝁䅁䅁䍄䉁䅁䅁杂䅁䅁䅍睄䅁䅁䅕䅁䅁䑁䝒䕅䭅䅁䅑䅁䭁䥁䄰䅁䭁䅁䅅䅁䭁䅁䅉䅁䉁䅁䅁允䅁䅁䅯杂䅁䅁杷允䅁䅁䅙䅁䑁䅁䄸䅁䙁䅁䅁䅁ぁ桒䉂权䕁䅁䅁权佃䅁䅁权䉁䅁䅁权䍁䅁䅁允䅁䅁䅅䅁䭁䅁䅙䅁䵁䅉䅅䅁䝁䅁䅁睁偁䅁䅁兂䅁䅁䅁䕎兙兑䅯䅂䅁䅁䅯睪䅁䅁䅯允䅁䅁䅯杁䅁䅁䅅䅁䉁䅁䅁权䝁䅁䅁䍄䉁䅁䅁杂䅁䅁䅍睄䅁䅁䅕䅁䅁䑁䝒䕅䭅䅁䅑䅁䭁䩁䅁䅁䭁䅁䅅䅁䭁䅁䅉䅁䉁䅁䅁允䅁䅁䅯杂䅁䅁杷允䅁䅁䅑䅁䑁䅁䄸䅁䙁䅁䅁䅁ぁ桒䉂权䕁䅁䅁权剃䅁䅁允䅁䅁䅅䅁䭁䥁䅅䅁䵁䅉䅅䅁䕁䅁䅁睁偁䅁䅁兂䅁䅁䅁䕎兙兑䅯䅂䅁䅁䅯杫䅁䅁䅅䅁䉁䅁䅁权䍃䅁䅁䍄䉁䅁䅁䅂䅁䅁䅍睄䅁䅁䅕䅁䅁䑁䝒䕅䭅䅁䅑䅁䭁䩁䅑䅁䉁䅁䅁允䅁䅁䅯䅨䅁䅁杷允䅁䅁䅑䅁䑁䅁䄸䅁䙁䅁䅁䅁ぁ桒䉂权䕁䅁䅁权噃䅁䅁允䅁䅁䅅䅁䭁䥁䅕䅁䵁䅉䅅䅁䕁䅁䅁睁偁䅁䅁兂䅁䅁䅁䕎兙兑䅯䅂䅁䅁䅯杬䅁䅁䅅䅁䉁䅁䅁权䝃䅁䅁䍄䉁䅁䅁䅂䅁䅁䅍睄䅁䅁䅕䅁䅁䑁䝒䕅䭅䅁䅑䅁䭁䩁䅣䅁䉁䅁䅁允䅁䅁䅯来䅁䅁杷允䅁䅁䅑䅁䑁䅁䄸䅁䙁䅁䅁䅁ぁ桒䉂权䕁䅁䅁权婃䅁䅁允䅁䅁䅅䅁䭁䡁䄰䅁䵁䅉䅅䅁䕁䅁䅁睁偁䅁䅁兂䅁䅁䅁䕎兙兑䅯䅂䅁䅁䅯兯䅁䅁䅅䅁䉁䅁䅁权療䅁䅁䍄䉁䅁䅁䅂䅁䅁䅍睄䅁䅁䅕䅁䅁䑁䝒䕅䭅䅁䅑䅁䭁䩁䅷䅁䉁䅁䅁允䅁䅁䅯䅧䅁䅁杷允䅁䅁䅑䅁䑁䅁䄸䅁䙁䅁䅁䅁ぁ桒䉂权䕁䅁䅁权摃䅁䅁允䅁䅁䅅䅁䭁䡁䅧䅁䵁䅉䅅䅁䕁䅁䅁睁偁䅁䅁兂䅁䅁䅁䕎兙兑䅯䅂䅁䅁䅯睮䅁䅁䅅䅁䉁䅁䅁权㝂䅁䅁䍄䉁䅁䅁䅂䅁䅁䅍睄䅁䅁䅕䅁䅁䑁䝒䕅䭅䅁䅑䅁䭁䭁䅁䅁䉁䅁䅁允䅁䅁䅯杢䅁䅁杷允䅁䅁䅑䅁䑁䅁䄸䅁䙁䅁䅁䅁ぁ桒䉂权䕁䅁䅁权歃䅁䅁允䅁䅁䅅䅁䭁䡁䅉䅁䵁䅉䅅䅁䕁䅁䅁睁偁䅁䅁兂䅁䅁䅁䕎兙兑䅯䅂䅁䅁䅯兰䅁䅁䅅䅁䉁䅁䅁权穂䅁䅁䍄䉁䅁䅁䅂䅁䅁䅍睄䅁䅁䅕䅁䅁䑁䝒䕅䭅䅁䅑䅁䭁䭁䅣䅁䉁䅁䅁允䅁䅁䅯兤䅁䅁杷允䅁䅁䅑䅁䑁䅁䄸䅁䙁䅁䅁䅁ぁ桒䉂权䕁䅁䅁权潃䅁䅁允䅁䅁䅅䅁䭁䡁䅙䅁䵁䅉䅅䅁䕁䅁䅁睁偁䅁䅁兂䅁䅁䅁䕎兙兑䅯䅂䅁䅁䅯共䅁䅁䅅䅁䉁䅁䅁权㍂䅁䅁䍄䉁䅁䅁䅂䅁䅁䅍睄䅁䅁䅕䅁䅁䑁䝒䕅䭅䅁䅑䅁䭁䭁䅯䅁䉁䅁䅁允䅁䅁䅯睨䅁䅁杷允䅁䅁䅑䅁䑁䅁䄸䅁䙁䅁䅁䅁ぁ桒䉂权䕁䅁䅁权牃䅁䅁允䅁䅁䅅䅁䭁䥁䅧䅁䵁䅉䅅䅁䕁䅁䅁睁偁䅁䅁兂䅁䅁䅁䕎兙兑䅯䅂䅁䅁䅯䅲䅁䅁䅅䅁䉁䅁䅁权䩃䅁䅁䍄䉁䅁䅁䅂䅁䅁䅍睄䅁䅁䅕䅁䅁䑁䝒䕅䭅䅁䅑䅁䭁䭁䄴䅁䉁䅁䅁允䅁䅁䅯睩䅁䅁杷允䅁䅁䅑䅁䑁䅁䄸䅁䙁䅁䅁䅁ぁ桒䉂权䕁䅁䅁权癃䅁䅁允䅁䅁䅅䅁䭁䥁䅷䅁䵁䅉䅅䅁䕁䅁䅁睁偁䅁䅁兂䅁䅁䅁䕎兙兑䅯䅂䅁䅁䅯䅳䅁䅁䅅䅁䉁䅁䅁权乃䅁䅁䍄䉁䅁䅁䅂䅁䅁䅍睄䅁䅁䅕䅁䅁䑁䝒䕅䭅䅁䅑䅁䭁䱁䅅䅁䉁䅁䅁允䅁䅁䅯杪䅁䅁杷允䅁䅁䅑䅁䑁䅁䄸䅁䙁䅁䅁䅁ぁ桒䉂权䕁䅁䅁权祃䅁䅁允䅁䅁䅅䅁䭁䥁䄸䅁䵁䅉䅅䅁䕁䅁䅁睁偁䅁䅁兂䅁䅁䅁䕎兙兑䅯䅂䅁䅁䅯睳䅁䅁䅅䅁䉁䅁䅁权元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</si>
</sst>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applyAlignment="1">
      <alignment horizontal="left"/>
    </xf>
    <xf numFmtId="1" fontId="0" fillId="0" borderId="0" xfId="0" applyNumberFormat="1" applyAlignment="1">
      <alignment horizontal="right"/>
    </xf>
    <xf numFmtId="0" fontId="0" fillId="0" borderId="0" xfId="0" applyNumberFormat="1" applyAlignment="1">
      <alignment horizontal="left"/>
    </xf>
    <xf numFmtId="0" fontId="0" fillId="0" borderId="0" xfId="0" applyNumberFormat="1" applyAlignment="1">
      <alignment horizontal="right"/>
    </xf>
    <xf numFmtId="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47C6-2CAC-4A3D-B605-408DD18EB6C7}">
  <dimension ref="A1"/>
  <sheetViews>
    <sheetView workbookViewId="0"/>
  </sheetViews>
  <sheetFormatPr baseColWidth="10" defaultRowHeight="14.25" x14ac:dyDescent="0.45"/>
  <sheetData>
    <row r="1" spans="1:1" x14ac:dyDescent="0.45">
      <c r="A1" t="s">
        <v>1496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D1CD-FD8F-4EE1-A533-E20421E26728}">
  <dimension ref="A1:BA483"/>
  <sheetViews>
    <sheetView tabSelected="1" topLeftCell="C1" workbookViewId="0">
      <selection activeCell="C1" sqref="C1"/>
    </sheetView>
  </sheetViews>
  <sheetFormatPr baseColWidth="10" defaultRowHeight="14.25" x14ac:dyDescent="0.45"/>
  <cols>
    <col min="5" max="5" width="52.73046875" bestFit="1" customWidth="1"/>
    <col min="6" max="6" width="21.33203125" bestFit="1" customWidth="1"/>
    <col min="8" max="8" width="21.33203125" bestFit="1" customWidth="1"/>
    <col min="11" max="45" width="19.6640625" bestFit="1" customWidth="1"/>
  </cols>
  <sheetData>
    <row r="1" spans="1:53" x14ac:dyDescent="0.45">
      <c r="C1" t="str">
        <f>_xll.SNL.Clients.Office.Excel.Functions.SPGTable($D$6:$D$460,$E$3:$AP$3,,"Options:Curr=EUR,Mag=Standard,ConvMethod=R,FilingVer=Current/Restated")</f>
        <v>SPGTable</v>
      </c>
    </row>
    <row r="2" spans="1:53" x14ac:dyDescent="0.45">
      <c r="A2" s="3"/>
      <c r="B2" s="3"/>
      <c r="C2" s="3" t="str">
        <f>_xll.SNL.Clients.Office.Excel.Functions.SPGLabel(266637,"SP_ENTITY_NAME","","","Options:Curr=EUR,Mag=Standard,ConvMethod=R,FilingVer=Current/Restated")</f>
        <v>Entity Name</v>
      </c>
      <c r="D2" s="3" t="str">
        <f>_xll.SNL.Clients.Office.Excel.Functions.SPGLabel(266637,"SP_ENTITY_ID","","","Options:Curr=EUR,Mag=Standard,ConvMethod=R,FilingVer=Current/Restated")</f>
        <v>Entity ID</v>
      </c>
      <c r="E2" s="3" t="str">
        <f>_xll.SNL.Clients.Office.Excel.Functions.SPGLabel(266637,"SP_COMPANY_NAME_ABBR","","","Options:Curr=EUR,Mag=Standard,ConvMethod=R,FilingVer=Current/Restated")</f>
        <v>Company Name, Abbreviated</v>
      </c>
      <c r="F2" s="3" t="str">
        <f>_xll.SNL.Clients.Office.Excel.Functions.SPGLabel(266637,"SP_TICKER","","","Options:Curr=EUR,Mag=Standard,ConvMethod=R,FilingVer=Current/Restated")</f>
        <v>Ticker</v>
      </c>
      <c r="G2" s="3" t="str">
        <f>_xll.SNL.Clients.Office.Excel.Functions.SPGLabel(266637,"MI_INDUSTRY_CLASSIFICATION","","","Options:Curr=EUR,Mag=Standard,ConvMethod=R,FilingVer=Current/Restated")</f>
        <v>Industry Classification</v>
      </c>
      <c r="H2" s="3" t="str">
        <f>_xll.SNL.Clients.Office.Excel.Functions.SPGLabel(266637,"SP_MARKETCAP","12/29/2017","","Options:Curr=EUR,Mag=Standard,ConvMethod=R,FilingVer=Current/Restated")</f>
        <v>Market Capitalization (€M)</v>
      </c>
      <c r="I2" s="3" t="str">
        <f>_xll.SNL.Clients.Office.Excel.Functions.SPGLabel(266637,"SP_MARKETCAP","11/30/2017","","Options:Curr=EUR,Mag=Standard,ConvMethod=R,FilingVer=Current/Restated")</f>
        <v>Market Capitalization (€M)</v>
      </c>
      <c r="J2" s="3" t="str">
        <f>_xll.SNL.Clients.Office.Excel.Functions.SPGLabel(266637,"SP_MARKETCAP","10/31/2017","","Options:Curr=EUR,Mag=Standard,ConvMethod=R,FilingVer=Current/Restated")</f>
        <v>Market Capitalization (€M)</v>
      </c>
      <c r="K2" s="3" t="str">
        <f>_xll.SNL.Clients.Office.Excel.Functions.SPGLabel(266637,"SP_MARKETCAP","09/29/2017","","Options:Curr=EUR,Mag=Standard,ConvMethod=R,FilingVer=Current/Restated")</f>
        <v>Market Capitalization (€M)</v>
      </c>
      <c r="L2" s="3" t="str">
        <f>_xll.SNL.Clients.Office.Excel.Functions.SPGLabel(266637,"SP_MARKETCAP","08/31/2017","","Options:Curr=EUR,Mag=Standard,ConvMethod=R,FilingVer=Current/Restated")</f>
        <v>Market Capitalization (€M)</v>
      </c>
      <c r="M2" s="3" t="str">
        <f>_xll.SNL.Clients.Office.Excel.Functions.SPGLabel(266637,"SP_MARKETCAP","07/31/2017","","Options:Curr=EUR,Mag=Standard,ConvMethod=R,FilingVer=Current/Restated")</f>
        <v>Market Capitalization (€M)</v>
      </c>
      <c r="N2" s="3" t="str">
        <f>_xll.SNL.Clients.Office.Excel.Functions.SPGLabel(266637,"SP_MARKETCAP","06/30/2017","","Options:Curr=EUR,Mag=Standard,ConvMethod=R,FilingVer=Current/Restated")</f>
        <v>Market Capitalization (€M)</v>
      </c>
      <c r="O2" s="3" t="str">
        <f>_xll.SNL.Clients.Office.Excel.Functions.SPGLabel(266637,"SP_MARKETCAP","05/31/2017","","Options:Curr=EUR,Mag=Standard,ConvMethod=R,FilingVer=Current/Restated")</f>
        <v>Market Capitalization (€M)</v>
      </c>
      <c r="P2" s="3" t="str">
        <f>_xll.SNL.Clients.Office.Excel.Functions.SPGLabel(266637,"SP_MARKETCAP","04/28/2017","","Options:Curr=EUR,Mag=Standard,ConvMethod=R,FilingVer=Current/Restated")</f>
        <v>Market Capitalization (€M)</v>
      </c>
      <c r="Q2" s="3" t="str">
        <f>_xll.SNL.Clients.Office.Excel.Functions.SPGLabel(266637,"SP_MARKETCAP","03/31/2017","","Options:Curr=EUR,Mag=Standard,ConvMethod=R,FilingVer=Current/Restated")</f>
        <v>Market Capitalization (€M)</v>
      </c>
      <c r="R2" s="3" t="str">
        <f>_xll.SNL.Clients.Office.Excel.Functions.SPGLabel(266637,"SP_MARKETCAP","02/28/2017","","Options:Curr=EUR,Mag=Standard,ConvMethod=R,FilingVer=Current/Restated")</f>
        <v>Market Capitalization (€M)</v>
      </c>
      <c r="S2" s="3" t="str">
        <f>_xll.SNL.Clients.Office.Excel.Functions.SPGLabel(266637,"SP_MARKETCAP","01/31/2017","","Options:Curr=EUR,Mag=Standard,ConvMethod=R,FilingVer=Current/Restated")</f>
        <v>Market Capitalization (€M)</v>
      </c>
      <c r="T2" s="3" t="str">
        <f>_xll.SNL.Clients.Office.Excel.Functions.SPGLabel(266637,"SP_MARKETCAP","12/30/2016","","Options:Curr=EUR,Mag=Standard,ConvMethod=R,FilingVer=Current/Restated")</f>
        <v>Market Capitalization (€M)</v>
      </c>
      <c r="U2" s="3" t="str">
        <f>_xll.SNL.Clients.Office.Excel.Functions.SPGLabel(266637,"SP_MARKETCAP","11/30/2016","","Options:Curr=EUR,Mag=Standard,ConvMethod=R,FilingVer=Current/Restated")</f>
        <v>Market Capitalization (€M)</v>
      </c>
      <c r="V2" s="3" t="str">
        <f>_xll.SNL.Clients.Office.Excel.Functions.SPGLabel(266637,"SP_MARKETCAP","10/31/2016","","Options:Curr=EUR,Mag=Standard,ConvMethod=R,FilingVer=Current/Restated")</f>
        <v>Market Capitalization (€M)</v>
      </c>
      <c r="W2" s="3" t="str">
        <f>_xll.SNL.Clients.Office.Excel.Functions.SPGLabel(266637,"SP_MARKETCAP","09/30/2016","","Options:Curr=EUR,Mag=Standard,ConvMethod=R,FilingVer=Current/Restated")</f>
        <v>Market Capitalization (€M)</v>
      </c>
      <c r="X2" s="3" t="str">
        <f>_xll.SNL.Clients.Office.Excel.Functions.SPGLabel(266637,"SP_MARKETCAP","08/31/2016","","Options:Curr=EUR,Mag=Standard,ConvMethod=R,FilingVer=Current/Restated")</f>
        <v>Market Capitalization (€M)</v>
      </c>
      <c r="Y2" s="3" t="str">
        <f>_xll.SNL.Clients.Office.Excel.Functions.SPGLabel(266637,"SP_MARKETCAP","07/29/2016","","Options:Curr=EUR,Mag=Standard,ConvMethod=R,FilingVer=Current/Restated")</f>
        <v>Market Capitalization (€M)</v>
      </c>
      <c r="Z2" s="3" t="str">
        <f>_xll.SNL.Clients.Office.Excel.Functions.SPGLabel(266637,"SP_MARKETCAP","06/30/2016","","Options:Curr=EUR,Mag=Standard,ConvMethod=R,FilingVer=Current/Restated")</f>
        <v>Market Capitalization (€M)</v>
      </c>
      <c r="AA2" s="3" t="str">
        <f>_xll.SNL.Clients.Office.Excel.Functions.SPGLabel(266637,"SP_MARKETCAP","05/31/2016","","Options:Curr=EUR,Mag=Standard,ConvMethod=R,FilingVer=Current/Restated")</f>
        <v>Market Capitalization (€M)</v>
      </c>
      <c r="AB2" s="3" t="str">
        <f>_xll.SNL.Clients.Office.Excel.Functions.SPGLabel(266637,"SP_MARKETCAP","04/29/2016","","Options:Curr=EUR,Mag=Standard,ConvMethod=R,FilingVer=Current/Restated")</f>
        <v>Market Capitalization (€M)</v>
      </c>
      <c r="AC2" s="3" t="str">
        <f>_xll.SNL.Clients.Office.Excel.Functions.SPGLabel(266637,"SP_MARKETCAP","02/29/2016","","Options:Curr=EUR,Mag=Standard,ConvMethod=R,FilingVer=Current/Restated")</f>
        <v>Market Capitalization (€M)</v>
      </c>
      <c r="AD2" s="3" t="str">
        <f>_xll.SNL.Clients.Office.Excel.Functions.SPGLabel(266637,"SP_MARKETCAP","01/29/2016","","Options:Curr=EUR,Mag=Standard,ConvMethod=R,FilingVer=Current/Restated")</f>
        <v>Market Capitalization (€M)</v>
      </c>
      <c r="AE2" s="3" t="str">
        <f>_xll.SNL.Clients.Office.Excel.Functions.SPGLabel(266637,"SP_MARKETCAP","12/31/2015","","Options:Curr=EUR,Mag=Standard,ConvMethod=R,FilingVer=Current/Restated")</f>
        <v>Market Capitalization (€M)</v>
      </c>
      <c r="AF2" s="3" t="str">
        <f>_xll.SNL.Clients.Office.Excel.Functions.SPGLabel(266637,"SP_MARKETCAP","11/30/2015","","Options:Curr=EUR,Mag=Standard,ConvMethod=R,FilingVer=Current/Restated")</f>
        <v>Market Capitalization (€M)</v>
      </c>
      <c r="AG2" s="3" t="str">
        <f>_xll.SNL.Clients.Office.Excel.Functions.SPGLabel(266637,"SP_MARKETCAP","10/30/2015","","Options:Curr=EUR,Mag=Standard,ConvMethod=R,FilingVer=Current/Restated")</f>
        <v>Market Capitalization (€M)</v>
      </c>
      <c r="AH2" s="3" t="str">
        <f>_xll.SNL.Clients.Office.Excel.Functions.SPGLabel(266637,"SP_MARKETCAP","09/30/2015","","Options:Curr=EUR,Mag=Standard,ConvMethod=R,FilingVer=Current/Restated")</f>
        <v>Market Capitalization (€M)</v>
      </c>
      <c r="AI2" s="3" t="str">
        <f>_xll.SNL.Clients.Office.Excel.Functions.SPGLabel(266637,"SP_MARKETCAP","08/31/2015","","Options:Curr=EUR,Mag=Standard,ConvMethod=R,FilingVer=Current/Restated")</f>
        <v>Market Capitalization (€M)</v>
      </c>
      <c r="AJ2" s="3" t="str">
        <f>_xll.SNL.Clients.Office.Excel.Functions.SPGLabel(266637,"SP_MARKETCAP","07/31/2015","","Options:Curr=EUR,Mag=Standard,ConvMethod=R,FilingVer=Current/Restated")</f>
        <v>Market Capitalization (€M)</v>
      </c>
      <c r="AK2" s="3" t="str">
        <f>_xll.SNL.Clients.Office.Excel.Functions.SPGLabel(266637,"SP_MARKETCAP","06/30/2015","","Options:Curr=EUR,Mag=Standard,ConvMethod=R,FilingVer=Current/Restated")</f>
        <v>Market Capitalization (€M)</v>
      </c>
      <c r="AL2" s="3" t="str">
        <f>_xll.SNL.Clients.Office.Excel.Functions.SPGLabel(266637,"SP_MARKETCAP","05/29/2015","","Options:Curr=EUR,Mag=Standard,ConvMethod=R,FilingVer=Current/Restated")</f>
        <v>Market Capitalization (€M)</v>
      </c>
      <c r="AM2" s="3" t="str">
        <f>_xll.SNL.Clients.Office.Excel.Functions.SPGLabel(266637,"SP_MARKETCAP","04/30/2015","","Options:Curr=EUR,Mag=Standard,ConvMethod=R,FilingVer=Current/Restated")</f>
        <v>Market Capitalization (€M)</v>
      </c>
      <c r="AN2" s="3" t="str">
        <f>_xll.SNL.Clients.Office.Excel.Functions.SPGLabel(266637,"SP_MARKETCAP","03/31/2015","","Options:Curr=EUR,Mag=Standard,ConvMethod=R,FilingVer=Current/Restated")</f>
        <v>Market Capitalization (€M)</v>
      </c>
      <c r="AO2" s="3" t="str">
        <f>_xll.SNL.Clients.Office.Excel.Functions.SPGLabel(266637,"SP_MARKETCAP","02/27/2015","","Options:Curr=EUR,Mag=Standard,ConvMethod=R,FilingVer=Current/Restated")</f>
        <v>Market Capitalization (€M)</v>
      </c>
      <c r="AP2" s="3" t="str">
        <f>_xll.SNL.Clients.Office.Excel.Functions.SPGLabel(266637,"SP_MARKETCAP","01/30/2015","","Options:Curr=EUR,Mag=Standard,ConvMethod=R,FilingVer=Current/Restated")</f>
        <v>Market Capitalization (€M)</v>
      </c>
      <c r="AQ2" s="3"/>
      <c r="AR2" s="3"/>
      <c r="AS2" s="3"/>
      <c r="AT2" s="3"/>
      <c r="AU2" s="3"/>
      <c r="AV2" s="3"/>
      <c r="AW2" s="3"/>
      <c r="AX2" s="3"/>
      <c r="AY2" s="3"/>
      <c r="AZ2" s="3"/>
      <c r="BA2" s="3"/>
    </row>
    <row r="3" spans="1:53" x14ac:dyDescent="0.45">
      <c r="A3" s="2"/>
      <c r="B3" s="2"/>
      <c r="C3" s="2" t="s">
        <v>459</v>
      </c>
      <c r="D3" s="2" t="s">
        <v>460</v>
      </c>
      <c r="E3" s="2" t="s">
        <v>455</v>
      </c>
      <c r="F3" s="2" t="s">
        <v>456</v>
      </c>
      <c r="G3" s="2" t="s">
        <v>457</v>
      </c>
      <c r="H3" s="2" t="s">
        <v>458</v>
      </c>
      <c r="I3" s="2" t="s">
        <v>458</v>
      </c>
      <c r="J3" s="2" t="s">
        <v>458</v>
      </c>
      <c r="K3" s="2" t="s">
        <v>458</v>
      </c>
      <c r="L3" s="2" t="s">
        <v>458</v>
      </c>
      <c r="M3" s="2" t="s">
        <v>458</v>
      </c>
      <c r="N3" s="2" t="s">
        <v>458</v>
      </c>
      <c r="O3" s="2" t="s">
        <v>458</v>
      </c>
      <c r="P3" s="2" t="s">
        <v>458</v>
      </c>
      <c r="Q3" s="2" t="s">
        <v>458</v>
      </c>
      <c r="R3" s="2" t="s">
        <v>458</v>
      </c>
      <c r="S3" s="2" t="s">
        <v>458</v>
      </c>
      <c r="T3" s="2" t="s">
        <v>458</v>
      </c>
      <c r="U3" s="2" t="s">
        <v>458</v>
      </c>
      <c r="V3" s="2" t="s">
        <v>458</v>
      </c>
      <c r="W3" s="2" t="s">
        <v>458</v>
      </c>
      <c r="X3" s="2" t="s">
        <v>458</v>
      </c>
      <c r="Y3" s="2" t="s">
        <v>458</v>
      </c>
      <c r="Z3" s="2" t="s">
        <v>458</v>
      </c>
      <c r="AA3" s="2" t="s">
        <v>458</v>
      </c>
      <c r="AB3" s="2" t="s">
        <v>458</v>
      </c>
      <c r="AC3" s="2" t="s">
        <v>458</v>
      </c>
      <c r="AD3" s="2" t="s">
        <v>458</v>
      </c>
      <c r="AE3" s="2" t="s">
        <v>458</v>
      </c>
      <c r="AF3" s="2" t="s">
        <v>458</v>
      </c>
      <c r="AG3" s="2" t="s">
        <v>458</v>
      </c>
      <c r="AH3" s="2" t="s">
        <v>458</v>
      </c>
      <c r="AI3" s="2" t="s">
        <v>458</v>
      </c>
      <c r="AJ3" s="2" t="s">
        <v>458</v>
      </c>
      <c r="AK3" s="2" t="s">
        <v>458</v>
      </c>
      <c r="AL3" s="2" t="s">
        <v>458</v>
      </c>
      <c r="AM3" s="2" t="s">
        <v>458</v>
      </c>
      <c r="AN3" s="2" t="s">
        <v>458</v>
      </c>
      <c r="AO3" s="2" t="s">
        <v>458</v>
      </c>
      <c r="AP3" s="2" t="s">
        <v>458</v>
      </c>
      <c r="AQ3" s="2"/>
      <c r="AR3" s="2"/>
      <c r="AS3" s="2"/>
      <c r="AT3" s="2"/>
      <c r="AU3" s="2"/>
      <c r="AV3" s="2"/>
      <c r="AW3" s="2"/>
      <c r="AX3" s="2"/>
      <c r="AY3" s="2"/>
      <c r="AZ3" s="2"/>
      <c r="BA3" s="2"/>
    </row>
    <row r="4" spans="1:53" x14ac:dyDescent="0.45">
      <c r="A4" s="4"/>
      <c r="B4" s="4"/>
      <c r="C4" s="4"/>
      <c r="D4" s="4"/>
      <c r="E4" s="4"/>
      <c r="F4" s="4"/>
      <c r="G4" s="4"/>
      <c r="H4" s="4" t="str">
        <f>_xll.SNL.Clients.Office.Excel.Functions.SPGLabel(266637,"SP_MARKETCAP","&lt;&gt;12/29/2017")</f>
        <v>12/29/2017</v>
      </c>
      <c r="I4" s="4" t="str">
        <f>_xll.SNL.Clients.Office.Excel.Functions.SPGLabel(266637,"SP_MARKETCAP","&lt;&gt;11/30/2017")</f>
        <v>11/30/2017</v>
      </c>
      <c r="J4" s="4" t="str">
        <f>_xll.SNL.Clients.Office.Excel.Functions.SPGLabel(266637,"SP_MARKETCAP","&lt;&gt;10/31/2017")</f>
        <v>10/31/2017</v>
      </c>
      <c r="K4" s="4" t="str">
        <f>_xll.SNL.Clients.Office.Excel.Functions.SPGLabel(266637,"SP_MARKETCAP","&lt;&gt;09/29/2017")</f>
        <v>09/29/2017</v>
      </c>
      <c r="L4" s="4" t="str">
        <f>_xll.SNL.Clients.Office.Excel.Functions.SPGLabel(266637,"SP_MARKETCAP","&lt;&gt;08/31/2017")</f>
        <v>08/31/2017</v>
      </c>
      <c r="M4" s="4" t="str">
        <f>_xll.SNL.Clients.Office.Excel.Functions.SPGLabel(266637,"SP_MARKETCAP","&lt;&gt;07/31/2017")</f>
        <v>07/31/2017</v>
      </c>
      <c r="N4" s="4" t="str">
        <f>_xll.SNL.Clients.Office.Excel.Functions.SPGLabel(266637,"SP_MARKETCAP","&lt;&gt;06/30/2017")</f>
        <v>06/30/2017</v>
      </c>
      <c r="O4" s="4" t="str">
        <f>_xll.SNL.Clients.Office.Excel.Functions.SPGLabel(266637,"SP_MARKETCAP","&lt;&gt;05/31/2017")</f>
        <v>05/31/2017</v>
      </c>
      <c r="P4" s="4" t="str">
        <f>_xll.SNL.Clients.Office.Excel.Functions.SPGLabel(266637,"SP_MARKETCAP","&lt;&gt;04/28/2017")</f>
        <v>04/28/2017</v>
      </c>
      <c r="Q4" s="4" t="str">
        <f>_xll.SNL.Clients.Office.Excel.Functions.SPGLabel(266637,"SP_MARKETCAP","&lt;&gt;03/31/2017")</f>
        <v>03/31/2017</v>
      </c>
      <c r="R4" s="4" t="str">
        <f>_xll.SNL.Clients.Office.Excel.Functions.SPGLabel(266637,"SP_MARKETCAP","&lt;&gt;02/28/2017")</f>
        <v>02/28/2017</v>
      </c>
      <c r="S4" s="4" t="str">
        <f>_xll.SNL.Clients.Office.Excel.Functions.SPGLabel(266637,"SP_MARKETCAP","&lt;&gt;01/31/2017")</f>
        <v>01/31/2017</v>
      </c>
      <c r="T4" s="4" t="str">
        <f>_xll.SNL.Clients.Office.Excel.Functions.SPGLabel(266637,"SP_MARKETCAP","&lt;&gt;12/30/2016")</f>
        <v>12/30/2016</v>
      </c>
      <c r="U4" s="4" t="str">
        <f>_xll.SNL.Clients.Office.Excel.Functions.SPGLabel(266637,"SP_MARKETCAP","&lt;&gt;11/30/2016")</f>
        <v>11/30/2016</v>
      </c>
      <c r="V4" s="4" t="str">
        <f>_xll.SNL.Clients.Office.Excel.Functions.SPGLabel(266637,"SP_MARKETCAP","&lt;&gt;10/31/2016")</f>
        <v>10/31/2016</v>
      </c>
      <c r="W4" s="4" t="str">
        <f>_xll.SNL.Clients.Office.Excel.Functions.SPGLabel(266637,"SP_MARKETCAP","&lt;&gt;09/30/2016")</f>
        <v>09/30/2016</v>
      </c>
      <c r="X4" s="4" t="str">
        <f>_xll.SNL.Clients.Office.Excel.Functions.SPGLabel(266637,"SP_MARKETCAP","&lt;&gt;08/31/2016")</f>
        <v>08/31/2016</v>
      </c>
      <c r="Y4" s="4" t="str">
        <f>_xll.SNL.Clients.Office.Excel.Functions.SPGLabel(266637,"SP_MARKETCAP","&lt;&gt;07/29/2016")</f>
        <v>07/29/2016</v>
      </c>
      <c r="Z4" s="4" t="str">
        <f>_xll.SNL.Clients.Office.Excel.Functions.SPGLabel(266637,"SP_MARKETCAP","&lt;&gt;06/30/2016")</f>
        <v>06/30/2016</v>
      </c>
      <c r="AA4" s="4" t="str">
        <f>_xll.SNL.Clients.Office.Excel.Functions.SPGLabel(266637,"SP_MARKETCAP","&lt;&gt;05/31/2016")</f>
        <v>05/31/2016</v>
      </c>
      <c r="AB4" s="4" t="str">
        <f>_xll.SNL.Clients.Office.Excel.Functions.SPGLabel(266637,"SP_MARKETCAP","&lt;&gt;04/29/2016")</f>
        <v>04/29/2016</v>
      </c>
      <c r="AC4" s="4" t="str">
        <f>_xll.SNL.Clients.Office.Excel.Functions.SPGLabel(266637,"SP_MARKETCAP","&lt;&gt;02/29/2016")</f>
        <v>02/29/2016</v>
      </c>
      <c r="AD4" s="4" t="str">
        <f>_xll.SNL.Clients.Office.Excel.Functions.SPGLabel(266637,"SP_MARKETCAP","&lt;&gt;01/29/2016")</f>
        <v>01/29/2016</v>
      </c>
      <c r="AE4" s="4" t="str">
        <f>_xll.SNL.Clients.Office.Excel.Functions.SPGLabel(266637,"SP_MARKETCAP","&lt;&gt;12/31/2015")</f>
        <v>12/31/2015</v>
      </c>
      <c r="AF4" s="4" t="str">
        <f>_xll.SNL.Clients.Office.Excel.Functions.SPGLabel(266637,"SP_MARKETCAP","&lt;&gt;11/30/2015")</f>
        <v>11/30/2015</v>
      </c>
      <c r="AG4" s="4" t="str">
        <f>_xll.SNL.Clients.Office.Excel.Functions.SPGLabel(266637,"SP_MARKETCAP","&lt;&gt;10/30/2015")</f>
        <v>10/30/2015</v>
      </c>
      <c r="AH4" s="4" t="str">
        <f>_xll.SNL.Clients.Office.Excel.Functions.SPGLabel(266637,"SP_MARKETCAP","&lt;&gt;09/30/2015")</f>
        <v>09/30/2015</v>
      </c>
      <c r="AI4" s="4" t="str">
        <f>_xll.SNL.Clients.Office.Excel.Functions.SPGLabel(266637,"SP_MARKETCAP","&lt;&gt;08/31/2015")</f>
        <v>08/31/2015</v>
      </c>
      <c r="AJ4" s="4" t="str">
        <f>_xll.SNL.Clients.Office.Excel.Functions.SPGLabel(266637,"SP_MARKETCAP","&lt;&gt;07/31/2015")</f>
        <v>07/31/2015</v>
      </c>
      <c r="AK4" s="4" t="str">
        <f>_xll.SNL.Clients.Office.Excel.Functions.SPGLabel(266637,"SP_MARKETCAP","&lt;&gt;06/30/2015")</f>
        <v>06/30/2015</v>
      </c>
      <c r="AL4" s="4" t="str">
        <f>_xll.SNL.Clients.Office.Excel.Functions.SPGLabel(266637,"SP_MARKETCAP","&lt;&gt;05/29/2015")</f>
        <v>05/29/2015</v>
      </c>
      <c r="AM4" s="4" t="str">
        <f>_xll.SNL.Clients.Office.Excel.Functions.SPGLabel(266637,"SP_MARKETCAP","&lt;&gt;04/30/2015")</f>
        <v>04/30/2015</v>
      </c>
      <c r="AN4" s="4" t="str">
        <f>_xll.SNL.Clients.Office.Excel.Functions.SPGLabel(266637,"SP_MARKETCAP","&lt;&gt;03/31/2015")</f>
        <v>03/31/2015</v>
      </c>
      <c r="AO4" s="4" t="str">
        <f>_xll.SNL.Clients.Office.Excel.Functions.SPGLabel(266637,"SP_MARKETCAP","&lt;&gt;02/27/2015")</f>
        <v>02/27/2015</v>
      </c>
      <c r="AP4" s="4" t="str">
        <f>_xll.SNL.Clients.Office.Excel.Functions.SPGLabel(266637,"SP_MARKETCAP","&lt;&gt;01/30/2015")</f>
        <v>01/30/2015</v>
      </c>
      <c r="AQ4" s="4"/>
      <c r="AR4" s="4"/>
      <c r="AS4" s="4"/>
      <c r="AT4" s="4"/>
      <c r="AU4" s="4"/>
      <c r="AV4" s="4"/>
      <c r="AW4" s="4"/>
      <c r="AX4" s="4"/>
      <c r="AY4" s="4"/>
      <c r="AZ4" s="4"/>
      <c r="BA4" s="4"/>
    </row>
    <row r="5" spans="1:53" x14ac:dyDescent="0.4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x14ac:dyDescent="0.45">
      <c r="A6" s="1"/>
      <c r="B6" s="2"/>
      <c r="C6" s="1" t="s">
        <v>0</v>
      </c>
      <c r="D6" s="2">
        <v>105135</v>
      </c>
      <c r="E6" s="3" t="s">
        <v>461</v>
      </c>
      <c r="F6" s="3" t="s">
        <v>462</v>
      </c>
      <c r="G6" s="3" t="s">
        <v>463</v>
      </c>
      <c r="H6" s="5">
        <v>116748799900431</v>
      </c>
      <c r="I6" s="5">
        <v>121602125671847</v>
      </c>
      <c r="J6" s="5">
        <v>117771503096867</v>
      </c>
      <c r="K6" s="5">
        <v>105983690977799</v>
      </c>
      <c r="L6" s="5">
        <v>102678485392331</v>
      </c>
      <c r="M6" s="5">
        <v>101863822447249</v>
      </c>
      <c r="N6" s="5">
        <v>1089834802434</v>
      </c>
      <c r="O6" s="5">
        <v>108684719892</v>
      </c>
      <c r="P6" s="5">
        <v>10734360194376</v>
      </c>
      <c r="Q6" s="5">
        <v>1069296532416</v>
      </c>
      <c r="R6" s="5">
        <v>10465796154</v>
      </c>
      <c r="S6" s="5">
        <v>9667365778062</v>
      </c>
      <c r="T6" s="5">
        <v>10174428086067</v>
      </c>
      <c r="U6" s="5">
        <v>977184490788</v>
      </c>
      <c r="V6" s="5">
        <v>907129941882277</v>
      </c>
      <c r="W6" s="5">
        <v>947596569858</v>
      </c>
      <c r="X6" s="5">
        <v>971798558538874</v>
      </c>
      <c r="Y6" s="5">
        <v>964763580911751</v>
      </c>
      <c r="Z6" s="5">
        <v>9563862349404</v>
      </c>
      <c r="AA6" s="5">
        <v>9173095962336</v>
      </c>
      <c r="AB6" s="5">
        <v>886407927337169</v>
      </c>
      <c r="AC6" s="5">
        <v>8737181675964</v>
      </c>
      <c r="AD6" s="5">
        <v>850299775482846</v>
      </c>
      <c r="AE6" s="5">
        <v>854004803309279</v>
      </c>
      <c r="AF6" s="5">
        <v>912553063474067</v>
      </c>
      <c r="AG6" s="5">
        <v>877796619243495</v>
      </c>
      <c r="AH6" s="5">
        <v>79363288851833</v>
      </c>
      <c r="AI6" s="5">
        <v>792773716765784</v>
      </c>
      <c r="AJ6" s="5">
        <v>85581000374774</v>
      </c>
      <c r="AK6" s="5">
        <v>878707038702544</v>
      </c>
      <c r="AL6" s="5">
        <v>91945026926022</v>
      </c>
      <c r="AM6" s="5">
        <v>887508417939975</v>
      </c>
      <c r="AN6" s="5">
        <v>975489093460763</v>
      </c>
      <c r="AO6" s="5">
        <v>95473066461875</v>
      </c>
      <c r="AP6" s="5">
        <v>913051867349417</v>
      </c>
      <c r="AQ6" s="5"/>
      <c r="AR6" s="5"/>
      <c r="AS6" s="5"/>
      <c r="AT6" s="5"/>
      <c r="AU6" s="5"/>
      <c r="AV6" s="5"/>
      <c r="AW6" s="5"/>
      <c r="AX6" s="5"/>
      <c r="AY6" s="5"/>
      <c r="AZ6" s="5"/>
      <c r="BA6" s="5"/>
    </row>
    <row r="7" spans="1:53" x14ac:dyDescent="0.45">
      <c r="A7" s="1"/>
      <c r="B7" s="2"/>
      <c r="C7" s="1" t="s">
        <v>1</v>
      </c>
      <c r="D7" s="2">
        <v>4020605</v>
      </c>
      <c r="E7" s="3" t="s">
        <v>464</v>
      </c>
      <c r="F7" s="3" t="s">
        <v>465</v>
      </c>
      <c r="G7" s="3" t="s">
        <v>466</v>
      </c>
      <c r="H7" s="5">
        <v>877424873004557</v>
      </c>
      <c r="I7" s="5">
        <v>91558961747849</v>
      </c>
      <c r="J7" s="5">
        <v>87740878520624</v>
      </c>
      <c r="K7" s="5">
        <v>867589991368756</v>
      </c>
      <c r="L7" s="5">
        <v>809148052584222</v>
      </c>
      <c r="M7" s="5">
        <v>786229768339313</v>
      </c>
      <c r="N7" s="5">
        <v>854338214876037</v>
      </c>
      <c r="O7" s="5">
        <v>84501248979525</v>
      </c>
      <c r="P7" s="5">
        <v>857730163886388</v>
      </c>
      <c r="Q7" s="5">
        <v>829870022462544</v>
      </c>
      <c r="R7" s="5">
        <v>821862525959232</v>
      </c>
      <c r="S7" s="5">
        <v>785683378137938</v>
      </c>
      <c r="T7" s="5">
        <v>780083878900023</v>
      </c>
      <c r="U7" s="5">
        <v>80007221465061</v>
      </c>
      <c r="V7" s="5">
        <v>719144352925307</v>
      </c>
      <c r="W7" s="5">
        <v>766757425850499</v>
      </c>
      <c r="X7" s="5">
        <v>755057050991813</v>
      </c>
      <c r="Y7" s="5">
        <v>727786480132013</v>
      </c>
      <c r="Z7" s="5">
        <v>694578045706321</v>
      </c>
      <c r="AA7" s="5">
        <v>647408403068202</v>
      </c>
      <c r="AB7" s="5">
        <v>592537930320164</v>
      </c>
      <c r="AC7" s="5">
        <v>568837517552107</v>
      </c>
      <c r="AD7" s="5">
        <v>56818729119344</v>
      </c>
      <c r="AE7" s="5">
        <v>620883083212363</v>
      </c>
      <c r="AF7" s="5">
        <v>664525027874162</v>
      </c>
      <c r="AG7" s="5">
        <v>619163480920772</v>
      </c>
      <c r="AH7" s="5">
        <v>519169054655187</v>
      </c>
      <c r="AI7" s="5">
        <v>511861510288146</v>
      </c>
      <c r="AJ7" s="5">
        <v>579871124268647</v>
      </c>
      <c r="AK7" s="5">
        <v>576411693156621</v>
      </c>
      <c r="AL7" s="5">
        <v>580138849562841</v>
      </c>
      <c r="AM7" s="5">
        <v>51008056538346</v>
      </c>
      <c r="AN7" s="5">
        <v>546192176586039</v>
      </c>
      <c r="AO7" s="5">
        <v>502355173856956</v>
      </c>
      <c r="AP7" s="5">
        <v>47121226289161</v>
      </c>
      <c r="AQ7" s="5"/>
      <c r="AR7" s="5"/>
      <c r="AS7" s="5"/>
      <c r="AT7" s="5"/>
      <c r="AU7" s="5"/>
      <c r="AV7" s="5"/>
      <c r="AW7" s="5"/>
      <c r="AX7" s="5"/>
      <c r="AY7" s="5"/>
      <c r="AZ7" s="5"/>
      <c r="BA7" s="5"/>
    </row>
    <row r="8" spans="1:53" x14ac:dyDescent="0.45">
      <c r="A8" s="1"/>
      <c r="B8" s="2"/>
      <c r="C8" s="1" t="s">
        <v>2</v>
      </c>
      <c r="D8" s="2">
        <v>4004092</v>
      </c>
      <c r="E8" s="3" t="s">
        <v>467</v>
      </c>
      <c r="F8" s="3" t="s">
        <v>468</v>
      </c>
      <c r="G8" s="3" t="s">
        <v>469</v>
      </c>
      <c r="H8" s="5">
        <v>827270884292645</v>
      </c>
      <c r="I8" s="5">
        <v>823893997117817</v>
      </c>
      <c r="J8" s="5">
        <v>809363099095725</v>
      </c>
      <c r="K8" s="5">
        <v>784419077889725</v>
      </c>
      <c r="L8" s="5">
        <v>745303635449775</v>
      </c>
      <c r="M8" s="5">
        <v>724114809421</v>
      </c>
      <c r="N8" s="5">
        <v>7393406757455</v>
      </c>
      <c r="O8" s="5">
        <v>70516861098</v>
      </c>
      <c r="P8" s="5">
        <v>69211224576</v>
      </c>
      <c r="Q8" s="5">
        <v>71767696896</v>
      </c>
      <c r="R8" s="5">
        <v>7338014208</v>
      </c>
      <c r="S8" s="5">
        <v>668181966858</v>
      </c>
      <c r="T8" s="5">
        <v>5357116689183</v>
      </c>
      <c r="U8" s="5">
        <v>530240962482</v>
      </c>
      <c r="V8" s="5">
        <v>5262978672</v>
      </c>
      <c r="W8" s="5">
        <v>55306248795</v>
      </c>
      <c r="X8" s="5">
        <v>554147528121183</v>
      </c>
      <c r="Y8" s="5">
        <v>588538633999921</v>
      </c>
      <c r="Z8" s="5">
        <v>520161124297135</v>
      </c>
      <c r="AA8" s="5">
        <v>523288951684023</v>
      </c>
      <c r="AB8" s="5">
        <v>499130035111156</v>
      </c>
      <c r="AC8" s="5">
        <v>5253884251668</v>
      </c>
      <c r="AD8" s="5">
        <v>521789856755806</v>
      </c>
      <c r="AE8" s="5">
        <v>616839339356538</v>
      </c>
      <c r="AF8" s="5">
        <v>634264768301462</v>
      </c>
      <c r="AG8" s="5">
        <v>605519865455792</v>
      </c>
      <c r="AH8" s="5">
        <v>537142152049669</v>
      </c>
      <c r="AI8" s="5">
        <v>602624943737286</v>
      </c>
      <c r="AJ8" s="5">
        <v>683072429129925</v>
      </c>
      <c r="AK8" s="5">
        <v>655969847800693</v>
      </c>
      <c r="AL8" s="5">
        <v>6592497371073</v>
      </c>
      <c r="AM8" s="5">
        <v>6256926726237</v>
      </c>
      <c r="AN8" s="5">
        <v>65076608496329</v>
      </c>
      <c r="AO8" s="5">
        <v>637496874614683</v>
      </c>
      <c r="AP8" s="5">
        <v>5969884597047</v>
      </c>
      <c r="AQ8" s="5"/>
      <c r="AR8" s="5"/>
      <c r="AS8" s="5"/>
      <c r="AT8" s="5"/>
      <c r="AU8" s="5"/>
      <c r="AV8" s="5"/>
      <c r="AW8" s="5"/>
      <c r="AX8" s="5"/>
      <c r="AY8" s="5"/>
      <c r="AZ8" s="5"/>
      <c r="BA8" s="5"/>
    </row>
    <row r="9" spans="1:53" x14ac:dyDescent="0.45">
      <c r="A9" s="1"/>
      <c r="B9" s="2"/>
      <c r="C9" s="1" t="s">
        <v>3</v>
      </c>
      <c r="D9" s="2">
        <v>4558282</v>
      </c>
      <c r="E9" s="3" t="s">
        <v>470</v>
      </c>
      <c r="F9" s="3" t="s">
        <v>471</v>
      </c>
      <c r="G9" s="3" t="s">
        <v>472</v>
      </c>
      <c r="H9" s="5">
        <v>128576591745417</v>
      </c>
      <c r="I9" s="5">
        <v>129923397345552</v>
      </c>
      <c r="J9" s="5">
        <v>123581792938776</v>
      </c>
      <c r="K9" s="5">
        <v>119851126740667</v>
      </c>
      <c r="L9" s="5">
        <v>101081752032491</v>
      </c>
      <c r="M9" s="5">
        <v>944080107783598</v>
      </c>
      <c r="N9" s="5">
        <v>101150381176823</v>
      </c>
      <c r="O9" s="5">
        <v>935154191547514</v>
      </c>
      <c r="P9" s="5">
        <v>964428371051942</v>
      </c>
      <c r="Q9" s="5">
        <v>971087928240044</v>
      </c>
      <c r="R9" s="5">
        <v>928510846597848</v>
      </c>
      <c r="S9" s="5">
        <v>920303922376306</v>
      </c>
      <c r="T9" s="5">
        <v>964007531345131</v>
      </c>
      <c r="U9" s="5">
        <v>934704948534016</v>
      </c>
      <c r="V9" s="5">
        <v>84692493793944</v>
      </c>
      <c r="W9" s="5">
        <v>933733947304009</v>
      </c>
      <c r="X9" s="5">
        <v>956876336189431</v>
      </c>
      <c r="Y9" s="5">
        <v>101867520047482</v>
      </c>
      <c r="Z9" s="5">
        <v>936608014268758</v>
      </c>
      <c r="AA9" s="5">
        <v>914689176125328</v>
      </c>
      <c r="AB9" s="5">
        <v>861640596230113</v>
      </c>
      <c r="AC9" s="5">
        <v>809989363058482</v>
      </c>
      <c r="AD9" s="5">
        <v>829402498476707</v>
      </c>
      <c r="AE9" s="5">
        <v>891676465795559</v>
      </c>
      <c r="AF9" s="5">
        <v>899795477227512</v>
      </c>
      <c r="AG9" s="5">
        <v>893897515207161</v>
      </c>
      <c r="AH9" s="5">
        <v>807014758325972</v>
      </c>
      <c r="AI9" s="5">
        <v>922262496062763</v>
      </c>
      <c r="AJ9" s="5">
        <v>100952517772261</v>
      </c>
      <c r="AK9" s="5">
        <v>960940674000328</v>
      </c>
      <c r="AL9" s="5">
        <v>965301131113115</v>
      </c>
      <c r="AM9" s="5">
        <v>9195844424157</v>
      </c>
      <c r="AN9" s="5">
        <v>867591365171756</v>
      </c>
      <c r="AO9" s="5">
        <v>86001241317475</v>
      </c>
      <c r="AP9" s="5">
        <v>851779908584637</v>
      </c>
      <c r="AQ9" s="5"/>
      <c r="AR9" s="5"/>
      <c r="AS9" s="5"/>
      <c r="AT9" s="5"/>
      <c r="AU9" s="5"/>
      <c r="AV9" s="5"/>
      <c r="AW9" s="5"/>
      <c r="AX9" s="5"/>
      <c r="AY9" s="5"/>
      <c r="AZ9" s="5"/>
      <c r="BA9" s="5"/>
    </row>
    <row r="10" spans="1:53" x14ac:dyDescent="0.45">
      <c r="A10" s="1"/>
      <c r="B10" s="2"/>
      <c r="C10" s="1" t="s">
        <v>4</v>
      </c>
      <c r="D10" s="2">
        <v>4142760</v>
      </c>
      <c r="E10" s="3" t="s">
        <v>473</v>
      </c>
      <c r="F10" s="3" t="s">
        <v>474</v>
      </c>
      <c r="G10" s="3" t="s">
        <v>475</v>
      </c>
      <c r="H10" s="5">
        <v>786210675862823</v>
      </c>
      <c r="I10" s="5">
        <v>763995871995905</v>
      </c>
      <c r="J10" s="5">
        <v>751721450974678</v>
      </c>
      <c r="K10" s="5">
        <v>706251805263791</v>
      </c>
      <c r="L10" s="5">
        <v>680483431306331</v>
      </c>
      <c r="M10" s="5">
        <v>675482524009409</v>
      </c>
      <c r="N10" s="5">
        <v>669931460425862</v>
      </c>
      <c r="O10" s="5">
        <v>686917123504335</v>
      </c>
      <c r="P10" s="5">
        <v>690332787296893</v>
      </c>
      <c r="Q10" s="5">
        <v>695185778089051</v>
      </c>
      <c r="R10" s="5">
        <v>7184838861921</v>
      </c>
      <c r="S10" s="5">
        <v>657019901242233</v>
      </c>
      <c r="T10" s="5">
        <v>690853117229555</v>
      </c>
      <c r="U10" s="5">
        <v>700829395263994</v>
      </c>
      <c r="V10" s="5">
        <v>657882930931845</v>
      </c>
      <c r="W10" s="5">
        <v>676631883360176</v>
      </c>
      <c r="X10" s="5">
        <v>64221906228788</v>
      </c>
      <c r="Y10" s="5">
        <v>628514169161448</v>
      </c>
      <c r="Z10" s="5">
        <v>635067488931977</v>
      </c>
      <c r="AA10" s="5">
        <v>665894473393663</v>
      </c>
      <c r="AB10" s="5">
        <v>614165516049559</v>
      </c>
      <c r="AC10" s="5">
        <v>579529331640877</v>
      </c>
      <c r="AD10" s="5">
        <v>612434851396717</v>
      </c>
      <c r="AE10" s="5">
        <v>604168887743437</v>
      </c>
      <c r="AF10" s="5">
        <v>634108808459004</v>
      </c>
      <c r="AG10" s="5">
        <v>6095337864</v>
      </c>
      <c r="AH10" s="5">
        <v>5517846509379</v>
      </c>
      <c r="AI10" s="5">
        <v>527428966278247</v>
      </c>
      <c r="AJ10" s="5">
        <v>582504958761015</v>
      </c>
      <c r="AK10" s="5">
        <v>542274666272098</v>
      </c>
      <c r="AL10" s="5">
        <v>5480159984173</v>
      </c>
      <c r="AM10" s="5">
        <v>518286211261875</v>
      </c>
      <c r="AN10" s="5">
        <v>546165288245346</v>
      </c>
      <c r="AO10" s="5">
        <v>504345589779773</v>
      </c>
      <c r="AP10" s="5">
        <v>467514069591671</v>
      </c>
      <c r="AQ10" s="5"/>
      <c r="AR10" s="5"/>
      <c r="AS10" s="5"/>
      <c r="AT10" s="5"/>
      <c r="AU10" s="5"/>
      <c r="AV10" s="5"/>
      <c r="AW10" s="5"/>
      <c r="AX10" s="5"/>
      <c r="AY10" s="5"/>
      <c r="AZ10" s="5"/>
      <c r="BA10" s="5"/>
    </row>
    <row r="11" spans="1:53" x14ac:dyDescent="0.45">
      <c r="A11" s="1"/>
      <c r="B11" s="2"/>
      <c r="C11" s="1" t="s">
        <v>5</v>
      </c>
      <c r="D11" s="2">
        <v>4047847</v>
      </c>
      <c r="E11" s="3" t="s">
        <v>476</v>
      </c>
      <c r="F11" s="3" t="s">
        <v>477</v>
      </c>
      <c r="G11" s="3" t="s">
        <v>478</v>
      </c>
      <c r="H11" s="5">
        <v>7169442151872</v>
      </c>
      <c r="I11" s="5">
        <v>75114833439862</v>
      </c>
      <c r="J11" s="5">
        <v>741694086673942</v>
      </c>
      <c r="K11" s="5">
        <v>622198577728108</v>
      </c>
      <c r="L11" s="5">
        <v>644685019392393</v>
      </c>
      <c r="M11" s="5">
        <v>613287292351414</v>
      </c>
      <c r="N11" s="5">
        <v>61168567286008</v>
      </c>
      <c r="O11" s="5">
        <v>6245854638</v>
      </c>
      <c r="P11" s="5">
        <v>607227291684</v>
      </c>
      <c r="Q11" s="5">
        <v>602035469652577</v>
      </c>
      <c r="R11" s="5">
        <v>550782004224</v>
      </c>
      <c r="S11" s="5">
        <v>5191261306368</v>
      </c>
      <c r="T11" s="5">
        <v>482219815761</v>
      </c>
      <c r="U11" s="5">
        <v>483597246198</v>
      </c>
      <c r="V11" s="5">
        <v>4877434681652</v>
      </c>
      <c r="W11" s="5">
        <v>4801382706753</v>
      </c>
      <c r="X11" s="5">
        <v>457317356280445</v>
      </c>
      <c r="Y11" s="5">
        <v>436402201512179</v>
      </c>
      <c r="Z11" s="5">
        <v>429796351682571</v>
      </c>
      <c r="AA11" s="5">
        <v>44708153791385</v>
      </c>
      <c r="AB11" s="5">
        <v>4115137282053</v>
      </c>
      <c r="AC11" s="5">
        <v>390615454823518</v>
      </c>
      <c r="AD11" s="5">
        <v>410472212269172</v>
      </c>
      <c r="AE11" s="5">
        <v>43143776885589</v>
      </c>
      <c r="AF11" s="5">
        <v>431817893863776</v>
      </c>
      <c r="AG11" s="5">
        <v>4010412657354</v>
      </c>
      <c r="AH11" s="5">
        <v>367481596615266</v>
      </c>
      <c r="AI11" s="5">
        <v>349065223531569</v>
      </c>
      <c r="AJ11" s="5">
        <v>369318798055374</v>
      </c>
      <c r="AK11" s="5">
        <v>361921195065336</v>
      </c>
      <c r="AL11" s="5">
        <v>360979407637805</v>
      </c>
      <c r="AM11" s="5">
        <v>34033006669185</v>
      </c>
      <c r="AN11" s="5">
        <v>344320458588859</v>
      </c>
      <c r="AO11" s="5">
        <v>35337768428226</v>
      </c>
      <c r="AP11" s="5">
        <v>309540971854915</v>
      </c>
      <c r="AQ11" s="5"/>
      <c r="AR11" s="5"/>
      <c r="AS11" s="5"/>
      <c r="AT11" s="5"/>
      <c r="AU11" s="5"/>
      <c r="AV11" s="5"/>
      <c r="AW11" s="5"/>
      <c r="AX11" s="5"/>
      <c r="AY11" s="5"/>
      <c r="AZ11" s="5"/>
      <c r="BA11" s="5"/>
    </row>
    <row r="12" spans="1:53" x14ac:dyDescent="0.45">
      <c r="A12" s="1"/>
      <c r="B12" s="2"/>
      <c r="C12" s="1" t="s">
        <v>6</v>
      </c>
      <c r="D12" s="2">
        <v>4066743</v>
      </c>
      <c r="E12" s="3" t="s">
        <v>479</v>
      </c>
      <c r="F12" s="3" t="s">
        <v>480</v>
      </c>
      <c r="G12" s="3" t="s">
        <v>481</v>
      </c>
      <c r="H12" s="5">
        <v>825981836322595</v>
      </c>
      <c r="I12" s="5">
        <v>88224397037668</v>
      </c>
      <c r="J12" s="5">
        <v>893391589159348</v>
      </c>
      <c r="K12" s="5">
        <v>102136392474482</v>
      </c>
      <c r="L12" s="5">
        <v>103646741736447</v>
      </c>
      <c r="M12" s="5">
        <v>109131712867</v>
      </c>
      <c r="N12" s="5">
        <v>103373091744</v>
      </c>
      <c r="O12" s="5">
        <v>9411548682</v>
      </c>
      <c r="P12" s="5">
        <v>11491425036</v>
      </c>
      <c r="Q12" s="5">
        <v>12809780424</v>
      </c>
      <c r="R12" s="5">
        <v>128143930032</v>
      </c>
      <c r="S12" s="5">
        <v>897857367280765</v>
      </c>
      <c r="T12" s="5">
        <v>10036678735335</v>
      </c>
      <c r="U12" s="5">
        <v>78124574682</v>
      </c>
      <c r="V12" s="5">
        <v>611423883924</v>
      </c>
      <c r="W12" s="5">
        <v>5505425075303</v>
      </c>
      <c r="X12" s="5">
        <v>528104799424587</v>
      </c>
      <c r="Y12" s="5">
        <v>488421341586753</v>
      </c>
      <c r="Z12" s="5">
        <v>367265893176</v>
      </c>
      <c r="AA12" s="5">
        <v>325848949972</v>
      </c>
      <c r="AB12" s="5">
        <v>245965954595239</v>
      </c>
      <c r="AC12" s="5">
        <v>156268068959163</v>
      </c>
      <c r="AD12" s="5">
        <v>160655785208094</v>
      </c>
      <c r="AE12" s="5">
        <v>208811707486049</v>
      </c>
      <c r="AF12" s="5">
        <v>17651709975918</v>
      </c>
      <c r="AG12" s="5">
        <v>149798619325852</v>
      </c>
      <c r="AH12" s="5">
        <v>120087328465796</v>
      </c>
      <c r="AI12" s="5">
        <v>125905564929665</v>
      </c>
      <c r="AJ12" s="5">
        <v>136117623177157</v>
      </c>
      <c r="AK12" s="5">
        <v>16764076644714</v>
      </c>
      <c r="AL12" s="5">
        <v>16163585645324</v>
      </c>
      <c r="AM12" s="5">
        <v>157070434911971</v>
      </c>
      <c r="AN12" s="5">
        <v>194019841428742</v>
      </c>
      <c r="AO12" s="5">
        <v>21559615811526</v>
      </c>
      <c r="AP12" s="5">
        <v>17649674618884</v>
      </c>
      <c r="AQ12" s="5"/>
      <c r="AR12" s="5"/>
      <c r="AS12" s="5"/>
      <c r="AT12" s="5"/>
      <c r="AU12" s="5"/>
      <c r="AV12" s="5"/>
      <c r="AW12" s="5"/>
      <c r="AX12" s="5"/>
      <c r="AY12" s="5"/>
      <c r="AZ12" s="5"/>
      <c r="BA12" s="5"/>
    </row>
    <row r="13" spans="1:53" x14ac:dyDescent="0.45">
      <c r="A13" s="1"/>
      <c r="B13" s="2"/>
      <c r="C13" s="1" t="s">
        <v>7</v>
      </c>
      <c r="D13" s="2">
        <v>103316</v>
      </c>
      <c r="E13" s="3" t="s">
        <v>482</v>
      </c>
      <c r="F13" s="3" t="s">
        <v>483</v>
      </c>
      <c r="G13" s="3" t="s">
        <v>484</v>
      </c>
      <c r="H13" s="5">
        <v>287404890103901</v>
      </c>
      <c r="I13" s="5">
        <v>28932394775503</v>
      </c>
      <c r="J13" s="5">
        <v>2838322725125</v>
      </c>
      <c r="K13" s="5">
        <v>272170878966348</v>
      </c>
      <c r="L13" s="5">
        <v>274744911233151</v>
      </c>
      <c r="M13" s="5">
        <v>26796410832125</v>
      </c>
      <c r="N13" s="5">
        <v>27020135462</v>
      </c>
      <c r="O13" s="5">
        <v>2662395217</v>
      </c>
      <c r="P13" s="5">
        <v>27352633321728</v>
      </c>
      <c r="Q13" s="5">
        <v>2718772347312</v>
      </c>
      <c r="R13" s="5">
        <v>27358725788382</v>
      </c>
      <c r="S13" s="5">
        <v>2632072824873</v>
      </c>
      <c r="T13" s="5">
        <v>26906881848</v>
      </c>
      <c r="U13" s="5">
        <v>27557148388</v>
      </c>
      <c r="V13" s="5">
        <v>25638810680748</v>
      </c>
      <c r="W13" s="5">
        <v>26187891566888</v>
      </c>
      <c r="X13" s="5">
        <v>272544351455104</v>
      </c>
      <c r="Y13" s="5">
        <v>2652910326339</v>
      </c>
      <c r="Z13" s="5">
        <v>2689960964328</v>
      </c>
      <c r="AA13" s="5">
        <v>2583847502917</v>
      </c>
      <c r="AB13" s="5">
        <v>250040044270665</v>
      </c>
      <c r="AC13" s="5">
        <v>230123526221854</v>
      </c>
      <c r="AD13" s="5">
        <v>228577170894674</v>
      </c>
      <c r="AE13" s="5">
        <v>235358863574861</v>
      </c>
      <c r="AF13" s="5">
        <v>2635236035867</v>
      </c>
      <c r="AG13" s="5">
        <v>247183697893125</v>
      </c>
      <c r="AH13" s="5">
        <v>224337301541444</v>
      </c>
      <c r="AI13" s="5">
        <v>225318265502453</v>
      </c>
      <c r="AJ13" s="5">
        <v>249649592120775</v>
      </c>
      <c r="AK13" s="5">
        <v>242281225138963</v>
      </c>
      <c r="AL13" s="5">
        <v>24597644558652</v>
      </c>
      <c r="AM13" s="5">
        <v>2468685229488</v>
      </c>
      <c r="AN13" s="5">
        <v>261218417235655</v>
      </c>
      <c r="AO13" s="5">
        <v>243668773405105</v>
      </c>
      <c r="AP13" s="5">
        <v>227810323323018</v>
      </c>
      <c r="AQ13" s="5"/>
      <c r="AR13" s="5"/>
      <c r="AS13" s="5"/>
      <c r="AT13" s="5"/>
      <c r="AU13" s="5"/>
      <c r="AV13" s="5"/>
      <c r="AW13" s="5"/>
      <c r="AX13" s="5"/>
      <c r="AY13" s="5"/>
      <c r="AZ13" s="5"/>
      <c r="BA13" s="5"/>
    </row>
    <row r="14" spans="1:53" x14ac:dyDescent="0.45">
      <c r="A14" s="1"/>
      <c r="B14" s="2"/>
      <c r="C14" s="1" t="s">
        <v>8</v>
      </c>
      <c r="D14" s="2">
        <v>4075849</v>
      </c>
      <c r="E14" s="3" t="s">
        <v>485</v>
      </c>
      <c r="F14" s="3" t="s">
        <v>486</v>
      </c>
      <c r="G14" s="3" t="s">
        <v>487</v>
      </c>
      <c r="H14" s="5">
        <v>180155603809486</v>
      </c>
      <c r="I14" s="5">
        <v>187113465680065</v>
      </c>
      <c r="J14" s="5">
        <v>188069108188733</v>
      </c>
      <c r="K14" s="5">
        <v>174815748283189</v>
      </c>
      <c r="L14" s="5">
        <v>175131194357594</v>
      </c>
      <c r="M14" s="5">
        <v>16302031710849</v>
      </c>
      <c r="N14" s="5">
        <v>167047960619052</v>
      </c>
      <c r="O14" s="5">
        <v>172385346</v>
      </c>
      <c r="P14" s="5">
        <v>16284172047</v>
      </c>
      <c r="Q14" s="5">
        <v>159358089352</v>
      </c>
      <c r="R14" s="5">
        <v>15563420676</v>
      </c>
      <c r="S14" s="5">
        <v>1460117555325</v>
      </c>
      <c r="T14" s="5">
        <v>13886404389</v>
      </c>
      <c r="U14" s="5">
        <v>1348004592</v>
      </c>
      <c r="V14" s="5">
        <v>1289516507384</v>
      </c>
      <c r="W14" s="5">
        <v>1358945196903</v>
      </c>
      <c r="X14" s="5">
        <v>13654464516</v>
      </c>
      <c r="Y14" s="5">
        <v>140156768009156</v>
      </c>
      <c r="Z14" s="5">
        <v>130026264149754</v>
      </c>
      <c r="AA14" s="5">
        <v>134011993375</v>
      </c>
      <c r="AB14" s="5">
        <v>117109948995331</v>
      </c>
      <c r="AC14" s="5">
        <v>1127747394</v>
      </c>
      <c r="AD14" s="5">
        <v>114044722989912</v>
      </c>
      <c r="AE14" s="5">
        <v>127874357667112</v>
      </c>
      <c r="AF14" s="5">
        <v>13142127372</v>
      </c>
      <c r="AG14" s="5">
        <v>113481268364215</v>
      </c>
      <c r="AH14" s="5">
        <v>101944261901721</v>
      </c>
      <c r="AI14" s="5">
        <v>1076202983</v>
      </c>
      <c r="AJ14" s="5">
        <v>124471083689951</v>
      </c>
      <c r="AK14" s="5">
        <v>116308551196029</v>
      </c>
      <c r="AL14" s="5">
        <v>124975794105</v>
      </c>
      <c r="AM14" s="5">
        <v>1241646084</v>
      </c>
      <c r="AN14" s="5">
        <v>1299541068</v>
      </c>
      <c r="AO14" s="5">
        <v>126429564527595</v>
      </c>
      <c r="AP14" s="5">
        <v>112375250994305</v>
      </c>
      <c r="AQ14" s="5"/>
      <c r="AR14" s="5"/>
      <c r="AS14" s="5"/>
      <c r="AT14" s="5"/>
      <c r="AU14" s="5"/>
      <c r="AV14" s="5"/>
      <c r="AW14" s="5"/>
      <c r="AX14" s="5"/>
      <c r="AY14" s="5"/>
      <c r="AZ14" s="5"/>
      <c r="BA14" s="5"/>
    </row>
    <row r="15" spans="1:53" x14ac:dyDescent="0.45">
      <c r="A15" s="1"/>
      <c r="B15" s="2"/>
      <c r="C15" s="1" t="s">
        <v>9</v>
      </c>
      <c r="D15" s="2">
        <v>4014726</v>
      </c>
      <c r="E15" s="3" t="s">
        <v>488</v>
      </c>
      <c r="F15" s="3" t="s">
        <v>489</v>
      </c>
      <c r="G15" s="3" t="s">
        <v>490</v>
      </c>
      <c r="H15" s="5">
        <v>299004544130396</v>
      </c>
      <c r="I15" s="5">
        <v>29929876450206</v>
      </c>
      <c r="J15" s="5">
        <v>298493423287765</v>
      </c>
      <c r="K15" s="5">
        <v>278870442371263</v>
      </c>
      <c r="L15" s="5">
        <v>266814860662214</v>
      </c>
      <c r="M15" s="5">
        <v>26260139953</v>
      </c>
      <c r="N15" s="5">
        <v>273003658348</v>
      </c>
      <c r="O15" s="5">
        <v>27914621448</v>
      </c>
      <c r="P15" s="5">
        <v>280757690664919</v>
      </c>
      <c r="Q15" s="5">
        <v>2753018482872</v>
      </c>
      <c r="R15" s="5">
        <v>287921049966</v>
      </c>
      <c r="S15" s="5">
        <v>281812914465316</v>
      </c>
      <c r="T15" s="5">
        <v>2962281235698</v>
      </c>
      <c r="U15" s="5">
        <v>297069682008</v>
      </c>
      <c r="V15" s="5">
        <v>263611529524</v>
      </c>
      <c r="W15" s="5">
        <v>2896355838555</v>
      </c>
      <c r="X15" s="5">
        <v>3023014634255</v>
      </c>
      <c r="Y15" s="5">
        <v>28957768967815</v>
      </c>
      <c r="Z15" s="5">
        <v>2763661428144</v>
      </c>
      <c r="AA15" s="5">
        <v>2769479468576</v>
      </c>
      <c r="AB15" s="5">
        <v>27525254396298</v>
      </c>
      <c r="AC15" s="5">
        <v>262975386519275</v>
      </c>
      <c r="AD15" s="5">
        <v>252524512991836</v>
      </c>
      <c r="AE15" s="5">
        <v>258154336509859</v>
      </c>
      <c r="AF15" s="5">
        <v>279135162654346</v>
      </c>
      <c r="AG15" s="5">
        <v>270951010241059</v>
      </c>
      <c r="AH15" s="5">
        <v>245763765173826</v>
      </c>
      <c r="AI15" s="5">
        <v>267793766141638</v>
      </c>
      <c r="AJ15" s="5">
        <v>277312155006329</v>
      </c>
      <c r="AK15" s="5">
        <v>26352267461292</v>
      </c>
      <c r="AL15" s="5">
        <v>286866166324587</v>
      </c>
      <c r="AM15" s="5">
        <v>27515412766101</v>
      </c>
      <c r="AN15" s="5">
        <v>30173847834712</v>
      </c>
      <c r="AO15" s="5">
        <v>29838395673766</v>
      </c>
      <c r="AP15" s="5">
        <v>276357930005876</v>
      </c>
      <c r="AQ15" s="5"/>
      <c r="AR15" s="5"/>
      <c r="AS15" s="5"/>
      <c r="AT15" s="5"/>
      <c r="AU15" s="5"/>
      <c r="AV15" s="5"/>
      <c r="AW15" s="5"/>
      <c r="AX15" s="5"/>
      <c r="AY15" s="5"/>
      <c r="AZ15" s="5"/>
      <c r="BA15" s="5"/>
    </row>
    <row r="16" spans="1:53" x14ac:dyDescent="0.45">
      <c r="A16" s="1"/>
      <c r="B16" s="2"/>
      <c r="C16" s="1" t="s">
        <v>10</v>
      </c>
      <c r="D16" s="2">
        <v>4186103</v>
      </c>
      <c r="E16" s="3" t="s">
        <v>491</v>
      </c>
      <c r="F16" s="3" t="s">
        <v>492</v>
      </c>
      <c r="G16" s="3" t="s">
        <v>493</v>
      </c>
      <c r="H16" s="5">
        <v>916215666411226</v>
      </c>
      <c r="I16" s="5">
        <v>792280792915391</v>
      </c>
      <c r="J16" s="5">
        <v>76300675</v>
      </c>
      <c r="K16" s="5">
        <v>706640367669281</v>
      </c>
      <c r="L16" s="5">
        <v>680635870239223</v>
      </c>
      <c r="M16" s="5">
        <v>687970588</v>
      </c>
      <c r="N16" s="5">
        <v>754723884455</v>
      </c>
      <c r="O16" s="5">
        <v>7254230245</v>
      </c>
      <c r="P16" s="5">
        <v>971009321750125</v>
      </c>
      <c r="Q16" s="5">
        <v>96694470936</v>
      </c>
      <c r="R16" s="5">
        <v>102129301176024</v>
      </c>
      <c r="S16" s="5">
        <v>110153557749</v>
      </c>
      <c r="T16" s="5">
        <v>109466615612</v>
      </c>
      <c r="U16" s="5">
        <v>1093491806</v>
      </c>
      <c r="V16" s="5">
        <v>1107452726016</v>
      </c>
      <c r="W16" s="5">
        <v>823674694752</v>
      </c>
      <c r="X16" s="5">
        <v>86048376254483</v>
      </c>
      <c r="Y16" s="5">
        <v>79138191125</v>
      </c>
      <c r="Z16" s="5">
        <v>8843093166915</v>
      </c>
      <c r="AA16" s="5">
        <v>861143561181</v>
      </c>
      <c r="AB16" s="5">
        <v>785900905362</v>
      </c>
      <c r="AC16" s="5">
        <v>878118559356084</v>
      </c>
      <c r="AD16" s="5">
        <v>750185696939002</v>
      </c>
      <c r="AE16" s="5">
        <v>862275662400109</v>
      </c>
      <c r="AF16" s="5">
        <v>970314376057946</v>
      </c>
      <c r="AG16" s="5">
        <v>9817521826</v>
      </c>
      <c r="AH16" s="5">
        <v>110516889733643</v>
      </c>
      <c r="AI16" s="5">
        <v>113697294694521</v>
      </c>
      <c r="AJ16" s="5">
        <v>124286961135</v>
      </c>
      <c r="AK16" s="5">
        <v>111922237322642</v>
      </c>
      <c r="AL16" s="5">
        <v>124086561646498</v>
      </c>
      <c r="AM16" s="5">
        <v>11796813315</v>
      </c>
      <c r="AN16" s="5">
        <v>118266759637442</v>
      </c>
      <c r="AO16" s="5">
        <v>11034663843</v>
      </c>
      <c r="AP16" s="5">
        <v>916860992336401</v>
      </c>
      <c r="AQ16" s="5"/>
      <c r="AR16" s="5"/>
      <c r="AS16" s="5"/>
      <c r="AT16" s="5"/>
      <c r="AU16" s="5"/>
      <c r="AV16" s="5"/>
      <c r="AW16" s="5"/>
      <c r="AX16" s="5"/>
      <c r="AY16" s="5"/>
      <c r="AZ16" s="5"/>
      <c r="BA16" s="5"/>
    </row>
    <row r="17" spans="1:53" x14ac:dyDescent="0.45">
      <c r="A17" s="1"/>
      <c r="B17" s="2"/>
      <c r="C17" s="1" t="s">
        <v>11</v>
      </c>
      <c r="D17" s="2">
        <v>4121019</v>
      </c>
      <c r="E17" s="3" t="s">
        <v>494</v>
      </c>
      <c r="F17" s="3" t="s">
        <v>495</v>
      </c>
      <c r="G17" s="3" t="s">
        <v>496</v>
      </c>
      <c r="H17" s="5">
        <v>117685373179616</v>
      </c>
      <c r="I17" s="5">
        <v>124626391747961</v>
      </c>
      <c r="J17" s="5">
        <v>133699086217349</v>
      </c>
      <c r="K17" s="5">
        <v>127410294314919</v>
      </c>
      <c r="L17" s="5">
        <v>108155620200833</v>
      </c>
      <c r="M17" s="5">
        <v>10881885225</v>
      </c>
      <c r="N17" s="5">
        <v>102450184575</v>
      </c>
      <c r="O17" s="5">
        <v>11197268</v>
      </c>
      <c r="P17" s="5">
        <v>110704140318154</v>
      </c>
      <c r="Q17" s="5">
        <v>109416027487753</v>
      </c>
      <c r="R17" s="5">
        <v>107638635464047</v>
      </c>
      <c r="S17" s="5">
        <v>965635041024</v>
      </c>
      <c r="T17" s="5">
        <v>917202232832</v>
      </c>
      <c r="U17" s="5">
        <v>93403257024</v>
      </c>
      <c r="V17" s="5">
        <v>8568366648</v>
      </c>
      <c r="W17" s="5">
        <v>85487144634</v>
      </c>
      <c r="X17" s="5">
        <v>80632487474</v>
      </c>
      <c r="Y17" s="5">
        <v>845912662951825</v>
      </c>
      <c r="Z17" s="5">
        <v>801967888221434</v>
      </c>
      <c r="AA17" s="5">
        <v>792102405037657</v>
      </c>
      <c r="AB17" s="5">
        <v>64873019292</v>
      </c>
      <c r="AC17" s="5">
        <v>5809345267495</v>
      </c>
      <c r="AD17" s="5">
        <v>545837555664542</v>
      </c>
      <c r="AE17" s="5">
        <v>578645213708845</v>
      </c>
      <c r="AF17" s="5">
        <v>568838775862557</v>
      </c>
      <c r="AG17" s="5">
        <v>544567315836298</v>
      </c>
      <c r="AH17" s="5">
        <v>443374634620764</v>
      </c>
      <c r="AI17" s="5">
        <v>452860431304842</v>
      </c>
      <c r="AJ17" s="5">
        <v>550375236597474</v>
      </c>
      <c r="AK17" s="5">
        <v>556652189013196</v>
      </c>
      <c r="AL17" s="5">
        <v>6148429175085</v>
      </c>
      <c r="AM17" s="5">
        <v>59822256645</v>
      </c>
      <c r="AN17" s="5">
        <v>5516517801784</v>
      </c>
      <c r="AO17" s="5">
        <v>56747853902055</v>
      </c>
      <c r="AP17" s="5">
        <v>4808060515305</v>
      </c>
      <c r="AQ17" s="5"/>
      <c r="AR17" s="5"/>
      <c r="AS17" s="5"/>
      <c r="AT17" s="5"/>
      <c r="AU17" s="5"/>
      <c r="AV17" s="5"/>
      <c r="AW17" s="5"/>
      <c r="AX17" s="5"/>
      <c r="AY17" s="5"/>
      <c r="AZ17" s="5"/>
      <c r="BA17" s="5"/>
    </row>
    <row r="18" spans="1:53" x14ac:dyDescent="0.45">
      <c r="A18" s="1"/>
      <c r="B18" s="2"/>
      <c r="C18" s="1" t="s">
        <v>12</v>
      </c>
      <c r="D18" s="2">
        <v>111908</v>
      </c>
      <c r="E18" s="3" t="s">
        <v>497</v>
      </c>
      <c r="F18" s="3" t="s">
        <v>498</v>
      </c>
      <c r="G18" s="3" t="s">
        <v>499</v>
      </c>
      <c r="H18" s="5">
        <v>104857634137959</v>
      </c>
      <c r="I18" s="5">
        <v>102123532840189</v>
      </c>
      <c r="J18" s="5">
        <v>101921910897146</v>
      </c>
      <c r="K18" s="5">
        <v>942445666371955</v>
      </c>
      <c r="L18" s="5">
        <v>956439349079865</v>
      </c>
      <c r="M18" s="5">
        <v>947509980125</v>
      </c>
      <c r="N18" s="5">
        <v>961625934185</v>
      </c>
      <c r="O18" s="5">
        <v>9457182364</v>
      </c>
      <c r="P18" s="5">
        <v>940404101546</v>
      </c>
      <c r="Q18" s="5">
        <v>989449044192</v>
      </c>
      <c r="R18" s="5">
        <v>99892249776</v>
      </c>
      <c r="S18" s="5">
        <v>91272565962286</v>
      </c>
      <c r="T18" s="5">
        <v>835976458509</v>
      </c>
      <c r="U18" s="5">
        <v>82326046374</v>
      </c>
      <c r="V18" s="5">
        <v>7556857599456</v>
      </c>
      <c r="W18" s="5">
        <v>7544940962085</v>
      </c>
      <c r="X18" s="5">
        <v>7700023603965</v>
      </c>
      <c r="Y18" s="5">
        <v>8175407180325</v>
      </c>
      <c r="Z18" s="5">
        <v>688576132008</v>
      </c>
      <c r="AA18" s="5">
        <v>643182359565</v>
      </c>
      <c r="AB18" s="5">
        <v>5995236936975</v>
      </c>
      <c r="AC18" s="5">
        <v>534709757225813</v>
      </c>
      <c r="AD18" s="5">
        <v>530489124683716</v>
      </c>
      <c r="AE18" s="5">
        <v>603165467875059</v>
      </c>
      <c r="AF18" s="5">
        <v>631938118193076</v>
      </c>
      <c r="AG18" s="5">
        <v>588444415164152</v>
      </c>
      <c r="AH18" s="5">
        <v>548587271558239</v>
      </c>
      <c r="AI18" s="5">
        <v>555087861823071</v>
      </c>
      <c r="AJ18" s="5">
        <v>606779723435357</v>
      </c>
      <c r="AK18" s="5">
        <v>565639524390528</v>
      </c>
      <c r="AL18" s="5">
        <v>608674350384038</v>
      </c>
      <c r="AM18" s="5">
        <v>594464390093952</v>
      </c>
      <c r="AN18" s="5">
        <v>657385601304503</v>
      </c>
      <c r="AO18" s="5">
        <v>616159132017366</v>
      </c>
      <c r="AP18" s="5">
        <v>621991708153722</v>
      </c>
      <c r="AQ18" s="5"/>
      <c r="AR18" s="5"/>
      <c r="AS18" s="5"/>
      <c r="AT18" s="5"/>
      <c r="AU18" s="5"/>
      <c r="AV18" s="5"/>
      <c r="AW18" s="5"/>
      <c r="AX18" s="5"/>
      <c r="AY18" s="5"/>
      <c r="AZ18" s="5"/>
      <c r="BA18" s="5"/>
    </row>
    <row r="19" spans="1:53" x14ac:dyDescent="0.45">
      <c r="A19" s="1"/>
      <c r="B19" s="2"/>
      <c r="C19" s="1" t="s">
        <v>13</v>
      </c>
      <c r="D19" s="2">
        <v>4811737</v>
      </c>
      <c r="E19" s="3" t="s">
        <v>500</v>
      </c>
      <c r="F19" s="3" t="s">
        <v>501</v>
      </c>
      <c r="G19" s="3" t="s">
        <v>502</v>
      </c>
      <c r="H19" s="5">
        <v>148360688783057</v>
      </c>
      <c r="I19" s="5">
        <v>175638028845709</v>
      </c>
      <c r="J19" s="5">
        <v>164536201115891</v>
      </c>
      <c r="K19" s="5">
        <v>126319778332599</v>
      </c>
      <c r="L19" s="5">
        <v>119290336397559</v>
      </c>
      <c r="M19" s="5">
        <v>1139839763615</v>
      </c>
      <c r="N19" s="5">
        <v>105698358594</v>
      </c>
      <c r="O19" s="5">
        <v>1038088524</v>
      </c>
      <c r="P19" s="5">
        <v>992387623552</v>
      </c>
      <c r="Q19" s="5">
        <v>861218086176</v>
      </c>
      <c r="R19" s="5">
        <v>777072267150984</v>
      </c>
      <c r="S19" s="5">
        <v>677118941187</v>
      </c>
      <c r="T19" s="5">
        <v>725688609581</v>
      </c>
      <c r="U19" s="5">
        <v>7014736157</v>
      </c>
      <c r="V19" s="5">
        <v>62753923104</v>
      </c>
      <c r="W19" s="5">
        <v>6676545234375</v>
      </c>
      <c r="X19" s="5">
        <v>667104239725</v>
      </c>
      <c r="Y19" s="5">
        <v>639748446608126</v>
      </c>
      <c r="Z19" s="5">
        <v>58158643351331</v>
      </c>
      <c r="AA19" s="5">
        <v>567966728182439</v>
      </c>
      <c r="AB19" s="5">
        <v>505396176573</v>
      </c>
      <c r="AC19" s="5">
        <v>483995825301906</v>
      </c>
      <c r="AD19" s="5">
        <v>485869865293559</v>
      </c>
      <c r="AE19" s="5">
        <v>481959796582035</v>
      </c>
      <c r="AF19" s="5">
        <v>502161100859656</v>
      </c>
      <c r="AG19" s="5">
        <v>471872604112535</v>
      </c>
      <c r="AH19" s="5">
        <v>407276987494865</v>
      </c>
      <c r="AI19" s="5">
        <v>404633216025945</v>
      </c>
      <c r="AJ19" s="5">
        <v>454468029542356</v>
      </c>
      <c r="AK19" s="5">
        <v>450102895854082</v>
      </c>
      <c r="AL19" s="5">
        <v>441960510932539</v>
      </c>
      <c r="AM19" s="5">
        <v>42425487576</v>
      </c>
      <c r="AN19" s="5">
        <v>404132089840144</v>
      </c>
      <c r="AO19" s="5">
        <v>412864649906619</v>
      </c>
      <c r="AP19" s="5">
        <v>377274108091403</v>
      </c>
      <c r="AQ19" s="5"/>
      <c r="AR19" s="5"/>
      <c r="AS19" s="5"/>
      <c r="AT19" s="5"/>
      <c r="AU19" s="5"/>
      <c r="AV19" s="5"/>
      <c r="AW19" s="5"/>
      <c r="AX19" s="5"/>
      <c r="AY19" s="5"/>
      <c r="AZ19" s="5"/>
      <c r="BA19" s="5"/>
    </row>
    <row r="20" spans="1:53" x14ac:dyDescent="0.45">
      <c r="A20" s="1"/>
      <c r="B20" s="2"/>
      <c r="C20" s="1" t="s">
        <v>14</v>
      </c>
      <c r="D20" s="2">
        <v>4987299</v>
      </c>
      <c r="E20" s="3" t="s">
        <v>503</v>
      </c>
      <c r="F20" s="3" t="s">
        <v>504</v>
      </c>
      <c r="G20" s="3" t="s">
        <v>466</v>
      </c>
      <c r="H20" s="5">
        <v>629729418269952</v>
      </c>
      <c r="I20" s="5">
        <v>671498662654512</v>
      </c>
      <c r="J20" s="5">
        <v>68080953389064</v>
      </c>
      <c r="K20" s="5">
        <v>694931434604392</v>
      </c>
      <c r="L20" s="5">
        <v>629576317183214</v>
      </c>
      <c r="M20" s="5">
        <v>654751594022514</v>
      </c>
      <c r="N20" s="5">
        <v>677505682334832</v>
      </c>
      <c r="O20" s="5">
        <v>66682421433318</v>
      </c>
      <c r="P20" s="5">
        <v>687740559815421</v>
      </c>
      <c r="Q20" s="5">
        <v>675887125150104</v>
      </c>
      <c r="R20" s="5">
        <v>652832091844758</v>
      </c>
      <c r="S20" s="5">
        <v>584315223636949</v>
      </c>
      <c r="T20" s="5">
        <v>58211465564416</v>
      </c>
      <c r="U20" s="5">
        <v>607747510395608</v>
      </c>
      <c r="V20" s="5">
        <v>559266978021965</v>
      </c>
      <c r="W20" s="5">
        <v>587909925944418</v>
      </c>
      <c r="X20" s="5">
        <v>612671924680616</v>
      </c>
      <c r="Y20" s="5">
        <v>621279049310092</v>
      </c>
      <c r="Z20" s="5">
        <v>598518472917318</v>
      </c>
      <c r="AA20" s="5">
        <v>581857503122714</v>
      </c>
      <c r="AB20" s="5">
        <v>547095954201778</v>
      </c>
      <c r="AC20" s="5">
        <v>557313507891</v>
      </c>
      <c r="AD20" s="5">
        <v>536785755609742</v>
      </c>
      <c r="AE20" s="5">
        <v>582145540015456</v>
      </c>
      <c r="AF20" s="5">
        <v>610168949819272</v>
      </c>
      <c r="AG20" s="5">
        <v>566833914296264</v>
      </c>
      <c r="AH20" s="5">
        <v>495026095419398</v>
      </c>
      <c r="AI20" s="5">
        <v>509882600287632</v>
      </c>
      <c r="AJ20" s="5">
        <v>54827224147879</v>
      </c>
      <c r="AK20" s="5">
        <v>516564285087155</v>
      </c>
      <c r="AL20" s="5">
        <v>5443275593462</v>
      </c>
      <c r="AM20" s="5">
        <v>522606761963629</v>
      </c>
      <c r="AN20" s="5">
        <v>54667615328505</v>
      </c>
      <c r="AO20" s="5">
        <v>494317448015507</v>
      </c>
      <c r="AP20" s="5">
        <v>457959404862349</v>
      </c>
      <c r="AQ20" s="5"/>
      <c r="AR20" s="5"/>
      <c r="AS20" s="5"/>
      <c r="AT20" s="5"/>
      <c r="AU20" s="5"/>
      <c r="AV20" s="5"/>
      <c r="AW20" s="5"/>
      <c r="AX20" s="5"/>
      <c r="AY20" s="5"/>
      <c r="AZ20" s="5"/>
      <c r="BA20" s="5"/>
    </row>
    <row r="21" spans="1:53" x14ac:dyDescent="0.45">
      <c r="A21" s="1"/>
      <c r="B21" s="2"/>
      <c r="C21" s="1" t="s">
        <v>15</v>
      </c>
      <c r="D21" s="2">
        <v>4057038</v>
      </c>
      <c r="E21" s="3" t="s">
        <v>505</v>
      </c>
      <c r="F21" s="3" t="s">
        <v>506</v>
      </c>
      <c r="G21" s="3" t="s">
        <v>507</v>
      </c>
      <c r="H21" s="5">
        <v>820442728685088</v>
      </c>
      <c r="I21" s="5">
        <v>875775920226012</v>
      </c>
      <c r="J21" s="5">
        <v>858635797694178</v>
      </c>
      <c r="K21" s="5">
        <v>812701444125521</v>
      </c>
      <c r="L21" s="5">
        <v>831624924634262</v>
      </c>
      <c r="M21" s="5">
        <v>79412706786</v>
      </c>
      <c r="N21" s="5">
        <v>81304634346</v>
      </c>
      <c r="O21" s="5">
        <v>8408448906</v>
      </c>
      <c r="P21" s="5">
        <v>822166276284309</v>
      </c>
      <c r="Q21" s="5">
        <v>843428369614376</v>
      </c>
      <c r="R21" s="5">
        <v>84677282326728</v>
      </c>
      <c r="S21" s="5">
        <v>79375330125</v>
      </c>
      <c r="T21" s="5">
        <v>81657023175</v>
      </c>
      <c r="U21" s="5">
        <v>77305228</v>
      </c>
      <c r="V21" s="5">
        <v>78921746906</v>
      </c>
      <c r="W21" s="5">
        <v>7747972792695</v>
      </c>
      <c r="X21" s="5">
        <v>7739005988175</v>
      </c>
      <c r="Y21" s="5">
        <v>8181617238375</v>
      </c>
      <c r="Z21" s="5">
        <v>811941257745</v>
      </c>
      <c r="AA21" s="5">
        <v>7561447858575</v>
      </c>
      <c r="AB21" s="5">
        <v>699240453528</v>
      </c>
      <c r="AC21" s="5">
        <v>7097704237575</v>
      </c>
      <c r="AD21" s="5">
        <v>684515148214343</v>
      </c>
      <c r="AE21" s="5">
        <v>651831937685594</v>
      </c>
      <c r="AF21" s="5">
        <v>645846586597891</v>
      </c>
      <c r="AG21" s="5">
        <v>606212819038809</v>
      </c>
      <c r="AH21" s="5">
        <v>593614251298135</v>
      </c>
      <c r="AI21" s="5">
        <v>573024940547442</v>
      </c>
      <c r="AJ21" s="5">
        <v>618920699247718</v>
      </c>
      <c r="AK21" s="5">
        <v>576037107507771</v>
      </c>
      <c r="AL21" s="5">
        <v>620896309920866</v>
      </c>
      <c r="AM21" s="5">
        <v>59942954818125</v>
      </c>
      <c r="AN21" s="5">
        <v>65192172015852</v>
      </c>
      <c r="AO21" s="5">
        <v>62924559228288</v>
      </c>
      <c r="AP21" s="5">
        <v>67417063220016</v>
      </c>
      <c r="AQ21" s="5"/>
      <c r="AR21" s="5"/>
      <c r="AS21" s="5"/>
      <c r="AT21" s="5"/>
      <c r="AU21" s="5"/>
      <c r="AV21" s="5"/>
      <c r="AW21" s="5"/>
      <c r="AX21" s="5"/>
      <c r="AY21" s="5"/>
      <c r="AZ21" s="5"/>
      <c r="BA21" s="5"/>
    </row>
    <row r="22" spans="1:53" x14ac:dyDescent="0.45">
      <c r="A22" s="1"/>
      <c r="B22" s="2"/>
      <c r="C22" s="1" t="s">
        <v>16</v>
      </c>
      <c r="D22" s="2">
        <v>4633618</v>
      </c>
      <c r="E22" s="3" t="s">
        <v>508</v>
      </c>
      <c r="F22" s="3" t="s">
        <v>509</v>
      </c>
      <c r="G22" s="3" t="s">
        <v>510</v>
      </c>
      <c r="H22" s="5">
        <v>607492780363339</v>
      </c>
      <c r="I22" s="5">
        <v>600196392087401</v>
      </c>
      <c r="J22" s="5">
        <v>611631119716511</v>
      </c>
      <c r="K22" s="5">
        <v>566540290556735</v>
      </c>
      <c r="L22" s="5">
        <v>552698659054991</v>
      </c>
      <c r="M22" s="5">
        <v>551441466128714</v>
      </c>
      <c r="N22" s="5">
        <v>557313427980538</v>
      </c>
      <c r="O22" s="5">
        <v>600847029265189</v>
      </c>
      <c r="P22" s="5">
        <v>581041406420314</v>
      </c>
      <c r="Q22" s="5">
        <v>542282834476579</v>
      </c>
      <c r="R22" s="5">
        <v>543219293377769</v>
      </c>
      <c r="S22" s="5">
        <v>517909451444469</v>
      </c>
      <c r="T22" s="5">
        <v>51066056553317</v>
      </c>
      <c r="U22" s="5">
        <v>50006658649258</v>
      </c>
      <c r="V22" s="5">
        <v>501255346150656</v>
      </c>
      <c r="W22" s="5">
        <v>483439820040989</v>
      </c>
      <c r="X22" s="5">
        <v>479929854018997</v>
      </c>
      <c r="Y22" s="5">
        <v>479457288020827</v>
      </c>
      <c r="Z22" s="5">
        <v>431396882188811</v>
      </c>
      <c r="AA22" s="5">
        <v>457920303203061</v>
      </c>
      <c r="AB22" s="5">
        <v>420034805744502</v>
      </c>
      <c r="AC22" s="5">
        <v>44826734625396</v>
      </c>
      <c r="AD22" s="5">
        <v>478009452715444</v>
      </c>
      <c r="AE22" s="5">
        <v>486568093560349</v>
      </c>
      <c r="AF22" s="5">
        <v>489967111022527</v>
      </c>
      <c r="AG22" s="5">
        <v>451555222031758</v>
      </c>
      <c r="AH22" s="5">
        <v>382904088823565</v>
      </c>
      <c r="AI22" s="5">
        <v>387394103791026</v>
      </c>
      <c r="AJ22" s="5">
        <v>398059204443099</v>
      </c>
      <c r="AK22" s="5">
        <v>324855418290553</v>
      </c>
      <c r="AL22" s="5">
        <v>33541045932458</v>
      </c>
      <c r="AM22" s="5">
        <v>331471817068629</v>
      </c>
      <c r="AN22" s="5">
        <v>349310434767586</v>
      </c>
      <c r="AO22" s="5">
        <v>340239553850809</v>
      </c>
      <c r="AP22" s="5">
        <v>322940784403823</v>
      </c>
      <c r="AQ22" s="5"/>
      <c r="AR22" s="5"/>
      <c r="AS22" s="5"/>
      <c r="AT22" s="5"/>
      <c r="AU22" s="5"/>
      <c r="AV22" s="5"/>
      <c r="AW22" s="5"/>
      <c r="AX22" s="5"/>
      <c r="AY22" s="5"/>
      <c r="AZ22" s="5"/>
      <c r="BA22" s="5"/>
    </row>
    <row r="23" spans="1:53" x14ac:dyDescent="0.45">
      <c r="A23" s="1"/>
      <c r="B23" s="2"/>
      <c r="C23" s="1" t="s">
        <v>17</v>
      </c>
      <c r="D23" s="2">
        <v>4087349</v>
      </c>
      <c r="E23" s="3" t="s">
        <v>511</v>
      </c>
      <c r="F23" s="3" t="s">
        <v>512</v>
      </c>
      <c r="G23" s="3" t="s">
        <v>513</v>
      </c>
      <c r="H23" s="5">
        <v>11348053253112</v>
      </c>
      <c r="I23" s="5">
        <v>10868449350969</v>
      </c>
      <c r="J23" s="5">
        <v>105458786956053</v>
      </c>
      <c r="K23" s="5">
        <v>10294981772334</v>
      </c>
      <c r="L23" s="5">
        <v>1024308023298</v>
      </c>
      <c r="M23" s="5">
        <v>10623965947579</v>
      </c>
      <c r="N23" s="5">
        <v>12608450352575</v>
      </c>
      <c r="O23" s="5">
        <v>12969407164</v>
      </c>
      <c r="P23" s="5">
        <v>12752462191248</v>
      </c>
      <c r="Q23" s="5">
        <v>12953770960928</v>
      </c>
      <c r="R23" s="5">
        <v>136873899149918</v>
      </c>
      <c r="S23" s="5">
        <v>12864469657662</v>
      </c>
      <c r="T23" s="5">
        <v>12492732593502</v>
      </c>
      <c r="U23" s="5">
        <v>1179480000006</v>
      </c>
      <c r="V23" s="5">
        <v>1178716439688</v>
      </c>
      <c r="W23" s="5">
        <v>109909082917575</v>
      </c>
      <c r="X23" s="5">
        <v>11591385514252</v>
      </c>
      <c r="Y23" s="5">
        <v>118459634628934</v>
      </c>
      <c r="Z23" s="5">
        <v>12148396250544</v>
      </c>
      <c r="AA23" s="5">
        <v>11187537739524</v>
      </c>
      <c r="AB23" s="5">
        <v>10714942720212</v>
      </c>
      <c r="AC23" s="5">
        <v>110972175325603</v>
      </c>
      <c r="AD23" s="5">
        <v>110693979917965</v>
      </c>
      <c r="AE23" s="5">
        <v>105086256602457</v>
      </c>
      <c r="AF23" s="5">
        <v>106898752793004</v>
      </c>
      <c r="AG23" s="5">
        <v>107519063677832</v>
      </c>
      <c r="AH23" s="5">
        <v>955743144720085</v>
      </c>
      <c r="AI23" s="5">
        <v>937869939009478</v>
      </c>
      <c r="AJ23" s="5">
        <v>967980184518447</v>
      </c>
      <c r="AK23" s="5">
        <v>863494915358001</v>
      </c>
      <c r="AL23" s="5">
        <v>9174166127104</v>
      </c>
      <c r="AM23" s="5">
        <v>87919228071675</v>
      </c>
      <c r="AN23" s="5">
        <v>91693599247089</v>
      </c>
      <c r="AO23" s="5">
        <v>988641134600782</v>
      </c>
      <c r="AP23" s="5">
        <v>92725001969479</v>
      </c>
      <c r="AQ23" s="5"/>
      <c r="AR23" s="5"/>
      <c r="AS23" s="5"/>
      <c r="AT23" s="5"/>
      <c r="AU23" s="5"/>
      <c r="AV23" s="5"/>
      <c r="AW23" s="5"/>
      <c r="AX23" s="5"/>
      <c r="AY23" s="5"/>
      <c r="AZ23" s="5"/>
      <c r="BA23" s="5"/>
    </row>
    <row r="24" spans="1:53" x14ac:dyDescent="0.45">
      <c r="A24" s="1"/>
      <c r="B24" s="2"/>
      <c r="C24" s="1" t="s">
        <v>18</v>
      </c>
      <c r="D24" s="2">
        <v>3001792</v>
      </c>
      <c r="E24" s="3" t="s">
        <v>514</v>
      </c>
      <c r="F24" s="3" t="s">
        <v>515</v>
      </c>
      <c r="G24" s="3" t="s">
        <v>516</v>
      </c>
      <c r="H24" s="5">
        <v>46931199171971</v>
      </c>
      <c r="I24" s="5">
        <v>476146075897671</v>
      </c>
      <c r="J24" s="5">
        <v>457506559044656</v>
      </c>
      <c r="K24" s="5">
        <v>390739851257953</v>
      </c>
      <c r="L24" s="5">
        <v>396679755995145</v>
      </c>
      <c r="M24" s="5">
        <v>402621123487968</v>
      </c>
      <c r="N24" s="5">
        <v>40554308696</v>
      </c>
      <c r="O24" s="5">
        <v>423113536164</v>
      </c>
      <c r="P24" s="5">
        <v>405780082649405</v>
      </c>
      <c r="Q24" s="5">
        <v>39561792889136</v>
      </c>
      <c r="R24" s="5">
        <v>3798405280656</v>
      </c>
      <c r="S24" s="5">
        <v>36261121531572</v>
      </c>
      <c r="T24" s="5">
        <v>33753788903967</v>
      </c>
      <c r="U24" s="5">
        <v>3373893361674</v>
      </c>
      <c r="V24" s="5">
        <v>34242009444643</v>
      </c>
      <c r="W24" s="5">
        <v>353140830769905</v>
      </c>
      <c r="X24" s="5">
        <v>327098881711832</v>
      </c>
      <c r="Y24" s="5">
        <v>321941924655273</v>
      </c>
      <c r="Z24" s="5">
        <v>30403782908307</v>
      </c>
      <c r="AA24" s="5">
        <v>306436105821735</v>
      </c>
      <c r="AB24" s="5">
        <v>271735634561698</v>
      </c>
      <c r="AC24" s="5">
        <v>239480752186592</v>
      </c>
      <c r="AD24" s="5">
        <v>255420527320762</v>
      </c>
      <c r="AE24" s="5">
        <v>291722651098364</v>
      </c>
      <c r="AF24" s="5">
        <v>294976198093612</v>
      </c>
      <c r="AG24" s="5">
        <v>266068102288217</v>
      </c>
      <c r="AH24" s="5">
        <v>214528871218025</v>
      </c>
      <c r="AI24" s="5">
        <v>21415634610962</v>
      </c>
      <c r="AJ24" s="5">
        <v>226977978634541</v>
      </c>
      <c r="AK24" s="5">
        <v>181477870206813</v>
      </c>
      <c r="AL24" s="5">
        <v>182124522700279</v>
      </c>
      <c r="AM24" s="5">
        <v>175447621969321</v>
      </c>
      <c r="AN24" s="5">
        <v>160848332916914</v>
      </c>
      <c r="AO24" s="5">
        <v>157447375809477</v>
      </c>
      <c r="AP24" s="5">
        <v>145828142064318</v>
      </c>
      <c r="AQ24" s="5"/>
      <c r="AR24" s="5"/>
      <c r="AS24" s="5"/>
      <c r="AT24" s="5"/>
      <c r="AU24" s="5"/>
      <c r="AV24" s="5"/>
      <c r="AW24" s="5"/>
      <c r="AX24" s="5"/>
      <c r="AY24" s="5"/>
      <c r="AZ24" s="5"/>
      <c r="BA24" s="5"/>
    </row>
    <row r="25" spans="1:53" x14ac:dyDescent="0.45">
      <c r="A25" s="1"/>
      <c r="B25" s="2"/>
      <c r="C25" s="1" t="s">
        <v>19</v>
      </c>
      <c r="D25" s="2">
        <v>4007308</v>
      </c>
      <c r="E25" s="3" t="s">
        <v>517</v>
      </c>
      <c r="F25" s="3" t="s">
        <v>518</v>
      </c>
      <c r="G25" s="3" t="s">
        <v>519</v>
      </c>
      <c r="H25" s="5">
        <v>119198886640919</v>
      </c>
      <c r="I25" s="5">
        <v>130312385347632</v>
      </c>
      <c r="J25" s="5">
        <v>129201598389692</v>
      </c>
      <c r="K25" s="5">
        <v>118741646216784</v>
      </c>
      <c r="L25" s="5">
        <v>12257322576114</v>
      </c>
      <c r="M25" s="5">
        <v>115496226243783</v>
      </c>
      <c r="N25" s="5">
        <v>116266361224375</v>
      </c>
      <c r="O25" s="5">
        <v>12254877059985</v>
      </c>
      <c r="P25" s="5">
        <v>121789280007846</v>
      </c>
      <c r="Q25" s="5">
        <v>123871295240613</v>
      </c>
      <c r="R25" s="5">
        <v>12500054670668</v>
      </c>
      <c r="S25" s="5">
        <v>118383349836925</v>
      </c>
      <c r="T25" s="5">
        <v>120578231498677</v>
      </c>
      <c r="U25" s="5">
        <v>11274637328761</v>
      </c>
      <c r="V25" s="5">
        <v>110579304852752</v>
      </c>
      <c r="W25" s="5">
        <v>106159971626416</v>
      </c>
      <c r="X25" s="5">
        <v>107565370608784</v>
      </c>
      <c r="Y25" s="5">
        <v>11387136893932</v>
      </c>
      <c r="Z25" s="5">
        <v>117061853967706</v>
      </c>
      <c r="AA25" s="5">
        <v>108028661131607</v>
      </c>
      <c r="AB25" s="5">
        <v>101691155459376</v>
      </c>
      <c r="AC25" s="5">
        <v>104866329018834</v>
      </c>
      <c r="AD25" s="5">
        <v>100724542098408</v>
      </c>
      <c r="AE25" s="5">
        <v>965784095887495</v>
      </c>
      <c r="AF25" s="5">
        <v>100501827617323</v>
      </c>
      <c r="AG25" s="5">
        <v>961105745161598</v>
      </c>
      <c r="AH25" s="5">
        <v>919004373731373</v>
      </c>
      <c r="AI25" s="5">
        <v>872730617919521</v>
      </c>
      <c r="AJ25" s="5">
        <v>90207321412</v>
      </c>
      <c r="AK25" s="5">
        <v>820766069160156</v>
      </c>
      <c r="AL25" s="5">
        <v>88939228924575</v>
      </c>
      <c r="AM25" s="5">
        <v>887307085385469</v>
      </c>
      <c r="AN25" s="5">
        <v>953114859251226</v>
      </c>
      <c r="AO25" s="5">
        <v>91759467721</v>
      </c>
      <c r="AP25" s="5">
        <v>973129561103448</v>
      </c>
      <c r="AQ25" s="3"/>
      <c r="AR25" s="3"/>
      <c r="AS25" s="3"/>
      <c r="AT25" s="5"/>
      <c r="AU25" s="5"/>
      <c r="AV25" s="5"/>
      <c r="AW25" s="5"/>
      <c r="AX25" s="5"/>
      <c r="AY25" s="5"/>
      <c r="AZ25" s="5"/>
      <c r="BA25" s="5"/>
    </row>
    <row r="26" spans="1:53" x14ac:dyDescent="0.45">
      <c r="A26" s="1"/>
      <c r="B26" s="2"/>
      <c r="C26" s="1" t="s">
        <v>20</v>
      </c>
      <c r="D26" s="2">
        <v>4006321</v>
      </c>
      <c r="E26" s="3" t="s">
        <v>520</v>
      </c>
      <c r="F26" s="3" t="s">
        <v>521</v>
      </c>
      <c r="G26" s="3" t="s">
        <v>507</v>
      </c>
      <c r="H26" s="5">
        <v>301445392756447</v>
      </c>
      <c r="I26" s="5">
        <v>320639988192022</v>
      </c>
      <c r="J26" s="5">
        <v>314403277472045</v>
      </c>
      <c r="K26" s="5">
        <v>292301053800444</v>
      </c>
      <c r="L26" s="5">
        <v>304959839897804</v>
      </c>
      <c r="M26" s="5">
        <v>294382158335186</v>
      </c>
      <c r="N26" s="5">
        <v>299405717321823</v>
      </c>
      <c r="O26" s="5">
        <v>314126322861782</v>
      </c>
      <c r="P26" s="5">
        <v>306112271683485</v>
      </c>
      <c r="Q26" s="5">
        <v>308696630387537</v>
      </c>
      <c r="R26" s="5">
        <v>310200108447067</v>
      </c>
      <c r="S26" s="5">
        <v>291901611130483</v>
      </c>
      <c r="T26" s="5">
        <v>293266631848783</v>
      </c>
      <c r="U26" s="5">
        <v>274676454583729</v>
      </c>
      <c r="V26" s="5">
        <v>2908957146736</v>
      </c>
      <c r="W26" s="5">
        <v>28088651754315</v>
      </c>
      <c r="X26" s="5">
        <v>28481081571635</v>
      </c>
      <c r="Y26" s="5">
        <v>304958374228708</v>
      </c>
      <c r="Z26" s="5">
        <v>31007822273055</v>
      </c>
      <c r="AA26" s="5">
        <v>28576133050365</v>
      </c>
      <c r="AB26" s="5">
        <v>272408826369345</v>
      </c>
      <c r="AC26" s="5">
        <v>279133744998922</v>
      </c>
      <c r="AD26" s="5">
        <v>276553153584946</v>
      </c>
      <c r="AE26" s="5">
        <v>263333855608877</v>
      </c>
      <c r="AF26" s="5">
        <v>260213056964522</v>
      </c>
      <c r="AG26" s="5">
        <v>252147881608596</v>
      </c>
      <c r="AH26" s="5">
        <v>249937196730081</v>
      </c>
      <c r="AI26" s="5">
        <v>237761480030542</v>
      </c>
      <c r="AJ26" s="5">
        <v>251187792628238</v>
      </c>
      <c r="AK26" s="5">
        <v>232986100758941</v>
      </c>
      <c r="AL26" s="5">
        <v>25128455674257</v>
      </c>
      <c r="AM26" s="5">
        <v>24888626125605</v>
      </c>
      <c r="AN26" s="5">
        <v>256252940184375</v>
      </c>
      <c r="AO26" s="5">
        <v>25132176694369</v>
      </c>
      <c r="AP26" s="5">
        <v>272185570375735</v>
      </c>
      <c r="AQ26" s="2"/>
      <c r="AR26" s="2"/>
      <c r="AS26" s="2"/>
      <c r="AT26" s="5"/>
      <c r="AU26" s="5"/>
      <c r="AV26" s="5"/>
      <c r="AW26" s="5"/>
      <c r="AX26" s="5"/>
      <c r="AY26" s="5"/>
      <c r="AZ26" s="5"/>
      <c r="BA26" s="5"/>
    </row>
    <row r="27" spans="1:53" x14ac:dyDescent="0.45">
      <c r="A27" s="1"/>
      <c r="B27" s="2"/>
      <c r="C27" s="1" t="s">
        <v>21</v>
      </c>
      <c r="D27" s="2">
        <v>102700</v>
      </c>
      <c r="E27" s="3" t="s">
        <v>522</v>
      </c>
      <c r="F27" s="3" t="s">
        <v>523</v>
      </c>
      <c r="G27" s="3" t="s">
        <v>524</v>
      </c>
      <c r="H27" s="5">
        <v>7178794927887</v>
      </c>
      <c r="I27" s="5">
        <v>712165638394238</v>
      </c>
      <c r="J27" s="5">
        <v>712205505462</v>
      </c>
      <c r="K27" s="5">
        <v>676582160922787</v>
      </c>
      <c r="L27" s="5">
        <v>640927761320876</v>
      </c>
      <c r="M27" s="5">
        <v>639273349218148</v>
      </c>
      <c r="N27" s="5">
        <v>659934618408</v>
      </c>
      <c r="O27" s="5">
        <v>61203015548</v>
      </c>
      <c r="P27" s="5">
        <v>650096100501809</v>
      </c>
      <c r="Q27" s="5">
        <v>6657938610624</v>
      </c>
      <c r="R27" s="5">
        <v>679706469804</v>
      </c>
      <c r="S27" s="5">
        <v>63986336784</v>
      </c>
      <c r="T27" s="5">
        <v>6422927111584</v>
      </c>
      <c r="U27" s="5">
        <v>623748225584</v>
      </c>
      <c r="V27" s="5">
        <v>5546622773808</v>
      </c>
      <c r="W27" s="5">
        <v>52630740925001</v>
      </c>
      <c r="X27" s="5">
        <v>54344680585448</v>
      </c>
      <c r="Y27" s="5">
        <v>532915130873123</v>
      </c>
      <c r="Z27" s="5">
        <v>520322971874202</v>
      </c>
      <c r="AA27" s="5">
        <v>561952600822488</v>
      </c>
      <c r="AB27" s="5">
        <v>54332715489269</v>
      </c>
      <c r="AC27" s="5">
        <v>4932481712445</v>
      </c>
      <c r="AD27" s="5">
        <v>47909322225</v>
      </c>
      <c r="AE27" s="5">
        <v>630293003570365</v>
      </c>
      <c r="AF27" s="5">
        <v>667425447736972</v>
      </c>
      <c r="AG27" s="5">
        <v>65389195802867</v>
      </c>
      <c r="AH27" s="5">
        <v>66509429189929</v>
      </c>
      <c r="AI27" s="5">
        <v>685796760492082</v>
      </c>
      <c r="AJ27" s="5">
        <v>689340592491254</v>
      </c>
      <c r="AK27" s="5">
        <v>70875244382944</v>
      </c>
      <c r="AL27" s="5">
        <v>73784250124888</v>
      </c>
      <c r="AM27" s="5">
        <v>702749929362531</v>
      </c>
      <c r="AN27" s="5">
        <v>738560919608775</v>
      </c>
      <c r="AO27" s="5">
        <v>744396604545</v>
      </c>
      <c r="AP27" s="5">
        <v>731150043525</v>
      </c>
      <c r="AQ27" s="4"/>
      <c r="AR27" s="4"/>
      <c r="AS27" s="4"/>
      <c r="AT27" s="5"/>
      <c r="AU27" s="5"/>
      <c r="AV27" s="5"/>
      <c r="AW27" s="5"/>
      <c r="AX27" s="5"/>
      <c r="AY27" s="5"/>
      <c r="AZ27" s="5"/>
      <c r="BA27" s="5"/>
    </row>
    <row r="28" spans="1:53" x14ac:dyDescent="0.45">
      <c r="A28" s="1"/>
      <c r="B28" s="2"/>
      <c r="C28" s="1" t="s">
        <v>22</v>
      </c>
      <c r="D28" s="2">
        <v>103330</v>
      </c>
      <c r="E28" s="3" t="s">
        <v>525</v>
      </c>
      <c r="F28" s="3" t="s">
        <v>526</v>
      </c>
      <c r="G28" s="3" t="s">
        <v>527</v>
      </c>
      <c r="H28" s="5">
        <v>446047674371771</v>
      </c>
      <c r="I28" s="5">
        <v>452611767823689</v>
      </c>
      <c r="J28" s="5">
        <v>501390062614432</v>
      </c>
      <c r="K28" s="5">
        <v>469247692515508</v>
      </c>
      <c r="L28" s="5">
        <v>460106392417116</v>
      </c>
      <c r="M28" s="5">
        <v>51209311769</v>
      </c>
      <c r="N28" s="5">
        <v>505310510136</v>
      </c>
      <c r="O28" s="5">
        <v>52220301084</v>
      </c>
      <c r="P28" s="5">
        <v>546118341262</v>
      </c>
      <c r="Q28" s="5">
        <v>570358532184</v>
      </c>
      <c r="R28" s="5">
        <v>58821728016</v>
      </c>
      <c r="S28" s="5">
        <v>6116592199788</v>
      </c>
      <c r="T28" s="5">
        <v>6354726494382</v>
      </c>
      <c r="U28" s="5">
        <v>615361422852</v>
      </c>
      <c r="V28" s="5">
        <v>602728872002755</v>
      </c>
      <c r="W28" s="5">
        <v>565220988221175</v>
      </c>
      <c r="X28" s="5">
        <v>574628561304419</v>
      </c>
      <c r="Y28" s="5">
        <v>5452034791434</v>
      </c>
      <c r="Z28" s="5">
        <v>53293580503515</v>
      </c>
      <c r="AA28" s="5">
        <v>5819859504822</v>
      </c>
      <c r="AB28" s="5">
        <v>5526151716006</v>
      </c>
      <c r="AC28" s="5">
        <v>531179351145</v>
      </c>
      <c r="AD28" s="5">
        <v>645670951802519</v>
      </c>
      <c r="AE28" s="5">
        <v>705825453881753</v>
      </c>
      <c r="AF28" s="5">
        <v>744454528057923</v>
      </c>
      <c r="AG28" s="5">
        <v>739921669455301</v>
      </c>
      <c r="AH28" s="5">
        <v>658763906285221</v>
      </c>
      <c r="AI28" s="5">
        <v>696997928360622</v>
      </c>
      <c r="AJ28" s="5">
        <v>773878949947731</v>
      </c>
      <c r="AK28" s="5">
        <v>740019866299976</v>
      </c>
      <c r="AL28" s="5">
        <v>712066284875925</v>
      </c>
      <c r="AM28" s="5">
        <v>68079023113725</v>
      </c>
      <c r="AN28" s="5">
        <v>690541719373655</v>
      </c>
      <c r="AO28" s="5">
        <v>67724309888378</v>
      </c>
      <c r="AP28" s="5">
        <v>605974485202722</v>
      </c>
      <c r="AQ28" s="4"/>
      <c r="AR28" s="4"/>
      <c r="AS28" s="4"/>
      <c r="AT28" s="5"/>
      <c r="AU28" s="5"/>
      <c r="AV28" s="5"/>
      <c r="AW28" s="5"/>
      <c r="AX28" s="5"/>
      <c r="AY28" s="5"/>
      <c r="AZ28" s="5"/>
      <c r="BA28" s="5"/>
    </row>
    <row r="29" spans="1:53" x14ac:dyDescent="0.45">
      <c r="A29" s="1"/>
      <c r="B29" s="2"/>
      <c r="C29" s="1" t="s">
        <v>23</v>
      </c>
      <c r="D29" s="2">
        <v>4290489</v>
      </c>
      <c r="E29" s="3" t="s">
        <v>528</v>
      </c>
      <c r="F29" s="3" t="s">
        <v>529</v>
      </c>
      <c r="G29" s="3" t="s">
        <v>530</v>
      </c>
      <c r="H29" s="5">
        <v>509548173357126</v>
      </c>
      <c r="I29" s="5">
        <v>518307328965919</v>
      </c>
      <c r="J29" s="5">
        <v>529262503687913</v>
      </c>
      <c r="K29" s="5">
        <v>496322022689933</v>
      </c>
      <c r="L29" s="5">
        <v>535067977065716</v>
      </c>
      <c r="M29" s="5">
        <v>496455312326232</v>
      </c>
      <c r="N29" s="5">
        <v>492920137848</v>
      </c>
      <c r="O29" s="5">
        <v>49623785091</v>
      </c>
      <c r="P29" s="5">
        <v>491258785196551</v>
      </c>
      <c r="Q29" s="5">
        <v>485573496576</v>
      </c>
      <c r="R29" s="5">
        <v>461935306359907</v>
      </c>
      <c r="S29" s="5">
        <v>409464109395</v>
      </c>
      <c r="T29" s="5">
        <v>4273824356824</v>
      </c>
      <c r="U29" s="5">
        <v>411844092198</v>
      </c>
      <c r="V29" s="5">
        <v>455163133322355</v>
      </c>
      <c r="W29" s="5">
        <v>42899618439405</v>
      </c>
      <c r="X29" s="5">
        <v>4327553651421</v>
      </c>
      <c r="Y29" s="5">
        <v>440842400912461</v>
      </c>
      <c r="Z29" s="5">
        <v>4343867886519</v>
      </c>
      <c r="AA29" s="5">
        <v>4035954459978</v>
      </c>
      <c r="AB29" s="5">
        <v>388854285205777</v>
      </c>
      <c r="AC29" s="5">
        <v>359781821352088</v>
      </c>
      <c r="AD29" s="5">
        <v>369286736059715</v>
      </c>
      <c r="AE29" s="5">
        <v>378107167674996</v>
      </c>
      <c r="AF29" s="5">
        <v>398444578159499</v>
      </c>
      <c r="AG29" s="5">
        <v>392680366291864</v>
      </c>
      <c r="AH29" s="5">
        <v>333689805403237</v>
      </c>
      <c r="AI29" s="5">
        <v>348369729014142</v>
      </c>
      <c r="AJ29" s="5">
        <v>364395893645469</v>
      </c>
      <c r="AK29" s="5">
        <v>354341687601863</v>
      </c>
      <c r="AL29" s="5">
        <v>357703169546565</v>
      </c>
      <c r="AM29" s="5">
        <v>357251799571139</v>
      </c>
      <c r="AN29" s="5">
        <v>370328392000845</v>
      </c>
      <c r="AO29" s="5">
        <v>371540109597257</v>
      </c>
      <c r="AP29" s="5">
        <v>340456416322974</v>
      </c>
      <c r="AQ29" s="5"/>
      <c r="AR29" s="5"/>
      <c r="AS29" s="5"/>
      <c r="AT29" s="5"/>
      <c r="AU29" s="5"/>
      <c r="AV29" s="5"/>
      <c r="AW29" s="5"/>
      <c r="AX29" s="5"/>
      <c r="AY29" s="5"/>
      <c r="AZ29" s="5"/>
      <c r="BA29" s="5"/>
    </row>
    <row r="30" spans="1:53" x14ac:dyDescent="0.45">
      <c r="A30" s="1"/>
      <c r="B30" s="2"/>
      <c r="C30" s="1" t="s">
        <v>24</v>
      </c>
      <c r="D30" s="2">
        <v>4004387</v>
      </c>
      <c r="E30" s="3" t="s">
        <v>531</v>
      </c>
      <c r="F30" s="3" t="s">
        <v>532</v>
      </c>
      <c r="G30" s="3" t="s">
        <v>533</v>
      </c>
      <c r="H30" s="5">
        <v>135909340201488</v>
      </c>
      <c r="I30" s="5">
        <v>137140237486728</v>
      </c>
      <c r="J30" s="5">
        <v>134399631288214</v>
      </c>
      <c r="K30" s="5">
        <v>122048429428479</v>
      </c>
      <c r="L30" s="5">
        <v>121456423343978</v>
      </c>
      <c r="M30" s="5">
        <v>122619283203321</v>
      </c>
      <c r="N30" s="5">
        <v>12174583485145</v>
      </c>
      <c r="O30" s="5">
        <v>123985741853052</v>
      </c>
      <c r="P30" s="5">
        <v>130102601528979</v>
      </c>
      <c r="Q30" s="5">
        <v>129261555926685</v>
      </c>
      <c r="R30" s="5">
        <v>13094506824048</v>
      </c>
      <c r="S30" s="5">
        <v>121143480914072</v>
      </c>
      <c r="T30" s="5">
        <v>122015305804965</v>
      </c>
      <c r="U30" s="5">
        <v>122033091901395</v>
      </c>
      <c r="V30" s="5">
        <v>120180363486632</v>
      </c>
      <c r="W30" s="5">
        <v>118449924554256</v>
      </c>
      <c r="X30" s="5">
        <v>118078684035826</v>
      </c>
      <c r="Y30" s="5">
        <v>131339845992546</v>
      </c>
      <c r="Z30" s="5">
        <v>135235451685926</v>
      </c>
      <c r="AA30" s="5">
        <v>118326851376347</v>
      </c>
      <c r="AB30" s="5">
        <v>112989973417642</v>
      </c>
      <c r="AC30" s="5">
        <v>10621792085997</v>
      </c>
      <c r="AD30" s="5">
        <v>107657580717977</v>
      </c>
      <c r="AE30" s="5">
        <v>987347830627256</v>
      </c>
      <c r="AF30" s="5">
        <v>981208458817778</v>
      </c>
      <c r="AG30" s="5">
        <v>934393568565366</v>
      </c>
      <c r="AH30" s="5">
        <v>886566702835359</v>
      </c>
      <c r="AI30" s="5">
        <v>832946379251123</v>
      </c>
      <c r="AJ30" s="5">
        <v>84383810925244</v>
      </c>
      <c r="AK30" s="5">
        <v>784056272855672</v>
      </c>
      <c r="AL30" s="5">
        <v>8669219534981</v>
      </c>
      <c r="AM30" s="5">
        <v>874875840354</v>
      </c>
      <c r="AN30" s="5">
        <v>906518636631373</v>
      </c>
      <c r="AO30" s="5">
        <v>8635708491904</v>
      </c>
      <c r="AP30" s="5">
        <v>8903689825275</v>
      </c>
      <c r="AQ30" s="5"/>
      <c r="AR30" s="5"/>
      <c r="AS30" s="5"/>
      <c r="AT30" s="5"/>
      <c r="AU30" s="5"/>
      <c r="AV30" s="5"/>
      <c r="AW30" s="5"/>
      <c r="AX30" s="5"/>
      <c r="AY30" s="5"/>
      <c r="AZ30" s="5"/>
      <c r="BA30" s="5"/>
    </row>
    <row r="31" spans="1:53" x14ac:dyDescent="0.45">
      <c r="A31" s="1"/>
      <c r="B31" s="2"/>
      <c r="C31" s="1" t="s">
        <v>25</v>
      </c>
      <c r="D31" s="2">
        <v>113901</v>
      </c>
      <c r="E31" s="3" t="s">
        <v>534</v>
      </c>
      <c r="F31" s="3" t="s">
        <v>535</v>
      </c>
      <c r="G31" s="3" t="s">
        <v>536</v>
      </c>
      <c r="H31" s="5">
        <v>208780452973608</v>
      </c>
      <c r="I31" s="5">
        <v>202759131995365</v>
      </c>
      <c r="J31" s="5">
        <v>19941583638</v>
      </c>
      <c r="K31" s="5">
        <v>188410091081723</v>
      </c>
      <c r="L31" s="5">
        <v>174892651894894</v>
      </c>
      <c r="M31" s="5">
        <v>18476481204</v>
      </c>
      <c r="N31" s="5">
        <v>1700879847825</v>
      </c>
      <c r="O31" s="5">
        <v>16388847595</v>
      </c>
      <c r="P31" s="5">
        <v>1795313169</v>
      </c>
      <c r="Q31" s="5">
        <v>1865963860096</v>
      </c>
      <c r="R31" s="5">
        <v>1908343215339</v>
      </c>
      <c r="S31" s="5">
        <v>1644361825245</v>
      </c>
      <c r="T31" s="5">
        <v>166100216691</v>
      </c>
      <c r="U31" s="5">
        <v>17076142413</v>
      </c>
      <c r="V31" s="5">
        <v>12782555206</v>
      </c>
      <c r="W31" s="5">
        <v>1432770062031</v>
      </c>
      <c r="X31" s="5">
        <v>1463656705588</v>
      </c>
      <c r="Y31" s="5">
        <v>139122196976</v>
      </c>
      <c r="Z31" s="5">
        <v>13414929762825</v>
      </c>
      <c r="AA31" s="5">
        <v>15147668471085</v>
      </c>
      <c r="AB31" s="5">
        <v>13967012178</v>
      </c>
      <c r="AC31" s="5">
        <v>130580928805837</v>
      </c>
      <c r="AD31" s="5">
        <v>143253877725</v>
      </c>
      <c r="AE31" s="5">
        <v>170605329481178</v>
      </c>
      <c r="AF31" s="5">
        <v>186147585233037</v>
      </c>
      <c r="AG31" s="5">
        <v>183074878</v>
      </c>
      <c r="AH31" s="5">
        <v>174275206878539</v>
      </c>
      <c r="AI31" s="5">
        <v>179265765822079</v>
      </c>
      <c r="AJ31" s="5">
        <v>2032716082935</v>
      </c>
      <c r="AK31" s="5">
        <v>203428759624231</v>
      </c>
      <c r="AL31" s="5">
        <v>2059028997633</v>
      </c>
      <c r="AM31" s="5">
        <v>202976129535242</v>
      </c>
      <c r="AN31" s="5">
        <v>22228455271554</v>
      </c>
      <c r="AO31" s="5">
        <v>217513344042383</v>
      </c>
      <c r="AP31" s="5">
        <v>202628722755</v>
      </c>
      <c r="AQ31" s="5"/>
      <c r="AR31" s="5"/>
      <c r="AS31" s="5"/>
      <c r="AT31" s="5"/>
      <c r="AU31" s="5"/>
      <c r="AV31" s="5"/>
      <c r="AW31" s="5"/>
      <c r="AX31" s="5"/>
      <c r="AY31" s="5"/>
      <c r="AZ31" s="5"/>
      <c r="BA31" s="5"/>
    </row>
    <row r="32" spans="1:53" x14ac:dyDescent="0.45">
      <c r="A32" s="1"/>
      <c r="B32" s="2"/>
      <c r="C32" s="1" t="s">
        <v>26</v>
      </c>
      <c r="D32" s="2">
        <v>4107063</v>
      </c>
      <c r="E32" s="3" t="s">
        <v>537</v>
      </c>
      <c r="F32" s="3" t="s">
        <v>538</v>
      </c>
      <c r="G32" s="3" t="s">
        <v>539</v>
      </c>
      <c r="H32" s="5">
        <v>139486203712403</v>
      </c>
      <c r="I32" s="5">
        <v>141068841175286</v>
      </c>
      <c r="J32" s="5">
        <v>133801108784054</v>
      </c>
      <c r="K32" s="5">
        <v>128960254054109</v>
      </c>
      <c r="L32" s="5">
        <v>122928142020626</v>
      </c>
      <c r="M32" s="5">
        <v>120233924693</v>
      </c>
      <c r="N32" s="5">
        <v>1221644900655</v>
      </c>
      <c r="O32" s="5">
        <v>12496767858</v>
      </c>
      <c r="P32" s="5">
        <v>120751017816</v>
      </c>
      <c r="Q32" s="5">
        <v>1163289743616</v>
      </c>
      <c r="R32" s="5">
        <v>116661951378</v>
      </c>
      <c r="S32" s="5">
        <v>109592218491</v>
      </c>
      <c r="T32" s="5">
        <v>106547548554</v>
      </c>
      <c r="U32" s="5">
        <v>10366467133</v>
      </c>
      <c r="V32" s="5">
        <v>93518463528</v>
      </c>
      <c r="W32" s="5">
        <v>987958780434</v>
      </c>
      <c r="X32" s="5">
        <v>1016400259875</v>
      </c>
      <c r="Y32" s="5">
        <v>9824109844885</v>
      </c>
      <c r="Z32" s="5">
        <v>9716345614935</v>
      </c>
      <c r="AA32" s="5">
        <v>1002931516401</v>
      </c>
      <c r="AB32" s="5">
        <v>983904606972</v>
      </c>
      <c r="AC32" s="5">
        <v>100628341624232</v>
      </c>
      <c r="AD32" s="5">
        <v>103434338027069</v>
      </c>
      <c r="AE32" s="5">
        <v>117378384595066</v>
      </c>
      <c r="AF32" s="5">
        <v>12712971616234</v>
      </c>
      <c r="AG32" s="5">
        <v>120388223908149</v>
      </c>
      <c r="AH32" s="5">
        <v>113529702102572</v>
      </c>
      <c r="AI32" s="5">
        <v>116354469683468</v>
      </c>
      <c r="AJ32" s="5">
        <v>115974119280473</v>
      </c>
      <c r="AK32" s="5">
        <v>118777062610968</v>
      </c>
      <c r="AL32" s="5">
        <v>11830525547904</v>
      </c>
      <c r="AM32" s="5">
        <v>1130475815595</v>
      </c>
      <c r="AN32" s="5">
        <v>118075681006849</v>
      </c>
      <c r="AO32" s="5">
        <v>114249323648323</v>
      </c>
      <c r="AP32" s="5">
        <v>104342941117898</v>
      </c>
      <c r="AQ32" s="5"/>
      <c r="AR32" s="5"/>
      <c r="AS32" s="5"/>
      <c r="AT32" s="5"/>
      <c r="AU32" s="5"/>
      <c r="AV32" s="5"/>
      <c r="AW32" s="5"/>
      <c r="AX32" s="5"/>
      <c r="AY32" s="5"/>
      <c r="AZ32" s="5"/>
      <c r="BA32" s="5"/>
    </row>
    <row r="33" spans="1:53" x14ac:dyDescent="0.45">
      <c r="A33" s="1"/>
      <c r="B33" s="2"/>
      <c r="C33" s="1" t="s">
        <v>27</v>
      </c>
      <c r="D33" s="2">
        <v>4092820</v>
      </c>
      <c r="E33" s="3" t="s">
        <v>540</v>
      </c>
      <c r="F33" s="3" t="s">
        <v>541</v>
      </c>
      <c r="G33" s="3" t="s">
        <v>472</v>
      </c>
      <c r="H33" s="5">
        <v>105129215040954</v>
      </c>
      <c r="I33" s="5">
        <v>107073045312299</v>
      </c>
      <c r="J33" s="5">
        <v>109259689767338</v>
      </c>
      <c r="K33" s="5">
        <v>115110095552412</v>
      </c>
      <c r="L33" s="5">
        <v>109232398890048</v>
      </c>
      <c r="M33" s="5">
        <v>108044209623841</v>
      </c>
      <c r="N33" s="5">
        <v>111015535203405</v>
      </c>
      <c r="O33" s="5">
        <v>101673211604</v>
      </c>
      <c r="P33" s="5">
        <v>11030630219544</v>
      </c>
      <c r="Q33" s="5">
        <v>113000069837592</v>
      </c>
      <c r="R33" s="5">
        <v>122465662545907</v>
      </c>
      <c r="S33" s="5">
        <v>108014088303635</v>
      </c>
      <c r="T33" s="5">
        <v>103036783495565</v>
      </c>
      <c r="U33" s="5">
        <v>101389357508114</v>
      </c>
      <c r="V33" s="5">
        <v>958130366537916</v>
      </c>
      <c r="W33" s="5">
        <v>11105850724794</v>
      </c>
      <c r="X33" s="5">
        <v>114164194652685</v>
      </c>
      <c r="Y33" s="5">
        <v>115216334333633</v>
      </c>
      <c r="Z33" s="5">
        <v>102919344531218</v>
      </c>
      <c r="AA33" s="5">
        <v>106617214353758</v>
      </c>
      <c r="AB33" s="5">
        <v>10366888033935</v>
      </c>
      <c r="AC33" s="5">
        <v>985057659877964</v>
      </c>
      <c r="AD33" s="5">
        <v>106423653843</v>
      </c>
      <c r="AE33" s="5">
        <v>112745876620623</v>
      </c>
      <c r="AF33" s="5">
        <v>115026856595687</v>
      </c>
      <c r="AG33" s="5">
        <v>108301377415</v>
      </c>
      <c r="AH33" s="5">
        <v>939787883808061</v>
      </c>
      <c r="AI33" s="5">
        <v>102744131292302</v>
      </c>
      <c r="AJ33" s="5">
        <v>1213188928215</v>
      </c>
      <c r="AK33" s="5">
        <v>104789769007533</v>
      </c>
      <c r="AL33" s="5">
        <v>10825206932244</v>
      </c>
      <c r="AM33" s="5">
        <v>107246015512986</v>
      </c>
      <c r="AN33" s="5">
        <v>112915809563412</v>
      </c>
      <c r="AO33" s="5">
        <v>106743390681852</v>
      </c>
      <c r="AP33" s="5">
        <v>1024968642</v>
      </c>
      <c r="AQ33" s="5"/>
      <c r="AR33" s="5"/>
      <c r="AS33" s="5"/>
      <c r="AT33" s="5"/>
      <c r="AU33" s="5"/>
      <c r="AV33" s="5"/>
      <c r="AW33" s="5"/>
      <c r="AX33" s="5"/>
      <c r="AY33" s="5"/>
      <c r="AZ33" s="5"/>
      <c r="BA33" s="5"/>
    </row>
    <row r="34" spans="1:53" x14ac:dyDescent="0.45">
      <c r="A34" s="1"/>
      <c r="B34" s="2"/>
      <c r="C34" s="1" t="s">
        <v>28</v>
      </c>
      <c r="D34" s="2">
        <v>4122605</v>
      </c>
      <c r="E34" s="3" t="s">
        <v>542</v>
      </c>
      <c r="F34" s="3" t="s">
        <v>543</v>
      </c>
      <c r="G34" s="3" t="s">
        <v>544</v>
      </c>
      <c r="H34" s="5">
        <v>223263458452646</v>
      </c>
      <c r="I34" s="5">
        <v>232266635129656</v>
      </c>
      <c r="J34" s="5">
        <v>2282681296437</v>
      </c>
      <c r="K34" s="5">
        <v>218741010297506</v>
      </c>
      <c r="L34" s="5">
        <v>208189935828769</v>
      </c>
      <c r="M34" s="5">
        <v>198689888334</v>
      </c>
      <c r="N34" s="5">
        <v>197746011526</v>
      </c>
      <c r="O34" s="5">
        <v>2029133428</v>
      </c>
      <c r="P34" s="5">
        <v>2026754877602</v>
      </c>
      <c r="Q34" s="5">
        <v>204775789532604</v>
      </c>
      <c r="R34" s="5">
        <v>20058428148709</v>
      </c>
      <c r="S34" s="5">
        <v>1929325939584</v>
      </c>
      <c r="T34" s="5">
        <v>196373925888</v>
      </c>
      <c r="U34" s="5">
        <v>199197751808</v>
      </c>
      <c r="V34" s="5">
        <v>1857090711904</v>
      </c>
      <c r="W34" s="5">
        <v>1783045640016</v>
      </c>
      <c r="X34" s="5">
        <v>172562157111781</v>
      </c>
      <c r="Y34" s="5">
        <v>1640263787232</v>
      </c>
      <c r="Z34" s="5">
        <v>15896208342105</v>
      </c>
      <c r="AA34" s="5">
        <v>1624726624808</v>
      </c>
      <c r="AB34" s="5">
        <v>14994386400555</v>
      </c>
      <c r="AC34" s="5">
        <v>1504885940154</v>
      </c>
      <c r="AD34" s="5">
        <v>141214835124845</v>
      </c>
      <c r="AE34" s="5">
        <v>148245216924064</v>
      </c>
      <c r="AF34" s="5">
        <v>160627470267295</v>
      </c>
      <c r="AG34" s="5">
        <v>152005819429012</v>
      </c>
      <c r="AH34" s="5">
        <v>141164959481568</v>
      </c>
      <c r="AI34" s="5">
        <v>144508948534997</v>
      </c>
      <c r="AJ34" s="5">
        <v>157733926255349</v>
      </c>
      <c r="AK34" s="5">
        <v>160770799857418</v>
      </c>
      <c r="AL34" s="5">
        <v>16058107691115</v>
      </c>
      <c r="AM34" s="5">
        <v>15355811960685</v>
      </c>
      <c r="AN34" s="5">
        <v>17015798633138</v>
      </c>
      <c r="AO34" s="5">
        <v>15619563164796</v>
      </c>
      <c r="AP34" s="5">
        <v>147223959703362</v>
      </c>
      <c r="AQ34" s="5"/>
      <c r="AR34" s="5"/>
      <c r="AS34" s="5"/>
      <c r="AT34" s="5"/>
      <c r="AU34" s="5"/>
      <c r="AV34" s="5"/>
      <c r="AW34" s="5"/>
      <c r="AX34" s="5"/>
      <c r="AY34" s="5"/>
      <c r="AZ34" s="5"/>
      <c r="BA34" s="5"/>
    </row>
    <row r="35" spans="1:53" x14ac:dyDescent="0.45">
      <c r="A35" s="1"/>
      <c r="B35" s="2"/>
      <c r="C35" s="1" t="s">
        <v>29</v>
      </c>
      <c r="D35" s="2">
        <v>4113211</v>
      </c>
      <c r="E35" s="3" t="s">
        <v>545</v>
      </c>
      <c r="F35" s="3" t="s">
        <v>546</v>
      </c>
      <c r="G35" s="3" t="s">
        <v>481</v>
      </c>
      <c r="H35" s="5">
        <v>27332199694457</v>
      </c>
      <c r="I35" s="5">
        <v>266547883036198</v>
      </c>
      <c r="J35" s="5">
        <v>288349679367915</v>
      </c>
      <c r="K35" s="5">
        <v>268060806232646</v>
      </c>
      <c r="L35" s="5">
        <v>259053203847567</v>
      </c>
      <c r="M35" s="5">
        <v>246044429743481</v>
      </c>
      <c r="N35" s="5">
        <v>250271355814571</v>
      </c>
      <c r="O35" s="5">
        <v>280126637295232</v>
      </c>
      <c r="P35" s="5">
        <v>255330656724</v>
      </c>
      <c r="Q35" s="5">
        <v>279803661676</v>
      </c>
      <c r="R35" s="5">
        <v>238639714699066</v>
      </c>
      <c r="S35" s="5">
        <v>214649710647254</v>
      </c>
      <c r="T35" s="5">
        <v>2119991600542</v>
      </c>
      <c r="U35" s="5">
        <v>216430995968</v>
      </c>
      <c r="V35" s="5">
        <v>179823337548</v>
      </c>
      <c r="W35" s="5">
        <v>17629697180475</v>
      </c>
      <c r="X35" s="5">
        <v>1725504667656</v>
      </c>
      <c r="Y35" s="5">
        <v>175569727969646</v>
      </c>
      <c r="Z35" s="5">
        <v>156753073368</v>
      </c>
      <c r="AA35" s="5">
        <v>1615590653625</v>
      </c>
      <c r="AB35" s="5">
        <v>152454408198006</v>
      </c>
      <c r="AC35" s="5">
        <v>151227155650987</v>
      </c>
      <c r="AD35" s="5">
        <v>154605001830327</v>
      </c>
      <c r="AE35" s="5">
        <v>15895088571677</v>
      </c>
      <c r="AF35" s="5">
        <v>182043334056578</v>
      </c>
      <c r="AG35" s="5">
        <v>171014927353306</v>
      </c>
      <c r="AH35" s="5">
        <v>158550616438083</v>
      </c>
      <c r="AI35" s="5">
        <v>156426519099896</v>
      </c>
      <c r="AJ35" s="5">
        <v>165541856028482</v>
      </c>
      <c r="AK35" s="5">
        <v>180669252321861</v>
      </c>
      <c r="AL35" s="5">
        <v>194150510873155</v>
      </c>
      <c r="AM35" s="5">
        <v>1721383296966</v>
      </c>
      <c r="AN35" s="5">
        <v>182749361336167</v>
      </c>
      <c r="AO35" s="5">
        <v>162697226690991</v>
      </c>
      <c r="AP35" s="5">
        <v>143875299064015</v>
      </c>
      <c r="AQ35" s="5"/>
      <c r="AR35" s="5"/>
      <c r="AS35" s="5"/>
      <c r="AT35" s="5"/>
      <c r="AU35" s="5"/>
      <c r="AV35" s="5"/>
      <c r="AW35" s="5"/>
      <c r="AX35" s="5"/>
      <c r="AY35" s="5"/>
      <c r="AZ35" s="5"/>
      <c r="BA35" s="5"/>
    </row>
    <row r="36" spans="1:53" x14ac:dyDescent="0.45">
      <c r="A36" s="1"/>
      <c r="B36" s="2"/>
      <c r="C36" s="1" t="s">
        <v>30</v>
      </c>
      <c r="D36" s="2">
        <v>103317</v>
      </c>
      <c r="E36" s="3" t="s">
        <v>547</v>
      </c>
      <c r="F36" s="3" t="s">
        <v>548</v>
      </c>
      <c r="G36" s="3" t="s">
        <v>549</v>
      </c>
      <c r="H36" s="5">
        <v>278873851501824</v>
      </c>
      <c r="I36" s="5">
        <v>294236398312246</v>
      </c>
      <c r="J36" s="5">
        <v>307889899668254</v>
      </c>
      <c r="K36" s="5">
        <v>31439961099022</v>
      </c>
      <c r="L36" s="5">
        <v>298049348228689</v>
      </c>
      <c r="M36" s="5">
        <v>307243665557087</v>
      </c>
      <c r="N36" s="5">
        <v>305391957452101</v>
      </c>
      <c r="O36" s="5">
        <v>305337512406485</v>
      </c>
      <c r="P36" s="5">
        <v>288479390581113</v>
      </c>
      <c r="Q36" s="5">
        <v>291483925699527</v>
      </c>
      <c r="R36" s="5">
        <v>286083309940326</v>
      </c>
      <c r="S36" s="5">
        <v>274773027486581</v>
      </c>
      <c r="T36" s="5">
        <v>27796509229695</v>
      </c>
      <c r="U36" s="5">
        <v>283980029935756</v>
      </c>
      <c r="V36" s="5">
        <v>266044098490274</v>
      </c>
      <c r="W36" s="5">
        <v>265803790896</v>
      </c>
      <c r="X36" s="5">
        <v>26529859048</v>
      </c>
      <c r="Y36" s="5">
        <v>254504019504</v>
      </c>
      <c r="Z36" s="5">
        <v>260566867673925</v>
      </c>
      <c r="AA36" s="5">
        <v>260112275154113</v>
      </c>
      <c r="AB36" s="5">
        <v>243159849970722</v>
      </c>
      <c r="AC36" s="5">
        <v>236913533121354</v>
      </c>
      <c r="AD36" s="5">
        <v>227305507627926</v>
      </c>
      <c r="AE36" s="5">
        <v>237763047035004</v>
      </c>
      <c r="AF36" s="5">
        <v>251131706879623</v>
      </c>
      <c r="AG36" s="5">
        <v>236967209843338</v>
      </c>
      <c r="AH36" s="5">
        <v>222351257004652</v>
      </c>
      <c r="AI36" s="5">
        <v>233607777085251</v>
      </c>
      <c r="AJ36" s="5">
        <v>25543265796043</v>
      </c>
      <c r="AK36" s="5">
        <v>252214363704719</v>
      </c>
      <c r="AL36" s="5">
        <v>259933698079387</v>
      </c>
      <c r="AM36" s="5">
        <v>2422645579404</v>
      </c>
      <c r="AN36" s="5">
        <v>25074982358802</v>
      </c>
      <c r="AO36" s="5">
        <v>250841217186665</v>
      </c>
      <c r="AP36" s="5">
        <v>227430120762334</v>
      </c>
      <c r="AQ36" s="5"/>
      <c r="AR36" s="5"/>
      <c r="AS36" s="5"/>
      <c r="AT36" s="5"/>
      <c r="AU36" s="5"/>
      <c r="AV36" s="5"/>
      <c r="AW36" s="5"/>
      <c r="AX36" s="5"/>
      <c r="AY36" s="5"/>
      <c r="AZ36" s="5"/>
      <c r="BA36" s="5"/>
    </row>
    <row r="37" spans="1:53" x14ac:dyDescent="0.45">
      <c r="A37" s="1"/>
      <c r="B37" s="2"/>
      <c r="C37" s="1" t="s">
        <v>31</v>
      </c>
      <c r="D37" s="2">
        <v>4010203</v>
      </c>
      <c r="E37" s="3" t="s">
        <v>550</v>
      </c>
      <c r="F37" s="3" t="s">
        <v>551</v>
      </c>
      <c r="G37" s="3" t="s">
        <v>552</v>
      </c>
      <c r="H37" s="5">
        <v>133942536848253</v>
      </c>
      <c r="I37" s="5">
        <v>133804768946475</v>
      </c>
      <c r="J37" s="5">
        <v>135371914545447</v>
      </c>
      <c r="K37" s="5">
        <v>147617232653508</v>
      </c>
      <c r="L37" s="5">
        <v>124592750958145</v>
      </c>
      <c r="M37" s="5">
        <v>15992798103548</v>
      </c>
      <c r="N37" s="5">
        <v>159825297838</v>
      </c>
      <c r="O37" s="5">
        <v>15832543216</v>
      </c>
      <c r="P37" s="5">
        <v>1698039842304</v>
      </c>
      <c r="Q37" s="5">
        <v>1828055481336</v>
      </c>
      <c r="R37" s="5">
        <v>188096168394916</v>
      </c>
      <c r="S37" s="5">
        <v>2103377565942</v>
      </c>
      <c r="T37" s="5">
        <v>2281327845533</v>
      </c>
      <c r="U37" s="5">
        <v>23672144441</v>
      </c>
      <c r="V37" s="5">
        <v>2059095341984</v>
      </c>
      <c r="W37" s="5">
        <v>2155938256161</v>
      </c>
      <c r="X37" s="5">
        <v>169158279367</v>
      </c>
      <c r="Y37" s="5">
        <v>177852402228874</v>
      </c>
      <c r="Z37" s="5">
        <v>189750305355238</v>
      </c>
      <c r="AA37" s="5">
        <v>194349820701666</v>
      </c>
      <c r="AB37" s="5">
        <v>179789827536</v>
      </c>
      <c r="AC37" s="5">
        <v>133307047193427</v>
      </c>
      <c r="AD37" s="5">
        <v>14861000203922</v>
      </c>
      <c r="AE37" s="5">
        <v>154780748919874</v>
      </c>
      <c r="AF37" s="5">
        <v>175970622736399</v>
      </c>
      <c r="AG37" s="5">
        <v>16155124862636</v>
      </c>
      <c r="AH37" s="5">
        <v>132633230962745</v>
      </c>
      <c r="AI37" s="5">
        <v>152661623644429</v>
      </c>
      <c r="AJ37" s="5">
        <v>156532690780938</v>
      </c>
      <c r="AK37" s="5">
        <v>195098746022104</v>
      </c>
      <c r="AL37" s="5">
        <v>2056043213752</v>
      </c>
      <c r="AM37" s="5">
        <v>230252609448</v>
      </c>
      <c r="AN37" s="5">
        <v>211616940505515</v>
      </c>
      <c r="AO37" s="5">
        <v>221268435822327</v>
      </c>
      <c r="AP37" s="5">
        <v>208651609643816</v>
      </c>
      <c r="AQ37" s="5"/>
      <c r="AR37" s="5"/>
      <c r="AS37" s="5"/>
      <c r="AT37" s="5"/>
      <c r="AU37" s="5"/>
      <c r="AV37" s="5"/>
      <c r="AW37" s="5"/>
      <c r="AX37" s="5"/>
      <c r="AY37" s="5"/>
      <c r="AZ37" s="5"/>
      <c r="BA37" s="5"/>
    </row>
    <row r="38" spans="1:53" x14ac:dyDescent="0.45">
      <c r="A38" s="1"/>
      <c r="B38" s="2"/>
      <c r="C38" s="1" t="s">
        <v>32</v>
      </c>
      <c r="D38" s="2">
        <v>4204256</v>
      </c>
      <c r="E38" s="3" t="s">
        <v>553</v>
      </c>
      <c r="F38" s="3" t="s">
        <v>554</v>
      </c>
      <c r="G38" s="3" t="s">
        <v>536</v>
      </c>
      <c r="H38" s="5">
        <v>539472212500505</v>
      </c>
      <c r="I38" s="5">
        <v>508838392100897</v>
      </c>
      <c r="J38" s="5">
        <v>526031407419998</v>
      </c>
      <c r="K38" s="5">
        <v>493849452023599</v>
      </c>
      <c r="L38" s="5">
        <v>482206988147067</v>
      </c>
      <c r="M38" s="5">
        <v>45540104817636</v>
      </c>
      <c r="N38" s="5">
        <v>44280595840338</v>
      </c>
      <c r="O38" s="5">
        <v>45948560661432</v>
      </c>
      <c r="P38" s="5">
        <v>461032264425855</v>
      </c>
      <c r="Q38" s="5">
        <v>425641720566989</v>
      </c>
      <c r="R38" s="5">
        <v>400882856625936</v>
      </c>
      <c r="S38" s="5">
        <v>36508162386326</v>
      </c>
      <c r="T38" s="5">
        <v>340164656895166</v>
      </c>
      <c r="U38" s="5">
        <v>337943204067348</v>
      </c>
      <c r="V38" s="5">
        <v>308128122755493</v>
      </c>
      <c r="W38" s="5">
        <v>295157163275563</v>
      </c>
      <c r="X38" s="5">
        <v>308548997356654</v>
      </c>
      <c r="Y38" s="5">
        <v>281491346443547</v>
      </c>
      <c r="Z38" s="5">
        <v>250192557690464</v>
      </c>
      <c r="AA38" s="5">
        <v>270593620164148</v>
      </c>
      <c r="AB38" s="5">
        <v>270962882423583</v>
      </c>
      <c r="AC38" s="5">
        <v>262697000091649</v>
      </c>
      <c r="AD38" s="5">
        <v>227217104514544</v>
      </c>
      <c r="AE38" s="5">
        <v>253053461581041</v>
      </c>
      <c r="AF38" s="5">
        <v>279852072803412</v>
      </c>
      <c r="AG38" s="5">
        <v>296583299564725</v>
      </c>
      <c r="AH38" s="5">
        <v>268728084560383</v>
      </c>
      <c r="AI38" s="5">
        <v>289556435302293</v>
      </c>
      <c r="AJ38" s="5">
        <v>317359651331461</v>
      </c>
      <c r="AK38" s="5">
        <v>33894248345559</v>
      </c>
      <c r="AL38" s="5">
        <v>344778135575832</v>
      </c>
      <c r="AM38" s="5">
        <v>3428446370805</v>
      </c>
      <c r="AN38" s="5">
        <v>337583773764</v>
      </c>
      <c r="AO38" s="5">
        <v>34919623781957</v>
      </c>
      <c r="AP38" s="5">
        <v>359163146601</v>
      </c>
      <c r="AQ38" s="5"/>
      <c r="AR38" s="5"/>
      <c r="AS38" s="5"/>
      <c r="AT38" s="5"/>
      <c r="AU38" s="5"/>
      <c r="AV38" s="5"/>
      <c r="AW38" s="5"/>
      <c r="AX38" s="5"/>
      <c r="AY38" s="5"/>
      <c r="AZ38" s="5"/>
      <c r="BA38" s="5"/>
    </row>
    <row r="39" spans="1:53" x14ac:dyDescent="0.45">
      <c r="A39" s="1"/>
      <c r="B39" s="2"/>
      <c r="C39" s="1" t="s">
        <v>33</v>
      </c>
      <c r="D39" s="2">
        <v>4004205</v>
      </c>
      <c r="E39" s="3" t="s">
        <v>555</v>
      </c>
      <c r="F39" s="3" t="s">
        <v>556</v>
      </c>
      <c r="G39" s="3" t="s">
        <v>557</v>
      </c>
      <c r="H39" s="5">
        <v>716942935073664</v>
      </c>
      <c r="I39" s="5">
        <v>74089377499284</v>
      </c>
      <c r="J39" s="5">
        <v>75001879122208</v>
      </c>
      <c r="K39" s="5">
        <v>673550545192496</v>
      </c>
      <c r="L39" s="5">
        <v>7133407138032</v>
      </c>
      <c r="M39" s="5">
        <v>6579730780852</v>
      </c>
      <c r="N39" s="5">
        <v>6581614280552</v>
      </c>
      <c r="O39" s="5">
        <v>708854916576</v>
      </c>
      <c r="P39" s="5">
        <v>6917141692838</v>
      </c>
      <c r="Q39" s="5">
        <v>70487701412128</v>
      </c>
      <c r="R39" s="5">
        <v>6770375507532</v>
      </c>
      <c r="S39" s="5">
        <v>5912683847019</v>
      </c>
      <c r="T39" s="5">
        <v>58504124900066</v>
      </c>
      <c r="U39" s="5">
        <v>5575032485352</v>
      </c>
      <c r="V39" s="5">
        <v>55239476757976</v>
      </c>
      <c r="W39" s="5">
        <v>5419419892803</v>
      </c>
      <c r="X39" s="5">
        <v>5128555808222</v>
      </c>
      <c r="Y39" s="5">
        <v>502540955819599</v>
      </c>
      <c r="Z39" s="5">
        <v>4715137162386</v>
      </c>
      <c r="AA39" s="5">
        <v>49148542838829</v>
      </c>
      <c r="AB39" s="5">
        <v>448322202496425</v>
      </c>
      <c r="AC39" s="5">
        <v>49351186297611</v>
      </c>
      <c r="AD39" s="5">
        <v>498772727775663</v>
      </c>
      <c r="AE39" s="5">
        <v>540350738280995</v>
      </c>
      <c r="AF39" s="5">
        <v>624308086717315</v>
      </c>
      <c r="AG39" s="5">
        <v>604190675623325</v>
      </c>
      <c r="AH39" s="5">
        <v>56362462250543</v>
      </c>
      <c r="AI39" s="5">
        <v>57407300718578</v>
      </c>
      <c r="AJ39" s="5">
        <v>62612862265979</v>
      </c>
      <c r="AK39" s="5">
        <v>648693670302563</v>
      </c>
      <c r="AL39" s="5">
        <v>68386088848066</v>
      </c>
      <c r="AM39" s="5">
        <v>644026911944625</v>
      </c>
      <c r="AN39" s="5">
        <v>674655313469794</v>
      </c>
      <c r="AO39" s="5">
        <v>667324201178148</v>
      </c>
      <c r="AP39" s="5">
        <v>60446013658356</v>
      </c>
      <c r="AQ39" s="5"/>
      <c r="AR39" s="5"/>
      <c r="AS39" s="5"/>
      <c r="AT39" s="5"/>
      <c r="AU39" s="5"/>
      <c r="AV39" s="5"/>
      <c r="AW39" s="5"/>
      <c r="AX39" s="5"/>
      <c r="AY39" s="5"/>
      <c r="AZ39" s="5"/>
      <c r="BA39" s="5"/>
    </row>
    <row r="40" spans="1:53" x14ac:dyDescent="0.45">
      <c r="A40" s="1"/>
      <c r="B40" s="2"/>
      <c r="C40" s="1" t="s">
        <v>34</v>
      </c>
      <c r="D40" s="2">
        <v>4073928</v>
      </c>
      <c r="E40" s="3" t="s">
        <v>558</v>
      </c>
      <c r="F40" s="3" t="s">
        <v>559</v>
      </c>
      <c r="G40" s="3" t="s">
        <v>560</v>
      </c>
      <c r="H40" s="5">
        <v>449713143431735</v>
      </c>
      <c r="I40" s="5">
        <v>472570797072129</v>
      </c>
      <c r="J40" s="5">
        <v>51696226949296</v>
      </c>
      <c r="K40" s="5">
        <v>470036610270656</v>
      </c>
      <c r="L40" s="5">
        <v>405217685350901</v>
      </c>
      <c r="M40" s="5">
        <v>4040297691612</v>
      </c>
      <c r="N40" s="5">
        <v>3891050650188</v>
      </c>
      <c r="O40" s="5">
        <v>43880581716</v>
      </c>
      <c r="P40" s="5">
        <v>40247307695998</v>
      </c>
      <c r="Q40" s="5">
        <v>3928347430168</v>
      </c>
      <c r="R40" s="5">
        <v>368430131507977</v>
      </c>
      <c r="S40" s="5">
        <v>34294166299065</v>
      </c>
      <c r="T40" s="5">
        <v>329100718337657</v>
      </c>
      <c r="U40" s="5">
        <v>32925206468</v>
      </c>
      <c r="V40" s="5">
        <v>2867881336688</v>
      </c>
      <c r="W40" s="5">
        <v>28992655723275</v>
      </c>
      <c r="X40" s="5">
        <v>2893333647238</v>
      </c>
      <c r="Y40" s="5">
        <v>256256342667014</v>
      </c>
      <c r="Z40" s="5">
        <v>235078494917125</v>
      </c>
      <c r="AA40" s="5">
        <v>238986392256153</v>
      </c>
      <c r="AB40" s="5">
        <v>202098706411693</v>
      </c>
      <c r="AC40" s="5">
        <v>196415662063148</v>
      </c>
      <c r="AD40" s="5">
        <v>186092911399624</v>
      </c>
      <c r="AE40" s="5">
        <v>197540654830991</v>
      </c>
      <c r="AF40" s="5">
        <v>213310972229585</v>
      </c>
      <c r="AG40" s="5">
        <v>182588694159992</v>
      </c>
      <c r="AH40" s="5">
        <v>158037227701759</v>
      </c>
      <c r="AI40" s="5">
        <v>172407552561128</v>
      </c>
      <c r="AJ40" s="5">
        <v>193526013079183</v>
      </c>
      <c r="AK40" s="5">
        <v>212509265453119</v>
      </c>
      <c r="AL40" s="5">
        <v>22589297620224</v>
      </c>
      <c r="AM40" s="5">
        <v>217201898499975</v>
      </c>
      <c r="AN40" s="5">
        <v>258026016732787</v>
      </c>
      <c r="AO40" s="5">
        <v>274501199464683</v>
      </c>
      <c r="AP40" s="5">
        <v>24711025596241</v>
      </c>
      <c r="AQ40" s="5"/>
      <c r="AR40" s="5"/>
      <c r="AS40" s="5"/>
      <c r="AT40" s="5"/>
      <c r="AU40" s="5"/>
      <c r="AV40" s="5"/>
      <c r="AW40" s="5"/>
      <c r="AX40" s="5"/>
      <c r="AY40" s="5"/>
      <c r="AZ40" s="5"/>
      <c r="BA40" s="5"/>
    </row>
    <row r="41" spans="1:53" x14ac:dyDescent="0.45">
      <c r="A41" s="1"/>
      <c r="B41" s="2"/>
      <c r="C41" s="1" t="s">
        <v>35</v>
      </c>
      <c r="D41" s="2">
        <v>4306801</v>
      </c>
      <c r="E41" s="3" t="s">
        <v>561</v>
      </c>
      <c r="F41" s="3" t="s">
        <v>562</v>
      </c>
      <c r="G41" s="3" t="s">
        <v>563</v>
      </c>
      <c r="H41" s="5">
        <v>187806308029967</v>
      </c>
      <c r="I41" s="5">
        <v>233650314045318</v>
      </c>
      <c r="J41" s="5">
        <v>22693997077713</v>
      </c>
      <c r="K41" s="5">
        <v>222164417605834</v>
      </c>
      <c r="L41" s="5">
        <v>216619929566242</v>
      </c>
      <c r="M41" s="5">
        <v>205529264768705</v>
      </c>
      <c r="N41" s="5">
        <v>205807482451634</v>
      </c>
      <c r="O41" s="5">
        <v>209740315968232</v>
      </c>
      <c r="P41" s="5">
        <v>198710127970162</v>
      </c>
      <c r="Q41" s="5">
        <v>202704003583869</v>
      </c>
      <c r="R41" s="5">
        <v>19331481577063</v>
      </c>
      <c r="S41" s="5">
        <v>175841577805613</v>
      </c>
      <c r="T41" s="5">
        <v>172797483459839</v>
      </c>
      <c r="U41" s="5">
        <v>1639771698048</v>
      </c>
      <c r="V41" s="5">
        <v>161940063713748</v>
      </c>
      <c r="W41" s="5">
        <v>173068783113128</v>
      </c>
      <c r="X41" s="5">
        <v>17289343630259</v>
      </c>
      <c r="Y41" s="5">
        <v>165684807522864</v>
      </c>
      <c r="Z41" s="5">
        <v>153872165350258</v>
      </c>
      <c r="AA41" s="5">
        <v>166694683374771</v>
      </c>
      <c r="AB41" s="5">
        <v>177551386528908</v>
      </c>
      <c r="AC41" s="5">
        <v>170356477147833</v>
      </c>
      <c r="AD41" s="5">
        <v>168092957409192</v>
      </c>
      <c r="AE41" s="5">
        <v>221090110780826</v>
      </c>
      <c r="AF41" s="5">
        <v>232985221487104</v>
      </c>
      <c r="AG41" s="5">
        <v>211300900398768</v>
      </c>
      <c r="AH41" s="5">
        <v>19374278637211</v>
      </c>
      <c r="AI41" s="5">
        <v>191709232793978</v>
      </c>
      <c r="AJ41" s="5">
        <v>200960891852381</v>
      </c>
      <c r="AK41" s="5">
        <v>220565532492856</v>
      </c>
      <c r="AL41" s="5">
        <v>22883001661041</v>
      </c>
      <c r="AM41" s="5">
        <v>21406951569699</v>
      </c>
      <c r="AN41" s="5">
        <v>216074237213317</v>
      </c>
      <c r="AO41" s="5">
        <v>20410519113666</v>
      </c>
      <c r="AP41" s="5">
        <v>180246005322808</v>
      </c>
      <c r="AQ41" s="5"/>
      <c r="AR41" s="5"/>
      <c r="AS41" s="5"/>
      <c r="AT41" s="5"/>
      <c r="AU41" s="5"/>
      <c r="AV41" s="5"/>
      <c r="AW41" s="5"/>
      <c r="AX41" s="5"/>
      <c r="AY41" s="5"/>
      <c r="AZ41" s="5"/>
      <c r="BA41" s="5"/>
    </row>
    <row r="42" spans="1:53" x14ac:dyDescent="0.45">
      <c r="A42" s="1"/>
      <c r="B42" s="2"/>
      <c r="C42" s="1" t="s">
        <v>36</v>
      </c>
      <c r="D42" s="2">
        <v>103577</v>
      </c>
      <c r="E42" s="3" t="s">
        <v>564</v>
      </c>
      <c r="F42" s="3" t="s">
        <v>565</v>
      </c>
      <c r="G42" s="3" t="s">
        <v>527</v>
      </c>
      <c r="H42" s="5">
        <v>982269360114102</v>
      </c>
      <c r="I42" s="5">
        <v>103317959430232</v>
      </c>
      <c r="J42" s="5">
        <v>111238466630472</v>
      </c>
      <c r="K42" s="5">
        <v>108314359641197</v>
      </c>
      <c r="L42" s="5">
        <v>106532744553292</v>
      </c>
      <c r="M42" s="5">
        <v>107254180089561</v>
      </c>
      <c r="N42" s="5">
        <v>106271086202248</v>
      </c>
      <c r="O42" s="5">
        <v>10646515285016</v>
      </c>
      <c r="P42" s="5">
        <v>109474587820832</v>
      </c>
      <c r="Q42" s="5">
        <v>109019265825441</v>
      </c>
      <c r="R42" s="5">
        <v>107599869951445</v>
      </c>
      <c r="S42" s="5">
        <v>988901819720181</v>
      </c>
      <c r="T42" s="5">
        <v>987314375446562</v>
      </c>
      <c r="U42" s="5">
        <v>945168231862781</v>
      </c>
      <c r="V42" s="5">
        <v>859294973197275</v>
      </c>
      <c r="W42" s="5">
        <v>851731504333224</v>
      </c>
      <c r="X42" s="5">
        <v>877019623647298</v>
      </c>
      <c r="Y42" s="5">
        <v>785018474360924</v>
      </c>
      <c r="Z42" s="5">
        <v>77988840876972</v>
      </c>
      <c r="AA42" s="5">
        <v>785376692826493</v>
      </c>
      <c r="AB42" s="5">
        <v>740383485922286</v>
      </c>
      <c r="AC42" s="5">
        <v>752242052344147</v>
      </c>
      <c r="AD42" s="5">
        <v>764415044621168</v>
      </c>
      <c r="AE42" s="5">
        <v>786406975435856</v>
      </c>
      <c r="AF42" s="5">
        <v>839968939050407</v>
      </c>
      <c r="AG42" s="5">
        <v>831550269722795</v>
      </c>
      <c r="AH42" s="5">
        <v>806067684774118</v>
      </c>
      <c r="AI42" s="5">
        <v>746367290015505</v>
      </c>
      <c r="AJ42" s="5">
        <v>790625235620134</v>
      </c>
      <c r="AK42" s="5">
        <v>745590643234542</v>
      </c>
      <c r="AL42" s="5">
        <v>726274920795543</v>
      </c>
      <c r="AM42" s="5">
        <v>676233803294157</v>
      </c>
      <c r="AN42" s="5">
        <v>717672971969981</v>
      </c>
      <c r="AO42" s="5">
        <v>655602062585956</v>
      </c>
      <c r="AP42" s="5">
        <v>662941976928399</v>
      </c>
      <c r="AQ42" s="5"/>
      <c r="AR42" s="5"/>
      <c r="AS42" s="5"/>
      <c r="AT42" s="5"/>
      <c r="AU42" s="5"/>
      <c r="AV42" s="5"/>
      <c r="AW42" s="5"/>
      <c r="AX42" s="5"/>
      <c r="AY42" s="5"/>
      <c r="AZ42" s="5"/>
      <c r="BA42" s="5"/>
    </row>
    <row r="43" spans="1:53" x14ac:dyDescent="0.45">
      <c r="A43" s="1"/>
      <c r="B43" s="2"/>
      <c r="C43" s="1" t="s">
        <v>37</v>
      </c>
      <c r="D43" s="2">
        <v>4044801</v>
      </c>
      <c r="E43" s="3" t="s">
        <v>566</v>
      </c>
      <c r="F43" s="3" t="s">
        <v>567</v>
      </c>
      <c r="G43" s="3" t="s">
        <v>568</v>
      </c>
      <c r="H43" s="5">
        <v>186670058861307</v>
      </c>
      <c r="I43" s="5">
        <v>187277471810176</v>
      </c>
      <c r="J43" s="5">
        <v>19633785255987</v>
      </c>
      <c r="K43" s="5">
        <v>202327490031676</v>
      </c>
      <c r="L43" s="5">
        <v>195733911089768</v>
      </c>
      <c r="M43" s="5">
        <v>203414509428</v>
      </c>
      <c r="N43" s="5">
        <v>206141728052</v>
      </c>
      <c r="O43" s="5">
        <v>21032843832</v>
      </c>
      <c r="P43" s="5">
        <v>239620623645</v>
      </c>
      <c r="Q43" s="5">
        <v>2457111448736</v>
      </c>
      <c r="R43" s="5">
        <v>252678571992</v>
      </c>
      <c r="S43" s="5">
        <v>236004579468</v>
      </c>
      <c r="T43" s="5">
        <v>24882738573</v>
      </c>
      <c r="U43" s="5">
        <v>23531316732</v>
      </c>
      <c r="V43" s="5">
        <v>2312686119168</v>
      </c>
      <c r="W43" s="5">
        <v>2182562260128</v>
      </c>
      <c r="X43" s="5">
        <v>228370607760209</v>
      </c>
      <c r="Y43" s="5">
        <v>2370553082268</v>
      </c>
      <c r="Z43" s="5">
        <v>2269251616779</v>
      </c>
      <c r="AA43" s="5">
        <v>2258127728493</v>
      </c>
      <c r="AB43" s="5">
        <v>2047638943476</v>
      </c>
      <c r="AC43" s="5">
        <v>191131439892</v>
      </c>
      <c r="AD43" s="5">
        <v>194947177729492</v>
      </c>
      <c r="AE43" s="5">
        <v>201537617774923</v>
      </c>
      <c r="AF43" s="5">
        <v>206111626009749</v>
      </c>
      <c r="AG43" s="5">
        <v>252142186777951</v>
      </c>
      <c r="AH43" s="5">
        <v>226167881283614</v>
      </c>
      <c r="AI43" s="5">
        <v>244579471717277</v>
      </c>
      <c r="AJ43" s="5">
        <v>266278007595339</v>
      </c>
      <c r="AK43" s="5">
        <v>268556589595892</v>
      </c>
      <c r="AL43" s="5">
        <v>298736345907725</v>
      </c>
      <c r="AM43" s="5">
        <v>2746064136816</v>
      </c>
      <c r="AN43" s="5">
        <v>277500940243472</v>
      </c>
      <c r="AO43" s="5">
        <v>27085225364064</v>
      </c>
      <c r="AP43" s="5">
        <v>2659006835523</v>
      </c>
      <c r="AQ43" s="5"/>
      <c r="AR43" s="5"/>
      <c r="AS43" s="5"/>
      <c r="AT43" s="5"/>
      <c r="AU43" s="5"/>
      <c r="AV43" s="5"/>
      <c r="AW43" s="5"/>
      <c r="AX43" s="5"/>
      <c r="AY43" s="5"/>
      <c r="AZ43" s="5"/>
      <c r="BA43" s="5"/>
    </row>
    <row r="44" spans="1:53" x14ac:dyDescent="0.45">
      <c r="A44" s="1"/>
      <c r="B44" s="2"/>
      <c r="C44" s="1" t="s">
        <v>38</v>
      </c>
      <c r="D44" s="2">
        <v>4438507</v>
      </c>
      <c r="E44" s="3" t="s">
        <v>569</v>
      </c>
      <c r="F44" s="3" t="s">
        <v>570</v>
      </c>
      <c r="G44" s="3" t="s">
        <v>536</v>
      </c>
      <c r="H44" s="5">
        <v>1369311446112</v>
      </c>
      <c r="I44" s="5">
        <v>127365571883943</v>
      </c>
      <c r="J44" s="5">
        <v>12948344540351</v>
      </c>
      <c r="K44" s="5">
        <v>129624037827251</v>
      </c>
      <c r="L44" s="5">
        <v>125552484521541</v>
      </c>
      <c r="M44" s="5">
        <v>127646173906775</v>
      </c>
      <c r="N44" s="5">
        <v>1282946812803</v>
      </c>
      <c r="O44" s="5">
        <v>13063256052655</v>
      </c>
      <c r="P44" s="5">
        <v>146374494612645</v>
      </c>
      <c r="Q44" s="5">
        <v>14383630334654</v>
      </c>
      <c r="R44" s="5">
        <v>1650521829672</v>
      </c>
      <c r="S44" s="5">
        <v>147138905334298</v>
      </c>
      <c r="T44" s="5">
        <v>146965219958592</v>
      </c>
      <c r="U44" s="5">
        <v>13071127465242</v>
      </c>
      <c r="V44" s="5">
        <v>12347505096481</v>
      </c>
      <c r="W44" s="5">
        <v>125140267882742</v>
      </c>
      <c r="X44" s="5">
        <v>132486603995022</v>
      </c>
      <c r="Y44" s="5">
        <v>125291399668309</v>
      </c>
      <c r="Z44" s="5">
        <v>102374926959739</v>
      </c>
      <c r="AA44" s="5">
        <v>102231414671766</v>
      </c>
      <c r="AB44" s="5">
        <v>102221765922042</v>
      </c>
      <c r="AC44" s="5">
        <v>88385587341639</v>
      </c>
      <c r="AD44" s="5">
        <v>87679790436798</v>
      </c>
      <c r="AE44" s="5">
        <v>960483626881012</v>
      </c>
      <c r="AF44" s="5">
        <v>107445287131471</v>
      </c>
      <c r="AG44" s="5">
        <v>118447895001549</v>
      </c>
      <c r="AH44" s="5">
        <v>126362646609916</v>
      </c>
      <c r="AI44" s="5">
        <v>124240731354206</v>
      </c>
      <c r="AJ44" s="5">
        <v>1385855830996</v>
      </c>
      <c r="AK44" s="5">
        <v>13397643945</v>
      </c>
      <c r="AL44" s="5">
        <v>1432527633418</v>
      </c>
      <c r="AM44" s="5">
        <v>130494667401</v>
      </c>
      <c r="AN44" s="5">
        <v>1392165036612</v>
      </c>
      <c r="AO44" s="5">
        <v>146045824274</v>
      </c>
      <c r="AP44" s="5">
        <v>135686742219</v>
      </c>
      <c r="AQ44" s="5"/>
      <c r="AR44" s="5"/>
      <c r="AS44" s="5"/>
      <c r="AT44" s="5"/>
      <c r="AU44" s="5"/>
      <c r="AV44" s="5"/>
      <c r="AW44" s="5"/>
      <c r="AX44" s="5"/>
      <c r="AY44" s="5"/>
      <c r="AZ44" s="5"/>
      <c r="BA44" s="5"/>
    </row>
    <row r="45" spans="1:53" x14ac:dyDescent="0.45">
      <c r="A45" s="1"/>
      <c r="B45" s="2"/>
      <c r="C45" s="1" t="s">
        <v>39</v>
      </c>
      <c r="D45" s="2">
        <v>4970981</v>
      </c>
      <c r="E45" s="3" t="s">
        <v>571</v>
      </c>
      <c r="F45" s="3" t="s">
        <v>572</v>
      </c>
      <c r="G45" s="3" t="s">
        <v>573</v>
      </c>
      <c r="H45" s="5">
        <v>143416902014195</v>
      </c>
      <c r="I45" s="5">
        <v>143095142219564</v>
      </c>
      <c r="J45" s="5">
        <v>124537942871961</v>
      </c>
      <c r="K45" s="5">
        <v>116359109572562</v>
      </c>
      <c r="L45" s="5">
        <v>107587984265211</v>
      </c>
      <c r="M45" s="5">
        <v>912142209977681</v>
      </c>
      <c r="N45" s="5">
        <v>945398110482219</v>
      </c>
      <c r="O45" s="5">
        <v>94451432184068</v>
      </c>
      <c r="P45" s="5">
        <v>922225606646854</v>
      </c>
      <c r="Q45" s="5">
        <v>878402245559328</v>
      </c>
      <c r="R45" s="5">
        <v>79595580227256</v>
      </c>
      <c r="S45" s="5">
        <v>61159138127598</v>
      </c>
      <c r="T45" s="5">
        <v>643609755541447</v>
      </c>
      <c r="U45" s="5">
        <v>629708597659526</v>
      </c>
      <c r="V45" s="5">
        <v>53543411648934</v>
      </c>
      <c r="W45" s="5">
        <v>524116365466057</v>
      </c>
      <c r="X45" s="5">
        <v>494933707334774</v>
      </c>
      <c r="Y45" s="5">
        <v>437739125722408</v>
      </c>
      <c r="Z45" s="5">
        <v>397850959483108</v>
      </c>
      <c r="AA45" s="5">
        <v>451956675317299</v>
      </c>
      <c r="AB45" s="5">
        <v>398961837423563</v>
      </c>
      <c r="AC45" s="5">
        <v>430770927156321</v>
      </c>
      <c r="AD45" s="5">
        <v>375890080588937</v>
      </c>
      <c r="AE45" s="5">
        <v>485617813036244</v>
      </c>
      <c r="AF45" s="5">
        <v>471518907448345</v>
      </c>
      <c r="AG45" s="5">
        <v>394440981554004</v>
      </c>
      <c r="AH45" s="5">
        <v>369685340151231</v>
      </c>
      <c r="AI45" s="5">
        <v>450186972991378</v>
      </c>
      <c r="AJ45" s="5">
        <v>508663145310865</v>
      </c>
      <c r="AK45" s="5">
        <v>488199431811987</v>
      </c>
      <c r="AL45" s="5">
        <v>4237733575152</v>
      </c>
      <c r="AM45" s="5">
        <v>37987782183675</v>
      </c>
      <c r="AN45" s="5">
        <v>43491730813725</v>
      </c>
      <c r="AO45" s="5">
        <v>397665755633421</v>
      </c>
      <c r="AP45" s="5">
        <v>36019334074284</v>
      </c>
      <c r="AQ45" s="5"/>
      <c r="AR45" s="5"/>
      <c r="AS45" s="5"/>
      <c r="AT45" s="5"/>
      <c r="AU45" s="5"/>
      <c r="AV45" s="5"/>
      <c r="AW45" s="5"/>
      <c r="AX45" s="5"/>
      <c r="AY45" s="5"/>
      <c r="AZ45" s="5"/>
      <c r="BA45" s="5"/>
    </row>
    <row r="46" spans="1:53" x14ac:dyDescent="0.45">
      <c r="A46" s="1"/>
      <c r="B46" s="2"/>
      <c r="C46" s="1" t="s">
        <v>40</v>
      </c>
      <c r="D46" s="2">
        <v>103437</v>
      </c>
      <c r="E46" s="3" t="s">
        <v>574</v>
      </c>
      <c r="F46" s="3" t="s">
        <v>575</v>
      </c>
      <c r="G46" s="3" t="s">
        <v>549</v>
      </c>
      <c r="H46" s="5">
        <v>9528032087616</v>
      </c>
      <c r="I46" s="5">
        <v>9994107863349</v>
      </c>
      <c r="J46" s="5">
        <v>983555057553</v>
      </c>
      <c r="K46" s="5">
        <v>938248260262</v>
      </c>
      <c r="L46" s="5">
        <v>878436244476</v>
      </c>
      <c r="M46" s="5">
        <v>898717756366</v>
      </c>
      <c r="N46" s="5">
        <v>90072426875</v>
      </c>
      <c r="O46" s="5">
        <v>906290115</v>
      </c>
      <c r="P46" s="5">
        <v>9195141144852</v>
      </c>
      <c r="Q46" s="5">
        <v>949022181184</v>
      </c>
      <c r="R46" s="5">
        <v>9582409278</v>
      </c>
      <c r="S46" s="5">
        <v>889586026413</v>
      </c>
      <c r="T46" s="5">
        <v>876687841188</v>
      </c>
      <c r="U46" s="5">
        <v>8483575221</v>
      </c>
      <c r="V46" s="5">
        <v>7830302957932</v>
      </c>
      <c r="W46" s="5">
        <v>8011757398365</v>
      </c>
      <c r="X46" s="5">
        <v>7846543265715</v>
      </c>
      <c r="Y46" s="5">
        <v>77933632188055</v>
      </c>
      <c r="Z46" s="5">
        <v>75920433246</v>
      </c>
      <c r="AA46" s="5">
        <v>7692210605295</v>
      </c>
      <c r="AB46" s="5">
        <v>7120554979554</v>
      </c>
      <c r="AC46" s="5">
        <v>64940438632725</v>
      </c>
      <c r="AD46" s="5">
        <v>614633663517</v>
      </c>
      <c r="AE46" s="5">
        <v>6660607255975</v>
      </c>
      <c r="AF46" s="5">
        <v>73172160359375</v>
      </c>
      <c r="AG46" s="5">
        <v>70071141905975</v>
      </c>
      <c r="AH46" s="5">
        <v>645623523048</v>
      </c>
      <c r="AI46" s="5">
        <v>681267113135</v>
      </c>
      <c r="AJ46" s="5">
        <v>74934375621525</v>
      </c>
      <c r="AK46" s="5">
        <v>7378343401275</v>
      </c>
      <c r="AL46" s="5">
        <v>73571095128975</v>
      </c>
      <c r="AM46" s="5">
        <v>71202782499075</v>
      </c>
      <c r="AN46" s="5">
        <v>71692037747</v>
      </c>
      <c r="AO46" s="5">
        <v>6904096741436</v>
      </c>
      <c r="AP46" s="5">
        <v>6350691820815</v>
      </c>
      <c r="AQ46" s="5"/>
      <c r="AR46" s="5"/>
      <c r="AS46" s="5"/>
      <c r="AT46" s="5"/>
      <c r="AU46" s="5"/>
      <c r="AV46" s="5"/>
      <c r="AW46" s="5"/>
      <c r="AX46" s="5"/>
      <c r="AY46" s="5"/>
      <c r="AZ46" s="5"/>
      <c r="BA46" s="5"/>
    </row>
    <row r="47" spans="1:53" x14ac:dyDescent="0.45">
      <c r="A47" s="1"/>
      <c r="B47" s="2"/>
      <c r="C47" s="1" t="s">
        <v>41</v>
      </c>
      <c r="D47" s="2">
        <v>4090153</v>
      </c>
      <c r="E47" s="3" t="s">
        <v>576</v>
      </c>
      <c r="F47" s="3" t="s">
        <v>577</v>
      </c>
      <c r="G47" s="3" t="s">
        <v>527</v>
      </c>
      <c r="H47" s="5">
        <v>451908304621526</v>
      </c>
      <c r="I47" s="5">
        <v>455788058741007</v>
      </c>
      <c r="J47" s="5">
        <v>46523238135</v>
      </c>
      <c r="K47" s="5">
        <v>44087021976</v>
      </c>
      <c r="L47" s="5">
        <v>434973239295</v>
      </c>
      <c r="M47" s="5">
        <v>49109012931</v>
      </c>
      <c r="N47" s="5">
        <v>49968179893</v>
      </c>
      <c r="O47" s="5">
        <v>4794376956</v>
      </c>
      <c r="P47" s="5">
        <v>489078071664</v>
      </c>
      <c r="Q47" s="5">
        <v>495398623608</v>
      </c>
      <c r="R47" s="5">
        <v>518887512</v>
      </c>
      <c r="S47" s="5">
        <v>513149125071</v>
      </c>
      <c r="T47" s="5">
        <v>501495750878</v>
      </c>
      <c r="U47" s="5">
        <v>46564422564</v>
      </c>
      <c r="V47" s="5">
        <v>442300672796136</v>
      </c>
      <c r="W47" s="5">
        <v>494099159459456</v>
      </c>
      <c r="X47" s="5">
        <v>483627288602824</v>
      </c>
      <c r="Y47" s="5">
        <v>460151018103</v>
      </c>
      <c r="Z47" s="5">
        <v>481384297863</v>
      </c>
      <c r="AA47" s="5">
        <v>486379418193</v>
      </c>
      <c r="AB47" s="5">
        <v>4689724187205</v>
      </c>
      <c r="AC47" s="5">
        <v>423974959462949</v>
      </c>
      <c r="AD47" s="5">
        <v>494732310793133</v>
      </c>
      <c r="AE47" s="5">
        <v>488244319077227</v>
      </c>
      <c r="AF47" s="5">
        <v>532960592328586</v>
      </c>
      <c r="AG47" s="5">
        <v>494025479849907</v>
      </c>
      <c r="AH47" s="5">
        <v>473054039077401</v>
      </c>
      <c r="AI47" s="5">
        <v>443513946251583</v>
      </c>
      <c r="AJ47" s="5">
        <v>458600293630455</v>
      </c>
      <c r="AK47" s="5">
        <v>408512322941625</v>
      </c>
      <c r="AL47" s="5">
        <v>407490753489</v>
      </c>
      <c r="AM47" s="5">
        <v>378068451957</v>
      </c>
      <c r="AN47" s="5">
        <v>3936621487701</v>
      </c>
      <c r="AO47" s="5">
        <v>3763089566467</v>
      </c>
      <c r="AP47" s="5">
        <v>395212567818884</v>
      </c>
      <c r="AQ47" s="5"/>
      <c r="AR47" s="5"/>
      <c r="AS47" s="5"/>
      <c r="AT47" s="5"/>
      <c r="AU47" s="5"/>
      <c r="AV47" s="5"/>
      <c r="AW47" s="5"/>
      <c r="AX47" s="5"/>
      <c r="AY47" s="5"/>
      <c r="AZ47" s="5"/>
      <c r="BA47" s="5"/>
    </row>
    <row r="48" spans="1:53" x14ac:dyDescent="0.45">
      <c r="A48" s="1"/>
      <c r="B48" s="2"/>
      <c r="C48" s="1" t="s">
        <v>42</v>
      </c>
      <c r="D48" s="2">
        <v>4024242</v>
      </c>
      <c r="E48" s="3" t="s">
        <v>578</v>
      </c>
      <c r="F48" s="3" t="s">
        <v>579</v>
      </c>
      <c r="G48" s="3" t="s">
        <v>580</v>
      </c>
      <c r="H48" s="5">
        <v>198787107660154</v>
      </c>
      <c r="I48" s="5">
        <v>187546122664035</v>
      </c>
      <c r="J48" s="5">
        <v>177478849</v>
      </c>
      <c r="K48" s="5">
        <v>20349026518</v>
      </c>
      <c r="L48" s="5">
        <v>19368670524</v>
      </c>
      <c r="M48" s="5" t="s">
        <v>1492</v>
      </c>
      <c r="N48" s="5">
        <v>20331648106</v>
      </c>
      <c r="O48" s="5">
        <v>2108253716</v>
      </c>
      <c r="P48" s="5">
        <v>223581228858</v>
      </c>
      <c r="Q48" s="5">
        <v>2386464247692</v>
      </c>
      <c r="R48" s="5">
        <v>2417701501026</v>
      </c>
      <c r="S48" s="5">
        <v>239848716408</v>
      </c>
      <c r="T48" s="5">
        <v>247412716329</v>
      </c>
      <c r="U48" s="5">
        <v>22441658118</v>
      </c>
      <c r="V48" s="5">
        <v>206346336500997</v>
      </c>
      <c r="W48" s="5">
        <v>222263679348</v>
      </c>
      <c r="X48" s="5">
        <v>225602477408</v>
      </c>
      <c r="Y48" s="5">
        <v>238343155596</v>
      </c>
      <c r="Z48" s="5">
        <v>239520384342</v>
      </c>
      <c r="AA48" s="5">
        <v>21655719927</v>
      </c>
      <c r="AB48" s="5">
        <v>208661824548</v>
      </c>
      <c r="AC48" s="5">
        <v>209307666984384</v>
      </c>
      <c r="AD48" s="5">
        <v>204781197105</v>
      </c>
      <c r="AE48" s="5">
        <v>19491386214</v>
      </c>
      <c r="AF48" s="5">
        <v>196066322452</v>
      </c>
      <c r="AG48" s="5">
        <v>186950319612</v>
      </c>
      <c r="AH48" s="5">
        <v>179568043659</v>
      </c>
      <c r="AI48" s="5">
        <v>1823113343</v>
      </c>
      <c r="AJ48" s="5">
        <v>193308907191038</v>
      </c>
      <c r="AK48" s="5">
        <v>16559479944</v>
      </c>
      <c r="AL48" s="5">
        <v>163429531353</v>
      </c>
      <c r="AM48" s="5">
        <v>16068274074</v>
      </c>
      <c r="AN48" s="5">
        <v>15774089637342</v>
      </c>
      <c r="AO48" s="5">
        <v>159973101992448</v>
      </c>
      <c r="AP48" s="5">
        <v>15124716243</v>
      </c>
      <c r="AQ48" s="5"/>
      <c r="AR48" s="5"/>
      <c r="AS48" s="5"/>
      <c r="AT48" s="5"/>
      <c r="AU48" s="5"/>
      <c r="AV48" s="5"/>
      <c r="AW48" s="5"/>
      <c r="AX48" s="5"/>
      <c r="AY48" s="5"/>
      <c r="AZ48" s="5"/>
      <c r="BA48" s="5"/>
    </row>
    <row r="49" spans="1:53" x14ac:dyDescent="0.45">
      <c r="A49" s="1"/>
      <c r="B49" s="2"/>
      <c r="C49" s="1" t="s">
        <v>43</v>
      </c>
      <c r="D49" s="2">
        <v>4057157</v>
      </c>
      <c r="E49" s="3" t="s">
        <v>581</v>
      </c>
      <c r="F49" s="3" t="s">
        <v>582</v>
      </c>
      <c r="G49" s="3" t="s">
        <v>583</v>
      </c>
      <c r="H49" s="5">
        <v>793674903271975</v>
      </c>
      <c r="I49" s="5">
        <v>859499189003961</v>
      </c>
      <c r="J49" s="5">
        <v>79487967012</v>
      </c>
      <c r="K49" s="5">
        <v>752429013568</v>
      </c>
      <c r="L49" s="5">
        <v>786386899788</v>
      </c>
      <c r="M49" s="5">
        <v>77510138994</v>
      </c>
      <c r="N49" s="5">
        <v>765518052075</v>
      </c>
      <c r="O49" s="5">
        <v>7806821811</v>
      </c>
      <c r="P49" s="5">
        <v>782789362212</v>
      </c>
      <c r="Q49" s="5">
        <v>777644733096</v>
      </c>
      <c r="R49" s="5">
        <v>77569387524</v>
      </c>
      <c r="S49" s="5">
        <v>741893427054</v>
      </c>
      <c r="T49" s="5">
        <v>738176278155</v>
      </c>
      <c r="U49" s="5">
        <v>69943788992</v>
      </c>
      <c r="V49" s="5">
        <v>70486563286</v>
      </c>
      <c r="W49" s="5">
        <v>6880294656675</v>
      </c>
      <c r="X49" s="5">
        <v>686579195225</v>
      </c>
      <c r="Y49" s="5">
        <v>7300046024915</v>
      </c>
      <c r="Z49" s="5">
        <v>748575024462</v>
      </c>
      <c r="AA49" s="5">
        <v>669650407785</v>
      </c>
      <c r="AB49" s="5">
        <v>647459503575105</v>
      </c>
      <c r="AC49" s="5">
        <v>6524356792305</v>
      </c>
      <c r="AD49" s="5">
        <v>652818451901639</v>
      </c>
      <c r="AE49" s="5">
        <v>592347132540856</v>
      </c>
      <c r="AF49" s="5">
        <v>598681426473017</v>
      </c>
      <c r="AG49" s="5">
        <v>579140802690345</v>
      </c>
      <c r="AH49" s="5">
        <v>528462430714111</v>
      </c>
      <c r="AI49" s="5">
        <v>495837439527948</v>
      </c>
      <c r="AJ49" s="5">
        <v>505647472448846</v>
      </c>
      <c r="AK49" s="5">
        <v>465056355601656</v>
      </c>
      <c r="AL49" s="5">
        <v>4972187809137</v>
      </c>
      <c r="AM49" s="5">
        <v>4865129001</v>
      </c>
      <c r="AN49" s="5">
        <v>519197281631</v>
      </c>
      <c r="AO49" s="5">
        <v>4771148210088</v>
      </c>
      <c r="AP49" s="5">
        <v>50812809000975</v>
      </c>
      <c r="AQ49" s="5"/>
      <c r="AR49" s="5"/>
      <c r="AS49" s="5"/>
      <c r="AT49" s="5"/>
      <c r="AU49" s="5"/>
      <c r="AV49" s="5"/>
      <c r="AW49" s="5"/>
      <c r="AX49" s="5"/>
      <c r="AY49" s="5"/>
      <c r="AZ49" s="5"/>
      <c r="BA49" s="5"/>
    </row>
    <row r="50" spans="1:53" x14ac:dyDescent="0.45">
      <c r="A50" s="1"/>
      <c r="B50" s="2"/>
      <c r="C50" s="1" t="s">
        <v>44</v>
      </c>
      <c r="D50" s="2">
        <v>4208149</v>
      </c>
      <c r="E50" s="3" t="s">
        <v>584</v>
      </c>
      <c r="F50" s="3" t="s">
        <v>585</v>
      </c>
      <c r="G50" s="3" t="s">
        <v>478</v>
      </c>
      <c r="H50" s="5">
        <v>192298274873765</v>
      </c>
      <c r="I50" s="5">
        <v>201909136518223</v>
      </c>
      <c r="J50" s="5">
        <v>235282361833587</v>
      </c>
      <c r="K50" s="5">
        <v>208195780615421</v>
      </c>
      <c r="L50" s="5">
        <v>2112723191699</v>
      </c>
      <c r="M50" s="5">
        <v>2071783137285</v>
      </c>
      <c r="N50" s="5">
        <v>194755844047</v>
      </c>
      <c r="O50" s="5">
        <v>219235300771088</v>
      </c>
      <c r="P50" s="5">
        <v>182568404291</v>
      </c>
      <c r="Q50" s="5">
        <v>178594204124</v>
      </c>
      <c r="R50" s="5">
        <v>18092926176</v>
      </c>
      <c r="S50" s="5">
        <v>1677607827168</v>
      </c>
      <c r="T50" s="5">
        <v>1560360882288</v>
      </c>
      <c r="U50" s="5">
        <v>152414155234</v>
      </c>
      <c r="V50" s="5">
        <v>1463326207408</v>
      </c>
      <c r="W50" s="5">
        <v>14278263036705</v>
      </c>
      <c r="X50" s="5">
        <v>134159080368244</v>
      </c>
      <c r="Y50" s="5">
        <v>1195298531315</v>
      </c>
      <c r="Z50" s="5">
        <v>1095225655158</v>
      </c>
      <c r="AA50" s="5">
        <v>11759197424015</v>
      </c>
      <c r="AB50" s="5">
        <v>1172552419017</v>
      </c>
      <c r="AC50" s="5">
        <v>106880052708</v>
      </c>
      <c r="AD50" s="5">
        <v>974944093233018</v>
      </c>
      <c r="AE50" s="5">
        <v>126409216889014</v>
      </c>
      <c r="AF50" s="5">
        <v>1352345166535</v>
      </c>
      <c r="AG50" s="5">
        <v>113210481028973</v>
      </c>
      <c r="AH50" s="5">
        <v>894654513554194</v>
      </c>
      <c r="AI50" s="5">
        <v>944065785518488</v>
      </c>
      <c r="AJ50" s="5">
        <v>104224853978435</v>
      </c>
      <c r="AK50" s="5">
        <v>102340677182007</v>
      </c>
      <c r="AL50" s="5">
        <v>11232081733104</v>
      </c>
      <c r="AM50" s="5">
        <v>115548029160785</v>
      </c>
      <c r="AN50" s="5">
        <v>124019575858499</v>
      </c>
      <c r="AO50" s="5">
        <v>13005384788</v>
      </c>
      <c r="AP50" s="5">
        <v>10869817869435</v>
      </c>
      <c r="AQ50" s="5"/>
      <c r="AR50" s="5"/>
      <c r="AS50" s="5"/>
      <c r="AT50" s="5"/>
      <c r="AU50" s="5"/>
      <c r="AV50" s="5"/>
      <c r="AW50" s="5"/>
      <c r="AX50" s="5"/>
      <c r="AY50" s="5"/>
      <c r="AZ50" s="5"/>
      <c r="BA50" s="5"/>
    </row>
    <row r="51" spans="1:53" x14ac:dyDescent="0.45">
      <c r="A51" s="1"/>
      <c r="B51" s="2"/>
      <c r="C51" s="1" t="s">
        <v>45</v>
      </c>
      <c r="D51" s="2">
        <v>1031164</v>
      </c>
      <c r="E51" s="3" t="s">
        <v>586</v>
      </c>
      <c r="F51" s="3" t="s">
        <v>587</v>
      </c>
      <c r="G51" s="3" t="s">
        <v>588</v>
      </c>
      <c r="H51" s="5">
        <v>432827491828054</v>
      </c>
      <c r="I51" s="5">
        <v>426247124261233</v>
      </c>
      <c r="J51" s="5">
        <v>443832041290847</v>
      </c>
      <c r="K51" s="5">
        <v>411070666723354</v>
      </c>
      <c r="L51" s="5">
        <v>39841923487845</v>
      </c>
      <c r="M51" s="5">
        <v>4514149235035</v>
      </c>
      <c r="N51" s="5">
        <v>401801874679</v>
      </c>
      <c r="O51" s="5">
        <v>40763211913</v>
      </c>
      <c r="P51" s="5">
        <v>430499238858</v>
      </c>
      <c r="Q51" s="5">
        <v>429844769592</v>
      </c>
      <c r="R51" s="5">
        <v>43394283156</v>
      </c>
      <c r="S51" s="5">
        <v>4222384214661</v>
      </c>
      <c r="T51" s="5">
        <v>4392748758798</v>
      </c>
      <c r="U51" s="5">
        <v>409819908564</v>
      </c>
      <c r="V51" s="5">
        <v>3609301372272</v>
      </c>
      <c r="W51" s="5">
        <v>356538945294</v>
      </c>
      <c r="X51" s="5">
        <v>3675171311889</v>
      </c>
      <c r="Y51" s="5">
        <v>36262831212825</v>
      </c>
      <c r="Z51" s="5">
        <v>37683419283495</v>
      </c>
      <c r="AA51" s="5">
        <v>3595435973496</v>
      </c>
      <c r="AB51" s="5">
        <v>353250103630876</v>
      </c>
      <c r="AC51" s="5">
        <v>356635212265952</v>
      </c>
      <c r="AD51" s="5">
        <v>354149605994181</v>
      </c>
      <c r="AE51" s="5">
        <v>359768562393466</v>
      </c>
      <c r="AF51" s="5">
        <v>376572455092455</v>
      </c>
      <c r="AG51" s="5">
        <v>367039690697528</v>
      </c>
      <c r="AH51" s="5">
        <v>335027467365502</v>
      </c>
      <c r="AI51" s="5">
        <v>32153676003811</v>
      </c>
      <c r="AJ51" s="5">
        <v>339014264349365</v>
      </c>
      <c r="AK51" s="5">
        <v>338181643301245</v>
      </c>
      <c r="AL51" s="5">
        <v>365817611725991</v>
      </c>
      <c r="AM51" s="5">
        <v>3588127195896</v>
      </c>
      <c r="AN51" s="5">
        <v>378781732135033</v>
      </c>
      <c r="AO51" s="5">
        <v>376472302809868</v>
      </c>
      <c r="AP51" s="5">
        <v>352388089019189</v>
      </c>
      <c r="AQ51" s="5"/>
      <c r="AR51" s="5"/>
      <c r="AS51" s="5"/>
      <c r="AT51" s="5"/>
      <c r="AU51" s="5"/>
      <c r="AV51" s="5"/>
      <c r="AW51" s="5"/>
      <c r="AX51" s="5"/>
      <c r="AY51" s="5"/>
      <c r="AZ51" s="5"/>
      <c r="BA51" s="5"/>
    </row>
    <row r="52" spans="1:53" x14ac:dyDescent="0.45">
      <c r="A52" s="1"/>
      <c r="B52" s="2"/>
      <c r="C52" s="1" t="s">
        <v>46</v>
      </c>
      <c r="D52" s="2">
        <v>4344582</v>
      </c>
      <c r="E52" s="3" t="s">
        <v>589</v>
      </c>
      <c r="F52" s="3" t="s">
        <v>590</v>
      </c>
      <c r="G52" s="3" t="s">
        <v>591</v>
      </c>
      <c r="H52" s="5">
        <v>16204717572842</v>
      </c>
      <c r="I52" s="5">
        <v>158541767206574</v>
      </c>
      <c r="J52" s="5">
        <v>1392167602386</v>
      </c>
      <c r="K52" s="5">
        <v>14014543718643</v>
      </c>
      <c r="L52" s="5">
        <v>124736407712495</v>
      </c>
      <c r="M52" s="5">
        <v>128391034720399</v>
      </c>
      <c r="N52" s="5">
        <v>140155775714002</v>
      </c>
      <c r="O52" s="5">
        <v>15185809408</v>
      </c>
      <c r="P52" s="5">
        <v>1804864520862</v>
      </c>
      <c r="Q52" s="5">
        <v>192107385876</v>
      </c>
      <c r="R52" s="5">
        <v>197568120975</v>
      </c>
      <c r="S52" s="5">
        <v>1922803120692</v>
      </c>
      <c r="T52" s="5">
        <v>2141257007754</v>
      </c>
      <c r="U52" s="5">
        <v>213820357608</v>
      </c>
      <c r="V52" s="5">
        <v>1954245618624</v>
      </c>
      <c r="W52" s="5">
        <v>19903716083358</v>
      </c>
      <c r="X52" s="5">
        <v>194505682987</v>
      </c>
      <c r="Y52" s="5">
        <v>21292957457345</v>
      </c>
      <c r="Z52" s="5">
        <v>2089399065444</v>
      </c>
      <c r="AA52" s="5">
        <v>2020449176981</v>
      </c>
      <c r="AB52" s="5">
        <v>1995127475457</v>
      </c>
      <c r="AC52" s="5">
        <v>215394409183145</v>
      </c>
      <c r="AD52" s="5">
        <v>214232312265894</v>
      </c>
      <c r="AE52" s="5">
        <v>206357056433315</v>
      </c>
      <c r="AF52" s="5">
        <v>226163156655784</v>
      </c>
      <c r="AG52" s="5">
        <v>216854400822792</v>
      </c>
      <c r="AH52" s="5">
        <v>198850555523185</v>
      </c>
      <c r="AI52" s="5">
        <v>197336607726513</v>
      </c>
      <c r="AJ52" s="5">
        <v>195871948082753</v>
      </c>
      <c r="AK52" s="5">
        <v>184836175546932</v>
      </c>
      <c r="AL52" s="5">
        <v>19173525511257</v>
      </c>
      <c r="AM52" s="5">
        <v>19060877008035</v>
      </c>
      <c r="AN52" s="5">
        <v>201439680158279</v>
      </c>
      <c r="AO52" s="5">
        <v>182829745959569</v>
      </c>
      <c r="AP52" s="5">
        <v>168661767353898</v>
      </c>
      <c r="AQ52" s="5"/>
      <c r="AR52" s="5"/>
      <c r="AS52" s="5"/>
      <c r="AT52" s="5"/>
      <c r="AU52" s="5"/>
      <c r="AV52" s="5"/>
      <c r="AW52" s="5"/>
      <c r="AX52" s="5"/>
      <c r="AY52" s="5"/>
      <c r="AZ52" s="5"/>
      <c r="BA52" s="5"/>
    </row>
    <row r="53" spans="1:53" x14ac:dyDescent="0.45">
      <c r="A53" s="1"/>
      <c r="B53" s="2"/>
      <c r="C53" s="1" t="s">
        <v>47</v>
      </c>
      <c r="D53" s="2">
        <v>103145</v>
      </c>
      <c r="E53" s="3" t="s">
        <v>592</v>
      </c>
      <c r="F53" s="3" t="s">
        <v>593</v>
      </c>
      <c r="G53" s="3" t="s">
        <v>594</v>
      </c>
      <c r="H53" s="5">
        <v>204621434282195</v>
      </c>
      <c r="I53" s="5">
        <v>20969352942429</v>
      </c>
      <c r="J53" s="5">
        <v>214504771559177</v>
      </c>
      <c r="K53" s="5">
        <v>207892758564485</v>
      </c>
      <c r="L53" s="5">
        <v>217706541903462</v>
      </c>
      <c r="M53" s="5">
        <v>224270645857085</v>
      </c>
      <c r="N53" s="5">
        <v>231454648235999</v>
      </c>
      <c r="O53" s="5">
        <v>233882182638552</v>
      </c>
      <c r="P53" s="5">
        <v>238993576985829</v>
      </c>
      <c r="Q53" s="5">
        <v>235262920323312</v>
      </c>
      <c r="R53" s="5">
        <v>237205884485646</v>
      </c>
      <c r="S53" s="5">
        <v>220165274845949</v>
      </c>
      <c r="T53" s="5">
        <v>23004602342301</v>
      </c>
      <c r="U53" s="5">
        <v>213312680680183</v>
      </c>
      <c r="V53" s="5">
        <v>2144571181992</v>
      </c>
      <c r="W53" s="5">
        <v>2172455053236</v>
      </c>
      <c r="X53" s="5">
        <v>21556670451855</v>
      </c>
      <c r="Y53" s="5">
        <v>227892043370333</v>
      </c>
      <c r="Z53" s="5">
        <v>222796055460692</v>
      </c>
      <c r="AA53" s="5">
        <v>221697381666114</v>
      </c>
      <c r="AB53" s="5">
        <v>2117259209466</v>
      </c>
      <c r="AC53" s="5">
        <v>216468505883476</v>
      </c>
      <c r="AD53" s="5">
        <v>216926377981138</v>
      </c>
      <c r="AE53" s="5">
        <v>232058444805585</v>
      </c>
      <c r="AF53" s="5">
        <v>235529139918848</v>
      </c>
      <c r="AG53" s="5">
        <v>21070923101226</v>
      </c>
      <c r="AH53" s="5">
        <v>20818791094782</v>
      </c>
      <c r="AI53" s="5">
        <v>195841103180918</v>
      </c>
      <c r="AJ53" s="5">
        <v>206205427528085</v>
      </c>
      <c r="AK53" s="5">
        <v>189721188475291</v>
      </c>
      <c r="AL53" s="5">
        <v>200538409027907</v>
      </c>
      <c r="AM53" s="5">
        <v>194078372039328</v>
      </c>
      <c r="AN53" s="5">
        <v>214185676859374</v>
      </c>
      <c r="AO53" s="5">
        <v>198251770602839</v>
      </c>
      <c r="AP53" s="5">
        <v>202270468348837</v>
      </c>
      <c r="AQ53" s="5"/>
      <c r="AR53" s="5"/>
      <c r="AS53" s="5"/>
      <c r="AT53" s="5"/>
      <c r="AU53" s="5"/>
      <c r="AV53" s="5"/>
      <c r="AW53" s="5"/>
      <c r="AX53" s="5"/>
      <c r="AY53" s="5"/>
      <c r="AZ53" s="5"/>
      <c r="BA53" s="5"/>
    </row>
    <row r="54" spans="1:53" x14ac:dyDescent="0.45">
      <c r="A54" s="1"/>
      <c r="B54" s="2"/>
      <c r="C54" s="1" t="s">
        <v>48</v>
      </c>
      <c r="D54" s="2">
        <v>3001622</v>
      </c>
      <c r="E54" s="3" t="s">
        <v>595</v>
      </c>
      <c r="F54" s="3" t="s">
        <v>596</v>
      </c>
      <c r="G54" s="3" t="s">
        <v>597</v>
      </c>
      <c r="H54" s="5">
        <v>842115469987814</v>
      </c>
      <c r="I54" s="5">
        <v>843622265247955</v>
      </c>
      <c r="J54" s="5">
        <v>802891940269104</v>
      </c>
      <c r="K54" s="5">
        <v>735437608621267</v>
      </c>
      <c r="L54" s="5">
        <v>701592663042029</v>
      </c>
      <c r="M54" s="5">
        <v>69830538588</v>
      </c>
      <c r="N54" s="5">
        <v>68595303708</v>
      </c>
      <c r="O54" s="5">
        <v>6641238384</v>
      </c>
      <c r="P54" s="5">
        <v>678090455302</v>
      </c>
      <c r="Q54" s="5">
        <v>66927344848</v>
      </c>
      <c r="R54" s="5">
        <v>669993355023846</v>
      </c>
      <c r="S54" s="5">
        <v>602174274966</v>
      </c>
      <c r="T54" s="5">
        <v>591956193994</v>
      </c>
      <c r="U54" s="5">
        <v>60663379524</v>
      </c>
      <c r="V54" s="5">
        <v>565809886818926</v>
      </c>
      <c r="W54" s="5">
        <v>614943211488287</v>
      </c>
      <c r="X54" s="5">
        <v>617268410333837</v>
      </c>
      <c r="Y54" s="5">
        <v>621652871749</v>
      </c>
      <c r="Z54" s="5">
        <v>600258429225</v>
      </c>
      <c r="AA54" s="5">
        <v>596026940782</v>
      </c>
      <c r="AB54" s="5">
        <v>566283632838</v>
      </c>
      <c r="AC54" s="5">
        <v>536103895304604</v>
      </c>
      <c r="AD54" s="5">
        <v>512646068159726</v>
      </c>
      <c r="AE54" s="5">
        <v>525607201493426</v>
      </c>
      <c r="AF54" s="5">
        <v>568791890310538</v>
      </c>
      <c r="AG54" s="5">
        <v>538733383590619</v>
      </c>
      <c r="AH54" s="5">
        <v>463493861818271</v>
      </c>
      <c r="AI54" s="5">
        <v>474113182318644</v>
      </c>
      <c r="AJ54" s="5">
        <v>501334771197792</v>
      </c>
      <c r="AK54" s="5">
        <v>497971574125641</v>
      </c>
      <c r="AL54" s="5">
        <v>5134486986023</v>
      </c>
      <c r="AM54" s="5">
        <v>4493549024145</v>
      </c>
      <c r="AN54" s="5">
        <v>4455565708451</v>
      </c>
      <c r="AO54" s="5">
        <v>432188391370192</v>
      </c>
      <c r="AP54" s="5">
        <v>421781039840643</v>
      </c>
      <c r="AQ54" s="5"/>
      <c r="AR54" s="5"/>
      <c r="AS54" s="5"/>
      <c r="AT54" s="5"/>
      <c r="AU54" s="5"/>
      <c r="AV54" s="5"/>
      <c r="AW54" s="5"/>
      <c r="AX54" s="5"/>
      <c r="AY54" s="5"/>
      <c r="AZ54" s="5"/>
      <c r="BA54" s="5"/>
    </row>
    <row r="55" spans="1:53" x14ac:dyDescent="0.45">
      <c r="A55" s="1"/>
      <c r="B55" s="2"/>
      <c r="C55" s="1" t="s">
        <v>49</v>
      </c>
      <c r="D55" s="2">
        <v>4142027</v>
      </c>
      <c r="E55" s="3" t="s">
        <v>598</v>
      </c>
      <c r="F55" s="3" t="s">
        <v>599</v>
      </c>
      <c r="G55" s="3" t="s">
        <v>600</v>
      </c>
      <c r="H55" s="5">
        <v>11677424816148</v>
      </c>
      <c r="I55" s="5">
        <v>110543960097698</v>
      </c>
      <c r="J55" s="5">
        <v>104246853928767</v>
      </c>
      <c r="K55" s="5">
        <v>101340259815732</v>
      </c>
      <c r="L55" s="5">
        <v>965900273477139</v>
      </c>
      <c r="M55" s="5">
        <v>110008803602267</v>
      </c>
      <c r="N55" s="5">
        <v>116180772529218</v>
      </c>
      <c r="O55" s="5">
        <v>11266764918962</v>
      </c>
      <c r="P55" s="5">
        <v>118648182138684</v>
      </c>
      <c r="Q55" s="5">
        <v>111541923843078</v>
      </c>
      <c r="R55" s="5">
        <v>12641899992</v>
      </c>
      <c r="S55" s="5">
        <v>121022794248</v>
      </c>
      <c r="T55" s="5">
        <v>120048221856</v>
      </c>
      <c r="U55" s="5">
        <v>13467108424</v>
      </c>
      <c r="V55" s="5">
        <v>106569433128</v>
      </c>
      <c r="W55" s="5">
        <v>1328386146435</v>
      </c>
      <c r="X55" s="5">
        <v>126780542966</v>
      </c>
      <c r="Y55" s="5">
        <v>136301457768</v>
      </c>
      <c r="Z55" s="5">
        <v>117818407764</v>
      </c>
      <c r="AA55" s="5">
        <v>1057088634465</v>
      </c>
      <c r="AB55" s="5">
        <v>852127128769455</v>
      </c>
      <c r="AC55" s="5">
        <v>956997199503558</v>
      </c>
      <c r="AD55" s="5">
        <v>762940376816697</v>
      </c>
      <c r="AE55" s="5">
        <v>853977115144335</v>
      </c>
      <c r="AF55" s="5">
        <v>94949936404257</v>
      </c>
      <c r="AG55" s="5">
        <v>114387485998122</v>
      </c>
      <c r="AH55" s="5">
        <v>106338322606418</v>
      </c>
      <c r="AI55" s="5">
        <v>11256084907704</v>
      </c>
      <c r="AJ55" s="5">
        <v>131691543941386</v>
      </c>
      <c r="AK55" s="5">
        <v>159837713837471</v>
      </c>
      <c r="AL55" s="5">
        <v>153798187686165</v>
      </c>
      <c r="AM55" s="5">
        <v>143874180109064</v>
      </c>
      <c r="AN55" s="5">
        <v>11914102099639</v>
      </c>
      <c r="AO55" s="5">
        <v>109973481608373</v>
      </c>
      <c r="AP55" s="5">
        <v>125641701850153</v>
      </c>
      <c r="AQ55" s="5"/>
      <c r="AR55" s="5"/>
      <c r="AS55" s="5"/>
      <c r="AT55" s="5"/>
      <c r="AU55" s="5"/>
      <c r="AV55" s="5"/>
      <c r="AW55" s="5"/>
      <c r="AX55" s="5"/>
      <c r="AY55" s="5"/>
      <c r="AZ55" s="5"/>
      <c r="BA55" s="5"/>
    </row>
    <row r="56" spans="1:53" x14ac:dyDescent="0.45">
      <c r="A56" s="1"/>
      <c r="B56" s="2"/>
      <c r="C56" s="1" t="s">
        <v>50</v>
      </c>
      <c r="D56" s="2">
        <v>4014079</v>
      </c>
      <c r="E56" s="3" t="s">
        <v>602</v>
      </c>
      <c r="F56" s="3" t="s">
        <v>603</v>
      </c>
      <c r="G56" s="3" t="s">
        <v>604</v>
      </c>
      <c r="H56" s="5">
        <v>110342720127546</v>
      </c>
      <c r="I56" s="5">
        <v>117312142490004</v>
      </c>
      <c r="J56" s="5">
        <v>128805351040766</v>
      </c>
      <c r="K56" s="5">
        <v>122053882837506</v>
      </c>
      <c r="L56" s="5">
        <v>117623723884268</v>
      </c>
      <c r="M56" s="5">
        <v>12484492994</v>
      </c>
      <c r="N56" s="5">
        <v>129918893454</v>
      </c>
      <c r="O56" s="5">
        <v>1278257516</v>
      </c>
      <c r="P56" s="5">
        <v>1235462722494</v>
      </c>
      <c r="Q56" s="5">
        <v>1215825295664</v>
      </c>
      <c r="R56" s="5">
        <v>121082601006</v>
      </c>
      <c r="S56" s="5">
        <v>1235384752302</v>
      </c>
      <c r="T56" s="5">
        <v>1243140530091</v>
      </c>
      <c r="U56" s="5">
        <v>124126917156</v>
      </c>
      <c r="V56" s="5">
        <v>1225162152564</v>
      </c>
      <c r="W56" s="5">
        <v>12702554813025</v>
      </c>
      <c r="X56" s="5">
        <v>123767383847999</v>
      </c>
      <c r="Y56" s="5">
        <v>110036406831758</v>
      </c>
      <c r="Z56" s="5">
        <v>9225706077765</v>
      </c>
      <c r="AA56" s="5">
        <v>920751283545</v>
      </c>
      <c r="AB56" s="5">
        <v>88335507034191</v>
      </c>
      <c r="AC56" s="5">
        <v>861724897177022</v>
      </c>
      <c r="AD56" s="5">
        <v>841932785844079</v>
      </c>
      <c r="AE56" s="5">
        <v>912890752859528</v>
      </c>
      <c r="AF56" s="5">
        <v>895759993329673</v>
      </c>
      <c r="AG56" s="5">
        <v>846816909652753</v>
      </c>
      <c r="AH56" s="5">
        <v>75926003351488</v>
      </c>
      <c r="AI56" s="5">
        <v>808055656084765</v>
      </c>
      <c r="AJ56" s="5">
        <v>848419775249414</v>
      </c>
      <c r="AK56" s="5">
        <v>868183928999573</v>
      </c>
      <c r="AL56" s="5">
        <v>89169407099945</v>
      </c>
      <c r="AM56" s="5">
        <v>9016747284645</v>
      </c>
      <c r="AN56" s="5">
        <v>904175971624</v>
      </c>
      <c r="AO56" s="5">
        <v>87837116147805</v>
      </c>
      <c r="AP56" s="5">
        <v>7680577632795</v>
      </c>
      <c r="AQ56" s="5"/>
      <c r="AR56" s="5"/>
      <c r="AS56" s="5"/>
      <c r="AT56" s="5"/>
      <c r="AU56" s="5"/>
      <c r="AV56" s="5"/>
      <c r="AW56" s="5"/>
      <c r="AX56" s="5"/>
      <c r="AY56" s="5"/>
      <c r="AZ56" s="5"/>
      <c r="BA56" s="5"/>
    </row>
    <row r="57" spans="1:53" x14ac:dyDescent="0.45">
      <c r="A57" s="1"/>
      <c r="B57" s="2"/>
      <c r="C57" s="1" t="s">
        <v>51</v>
      </c>
      <c r="D57" s="2">
        <v>100369</v>
      </c>
      <c r="E57" s="3" t="s">
        <v>605</v>
      </c>
      <c r="F57" s="3" t="s">
        <v>606</v>
      </c>
      <c r="G57" s="3" t="s">
        <v>607</v>
      </c>
      <c r="H57" s="5">
        <v>256428876823301</v>
      </c>
      <c r="I57" s="5">
        <v>246729376152623</v>
      </c>
      <c r="J57" s="5">
        <v>245411582851537</v>
      </c>
      <c r="K57" s="5">
        <v>22620627100092</v>
      </c>
      <c r="L57" s="5">
        <v>212254138176533</v>
      </c>
      <c r="M57" s="5">
        <v>201600204215842</v>
      </c>
      <c r="N57" s="5">
        <v>211616106891</v>
      </c>
      <c r="O57" s="5">
        <v>19848965031</v>
      </c>
      <c r="P57" s="5">
        <v>213661629389141</v>
      </c>
      <c r="Q57" s="5">
        <v>22087709273392</v>
      </c>
      <c r="R57" s="5">
        <v>23306964967336</v>
      </c>
      <c r="S57" s="5">
        <v>21090908308344</v>
      </c>
      <c r="T57" s="5">
        <v>2115525564165</v>
      </c>
      <c r="U57" s="5">
        <v>201894048576</v>
      </c>
      <c r="V57" s="5">
        <v>152410438758607</v>
      </c>
      <c r="W57" s="5">
        <v>142081660008</v>
      </c>
      <c r="X57" s="5">
        <v>147749026269057</v>
      </c>
      <c r="Y57" s="5">
        <v>132489428187103</v>
      </c>
      <c r="Z57" s="5">
        <v>12273887933028</v>
      </c>
      <c r="AA57" s="5">
        <v>13650924065964</v>
      </c>
      <c r="AB57" s="5">
        <v>131105509793932</v>
      </c>
      <c r="AC57" s="5">
        <v>119005850601396</v>
      </c>
      <c r="AD57" s="5">
        <v>135643916485716</v>
      </c>
      <c r="AE57" s="5">
        <v>161522126183382</v>
      </c>
      <c r="AF57" s="5">
        <v>171967796386035</v>
      </c>
      <c r="AG57" s="5">
        <v>158446109642266</v>
      </c>
      <c r="AH57" s="5">
        <v>14613655097637</v>
      </c>
      <c r="AI57" s="5">
        <v>152270813681217</v>
      </c>
      <c r="AJ57" s="5">
        <v>169423793225407</v>
      </c>
      <c r="AK57" s="5">
        <v>16068966665325</v>
      </c>
      <c r="AL57" s="5">
        <v>158105436670622</v>
      </c>
      <c r="AM57" s="5">
        <v>149881791613877</v>
      </c>
      <c r="AN57" s="5">
        <v>14883832427813</v>
      </c>
      <c r="AO57" s="5">
        <v>148327454444574</v>
      </c>
      <c r="AP57" s="5">
        <v>141122666596473</v>
      </c>
      <c r="AQ57" s="5"/>
      <c r="AR57" s="5"/>
      <c r="AS57" s="5"/>
      <c r="AT57" s="5"/>
      <c r="AU57" s="5"/>
      <c r="AV57" s="5"/>
      <c r="AW57" s="5"/>
      <c r="AX57" s="5"/>
      <c r="AY57" s="5"/>
      <c r="AZ57" s="5"/>
      <c r="BA57" s="5"/>
    </row>
    <row r="58" spans="1:53" x14ac:dyDescent="0.45">
      <c r="A58" s="1"/>
      <c r="B58" s="2"/>
      <c r="C58" s="1" t="s">
        <v>52</v>
      </c>
      <c r="D58" s="2">
        <v>4081442</v>
      </c>
      <c r="E58" s="3" t="s">
        <v>608</v>
      </c>
      <c r="F58" s="3" t="s">
        <v>609</v>
      </c>
      <c r="G58" s="3" t="s">
        <v>469</v>
      </c>
      <c r="H58" s="5">
        <v>293294966866652</v>
      </c>
      <c r="I58" s="5">
        <v>299796713171453</v>
      </c>
      <c r="J58" s="5">
        <v>301748041021732</v>
      </c>
      <c r="K58" s="5">
        <v>289287088410463</v>
      </c>
      <c r="L58" s="5">
        <v>2846617282599</v>
      </c>
      <c r="M58" s="5">
        <v>278996201504899</v>
      </c>
      <c r="N58" s="5">
        <v>288488827336073</v>
      </c>
      <c r="O58" s="5">
        <v>286980634846926</v>
      </c>
      <c r="P58" s="5">
        <v>2769583824384</v>
      </c>
      <c r="Q58" s="5">
        <v>2628477384512</v>
      </c>
      <c r="R58" s="5">
        <v>259059298968072</v>
      </c>
      <c r="S58" s="5">
        <v>2414906731224</v>
      </c>
      <c r="T58" s="5">
        <v>2284642514544</v>
      </c>
      <c r="U58" s="5">
        <v>228305089584</v>
      </c>
      <c r="V58" s="5">
        <v>2361631078124</v>
      </c>
      <c r="W58" s="5">
        <v>230322947526</v>
      </c>
      <c r="X58" s="5">
        <v>227993074632226</v>
      </c>
      <c r="Y58" s="5">
        <v>236439974165456</v>
      </c>
      <c r="Z58" s="5">
        <v>224021724229893</v>
      </c>
      <c r="AA58" s="5">
        <v>213365235619946</v>
      </c>
      <c r="AB58" s="5">
        <v>212425951247951</v>
      </c>
      <c r="AC58" s="5">
        <v>199266089428855</v>
      </c>
      <c r="AD58" s="5">
        <v>18502266512853</v>
      </c>
      <c r="AE58" s="5">
        <v>192148787785412</v>
      </c>
      <c r="AF58" s="5">
        <v>194944020881528</v>
      </c>
      <c r="AG58" s="5">
        <v>184976560370535</v>
      </c>
      <c r="AH58" s="5">
        <v>160580717868445</v>
      </c>
      <c r="AI58" s="5">
        <v>187263001467467</v>
      </c>
      <c r="AJ58" s="5">
        <v>19744670844648</v>
      </c>
      <c r="AK58" s="5">
        <v>34168079713005</v>
      </c>
      <c r="AL58" s="5">
        <v>33031701308181</v>
      </c>
      <c r="AM58" s="5">
        <v>33373893179655</v>
      </c>
      <c r="AN58" s="5">
        <v>346573071098883</v>
      </c>
      <c r="AO58" s="5">
        <v>334617735432627</v>
      </c>
      <c r="AP58" s="5">
        <v>337528198290599</v>
      </c>
      <c r="AQ58" s="5"/>
      <c r="AR58" s="5"/>
      <c r="AS58" s="5"/>
      <c r="AT58" s="5"/>
      <c r="AU58" s="5"/>
      <c r="AV58" s="5"/>
      <c r="AW58" s="5"/>
      <c r="AX58" s="5"/>
      <c r="AY58" s="5"/>
      <c r="AZ58" s="5"/>
      <c r="BA58" s="5"/>
    </row>
    <row r="59" spans="1:53" x14ac:dyDescent="0.45">
      <c r="A59" s="1"/>
      <c r="B59" s="2"/>
      <c r="C59" s="1" t="s">
        <v>53</v>
      </c>
      <c r="D59" s="2">
        <v>4133271</v>
      </c>
      <c r="E59" s="3" t="s">
        <v>610</v>
      </c>
      <c r="F59" s="3" t="s">
        <v>611</v>
      </c>
      <c r="G59" s="3" t="s">
        <v>469</v>
      </c>
      <c r="H59" s="5">
        <v>474936272775112</v>
      </c>
      <c r="I59" s="5">
        <v>436870166753493</v>
      </c>
      <c r="J59" s="5">
        <v>407904586077766</v>
      </c>
      <c r="K59" s="5">
        <v>377287460370829</v>
      </c>
      <c r="L59" s="5">
        <v>382191779011589</v>
      </c>
      <c r="M59" s="5">
        <v>38851364065</v>
      </c>
      <c r="N59" s="5">
        <v>3888001357525</v>
      </c>
      <c r="O59" s="5">
        <v>382895059447999</v>
      </c>
      <c r="P59" s="5">
        <v>3660765540978</v>
      </c>
      <c r="Q59" s="5">
        <v>3651164371904</v>
      </c>
      <c r="R59" s="5">
        <v>36698936673</v>
      </c>
      <c r="S59" s="5">
        <v>3798985030089</v>
      </c>
      <c r="T59" s="5">
        <v>3626276383345</v>
      </c>
      <c r="U59" s="5">
        <v>33964533152</v>
      </c>
      <c r="V59" s="5">
        <v>3262110681612</v>
      </c>
      <c r="W59" s="5">
        <v>34046824452885</v>
      </c>
      <c r="X59" s="5">
        <v>33848679460365</v>
      </c>
      <c r="Y59" s="5">
        <v>3342387664</v>
      </c>
      <c r="Z59" s="5">
        <v>324044923491</v>
      </c>
      <c r="AA59" s="5">
        <v>317374059995</v>
      </c>
      <c r="AB59" s="5">
        <v>298246499238969</v>
      </c>
      <c r="AC59" s="5">
        <v>287509368087213</v>
      </c>
      <c r="AD59" s="5">
        <v>285031283888406</v>
      </c>
      <c r="AE59" s="5">
        <v>30101729823778</v>
      </c>
      <c r="AF59" s="5">
        <v>299707692429725</v>
      </c>
      <c r="AG59" s="5">
        <v>271741712706577</v>
      </c>
      <c r="AH59" s="5">
        <v>249929358467294</v>
      </c>
      <c r="AI59" s="5">
        <v>264701014927307</v>
      </c>
      <c r="AJ59" s="5">
        <v>288362899278946</v>
      </c>
      <c r="AK59" s="5">
        <v>266267930957823</v>
      </c>
      <c r="AL59" s="5">
        <v>26806786393489</v>
      </c>
      <c r="AM59" s="5">
        <v>242779248477225</v>
      </c>
      <c r="AN59" s="5">
        <v>257883717336585</v>
      </c>
      <c r="AO59" s="5">
        <v>25246498789848</v>
      </c>
      <c r="AP59" s="5">
        <v>23651446457475</v>
      </c>
      <c r="AQ59" s="5"/>
      <c r="AR59" s="5"/>
      <c r="AS59" s="5"/>
      <c r="AT59" s="5"/>
      <c r="AU59" s="5"/>
      <c r="AV59" s="5"/>
      <c r="AW59" s="5"/>
      <c r="AX59" s="5"/>
      <c r="AY59" s="5"/>
      <c r="AZ59" s="5"/>
      <c r="BA59" s="5"/>
    </row>
    <row r="60" spans="1:53" x14ac:dyDescent="0.45">
      <c r="A60" s="1"/>
      <c r="B60" s="2"/>
      <c r="C60" s="1" t="s">
        <v>54</v>
      </c>
      <c r="D60" s="2">
        <v>103462</v>
      </c>
      <c r="E60" s="3" t="s">
        <v>612</v>
      </c>
      <c r="F60" s="3" t="s">
        <v>613</v>
      </c>
      <c r="G60" s="3" t="s">
        <v>614</v>
      </c>
      <c r="H60" s="5">
        <v>407446341237659</v>
      </c>
      <c r="I60" s="5">
        <v>401113766797675</v>
      </c>
      <c r="J60" s="5">
        <v>396181784915863</v>
      </c>
      <c r="K60" s="5">
        <v>382484478968781</v>
      </c>
      <c r="L60" s="5">
        <v>376157264199811</v>
      </c>
      <c r="M60" s="5">
        <v>36645177370361</v>
      </c>
      <c r="N60" s="5">
        <v>366647726308</v>
      </c>
      <c r="O60" s="5">
        <v>363229719556</v>
      </c>
      <c r="P60" s="5">
        <v>373800344547794</v>
      </c>
      <c r="Q60" s="5">
        <v>384178921579954</v>
      </c>
      <c r="R60" s="5">
        <v>398280876390208</v>
      </c>
      <c r="S60" s="5">
        <v>37387802446338</v>
      </c>
      <c r="T60" s="5">
        <v>37939874533724</v>
      </c>
      <c r="U60" s="5">
        <v>3668678876544</v>
      </c>
      <c r="V60" s="5">
        <v>3243208755408</v>
      </c>
      <c r="W60" s="5">
        <v>31679360628462</v>
      </c>
      <c r="X60" s="5">
        <v>332890863976132</v>
      </c>
      <c r="Y60" s="5">
        <v>318007891358955</v>
      </c>
      <c r="Z60" s="5">
        <v>321301219519598</v>
      </c>
      <c r="AA60" s="5">
        <v>3120012605195</v>
      </c>
      <c r="AB60" s="5">
        <v>313521588954615</v>
      </c>
      <c r="AC60" s="5">
        <v>30521940941016</v>
      </c>
      <c r="AD60" s="5">
        <v>29540512338557</v>
      </c>
      <c r="AE60" s="5">
        <v>299496626007212</v>
      </c>
      <c r="AF60" s="5">
        <v>313044337919443</v>
      </c>
      <c r="AG60" s="5">
        <v>304473592038712</v>
      </c>
      <c r="AH60" s="5">
        <v>287760717273952</v>
      </c>
      <c r="AI60" s="5">
        <v>296038142939315</v>
      </c>
      <c r="AJ60" s="5">
        <v>318340101879831</v>
      </c>
      <c r="AK60" s="5">
        <v>301656963001721</v>
      </c>
      <c r="AL60" s="5">
        <v>321342238591606</v>
      </c>
      <c r="AM60" s="5">
        <v>31202330478798</v>
      </c>
      <c r="AN60" s="5">
        <v>331858042686168</v>
      </c>
      <c r="AO60" s="5">
        <v>324017767633524</v>
      </c>
      <c r="AP60" s="5">
        <v>314114170594798</v>
      </c>
      <c r="AQ60" s="5"/>
      <c r="AR60" s="5"/>
      <c r="AS60" s="5"/>
      <c r="AT60" s="5"/>
      <c r="AU60" s="5"/>
      <c r="AV60" s="5"/>
      <c r="AW60" s="5"/>
      <c r="AX60" s="5"/>
      <c r="AY60" s="5"/>
      <c r="AZ60" s="5"/>
      <c r="BA60" s="5"/>
    </row>
    <row r="61" spans="1:53" x14ac:dyDescent="0.45">
      <c r="A61" s="1"/>
      <c r="B61" s="2"/>
      <c r="C61" s="1" t="s">
        <v>55</v>
      </c>
      <c r="D61" s="2">
        <v>4095864</v>
      </c>
      <c r="E61" s="3" t="s">
        <v>615</v>
      </c>
      <c r="F61" s="3" t="s">
        <v>616</v>
      </c>
      <c r="G61" s="3" t="s">
        <v>617</v>
      </c>
      <c r="H61" s="5">
        <v>166689877238586</v>
      </c>
      <c r="I61" s="5">
        <v>149755392453117</v>
      </c>
      <c r="J61" s="5">
        <v>14386834660541</v>
      </c>
      <c r="K61" s="5">
        <v>144188581803896</v>
      </c>
      <c r="L61" s="5">
        <v>1393433783616</v>
      </c>
      <c r="M61" s="5">
        <v>150959743904</v>
      </c>
      <c r="N61" s="5">
        <v>153241622352</v>
      </c>
      <c r="O61" s="5">
        <v>162488144838463</v>
      </c>
      <c r="P61" s="5">
        <v>1469855699598</v>
      </c>
      <c r="Q61" s="5">
        <v>142082658788</v>
      </c>
      <c r="R61" s="5">
        <v>130460574618</v>
      </c>
      <c r="S61" s="5">
        <v>1294758513972</v>
      </c>
      <c r="T61" s="5">
        <v>1268541375453</v>
      </c>
      <c r="U61" s="5">
        <v>13547510663962</v>
      </c>
      <c r="V61" s="5">
        <v>1126355582868</v>
      </c>
      <c r="W61" s="5">
        <v>1077665837499</v>
      </c>
      <c r="X61" s="5">
        <v>111409353606831</v>
      </c>
      <c r="Y61" s="5">
        <v>970527823281744</v>
      </c>
      <c r="Z61" s="5">
        <v>889305481993734</v>
      </c>
      <c r="AA61" s="5">
        <v>936797104228</v>
      </c>
      <c r="AB61" s="5">
        <v>90572443242</v>
      </c>
      <c r="AC61" s="5">
        <v>965544575495488</v>
      </c>
      <c r="AD61" s="5">
        <v>884611351510942</v>
      </c>
      <c r="AE61" s="5">
        <v>96087773219802</v>
      </c>
      <c r="AF61" s="5">
        <v>10365185821137</v>
      </c>
      <c r="AG61" s="5">
        <v>109459947181671</v>
      </c>
      <c r="AH61" s="5">
        <v>114609297707164</v>
      </c>
      <c r="AI61" s="5">
        <v>115707718464536</v>
      </c>
      <c r="AJ61" s="5">
        <v>103105520771142</v>
      </c>
      <c r="AK61" s="5">
        <v>103276029280284</v>
      </c>
      <c r="AL61" s="5">
        <v>1113971060627</v>
      </c>
      <c r="AM61" s="5">
        <v>109051401663666</v>
      </c>
      <c r="AN61" s="5">
        <v>123887709006678</v>
      </c>
      <c r="AO61" s="5">
        <v>119186441246205</v>
      </c>
      <c r="AP61" s="5">
        <v>109361355528216</v>
      </c>
      <c r="AQ61" s="5"/>
      <c r="AR61" s="5"/>
      <c r="AS61" s="5"/>
      <c r="AT61" s="5"/>
      <c r="AU61" s="5"/>
      <c r="AV61" s="5"/>
      <c r="AW61" s="5"/>
      <c r="AX61" s="5"/>
      <c r="AY61" s="5"/>
      <c r="AZ61" s="5"/>
      <c r="BA61" s="5"/>
    </row>
    <row r="62" spans="1:53" x14ac:dyDescent="0.45">
      <c r="A62" s="1"/>
      <c r="B62" s="2"/>
      <c r="C62" s="1" t="s">
        <v>56</v>
      </c>
      <c r="D62" s="2">
        <v>4810610</v>
      </c>
      <c r="E62" s="3" t="s">
        <v>618</v>
      </c>
      <c r="F62" s="3" t="s">
        <v>619</v>
      </c>
      <c r="G62" s="3" t="s">
        <v>487</v>
      </c>
      <c r="H62" s="5">
        <v>404176591316472</v>
      </c>
      <c r="I62" s="5">
        <v>423882951927435</v>
      </c>
      <c r="J62" s="5">
        <v>420846215561454</v>
      </c>
      <c r="K62" s="5">
        <v>382476485325789</v>
      </c>
      <c r="L62" s="5">
        <v>389141197048107</v>
      </c>
      <c r="M62" s="5">
        <v>367168839869952</v>
      </c>
      <c r="N62" s="5">
        <v>384488054858125</v>
      </c>
      <c r="O62" s="5">
        <v>3724013045868</v>
      </c>
      <c r="P62" s="5">
        <v>366693086038542</v>
      </c>
      <c r="Q62" s="5">
        <v>354697548391172</v>
      </c>
      <c r="R62" s="5">
        <v>373690602397296</v>
      </c>
      <c r="S62" s="5">
        <v>351799050331245</v>
      </c>
      <c r="T62" s="5">
        <v>363436427620248</v>
      </c>
      <c r="U62" s="5">
        <v>371867291153952</v>
      </c>
      <c r="V62" s="5">
        <v>353919166595208</v>
      </c>
      <c r="W62" s="5">
        <v>36337958958465</v>
      </c>
      <c r="X62" s="5">
        <v>352465982074225</v>
      </c>
      <c r="Y62" s="5">
        <v>374406776089631</v>
      </c>
      <c r="Z62" s="5">
        <v>377880541998375</v>
      </c>
      <c r="AA62" s="5">
        <v>367419537391885</v>
      </c>
      <c r="AB62" s="5">
        <v>30258928314683</v>
      </c>
      <c r="AC62" s="5">
        <v>293886116035624</v>
      </c>
      <c r="AD62" s="5">
        <v>284208745606962</v>
      </c>
      <c r="AE62" s="5">
        <v>30819544447275</v>
      </c>
      <c r="AF62" s="5">
        <v>32109089713639</v>
      </c>
      <c r="AG62" s="5">
        <v>297370690128981</v>
      </c>
      <c r="AH62" s="5">
        <v>308020946858062</v>
      </c>
      <c r="AI62" s="5">
        <v>313494011568042</v>
      </c>
      <c r="AJ62" s="5">
        <v>367833456745622</v>
      </c>
      <c r="AK62" s="5">
        <v>328437021826258</v>
      </c>
      <c r="AL62" s="5">
        <v>342750159130556</v>
      </c>
      <c r="AM62" s="5">
        <v>318298797018</v>
      </c>
      <c r="AN62" s="5">
        <v>346667086987979</v>
      </c>
      <c r="AO62" s="5">
        <v>323002078957254</v>
      </c>
      <c r="AP62" s="5">
        <v>305481409429931</v>
      </c>
      <c r="AQ62" s="5"/>
      <c r="AR62" s="5"/>
      <c r="AS62" s="5"/>
      <c r="AT62" s="5"/>
      <c r="AU62" s="5"/>
      <c r="AV62" s="5"/>
      <c r="AW62" s="5"/>
      <c r="AX62" s="5"/>
      <c r="AY62" s="5"/>
      <c r="AZ62" s="5"/>
      <c r="BA62" s="5"/>
    </row>
    <row r="63" spans="1:53" x14ac:dyDescent="0.45">
      <c r="A63" s="1"/>
      <c r="B63" s="2"/>
      <c r="C63" s="1" t="s">
        <v>57</v>
      </c>
      <c r="D63" s="2">
        <v>4152157</v>
      </c>
      <c r="E63" s="3" t="s">
        <v>620</v>
      </c>
      <c r="F63" s="3" t="s">
        <v>621</v>
      </c>
      <c r="G63" s="3" t="s">
        <v>472</v>
      </c>
      <c r="H63" s="5">
        <v>561059088072658</v>
      </c>
      <c r="I63" s="5">
        <v>572100410983995</v>
      </c>
      <c r="J63" s="5">
        <v>566157467095598</v>
      </c>
      <c r="K63" s="5">
        <v>560147883789927</v>
      </c>
      <c r="L63" s="5">
        <v>563624549019373</v>
      </c>
      <c r="M63" s="5">
        <v>519523986465328</v>
      </c>
      <c r="N63" s="5">
        <v>504521141248</v>
      </c>
      <c r="O63" s="5">
        <v>46775705436</v>
      </c>
      <c r="P63" s="5">
        <v>5280017604056</v>
      </c>
      <c r="Q63" s="5">
        <v>552189298248</v>
      </c>
      <c r="R63" s="5">
        <v>5870842614</v>
      </c>
      <c r="S63" s="5">
        <v>55494354528</v>
      </c>
      <c r="T63" s="5">
        <v>5844698961838</v>
      </c>
      <c r="U63" s="5">
        <v>605258461654</v>
      </c>
      <c r="V63" s="5">
        <v>5561877499624</v>
      </c>
      <c r="W63" s="5">
        <v>6102210200724</v>
      </c>
      <c r="X63" s="5">
        <v>600753294995083</v>
      </c>
      <c r="Y63" s="5">
        <v>568558893772344</v>
      </c>
      <c r="Z63" s="5">
        <v>4769744070195</v>
      </c>
      <c r="AA63" s="5">
        <v>57026796083075</v>
      </c>
      <c r="AB63" s="5">
        <v>52595551927425</v>
      </c>
      <c r="AC63" s="5">
        <v>522210305865431</v>
      </c>
      <c r="AD63" s="5">
        <v>562492426882725</v>
      </c>
      <c r="AE63" s="5">
        <v>628746728223596</v>
      </c>
      <c r="AF63" s="5">
        <v>605242867041783</v>
      </c>
      <c r="AG63" s="5">
        <v>587235997140708</v>
      </c>
      <c r="AH63" s="5">
        <v>614911907029134</v>
      </c>
      <c r="AI63" s="5">
        <v>624173399064544</v>
      </c>
      <c r="AJ63" s="5">
        <v>678566023055093</v>
      </c>
      <c r="AK63" s="5">
        <v>853029562991281</v>
      </c>
      <c r="AL63" s="5">
        <v>85086616540245</v>
      </c>
      <c r="AM63" s="5">
        <v>785697085228444</v>
      </c>
      <c r="AN63" s="5">
        <v>922133664898133</v>
      </c>
      <c r="AO63" s="5">
        <v>857029878644879</v>
      </c>
      <c r="AP63" s="5">
        <v>814024074751273</v>
      </c>
      <c r="AQ63" s="5"/>
      <c r="AR63" s="5"/>
      <c r="AS63" s="5"/>
      <c r="AT63" s="5"/>
      <c r="AU63" s="5"/>
      <c r="AV63" s="5"/>
      <c r="AW63" s="5"/>
      <c r="AX63" s="5"/>
      <c r="AY63" s="5"/>
      <c r="AZ63" s="5"/>
      <c r="BA63" s="5"/>
    </row>
    <row r="64" spans="1:53" x14ac:dyDescent="0.45">
      <c r="A64" s="1"/>
      <c r="B64" s="2"/>
      <c r="C64" s="1" t="s">
        <v>58</v>
      </c>
      <c r="D64" s="2">
        <v>4048287</v>
      </c>
      <c r="E64" s="3" t="s">
        <v>622</v>
      </c>
      <c r="F64" s="3" t="s">
        <v>623</v>
      </c>
      <c r="G64" s="3" t="s">
        <v>536</v>
      </c>
      <c r="H64" s="5">
        <v>690496507760705</v>
      </c>
      <c r="I64" s="5">
        <v>679249457739195</v>
      </c>
      <c r="J64" s="5">
        <v>655398660000387</v>
      </c>
      <c r="K64" s="5">
        <v>613006259784238</v>
      </c>
      <c r="L64" s="5">
        <v>571789680920369</v>
      </c>
      <c r="M64" s="5">
        <v>588936240705456</v>
      </c>
      <c r="N64" s="5">
        <v>602494326861642</v>
      </c>
      <c r="O64" s="5">
        <v>59270000803156</v>
      </c>
      <c r="P64" s="5">
        <v>574862234550997</v>
      </c>
      <c r="Q64" s="5">
        <v>584351984848763</v>
      </c>
      <c r="R64" s="5">
        <v>594663263143466</v>
      </c>
      <c r="S64" s="5">
        <v>567181063735376</v>
      </c>
      <c r="T64" s="5">
        <v>589959275532916</v>
      </c>
      <c r="U64" s="5">
        <v>574054772457443</v>
      </c>
      <c r="V64" s="5">
        <v>510067242333743</v>
      </c>
      <c r="W64" s="5">
        <v>5283759527523</v>
      </c>
      <c r="X64" s="5">
        <v>549034869522502</v>
      </c>
      <c r="Y64" s="5">
        <v>544271589243134</v>
      </c>
      <c r="Z64" s="5">
        <v>508778284320114</v>
      </c>
      <c r="AA64" s="5">
        <v>5393056588406</v>
      </c>
      <c r="AB64" s="5">
        <v>513905320253112</v>
      </c>
      <c r="AC64" s="5">
        <v>477069315333584</v>
      </c>
      <c r="AD64" s="5">
        <v>482474768882654</v>
      </c>
      <c r="AE64" s="5">
        <v>520867649801542</v>
      </c>
      <c r="AF64" s="5">
        <v>571944351101854</v>
      </c>
      <c r="AG64" s="5">
        <v>536842454723831</v>
      </c>
      <c r="AH64" s="5">
        <v>443480597788508</v>
      </c>
      <c r="AI64" s="5">
        <v>449274088580922</v>
      </c>
      <c r="AJ64" s="5">
        <v>506491844463448</v>
      </c>
      <c r="AK64" s="5">
        <v>517935539208613</v>
      </c>
      <c r="AL64" s="5">
        <v>556861884830285</v>
      </c>
      <c r="AM64" s="5">
        <v>543175876161304</v>
      </c>
      <c r="AN64" s="5">
        <v>568439324449315</v>
      </c>
      <c r="AO64" s="5">
        <v>55293021855317</v>
      </c>
      <c r="AP64" s="5">
        <v>504736064912205</v>
      </c>
      <c r="AQ64" s="5"/>
      <c r="AR64" s="5"/>
      <c r="AS64" s="5"/>
      <c r="AT64" s="5"/>
      <c r="AU64" s="5"/>
      <c r="AV64" s="5"/>
      <c r="AW64" s="5"/>
      <c r="AX64" s="5"/>
      <c r="AY64" s="5"/>
      <c r="AZ64" s="5"/>
      <c r="BA64" s="5"/>
    </row>
    <row r="65" spans="1:53" x14ac:dyDescent="0.45">
      <c r="A65" s="1"/>
      <c r="B65" s="2"/>
      <c r="C65" s="1" t="s">
        <v>59</v>
      </c>
      <c r="D65" s="2">
        <v>4157397</v>
      </c>
      <c r="E65" s="3" t="s">
        <v>624</v>
      </c>
      <c r="F65" s="3" t="s">
        <v>625</v>
      </c>
      <c r="G65" s="3" t="s">
        <v>536</v>
      </c>
      <c r="H65" s="5">
        <v>176263353769215</v>
      </c>
      <c r="I65" s="5">
        <v>176058629544227</v>
      </c>
      <c r="J65" s="5">
        <v>188913946459782</v>
      </c>
      <c r="K65" s="5">
        <v>186524104384281</v>
      </c>
      <c r="L65" s="5">
        <v>182081882294134</v>
      </c>
      <c r="M65" s="5">
        <v>186902530484862</v>
      </c>
      <c r="N65" s="5">
        <v>192493013408834</v>
      </c>
      <c r="O65" s="5">
        <v>192703245068352</v>
      </c>
      <c r="P65" s="5">
        <v>184959116152259</v>
      </c>
      <c r="Q65" s="5">
        <v>181499012368582</v>
      </c>
      <c r="R65" s="5">
        <v>181833840885925</v>
      </c>
      <c r="S65" s="5">
        <v>182346752884058</v>
      </c>
      <c r="T65" s="5">
        <v>164492256109737</v>
      </c>
      <c r="U65" s="5">
        <v>156426941237252</v>
      </c>
      <c r="V65" s="5">
        <v>14623487070202</v>
      </c>
      <c r="W65" s="5">
        <v>145436969715382</v>
      </c>
      <c r="X65" s="5">
        <v>157503032604987</v>
      </c>
      <c r="Y65" s="5">
        <v>152987128109847</v>
      </c>
      <c r="Z65" s="5">
        <v>140736831424688</v>
      </c>
      <c r="AA65" s="5">
        <v>149882647283148</v>
      </c>
      <c r="AB65" s="5">
        <v>152682822601373</v>
      </c>
      <c r="AC65" s="5">
        <v>152347926111571</v>
      </c>
      <c r="AD65" s="5">
        <v>15318674287508</v>
      </c>
      <c r="AE65" s="5">
        <v>169878233892484</v>
      </c>
      <c r="AF65" s="5">
        <v>186523770313998</v>
      </c>
      <c r="AG65" s="5">
        <v>188412558225698</v>
      </c>
      <c r="AH65" s="5">
        <v>178341266851</v>
      </c>
      <c r="AI65" s="5">
        <v>192159550646761</v>
      </c>
      <c r="AJ65" s="5">
        <v>221754813093327</v>
      </c>
      <c r="AK65" s="5">
        <v>229019725323686</v>
      </c>
      <c r="AL65" s="5">
        <v>249101778329575</v>
      </c>
      <c r="AM65" s="5">
        <v>226194148259021</v>
      </c>
      <c r="AN65" s="5">
        <v>223803069539824</v>
      </c>
      <c r="AO65" s="5">
        <v>206541811719824</v>
      </c>
      <c r="AP65" s="5">
        <v>200219869126236</v>
      </c>
      <c r="AQ65" s="5"/>
      <c r="AR65" s="5"/>
      <c r="AS65" s="5"/>
      <c r="AT65" s="5"/>
      <c r="AU65" s="5"/>
      <c r="AV65" s="5"/>
      <c r="AW65" s="5"/>
      <c r="AX65" s="5"/>
      <c r="AY65" s="5"/>
      <c r="AZ65" s="5"/>
      <c r="BA65" s="5"/>
    </row>
    <row r="66" spans="1:53" x14ac:dyDescent="0.45">
      <c r="A66" s="1"/>
      <c r="B66" s="2"/>
      <c r="C66" s="1" t="s">
        <v>60</v>
      </c>
      <c r="D66" s="2">
        <v>4122589</v>
      </c>
      <c r="E66" s="3" t="s">
        <v>626</v>
      </c>
      <c r="F66" s="3" t="s">
        <v>627</v>
      </c>
      <c r="G66" s="3" t="s">
        <v>628</v>
      </c>
      <c r="H66" s="5">
        <v>705787930332381</v>
      </c>
      <c r="I66" s="5">
        <v>712442347121329</v>
      </c>
      <c r="J66" s="5">
        <v>805732396098592</v>
      </c>
      <c r="K66" s="5">
        <v>759952070813972</v>
      </c>
      <c r="L66" s="5">
        <v>765142400226068</v>
      </c>
      <c r="M66" s="5">
        <v>84578895765</v>
      </c>
      <c r="N66" s="5">
        <v>805655597292</v>
      </c>
      <c r="O66" s="5">
        <v>82093780314</v>
      </c>
      <c r="P66" s="5">
        <v>833098101134</v>
      </c>
      <c r="Q66" s="5">
        <v>8184975600648</v>
      </c>
      <c r="R66" s="5">
        <v>798591719806018</v>
      </c>
      <c r="S66" s="5">
        <v>7203486111885</v>
      </c>
      <c r="T66" s="5">
        <v>685372127853</v>
      </c>
      <c r="U66" s="5">
        <v>70199451168</v>
      </c>
      <c r="V66" s="5">
        <v>6648767275236</v>
      </c>
      <c r="W66" s="5">
        <v>64709360610255</v>
      </c>
      <c r="X66" s="5">
        <v>628156135149391</v>
      </c>
      <c r="Y66" s="5">
        <v>6001016380758</v>
      </c>
      <c r="Z66" s="5">
        <v>5580185214258</v>
      </c>
      <c r="AA66" s="5">
        <v>5639420313526</v>
      </c>
      <c r="AB66" s="5">
        <v>582357976273342</v>
      </c>
      <c r="AC66" s="5">
        <v>5779187143011</v>
      </c>
      <c r="AD66" s="5">
        <v>48996900647025</v>
      </c>
      <c r="AE66" s="5">
        <v>584418086716051</v>
      </c>
      <c r="AF66" s="5">
        <v>588494766924408</v>
      </c>
      <c r="AG66" s="5">
        <v>668641222934276</v>
      </c>
      <c r="AH66" s="5">
        <v>56191987535526</v>
      </c>
      <c r="AI66" s="5">
        <v>565182501063125</v>
      </c>
      <c r="AJ66" s="5">
        <v>58348451690234</v>
      </c>
      <c r="AK66" s="5">
        <v>53580759714088</v>
      </c>
      <c r="AL66" s="5">
        <v>553567847389354</v>
      </c>
      <c r="AM66" s="5">
        <v>573124987938995</v>
      </c>
      <c r="AN66" s="5">
        <v>562838538162867</v>
      </c>
      <c r="AO66" s="5">
        <v>573225083336708</v>
      </c>
      <c r="AP66" s="5">
        <v>468139770794858</v>
      </c>
      <c r="AQ66" s="5"/>
      <c r="AR66" s="5"/>
      <c r="AS66" s="5"/>
      <c r="AT66" s="5"/>
      <c r="AU66" s="5"/>
      <c r="AV66" s="5"/>
      <c r="AW66" s="5"/>
      <c r="AX66" s="5"/>
      <c r="AY66" s="5"/>
      <c r="AZ66" s="5"/>
      <c r="BA66" s="5"/>
    </row>
    <row r="67" spans="1:53" x14ac:dyDescent="0.45">
      <c r="A67" s="1"/>
      <c r="B67" s="2"/>
      <c r="C67" s="1" t="s">
        <v>61</v>
      </c>
      <c r="D67" s="2">
        <v>4810597</v>
      </c>
      <c r="E67" s="3" t="s">
        <v>629</v>
      </c>
      <c r="F67" s="3" t="s">
        <v>630</v>
      </c>
      <c r="G67" s="3" t="s">
        <v>469</v>
      </c>
      <c r="H67" s="5">
        <v>283497752463629</v>
      </c>
      <c r="I67" s="5">
        <v>303027394034224</v>
      </c>
      <c r="J67" s="5">
        <v>331821259195679</v>
      </c>
      <c r="K67" s="5">
        <v>338651067035514</v>
      </c>
      <c r="L67" s="5">
        <v>318331484623786</v>
      </c>
      <c r="M67" s="5">
        <v>309547788363038</v>
      </c>
      <c r="N67" s="5">
        <v>33271736652</v>
      </c>
      <c r="O67" s="5">
        <v>3294324498</v>
      </c>
      <c r="P67" s="5">
        <v>3314490476908</v>
      </c>
      <c r="Q67" s="5">
        <v>3184008470328</v>
      </c>
      <c r="R67" s="5">
        <v>31532174637504</v>
      </c>
      <c r="S67" s="5">
        <v>3036056467536</v>
      </c>
      <c r="T67" s="5">
        <v>2790095800632</v>
      </c>
      <c r="U67" s="5">
        <v>263555342688</v>
      </c>
      <c r="V67" s="5">
        <v>273279943877864</v>
      </c>
      <c r="W67" s="5">
        <v>288119304146841</v>
      </c>
      <c r="X67" s="5">
        <v>290759976277938</v>
      </c>
      <c r="Y67" s="5">
        <v>295236855330723</v>
      </c>
      <c r="Z67" s="5">
        <v>28553316233355</v>
      </c>
      <c r="AA67" s="5">
        <v>27688384879335</v>
      </c>
      <c r="AB67" s="5">
        <v>259256739990666</v>
      </c>
      <c r="AC67" s="5">
        <v>2107597660065</v>
      </c>
      <c r="AD67" s="5">
        <v>217926298098668</v>
      </c>
      <c r="AE67" s="5">
        <v>228395688789738</v>
      </c>
      <c r="AF67" s="5">
        <v>232758210115503</v>
      </c>
      <c r="AG67" s="5">
        <v>222940927010793</v>
      </c>
      <c r="AH67" s="5">
        <v>197617801805952</v>
      </c>
      <c r="AI67" s="5">
        <v>200849405887822</v>
      </c>
      <c r="AJ67" s="5">
        <v>210663282726771</v>
      </c>
      <c r="AK67" s="5">
        <v>213035747010629</v>
      </c>
      <c r="AL67" s="5">
        <v>223178436149204</v>
      </c>
      <c r="AM67" s="5">
        <v>213300137311529</v>
      </c>
      <c r="AN67" s="5">
        <v>2212673194632</v>
      </c>
      <c r="AO67" s="5">
        <v>200538349812013</v>
      </c>
      <c r="AP67" s="5">
        <v>174008380011997</v>
      </c>
      <c r="AQ67" s="5"/>
      <c r="AR67" s="5"/>
      <c r="AS67" s="5"/>
      <c r="AT67" s="5"/>
      <c r="AU67" s="5"/>
      <c r="AV67" s="5"/>
      <c r="AW67" s="5"/>
      <c r="AX67" s="5"/>
      <c r="AY67" s="5"/>
      <c r="AZ67" s="5"/>
      <c r="BA67" s="5"/>
    </row>
    <row r="68" spans="1:53" x14ac:dyDescent="0.45">
      <c r="A68" s="1"/>
      <c r="B68" s="2"/>
      <c r="C68" s="1" t="s">
        <v>62</v>
      </c>
      <c r="D68" s="2">
        <v>4623856</v>
      </c>
      <c r="E68" s="3" t="s">
        <v>631</v>
      </c>
      <c r="F68" s="3" t="s">
        <v>632</v>
      </c>
      <c r="G68" s="3" t="s">
        <v>633</v>
      </c>
      <c r="H68" s="5">
        <v>835273060984689</v>
      </c>
      <c r="I68" s="5">
        <v>868443382676645</v>
      </c>
      <c r="J68" s="5">
        <v>866893378963542</v>
      </c>
      <c r="K68" s="5">
        <v>884419121623286</v>
      </c>
      <c r="L68" s="5">
        <v>835217949994808</v>
      </c>
      <c r="M68" s="5">
        <v>791750748386239</v>
      </c>
      <c r="N68" s="5">
        <v>804581418494</v>
      </c>
      <c r="O68" s="5">
        <v>79102175165</v>
      </c>
      <c r="P68" s="5">
        <v>84748460118212</v>
      </c>
      <c r="Q68" s="5">
        <v>8378554996</v>
      </c>
      <c r="R68" s="5">
        <v>893580740304</v>
      </c>
      <c r="S68" s="5">
        <v>7613550982356</v>
      </c>
      <c r="T68" s="5">
        <v>9251964710076</v>
      </c>
      <c r="U68" s="5">
        <v>892307132552</v>
      </c>
      <c r="V68" s="5">
        <v>776291056210047</v>
      </c>
      <c r="W68" s="5">
        <v>8015103389808</v>
      </c>
      <c r="X68" s="5">
        <v>860186370058802</v>
      </c>
      <c r="Y68" s="5">
        <v>111865999821648</v>
      </c>
      <c r="Z68" s="5">
        <v>110555225437725</v>
      </c>
      <c r="AA68" s="5">
        <v>10754702448585</v>
      </c>
      <c r="AB68" s="5">
        <v>105206366486412</v>
      </c>
      <c r="AC68" s="5">
        <v>9517534948779</v>
      </c>
      <c r="AD68" s="5">
        <v>95834981079021</v>
      </c>
      <c r="AE68" s="5">
        <v>105666573548525</v>
      </c>
      <c r="AF68" s="5">
        <v>105816590859009</v>
      </c>
      <c r="AG68" s="5">
        <v>997747952013871</v>
      </c>
      <c r="AH68" s="5">
        <v>884546185256786</v>
      </c>
      <c r="AI68" s="5">
        <v>885307942207864</v>
      </c>
      <c r="AJ68" s="5">
        <v>990730860442512</v>
      </c>
      <c r="AK68" s="5">
        <v>995788665078653</v>
      </c>
      <c r="AL68" s="5">
        <v>9764922111</v>
      </c>
      <c r="AM68" s="5">
        <v>948955640352333</v>
      </c>
      <c r="AN68" s="5">
        <v>100066515513204</v>
      </c>
      <c r="AO68" s="5">
        <v>90305367441236</v>
      </c>
      <c r="AP68" s="5">
        <v>885523771589589</v>
      </c>
      <c r="AQ68" s="5"/>
      <c r="AR68" s="5"/>
      <c r="AS68" s="5"/>
      <c r="AT68" s="5"/>
      <c r="AU68" s="5"/>
      <c r="AV68" s="5"/>
      <c r="AW68" s="5"/>
      <c r="AX68" s="5"/>
      <c r="AY68" s="5"/>
      <c r="AZ68" s="5"/>
      <c r="BA68" s="5"/>
    </row>
    <row r="69" spans="1:53" x14ac:dyDescent="0.45">
      <c r="A69" s="1"/>
      <c r="B69" s="2"/>
      <c r="C69" s="1" t="s">
        <v>63</v>
      </c>
      <c r="D69" s="2">
        <v>4970473</v>
      </c>
      <c r="E69" s="3" t="s">
        <v>634</v>
      </c>
      <c r="F69" s="3" t="s">
        <v>635</v>
      </c>
      <c r="G69" s="3" t="s">
        <v>481</v>
      </c>
      <c r="H69" s="5">
        <v>87581595072342</v>
      </c>
      <c r="I69" s="5">
        <v>952167584521432</v>
      </c>
      <c r="J69" s="5">
        <v>924883850988463</v>
      </c>
      <c r="K69" s="5">
        <v>837227055224613</v>
      </c>
      <c r="L69" s="5">
        <v>86306664790761</v>
      </c>
      <c r="M69" s="5">
        <v>850961828191293</v>
      </c>
      <c r="N69" s="5">
        <v>830539961002497</v>
      </c>
      <c r="O69" s="5">
        <v>855452721883352</v>
      </c>
      <c r="P69" s="5">
        <v>813398837666048</v>
      </c>
      <c r="Q69" s="5">
        <v>821875508593727</v>
      </c>
      <c r="R69" s="5">
        <v>792758319076555</v>
      </c>
      <c r="S69" s="5">
        <v>737621582886468</v>
      </c>
      <c r="T69" s="5">
        <v>668109507366346</v>
      </c>
      <c r="U69" s="5">
        <v>640827092741312</v>
      </c>
      <c r="V69" s="5">
        <v>617304915802048</v>
      </c>
      <c r="W69" s="5">
        <v>609830933236255</v>
      </c>
      <c r="X69" s="5">
        <v>625938059592409</v>
      </c>
      <c r="Y69" s="5">
        <v>573359559716026</v>
      </c>
      <c r="Z69" s="5">
        <v>553448873530293</v>
      </c>
      <c r="AA69" s="5">
        <v>541552015517369</v>
      </c>
      <c r="AB69" s="5">
        <v>496890369869355</v>
      </c>
      <c r="AC69" s="5">
        <v>481361251084735</v>
      </c>
      <c r="AD69" s="5">
        <v>34165290484844</v>
      </c>
      <c r="AE69" s="5">
        <v>369519642127084</v>
      </c>
      <c r="AF69" s="5">
        <v>340796252379464</v>
      </c>
      <c r="AG69" s="5">
        <v>307469579133284</v>
      </c>
      <c r="AH69" s="5">
        <v>308446478222171</v>
      </c>
      <c r="AI69" s="5">
        <v>309140211545318</v>
      </c>
      <c r="AJ69" s="5">
        <v>311368889636219</v>
      </c>
      <c r="AK69" s="5">
        <v>326376965164426</v>
      </c>
      <c r="AL69" s="5">
        <v>350130472902873</v>
      </c>
      <c r="AM69" s="5">
        <v>2676570808914</v>
      </c>
      <c r="AN69" s="5">
        <v>303284386149223</v>
      </c>
      <c r="AO69" s="5">
        <v>28784432333403</v>
      </c>
      <c r="AP69" s="5">
        <v>2304566415804</v>
      </c>
      <c r="AQ69" s="5"/>
      <c r="AR69" s="5"/>
      <c r="AS69" s="5"/>
      <c r="AT69" s="5"/>
      <c r="AU69" s="5"/>
      <c r="AV69" s="5"/>
      <c r="AW69" s="5"/>
      <c r="AX69" s="5"/>
      <c r="AY69" s="5"/>
      <c r="AZ69" s="5"/>
      <c r="BA69" s="5"/>
    </row>
    <row r="70" spans="1:53" x14ac:dyDescent="0.45">
      <c r="A70" s="1"/>
      <c r="B70" s="2"/>
      <c r="C70" s="1" t="s">
        <v>64</v>
      </c>
      <c r="D70" s="2">
        <v>4157226</v>
      </c>
      <c r="E70" s="3" t="s">
        <v>636</v>
      </c>
      <c r="F70" s="3" t="s">
        <v>637</v>
      </c>
      <c r="G70" s="3" t="s">
        <v>638</v>
      </c>
      <c r="H70" s="5">
        <v>879214040845493</v>
      </c>
      <c r="I70" s="5">
        <v>883366783003103</v>
      </c>
      <c r="J70" s="5">
        <v>860154882453792</v>
      </c>
      <c r="K70" s="5">
        <v>796479890316143</v>
      </c>
      <c r="L70" s="5">
        <v>766329890846984</v>
      </c>
      <c r="M70" s="5">
        <v>759356287021014</v>
      </c>
      <c r="N70" s="5">
        <v>781312509241356</v>
      </c>
      <c r="O70" s="5">
        <v>79414695591207</v>
      </c>
      <c r="P70" s="5">
        <v>75922498827786</v>
      </c>
      <c r="Q70" s="5">
        <v>7516069225182</v>
      </c>
      <c r="R70" s="5">
        <v>7724473990803</v>
      </c>
      <c r="S70" s="5">
        <v>734153300738425</v>
      </c>
      <c r="T70" s="5">
        <v>747878649201801</v>
      </c>
      <c r="U70" s="5">
        <v>729279323625996</v>
      </c>
      <c r="V70" s="5">
        <v>698871343243324</v>
      </c>
      <c r="W70" s="5">
        <v>713326285149885</v>
      </c>
      <c r="X70" s="5">
        <v>735280918573856</v>
      </c>
      <c r="Y70" s="5">
        <v>716032831489214</v>
      </c>
      <c r="Z70" s="5">
        <v>694034423701956</v>
      </c>
      <c r="AA70" s="5">
        <v>681841510919428</v>
      </c>
      <c r="AB70" s="5">
        <v>620898641420059</v>
      </c>
      <c r="AC70" s="5">
        <v>614020245476301</v>
      </c>
      <c r="AD70" s="5">
        <v>586971413392299</v>
      </c>
      <c r="AE70" s="5">
        <v>586668111564116</v>
      </c>
      <c r="AF70" s="5">
        <v>617137888051206</v>
      </c>
      <c r="AG70" s="5">
        <v>639037530091964</v>
      </c>
      <c r="AH70" s="5">
        <v>586590393225784</v>
      </c>
      <c r="AI70" s="5">
        <v>557399529266472</v>
      </c>
      <c r="AJ70" s="5">
        <v>58885523592537</v>
      </c>
      <c r="AK70" s="5">
        <v>538195958335634</v>
      </c>
      <c r="AL70" s="5">
        <v>591775585649552</v>
      </c>
      <c r="AM70" s="5">
        <v>582125036652</v>
      </c>
      <c r="AN70" s="5">
        <v>61889178484855</v>
      </c>
      <c r="AO70" s="5">
        <v>57377504104565</v>
      </c>
      <c r="AP70" s="5">
        <v>510150911705881</v>
      </c>
      <c r="AQ70" s="5"/>
      <c r="AR70" s="5"/>
      <c r="AS70" s="5"/>
      <c r="AT70" s="5"/>
      <c r="AU70" s="5"/>
      <c r="AV70" s="5"/>
      <c r="AW70" s="5"/>
      <c r="AX70" s="5"/>
      <c r="AY70" s="5"/>
      <c r="AZ70" s="5"/>
      <c r="BA70" s="5"/>
    </row>
    <row r="71" spans="1:53" x14ac:dyDescent="0.45">
      <c r="A71" s="1"/>
      <c r="B71" s="2"/>
      <c r="C71" s="1" t="s">
        <v>65</v>
      </c>
      <c r="D71" s="2">
        <v>103448</v>
      </c>
      <c r="E71" s="3" t="s">
        <v>639</v>
      </c>
      <c r="F71" s="3" t="s">
        <v>640</v>
      </c>
      <c r="G71" s="3" t="s">
        <v>549</v>
      </c>
      <c r="H71" s="5">
        <v>59742682825884</v>
      </c>
      <c r="I71" s="5">
        <v>599918487724687</v>
      </c>
      <c r="J71" s="5">
        <v>597312274608</v>
      </c>
      <c r="K71" s="5">
        <v>570059552310151</v>
      </c>
      <c r="L71" s="5">
        <v>529336176394536</v>
      </c>
      <c r="M71" s="5">
        <v>52979961569</v>
      </c>
      <c r="N71" s="5">
        <v>5295279625357</v>
      </c>
      <c r="O71" s="5">
        <v>54217806398037</v>
      </c>
      <c r="P71" s="5">
        <v>552309517188</v>
      </c>
      <c r="Q71" s="5">
        <v>547285062688</v>
      </c>
      <c r="R71" s="5">
        <v>56834668240356</v>
      </c>
      <c r="S71" s="5">
        <v>54697661271</v>
      </c>
      <c r="T71" s="5">
        <v>595834705438</v>
      </c>
      <c r="U71" s="5">
        <v>5749885911</v>
      </c>
      <c r="V71" s="5">
        <v>4719010007288</v>
      </c>
      <c r="W71" s="5">
        <v>4690443956715</v>
      </c>
      <c r="X71" s="5">
        <v>46993949914579</v>
      </c>
      <c r="Y71" s="5">
        <v>45899604933</v>
      </c>
      <c r="Z71" s="5">
        <v>472425540723</v>
      </c>
      <c r="AA71" s="5">
        <v>453688785426</v>
      </c>
      <c r="AB71" s="5">
        <v>42971850492945</v>
      </c>
      <c r="AC71" s="5">
        <v>412287592857787</v>
      </c>
      <c r="AD71" s="5">
        <v>38854003794375</v>
      </c>
      <c r="AE71" s="5">
        <v>41663822796648</v>
      </c>
      <c r="AF71" s="5">
        <v>433116202694947</v>
      </c>
      <c r="AG71" s="5">
        <v>4125353058015</v>
      </c>
      <c r="AH71" s="5">
        <v>390931753704301</v>
      </c>
      <c r="AI71" s="5">
        <v>403200326479041</v>
      </c>
      <c r="AJ71" s="5">
        <v>42636750866175</v>
      </c>
      <c r="AK71" s="5">
        <v>415495279146056</v>
      </c>
      <c r="AL71" s="5">
        <v>4156668067631</v>
      </c>
      <c r="AM71" s="5">
        <v>4018738270725</v>
      </c>
      <c r="AN71" s="5">
        <v>442231072412429</v>
      </c>
      <c r="AO71" s="5">
        <v>4112891169674</v>
      </c>
      <c r="AP71" s="5">
        <v>3920810550825</v>
      </c>
      <c r="AQ71" s="5"/>
      <c r="AR71" s="5"/>
      <c r="AS71" s="5"/>
      <c r="AT71" s="5"/>
      <c r="AU71" s="5"/>
      <c r="AV71" s="5"/>
      <c r="AW71" s="5"/>
      <c r="AX71" s="5"/>
      <c r="AY71" s="5"/>
      <c r="AZ71" s="5"/>
      <c r="BA71" s="5"/>
    </row>
    <row r="72" spans="1:53" x14ac:dyDescent="0.45">
      <c r="A72" s="1"/>
      <c r="B72" s="2"/>
      <c r="C72" s="1" t="s">
        <v>66</v>
      </c>
      <c r="D72" s="2">
        <v>4086734</v>
      </c>
      <c r="E72" s="3" t="s">
        <v>641</v>
      </c>
      <c r="F72" s="3" t="s">
        <v>642</v>
      </c>
      <c r="G72" s="3" t="s">
        <v>643</v>
      </c>
      <c r="H72" s="5">
        <v>219796472057993</v>
      </c>
      <c r="I72" s="5">
        <v>192958076528287</v>
      </c>
      <c r="J72" s="5">
        <v>188216633365422</v>
      </c>
      <c r="K72" s="5">
        <v>176546514866488</v>
      </c>
      <c r="L72" s="5">
        <v>171634586026438</v>
      </c>
      <c r="M72" s="5">
        <v>161062436931854</v>
      </c>
      <c r="N72" s="5">
        <v>163683031550782</v>
      </c>
      <c r="O72" s="5">
        <v>1774987133028</v>
      </c>
      <c r="P72" s="5">
        <v>166729496996026</v>
      </c>
      <c r="Q72" s="5">
        <v>16579753805449</v>
      </c>
      <c r="R72" s="5">
        <v>1767343360979</v>
      </c>
      <c r="S72" s="5">
        <v>162596180223769</v>
      </c>
      <c r="T72" s="5">
        <v>163732019289037</v>
      </c>
      <c r="U72" s="5">
        <v>16796237701159</v>
      </c>
      <c r="V72" s="5">
        <v>16492585170312</v>
      </c>
      <c r="W72" s="5">
        <v>165237055691454</v>
      </c>
      <c r="X72" s="5">
        <v>171559446582418</v>
      </c>
      <c r="Y72" s="5">
        <v>173080693986706</v>
      </c>
      <c r="Z72" s="5">
        <v>176928843344687</v>
      </c>
      <c r="AA72" s="5">
        <v>176285841395477</v>
      </c>
      <c r="AB72" s="5">
        <v>168245842508575</v>
      </c>
      <c r="AC72" s="5">
        <v>182514418750086</v>
      </c>
      <c r="AD72" s="5">
        <v>182055905592923</v>
      </c>
      <c r="AE72" s="5">
        <v>18405573552633</v>
      </c>
      <c r="AF72" s="5">
        <v>200418226848598</v>
      </c>
      <c r="AG72" s="5">
        <v>198828447253239</v>
      </c>
      <c r="AH72" s="5">
        <v>179290122433672</v>
      </c>
      <c r="AI72" s="5">
        <v>180841961441262</v>
      </c>
      <c r="AJ72" s="5">
        <v>2031349458338</v>
      </c>
      <c r="AK72" s="5">
        <v>186179210196759</v>
      </c>
      <c r="AL72" s="5">
        <v>180874383459255</v>
      </c>
      <c r="AM72" s="5">
        <v>169721811859777</v>
      </c>
      <c r="AN72" s="5">
        <v>177101213567132</v>
      </c>
      <c r="AO72" s="5">
        <v>172890547737172</v>
      </c>
      <c r="AP72" s="5">
        <v>166427006628275</v>
      </c>
      <c r="AQ72" s="5"/>
      <c r="AR72" s="5"/>
      <c r="AS72" s="5"/>
      <c r="AT72" s="5"/>
      <c r="AU72" s="5"/>
      <c r="AV72" s="5"/>
      <c r="AW72" s="5"/>
      <c r="AX72" s="5"/>
      <c r="AY72" s="5"/>
      <c r="AZ72" s="5"/>
      <c r="BA72" s="5"/>
    </row>
    <row r="73" spans="1:53" x14ac:dyDescent="0.45">
      <c r="A73" s="1"/>
      <c r="B73" s="2"/>
      <c r="C73" s="1" t="s">
        <v>67</v>
      </c>
      <c r="D73" s="2">
        <v>4073448</v>
      </c>
      <c r="E73" s="3" t="s">
        <v>644</v>
      </c>
      <c r="F73" s="3" t="s">
        <v>645</v>
      </c>
      <c r="G73" s="3" t="s">
        <v>466</v>
      </c>
      <c r="H73" s="5">
        <v>204951331659245</v>
      </c>
      <c r="I73" s="5">
        <v>193467098456352</v>
      </c>
      <c r="J73" s="5">
        <v>174361744938254</v>
      </c>
      <c r="K73" s="5">
        <v>171457352930627</v>
      </c>
      <c r="L73" s="5">
        <v>15442141540749</v>
      </c>
      <c r="M73" s="5">
        <v>149398215419939</v>
      </c>
      <c r="N73" s="5">
        <v>150881242712158</v>
      </c>
      <c r="O73" s="5">
        <v>13660458387254</v>
      </c>
      <c r="P73" s="5">
        <v>165096122077107</v>
      </c>
      <c r="Q73" s="5">
        <v>156128453371464</v>
      </c>
      <c r="R73" s="5">
        <v>135990714672</v>
      </c>
      <c r="S73" s="5">
        <v>109781687362075</v>
      </c>
      <c r="T73" s="5">
        <v>114412277871904</v>
      </c>
      <c r="U73" s="5">
        <v>115192639756656</v>
      </c>
      <c r="V73" s="5">
        <v>971382372194448</v>
      </c>
      <c r="W73" s="5">
        <v>112738687387835</v>
      </c>
      <c r="X73" s="5">
        <v>135700625835205</v>
      </c>
      <c r="Y73" s="5">
        <v>127007730897806</v>
      </c>
      <c r="Z73" s="5">
        <v>111529714938975</v>
      </c>
      <c r="AA73" s="5">
        <v>116339726256869</v>
      </c>
      <c r="AB73" s="5">
        <v>10661375939266</v>
      </c>
      <c r="AC73" s="5">
        <v>797454714623502</v>
      </c>
      <c r="AD73" s="5">
        <v>810668827416426</v>
      </c>
      <c r="AE73" s="5">
        <v>111446631981068</v>
      </c>
      <c r="AF73" s="5">
        <v>139179118017372</v>
      </c>
      <c r="AG73" s="5">
        <v>116347987561701</v>
      </c>
      <c r="AH73" s="5">
        <v>123326793407342</v>
      </c>
      <c r="AI73" s="5">
        <v>143512873200883</v>
      </c>
      <c r="AJ73" s="5">
        <v>147705146759</v>
      </c>
      <c r="AK73" s="5">
        <v>114385054857318</v>
      </c>
      <c r="AL73" s="5">
        <v>111050189592633</v>
      </c>
      <c r="AM73" s="5">
        <v>112972440186837</v>
      </c>
      <c r="AN73" s="5">
        <v>609694819537571</v>
      </c>
      <c r="AO73" s="5">
        <v>524529286772454</v>
      </c>
      <c r="AP73" s="5">
        <v>51143857422192</v>
      </c>
      <c r="AQ73" s="5"/>
      <c r="AR73" s="5"/>
      <c r="AS73" s="5"/>
      <c r="AT73" s="5"/>
      <c r="AU73" s="5"/>
      <c r="AV73" s="5"/>
      <c r="AW73" s="5"/>
      <c r="AX73" s="5"/>
      <c r="AY73" s="5"/>
      <c r="AZ73" s="5"/>
      <c r="BA73" s="5"/>
    </row>
    <row r="74" spans="1:53" x14ac:dyDescent="0.45">
      <c r="A74" s="1"/>
      <c r="B74" s="2"/>
      <c r="C74" s="1" t="s">
        <v>68</v>
      </c>
      <c r="D74" s="2">
        <v>4500439</v>
      </c>
      <c r="E74" s="3" t="s">
        <v>646</v>
      </c>
      <c r="F74" s="3" t="s">
        <v>647</v>
      </c>
      <c r="G74" s="3" t="s">
        <v>568</v>
      </c>
      <c r="H74" s="5">
        <v>78559090697543</v>
      </c>
      <c r="I74" s="5">
        <v>790092356885404</v>
      </c>
      <c r="J74" s="5">
        <v>830706293775632</v>
      </c>
      <c r="K74" s="5">
        <v>82632071381549</v>
      </c>
      <c r="L74" s="5">
        <v>883627604036537</v>
      </c>
      <c r="M74" s="5">
        <v>93382299427757</v>
      </c>
      <c r="N74" s="5">
        <v>91800025219577</v>
      </c>
      <c r="O74" s="5">
        <v>99923849195489</v>
      </c>
      <c r="P74" s="5">
        <v>10182085966084</v>
      </c>
      <c r="Q74" s="5">
        <v>103409432982818</v>
      </c>
      <c r="R74" s="5">
        <v>107565048453492</v>
      </c>
      <c r="S74" s="5">
        <v>894453369158907</v>
      </c>
      <c r="T74" s="5">
        <v>954366017024952</v>
      </c>
      <c r="U74" s="5">
        <v>90081236907288</v>
      </c>
      <c r="V74" s="5">
        <v>788908195805512</v>
      </c>
      <c r="W74" s="5">
        <v>73475132117035</v>
      </c>
      <c r="X74" s="5">
        <v>79927636088812</v>
      </c>
      <c r="Y74" s="5">
        <v>821614423088617</v>
      </c>
      <c r="Z74" s="5">
        <v>742360424715</v>
      </c>
      <c r="AA74" s="5">
        <v>839984002593</v>
      </c>
      <c r="AB74" s="5">
        <v>76061220680625</v>
      </c>
      <c r="AC74" s="5">
        <v>645259316002224</v>
      </c>
      <c r="AD74" s="5">
        <v>816381288209822</v>
      </c>
      <c r="AE74" s="5">
        <v>895620617691936</v>
      </c>
      <c r="AF74" s="5">
        <v>898197488213925</v>
      </c>
      <c r="AG74" s="5">
        <v>951756773926157</v>
      </c>
      <c r="AH74" s="5">
        <v>944804411984737</v>
      </c>
      <c r="AI74" s="5">
        <v>930409085197777</v>
      </c>
      <c r="AJ74" s="5">
        <v>103968354401286</v>
      </c>
      <c r="AK74" s="5">
        <v>11319648770975</v>
      </c>
      <c r="AL74" s="5">
        <v>12111414942796</v>
      </c>
      <c r="AM74" s="5">
        <v>110794695036736</v>
      </c>
      <c r="AN74" s="5">
        <v>11155419256254</v>
      </c>
      <c r="AO74" s="5">
        <v>105898977885902</v>
      </c>
      <c r="AP74" s="5">
        <v>115141687742867</v>
      </c>
      <c r="AQ74" s="5"/>
      <c r="AR74" s="5"/>
      <c r="AS74" s="5"/>
      <c r="AT74" s="5"/>
      <c r="AU74" s="5"/>
      <c r="AV74" s="5"/>
      <c r="AW74" s="5"/>
      <c r="AX74" s="5"/>
      <c r="AY74" s="5"/>
      <c r="AZ74" s="5"/>
      <c r="BA74" s="5"/>
    </row>
    <row r="75" spans="1:53" x14ac:dyDescent="0.45">
      <c r="A75" s="1"/>
      <c r="B75" s="2"/>
      <c r="C75" s="1" t="s">
        <v>69</v>
      </c>
      <c r="D75" s="2">
        <v>112885</v>
      </c>
      <c r="E75" s="3" t="s">
        <v>648</v>
      </c>
      <c r="F75" s="3" t="s">
        <v>649</v>
      </c>
      <c r="G75" s="3" t="s">
        <v>650</v>
      </c>
      <c r="H75" s="5">
        <v>167114013937177</v>
      </c>
      <c r="I75" s="5">
        <v>162472929195939</v>
      </c>
      <c r="J75" s="5">
        <v>160634896885719</v>
      </c>
      <c r="K75" s="5">
        <v>160442228130939</v>
      </c>
      <c r="L75" s="5">
        <v>156720844064182</v>
      </c>
      <c r="M75" s="5">
        <v>157848258911</v>
      </c>
      <c r="N75" s="5">
        <v>165902668358</v>
      </c>
      <c r="O75" s="5">
        <v>16613002728</v>
      </c>
      <c r="P75" s="5">
        <v>17876366898</v>
      </c>
      <c r="Q75" s="5">
        <v>1904998135488</v>
      </c>
      <c r="R75" s="5">
        <v>201473584458913</v>
      </c>
      <c r="S75" s="5">
        <v>186530744631</v>
      </c>
      <c r="T75" s="5">
        <v>1832190985538</v>
      </c>
      <c r="U75" s="5">
        <v>180203801096</v>
      </c>
      <c r="V75" s="5">
        <v>169036447360074</v>
      </c>
      <c r="W75" s="5">
        <v>18634973745465</v>
      </c>
      <c r="X75" s="5">
        <v>19319388819885</v>
      </c>
      <c r="Y75" s="5">
        <v>195473348409155</v>
      </c>
      <c r="Z75" s="5">
        <v>1824416062155</v>
      </c>
      <c r="AA75" s="5">
        <v>17340239734765</v>
      </c>
      <c r="AB75" s="5">
        <v>172821671424</v>
      </c>
      <c r="AC75" s="5">
        <v>161382041940125</v>
      </c>
      <c r="AD75" s="5">
        <v>164933961426522</v>
      </c>
      <c r="AE75" s="5">
        <v>180348386507078</v>
      </c>
      <c r="AF75" s="5">
        <v>181694988564974</v>
      </c>
      <c r="AG75" s="5">
        <v>175270195083585</v>
      </c>
      <c r="AH75" s="5">
        <v>162929815305061</v>
      </c>
      <c r="AI75" s="5">
        <v>155447209473119</v>
      </c>
      <c r="AJ75" s="5">
        <v>171256789633124</v>
      </c>
      <c r="AK75" s="5">
        <v>166697677195749</v>
      </c>
      <c r="AL75" s="5">
        <v>18175177527294</v>
      </c>
      <c r="AM75" s="5">
        <v>181299672282071</v>
      </c>
      <c r="AN75" s="5">
        <v>200317399116206</v>
      </c>
      <c r="AO75" s="5">
        <v>18763977458668</v>
      </c>
      <c r="AP75" s="5">
        <v>188241499375845</v>
      </c>
      <c r="AQ75" s="5"/>
      <c r="AR75" s="5"/>
      <c r="AS75" s="5"/>
      <c r="AT75" s="5"/>
      <c r="AU75" s="5"/>
      <c r="AV75" s="5"/>
      <c r="AW75" s="5"/>
      <c r="AX75" s="5"/>
      <c r="AY75" s="5"/>
      <c r="AZ75" s="5"/>
      <c r="BA75" s="5"/>
    </row>
    <row r="76" spans="1:53" x14ac:dyDescent="0.45">
      <c r="A76" s="1"/>
      <c r="B76" s="2"/>
      <c r="C76" s="1" t="s">
        <v>70</v>
      </c>
      <c r="D76" s="2">
        <v>4095936</v>
      </c>
      <c r="E76" s="3" t="s">
        <v>651</v>
      </c>
      <c r="F76" s="3" t="s">
        <v>652</v>
      </c>
      <c r="G76" s="3" t="s">
        <v>653</v>
      </c>
      <c r="H76" s="5">
        <v>103652876244629</v>
      </c>
      <c r="I76" s="5">
        <v>101431301795065</v>
      </c>
      <c r="J76" s="5">
        <v>946600313615205</v>
      </c>
      <c r="K76" s="5">
        <v>903533448346215</v>
      </c>
      <c r="L76" s="5">
        <v>834623783690855</v>
      </c>
      <c r="M76" s="5">
        <v>7842162824</v>
      </c>
      <c r="N76" s="5">
        <v>84812990378</v>
      </c>
      <c r="O76" s="5">
        <v>8402524621</v>
      </c>
      <c r="P76" s="5">
        <v>94601372268</v>
      </c>
      <c r="Q76" s="5">
        <v>10248159025256</v>
      </c>
      <c r="R76" s="5">
        <v>106979503495358</v>
      </c>
      <c r="S76" s="5">
        <v>998910613944</v>
      </c>
      <c r="T76" s="5">
        <v>983525434056</v>
      </c>
      <c r="U76" s="5">
        <v>10027135041</v>
      </c>
      <c r="V76" s="5">
        <v>886248087305298</v>
      </c>
      <c r="W76" s="5">
        <v>89383471302129</v>
      </c>
      <c r="X76" s="5">
        <v>887966649794925</v>
      </c>
      <c r="Y76" s="5">
        <v>889548744063</v>
      </c>
      <c r="Z76" s="5">
        <v>9545375552625</v>
      </c>
      <c r="AA76" s="5">
        <v>961888304283</v>
      </c>
      <c r="AB76" s="5">
        <v>905468459766</v>
      </c>
      <c r="AC76" s="5">
        <v>920792695111943</v>
      </c>
      <c r="AD76" s="5">
        <v>860400586485803</v>
      </c>
      <c r="AE76" s="5">
        <v>820838696948672</v>
      </c>
      <c r="AF76" s="5">
        <v>916698094896359</v>
      </c>
      <c r="AG76" s="5">
        <v>911048335375686</v>
      </c>
      <c r="AH76" s="5">
        <v>861218220416842</v>
      </c>
      <c r="AI76" s="5">
        <v>853615749356714</v>
      </c>
      <c r="AJ76" s="5">
        <v>926012011574754</v>
      </c>
      <c r="AK76" s="5">
        <v>816843369991194</v>
      </c>
      <c r="AL76" s="5">
        <v>820265688375635</v>
      </c>
      <c r="AM76" s="5">
        <v>850413221085402</v>
      </c>
      <c r="AN76" s="5">
        <v>100773880221422</v>
      </c>
      <c r="AO76" s="5">
        <v>970470423344489</v>
      </c>
      <c r="AP76" s="5">
        <v>921860861867172</v>
      </c>
      <c r="AQ76" s="5"/>
      <c r="AR76" s="5"/>
      <c r="AS76" s="5"/>
      <c r="AT76" s="5"/>
      <c r="AU76" s="5"/>
      <c r="AV76" s="5"/>
      <c r="AW76" s="5"/>
      <c r="AX76" s="5"/>
      <c r="AY76" s="5"/>
      <c r="AZ76" s="5"/>
      <c r="BA76" s="5"/>
    </row>
    <row r="77" spans="1:53" x14ac:dyDescent="0.45">
      <c r="A77" s="1"/>
      <c r="B77" s="2"/>
      <c r="C77" s="1" t="s">
        <v>71</v>
      </c>
      <c r="D77" s="2">
        <v>4963284</v>
      </c>
      <c r="E77" s="3" t="s">
        <v>654</v>
      </c>
      <c r="F77" s="3" t="s">
        <v>655</v>
      </c>
      <c r="G77" s="3" t="s">
        <v>478</v>
      </c>
      <c r="H77" s="5">
        <v>983394824256</v>
      </c>
      <c r="I77" s="5">
        <v>1041095965572</v>
      </c>
      <c r="J77" s="5">
        <v>104683388784</v>
      </c>
      <c r="K77" s="5">
        <v>9357471268967</v>
      </c>
      <c r="L77" s="5">
        <v>9270760827909</v>
      </c>
      <c r="M77" s="5">
        <v>877299523965</v>
      </c>
      <c r="N77" s="5">
        <v>8207374206</v>
      </c>
      <c r="O77" s="5">
        <v>874437816</v>
      </c>
      <c r="P77" s="5">
        <v>83580117816</v>
      </c>
      <c r="Q77" s="5">
        <v>82064211488</v>
      </c>
      <c r="R77" s="5">
        <v>8114381406</v>
      </c>
      <c r="S77" s="5">
        <v>691626012672</v>
      </c>
      <c r="T77" s="5">
        <v>685000056832</v>
      </c>
      <c r="U77" s="5">
        <v>71281115136</v>
      </c>
      <c r="V77" s="5">
        <v>669181313024</v>
      </c>
      <c r="W77" s="5">
        <v>663984957393</v>
      </c>
      <c r="X77" s="5">
        <v>667147710768</v>
      </c>
      <c r="Y77" s="5">
        <v>629219387615</v>
      </c>
      <c r="Z77" s="5">
        <v>65830981041</v>
      </c>
      <c r="AA77" s="5">
        <v>668274925416</v>
      </c>
      <c r="AB77" s="5">
        <v>6091958626407</v>
      </c>
      <c r="AC77" s="5">
        <v>6057646963695</v>
      </c>
      <c r="AD77" s="5">
        <v>5377648959504</v>
      </c>
      <c r="AE77" s="5">
        <v>570026358802</v>
      </c>
      <c r="AF77" s="5">
        <v>627956490524</v>
      </c>
      <c r="AG77" s="5">
        <v>5994605981672</v>
      </c>
      <c r="AH77" s="5">
        <v>539936289332</v>
      </c>
      <c r="AI77" s="5">
        <v>52077924899</v>
      </c>
      <c r="AJ77" s="5">
        <v>553068246879</v>
      </c>
      <c r="AK77" s="5">
        <v>5165609671845</v>
      </c>
      <c r="AL77" s="5">
        <v>52773795881705</v>
      </c>
      <c r="AM77" s="5">
        <v>48756724327125</v>
      </c>
      <c r="AN77" s="5">
        <v>502204558948085</v>
      </c>
      <c r="AO77" s="5">
        <v>4785316620787</v>
      </c>
      <c r="AP77" s="5">
        <v>46643885526</v>
      </c>
      <c r="AQ77" s="5"/>
      <c r="AR77" s="5"/>
      <c r="AS77" s="5"/>
      <c r="AT77" s="5"/>
      <c r="AU77" s="5"/>
      <c r="AV77" s="5"/>
      <c r="AW77" s="5"/>
      <c r="AX77" s="5"/>
      <c r="AY77" s="5"/>
      <c r="AZ77" s="5"/>
      <c r="BA77" s="5"/>
    </row>
    <row r="78" spans="1:53" x14ac:dyDescent="0.45">
      <c r="A78" s="1"/>
      <c r="B78" s="2"/>
      <c r="C78" s="1" t="s">
        <v>72</v>
      </c>
      <c r="D78" s="2">
        <v>103094</v>
      </c>
      <c r="E78" s="3" t="s">
        <v>656</v>
      </c>
      <c r="F78" s="3" t="s">
        <v>657</v>
      </c>
      <c r="G78" s="3" t="s">
        <v>594</v>
      </c>
      <c r="H78" s="5">
        <v>710517782786222</v>
      </c>
      <c r="I78" s="5">
        <v>710334730843769</v>
      </c>
      <c r="J78" s="5">
        <v>726342916064788</v>
      </c>
      <c r="K78" s="5">
        <v>717005480641667</v>
      </c>
      <c r="L78" s="5">
        <v>660587483270425</v>
      </c>
      <c r="M78" s="5">
        <v>667244476565355</v>
      </c>
      <c r="N78" s="5">
        <v>656866565886654</v>
      </c>
      <c r="O78" s="5">
        <v>64982358735177</v>
      </c>
      <c r="P78" s="5">
        <v>662152191500108</v>
      </c>
      <c r="Q78" s="5">
        <v>659380619735107</v>
      </c>
      <c r="R78" s="5">
        <v>6979668459</v>
      </c>
      <c r="S78" s="5">
        <v>677482902612</v>
      </c>
      <c r="T78" s="5">
        <v>696686442228</v>
      </c>
      <c r="U78" s="5">
        <v>65137310568</v>
      </c>
      <c r="V78" s="5">
        <v>650025874669798</v>
      </c>
      <c r="W78" s="5">
        <v>651198302631</v>
      </c>
      <c r="X78" s="5">
        <v>6882145801685</v>
      </c>
      <c r="Y78" s="5">
        <v>700858419793868</v>
      </c>
      <c r="Z78" s="5">
        <v>692635982474978</v>
      </c>
      <c r="AA78" s="5">
        <v>666082080821497</v>
      </c>
      <c r="AB78" s="5">
        <v>613244664621693</v>
      </c>
      <c r="AC78" s="5">
        <v>598094977551</v>
      </c>
      <c r="AD78" s="5">
        <v>612481211372226</v>
      </c>
      <c r="AE78" s="5">
        <v>613906820620276</v>
      </c>
      <c r="AF78" s="5">
        <v>627984578395693</v>
      </c>
      <c r="AG78" s="5">
        <v>581244334264626</v>
      </c>
      <c r="AH78" s="5">
        <v>575126040155398</v>
      </c>
      <c r="AI78" s="5">
        <v>558508288743116</v>
      </c>
      <c r="AJ78" s="5">
        <v>626013387212232</v>
      </c>
      <c r="AK78" s="5">
        <v>579118765213674</v>
      </c>
      <c r="AL78" s="5">
        <v>593301770522675</v>
      </c>
      <c r="AM78" s="5">
        <v>582421793789142</v>
      </c>
      <c r="AN78" s="5">
        <v>631593797124767</v>
      </c>
      <c r="AO78" s="5">
        <v>562957219899298</v>
      </c>
      <c r="AP78" s="5">
        <v>589643832533891</v>
      </c>
      <c r="AQ78" s="5"/>
      <c r="AR78" s="5"/>
      <c r="AS78" s="5"/>
      <c r="AT78" s="5"/>
      <c r="AU78" s="5"/>
      <c r="AV78" s="5"/>
      <c r="AW78" s="5"/>
      <c r="AX78" s="5"/>
      <c r="AY78" s="5"/>
      <c r="AZ78" s="5"/>
      <c r="BA78" s="5"/>
    </row>
    <row r="79" spans="1:53" x14ac:dyDescent="0.45">
      <c r="A79" s="1"/>
      <c r="B79" s="2"/>
      <c r="C79" s="1" t="s">
        <v>73</v>
      </c>
      <c r="D79" s="2">
        <v>103239</v>
      </c>
      <c r="E79" s="3" t="s">
        <v>658</v>
      </c>
      <c r="F79" s="3" t="s">
        <v>659</v>
      </c>
      <c r="G79" s="3" t="s">
        <v>660</v>
      </c>
      <c r="H79" s="5">
        <v>40194040456752</v>
      </c>
      <c r="I79" s="5">
        <v>374421524652</v>
      </c>
      <c r="J79" s="5">
        <v>3835075589246</v>
      </c>
      <c r="K79" s="5">
        <v>34642314962598</v>
      </c>
      <c r="L79" s="5">
        <v>32421883281963</v>
      </c>
      <c r="M79" s="5">
        <v>3536504891109</v>
      </c>
      <c r="N79" s="5">
        <v>3497011129629</v>
      </c>
      <c r="O79" s="5">
        <v>330589598964</v>
      </c>
      <c r="P79" s="5">
        <v>35612547684012</v>
      </c>
      <c r="Q79" s="5">
        <v>39115527793776</v>
      </c>
      <c r="R79" s="5">
        <v>424905625455886</v>
      </c>
      <c r="S79" s="5">
        <v>388886671026</v>
      </c>
      <c r="T79" s="5">
        <v>398584545996</v>
      </c>
      <c r="U79" s="5">
        <v>38343737432</v>
      </c>
      <c r="V79" s="5">
        <v>3418777690368</v>
      </c>
      <c r="W79" s="5">
        <v>3234031339176</v>
      </c>
      <c r="X79" s="5">
        <v>326127772648231</v>
      </c>
      <c r="Y79" s="5">
        <v>307430252766</v>
      </c>
      <c r="Z79" s="5">
        <v>2928575946195</v>
      </c>
      <c r="AA79" s="5">
        <v>337011996042</v>
      </c>
      <c r="AB79" s="5">
        <v>32809028004495</v>
      </c>
      <c r="AC79" s="5">
        <v>318871597315147</v>
      </c>
      <c r="AD79" s="5">
        <v>322646728405012</v>
      </c>
      <c r="AE79" s="5">
        <v>353595864559282</v>
      </c>
      <c r="AF79" s="5">
        <v>395382195868599</v>
      </c>
      <c r="AG79" s="5">
        <v>388110428149066</v>
      </c>
      <c r="AH79" s="5">
        <v>352478710513597</v>
      </c>
      <c r="AI79" s="5">
        <v>376507045939724</v>
      </c>
      <c r="AJ79" s="5">
        <v>402106563044971</v>
      </c>
      <c r="AK79" s="5">
        <v>43153901504395</v>
      </c>
      <c r="AL79" s="5">
        <v>41602370458256</v>
      </c>
      <c r="AM79" s="5">
        <v>396814635231226</v>
      </c>
      <c r="AN79" s="5">
        <v>403135242077791</v>
      </c>
      <c r="AO79" s="5">
        <v>387203090174495</v>
      </c>
      <c r="AP79" s="5">
        <v>363991410341555</v>
      </c>
      <c r="AQ79" s="5"/>
      <c r="AR79" s="5"/>
      <c r="AS79" s="5"/>
      <c r="AT79" s="5"/>
      <c r="AU79" s="5"/>
      <c r="AV79" s="5"/>
      <c r="AW79" s="5"/>
      <c r="AX79" s="5"/>
      <c r="AY79" s="5"/>
      <c r="AZ79" s="5"/>
      <c r="BA79" s="5"/>
    </row>
    <row r="80" spans="1:53" x14ac:dyDescent="0.45">
      <c r="A80" s="1"/>
      <c r="B80" s="2"/>
      <c r="C80" s="1" t="s">
        <v>74</v>
      </c>
      <c r="D80" s="2">
        <v>4073203</v>
      </c>
      <c r="E80" s="3" t="s">
        <v>661</v>
      </c>
      <c r="F80" s="3" t="s">
        <v>662</v>
      </c>
      <c r="G80" s="3" t="s">
        <v>663</v>
      </c>
      <c r="H80" s="5">
        <v>160528571620135</v>
      </c>
      <c r="I80" s="5">
        <v>156363807722104</v>
      </c>
      <c r="J80" s="5">
        <v>167606901334317</v>
      </c>
      <c r="K80" s="5">
        <v>178478419542075</v>
      </c>
      <c r="L80" s="5">
        <v>179771206304538</v>
      </c>
      <c r="M80" s="5">
        <v>207075481468</v>
      </c>
      <c r="N80" s="5">
        <v>215736184544</v>
      </c>
      <c r="O80" s="5">
        <v>20885385428</v>
      </c>
      <c r="P80" s="5">
        <v>210162575259</v>
      </c>
      <c r="Q80" s="5">
        <v>24057970902</v>
      </c>
      <c r="R80" s="5">
        <v>24179412843</v>
      </c>
      <c r="S80" s="5">
        <v>2223310616592</v>
      </c>
      <c r="T80" s="5">
        <v>2182078855086</v>
      </c>
      <c r="U80" s="5">
        <v>215001777276</v>
      </c>
      <c r="V80" s="5">
        <v>200521482822</v>
      </c>
      <c r="W80" s="5">
        <v>2211680130975</v>
      </c>
      <c r="X80" s="5">
        <v>22768981677365</v>
      </c>
      <c r="Y80" s="5">
        <v>243771421124</v>
      </c>
      <c r="Z80" s="5">
        <v>2288693412819</v>
      </c>
      <c r="AA80" s="5">
        <v>2311384104095</v>
      </c>
      <c r="AB80" s="5">
        <v>2256152524617</v>
      </c>
      <c r="AC80" s="5">
        <v>2476855856355</v>
      </c>
      <c r="AD80" s="5">
        <v>247387478329109</v>
      </c>
      <c r="AE80" s="5">
        <v>270407163296028</v>
      </c>
      <c r="AF80" s="5">
        <v>270448335278941</v>
      </c>
      <c r="AG80" s="5">
        <v>24512763414515</v>
      </c>
      <c r="AH80" s="5">
        <v>226355757622406</v>
      </c>
      <c r="AI80" s="5">
        <v>240434228419564</v>
      </c>
      <c r="AJ80" s="5">
        <v>254475972664889</v>
      </c>
      <c r="AK80" s="5">
        <v>248445342489299</v>
      </c>
      <c r="AL80" s="5">
        <v>265778729359768</v>
      </c>
      <c r="AM80" s="5">
        <v>24870981758355</v>
      </c>
      <c r="AN80" s="5">
        <v>277401913806645</v>
      </c>
      <c r="AO80" s="5">
        <v>259066609734765</v>
      </c>
      <c r="AP80" s="5">
        <v>24387114516885</v>
      </c>
      <c r="AQ80" s="5"/>
      <c r="AR80" s="5"/>
      <c r="AS80" s="5"/>
      <c r="AT80" s="5"/>
      <c r="AU80" s="5"/>
      <c r="AV80" s="5"/>
      <c r="AW80" s="5"/>
      <c r="AX80" s="5"/>
      <c r="AY80" s="5"/>
      <c r="AZ80" s="5"/>
      <c r="BA80" s="5"/>
    </row>
    <row r="81" spans="1:53" x14ac:dyDescent="0.45">
      <c r="A81" s="1"/>
      <c r="B81" s="2"/>
      <c r="C81" s="1" t="s">
        <v>75</v>
      </c>
      <c r="D81" s="2">
        <v>4980730</v>
      </c>
      <c r="E81" s="3" t="s">
        <v>664</v>
      </c>
      <c r="F81" s="3" t="s">
        <v>665</v>
      </c>
      <c r="G81" s="3" t="s">
        <v>628</v>
      </c>
      <c r="H81" s="5">
        <v>395858445408687</v>
      </c>
      <c r="I81" s="5">
        <v>394619466099438</v>
      </c>
      <c r="J81" s="5">
        <v>410177555822146</v>
      </c>
      <c r="K81" s="5">
        <v>392950389121301</v>
      </c>
      <c r="L81" s="5">
        <v>423419377497633</v>
      </c>
      <c r="M81" s="5">
        <v>411557320951402</v>
      </c>
      <c r="N81" s="5">
        <v>416978124968443</v>
      </c>
      <c r="O81" s="5">
        <v>413182326200111</v>
      </c>
      <c r="P81" s="5">
        <v>410505379309106</v>
      </c>
      <c r="Q81" s="5">
        <v>396547482592767</v>
      </c>
      <c r="R81" s="5">
        <v>379673765019715</v>
      </c>
      <c r="S81" s="5">
        <v>368789463214934</v>
      </c>
      <c r="T81" s="5">
        <v>356015206274031</v>
      </c>
      <c r="U81" s="5">
        <v>353489232766423</v>
      </c>
      <c r="V81" s="5">
        <v>325428411419704</v>
      </c>
      <c r="W81" s="5">
        <v>31766468428063</v>
      </c>
      <c r="X81" s="5">
        <v>319886915723981</v>
      </c>
      <c r="Y81" s="5">
        <v>314479530445374</v>
      </c>
      <c r="Z81" s="5">
        <v>29617476041332</v>
      </c>
      <c r="AA81" s="5">
        <v>327286280850979</v>
      </c>
      <c r="AB81" s="5">
        <v>32464732548151</v>
      </c>
      <c r="AC81" s="5">
        <v>344828493557289</v>
      </c>
      <c r="AD81" s="5">
        <v>34569932028723</v>
      </c>
      <c r="AE81" s="5">
        <v>391948193403907</v>
      </c>
      <c r="AF81" s="5">
        <v>375619244790745</v>
      </c>
      <c r="AG81" s="5">
        <v>384710819067644</v>
      </c>
      <c r="AH81" s="5">
        <v>35008754348238</v>
      </c>
      <c r="AI81" s="5">
        <v>346215689858593</v>
      </c>
      <c r="AJ81" s="5">
        <v>379955520523853</v>
      </c>
      <c r="AK81" s="5">
        <v>347864033581289</v>
      </c>
      <c r="AL81" s="5">
        <v>331683017561162</v>
      </c>
      <c r="AM81" s="5">
        <v>30863229042068</v>
      </c>
      <c r="AN81" s="5">
        <v>348202613073794</v>
      </c>
      <c r="AO81" s="5">
        <v>30666636895529</v>
      </c>
      <c r="AP81" s="5">
        <v>304299396381434</v>
      </c>
      <c r="AQ81" s="5"/>
      <c r="AR81" s="5"/>
      <c r="AS81" s="5"/>
      <c r="AT81" s="5"/>
      <c r="AU81" s="5"/>
      <c r="AV81" s="5"/>
      <c r="AW81" s="5"/>
      <c r="AX81" s="5"/>
      <c r="AY81" s="5"/>
      <c r="AZ81" s="5"/>
      <c r="BA81" s="5"/>
    </row>
    <row r="82" spans="1:53" x14ac:dyDescent="0.45">
      <c r="A82" s="1"/>
      <c r="B82" s="2"/>
      <c r="C82" s="1" t="s">
        <v>76</v>
      </c>
      <c r="D82" s="2">
        <v>114523</v>
      </c>
      <c r="E82" s="3" t="s">
        <v>666</v>
      </c>
      <c r="F82" s="3" t="s">
        <v>667</v>
      </c>
      <c r="G82" s="3" t="s">
        <v>668</v>
      </c>
      <c r="H82" s="5">
        <v>780746950715792</v>
      </c>
      <c r="I82" s="5">
        <v>705137026208822</v>
      </c>
      <c r="J82" s="5">
        <v>68937950634</v>
      </c>
      <c r="K82" s="5">
        <v>6235745890707</v>
      </c>
      <c r="L82" s="5">
        <v>5846958428913</v>
      </c>
      <c r="M82" s="5">
        <v>56963862527</v>
      </c>
      <c r="N82" s="5">
        <v>554922086004</v>
      </c>
      <c r="O82" s="5">
        <v>55282473532</v>
      </c>
      <c r="P82" s="5">
        <v>552948800985074</v>
      </c>
      <c r="Q82" s="5">
        <v>5087751015648</v>
      </c>
      <c r="R82" s="5">
        <v>534020962428</v>
      </c>
      <c r="S82" s="5">
        <v>5186535673854</v>
      </c>
      <c r="T82" s="5">
        <v>5139992185214</v>
      </c>
      <c r="U82" s="5">
        <v>528901875832</v>
      </c>
      <c r="V82" s="5">
        <v>4448847418392</v>
      </c>
      <c r="W82" s="5">
        <v>46139114685015</v>
      </c>
      <c r="X82" s="5">
        <v>429487314060703</v>
      </c>
      <c r="Y82" s="5">
        <v>4324643294118</v>
      </c>
      <c r="Z82" s="5">
        <v>39858149925405</v>
      </c>
      <c r="AA82" s="5">
        <v>38042687607345</v>
      </c>
      <c r="AB82" s="5">
        <v>396235969203605</v>
      </c>
      <c r="AC82" s="5">
        <v>362909015652</v>
      </c>
      <c r="AD82" s="5">
        <v>334895618941639</v>
      </c>
      <c r="AE82" s="5">
        <v>364327968435202</v>
      </c>
      <c r="AF82" s="5">
        <v>400383888250504</v>
      </c>
      <c r="AG82" s="5">
        <v>385386267506657</v>
      </c>
      <c r="AH82" s="5">
        <v>352936738605406</v>
      </c>
      <c r="AI82" s="5">
        <v>411247354992228</v>
      </c>
      <c r="AJ82" s="5">
        <v>428905299042899</v>
      </c>
      <c r="AK82" s="5">
        <v>459700374735</v>
      </c>
      <c r="AL82" s="5">
        <v>469312262766</v>
      </c>
      <c r="AM82" s="5">
        <v>46850476572</v>
      </c>
      <c r="AN82" s="5">
        <v>451569716725585</v>
      </c>
      <c r="AO82" s="5">
        <v>44816572228955</v>
      </c>
      <c r="AP82" s="5">
        <v>428824772500606</v>
      </c>
      <c r="AQ82" s="5"/>
      <c r="AR82" s="5"/>
      <c r="AS82" s="5"/>
      <c r="AT82" s="5"/>
      <c r="AU82" s="5"/>
      <c r="AV82" s="5"/>
      <c r="AW82" s="5"/>
      <c r="AX82" s="5"/>
      <c r="AY82" s="5"/>
      <c r="AZ82" s="5"/>
      <c r="BA82" s="5"/>
    </row>
    <row r="83" spans="1:53" x14ac:dyDescent="0.45">
      <c r="A83" s="1"/>
      <c r="B83" s="2"/>
      <c r="C83" s="1" t="s">
        <v>77</v>
      </c>
      <c r="D83" s="2">
        <v>4253262</v>
      </c>
      <c r="E83" s="3" t="s">
        <v>669</v>
      </c>
      <c r="F83" s="3" t="s">
        <v>670</v>
      </c>
      <c r="G83" s="3" t="s">
        <v>671</v>
      </c>
      <c r="H83" s="5">
        <v>117722195313108</v>
      </c>
      <c r="I83" s="5">
        <v>117592421119439</v>
      </c>
      <c r="J83" s="5">
        <v>109527711885948</v>
      </c>
      <c r="K83" s="5">
        <v>102701528070581</v>
      </c>
      <c r="L83" s="5">
        <v>958150343138927</v>
      </c>
      <c r="M83" s="5">
        <v>898680211754724</v>
      </c>
      <c r="N83" s="5">
        <v>89759782298088</v>
      </c>
      <c r="O83" s="5">
        <v>86126460714504</v>
      </c>
      <c r="P83" s="5">
        <v>847004405960661</v>
      </c>
      <c r="Q83" s="5">
        <v>848176198664133</v>
      </c>
      <c r="R83" s="5">
        <v>82251763902462</v>
      </c>
      <c r="S83" s="5">
        <v>599754322403318</v>
      </c>
      <c r="T83" s="5">
        <v>568964610491608</v>
      </c>
      <c r="U83" s="5">
        <v>52981275390758</v>
      </c>
      <c r="V83" s="5">
        <v>468795157869083</v>
      </c>
      <c r="W83" s="5">
        <v>471757538305737</v>
      </c>
      <c r="X83" s="5">
        <v>50086676752204</v>
      </c>
      <c r="Y83" s="5">
        <v>500494444237592</v>
      </c>
      <c r="Z83" s="5">
        <v>488278465805891</v>
      </c>
      <c r="AA83" s="5">
        <v>465526059369079</v>
      </c>
      <c r="AB83" s="5">
        <v>441192353226292</v>
      </c>
      <c r="AC83" s="5">
        <v>470604520317188</v>
      </c>
      <c r="AD83" s="5">
        <v>507649546657816</v>
      </c>
      <c r="AE83" s="5">
        <v>492723562126152</v>
      </c>
      <c r="AF83" s="5">
        <v>563582904989612</v>
      </c>
      <c r="AG83" s="5">
        <v>502200121199823</v>
      </c>
      <c r="AH83" s="5">
        <v>497600859478203</v>
      </c>
      <c r="AI83" s="5">
        <v>467535798944018</v>
      </c>
      <c r="AJ83" s="5">
        <v>465081700139252</v>
      </c>
      <c r="AK83" s="5">
        <v>428796179845331</v>
      </c>
      <c r="AL83" s="5">
        <v>445083851222888</v>
      </c>
      <c r="AM83" s="5">
        <v>421791279967987</v>
      </c>
      <c r="AN83" s="5">
        <v>448875050127481</v>
      </c>
      <c r="AO83" s="5">
        <v>449734497786557</v>
      </c>
      <c r="AP83" s="5">
        <v>481956955367013</v>
      </c>
      <c r="AQ83" s="5"/>
      <c r="AR83" s="5"/>
      <c r="AS83" s="5"/>
      <c r="AT83" s="5"/>
      <c r="AU83" s="5"/>
      <c r="AV83" s="5"/>
      <c r="AW83" s="5"/>
      <c r="AX83" s="5"/>
      <c r="AY83" s="5"/>
      <c r="AZ83" s="5"/>
      <c r="BA83" s="5"/>
    </row>
    <row r="84" spans="1:53" x14ac:dyDescent="0.45">
      <c r="A84" s="1"/>
      <c r="B84" s="2"/>
      <c r="C84" s="1" t="s">
        <v>78</v>
      </c>
      <c r="D84" s="2">
        <v>4025774</v>
      </c>
      <c r="E84" s="3" t="s">
        <v>672</v>
      </c>
      <c r="F84" s="3" t="s">
        <v>673</v>
      </c>
      <c r="G84" s="3" t="s">
        <v>674</v>
      </c>
      <c r="H84" s="5">
        <v>120694396977433</v>
      </c>
      <c r="I84" s="5">
        <v>121834878827321</v>
      </c>
      <c r="J84" s="5">
        <v>112507775799825</v>
      </c>
      <c r="K84" s="5">
        <v>106759745903535</v>
      </c>
      <c r="L84" s="5">
        <v>101184781763456</v>
      </c>
      <c r="M84" s="5">
        <v>107351012104079</v>
      </c>
      <c r="N84" s="5">
        <v>106252292016052</v>
      </c>
      <c r="O84" s="5">
        <v>103383560725184</v>
      </c>
      <c r="P84" s="5">
        <v>109455446639595</v>
      </c>
      <c r="Q84" s="5">
        <v>10816013107355</v>
      </c>
      <c r="R84" s="5">
        <v>110108046312373</v>
      </c>
      <c r="S84" s="5">
        <v>92324118379684</v>
      </c>
      <c r="T84" s="5">
        <v>978891228309969</v>
      </c>
      <c r="U84" s="5">
        <v>901492228955472</v>
      </c>
      <c r="V84" s="5">
        <v>768035629122944</v>
      </c>
      <c r="W84" s="5">
        <v>813424268337642</v>
      </c>
      <c r="X84" s="5">
        <v>876178914758147</v>
      </c>
      <c r="Y84" s="5">
        <v>832015228281965</v>
      </c>
      <c r="Z84" s="5">
        <v>779162092545096</v>
      </c>
      <c r="AA84" s="5">
        <v>876469516708305</v>
      </c>
      <c r="AB84" s="5">
        <v>845416543245807</v>
      </c>
      <c r="AC84" s="5">
        <v>764338076150314</v>
      </c>
      <c r="AD84" s="5">
        <v>844274300789</v>
      </c>
      <c r="AE84" s="5">
        <v>103995692703703</v>
      </c>
      <c r="AF84" s="5">
        <v>115844625122132</v>
      </c>
      <c r="AG84" s="5">
        <v>110089576492651</v>
      </c>
      <c r="AH84" s="5">
        <v>93314173025392</v>
      </c>
      <c r="AI84" s="5">
        <v>930286193414419</v>
      </c>
      <c r="AJ84" s="5">
        <v>111847567149505</v>
      </c>
      <c r="AK84" s="5">
        <v>108099211708373</v>
      </c>
      <c r="AL84" s="5">
        <v>113389601310679</v>
      </c>
      <c r="AM84" s="5">
        <v>111445851745483</v>
      </c>
      <c r="AN84" s="5">
        <v>117281556823995</v>
      </c>
      <c r="AO84" s="5">
        <v>994365326992846</v>
      </c>
      <c r="AP84" s="5">
        <v>932219050050981</v>
      </c>
      <c r="AQ84" s="5"/>
      <c r="AR84" s="5"/>
      <c r="AS84" s="5"/>
      <c r="AT84" s="5"/>
      <c r="AU84" s="5"/>
      <c r="AV84" s="5"/>
      <c r="AW84" s="5"/>
      <c r="AX84" s="5"/>
      <c r="AY84" s="5"/>
      <c r="AZ84" s="5"/>
      <c r="BA84" s="5"/>
    </row>
    <row r="85" spans="1:53" x14ac:dyDescent="0.45">
      <c r="A85" s="1"/>
      <c r="B85" s="2"/>
      <c r="C85" s="1" t="s">
        <v>79</v>
      </c>
      <c r="D85" s="2">
        <v>4114659</v>
      </c>
      <c r="E85" s="3" t="s">
        <v>675</v>
      </c>
      <c r="F85" s="3" t="s">
        <v>676</v>
      </c>
      <c r="G85" s="3" t="s">
        <v>677</v>
      </c>
      <c r="H85" s="5">
        <v>885794043653467</v>
      </c>
      <c r="I85" s="5">
        <v>899816511800392</v>
      </c>
      <c r="J85" s="5">
        <v>919643559163</v>
      </c>
      <c r="K85" s="5">
        <v>864770406423</v>
      </c>
      <c r="L85" s="5">
        <v>82703729338461</v>
      </c>
      <c r="M85" s="5">
        <v>845456664036898</v>
      </c>
      <c r="N85" s="5">
        <v>860964297982653</v>
      </c>
      <c r="O85" s="5">
        <v>8413699243929</v>
      </c>
      <c r="P85" s="5">
        <v>864292378305338</v>
      </c>
      <c r="Q85" s="5">
        <v>860110426522889</v>
      </c>
      <c r="R85" s="5">
        <v>8905523305974</v>
      </c>
      <c r="S85" s="5">
        <v>766167913045341</v>
      </c>
      <c r="T85" s="5">
        <v>792018163938761</v>
      </c>
      <c r="U85" s="5">
        <v>77802491435592</v>
      </c>
      <c r="V85" s="5">
        <v>669193547860012</v>
      </c>
      <c r="W85" s="5">
        <v>664421684288931</v>
      </c>
      <c r="X85" s="5">
        <v>654126173815172</v>
      </c>
      <c r="Y85" s="5">
        <v>636274942366653</v>
      </c>
      <c r="Z85" s="5">
        <v>597685162597081</v>
      </c>
      <c r="AA85" s="5">
        <v>63332849325405</v>
      </c>
      <c r="AB85" s="5">
        <v>557821572651997</v>
      </c>
      <c r="AC85" s="5">
        <v>611167036278087</v>
      </c>
      <c r="AD85" s="5">
        <v>597939166973464</v>
      </c>
      <c r="AE85" s="5">
        <v>651362309600182</v>
      </c>
      <c r="AF85" s="5">
        <v>687612556200283</v>
      </c>
      <c r="AG85" s="5">
        <v>687291282937832</v>
      </c>
      <c r="AH85" s="5">
        <v>620905676289769</v>
      </c>
      <c r="AI85" s="5">
        <v>601813624523794</v>
      </c>
      <c r="AJ85" s="5">
        <v>554868864422469</v>
      </c>
      <c r="AK85" s="5">
        <v>525059849633634</v>
      </c>
      <c r="AL85" s="5">
        <v>576735084891203</v>
      </c>
      <c r="AM85" s="5">
        <v>59055115276251</v>
      </c>
      <c r="AN85" s="5">
        <v>598064978467131</v>
      </c>
      <c r="AO85" s="5">
        <v>578162536832947</v>
      </c>
      <c r="AP85" s="5">
        <v>522590652842778</v>
      </c>
      <c r="AQ85" s="5"/>
      <c r="AR85" s="5"/>
      <c r="AS85" s="5"/>
      <c r="AT85" s="5"/>
      <c r="AU85" s="5"/>
      <c r="AV85" s="5"/>
      <c r="AW85" s="5"/>
      <c r="AX85" s="5"/>
      <c r="AY85" s="5"/>
      <c r="AZ85" s="5"/>
      <c r="BA85" s="5"/>
    </row>
    <row r="86" spans="1:53" x14ac:dyDescent="0.45">
      <c r="A86" s="1"/>
      <c r="B86" s="2"/>
      <c r="C86" s="1" t="s">
        <v>80</v>
      </c>
      <c r="D86" s="2">
        <v>4022647</v>
      </c>
      <c r="E86" s="3" t="s">
        <v>678</v>
      </c>
      <c r="F86" s="3" t="s">
        <v>679</v>
      </c>
      <c r="G86" s="3" t="s">
        <v>663</v>
      </c>
      <c r="H86" s="5">
        <v>166762319789245</v>
      </c>
      <c r="I86" s="5">
        <v>155325351194191</v>
      </c>
      <c r="J86" s="5">
        <v>144832854020783</v>
      </c>
      <c r="K86" s="5">
        <v>153410469233729</v>
      </c>
      <c r="L86" s="5">
        <v>148072363731416</v>
      </c>
      <c r="M86" s="5">
        <v>173828251172</v>
      </c>
      <c r="N86" s="5">
        <v>180923368062</v>
      </c>
      <c r="O86" s="5">
        <v>17834618508</v>
      </c>
      <c r="P86" s="5">
        <v>163623768672</v>
      </c>
      <c r="Q86" s="5">
        <v>17983222656</v>
      </c>
      <c r="R86" s="5">
        <v>187300618176</v>
      </c>
      <c r="S86" s="5">
        <v>175740972602139</v>
      </c>
      <c r="T86" s="5">
        <v>16116837912268</v>
      </c>
      <c r="U86" s="5">
        <v>16238656654</v>
      </c>
      <c r="V86" s="5">
        <v>15263111091632</v>
      </c>
      <c r="W86" s="5">
        <v>170962932447864</v>
      </c>
      <c r="X86" s="5">
        <v>185594476574392</v>
      </c>
      <c r="Y86" s="5">
        <v>16456574629425</v>
      </c>
      <c r="Z86" s="5">
        <v>154168043499</v>
      </c>
      <c r="AA86" s="5">
        <v>1454252227215</v>
      </c>
      <c r="AB86" s="5">
        <v>169533973383445</v>
      </c>
      <c r="AC86" s="5">
        <v>163831744581311</v>
      </c>
      <c r="AD86" s="5">
        <v>171011941720362</v>
      </c>
      <c r="AE86" s="5">
        <v>196360917614365</v>
      </c>
      <c r="AF86" s="5">
        <v>191994732870776</v>
      </c>
      <c r="AG86" s="5">
        <v>185096606325935</v>
      </c>
      <c r="AH86" s="5">
        <v>180011733890603</v>
      </c>
      <c r="AI86" s="5">
        <v>188883588539125</v>
      </c>
      <c r="AJ86" s="5">
        <v>210282155264101</v>
      </c>
      <c r="AK86" s="5">
        <v>209726619942458</v>
      </c>
      <c r="AL86" s="5">
        <v>22530786140184</v>
      </c>
      <c r="AM86" s="5">
        <v>22421335602375</v>
      </c>
      <c r="AN86" s="5">
        <v>232363434507975</v>
      </c>
      <c r="AO86" s="5">
        <v>2012603095013</v>
      </c>
      <c r="AP86" s="5">
        <v>185367505179441</v>
      </c>
      <c r="AQ86" s="5"/>
      <c r="AR86" s="5"/>
      <c r="AS86" s="5"/>
      <c r="AT86" s="5"/>
      <c r="AU86" s="5"/>
      <c r="AV86" s="5"/>
      <c r="AW86" s="5"/>
      <c r="AX86" s="5"/>
      <c r="AY86" s="5"/>
      <c r="AZ86" s="5"/>
      <c r="BA86" s="5"/>
    </row>
    <row r="87" spans="1:53" x14ac:dyDescent="0.45">
      <c r="A87" s="1"/>
      <c r="B87" s="2"/>
      <c r="C87" s="1" t="s">
        <v>81</v>
      </c>
      <c r="D87" s="2">
        <v>4022661</v>
      </c>
      <c r="E87" s="3" t="s">
        <v>680</v>
      </c>
      <c r="F87" s="3" t="s">
        <v>681</v>
      </c>
      <c r="G87" s="3" t="s">
        <v>682</v>
      </c>
      <c r="H87" s="5">
        <v>144978084998548</v>
      </c>
      <c r="I87" s="5">
        <v>147932612106787</v>
      </c>
      <c r="J87" s="5">
        <v>138851396775834</v>
      </c>
      <c r="K87" s="5">
        <v>141218057708193</v>
      </c>
      <c r="L87" s="5">
        <v>12904729255717</v>
      </c>
      <c r="M87" s="5">
        <v>116227668825291</v>
      </c>
      <c r="N87" s="5">
        <v>120619923655585</v>
      </c>
      <c r="O87" s="5">
        <v>111361513163121</v>
      </c>
      <c r="P87" s="5">
        <v>11763865800517</v>
      </c>
      <c r="Q87" s="5">
        <v>114758130144</v>
      </c>
      <c r="R87" s="5">
        <v>11424562200171</v>
      </c>
      <c r="S87" s="5">
        <v>100197954226111</v>
      </c>
      <c r="T87" s="5">
        <v>914818000838023</v>
      </c>
      <c r="U87" s="5">
        <v>931668930954102</v>
      </c>
      <c r="V87" s="5">
        <v>974200065611485</v>
      </c>
      <c r="W87" s="5">
        <v>1017114639336</v>
      </c>
      <c r="X87" s="5">
        <v>1045945462793</v>
      </c>
      <c r="Y87" s="5">
        <v>1078030547965</v>
      </c>
      <c r="Z87" s="5">
        <v>10955274409755</v>
      </c>
      <c r="AA87" s="5">
        <v>9550512283475</v>
      </c>
      <c r="AB87" s="5">
        <v>922265386840761</v>
      </c>
      <c r="AC87" s="5">
        <v>63786603312</v>
      </c>
      <c r="AD87" s="5">
        <v>683660758026421</v>
      </c>
      <c r="AE87" s="5">
        <v>722304019162631</v>
      </c>
      <c r="AF87" s="5">
        <v>651601329117585</v>
      </c>
      <c r="AG87" s="5">
        <v>642973139275314</v>
      </c>
      <c r="AH87" s="5">
        <v>57869463961576</v>
      </c>
      <c r="AI87" s="5">
        <v>656195710653655</v>
      </c>
      <c r="AJ87" s="5">
        <v>755965551439263</v>
      </c>
      <c r="AK87" s="5">
        <v>85831521250986</v>
      </c>
      <c r="AL87" s="5">
        <v>8163043965515</v>
      </c>
      <c r="AM87" s="5">
        <v>65846092623736</v>
      </c>
      <c r="AN87" s="5">
        <v>78196869023005</v>
      </c>
      <c r="AO87" s="5">
        <v>651290565152494</v>
      </c>
      <c r="AP87" s="5">
        <v>567261410603754</v>
      </c>
      <c r="AQ87" s="5"/>
      <c r="AR87" s="5"/>
      <c r="AS87" s="5"/>
      <c r="AT87" s="5"/>
      <c r="AU87" s="5"/>
      <c r="AV87" s="5"/>
      <c r="AW87" s="5"/>
      <c r="AX87" s="5"/>
      <c r="AY87" s="5"/>
      <c r="AZ87" s="5"/>
      <c r="BA87" s="5"/>
    </row>
    <row r="88" spans="1:53" x14ac:dyDescent="0.45">
      <c r="A88" s="1"/>
      <c r="B88" s="2"/>
      <c r="C88" s="1" t="s">
        <v>82</v>
      </c>
      <c r="D88" s="2">
        <v>4074390</v>
      </c>
      <c r="E88" s="3" t="s">
        <v>683</v>
      </c>
      <c r="F88" s="3" t="s">
        <v>684</v>
      </c>
      <c r="G88" s="3" t="s">
        <v>519</v>
      </c>
      <c r="H88" s="5">
        <v>101802390705319</v>
      </c>
      <c r="I88" s="5">
        <v>108617845135941</v>
      </c>
      <c r="J88" s="5">
        <v>109519938303772</v>
      </c>
      <c r="K88" s="5">
        <v>10652587471491</v>
      </c>
      <c r="L88" s="5">
        <v>107510424961918</v>
      </c>
      <c r="M88" s="5">
        <v>103083378429332</v>
      </c>
      <c r="N88" s="5">
        <v>103425370484475</v>
      </c>
      <c r="O88" s="5">
        <v>109736116198138</v>
      </c>
      <c r="P88" s="5">
        <v>1128461606064</v>
      </c>
      <c r="Q88" s="5">
        <v>1111164164544</v>
      </c>
      <c r="R88" s="5">
        <v>110839674953465</v>
      </c>
      <c r="S88" s="5">
        <v>104607642179327</v>
      </c>
      <c r="T88" s="5">
        <v>100527616473222</v>
      </c>
      <c r="U88" s="5">
        <v>97211740839752</v>
      </c>
      <c r="V88" s="5">
        <v>89593154496</v>
      </c>
      <c r="W88" s="5">
        <v>890067815226</v>
      </c>
      <c r="X88" s="5">
        <v>868109337018</v>
      </c>
      <c r="Y88" s="5">
        <v>921837018648</v>
      </c>
      <c r="Z88" s="5">
        <v>9306042696</v>
      </c>
      <c r="AA88" s="5">
        <v>871761403053</v>
      </c>
      <c r="AB88" s="5">
        <v>8064923756175</v>
      </c>
      <c r="AC88" s="5">
        <v>737909444863653</v>
      </c>
      <c r="AD88" s="5">
        <v>710560502150848</v>
      </c>
      <c r="AE88" s="5">
        <v>727356943098927</v>
      </c>
      <c r="AF88" s="5">
        <v>69031362733033</v>
      </c>
      <c r="AG88" s="5">
        <v>723789152828543</v>
      </c>
      <c r="AH88" s="5">
        <v>695506953462882</v>
      </c>
      <c r="AI88" s="5">
        <v>715224255663855</v>
      </c>
      <c r="AJ88" s="5">
        <v>753103228196861</v>
      </c>
      <c r="AK88" s="5">
        <v>734973508870351</v>
      </c>
      <c r="AL88" s="5">
        <v>79846959109785</v>
      </c>
      <c r="AM88" s="5">
        <v>80535318080175</v>
      </c>
      <c r="AN88" s="5">
        <v>81656761212455</v>
      </c>
      <c r="AO88" s="5">
        <v>796921325054073</v>
      </c>
      <c r="AP88" s="5">
        <v>879017034679552</v>
      </c>
      <c r="AQ88" s="5"/>
      <c r="AR88" s="5"/>
      <c r="AS88" s="5"/>
      <c r="AT88" s="5"/>
      <c r="AU88" s="5"/>
      <c r="AV88" s="5"/>
      <c r="AW88" s="5"/>
      <c r="AX88" s="5"/>
      <c r="AY88" s="5"/>
      <c r="AZ88" s="5"/>
      <c r="BA88" s="5"/>
    </row>
    <row r="89" spans="1:53" x14ac:dyDescent="0.45">
      <c r="A89" s="1"/>
      <c r="B89" s="2"/>
      <c r="C89" s="1" t="s">
        <v>83</v>
      </c>
      <c r="D89" s="2">
        <v>4533245</v>
      </c>
      <c r="E89" s="3" t="s">
        <v>685</v>
      </c>
      <c r="F89" s="3" t="s">
        <v>686</v>
      </c>
      <c r="G89" s="3" t="s">
        <v>687</v>
      </c>
      <c r="H89" s="5">
        <v>826377649763098</v>
      </c>
      <c r="I89" s="5">
        <v>733919128259083</v>
      </c>
      <c r="J89" s="5">
        <v>76096487311245</v>
      </c>
      <c r="K89" s="5">
        <v>69388427738691</v>
      </c>
      <c r="L89" s="5">
        <v>569414298212077</v>
      </c>
      <c r="M89" s="5">
        <v>580710708061628</v>
      </c>
      <c r="N89" s="5">
        <v>571464122168646</v>
      </c>
      <c r="O89" s="5">
        <v>5582672724069</v>
      </c>
      <c r="P89" s="5">
        <v>572269703096</v>
      </c>
      <c r="Q89" s="5">
        <v>640047912998508</v>
      </c>
      <c r="R89" s="5">
        <v>689964470292924</v>
      </c>
      <c r="S89" s="5">
        <v>762345297573</v>
      </c>
      <c r="T89" s="5">
        <v>695157424244</v>
      </c>
      <c r="U89" s="5">
        <v>63819084164</v>
      </c>
      <c r="V89" s="5">
        <v>510711456612</v>
      </c>
      <c r="W89" s="5">
        <v>5050289944575</v>
      </c>
      <c r="X89" s="5">
        <v>5437360929</v>
      </c>
      <c r="Y89" s="5">
        <v>514834414094</v>
      </c>
      <c r="Z89" s="5">
        <v>505824996105</v>
      </c>
      <c r="AA89" s="5">
        <v>579319391937</v>
      </c>
      <c r="AB89" s="5">
        <v>67302925618625</v>
      </c>
      <c r="AC89" s="5">
        <v>782300879691467</v>
      </c>
      <c r="AD89" s="5">
        <v>6461897152932</v>
      </c>
      <c r="AE89" s="5">
        <v>875799395853382</v>
      </c>
      <c r="AF89" s="5">
        <v>101792895716775</v>
      </c>
      <c r="AG89" s="5">
        <v>107297005169095</v>
      </c>
      <c r="AH89" s="5">
        <v>937612880194133</v>
      </c>
      <c r="AI89" s="5">
        <v>119381046691711</v>
      </c>
      <c r="AJ89" s="5">
        <v>126110536137312</v>
      </c>
      <c r="AK89" s="5">
        <v>135812702571588</v>
      </c>
      <c r="AL89" s="5">
        <v>13547120084278</v>
      </c>
      <c r="AM89" s="5">
        <v>12300399027405</v>
      </c>
      <c r="AN89" s="5">
        <v>12650755499424</v>
      </c>
      <c r="AO89" s="5">
        <v>130841885574662</v>
      </c>
      <c r="AP89" s="5">
        <v>134433696495</v>
      </c>
      <c r="AQ89" s="5"/>
      <c r="AR89" s="5"/>
      <c r="AS89" s="5"/>
      <c r="AT89" s="5"/>
      <c r="AU89" s="5"/>
      <c r="AV89" s="5"/>
      <c r="AW89" s="5"/>
      <c r="AX89" s="5"/>
      <c r="AY89" s="5"/>
      <c r="AZ89" s="5"/>
      <c r="BA89" s="5"/>
    </row>
    <row r="90" spans="1:53" x14ac:dyDescent="0.45">
      <c r="A90" s="1"/>
      <c r="B90" s="2"/>
      <c r="C90" s="1" t="s">
        <v>84</v>
      </c>
      <c r="D90" s="2">
        <v>4388431</v>
      </c>
      <c r="E90" s="3" t="s">
        <v>688</v>
      </c>
      <c r="F90" s="3" t="s">
        <v>689</v>
      </c>
      <c r="G90" s="3" t="s">
        <v>487</v>
      </c>
      <c r="H90" s="5">
        <v>431700092698908</v>
      </c>
      <c r="I90" s="5">
        <v>414397886393502</v>
      </c>
      <c r="J90" s="5">
        <v>4754292698718</v>
      </c>
      <c r="K90" s="5">
        <v>43498697137236</v>
      </c>
      <c r="L90" s="5">
        <v>4360566801024</v>
      </c>
      <c r="M90" s="5">
        <v>39694406847309</v>
      </c>
      <c r="N90" s="5">
        <v>422360980850182</v>
      </c>
      <c r="O90" s="5">
        <v>39028313217915</v>
      </c>
      <c r="P90" s="5">
        <v>392079631538088</v>
      </c>
      <c r="Q90" s="5">
        <v>400626295099632</v>
      </c>
      <c r="R90" s="5">
        <v>38810676713913</v>
      </c>
      <c r="S90" s="5">
        <v>354383964709032</v>
      </c>
      <c r="T90" s="5">
        <v>341593068573597</v>
      </c>
      <c r="U90" s="5">
        <v>31833491587722</v>
      </c>
      <c r="V90" s="5">
        <v>327426623904162</v>
      </c>
      <c r="W90" s="5">
        <v>350650183499448</v>
      </c>
      <c r="X90" s="5">
        <v>353015328719704</v>
      </c>
      <c r="Y90" s="5">
        <v>371257427159212</v>
      </c>
      <c r="Z90" s="5">
        <v>350216731584965</v>
      </c>
      <c r="AA90" s="5">
        <v>364272482486936</v>
      </c>
      <c r="AB90" s="5">
        <v>326009219457721</v>
      </c>
      <c r="AC90" s="5">
        <v>3157949297307</v>
      </c>
      <c r="AD90" s="5">
        <v>3198390291408</v>
      </c>
      <c r="AE90" s="5">
        <v>345106616872</v>
      </c>
      <c r="AF90" s="5">
        <v>3379183197104</v>
      </c>
      <c r="AG90" s="5">
        <v>276759202272428</v>
      </c>
      <c r="AH90" s="5">
        <v>266253542036386</v>
      </c>
      <c r="AI90" s="5">
        <v>287699232979034</v>
      </c>
      <c r="AJ90" s="5">
        <v>3286586959797</v>
      </c>
      <c r="AK90" s="5">
        <v>29906767296</v>
      </c>
      <c r="AL90" s="5">
        <v>312162030976</v>
      </c>
      <c r="AM90" s="5">
        <v>29257667712</v>
      </c>
      <c r="AN90" s="5">
        <v>3492994648959</v>
      </c>
      <c r="AO90" s="5">
        <v>3236063829977</v>
      </c>
      <c r="AP90" s="5">
        <v>2882266550025</v>
      </c>
      <c r="AQ90" s="5"/>
      <c r="AR90" s="5"/>
      <c r="AS90" s="5"/>
      <c r="AT90" s="5"/>
      <c r="AU90" s="5"/>
      <c r="AV90" s="5"/>
      <c r="AW90" s="5"/>
      <c r="AX90" s="5"/>
      <c r="AY90" s="5"/>
      <c r="AZ90" s="5"/>
      <c r="BA90" s="5"/>
    </row>
    <row r="91" spans="1:53" x14ac:dyDescent="0.45">
      <c r="A91" s="1"/>
      <c r="B91" s="2"/>
      <c r="C91" s="1" t="s">
        <v>85</v>
      </c>
      <c r="D91" s="2">
        <v>4121481</v>
      </c>
      <c r="E91" s="3" t="s">
        <v>690</v>
      </c>
      <c r="F91" s="3" t="s">
        <v>691</v>
      </c>
      <c r="G91" s="3" t="s">
        <v>692</v>
      </c>
      <c r="H91" s="5">
        <v>699104999063475</v>
      </c>
      <c r="I91" s="5">
        <v>680990066381336</v>
      </c>
      <c r="J91" s="5">
        <v>713641300459331</v>
      </c>
      <c r="K91" s="5">
        <v>792965822029579</v>
      </c>
      <c r="L91" s="5">
        <v>865484976776539</v>
      </c>
      <c r="M91" s="5">
        <v>857555312418611</v>
      </c>
      <c r="N91" s="5">
        <v>78990924443749</v>
      </c>
      <c r="O91" s="5">
        <v>822791181375395</v>
      </c>
      <c r="P91" s="5">
        <v>851835531764195</v>
      </c>
      <c r="Q91" s="5">
        <v>823122130655716</v>
      </c>
      <c r="R91" s="5">
        <v>818316539881983</v>
      </c>
      <c r="S91" s="5">
        <v>806949604922045</v>
      </c>
      <c r="T91" s="5">
        <v>733142906535466</v>
      </c>
      <c r="U91" s="5">
        <v>704929770616579</v>
      </c>
      <c r="V91" s="5">
        <v>617714463942702</v>
      </c>
      <c r="W91" s="5">
        <v>650711237005674</v>
      </c>
      <c r="X91" s="5">
        <v>625112404340346</v>
      </c>
      <c r="Y91" s="5">
        <v>568372437277969</v>
      </c>
      <c r="Z91" s="5">
        <v>556696515210789</v>
      </c>
      <c r="AA91" s="5">
        <v>531953966015285</v>
      </c>
      <c r="AB91" s="5">
        <v>208422900716024</v>
      </c>
      <c r="AC91" s="5">
        <v>185854587699892</v>
      </c>
      <c r="AD91" s="5">
        <v>177756195849968</v>
      </c>
      <c r="AE91" s="5">
        <v>189235625425982</v>
      </c>
      <c r="AF91" s="5">
        <v>19906424703281</v>
      </c>
      <c r="AG91" s="5">
        <v>194359245037308</v>
      </c>
      <c r="AH91" s="5">
        <v>176514422362001</v>
      </c>
      <c r="AI91" s="5">
        <v>181624819699986</v>
      </c>
      <c r="AJ91" s="5">
        <v>188418920429109</v>
      </c>
      <c r="AK91" s="5">
        <v>172188449641848</v>
      </c>
      <c r="AL91" s="5">
        <v>182687760855848</v>
      </c>
      <c r="AM91" s="5">
        <v>187142306337773</v>
      </c>
      <c r="AN91" s="5">
        <v>201326905990183</v>
      </c>
      <c r="AO91" s="5">
        <v>180396004411305</v>
      </c>
      <c r="AP91" s="5">
        <v>146255767157689</v>
      </c>
      <c r="AQ91" s="5"/>
      <c r="AR91" s="5"/>
      <c r="AS91" s="5"/>
      <c r="AT91" s="5"/>
      <c r="AU91" s="5"/>
      <c r="AV91" s="5"/>
      <c r="AW91" s="5"/>
      <c r="AX91" s="5"/>
      <c r="AY91" s="5"/>
      <c r="AZ91" s="5"/>
      <c r="BA91" s="5"/>
    </row>
    <row r="92" spans="1:53" x14ac:dyDescent="0.45">
      <c r="A92" s="1"/>
      <c r="B92" s="2"/>
      <c r="C92" s="1" t="s">
        <v>86</v>
      </c>
      <c r="D92" s="2">
        <v>4004170</v>
      </c>
      <c r="E92" s="3" t="s">
        <v>693</v>
      </c>
      <c r="F92" s="3" t="s">
        <v>694</v>
      </c>
      <c r="G92" s="3" t="s">
        <v>695</v>
      </c>
      <c r="H92" s="5">
        <v>196548237009199</v>
      </c>
      <c r="I92" s="5">
        <v>188362052637073</v>
      </c>
      <c r="J92" s="5">
        <v>187236171680952</v>
      </c>
      <c r="K92" s="5">
        <v>186986472067641</v>
      </c>
      <c r="L92" s="5">
        <v>170454032954735</v>
      </c>
      <c r="M92" s="5">
        <v>1755266549304</v>
      </c>
      <c r="N92" s="5">
        <v>1732485033672</v>
      </c>
      <c r="O92" s="5">
        <v>174483671232</v>
      </c>
      <c r="P92" s="5">
        <v>1855328588256</v>
      </c>
      <c r="Q92" s="5">
        <v>1900907598744</v>
      </c>
      <c r="R92" s="5">
        <v>19895093927145</v>
      </c>
      <c r="S92" s="5">
        <v>19479529570965</v>
      </c>
      <c r="T92" s="5">
        <v>2104810881217</v>
      </c>
      <c r="U92" s="5">
        <v>1992272416552</v>
      </c>
      <c r="V92" s="5">
        <v>180302073828</v>
      </c>
      <c r="W92" s="5">
        <v>17273501195256</v>
      </c>
      <c r="X92" s="5">
        <v>168933540730657</v>
      </c>
      <c r="Y92" s="5">
        <v>1728542729172</v>
      </c>
      <c r="Z92" s="5">
        <v>17790469879545</v>
      </c>
      <c r="AA92" s="5">
        <v>171043215685</v>
      </c>
      <c r="AB92" s="5">
        <v>1681500447549</v>
      </c>
      <c r="AC92" s="5">
        <v>143531992363032</v>
      </c>
      <c r="AD92" s="5">
        <v>150395906503538</v>
      </c>
      <c r="AE92" s="5">
        <v>155890361156912</v>
      </c>
      <c r="AF92" s="5">
        <v>162681269027074</v>
      </c>
      <c r="AG92" s="5">
        <v>153914621743099</v>
      </c>
      <c r="AH92" s="5">
        <v>132000400761888</v>
      </c>
      <c r="AI92" s="5">
        <v>135032205616316</v>
      </c>
      <c r="AJ92" s="5">
        <v>150603082121879</v>
      </c>
      <c r="AK92" s="5">
        <v>162860544511398</v>
      </c>
      <c r="AL92" s="5">
        <v>1764799455591</v>
      </c>
      <c r="AM92" s="5">
        <v>186551559606854</v>
      </c>
      <c r="AN92" s="5">
        <v>18373237975394</v>
      </c>
      <c r="AO92" s="5">
        <v>17888513470044</v>
      </c>
      <c r="AP92" s="5">
        <v>17168068170088</v>
      </c>
      <c r="AQ92" s="5"/>
      <c r="AR92" s="5"/>
      <c r="AS92" s="5"/>
      <c r="AT92" s="5"/>
      <c r="AU92" s="5"/>
      <c r="AV92" s="5"/>
      <c r="AW92" s="5"/>
      <c r="AX92" s="5"/>
      <c r="AY92" s="5"/>
      <c r="AZ92" s="5"/>
      <c r="BA92" s="5"/>
    </row>
    <row r="93" spans="1:53" x14ac:dyDescent="0.45">
      <c r="A93" s="1"/>
      <c r="B93" s="2"/>
      <c r="C93" s="1" t="s">
        <v>87</v>
      </c>
      <c r="D93" s="2">
        <v>4225889</v>
      </c>
      <c r="E93" s="3" t="s">
        <v>696</v>
      </c>
      <c r="F93" s="3" t="s">
        <v>697</v>
      </c>
      <c r="G93" s="3" t="s">
        <v>698</v>
      </c>
      <c r="H93" s="5">
        <v>679578269264983</v>
      </c>
      <c r="I93" s="5">
        <v>721623017702521</v>
      </c>
      <c r="J93" s="5">
        <v>65941407850183</v>
      </c>
      <c r="K93" s="5">
        <v>742605361817644</v>
      </c>
      <c r="L93" s="5">
        <v>760415370627282</v>
      </c>
      <c r="M93" s="5">
        <v>831658947037979</v>
      </c>
      <c r="N93" s="5">
        <v>10452635889</v>
      </c>
      <c r="O93" s="5">
        <v>1217595739</v>
      </c>
      <c r="P93" s="5">
        <v>124818490067835</v>
      </c>
      <c r="Q93" s="5">
        <v>119882083664403</v>
      </c>
      <c r="R93" s="5">
        <v>113495314138164</v>
      </c>
      <c r="S93" s="5">
        <v>113063775696</v>
      </c>
      <c r="T93" s="5">
        <v>103477500822</v>
      </c>
      <c r="U93" s="5">
        <v>10854170811</v>
      </c>
      <c r="V93" s="5">
        <v>95291074248</v>
      </c>
      <c r="W93" s="5">
        <v>10971448488</v>
      </c>
      <c r="X93" s="5">
        <v>1080749477808</v>
      </c>
      <c r="Y93" s="5">
        <v>1104957964656</v>
      </c>
      <c r="Z93" s="5">
        <v>105898250664</v>
      </c>
      <c r="AA93" s="5">
        <v>115959962136</v>
      </c>
      <c r="AB93" s="5">
        <v>107335617093772</v>
      </c>
      <c r="AC93" s="5">
        <v>140819574352815</v>
      </c>
      <c r="AD93" s="5">
        <v>128876065361924</v>
      </c>
      <c r="AE93" s="5">
        <v>137793214418719</v>
      </c>
      <c r="AF93" s="5">
        <v>171086237205629</v>
      </c>
      <c r="AG93" s="5">
        <v>18107232690184</v>
      </c>
      <c r="AH93" s="5">
        <v>200982791387722</v>
      </c>
      <c r="AI93" s="5">
        <v>197395699563838</v>
      </c>
      <c r="AJ93" s="5">
        <v>20921962644665</v>
      </c>
      <c r="AK93" s="5">
        <v>168624669479523</v>
      </c>
      <c r="AL93" s="5">
        <v>17412121547256</v>
      </c>
      <c r="AM93" s="5">
        <v>17231456166885</v>
      </c>
      <c r="AN93" s="5">
        <v>18801805831841</v>
      </c>
      <c r="AO93" s="5">
        <v>18397705506379</v>
      </c>
      <c r="AP93" s="5">
        <v>194989259244971</v>
      </c>
      <c r="AQ93" s="5"/>
      <c r="AR93" s="5"/>
      <c r="AS93" s="5"/>
      <c r="AT93" s="5"/>
      <c r="AU93" s="5"/>
      <c r="AV93" s="5"/>
      <c r="AW93" s="5"/>
      <c r="AX93" s="5"/>
      <c r="AY93" s="5"/>
      <c r="AZ93" s="5"/>
      <c r="BA93" s="5"/>
    </row>
    <row r="94" spans="1:53" x14ac:dyDescent="0.45">
      <c r="A94" s="1"/>
      <c r="B94" s="2"/>
      <c r="C94" s="1" t="s">
        <v>88</v>
      </c>
      <c r="D94" s="2">
        <v>103417</v>
      </c>
      <c r="E94" s="3" t="s">
        <v>699</v>
      </c>
      <c r="F94" s="3" t="s">
        <v>700</v>
      </c>
      <c r="G94" s="3" t="s">
        <v>527</v>
      </c>
      <c r="H94" s="5">
        <v>564944527404491</v>
      </c>
      <c r="I94" s="5">
        <v>592935734420993</v>
      </c>
      <c r="J94" s="5">
        <v>601337691507632</v>
      </c>
      <c r="K94" s="5">
        <v>561345570101928</v>
      </c>
      <c r="L94" s="5">
        <v>554262993874048</v>
      </c>
      <c r="M94" s="5">
        <v>578327784135047</v>
      </c>
      <c r="N94" s="5">
        <v>594982377909894</v>
      </c>
      <c r="O94" s="5">
        <v>59504555291922</v>
      </c>
      <c r="P94" s="5">
        <v>588551726185429</v>
      </c>
      <c r="Q94" s="5">
        <v>59350293797942</v>
      </c>
      <c r="R94" s="5">
        <v>606242703212663</v>
      </c>
      <c r="S94" s="5">
        <v>567791188668206</v>
      </c>
      <c r="T94" s="5">
        <v>582405803049981</v>
      </c>
      <c r="U94" s="5">
        <v>56346986874112</v>
      </c>
      <c r="V94" s="5">
        <v>53914934939028</v>
      </c>
      <c r="W94" s="5">
        <v>519886850253043</v>
      </c>
      <c r="X94" s="5">
        <v>529551359496518</v>
      </c>
      <c r="Y94" s="5">
        <v>521286232816523</v>
      </c>
      <c r="Z94" s="5">
        <v>546681053599547</v>
      </c>
      <c r="AA94" s="5">
        <v>528415882918972</v>
      </c>
      <c r="AB94" s="5">
        <v>477690000578178</v>
      </c>
      <c r="AC94" s="5">
        <v>49099162338136</v>
      </c>
      <c r="AD94" s="5">
        <v>501343626025169</v>
      </c>
      <c r="AE94" s="5">
        <v>350639677794188</v>
      </c>
      <c r="AF94" s="5">
        <v>354295122602284</v>
      </c>
      <c r="AG94" s="5">
        <v>335563690079741</v>
      </c>
      <c r="AH94" s="5">
        <v>300010425503657</v>
      </c>
      <c r="AI94" s="5">
        <v>295320984207334</v>
      </c>
      <c r="AJ94" s="5">
        <v>318805409985565</v>
      </c>
      <c r="AK94" s="5">
        <v>300828317997955</v>
      </c>
      <c r="AL94" s="5">
        <v>319731692118</v>
      </c>
      <c r="AM94" s="5">
        <v>31266867746205</v>
      </c>
      <c r="AN94" s="5">
        <v>342688178361226</v>
      </c>
      <c r="AO94" s="5">
        <v>332840748423875</v>
      </c>
      <c r="AP94" s="5">
        <v>31428269809771</v>
      </c>
      <c r="AQ94" s="5"/>
      <c r="AR94" s="5"/>
      <c r="AS94" s="5"/>
      <c r="AT94" s="5"/>
      <c r="AU94" s="5"/>
      <c r="AV94" s="5"/>
      <c r="AW94" s="5"/>
      <c r="AX94" s="5"/>
      <c r="AY94" s="5"/>
      <c r="AZ94" s="5"/>
      <c r="BA94" s="5"/>
    </row>
    <row r="95" spans="1:53" x14ac:dyDescent="0.45">
      <c r="A95" s="1"/>
      <c r="B95" s="2"/>
      <c r="C95" s="1" t="s">
        <v>89</v>
      </c>
      <c r="D95" s="2">
        <v>4438978</v>
      </c>
      <c r="E95" s="3" t="s">
        <v>701</v>
      </c>
      <c r="F95" s="3" t="s">
        <v>702</v>
      </c>
      <c r="G95" s="3" t="s">
        <v>703</v>
      </c>
      <c r="H95" s="5">
        <v>10442274671099</v>
      </c>
      <c r="I95" s="5">
        <v>988241616270877</v>
      </c>
      <c r="J95" s="5">
        <v>968120809552047</v>
      </c>
      <c r="K95" s="5">
        <v>102282604280887</v>
      </c>
      <c r="L95" s="5">
        <v>105412974750727</v>
      </c>
      <c r="M95" s="5">
        <v>112831399543775</v>
      </c>
      <c r="N95" s="5">
        <v>11334323201818</v>
      </c>
      <c r="O95" s="5">
        <v>1146009223926</v>
      </c>
      <c r="P95" s="5">
        <v>1154831138136</v>
      </c>
      <c r="Q95" s="5">
        <v>1184802523296</v>
      </c>
      <c r="R95" s="5">
        <v>119548265304854</v>
      </c>
      <c r="S95" s="5">
        <v>108367297164</v>
      </c>
      <c r="T95" s="5">
        <v>108253029582</v>
      </c>
      <c r="U95" s="5">
        <v>10712592924</v>
      </c>
      <c r="V95" s="5">
        <v>113427524224</v>
      </c>
      <c r="W95" s="5">
        <v>109820104128</v>
      </c>
      <c r="X95" s="5">
        <v>114869907768</v>
      </c>
      <c r="Y95" s="5">
        <v>1128275922704</v>
      </c>
      <c r="Z95" s="5">
        <v>11889428073165</v>
      </c>
      <c r="AA95" s="5">
        <v>1135581954932</v>
      </c>
      <c r="AB95" s="5">
        <v>103814933013</v>
      </c>
      <c r="AC95" s="5">
        <v>1083882707814</v>
      </c>
      <c r="AD95" s="5">
        <v>101788873878258</v>
      </c>
      <c r="AE95" s="5">
        <v>102476823301138</v>
      </c>
      <c r="AF95" s="5">
        <v>106452907014979</v>
      </c>
      <c r="AG95" s="5">
        <v>102232461862875</v>
      </c>
      <c r="AH95" s="5">
        <v>984452710414411</v>
      </c>
      <c r="AI95" s="5">
        <v>100865036338009</v>
      </c>
      <c r="AJ95" s="5">
        <v>10226669154376</v>
      </c>
      <c r="AK95" s="5">
        <v>953210459802479</v>
      </c>
      <c r="AL95" s="5">
        <v>10013073613047</v>
      </c>
      <c r="AM95" s="5">
        <v>9477431968185</v>
      </c>
      <c r="AN95" s="5">
        <v>103934568188963</v>
      </c>
      <c r="AO95" s="5">
        <v>9914227675803</v>
      </c>
      <c r="AP95" s="5">
        <v>958828009816845</v>
      </c>
      <c r="AQ95" s="5"/>
      <c r="AR95" s="5"/>
      <c r="AS95" s="5"/>
      <c r="AT95" s="5"/>
      <c r="AU95" s="5"/>
      <c r="AV95" s="5"/>
      <c r="AW95" s="5"/>
      <c r="AX95" s="5"/>
      <c r="AY95" s="5"/>
      <c r="AZ95" s="5"/>
      <c r="BA95" s="5"/>
    </row>
    <row r="96" spans="1:53" x14ac:dyDescent="0.45">
      <c r="A96" s="1"/>
      <c r="B96" s="2"/>
      <c r="C96" s="1" t="s">
        <v>90</v>
      </c>
      <c r="D96" s="2">
        <v>4067589</v>
      </c>
      <c r="E96" s="3" t="s">
        <v>704</v>
      </c>
      <c r="F96" s="3" t="s">
        <v>705</v>
      </c>
      <c r="G96" s="3" t="s">
        <v>573</v>
      </c>
      <c r="H96" s="5">
        <v>250440770307437</v>
      </c>
      <c r="I96" s="5">
        <v>260598460163895</v>
      </c>
      <c r="J96" s="5">
        <v>260704834307946</v>
      </c>
      <c r="K96" s="5">
        <v>265240710569507</v>
      </c>
      <c r="L96" s="5">
        <v>25963280778923</v>
      </c>
      <c r="M96" s="5">
        <v>311717899625</v>
      </c>
      <c r="N96" s="5">
        <v>311037161575851</v>
      </c>
      <c r="O96" s="5">
        <v>2953192304</v>
      </c>
      <c r="P96" s="5">
        <v>297150709336</v>
      </c>
      <c r="Q96" s="5">
        <v>312035577504</v>
      </c>
      <c r="R96" s="5">
        <v>35049826728</v>
      </c>
      <c r="S96" s="5">
        <v>316639415364</v>
      </c>
      <c r="T96" s="5">
        <v>324608998534</v>
      </c>
      <c r="U96" s="5">
        <v>2827445478</v>
      </c>
      <c r="V96" s="5">
        <v>246385335408</v>
      </c>
      <c r="W96" s="5">
        <v>27024115158</v>
      </c>
      <c r="X96" s="5">
        <v>265759763391623</v>
      </c>
      <c r="Y96" s="5">
        <v>237202372487511</v>
      </c>
      <c r="Z96" s="5">
        <v>233187977595937</v>
      </c>
      <c r="AA96" s="5">
        <v>215797834665</v>
      </c>
      <c r="AB96" s="5">
        <v>2021312999475</v>
      </c>
      <c r="AC96" s="5">
        <v>259358368140075</v>
      </c>
      <c r="AD96" s="5">
        <v>222996617554192</v>
      </c>
      <c r="AE96" s="5">
        <v>258684613763374</v>
      </c>
      <c r="AF96" s="5">
        <v>319388711825445</v>
      </c>
      <c r="AG96" s="5">
        <v>294994827825144</v>
      </c>
      <c r="AH96" s="5">
        <v>250186385988862</v>
      </c>
      <c r="AI96" s="5">
        <v>256204314642458</v>
      </c>
      <c r="AJ96" s="5">
        <v>271242143589574</v>
      </c>
      <c r="AK96" s="5">
        <v>250314459391584</v>
      </c>
      <c r="AL96" s="5">
        <v>258657943201252</v>
      </c>
      <c r="AM96" s="5">
        <v>222952761615082</v>
      </c>
      <c r="AN96" s="5">
        <v>210630958798443</v>
      </c>
      <c r="AO96" s="5">
        <v>2019525331484</v>
      </c>
      <c r="AP96" s="5">
        <v>175499601415839</v>
      </c>
      <c r="AQ96" s="5"/>
      <c r="AR96" s="5"/>
      <c r="AS96" s="5"/>
      <c r="AT96" s="5"/>
      <c r="AU96" s="5"/>
      <c r="AV96" s="5"/>
      <c r="AW96" s="5"/>
      <c r="AX96" s="5"/>
      <c r="AY96" s="5"/>
      <c r="AZ96" s="5"/>
      <c r="BA96" s="5"/>
    </row>
    <row r="97" spans="1:53" x14ac:dyDescent="0.45">
      <c r="A97" s="1"/>
      <c r="B97" s="2"/>
      <c r="C97" s="1" t="s">
        <v>91</v>
      </c>
      <c r="D97" s="2">
        <v>103262</v>
      </c>
      <c r="E97" s="3" t="s">
        <v>706</v>
      </c>
      <c r="F97" s="3" t="s">
        <v>707</v>
      </c>
      <c r="G97" s="3" t="s">
        <v>527</v>
      </c>
      <c r="H97" s="5">
        <v>102438238972734</v>
      </c>
      <c r="I97" s="5">
        <v>102956320213063</v>
      </c>
      <c r="J97" s="5">
        <v>988959523205325</v>
      </c>
      <c r="K97" s="5">
        <v>106237450218541</v>
      </c>
      <c r="L97" s="5">
        <v>106108046769868</v>
      </c>
      <c r="M97" s="5">
        <v>106425576544</v>
      </c>
      <c r="N97" s="5">
        <v>1045821437325</v>
      </c>
      <c r="O97" s="5">
        <v>10271912928</v>
      </c>
      <c r="P97" s="5">
        <v>108964596927853</v>
      </c>
      <c r="Q97" s="5">
        <v>1113967351728</v>
      </c>
      <c r="R97" s="5">
        <v>11320760486016</v>
      </c>
      <c r="S97" s="5">
        <v>107757185685</v>
      </c>
      <c r="T97" s="5">
        <v>1182212638125</v>
      </c>
      <c r="U97" s="5">
        <v>1196019759</v>
      </c>
      <c r="V97" s="5">
        <v>10639500962</v>
      </c>
      <c r="W97" s="5">
        <v>1104289058574</v>
      </c>
      <c r="X97" s="5">
        <v>1138424966679</v>
      </c>
      <c r="Y97" s="5">
        <v>110026280637</v>
      </c>
      <c r="Z97" s="5">
        <v>1109165953824</v>
      </c>
      <c r="AA97" s="5">
        <v>102125311264</v>
      </c>
      <c r="AB97" s="5">
        <v>948005136247329</v>
      </c>
      <c r="AC97" s="5">
        <v>955199938646323</v>
      </c>
      <c r="AD97" s="5">
        <v>872654916913114</v>
      </c>
      <c r="AE97" s="5">
        <v>89267783075637</v>
      </c>
      <c r="AF97" s="5">
        <v>947779467811857</v>
      </c>
      <c r="AG97" s="5">
        <v>894952062205312</v>
      </c>
      <c r="AH97" s="5">
        <v>791050457006897</v>
      </c>
      <c r="AI97" s="5">
        <v>76660255000092</v>
      </c>
      <c r="AJ97" s="5">
        <v>820026653974977</v>
      </c>
      <c r="AK97" s="5">
        <v>740418825592719</v>
      </c>
      <c r="AL97" s="5">
        <v>757008448803946</v>
      </c>
      <c r="AM97" s="5">
        <v>743460849374436</v>
      </c>
      <c r="AN97" s="5">
        <v>814659152974798</v>
      </c>
      <c r="AO97" s="5">
        <v>772468333565596</v>
      </c>
      <c r="AP97" s="5">
        <v>731443685142653</v>
      </c>
      <c r="AQ97" s="5"/>
      <c r="AR97" s="5"/>
      <c r="AS97" s="5"/>
      <c r="AT97" s="5"/>
      <c r="AU97" s="5"/>
      <c r="AV97" s="5"/>
      <c r="AW97" s="5"/>
      <c r="AX97" s="5"/>
      <c r="AY97" s="5"/>
      <c r="AZ97" s="5"/>
      <c r="BA97" s="5"/>
    </row>
    <row r="98" spans="1:53" x14ac:dyDescent="0.45">
      <c r="A98" s="1"/>
      <c r="B98" s="2"/>
      <c r="C98" s="1" t="s">
        <v>92</v>
      </c>
      <c r="D98" s="2">
        <v>4008247</v>
      </c>
      <c r="E98" s="3" t="s">
        <v>708</v>
      </c>
      <c r="F98" s="3" t="s">
        <v>709</v>
      </c>
      <c r="G98" s="3" t="s">
        <v>710</v>
      </c>
      <c r="H98" s="5">
        <v>138171775728714</v>
      </c>
      <c r="I98" s="5">
        <v>140536914257837</v>
      </c>
      <c r="J98" s="5">
        <v>136096571592036</v>
      </c>
      <c r="K98" s="5">
        <v>129619041993588</v>
      </c>
      <c r="L98" s="5">
        <v>119872060341467</v>
      </c>
      <c r="M98" s="5">
        <v>120639953963696</v>
      </c>
      <c r="N98" s="5">
        <v>116351279992</v>
      </c>
      <c r="O98" s="5">
        <v>11799336624</v>
      </c>
      <c r="P98" s="5">
        <v>1183828037912</v>
      </c>
      <c r="Q98" s="5">
        <v>1244820647952</v>
      </c>
      <c r="R98" s="5">
        <v>116768157168</v>
      </c>
      <c r="S98" s="5">
        <v>1130221335048</v>
      </c>
      <c r="T98" s="5">
        <v>1149544343988</v>
      </c>
      <c r="U98" s="5">
        <v>11376713304</v>
      </c>
      <c r="V98" s="5">
        <v>1021335979752</v>
      </c>
      <c r="W98" s="5">
        <v>107046566874</v>
      </c>
      <c r="X98" s="5">
        <v>109847560449801</v>
      </c>
      <c r="Y98" s="5">
        <v>100040531989372</v>
      </c>
      <c r="Z98" s="5">
        <v>94546439595</v>
      </c>
      <c r="AA98" s="5">
        <v>911453178</v>
      </c>
      <c r="AB98" s="5">
        <v>8387880549</v>
      </c>
      <c r="AC98" s="5">
        <v>8360286615285</v>
      </c>
      <c r="AD98" s="5">
        <v>85858788993845</v>
      </c>
      <c r="AE98" s="5">
        <v>906274502369265</v>
      </c>
      <c r="AF98" s="5">
        <v>935949739180241</v>
      </c>
      <c r="AG98" s="5">
        <v>911379795461208</v>
      </c>
      <c r="AH98" s="5">
        <v>845365643684126</v>
      </c>
      <c r="AI98" s="5">
        <v>847943836200121</v>
      </c>
      <c r="AJ98" s="5">
        <v>852929289170168</v>
      </c>
      <c r="AK98" s="5">
        <v>890996722308</v>
      </c>
      <c r="AL98" s="5">
        <v>9203314325848</v>
      </c>
      <c r="AM98" s="5">
        <v>83790187182</v>
      </c>
      <c r="AN98" s="5">
        <v>868853511495365</v>
      </c>
      <c r="AO98" s="5">
        <v>873525359358382</v>
      </c>
      <c r="AP98" s="5">
        <v>817875415326225</v>
      </c>
      <c r="AQ98" s="5"/>
      <c r="AR98" s="5"/>
      <c r="AS98" s="5"/>
      <c r="AT98" s="5"/>
      <c r="AU98" s="5"/>
      <c r="AV98" s="5"/>
      <c r="AW98" s="5"/>
      <c r="AX98" s="5"/>
      <c r="AY98" s="5"/>
      <c r="AZ98" s="5"/>
      <c r="BA98" s="5"/>
    </row>
    <row r="99" spans="1:53" x14ac:dyDescent="0.45">
      <c r="A99" s="1"/>
      <c r="B99" s="2"/>
      <c r="C99" s="1" t="s">
        <v>93</v>
      </c>
      <c r="D99" s="2">
        <v>4047857</v>
      </c>
      <c r="E99" s="3" t="s">
        <v>711</v>
      </c>
      <c r="F99" s="3" t="s">
        <v>712</v>
      </c>
      <c r="G99" s="3" t="s">
        <v>573</v>
      </c>
      <c r="H99" s="5">
        <v>157682957736414</v>
      </c>
      <c r="I99" s="5">
        <v>1548382492576</v>
      </c>
      <c r="J99" s="5">
        <v>145259791501847</v>
      </c>
      <c r="K99" s="5">
        <v>140904650305211</v>
      </c>
      <c r="L99" s="5">
        <v>135621680520706</v>
      </c>
      <c r="M99" s="5">
        <v>133428076654995</v>
      </c>
      <c r="N99" s="5">
        <v>137173742406646</v>
      </c>
      <c r="O99" s="5">
        <v>140310026528418</v>
      </c>
      <c r="P99" s="5">
        <v>15659300784556</v>
      </c>
      <c r="Q99" s="5">
        <v>1582972527136</v>
      </c>
      <c r="R99" s="5">
        <v>1612408728216</v>
      </c>
      <c r="S99" s="5">
        <v>142903621759113</v>
      </c>
      <c r="T99" s="5">
        <v>143702677025745</v>
      </c>
      <c r="U99" s="5">
        <v>141605993995638</v>
      </c>
      <c r="V99" s="5">
        <v>14069780111296</v>
      </c>
      <c r="W99" s="5">
        <v>141503550832402</v>
      </c>
      <c r="X99" s="5">
        <v>141854234402952</v>
      </c>
      <c r="Y99" s="5">
        <v>13742593263073</v>
      </c>
      <c r="Z99" s="5">
        <v>12993712908043</v>
      </c>
      <c r="AA99" s="5">
        <v>131289955622017</v>
      </c>
      <c r="AB99" s="5">
        <v>120785470058791</v>
      </c>
      <c r="AC99" s="5">
        <v>121274116707279</v>
      </c>
      <c r="AD99" s="5">
        <v>111600286492164</v>
      </c>
      <c r="AE99" s="5">
        <v>126917039845274</v>
      </c>
      <c r="AF99" s="5">
        <v>130929788412048</v>
      </c>
      <c r="AG99" s="5">
        <v>133093262623051</v>
      </c>
      <c r="AH99" s="5">
        <v>119656514625067</v>
      </c>
      <c r="AI99" s="5">
        <v>11750625499675</v>
      </c>
      <c r="AJ99" s="5">
        <v>130831247868129</v>
      </c>
      <c r="AK99" s="5">
        <v>125378422438037</v>
      </c>
      <c r="AL99" s="5">
        <v>135822760303911</v>
      </c>
      <c r="AM99" s="5">
        <v>131459267861752</v>
      </c>
      <c r="AN99" s="5">
        <v>130791808427057</v>
      </c>
      <c r="AO99" s="5">
        <v>134349031531912</v>
      </c>
      <c r="AP99" s="5">
        <v>119416594887276</v>
      </c>
      <c r="AQ99" s="5"/>
      <c r="AR99" s="5"/>
      <c r="AS99" s="5"/>
      <c r="AT99" s="5"/>
      <c r="AU99" s="5"/>
      <c r="AV99" s="5"/>
      <c r="AW99" s="5"/>
      <c r="AX99" s="5"/>
      <c r="AY99" s="5"/>
      <c r="AZ99" s="5"/>
      <c r="BA99" s="5"/>
    </row>
    <row r="100" spans="1:53" x14ac:dyDescent="0.45">
      <c r="A100" s="1"/>
      <c r="B100" s="2"/>
      <c r="C100" s="1" t="s">
        <v>94</v>
      </c>
      <c r="D100" s="2">
        <v>4041896</v>
      </c>
      <c r="E100" s="3" t="s">
        <v>713</v>
      </c>
      <c r="F100" s="3" t="s">
        <v>714</v>
      </c>
      <c r="G100" s="3" t="s">
        <v>607</v>
      </c>
      <c r="H100" s="5">
        <v>163845229187327</v>
      </c>
      <c r="I100" s="5">
        <v>167622720131303</v>
      </c>
      <c r="J100" s="5">
        <v>166933032209863</v>
      </c>
      <c r="K100" s="5">
        <v>167683660377389</v>
      </c>
      <c r="L100" s="5">
        <v>156084541217394</v>
      </c>
      <c r="M100" s="5">
        <v>158244291195</v>
      </c>
      <c r="N100" s="5">
        <v>1613969822432</v>
      </c>
      <c r="O100" s="5">
        <v>148347300756</v>
      </c>
      <c r="P100" s="5">
        <v>1493949831088</v>
      </c>
      <c r="Q100" s="5">
        <v>15467695828368</v>
      </c>
      <c r="R100" s="5">
        <v>156104590282786</v>
      </c>
      <c r="S100" s="5">
        <v>14743836468153</v>
      </c>
      <c r="T100" s="5">
        <v>16043421067947</v>
      </c>
      <c r="U100" s="5">
        <v>1520186758662</v>
      </c>
      <c r="V100" s="5">
        <v>127794614117226</v>
      </c>
      <c r="W100" s="5">
        <v>122078498789583</v>
      </c>
      <c r="X100" s="5">
        <v>124423128374814</v>
      </c>
      <c r="Y100" s="5">
        <v>1139142244513</v>
      </c>
      <c r="Z100" s="5">
        <v>112026499687215</v>
      </c>
      <c r="AA100" s="5">
        <v>122813535539355</v>
      </c>
      <c r="AB100" s="5">
        <v>1185974952318</v>
      </c>
      <c r="AC100" s="5">
        <v>105434704465895</v>
      </c>
      <c r="AD100" s="5">
        <v>1162132616631</v>
      </c>
      <c r="AE100" s="5">
        <v>141945357867829</v>
      </c>
      <c r="AF100" s="5">
        <v>152521003383094</v>
      </c>
      <c r="AG100" s="5">
        <v>143638622003274</v>
      </c>
      <c r="AH100" s="5">
        <v>133796773819403</v>
      </c>
      <c r="AI100" s="5">
        <v>143702865372336</v>
      </c>
      <c r="AJ100" s="5">
        <v>1592637746762</v>
      </c>
      <c r="AK100" s="5">
        <v>150468174961278</v>
      </c>
      <c r="AL100" s="5">
        <v>151091258623755</v>
      </c>
      <c r="AM100" s="5">
        <v>14604138472403</v>
      </c>
      <c r="AN100" s="5">
        <v>145547519532128</v>
      </c>
      <c r="AO100" s="5">
        <v>141834905998217</v>
      </c>
      <c r="AP100" s="5">
        <v>12575179200375</v>
      </c>
      <c r="AQ100" s="5"/>
      <c r="AR100" s="5"/>
      <c r="AS100" s="5"/>
      <c r="AT100" s="5"/>
      <c r="AU100" s="5"/>
      <c r="AV100" s="5"/>
      <c r="AW100" s="5"/>
      <c r="AX100" s="5"/>
      <c r="AY100" s="5"/>
      <c r="AZ100" s="5"/>
      <c r="BA100" s="5"/>
    </row>
    <row r="101" spans="1:53" x14ac:dyDescent="0.45">
      <c r="A101" s="1"/>
      <c r="B101" s="2"/>
      <c r="C101" s="1" t="s">
        <v>95</v>
      </c>
      <c r="D101" s="2">
        <v>1019881</v>
      </c>
      <c r="E101" s="3" t="s">
        <v>715</v>
      </c>
      <c r="F101" s="3" t="s">
        <v>716</v>
      </c>
      <c r="G101" s="3" t="s">
        <v>607</v>
      </c>
      <c r="H101" s="5">
        <v>172004838887644</v>
      </c>
      <c r="I101" s="5">
        <v>168141948707334</v>
      </c>
      <c r="J101" s="5">
        <v>163091422633681</v>
      </c>
      <c r="K101" s="5">
        <v>160424067246359</v>
      </c>
      <c r="L101" s="5">
        <v>139681093386615</v>
      </c>
      <c r="M101" s="5">
        <v>150577357647384</v>
      </c>
      <c r="N101" s="5">
        <v>15841601556</v>
      </c>
      <c r="O101" s="5">
        <v>1537328595</v>
      </c>
      <c r="P101" s="5">
        <v>1716697100976</v>
      </c>
      <c r="Q101" s="5">
        <v>164567200112</v>
      </c>
      <c r="R101" s="5">
        <v>179218909676482</v>
      </c>
      <c r="S101" s="5">
        <v>1715991843105</v>
      </c>
      <c r="T101" s="5">
        <v>1727712681212</v>
      </c>
      <c r="U101" s="5">
        <v>162268314648</v>
      </c>
      <c r="V101" s="5">
        <v>124524602064205</v>
      </c>
      <c r="W101" s="5">
        <v>11419639656705</v>
      </c>
      <c r="X101" s="5">
        <v>11542586257895</v>
      </c>
      <c r="Y101" s="5">
        <v>105735575440609</v>
      </c>
      <c r="Z101" s="5">
        <v>951687441918</v>
      </c>
      <c r="AA101" s="5">
        <v>1119366775545</v>
      </c>
      <c r="AB101" s="5">
        <v>105530093532316</v>
      </c>
      <c r="AC101" s="5">
        <v>934341454450181</v>
      </c>
      <c r="AD101" s="5">
        <v>103645331747693</v>
      </c>
      <c r="AE101" s="5">
        <v>12723664115492</v>
      </c>
      <c r="AF101" s="5">
        <v>132999404431871</v>
      </c>
      <c r="AG101" s="5">
        <v>116272382089721</v>
      </c>
      <c r="AH101" s="5">
        <v>11278548179824</v>
      </c>
      <c r="AI101" s="5">
        <v>11689129003908</v>
      </c>
      <c r="AJ101" s="5">
        <v>126752617995503</v>
      </c>
      <c r="AK101" s="5">
        <v>131664744933952</v>
      </c>
      <c r="AL101" s="5">
        <v>13133015857852</v>
      </c>
      <c r="AM101" s="5">
        <v>127396526716849</v>
      </c>
      <c r="AN101" s="5">
        <v>122921517048385</v>
      </c>
      <c r="AO101" s="5">
        <v>120932821694305</v>
      </c>
      <c r="AP101" s="5">
        <v>115560613836316</v>
      </c>
      <c r="AQ101" s="5"/>
      <c r="AR101" s="5"/>
      <c r="AS101" s="5"/>
      <c r="AT101" s="5"/>
      <c r="AU101" s="5"/>
      <c r="AV101" s="5"/>
      <c r="AW101" s="5"/>
      <c r="AX101" s="5"/>
      <c r="AY101" s="5"/>
      <c r="AZ101" s="5"/>
      <c r="BA101" s="5"/>
    </row>
    <row r="102" spans="1:53" x14ac:dyDescent="0.45">
      <c r="A102" s="1"/>
      <c r="B102" s="2"/>
      <c r="C102" s="1" t="s">
        <v>96</v>
      </c>
      <c r="D102" s="2">
        <v>4054016</v>
      </c>
      <c r="E102" s="3" t="s">
        <v>717</v>
      </c>
      <c r="F102" s="3" t="s">
        <v>718</v>
      </c>
      <c r="G102" s="3" t="s">
        <v>671</v>
      </c>
      <c r="H102" s="5">
        <v>412470883369207</v>
      </c>
      <c r="I102" s="5">
        <v>425826366215698</v>
      </c>
      <c r="J102" s="5">
        <v>400515197445177</v>
      </c>
      <c r="K102" s="5">
        <v>390215240447951</v>
      </c>
      <c r="L102" s="5">
        <v>360089954481403</v>
      </c>
      <c r="M102" s="5">
        <v>353529215838023</v>
      </c>
      <c r="N102" s="5">
        <v>372998539125163</v>
      </c>
      <c r="O102" s="5">
        <v>354701597480939</v>
      </c>
      <c r="P102" s="5">
        <v>362352622855331</v>
      </c>
      <c r="Q102" s="5">
        <v>377360614213229</v>
      </c>
      <c r="R102" s="5">
        <v>388612825443481</v>
      </c>
      <c r="S102" s="5">
        <v>380770631953754</v>
      </c>
      <c r="T102" s="5">
        <v>370814754068206</v>
      </c>
      <c r="U102" s="5">
        <v>362472792197547</v>
      </c>
      <c r="V102" s="5">
        <v>309478772714311</v>
      </c>
      <c r="W102" s="5">
        <v>315086717600521</v>
      </c>
      <c r="X102" s="5">
        <v>329349552764382</v>
      </c>
      <c r="Y102" s="5">
        <v>309857414703409</v>
      </c>
      <c r="Z102" s="5">
        <v>297003002058185</v>
      </c>
      <c r="AA102" s="5">
        <v>297867319246087</v>
      </c>
      <c r="AB102" s="5">
        <v>271756809856017</v>
      </c>
      <c r="AC102" s="5">
        <v>284861867389848</v>
      </c>
      <c r="AD102" s="5">
        <v>280856778561727</v>
      </c>
      <c r="AE102" s="5">
        <v>282159245972035</v>
      </c>
      <c r="AF102" s="5">
        <v>312636851459839</v>
      </c>
      <c r="AG102" s="5">
        <v>289361396877192</v>
      </c>
      <c r="AH102" s="5">
        <v>280679410243655</v>
      </c>
      <c r="AI102" s="5">
        <v>284771850168202</v>
      </c>
      <c r="AJ102" s="5">
        <v>293441195007441</v>
      </c>
      <c r="AK102" s="5">
        <v>282014133916457</v>
      </c>
      <c r="AL102" s="5">
        <v>289727125600424</v>
      </c>
      <c r="AM102" s="5">
        <v>273941513268193</v>
      </c>
      <c r="AN102" s="5">
        <v>297588796990922</v>
      </c>
      <c r="AO102" s="5">
        <v>288615046150145</v>
      </c>
      <c r="AP102" s="5">
        <v>254498762685821</v>
      </c>
      <c r="AQ102" s="5"/>
      <c r="AR102" s="5"/>
      <c r="AS102" s="5"/>
      <c r="AT102" s="5"/>
      <c r="AU102" s="5"/>
      <c r="AV102" s="5"/>
      <c r="AW102" s="5"/>
      <c r="AX102" s="5"/>
      <c r="AY102" s="5"/>
      <c r="AZ102" s="5"/>
      <c r="BA102" s="5"/>
    </row>
    <row r="103" spans="1:53" x14ac:dyDescent="0.45">
      <c r="A103" s="1"/>
      <c r="B103" s="2"/>
      <c r="C103" s="1" t="s">
        <v>97</v>
      </c>
      <c r="D103" s="2">
        <v>4004172</v>
      </c>
      <c r="E103" s="3" t="s">
        <v>719</v>
      </c>
      <c r="F103" s="3" t="s">
        <v>720</v>
      </c>
      <c r="G103" s="3" t="s">
        <v>519</v>
      </c>
      <c r="H103" s="5">
        <v>110942051616</v>
      </c>
      <c r="I103" s="5">
        <v>118010060892</v>
      </c>
      <c r="J103" s="5">
        <v>117021122784757</v>
      </c>
      <c r="K103" s="5">
        <v>110350915816797</v>
      </c>
      <c r="L103" s="5">
        <v>115093059596429</v>
      </c>
      <c r="M103" s="5">
        <v>110472801646198</v>
      </c>
      <c r="N103" s="5">
        <v>113509527672325</v>
      </c>
      <c r="O103" s="5">
        <v>118148611194548</v>
      </c>
      <c r="P103" s="5">
        <v>11649157683448</v>
      </c>
      <c r="Q103" s="5">
        <v>11697447256108</v>
      </c>
      <c r="R103" s="5">
        <v>117244299084797</v>
      </c>
      <c r="S103" s="5">
        <v>110184025118816</v>
      </c>
      <c r="T103" s="5">
        <v>110042255789111</v>
      </c>
      <c r="U103" s="5">
        <v>106194756643259</v>
      </c>
      <c r="V103" s="5">
        <v>107337005813976</v>
      </c>
      <c r="W103" s="5">
        <v>104283893336232</v>
      </c>
      <c r="X103" s="5">
        <v>105051193748866</v>
      </c>
      <c r="Y103" s="5">
        <v>112820739149607</v>
      </c>
      <c r="Z103" s="5">
        <v>11527664227664</v>
      </c>
      <c r="AA103" s="5">
        <v>104899626595511</v>
      </c>
      <c r="AB103" s="5">
        <v>991562578487498</v>
      </c>
      <c r="AC103" s="5">
        <v>10093564249118</v>
      </c>
      <c r="AD103" s="5">
        <v>995560786979244</v>
      </c>
      <c r="AE103" s="5">
        <v>92046507461227</v>
      </c>
      <c r="AF103" s="5">
        <v>918456854783319</v>
      </c>
      <c r="AG103" s="5">
        <v>906318109499955</v>
      </c>
      <c r="AH103" s="5">
        <v>875613753481821</v>
      </c>
      <c r="AI103" s="5">
        <v>809652094215091</v>
      </c>
      <c r="AJ103" s="5">
        <v>857961006093911</v>
      </c>
      <c r="AK103" s="5">
        <v>788910407889408</v>
      </c>
      <c r="AL103" s="5">
        <v>858523465626379</v>
      </c>
      <c r="AM103" s="5">
        <v>836480186247215</v>
      </c>
      <c r="AN103" s="5">
        <v>896820838279478</v>
      </c>
      <c r="AO103" s="5">
        <v>863036607261003</v>
      </c>
      <c r="AP103" s="5">
        <v>919224635239969</v>
      </c>
      <c r="AQ103" s="5"/>
      <c r="AR103" s="5"/>
      <c r="AS103" s="5"/>
      <c r="AT103" s="5"/>
      <c r="AU103" s="5"/>
      <c r="AV103" s="5"/>
      <c r="AW103" s="5"/>
      <c r="AX103" s="5"/>
      <c r="AY103" s="5"/>
      <c r="AZ103" s="5"/>
      <c r="BA103" s="5"/>
    </row>
    <row r="104" spans="1:53" x14ac:dyDescent="0.45">
      <c r="A104" s="1"/>
      <c r="B104" s="2"/>
      <c r="C104" s="1" t="s">
        <v>98</v>
      </c>
      <c r="D104" s="2">
        <v>4222286</v>
      </c>
      <c r="E104" s="3" t="s">
        <v>721</v>
      </c>
      <c r="F104" s="3" t="s">
        <v>722</v>
      </c>
      <c r="G104" s="3" t="s">
        <v>475</v>
      </c>
      <c r="H104" s="5">
        <v>3487486001963</v>
      </c>
      <c r="I104" s="5">
        <v>357876668428962</v>
      </c>
      <c r="J104" s="5">
        <v>383907879450262</v>
      </c>
      <c r="K104" s="5">
        <v>36250113801349</v>
      </c>
      <c r="L104" s="5">
        <v>351984055598071</v>
      </c>
      <c r="M104" s="5">
        <v>346436298560515</v>
      </c>
      <c r="N104" s="5">
        <v>342793824098508</v>
      </c>
      <c r="O104" s="5">
        <v>350747048874627</v>
      </c>
      <c r="P104" s="5">
        <v>32559386366</v>
      </c>
      <c r="Q104" s="5">
        <v>3387879161856</v>
      </c>
      <c r="R104" s="5">
        <v>33873480678</v>
      </c>
      <c r="S104" s="5">
        <v>295676173251</v>
      </c>
      <c r="T104" s="5">
        <v>322019487673</v>
      </c>
      <c r="U104" s="5">
        <v>31612516056</v>
      </c>
      <c r="V104" s="5">
        <v>284361950756</v>
      </c>
      <c r="W104" s="5">
        <v>2576169059841</v>
      </c>
      <c r="X104" s="5">
        <v>312736718062877</v>
      </c>
      <c r="Y104" s="5">
        <v>311723970464236</v>
      </c>
      <c r="Z104" s="5">
        <v>312275811587096</v>
      </c>
      <c r="AA104" s="5">
        <v>334481863230536</v>
      </c>
      <c r="AB104" s="5">
        <v>308793488974776</v>
      </c>
      <c r="AC104" s="5">
        <v>319501575976908</v>
      </c>
      <c r="AD104" s="5">
        <v>355768522592376</v>
      </c>
      <c r="AE104" s="5">
        <v>336039598798008</v>
      </c>
      <c r="AF104" s="5">
        <v>371701522014244</v>
      </c>
      <c r="AG104" s="5">
        <v>376479126124698</v>
      </c>
      <c r="AH104" s="5">
        <v>341956223440276</v>
      </c>
      <c r="AI104" s="5">
        <v>342492575672006</v>
      </c>
      <c r="AJ104" s="5">
        <v>348696909560792</v>
      </c>
      <c r="AK104" s="5">
        <v>334829506112812</v>
      </c>
      <c r="AL104" s="5">
        <v>360019953466654</v>
      </c>
      <c r="AM104" s="5">
        <v>31923518294714</v>
      </c>
      <c r="AN104" s="5">
        <v>354039285276496</v>
      </c>
      <c r="AO104" s="5">
        <v>339722536027232</v>
      </c>
      <c r="AP104" s="5">
        <v>291949553185367</v>
      </c>
      <c r="AQ104" s="5"/>
      <c r="AR104" s="5"/>
      <c r="AS104" s="5"/>
      <c r="AT104" s="5"/>
      <c r="AU104" s="5"/>
      <c r="AV104" s="5"/>
      <c r="AW104" s="5"/>
      <c r="AX104" s="5"/>
      <c r="AY104" s="5"/>
      <c r="AZ104" s="5"/>
      <c r="BA104" s="5"/>
    </row>
    <row r="105" spans="1:53" x14ac:dyDescent="0.45">
      <c r="A105" s="1"/>
      <c r="B105" s="2"/>
      <c r="C105" s="1" t="s">
        <v>99</v>
      </c>
      <c r="D105" s="2">
        <v>4964205</v>
      </c>
      <c r="E105" s="3" t="s">
        <v>723</v>
      </c>
      <c r="F105" s="3" t="s">
        <v>724</v>
      </c>
      <c r="G105" s="3" t="s">
        <v>544</v>
      </c>
      <c r="H105" s="5">
        <v>243868628387772</v>
      </c>
      <c r="I105" s="5">
        <v>248245918819146</v>
      </c>
      <c r="J105" s="5">
        <v>24408131579912</v>
      </c>
      <c r="K105" s="5">
        <v>218874149644001</v>
      </c>
      <c r="L105" s="5">
        <v>19103634639432</v>
      </c>
      <c r="M105" s="5">
        <v>20408571705</v>
      </c>
      <c r="N105" s="5">
        <v>18979371635</v>
      </c>
      <c r="O105" s="5">
        <v>1685571</v>
      </c>
      <c r="P105" s="5">
        <v>19033923792</v>
      </c>
      <c r="Q105" s="5">
        <v>21091453376</v>
      </c>
      <c r="R105" s="5">
        <v>2097962112</v>
      </c>
      <c r="S105" s="5">
        <v>2106592974</v>
      </c>
      <c r="T105" s="5">
        <v>17492860746</v>
      </c>
      <c r="U105" s="5">
        <v>1779289776</v>
      </c>
      <c r="V105" s="5">
        <v>15956945352</v>
      </c>
      <c r="W105" s="5">
        <v>1361698556895</v>
      </c>
      <c r="X105" s="5">
        <v>11906385585094</v>
      </c>
      <c r="Y105" s="5">
        <v>110971025655</v>
      </c>
      <c r="Z105" s="5">
        <v>104209474698</v>
      </c>
      <c r="AA105" s="5">
        <v>112969497881</v>
      </c>
      <c r="AB105" s="5">
        <v>111631895703</v>
      </c>
      <c r="AC105" s="5">
        <v>123782400135</v>
      </c>
      <c r="AD105" s="5">
        <v>11752197746328</v>
      </c>
      <c r="AE105" s="5">
        <v>10447995744048</v>
      </c>
      <c r="AF105" s="5">
        <v>107754774919869</v>
      </c>
      <c r="AG105" s="5">
        <v>100601526050256</v>
      </c>
      <c r="AH105" s="5">
        <v>88212312352032</v>
      </c>
      <c r="AI105" s="5">
        <v>9231460727478</v>
      </c>
      <c r="AJ105" s="5">
        <v>93967057720945</v>
      </c>
      <c r="AK105" s="5">
        <v>104053758836801</v>
      </c>
      <c r="AL105" s="5">
        <v>10388201112421</v>
      </c>
      <c r="AM105" s="5">
        <v>9698385859425</v>
      </c>
      <c r="AN105" s="5">
        <v>104871924696235</v>
      </c>
      <c r="AO105" s="5">
        <v>951983596025682</v>
      </c>
      <c r="AP105" s="5">
        <v>93159018432</v>
      </c>
      <c r="AQ105" s="5"/>
      <c r="AR105" s="5"/>
      <c r="AS105" s="5"/>
      <c r="AT105" s="5"/>
      <c r="AU105" s="5"/>
      <c r="AV105" s="5"/>
      <c r="AW105" s="5"/>
      <c r="AX105" s="5"/>
      <c r="AY105" s="5"/>
      <c r="AZ105" s="5"/>
      <c r="BA105" s="5"/>
    </row>
    <row r="106" spans="1:53" x14ac:dyDescent="0.45">
      <c r="A106" s="1"/>
      <c r="B106" s="2"/>
      <c r="C106" s="1" t="s">
        <v>100</v>
      </c>
      <c r="D106" s="2">
        <v>4004173</v>
      </c>
      <c r="E106" s="3" t="s">
        <v>725</v>
      </c>
      <c r="F106" s="3" t="s">
        <v>726</v>
      </c>
      <c r="G106" s="3" t="s">
        <v>703</v>
      </c>
      <c r="H106" s="5">
        <v>551755309419515</v>
      </c>
      <c r="I106" s="5">
        <v>534206420443121</v>
      </c>
      <c r="J106" s="5">
        <v>531398986329407</v>
      </c>
      <c r="K106" s="5">
        <v>542936769024871</v>
      </c>
      <c r="L106" s="5">
        <v>53139473545503</v>
      </c>
      <c r="M106" s="5">
        <v>539618769423809</v>
      </c>
      <c r="N106" s="5">
        <v>5739171916905</v>
      </c>
      <c r="O106" s="5">
        <v>60028741716</v>
      </c>
      <c r="P106" s="5">
        <v>584018305907114</v>
      </c>
      <c r="Q106" s="5">
        <v>60521058305087</v>
      </c>
      <c r="R106" s="5">
        <v>606941176776</v>
      </c>
      <c r="S106" s="5">
        <v>5319377284824</v>
      </c>
      <c r="T106" s="5">
        <v>5510035775808</v>
      </c>
      <c r="U106" s="5">
        <v>548481654072</v>
      </c>
      <c r="V106" s="5">
        <v>578715322212419</v>
      </c>
      <c r="W106" s="5">
        <v>5880147777999</v>
      </c>
      <c r="X106" s="5">
        <v>5945052350853</v>
      </c>
      <c r="Y106" s="5">
        <v>593833634392972</v>
      </c>
      <c r="Z106" s="5">
        <v>588615736788</v>
      </c>
      <c r="AA106" s="5">
        <v>5649861194961</v>
      </c>
      <c r="AB106" s="5">
        <v>552990471079104</v>
      </c>
      <c r="AC106" s="5">
        <v>5394372701148</v>
      </c>
      <c r="AD106" s="5">
        <v>559749767464864</v>
      </c>
      <c r="AE106" s="5">
        <v>550175263529308</v>
      </c>
      <c r="AF106" s="5">
        <v>55761109718144</v>
      </c>
      <c r="AG106" s="5">
        <v>539673494663564</v>
      </c>
      <c r="AH106" s="5">
        <v>511844788773262</v>
      </c>
      <c r="AI106" s="5">
        <v>504736400581515</v>
      </c>
      <c r="AJ106" s="5">
        <v>554195707173253</v>
      </c>
      <c r="AK106" s="5">
        <v>531179986277633</v>
      </c>
      <c r="AL106" s="5">
        <v>55048248237845</v>
      </c>
      <c r="AM106" s="5">
        <v>5449896306882</v>
      </c>
      <c r="AN106" s="5">
        <v>58531910920843</v>
      </c>
      <c r="AO106" s="5">
        <v>57292040205994</v>
      </c>
      <c r="AP106" s="5">
        <v>545069419825771</v>
      </c>
      <c r="AQ106" s="5"/>
      <c r="AR106" s="5"/>
      <c r="AS106" s="5"/>
      <c r="AT106" s="5"/>
      <c r="AU106" s="5"/>
      <c r="AV106" s="5"/>
      <c r="AW106" s="5"/>
      <c r="AX106" s="5"/>
      <c r="AY106" s="5"/>
      <c r="AZ106" s="5"/>
      <c r="BA106" s="5"/>
    </row>
    <row r="107" spans="1:53" x14ac:dyDescent="0.45">
      <c r="A107" s="1"/>
      <c r="B107" s="2"/>
      <c r="C107" s="1" t="s">
        <v>101</v>
      </c>
      <c r="D107" s="2">
        <v>4057180</v>
      </c>
      <c r="E107" s="3" t="s">
        <v>727</v>
      </c>
      <c r="F107" s="3" t="s">
        <v>728</v>
      </c>
      <c r="G107" s="3" t="s">
        <v>580</v>
      </c>
      <c r="H107" s="5">
        <v>155887303059961</v>
      </c>
      <c r="I107" s="5">
        <v>147328215360139</v>
      </c>
      <c r="J107" s="5">
        <v>144652163170979</v>
      </c>
      <c r="K107" s="5">
        <v>153457638748018</v>
      </c>
      <c r="L107" s="5">
        <v>161186405256439</v>
      </c>
      <c r="M107" s="5">
        <v>161771542157803</v>
      </c>
      <c r="N107" s="5">
        <v>161798204917038</v>
      </c>
      <c r="O107" s="5">
        <v>175983053425437</v>
      </c>
      <c r="P107" s="5">
        <v>17059743306509</v>
      </c>
      <c r="Q107" s="5">
        <v>16703850072609</v>
      </c>
      <c r="R107" s="5">
        <v>16749214536195</v>
      </c>
      <c r="S107" s="5">
        <v>16599282075</v>
      </c>
      <c r="T107" s="5">
        <v>156517844837359</v>
      </c>
      <c r="U107" s="5">
        <v>157344317866312</v>
      </c>
      <c r="V107" s="5">
        <v>134966789217425</v>
      </c>
      <c r="W107" s="5">
        <v>142344381693212</v>
      </c>
      <c r="X107" s="5">
        <v>141191775648048</v>
      </c>
      <c r="Y107" s="5">
        <v>145156663494363</v>
      </c>
      <c r="Z107" s="5">
        <v>142477124136213</v>
      </c>
      <c r="AA107" s="5">
        <v>138054483508041</v>
      </c>
      <c r="AB107" s="5">
        <v>128769022354018</v>
      </c>
      <c r="AC107" s="5">
        <v>129797234707934</v>
      </c>
      <c r="AD107" s="5">
        <v>12592620534027</v>
      </c>
      <c r="AE107" s="5">
        <v>127084407365809</v>
      </c>
      <c r="AF107" s="5">
        <v>161337801648363</v>
      </c>
      <c r="AG107" s="5">
        <v>158981044036552</v>
      </c>
      <c r="AH107" s="5">
        <v>146036034684373</v>
      </c>
      <c r="AI107" s="5">
        <v>144455185378538</v>
      </c>
      <c r="AJ107" s="5">
        <v>161551322478952</v>
      </c>
      <c r="AK107" s="5">
        <v>156151337562814</v>
      </c>
      <c r="AL107" s="5">
        <v>154308366867409</v>
      </c>
      <c r="AM107" s="5">
        <v>149990910273373</v>
      </c>
      <c r="AN107" s="5">
        <v>154321007924608</v>
      </c>
      <c r="AO107" s="5">
        <v>155468122015355</v>
      </c>
      <c r="AP107" s="5">
        <v>140698993420838</v>
      </c>
      <c r="AQ107" s="5"/>
      <c r="AR107" s="5"/>
      <c r="AS107" s="5"/>
      <c r="AT107" s="5"/>
      <c r="AU107" s="5"/>
      <c r="AV107" s="5"/>
      <c r="AW107" s="5"/>
      <c r="AX107" s="5"/>
      <c r="AY107" s="5"/>
      <c r="AZ107" s="5"/>
      <c r="BA107" s="5"/>
    </row>
    <row r="108" spans="1:53" x14ac:dyDescent="0.45">
      <c r="A108" s="1"/>
      <c r="B108" s="2"/>
      <c r="C108" s="1" t="s">
        <v>102</v>
      </c>
      <c r="D108" s="2">
        <v>4990366</v>
      </c>
      <c r="E108" s="3" t="s">
        <v>729</v>
      </c>
      <c r="F108" s="3" t="s">
        <v>730</v>
      </c>
      <c r="G108" s="3" t="s">
        <v>731</v>
      </c>
      <c r="H108" s="5">
        <v>13437571427982</v>
      </c>
      <c r="I108" s="5">
        <v>133316266430002</v>
      </c>
      <c r="J108" s="5">
        <v>14066715738595</v>
      </c>
      <c r="K108" s="5">
        <v>112120311350103</v>
      </c>
      <c r="L108" s="5">
        <v>106432721566069</v>
      </c>
      <c r="M108" s="5">
        <v>104879465188695</v>
      </c>
      <c r="N108" s="5">
        <v>120703597442785</v>
      </c>
      <c r="O108" s="5">
        <v>11380821631595</v>
      </c>
      <c r="P108" s="5">
        <v>125028350493514</v>
      </c>
      <c r="Q108" s="5">
        <v>127102669899912</v>
      </c>
      <c r="R108" s="5">
        <v>13326669927522</v>
      </c>
      <c r="S108" s="5">
        <v>115796470051689</v>
      </c>
      <c r="T108" s="5">
        <v>116447254969878</v>
      </c>
      <c r="U108" s="5">
        <v>11244612467704</v>
      </c>
      <c r="V108" s="5">
        <v>97169189128508</v>
      </c>
      <c r="W108" s="5">
        <v>96814997694558</v>
      </c>
      <c r="X108" s="5">
        <v>94556128240574</v>
      </c>
      <c r="Y108" s="5">
        <v>100947177343012</v>
      </c>
      <c r="Z108" s="5">
        <v>109089494397154</v>
      </c>
      <c r="AA108" s="5">
        <v>10695418797264</v>
      </c>
      <c r="AB108" s="5">
        <v>957787575031606</v>
      </c>
      <c r="AC108" s="5">
        <v>959925898204762</v>
      </c>
      <c r="AD108" s="5">
        <v>976623454803672</v>
      </c>
      <c r="AE108" s="5">
        <v>97577713567068</v>
      </c>
      <c r="AF108" s="5">
        <v>112030253494394</v>
      </c>
      <c r="AG108" s="5">
        <v>108026085172703</v>
      </c>
      <c r="AH108" s="5">
        <v>913292864646777</v>
      </c>
      <c r="AI108" s="5">
        <v>92528400284397</v>
      </c>
      <c r="AJ108" s="5">
        <v>92230132529</v>
      </c>
      <c r="AK108" s="5">
        <v>7595429585625</v>
      </c>
      <c r="AL108" s="5">
        <v>7615719258425</v>
      </c>
      <c r="AM108" s="5">
        <v>686529183567533</v>
      </c>
      <c r="AN108" s="5">
        <v>72680246724</v>
      </c>
      <c r="AO108" s="5">
        <v>618901864701505</v>
      </c>
      <c r="AP108" s="5">
        <v>5464990037502</v>
      </c>
      <c r="AQ108" s="5"/>
      <c r="AR108" s="5"/>
      <c r="AS108" s="5"/>
      <c r="AT108" s="5"/>
      <c r="AU108" s="5"/>
      <c r="AV108" s="5"/>
      <c r="AW108" s="5"/>
      <c r="AX108" s="5"/>
      <c r="AY108" s="5"/>
      <c r="AZ108" s="5"/>
      <c r="BA108" s="5"/>
    </row>
    <row r="109" spans="1:53" x14ac:dyDescent="0.45">
      <c r="A109" s="1"/>
      <c r="B109" s="2"/>
      <c r="C109" s="1" t="s">
        <v>103</v>
      </c>
      <c r="D109" s="2">
        <v>4101861</v>
      </c>
      <c r="E109" s="3" t="s">
        <v>732</v>
      </c>
      <c r="F109" s="3" t="s">
        <v>733</v>
      </c>
      <c r="G109" s="3" t="s">
        <v>734</v>
      </c>
      <c r="H109" s="5">
        <v>12815230193896</v>
      </c>
      <c r="I109" s="5">
        <v>128047828541701</v>
      </c>
      <c r="J109" s="5">
        <v>119867404264541</v>
      </c>
      <c r="K109" s="5">
        <v>118658792486183</v>
      </c>
      <c r="L109" s="5">
        <v>11361752748231</v>
      </c>
      <c r="M109" s="5">
        <v>121032263384963</v>
      </c>
      <c r="N109" s="5">
        <v>1333671882</v>
      </c>
      <c r="O109" s="5">
        <v>145949053</v>
      </c>
      <c r="P109" s="5">
        <v>15144516842</v>
      </c>
      <c r="Q109" s="5">
        <v>1641871853328</v>
      </c>
      <c r="R109" s="5">
        <v>168947738622</v>
      </c>
      <c r="S109" s="5">
        <v>1576535299263</v>
      </c>
      <c r="T109" s="5">
        <v>1640136605555</v>
      </c>
      <c r="U109" s="5">
        <v>151944451098</v>
      </c>
      <c r="V109" s="5">
        <v>1924412054664</v>
      </c>
      <c r="W109" s="5">
        <v>18413778642525</v>
      </c>
      <c r="X109" s="5">
        <v>18369882744675</v>
      </c>
      <c r="Y109" s="5">
        <v>1835949401664</v>
      </c>
      <c r="Z109" s="5">
        <v>18787675032945</v>
      </c>
      <c r="AA109" s="5">
        <v>1792062459135</v>
      </c>
      <c r="AB109" s="5">
        <v>1697965000524</v>
      </c>
      <c r="AC109" s="5">
        <v>168087711268985</v>
      </c>
      <c r="AD109" s="5">
        <v>167060009492011</v>
      </c>
      <c r="AE109" s="5">
        <v>168051017158711</v>
      </c>
      <c r="AF109" s="5">
        <v>167719716715611</v>
      </c>
      <c r="AG109" s="5">
        <v>159193426851094</v>
      </c>
      <c r="AH109" s="5">
        <v>156715419240587</v>
      </c>
      <c r="AI109" s="5">
        <v>160647810423429</v>
      </c>
      <c r="AJ109" s="5">
        <v>171031029816023</v>
      </c>
      <c r="AK109" s="5">
        <v>167616446086505</v>
      </c>
      <c r="AL109" s="5">
        <v>15023476474578</v>
      </c>
      <c r="AM109" s="5">
        <v>1378993079385</v>
      </c>
      <c r="AN109" s="5">
        <v>145214651340953</v>
      </c>
      <c r="AO109" s="5">
        <v>132872940967692</v>
      </c>
      <c r="AP109" s="5">
        <v>133661779624906</v>
      </c>
      <c r="AQ109" s="5"/>
      <c r="AR109" s="5"/>
      <c r="AS109" s="5"/>
      <c r="AT109" s="5"/>
      <c r="AU109" s="5"/>
      <c r="AV109" s="5"/>
      <c r="AW109" s="5"/>
      <c r="AX109" s="5"/>
      <c r="AY109" s="5"/>
      <c r="AZ109" s="5"/>
      <c r="BA109" s="5"/>
    </row>
    <row r="110" spans="1:53" x14ac:dyDescent="0.45">
      <c r="A110" s="1"/>
      <c r="B110" s="2"/>
      <c r="C110" s="1" t="s">
        <v>104</v>
      </c>
      <c r="D110" s="2">
        <v>4980342</v>
      </c>
      <c r="E110" s="3" t="s">
        <v>735</v>
      </c>
      <c r="F110" s="3" t="s">
        <v>736</v>
      </c>
      <c r="G110" s="3" t="s">
        <v>552</v>
      </c>
      <c r="H110" s="5">
        <v>54649887988891</v>
      </c>
      <c r="I110" s="5">
        <v>510771415515633</v>
      </c>
      <c r="J110" s="5">
        <v>525283949475384</v>
      </c>
      <c r="K110" s="5">
        <v>515345202546725</v>
      </c>
      <c r="L110" s="5">
        <v>447424600845799</v>
      </c>
      <c r="M110" s="5">
        <v>476239521095</v>
      </c>
      <c r="N110" s="5">
        <v>47666625874</v>
      </c>
      <c r="O110" s="5">
        <v>4920453911</v>
      </c>
      <c r="P110" s="5">
        <v>543953372961351</v>
      </c>
      <c r="Q110" s="5">
        <v>5763716353192</v>
      </c>
      <c r="R110" s="5">
        <v>553787039802</v>
      </c>
      <c r="S110" s="5">
        <v>5598667576476</v>
      </c>
      <c r="T110" s="5">
        <v>5885097858666</v>
      </c>
      <c r="U110" s="5">
        <v>568713778776</v>
      </c>
      <c r="V110" s="5">
        <v>490992179678</v>
      </c>
      <c r="W110" s="5">
        <v>47897003122605</v>
      </c>
      <c r="X110" s="5">
        <v>45606593220763</v>
      </c>
      <c r="Y110" s="5">
        <v>4524068886701</v>
      </c>
      <c r="Z110" s="5">
        <v>486187208118</v>
      </c>
      <c r="AA110" s="5">
        <v>48727556097755</v>
      </c>
      <c r="AB110" s="5">
        <v>51674503363245</v>
      </c>
      <c r="AC110" s="5">
        <v>384979956753</v>
      </c>
      <c r="AD110" s="5">
        <v>44590060995002</v>
      </c>
      <c r="AE110" s="5">
        <v>530770338709266</v>
      </c>
      <c r="AF110" s="5">
        <v>631655528542058</v>
      </c>
      <c r="AG110" s="5">
        <v>596752775409296</v>
      </c>
      <c r="AH110" s="5">
        <v>530073368140875</v>
      </c>
      <c r="AI110" s="5">
        <v>54122512256884</v>
      </c>
      <c r="AJ110" s="5">
        <v>561795220276406</v>
      </c>
      <c r="AK110" s="5">
        <v>679733672034047</v>
      </c>
      <c r="AL110" s="5">
        <v>715380680078437</v>
      </c>
      <c r="AM110" s="5">
        <v>748007542945469</v>
      </c>
      <c r="AN110" s="5">
        <v>714535967427809</v>
      </c>
      <c r="AO110" s="5">
        <v>716077965770982</v>
      </c>
      <c r="AP110" s="5">
        <v>686659021900345</v>
      </c>
      <c r="AQ110" s="5"/>
      <c r="AR110" s="5"/>
      <c r="AS110" s="5"/>
      <c r="AT110" s="5"/>
      <c r="AU110" s="5"/>
      <c r="AV110" s="5"/>
      <c r="AW110" s="5"/>
      <c r="AX110" s="5"/>
      <c r="AY110" s="5"/>
      <c r="AZ110" s="5"/>
      <c r="BA110" s="5"/>
    </row>
    <row r="111" spans="1:53" x14ac:dyDescent="0.45">
      <c r="A111" s="1"/>
      <c r="B111" s="2"/>
      <c r="C111" s="1" t="s">
        <v>105</v>
      </c>
      <c r="D111" s="2">
        <v>4057041</v>
      </c>
      <c r="E111" s="3" t="s">
        <v>737</v>
      </c>
      <c r="F111" s="3" t="s">
        <v>738</v>
      </c>
      <c r="G111" s="3" t="s">
        <v>519</v>
      </c>
      <c r="H111" s="5">
        <v>219362387373289</v>
      </c>
      <c r="I111" s="5">
        <v>231828790175937</v>
      </c>
      <c r="J111" s="5">
        <v>229010285401365</v>
      </c>
      <c r="K111" s="5">
        <v>211494235191424</v>
      </c>
      <c r="L111" s="5">
        <v>219860702231707</v>
      </c>
      <c r="M111" s="5">
        <v>214702630998</v>
      </c>
      <c r="N111" s="5">
        <v>216327313674</v>
      </c>
      <c r="O111" s="5">
        <v>22501345078</v>
      </c>
      <c r="P111" s="5">
        <v>2221241717968</v>
      </c>
      <c r="Q111" s="5">
        <v>2215578541792</v>
      </c>
      <c r="R111" s="5">
        <v>221387167008</v>
      </c>
      <c r="S111" s="5">
        <v>2099594118585</v>
      </c>
      <c r="T111" s="5">
        <v>2126925931272</v>
      </c>
      <c r="U111" s="5">
        <v>201129174466</v>
      </c>
      <c r="V111" s="5">
        <v>209835353262</v>
      </c>
      <c r="W111" s="5">
        <v>2039262224445</v>
      </c>
      <c r="X111" s="5">
        <v>205489277951092</v>
      </c>
      <c r="Y111" s="5">
        <v>217038419346589</v>
      </c>
      <c r="Z111" s="5">
        <v>21935394294123</v>
      </c>
      <c r="AA111" s="5">
        <v>19935307724046</v>
      </c>
      <c r="AB111" s="5">
        <v>191424586212</v>
      </c>
      <c r="AC111" s="5">
        <v>189211632535694</v>
      </c>
      <c r="AD111" s="5">
        <v>188014720547583</v>
      </c>
      <c r="AE111" s="5">
        <v>173501217077434</v>
      </c>
      <c r="AF111" s="5">
        <v>172479383419853</v>
      </c>
      <c r="AG111" s="5">
        <v>174626002868597</v>
      </c>
      <c r="AH111" s="5">
        <v>17543302602162</v>
      </c>
      <c r="AI111" s="5">
        <v>164485357400381</v>
      </c>
      <c r="AJ111" s="5">
        <v>168575660126293</v>
      </c>
      <c r="AK111" s="5">
        <v>152184150545937</v>
      </c>
      <c r="AL111" s="5">
        <v>16502305689532</v>
      </c>
      <c r="AM111" s="5">
        <v>161042212677375</v>
      </c>
      <c r="AN111" s="5">
        <v>1663077926465</v>
      </c>
      <c r="AO111" s="5">
        <v>16492992270601</v>
      </c>
      <c r="AP111" s="5">
        <v>17972995444945</v>
      </c>
      <c r="AQ111" s="5"/>
      <c r="AR111" s="5"/>
      <c r="AS111" s="5"/>
      <c r="AT111" s="5"/>
      <c r="AU111" s="5"/>
      <c r="AV111" s="5"/>
      <c r="AW111" s="5"/>
      <c r="AX111" s="5"/>
      <c r="AY111" s="5"/>
      <c r="AZ111" s="5"/>
      <c r="BA111" s="5"/>
    </row>
    <row r="112" spans="1:53" x14ac:dyDescent="0.45">
      <c r="A112" s="1"/>
      <c r="B112" s="2"/>
      <c r="C112" s="1" t="s">
        <v>106</v>
      </c>
      <c r="D112" s="2">
        <v>4276708</v>
      </c>
      <c r="E112" s="3" t="s">
        <v>739</v>
      </c>
      <c r="F112" s="3" t="s">
        <v>740</v>
      </c>
      <c r="G112" s="3" t="s">
        <v>643</v>
      </c>
      <c r="H112" s="5">
        <v>372132307787425</v>
      </c>
      <c r="I112" s="5">
        <v>357478761302513</v>
      </c>
      <c r="J112" s="5">
        <v>36802514775796</v>
      </c>
      <c r="K112" s="5">
        <v>329322888751176</v>
      </c>
      <c r="L112" s="5">
        <v>328439970383966</v>
      </c>
      <c r="M112" s="5">
        <v>321261401087614</v>
      </c>
      <c r="N112" s="5">
        <v>331809631165264</v>
      </c>
      <c r="O112" s="5">
        <v>316589358786777</v>
      </c>
      <c r="P112" s="5">
        <v>308287289544703</v>
      </c>
      <c r="Q112" s="5">
        <v>297251208243958</v>
      </c>
      <c r="R112" s="5">
        <v>2931094927132</v>
      </c>
      <c r="S112" s="5">
        <v>27241599899337</v>
      </c>
      <c r="T112" s="5">
        <v>291994719219437</v>
      </c>
      <c r="U112" s="5">
        <v>288422917215171</v>
      </c>
      <c r="V112" s="5">
        <v>307184347195022</v>
      </c>
      <c r="W112" s="5">
        <v>297030147124265</v>
      </c>
      <c r="X112" s="5">
        <v>295585637438285</v>
      </c>
      <c r="Y112" s="5">
        <v>295671107919895</v>
      </c>
      <c r="Z112" s="5">
        <v>298750327889088</v>
      </c>
      <c r="AA112" s="5">
        <v>275224595135894</v>
      </c>
      <c r="AB112" s="5">
        <v>272400632012714</v>
      </c>
      <c r="AC112" s="5">
        <v>259695573906135</v>
      </c>
      <c r="AD112" s="5">
        <v>280396836832713</v>
      </c>
      <c r="AE112" s="5">
        <v>258097399326671</v>
      </c>
      <c r="AF112" s="5">
        <v>26141303925237</v>
      </c>
      <c r="AG112" s="5">
        <v>240287127548416</v>
      </c>
      <c r="AH112" s="5">
        <v>219412794819774</v>
      </c>
      <c r="AI112" s="5">
        <v>223002301937561</v>
      </c>
      <c r="AJ112" s="5">
        <v>212178574428833</v>
      </c>
      <c r="AK112" s="5">
        <v>203508437265171</v>
      </c>
      <c r="AL112" s="5">
        <v>209306787597634</v>
      </c>
      <c r="AM112" s="5">
        <v>201829602004642</v>
      </c>
      <c r="AN112" s="5">
        <v>209045818401415</v>
      </c>
      <c r="AO112" s="5">
        <v>198131442345497</v>
      </c>
      <c r="AP112" s="5">
        <v>189477483198927</v>
      </c>
      <c r="AQ112" s="5"/>
      <c r="AR112" s="5"/>
      <c r="AS112" s="5"/>
      <c r="AT112" s="5"/>
      <c r="AU112" s="5"/>
      <c r="AV112" s="5"/>
      <c r="AW112" s="5"/>
      <c r="AX112" s="5"/>
      <c r="AY112" s="5"/>
      <c r="AZ112" s="5"/>
      <c r="BA112" s="5"/>
    </row>
    <row r="113" spans="1:53" x14ac:dyDescent="0.45">
      <c r="A113" s="1"/>
      <c r="B113" s="2"/>
      <c r="C113" s="1" t="s">
        <v>107</v>
      </c>
      <c r="D113" s="2">
        <v>4988311</v>
      </c>
      <c r="E113" s="3" t="s">
        <v>741</v>
      </c>
      <c r="F113" s="3" t="s">
        <v>742</v>
      </c>
      <c r="G113" s="3" t="s">
        <v>710</v>
      </c>
      <c r="H113" s="5">
        <v>831968748497493</v>
      </c>
      <c r="I113" s="5">
        <v>83827918348888</v>
      </c>
      <c r="J113" s="5">
        <v>719392277523362</v>
      </c>
      <c r="K113" s="5">
        <v>671099424877729</v>
      </c>
      <c r="L113" s="5">
        <v>634058159217</v>
      </c>
      <c r="M113" s="5">
        <v>615424830745</v>
      </c>
      <c r="N113" s="5">
        <v>641790014855</v>
      </c>
      <c r="O113" s="5">
        <v>6393753503</v>
      </c>
      <c r="P113" s="5">
        <v>6514296594</v>
      </c>
      <c r="Q113" s="5">
        <v>666044764</v>
      </c>
      <c r="R113" s="5">
        <v>639814484438052</v>
      </c>
      <c r="S113" s="5">
        <v>602525197722</v>
      </c>
      <c r="T113" s="5">
        <v>601481683887</v>
      </c>
      <c r="U113" s="5">
        <v>59315629580064</v>
      </c>
      <c r="V113" s="5">
        <v>547613523961891</v>
      </c>
      <c r="W113" s="5">
        <v>543974163257515</v>
      </c>
      <c r="X113" s="5">
        <v>500604816558</v>
      </c>
      <c r="Y113" s="5">
        <v>493755298764</v>
      </c>
      <c r="Z113" s="5">
        <v>482705474121</v>
      </c>
      <c r="AA113" s="5">
        <v>486601108449</v>
      </c>
      <c r="AB113" s="5">
        <v>4189443552</v>
      </c>
      <c r="AC113" s="5">
        <v>389211869123048</v>
      </c>
      <c r="AD113" s="5">
        <v>346534902135</v>
      </c>
      <c r="AE113" s="5">
        <v>391624346925</v>
      </c>
      <c r="AF113" s="5">
        <v>449207551129353</v>
      </c>
      <c r="AG113" s="5">
        <v>394658462080688</v>
      </c>
      <c r="AH113" s="5">
        <v>354311769673428</v>
      </c>
      <c r="AI113" s="5">
        <v>376007410011714</v>
      </c>
      <c r="AJ113" s="5">
        <v>392224954189824</v>
      </c>
      <c r="AK113" s="5">
        <v>403000496686116</v>
      </c>
      <c r="AL113" s="5">
        <v>398871066819692</v>
      </c>
      <c r="AM113" s="5">
        <v>401735155783968</v>
      </c>
      <c r="AN113" s="5">
        <v>442184837470854</v>
      </c>
      <c r="AO113" s="5">
        <v>4216181366045</v>
      </c>
      <c r="AP113" s="5">
        <v>409558488075</v>
      </c>
      <c r="AQ113" s="5"/>
      <c r="AR113" s="5"/>
      <c r="AS113" s="5"/>
      <c r="AT113" s="5"/>
      <c r="AU113" s="5"/>
      <c r="AV113" s="5"/>
      <c r="AW113" s="5"/>
      <c r="AX113" s="5"/>
      <c r="AY113" s="5"/>
      <c r="AZ113" s="5"/>
      <c r="BA113" s="5"/>
    </row>
    <row r="114" spans="1:53" x14ac:dyDescent="0.45">
      <c r="A114" s="1"/>
      <c r="B114" s="2"/>
      <c r="C114" s="1" t="s">
        <v>108</v>
      </c>
      <c r="D114" s="2">
        <v>4004201</v>
      </c>
      <c r="E114" s="3" t="s">
        <v>743</v>
      </c>
      <c r="F114" s="3" t="s">
        <v>744</v>
      </c>
      <c r="G114" s="3" t="s">
        <v>544</v>
      </c>
      <c r="H114" s="5">
        <v>230134136226839</v>
      </c>
      <c r="I114" s="5">
        <v>23636522464608</v>
      </c>
      <c r="J114" s="5">
        <v>233735517678764</v>
      </c>
      <c r="K114" s="5">
        <v>228643757917876</v>
      </c>
      <c r="L114" s="5">
        <v>218740204730102</v>
      </c>
      <c r="M114" s="5">
        <v>223314775706073</v>
      </c>
      <c r="N114" s="5">
        <v>2423777692975</v>
      </c>
      <c r="O114" s="5">
        <v>2383303677</v>
      </c>
      <c r="P114" s="5">
        <v>243663376619</v>
      </c>
      <c r="Q114" s="5">
        <v>2340838332</v>
      </c>
      <c r="R114" s="5">
        <v>241383401358</v>
      </c>
      <c r="S114" s="5">
        <v>22731710058</v>
      </c>
      <c r="T114" s="5">
        <v>2186970134433</v>
      </c>
      <c r="U114" s="5">
        <v>216237218274</v>
      </c>
      <c r="V114" s="5">
        <v>197099602696087</v>
      </c>
      <c r="W114" s="5">
        <v>218161859058</v>
      </c>
      <c r="X114" s="5">
        <v>2110472239876</v>
      </c>
      <c r="Y114" s="5">
        <v>191385591209876</v>
      </c>
      <c r="Z114" s="5">
        <v>198307616256</v>
      </c>
      <c r="AA114" s="5">
        <v>20185082460825</v>
      </c>
      <c r="AB114" s="5">
        <v>175300205204708</v>
      </c>
      <c r="AC114" s="5">
        <v>187469749746</v>
      </c>
      <c r="AD114" s="5">
        <v>19434227595</v>
      </c>
      <c r="AE114" s="5">
        <v>190174358629123</v>
      </c>
      <c r="AF114" s="5">
        <v>200315879659647</v>
      </c>
      <c r="AG114" s="5">
        <v>190582246924597</v>
      </c>
      <c r="AH114" s="5">
        <v>188063060759145</v>
      </c>
      <c r="AI114" s="5">
        <v>188355464680255</v>
      </c>
      <c r="AJ114" s="5">
        <v>207283590705593</v>
      </c>
      <c r="AK114" s="5">
        <v>222922590088825</v>
      </c>
      <c r="AL114" s="5">
        <v>23989603439674</v>
      </c>
      <c r="AM114" s="5">
        <v>237211140122775</v>
      </c>
      <c r="AN114" s="5">
        <v>267864715012696</v>
      </c>
      <c r="AO114" s="5">
        <v>2766582948874</v>
      </c>
      <c r="AP114" s="5">
        <v>268625161703869</v>
      </c>
      <c r="AQ114" s="5"/>
      <c r="AR114" s="5"/>
      <c r="AS114" s="5"/>
      <c r="AT114" s="5"/>
      <c r="AU114" s="5"/>
      <c r="AV114" s="5"/>
      <c r="AW114" s="5"/>
      <c r="AX114" s="5"/>
      <c r="AY114" s="5"/>
      <c r="AZ114" s="5"/>
      <c r="BA114" s="5"/>
    </row>
    <row r="115" spans="1:53" x14ac:dyDescent="0.45">
      <c r="A115" s="1"/>
      <c r="B115" s="2"/>
      <c r="C115" s="1" t="s">
        <v>109</v>
      </c>
      <c r="D115" s="2">
        <v>4256640</v>
      </c>
      <c r="E115" s="3" t="s">
        <v>745</v>
      </c>
      <c r="F115" s="3" t="s">
        <v>746</v>
      </c>
      <c r="G115" s="3" t="s">
        <v>524</v>
      </c>
      <c r="H115" s="5">
        <v>143835886940033</v>
      </c>
      <c r="I115" s="5">
        <v>136773867052363</v>
      </c>
      <c r="J115" s="5">
        <v>130437488966131</v>
      </c>
      <c r="K115" s="5">
        <v>120316091800692</v>
      </c>
      <c r="L115" s="5">
        <v>111236464984001</v>
      </c>
      <c r="M115" s="5">
        <v>118503304432407</v>
      </c>
      <c r="N115" s="5">
        <v>116094307460365</v>
      </c>
      <c r="O115" s="5">
        <v>117947806315415</v>
      </c>
      <c r="P115" s="5">
        <v>11903589077621</v>
      </c>
      <c r="Q115" s="5">
        <v>130135618432532</v>
      </c>
      <c r="R115" s="5">
        <v>1470676725132</v>
      </c>
      <c r="S115" s="5">
        <v>125460015343214</v>
      </c>
      <c r="T115" s="5">
        <v>123057745674771</v>
      </c>
      <c r="U115" s="5">
        <v>13109212313938</v>
      </c>
      <c r="V115" s="5">
        <v>148037950927867</v>
      </c>
      <c r="W115" s="5">
        <v>143053956975969</v>
      </c>
      <c r="X115" s="5">
        <v>136331331327484</v>
      </c>
      <c r="Y115" s="5">
        <v>125727776762078</v>
      </c>
      <c r="Z115" s="5">
        <v>119369786562799</v>
      </c>
      <c r="AA115" s="5">
        <v>123911587809002</v>
      </c>
      <c r="AB115" s="5">
        <v>125091317130963</v>
      </c>
      <c r="AC115" s="5">
        <v>108866609444997</v>
      </c>
      <c r="AD115" s="5">
        <v>104623788880891</v>
      </c>
      <c r="AE115" s="5">
        <v>12128673056985</v>
      </c>
      <c r="AF115" s="5">
        <v>134089215660626</v>
      </c>
      <c r="AG115" s="5">
        <v>120956158760402</v>
      </c>
      <c r="AH115" s="5">
        <v>113542341427603</v>
      </c>
      <c r="AI115" s="5">
        <v>122610109902443</v>
      </c>
      <c r="AJ115" s="5">
        <v>128650881540489</v>
      </c>
      <c r="AK115" s="5">
        <v>128621083555059</v>
      </c>
      <c r="AL115" s="5">
        <v>12726225851605</v>
      </c>
      <c r="AM115" s="5">
        <v>131937188139994</v>
      </c>
      <c r="AN115" s="5">
        <v>128791936720536</v>
      </c>
      <c r="AO115" s="5">
        <v>125427173175925</v>
      </c>
      <c r="AP115" s="5">
        <v>113816346551336</v>
      </c>
      <c r="AQ115" s="5"/>
      <c r="AR115" s="5"/>
      <c r="AS115" s="5"/>
      <c r="AT115" s="5"/>
      <c r="AU115" s="5"/>
      <c r="AV115" s="5"/>
      <c r="AW115" s="5"/>
      <c r="AX115" s="5"/>
      <c r="AY115" s="5"/>
      <c r="AZ115" s="5"/>
      <c r="BA115" s="5"/>
    </row>
    <row r="116" spans="1:53" x14ac:dyDescent="0.45">
      <c r="A116" s="1"/>
      <c r="B116" s="2"/>
      <c r="C116" s="1" t="s">
        <v>110</v>
      </c>
      <c r="D116" s="2">
        <v>4094053</v>
      </c>
      <c r="E116" s="3" t="s">
        <v>747</v>
      </c>
      <c r="F116" s="3" t="s">
        <v>748</v>
      </c>
      <c r="G116" s="3" t="s">
        <v>674</v>
      </c>
      <c r="H116" s="5">
        <v>89387782311804</v>
      </c>
      <c r="I116" s="5">
        <v>925625668462641</v>
      </c>
      <c r="J116" s="5">
        <v>91827346253825</v>
      </c>
      <c r="K116" s="5">
        <v>810577569283332</v>
      </c>
      <c r="L116" s="5">
        <v>792166483545797</v>
      </c>
      <c r="M116" s="5">
        <v>76735895651382</v>
      </c>
      <c r="N116" s="5">
        <v>75664589023838</v>
      </c>
      <c r="O116" s="5">
        <v>76238315198481</v>
      </c>
      <c r="P116" s="5">
        <v>724039360562307</v>
      </c>
      <c r="Q116" s="5">
        <v>63176238944</v>
      </c>
      <c r="R116" s="5">
        <v>623943707174976</v>
      </c>
      <c r="S116" s="5">
        <v>61036530213</v>
      </c>
      <c r="T116" s="5">
        <v>581915884443</v>
      </c>
      <c r="U116" s="5">
        <v>58919480554</v>
      </c>
      <c r="V116" s="5">
        <v>556462238195901</v>
      </c>
      <c r="W116" s="5">
        <v>62799308127</v>
      </c>
      <c r="X116" s="5">
        <v>60607837675</v>
      </c>
      <c r="Y116" s="5">
        <v>606606811132707</v>
      </c>
      <c r="Z116" s="5">
        <v>640884752235</v>
      </c>
      <c r="AA116" s="5">
        <v>6042303518475</v>
      </c>
      <c r="AB116" s="5">
        <v>560788623455695</v>
      </c>
      <c r="AC116" s="5">
        <v>529946521510349</v>
      </c>
      <c r="AD116" s="5">
        <v>526540572711797</v>
      </c>
      <c r="AE116" s="5">
        <v>618294330808852</v>
      </c>
      <c r="AF116" s="5">
        <v>643461167811726</v>
      </c>
      <c r="AG116" s="5">
        <v>598294895824048</v>
      </c>
      <c r="AH116" s="5">
        <v>503521493080939</v>
      </c>
      <c r="AI116" s="5">
        <v>513204350879722</v>
      </c>
      <c r="AJ116" s="5">
        <v>591604985865025</v>
      </c>
      <c r="AK116" s="5">
        <v>585583337485157</v>
      </c>
      <c r="AL116" s="5">
        <v>616914441681019</v>
      </c>
      <c r="AM116" s="5">
        <v>59182523868787</v>
      </c>
      <c r="AN116" s="5">
        <v>595023191720856</v>
      </c>
      <c r="AO116" s="5">
        <v>573926097475864</v>
      </c>
      <c r="AP116" s="5">
        <v>528683156209188</v>
      </c>
      <c r="AQ116" s="5"/>
      <c r="AR116" s="5"/>
      <c r="AS116" s="5"/>
      <c r="AT116" s="5"/>
      <c r="AU116" s="5"/>
      <c r="AV116" s="5"/>
      <c r="AW116" s="5"/>
      <c r="AX116" s="5"/>
      <c r="AY116" s="5"/>
      <c r="AZ116" s="5"/>
      <c r="BA116" s="5"/>
    </row>
    <row r="117" spans="1:53" x14ac:dyDescent="0.45">
      <c r="A117" s="1"/>
      <c r="B117" s="2"/>
      <c r="C117" s="1" t="s">
        <v>111</v>
      </c>
      <c r="D117" s="2">
        <v>4126080</v>
      </c>
      <c r="E117" s="3" t="s">
        <v>749</v>
      </c>
      <c r="F117" s="3" t="s">
        <v>750</v>
      </c>
      <c r="G117" s="3" t="s">
        <v>751</v>
      </c>
      <c r="H117" s="5">
        <v>68061733186921</v>
      </c>
      <c r="I117" s="5">
        <v>676747759511368</v>
      </c>
      <c r="J117" s="5">
        <v>604652554459183</v>
      </c>
      <c r="K117" s="5">
        <v>6096654022571</v>
      </c>
      <c r="L117" s="5">
        <v>5788982479686</v>
      </c>
      <c r="M117" s="5">
        <v>5898848441365</v>
      </c>
      <c r="N117" s="5">
        <v>6148095191055</v>
      </c>
      <c r="O117" s="5">
        <v>704442582533</v>
      </c>
      <c r="P117" s="5">
        <v>7151555311264</v>
      </c>
      <c r="Q117" s="5">
        <v>6883618961072</v>
      </c>
      <c r="R117" s="5">
        <v>733274100504</v>
      </c>
      <c r="S117" s="5">
        <v>667500091731</v>
      </c>
      <c r="T117" s="5">
        <v>6663566566602</v>
      </c>
      <c r="U117" s="5">
        <v>620742347478</v>
      </c>
      <c r="V117" s="5">
        <v>5897608811244</v>
      </c>
      <c r="W117" s="5">
        <v>59363484488766</v>
      </c>
      <c r="X117" s="5">
        <v>63696619709415</v>
      </c>
      <c r="Y117" s="5">
        <v>6555872582973</v>
      </c>
      <c r="Z117" s="5">
        <v>6194601905076</v>
      </c>
      <c r="AA117" s="5">
        <v>58599843413328</v>
      </c>
      <c r="AB117" s="5">
        <v>5678530605888</v>
      </c>
      <c r="AC117" s="5">
        <v>607376902699722</v>
      </c>
      <c r="AD117" s="5">
        <v>614182154736491</v>
      </c>
      <c r="AE117" s="5">
        <v>65395375095831</v>
      </c>
      <c r="AF117" s="5">
        <v>668322789057822</v>
      </c>
      <c r="AG117" s="5">
        <v>627202283062856</v>
      </c>
      <c r="AH117" s="5">
        <v>56733155429472</v>
      </c>
      <c r="AI117" s="5">
        <v>549489823154047</v>
      </c>
      <c r="AJ117" s="5">
        <v>578006671906665</v>
      </c>
      <c r="AK117" s="5">
        <v>532879288310804</v>
      </c>
      <c r="AL117" s="5">
        <v>57230666662764</v>
      </c>
      <c r="AM117" s="5">
        <v>562873423239</v>
      </c>
      <c r="AN117" s="5">
        <v>620447838619084</v>
      </c>
      <c r="AO117" s="5">
        <v>577352712696144</v>
      </c>
      <c r="AP117" s="5">
        <v>55791376671177</v>
      </c>
      <c r="AQ117" s="5"/>
      <c r="AR117" s="5"/>
      <c r="AS117" s="5"/>
      <c r="AT117" s="5"/>
      <c r="AU117" s="5"/>
      <c r="AV117" s="5"/>
      <c r="AW117" s="5"/>
      <c r="AX117" s="5"/>
      <c r="AY117" s="5"/>
      <c r="AZ117" s="5"/>
      <c r="BA117" s="5"/>
    </row>
    <row r="118" spans="1:53" x14ac:dyDescent="0.45">
      <c r="A118" s="1"/>
      <c r="B118" s="2"/>
      <c r="C118" s="1" t="s">
        <v>112</v>
      </c>
      <c r="D118" s="2">
        <v>4010469</v>
      </c>
      <c r="E118" s="3" t="s">
        <v>752</v>
      </c>
      <c r="F118" s="3" t="s">
        <v>753</v>
      </c>
      <c r="G118" s="3" t="s">
        <v>552</v>
      </c>
      <c r="H118" s="5">
        <v>110160624053251</v>
      </c>
      <c r="I118" s="5">
        <v>112432627260764</v>
      </c>
      <c r="J118" s="5">
        <v>110050639552402</v>
      </c>
      <c r="K118" s="5">
        <v>104676801165092</v>
      </c>
      <c r="L118" s="5">
        <v>995083518053352</v>
      </c>
      <c r="M118" s="5">
        <v>975961291406088</v>
      </c>
      <c r="N118" s="5">
        <v>102334236735687</v>
      </c>
      <c r="O118" s="5">
        <v>91936678827035</v>
      </c>
      <c r="P118" s="5">
        <v>992946111037972</v>
      </c>
      <c r="Q118" s="5">
        <v>1040932140864</v>
      </c>
      <c r="R118" s="5">
        <v>98020140220926</v>
      </c>
      <c r="S118" s="5">
        <v>925904095398061</v>
      </c>
      <c r="T118" s="5">
        <v>102932599496385</v>
      </c>
      <c r="U118" s="5">
        <v>973349531171864</v>
      </c>
      <c r="V118" s="5">
        <v>886152232470039</v>
      </c>
      <c r="W118" s="5">
        <v>106765739955</v>
      </c>
      <c r="X118" s="5">
        <v>10277182948725</v>
      </c>
      <c r="Y118" s="5">
        <v>102697364444915</v>
      </c>
      <c r="Z118" s="5">
        <v>10777576095</v>
      </c>
      <c r="AA118" s="5">
        <v>100152832275</v>
      </c>
      <c r="AB118" s="5">
        <v>97028147619</v>
      </c>
      <c r="AC118" s="5">
        <v>848816313048564</v>
      </c>
      <c r="AD118" s="5">
        <v>793650694517869</v>
      </c>
      <c r="AE118" s="5">
        <v>674121831717921</v>
      </c>
      <c r="AF118" s="5">
        <v>737671001981741</v>
      </c>
      <c r="AG118" s="5">
        <v>814824563255134</v>
      </c>
      <c r="AH118" s="5">
        <v>81055268858191</v>
      </c>
      <c r="AI118" s="5">
        <v>874433859143544</v>
      </c>
      <c r="AJ118" s="5">
        <v>979844466327283</v>
      </c>
      <c r="AK118" s="5">
        <v>117112063845984</v>
      </c>
      <c r="AL118" s="5">
        <v>12798005465016</v>
      </c>
      <c r="AM118" s="5">
        <v>124948532532239</v>
      </c>
      <c r="AN118" s="5">
        <v>113690644948005</v>
      </c>
      <c r="AO118" s="5">
        <v>106860979523709</v>
      </c>
      <c r="AP118" s="5">
        <v>9694557505815</v>
      </c>
      <c r="AQ118" s="5"/>
      <c r="AR118" s="5"/>
      <c r="AS118" s="5"/>
      <c r="AT118" s="5"/>
      <c r="AU118" s="5"/>
      <c r="AV118" s="5"/>
      <c r="AW118" s="5"/>
      <c r="AX118" s="5"/>
      <c r="AY118" s="5"/>
      <c r="AZ118" s="5"/>
      <c r="BA118" s="5"/>
    </row>
    <row r="119" spans="1:53" x14ac:dyDescent="0.45">
      <c r="A119" s="1"/>
      <c r="B119" s="2"/>
      <c r="C119" s="1" t="s">
        <v>113</v>
      </c>
      <c r="D119" s="2">
        <v>4213375</v>
      </c>
      <c r="E119" s="3" t="s">
        <v>754</v>
      </c>
      <c r="F119" s="3" t="s">
        <v>755</v>
      </c>
      <c r="G119" s="3" t="s">
        <v>756</v>
      </c>
      <c r="H119" s="5">
        <v>256305161903222</v>
      </c>
      <c r="I119" s="5">
        <v>245108317658216</v>
      </c>
      <c r="J119" s="5">
        <v>26587653277973</v>
      </c>
      <c r="K119" s="5">
        <v>25690597796626</v>
      </c>
      <c r="L119" s="5">
        <v>250741294886586</v>
      </c>
      <c r="M119" s="5">
        <v>25227597637607</v>
      </c>
      <c r="N119" s="5">
        <v>258693741918981</v>
      </c>
      <c r="O119" s="5">
        <v>26708706867953</v>
      </c>
      <c r="P119" s="5">
        <v>278371153407873</v>
      </c>
      <c r="Q119" s="5">
        <v>272308649715152</v>
      </c>
      <c r="R119" s="5">
        <v>263176077021363</v>
      </c>
      <c r="S119" s="5">
        <v>267387146797513</v>
      </c>
      <c r="T119" s="5">
        <v>27174686609869</v>
      </c>
      <c r="U119" s="5">
        <v>2630315700639</v>
      </c>
      <c r="V119" s="5">
        <v>24360213717258</v>
      </c>
      <c r="W119" s="5">
        <v>245087384928743</v>
      </c>
      <c r="X119" s="5">
        <v>249787498944813</v>
      </c>
      <c r="Y119" s="5">
        <v>220824457989294</v>
      </c>
      <c r="Z119" s="5">
        <v>194387371899733</v>
      </c>
      <c r="AA119" s="5">
        <v>22517753353701</v>
      </c>
      <c r="AB119" s="5">
        <v>21226248073292</v>
      </c>
      <c r="AC119" s="5">
        <v>198144582316361</v>
      </c>
      <c r="AD119" s="5">
        <v>202874627546523</v>
      </c>
      <c r="AE119" s="5">
        <v>219104278483001</v>
      </c>
      <c r="AF119" s="5">
        <v>227802076819317</v>
      </c>
      <c r="AG119" s="5">
        <v>202836797453954</v>
      </c>
      <c r="AH119" s="5">
        <v>19098697843587</v>
      </c>
      <c r="AI119" s="5">
        <v>216023002390751</v>
      </c>
      <c r="AJ119" s="5">
        <v>21429979990357</v>
      </c>
      <c r="AK119" s="5">
        <v>207374617128672</v>
      </c>
      <c r="AL119" s="5">
        <v>207841228602439</v>
      </c>
      <c r="AM119" s="5">
        <v>203782252478966</v>
      </c>
      <c r="AN119" s="5">
        <v>195577202202689</v>
      </c>
      <c r="AO119" s="5">
        <v>203675288508015</v>
      </c>
      <c r="AP119" s="5">
        <v>15681680736503</v>
      </c>
      <c r="AQ119" s="5"/>
      <c r="AR119" s="5"/>
      <c r="AS119" s="5"/>
      <c r="AT119" s="5"/>
      <c r="AU119" s="5"/>
      <c r="AV119" s="5"/>
      <c r="AW119" s="5"/>
      <c r="AX119" s="5"/>
      <c r="AY119" s="5"/>
      <c r="AZ119" s="5"/>
      <c r="BA119" s="5"/>
    </row>
    <row r="120" spans="1:53" x14ac:dyDescent="0.45">
      <c r="A120" s="1"/>
      <c r="B120" s="2"/>
      <c r="C120" s="1" t="s">
        <v>114</v>
      </c>
      <c r="D120" s="2">
        <v>4417219</v>
      </c>
      <c r="E120" s="3" t="s">
        <v>757</v>
      </c>
      <c r="F120" s="3" t="s">
        <v>758</v>
      </c>
      <c r="G120" s="3" t="s">
        <v>530</v>
      </c>
      <c r="H120" s="5">
        <v>375597778910706</v>
      </c>
      <c r="I120" s="5">
        <v>385498589121351</v>
      </c>
      <c r="J120" s="5">
        <v>373698550806194</v>
      </c>
      <c r="K120" s="5">
        <v>343673936151862</v>
      </c>
      <c r="L120" s="5">
        <v>370992342635114</v>
      </c>
      <c r="M120" s="5">
        <v>346715934973133</v>
      </c>
      <c r="N120" s="5">
        <v>321471915100632</v>
      </c>
      <c r="O120" s="5">
        <v>33121308001879</v>
      </c>
      <c r="P120" s="5">
        <v>317866603208268</v>
      </c>
      <c r="Q120" s="5">
        <v>318462180685527</v>
      </c>
      <c r="R120" s="5">
        <v>317653204852475</v>
      </c>
      <c r="S120" s="5">
        <v>293448217420642</v>
      </c>
      <c r="T120" s="5">
        <v>295862207779655</v>
      </c>
      <c r="U120" s="5">
        <v>284185474211839</v>
      </c>
      <c r="V120" s="5">
        <v>279691424464103</v>
      </c>
      <c r="W120" s="5">
        <v>282368597055877</v>
      </c>
      <c r="X120" s="5">
        <v>286409711832975</v>
      </c>
      <c r="Y120" s="5">
        <v>292550997956209</v>
      </c>
      <c r="Z120" s="5">
        <v>30769667841414</v>
      </c>
      <c r="AA120" s="5">
        <v>274898711585277</v>
      </c>
      <c r="AB120" s="5">
        <v>255567397666693</v>
      </c>
      <c r="AC120" s="5">
        <v>265243919431958</v>
      </c>
      <c r="AD120" s="5">
        <v>264741021438333</v>
      </c>
      <c r="AE120" s="5">
        <v>264532009850324</v>
      </c>
      <c r="AF120" s="5">
        <v>270245695583126</v>
      </c>
      <c r="AG120" s="5">
        <v>257547825989159</v>
      </c>
      <c r="AH120" s="5">
        <v>234857064042304</v>
      </c>
      <c r="AI120" s="5">
        <v>247402096276143</v>
      </c>
      <c r="AJ120" s="5">
        <v>246386565718008</v>
      </c>
      <c r="AK120" s="5">
        <v>239568657069877</v>
      </c>
      <c r="AL120" s="5">
        <v>246929447224894</v>
      </c>
      <c r="AM120" s="5">
        <v>247955956524049</v>
      </c>
      <c r="AN120" s="5">
        <v>255330800574713</v>
      </c>
      <c r="AO120" s="5">
        <v>255887570474952</v>
      </c>
      <c r="AP120" s="5">
        <v>255821759052989</v>
      </c>
      <c r="AQ120" s="5"/>
      <c r="AR120" s="5"/>
      <c r="AS120" s="5"/>
      <c r="AT120" s="5"/>
      <c r="AU120" s="5"/>
      <c r="AV120" s="5"/>
      <c r="AW120" s="5"/>
      <c r="AX120" s="5"/>
      <c r="AY120" s="5"/>
      <c r="AZ120" s="5"/>
      <c r="BA120" s="5"/>
    </row>
    <row r="121" spans="1:53" x14ac:dyDescent="0.45">
      <c r="A121" s="1"/>
      <c r="B121" s="2"/>
      <c r="C121" s="1" t="s">
        <v>115</v>
      </c>
      <c r="D121" s="2">
        <v>4004350</v>
      </c>
      <c r="E121" s="3" t="s">
        <v>759</v>
      </c>
      <c r="F121" s="3" t="s">
        <v>760</v>
      </c>
      <c r="G121" s="3" t="s">
        <v>761</v>
      </c>
      <c r="H121" s="5">
        <v>409435335309821</v>
      </c>
      <c r="I121" s="5">
        <v>418381037078676</v>
      </c>
      <c r="J121" s="5">
        <v>387155209100177</v>
      </c>
      <c r="K121" s="5">
        <v>419296379694036</v>
      </c>
      <c r="L121" s="5">
        <v>386088636940933</v>
      </c>
      <c r="M121" s="5">
        <v>382358384806277</v>
      </c>
      <c r="N121" s="5">
        <v>441213844034471</v>
      </c>
      <c r="O121" s="5">
        <v>444807079637364</v>
      </c>
      <c r="P121" s="5">
        <v>430503258406787</v>
      </c>
      <c r="Q121" s="5">
        <v>403316649291679</v>
      </c>
      <c r="R121" s="5">
        <v>423790823585682</v>
      </c>
      <c r="S121" s="5">
        <v>399227331479908</v>
      </c>
      <c r="T121" s="5">
        <v>31880616012144</v>
      </c>
      <c r="U121" s="5">
        <v>317305359194393</v>
      </c>
      <c r="V121" s="5">
        <v>2607410789784</v>
      </c>
      <c r="W121" s="5">
        <v>2566879842355</v>
      </c>
      <c r="X121" s="5">
        <v>239984156210593</v>
      </c>
      <c r="Y121" s="5">
        <v>239845667050512</v>
      </c>
      <c r="Z121" s="5">
        <v>224473978696069</v>
      </c>
      <c r="AA121" s="5">
        <v>22700647406055</v>
      </c>
      <c r="AB121" s="5">
        <v>22760029873935</v>
      </c>
      <c r="AC121" s="5">
        <v>214031919337374</v>
      </c>
      <c r="AD121" s="5">
        <v>207409092614378</v>
      </c>
      <c r="AE121" s="5">
        <v>232948068033288</v>
      </c>
      <c r="AF121" s="5">
        <v>262361685446475</v>
      </c>
      <c r="AG121" s="5">
        <v>238626314053009</v>
      </c>
      <c r="AH121" s="5">
        <v>237117499616308</v>
      </c>
      <c r="AI121" s="5">
        <v>240459746974519</v>
      </c>
      <c r="AJ121" s="5">
        <v>278526413689651</v>
      </c>
      <c r="AK121" s="5">
        <v>290650558909617</v>
      </c>
      <c r="AL121" s="5">
        <v>30790875799272</v>
      </c>
      <c r="AM121" s="5">
        <v>319663082664675</v>
      </c>
      <c r="AN121" s="5">
        <v>305705036597097</v>
      </c>
      <c r="AO121" s="5">
        <v>303106666441567</v>
      </c>
      <c r="AP121" s="5">
        <v>293597162657039</v>
      </c>
      <c r="AQ121" s="5"/>
      <c r="AR121" s="5"/>
      <c r="AS121" s="5"/>
      <c r="AT121" s="5"/>
      <c r="AU121" s="5"/>
      <c r="AV121" s="5"/>
      <c r="AW121" s="5"/>
      <c r="AX121" s="5"/>
      <c r="AY121" s="5"/>
      <c r="AZ121" s="5"/>
      <c r="BA121" s="5"/>
    </row>
    <row r="122" spans="1:53" x14ac:dyDescent="0.45">
      <c r="A122" s="1"/>
      <c r="B122" s="2"/>
      <c r="C122" s="1" t="s">
        <v>116</v>
      </c>
      <c r="D122" s="2">
        <v>4074303</v>
      </c>
      <c r="E122" s="3" t="s">
        <v>762</v>
      </c>
      <c r="F122" s="3" t="s">
        <v>763</v>
      </c>
      <c r="G122" s="3" t="s">
        <v>668</v>
      </c>
      <c r="H122" s="5">
        <v>2441514829824</v>
      </c>
      <c r="I122" s="5">
        <v>233297025066</v>
      </c>
      <c r="J122" s="5">
        <v>25130862768</v>
      </c>
      <c r="K122" s="5">
        <v>2374526396466</v>
      </c>
      <c r="L122" s="5">
        <v>2241640524396</v>
      </c>
      <c r="M122" s="5">
        <v>23845482047</v>
      </c>
      <c r="N122" s="5">
        <v>237990642254</v>
      </c>
      <c r="O122" s="5">
        <v>2349228514</v>
      </c>
      <c r="P122" s="5">
        <v>2317237008164</v>
      </c>
      <c r="Q122" s="5">
        <v>236523526848</v>
      </c>
      <c r="R122" s="5">
        <v>234238995468</v>
      </c>
      <c r="S122" s="5">
        <v>2283012170586</v>
      </c>
      <c r="T122" s="5">
        <v>2169616214178</v>
      </c>
      <c r="U122" s="5">
        <v>224764798104</v>
      </c>
      <c r="V122" s="5">
        <v>1958566124592</v>
      </c>
      <c r="W122" s="5">
        <v>1914661226115</v>
      </c>
      <c r="X122" s="5">
        <v>18929979684</v>
      </c>
      <c r="Y122" s="5">
        <v>1863006782994</v>
      </c>
      <c r="Z122" s="5">
        <v>1716737315688</v>
      </c>
      <c r="AA122" s="5">
        <v>1744043605686</v>
      </c>
      <c r="AB122" s="5">
        <v>17407171225575</v>
      </c>
      <c r="AC122" s="5">
        <v>156571564143166</v>
      </c>
      <c r="AD122" s="5">
        <v>14672255164786</v>
      </c>
      <c r="AE122" s="5">
        <v>143125419116452</v>
      </c>
      <c r="AF122" s="5">
        <v>167799439912456</v>
      </c>
      <c r="AG122" s="5">
        <v>165770964821</v>
      </c>
      <c r="AH122" s="5">
        <v>172841304458678</v>
      </c>
      <c r="AI122" s="5">
        <v>193092000761639</v>
      </c>
      <c r="AJ122" s="5">
        <v>208225485192</v>
      </c>
      <c r="AK122" s="5">
        <v>212363710225588</v>
      </c>
      <c r="AL122" s="5">
        <v>2226820076475</v>
      </c>
      <c r="AM122" s="5">
        <v>222671843235</v>
      </c>
      <c r="AN122" s="5">
        <v>233981305566424</v>
      </c>
      <c r="AO122" s="5">
        <v>229718008653342</v>
      </c>
      <c r="AP122" s="5">
        <v>224314357577879</v>
      </c>
      <c r="AQ122" s="5"/>
      <c r="AR122" s="5"/>
      <c r="AS122" s="5"/>
      <c r="AT122" s="5"/>
      <c r="AU122" s="5"/>
      <c r="AV122" s="5"/>
      <c r="AW122" s="5"/>
      <c r="AX122" s="5"/>
      <c r="AY122" s="5"/>
      <c r="AZ122" s="5"/>
      <c r="BA122" s="5"/>
    </row>
    <row r="123" spans="1:53" x14ac:dyDescent="0.45">
      <c r="A123" s="1"/>
      <c r="B123" s="2"/>
      <c r="C123" s="1" t="s">
        <v>117</v>
      </c>
      <c r="D123" s="2">
        <v>4206348</v>
      </c>
      <c r="E123" s="3" t="s">
        <v>764</v>
      </c>
      <c r="F123" s="3" t="s">
        <v>765</v>
      </c>
      <c r="G123" s="3" t="s">
        <v>766</v>
      </c>
      <c r="H123" s="5">
        <v>61168266992724</v>
      </c>
      <c r="I123" s="5">
        <v>651567060282735</v>
      </c>
      <c r="J123" s="5">
        <v>598423903156526</v>
      </c>
      <c r="K123" s="5">
        <v>699445856584603</v>
      </c>
      <c r="L123" s="5">
        <v>662068418370902</v>
      </c>
      <c r="M123" s="5">
        <v>69027811769</v>
      </c>
      <c r="N123" s="5">
        <v>71778502782</v>
      </c>
      <c r="O123" s="5">
        <v>6959584086</v>
      </c>
      <c r="P123" s="5">
        <v>7829576279928</v>
      </c>
      <c r="Q123" s="5">
        <v>75967331121444</v>
      </c>
      <c r="R123" s="5">
        <v>77781247092</v>
      </c>
      <c r="S123" s="5">
        <v>7788555460188</v>
      </c>
      <c r="T123" s="5">
        <v>7971792887292</v>
      </c>
      <c r="U123" s="5">
        <v>775706487336</v>
      </c>
      <c r="V123" s="5">
        <v>818133213364</v>
      </c>
      <c r="W123" s="5">
        <v>84411796121235</v>
      </c>
      <c r="X123" s="5">
        <v>893322578432053</v>
      </c>
      <c r="Y123" s="5">
        <v>8912192613128</v>
      </c>
      <c r="Z123" s="5">
        <v>9259027932366</v>
      </c>
      <c r="AA123" s="5">
        <v>9308010171795</v>
      </c>
      <c r="AB123" s="5">
        <v>9585016785675</v>
      </c>
      <c r="AC123" s="5">
        <v>983590479126</v>
      </c>
      <c r="AD123" s="5">
        <v>988431669810852</v>
      </c>
      <c r="AE123" s="5">
        <v>996826008429204</v>
      </c>
      <c r="AF123" s="5">
        <v>986186484673262</v>
      </c>
      <c r="AG123" s="5">
        <v>99191965786476</v>
      </c>
      <c r="AH123" s="5">
        <v>962618881492703</v>
      </c>
      <c r="AI123" s="5">
        <v>101792235580032</v>
      </c>
      <c r="AJ123" s="5">
        <v>114866578251684</v>
      </c>
      <c r="AK123" s="5">
        <v>106239134923359</v>
      </c>
      <c r="AL123" s="5">
        <v>105254706586747</v>
      </c>
      <c r="AM123" s="5">
        <v>100687641238305</v>
      </c>
      <c r="AN123" s="5">
        <v>10906846208376</v>
      </c>
      <c r="AO123" s="5">
        <v>104239453961754</v>
      </c>
      <c r="AP123" s="5">
        <v>10024783866</v>
      </c>
      <c r="AQ123" s="5"/>
      <c r="AR123" s="5"/>
      <c r="AS123" s="5"/>
      <c r="AT123" s="5"/>
      <c r="AU123" s="5"/>
      <c r="AV123" s="5"/>
      <c r="AW123" s="5"/>
      <c r="AX123" s="5"/>
      <c r="AY123" s="5"/>
      <c r="AZ123" s="5"/>
      <c r="BA123" s="5"/>
    </row>
    <row r="124" spans="1:53" x14ac:dyDescent="0.45">
      <c r="A124" s="1"/>
      <c r="B124" s="2"/>
      <c r="C124" s="1" t="s">
        <v>118</v>
      </c>
      <c r="D124" s="2">
        <v>4049266</v>
      </c>
      <c r="E124" s="3" t="s">
        <v>767</v>
      </c>
      <c r="F124" s="3" t="s">
        <v>768</v>
      </c>
      <c r="G124" s="3" t="s">
        <v>769</v>
      </c>
      <c r="H124" s="5">
        <v>159918158189583</v>
      </c>
      <c r="I124" s="5">
        <v>160608825155763</v>
      </c>
      <c r="J124" s="5">
        <v>142139185075436</v>
      </c>
      <c r="K124" s="5">
        <v>126450673752261</v>
      </c>
      <c r="L124" s="5">
        <v>11393892337412</v>
      </c>
      <c r="M124" s="5">
        <v>113344000489988</v>
      </c>
      <c r="N124" s="5">
        <v>113803012259</v>
      </c>
      <c r="O124" s="5">
        <v>10927162078</v>
      </c>
      <c r="P124" s="5">
        <v>1133742388636</v>
      </c>
      <c r="Q124" s="5">
        <v>1163228609592</v>
      </c>
      <c r="R124" s="5">
        <v>1125607104</v>
      </c>
      <c r="S124" s="5">
        <v>1035002789577</v>
      </c>
      <c r="T124" s="5">
        <v>966281609007</v>
      </c>
      <c r="U124" s="5">
        <v>97793881416</v>
      </c>
      <c r="V124" s="5">
        <v>979289932668</v>
      </c>
      <c r="W124" s="5">
        <v>100024755147</v>
      </c>
      <c r="X124" s="5">
        <v>1070684558867</v>
      </c>
      <c r="Y124" s="5">
        <v>1095498915924</v>
      </c>
      <c r="Z124" s="5">
        <v>1051444335438</v>
      </c>
      <c r="AA124" s="5">
        <v>1018562206984</v>
      </c>
      <c r="AB124" s="5">
        <v>97356378010806</v>
      </c>
      <c r="AC124" s="5">
        <v>909523527700555</v>
      </c>
      <c r="AD124" s="5">
        <v>940076421424062</v>
      </c>
      <c r="AE124" s="5">
        <v>108992457057182</v>
      </c>
      <c r="AF124" s="5">
        <v>112760259182304</v>
      </c>
      <c r="AG124" s="5">
        <v>981903874548083</v>
      </c>
      <c r="AH124" s="5">
        <v>967573590892426</v>
      </c>
      <c r="AI124" s="5">
        <v>995782846088011</v>
      </c>
      <c r="AJ124" s="5">
        <v>98567627320469</v>
      </c>
      <c r="AK124" s="5">
        <v>900521384960232</v>
      </c>
      <c r="AL124" s="5">
        <v>872539563175</v>
      </c>
      <c r="AM124" s="5">
        <v>83181982200219</v>
      </c>
      <c r="AN124" s="5">
        <v>9687135226848</v>
      </c>
      <c r="AO124" s="5">
        <v>8899983285441</v>
      </c>
      <c r="AP124" s="5">
        <v>793610615986119</v>
      </c>
      <c r="AQ124" s="5"/>
      <c r="AR124" s="5"/>
      <c r="AS124" s="5"/>
      <c r="AT124" s="5"/>
      <c r="AU124" s="5"/>
      <c r="AV124" s="5"/>
      <c r="AW124" s="5"/>
      <c r="AX124" s="5"/>
      <c r="AY124" s="5"/>
      <c r="AZ124" s="5"/>
      <c r="BA124" s="5"/>
    </row>
    <row r="125" spans="1:53" x14ac:dyDescent="0.45">
      <c r="A125" s="1"/>
      <c r="B125" s="2"/>
      <c r="C125" s="1" t="s">
        <v>119</v>
      </c>
      <c r="D125" s="2">
        <v>4810677</v>
      </c>
      <c r="E125" s="3" t="s">
        <v>770</v>
      </c>
      <c r="F125" s="3" t="s">
        <v>771</v>
      </c>
      <c r="G125" s="3" t="s">
        <v>487</v>
      </c>
      <c r="H125" s="5">
        <v>537706313863075</v>
      </c>
      <c r="I125" s="5">
        <v>551156509288216</v>
      </c>
      <c r="J125" s="5">
        <v>55133623977452</v>
      </c>
      <c r="K125" s="5">
        <v>504195204963404</v>
      </c>
      <c r="L125" s="5">
        <v>488005623965661</v>
      </c>
      <c r="M125" s="5">
        <v>48033821362971</v>
      </c>
      <c r="N125" s="5">
        <v>513425536302</v>
      </c>
      <c r="O125" s="5">
        <v>52473111992</v>
      </c>
      <c r="P125" s="5">
        <v>5308648778888</v>
      </c>
      <c r="Q125" s="5">
        <v>5545384215168</v>
      </c>
      <c r="R125" s="5">
        <v>55870117968</v>
      </c>
      <c r="S125" s="5">
        <v>538314692208</v>
      </c>
      <c r="T125" s="5">
        <v>510044583944</v>
      </c>
      <c r="U125" s="5">
        <v>51150398794</v>
      </c>
      <c r="V125" s="5">
        <v>49573461134</v>
      </c>
      <c r="W125" s="5">
        <v>4815802723329</v>
      </c>
      <c r="X125" s="5">
        <v>504292208635904</v>
      </c>
      <c r="Y125" s="5">
        <v>50329705644097</v>
      </c>
      <c r="Z125" s="5">
        <v>62634131415</v>
      </c>
      <c r="AA125" s="5">
        <v>608682550286</v>
      </c>
      <c r="AB125" s="5">
        <v>5817949068375</v>
      </c>
      <c r="AC125" s="5">
        <v>56468268094275</v>
      </c>
      <c r="AD125" s="5">
        <v>54997293963</v>
      </c>
      <c r="AE125" s="5">
        <v>586050929421476</v>
      </c>
      <c r="AF125" s="5">
        <v>625240302982502</v>
      </c>
      <c r="AG125" s="5">
        <v>57987591597054</v>
      </c>
      <c r="AH125" s="5">
        <v>521859688327831</v>
      </c>
      <c r="AI125" s="5">
        <v>530982097710858</v>
      </c>
      <c r="AJ125" s="5">
        <v>566444391153815</v>
      </c>
      <c r="AK125" s="5">
        <v>543651621239373</v>
      </c>
      <c r="AL125" s="5">
        <v>556710680355382</v>
      </c>
      <c r="AM125" s="5">
        <v>5174796344706</v>
      </c>
      <c r="AN125" s="5">
        <v>558827133039291</v>
      </c>
      <c r="AO125" s="5">
        <v>549382093399983</v>
      </c>
      <c r="AP125" s="5">
        <v>513914222655</v>
      </c>
      <c r="AQ125" s="5"/>
      <c r="AR125" s="5"/>
      <c r="AS125" s="5"/>
      <c r="AT125" s="5"/>
      <c r="AU125" s="5"/>
      <c r="AV125" s="5"/>
      <c r="AW125" s="5"/>
      <c r="AX125" s="5"/>
      <c r="AY125" s="5"/>
      <c r="AZ125" s="5"/>
      <c r="BA125" s="5"/>
    </row>
    <row r="126" spans="1:53" x14ac:dyDescent="0.45">
      <c r="A126" s="1"/>
      <c r="B126" s="2"/>
      <c r="C126" s="1" t="s">
        <v>120</v>
      </c>
      <c r="D126" s="2">
        <v>4297825</v>
      </c>
      <c r="E126" s="3" t="s">
        <v>772</v>
      </c>
      <c r="F126" s="3" t="s">
        <v>773</v>
      </c>
      <c r="G126" s="3" t="s">
        <v>698</v>
      </c>
      <c r="H126" s="5">
        <v>98895891106993</v>
      </c>
      <c r="I126" s="5">
        <v>875650058392406</v>
      </c>
      <c r="J126" s="5">
        <v>873998105109138</v>
      </c>
      <c r="K126" s="5">
        <v>835538858401572</v>
      </c>
      <c r="L126" s="5">
        <v>866528605265526</v>
      </c>
      <c r="M126" s="5">
        <v>89262849263715</v>
      </c>
      <c r="N126" s="5">
        <v>98565138644</v>
      </c>
      <c r="O126" s="5">
        <v>9841225018</v>
      </c>
      <c r="P126" s="5">
        <v>972181907788</v>
      </c>
      <c r="Q126" s="5">
        <v>971607700728</v>
      </c>
      <c r="R126" s="5">
        <v>87351806952</v>
      </c>
      <c r="S126" s="5">
        <v>843220788192</v>
      </c>
      <c r="T126" s="5">
        <v>847869270048</v>
      </c>
      <c r="U126" s="5">
        <v>8534588744</v>
      </c>
      <c r="V126" s="5">
        <v>727579985968</v>
      </c>
      <c r="W126" s="5">
        <v>677170584594</v>
      </c>
      <c r="X126" s="5">
        <v>686366432906</v>
      </c>
      <c r="Y126" s="5">
        <v>695361844592969</v>
      </c>
      <c r="Z126" s="5">
        <v>722798256519</v>
      </c>
      <c r="AA126" s="5">
        <v>7724021970945</v>
      </c>
      <c r="AB126" s="5">
        <v>6888230143875</v>
      </c>
      <c r="AC126" s="5">
        <v>754111908816</v>
      </c>
      <c r="AD126" s="5">
        <v>747322311098374</v>
      </c>
      <c r="AE126" s="5">
        <v>750849759345738</v>
      </c>
      <c r="AF126" s="5">
        <v>681285476911997</v>
      </c>
      <c r="AG126" s="5">
        <v>719179148881639</v>
      </c>
      <c r="AH126" s="5">
        <v>784169892488921</v>
      </c>
      <c r="AI126" s="5">
        <v>77524050070547</v>
      </c>
      <c r="AJ126" s="5">
        <v>845691028668326</v>
      </c>
      <c r="AK126" s="5">
        <v>802704790944</v>
      </c>
      <c r="AL126" s="5">
        <v>7511892057632</v>
      </c>
      <c r="AM126" s="5">
        <v>716543340408</v>
      </c>
      <c r="AN126" s="5">
        <v>811929000858805</v>
      </c>
      <c r="AO126" s="5">
        <v>70803472064</v>
      </c>
      <c r="AP126" s="5">
        <v>674405043741</v>
      </c>
      <c r="AQ126" s="5"/>
      <c r="AR126" s="5"/>
      <c r="AS126" s="5"/>
      <c r="AT126" s="5"/>
      <c r="AU126" s="5"/>
      <c r="AV126" s="5"/>
      <c r="AW126" s="5"/>
      <c r="AX126" s="5"/>
      <c r="AY126" s="5"/>
      <c r="AZ126" s="5"/>
      <c r="BA126" s="5"/>
    </row>
    <row r="127" spans="1:53" x14ac:dyDescent="0.45">
      <c r="A127" s="1"/>
      <c r="B127" s="2"/>
      <c r="C127" s="1" t="s">
        <v>121</v>
      </c>
      <c r="D127" s="2">
        <v>4189919</v>
      </c>
      <c r="E127" s="3" t="s">
        <v>774</v>
      </c>
      <c r="F127" s="3" t="s">
        <v>775</v>
      </c>
      <c r="G127" s="3" t="s">
        <v>766</v>
      </c>
      <c r="H127" s="5">
        <v>110316640470882</v>
      </c>
      <c r="I127" s="5">
        <v>940033677390914</v>
      </c>
      <c r="J127" s="5">
        <v>997599855763142</v>
      </c>
      <c r="K127" s="5">
        <v>960778877402132</v>
      </c>
      <c r="L127" s="5">
        <v>942872917847011</v>
      </c>
      <c r="M127" s="5">
        <v>10696350518</v>
      </c>
      <c r="N127" s="5">
        <v>11045912444</v>
      </c>
      <c r="O127" s="5">
        <v>1147583444</v>
      </c>
      <c r="P127" s="5">
        <v>123222868899</v>
      </c>
      <c r="Q127" s="5">
        <v>123666765852</v>
      </c>
      <c r="R127" s="5">
        <v>12720500001</v>
      </c>
      <c r="S127" s="5">
        <v>11661824475</v>
      </c>
      <c r="T127" s="5">
        <v>12005208684</v>
      </c>
      <c r="U127" s="5">
        <v>1183000434</v>
      </c>
      <c r="V127" s="5">
        <v>110660233272</v>
      </c>
      <c r="W127" s="5">
        <v>1216141141095</v>
      </c>
      <c r="X127" s="5">
        <v>1199530505635</v>
      </c>
      <c r="Y127" s="5">
        <v>141872847271029</v>
      </c>
      <c r="Z127" s="5">
        <v>142339738450514</v>
      </c>
      <c r="AA127" s="5">
        <v>142039393619534</v>
      </c>
      <c r="AB127" s="5">
        <v>133257896230315</v>
      </c>
      <c r="AC127" s="5">
        <v>1251618166935</v>
      </c>
      <c r="AD127" s="5">
        <v>13088108028</v>
      </c>
      <c r="AE127" s="5">
        <v>135431368075</v>
      </c>
      <c r="AF127" s="5">
        <v>14587698532</v>
      </c>
      <c r="AG127" s="5">
        <v>1514748282425</v>
      </c>
      <c r="AH127" s="5">
        <v>1396683439575</v>
      </c>
      <c r="AI127" s="5">
        <v>14552199955</v>
      </c>
      <c r="AJ127" s="5">
        <v>153755904612345</v>
      </c>
      <c r="AK127" s="5">
        <v>153347920801425</v>
      </c>
      <c r="AL127" s="5">
        <v>16407767772327</v>
      </c>
      <c r="AM127" s="5">
        <v>155708897999207</v>
      </c>
      <c r="AN127" s="5">
        <v>163273175104</v>
      </c>
      <c r="AO127" s="5">
        <v>14357607758</v>
      </c>
      <c r="AP127" s="5">
        <v>142874964855</v>
      </c>
      <c r="AQ127" s="5"/>
      <c r="AR127" s="5"/>
      <c r="AS127" s="5"/>
      <c r="AT127" s="5"/>
      <c r="AU127" s="5"/>
      <c r="AV127" s="5"/>
      <c r="AW127" s="5"/>
      <c r="AX127" s="5"/>
      <c r="AY127" s="5"/>
      <c r="AZ127" s="5"/>
      <c r="BA127" s="5"/>
    </row>
    <row r="128" spans="1:53" x14ac:dyDescent="0.45">
      <c r="A128" s="1"/>
      <c r="B128" s="2"/>
      <c r="C128" s="1" t="s">
        <v>122</v>
      </c>
      <c r="D128" s="2">
        <v>4391531</v>
      </c>
      <c r="E128" s="3" t="s">
        <v>776</v>
      </c>
      <c r="F128" s="3" t="s">
        <v>777</v>
      </c>
      <c r="G128" s="3" t="s">
        <v>778</v>
      </c>
      <c r="H128" s="5">
        <v>21360518132274</v>
      </c>
      <c r="I128" s="5">
        <v>200560387861668</v>
      </c>
      <c r="J128" s="5">
        <v>187792795507108</v>
      </c>
      <c r="K128" s="5">
        <v>185213444695649</v>
      </c>
      <c r="L128" s="5">
        <v>17218518219378</v>
      </c>
      <c r="M128" s="5">
        <v>17605283829</v>
      </c>
      <c r="N128" s="5">
        <v>191395806894306</v>
      </c>
      <c r="O128" s="5">
        <v>1974759508476</v>
      </c>
      <c r="P128" s="5">
        <v>174685284462187</v>
      </c>
      <c r="Q128" s="5">
        <v>178415230224</v>
      </c>
      <c r="R128" s="5">
        <v>15895215684</v>
      </c>
      <c r="S128" s="5">
        <v>17123636736</v>
      </c>
      <c r="T128" s="5">
        <v>168326785820246</v>
      </c>
      <c r="U128" s="5">
        <v>180507994570464</v>
      </c>
      <c r="V128" s="5">
        <v>152568565977341</v>
      </c>
      <c r="W128" s="5">
        <v>16974361863</v>
      </c>
      <c r="X128" s="5">
        <v>187825573373407</v>
      </c>
      <c r="Y128" s="5">
        <v>189219293882401</v>
      </c>
      <c r="Z128" s="5">
        <v>165844005035036</v>
      </c>
      <c r="AA128" s="5">
        <v>151325285954685</v>
      </c>
      <c r="AB128" s="5">
        <v>16369257741031</v>
      </c>
      <c r="AC128" s="5">
        <v>16884721885578</v>
      </c>
      <c r="AD128" s="5">
        <v>147785369848339</v>
      </c>
      <c r="AE128" s="5">
        <v>140513667673741</v>
      </c>
      <c r="AF128" s="5">
        <v>149776048946293</v>
      </c>
      <c r="AG128" s="5">
        <v>164954950503068</v>
      </c>
      <c r="AH128" s="5">
        <v>170018418238846</v>
      </c>
      <c r="AI128" s="5">
        <v>187860287502718</v>
      </c>
      <c r="AJ128" s="5">
        <v>215567310037591</v>
      </c>
      <c r="AK128" s="5">
        <v>215135264699334</v>
      </c>
      <c r="AL128" s="5">
        <v>214649548958673</v>
      </c>
      <c r="AM128" s="5">
        <v>228496202224427</v>
      </c>
      <c r="AN128" s="5">
        <v>2344783373436</v>
      </c>
      <c r="AO128" s="5">
        <v>228877985053306</v>
      </c>
      <c r="AP128" s="5">
        <v>202633220817432</v>
      </c>
      <c r="AQ128" s="5"/>
      <c r="AR128" s="5"/>
      <c r="AS128" s="5"/>
      <c r="AT128" s="5"/>
      <c r="AU128" s="5"/>
      <c r="AV128" s="5"/>
      <c r="AW128" s="5"/>
      <c r="AX128" s="5"/>
      <c r="AY128" s="5"/>
      <c r="AZ128" s="5"/>
      <c r="BA128" s="5"/>
    </row>
    <row r="129" spans="1:53" x14ac:dyDescent="0.45">
      <c r="A129" s="1"/>
      <c r="B129" s="2"/>
      <c r="C129" s="1" t="s">
        <v>123</v>
      </c>
      <c r="D129" s="2">
        <v>114526</v>
      </c>
      <c r="E129" s="3" t="s">
        <v>779</v>
      </c>
      <c r="F129" s="3" t="s">
        <v>780</v>
      </c>
      <c r="G129" s="3" t="s">
        <v>781</v>
      </c>
      <c r="H129" s="5">
        <v>420475265285753</v>
      </c>
      <c r="I129" s="5">
        <v>404944888356</v>
      </c>
      <c r="J129" s="5">
        <v>366740821709398</v>
      </c>
      <c r="K129" s="5">
        <v>341415493768715</v>
      </c>
      <c r="L129" s="5">
        <v>313664936864924</v>
      </c>
      <c r="M129" s="5">
        <v>348153472188</v>
      </c>
      <c r="N129" s="5">
        <v>346493574711</v>
      </c>
      <c r="O129" s="5">
        <v>3486570906</v>
      </c>
      <c r="P129" s="5">
        <v>3260322122824</v>
      </c>
      <c r="Q129" s="5">
        <v>3240277294016</v>
      </c>
      <c r="R129" s="5">
        <v>328275908246353</v>
      </c>
      <c r="S129" s="5">
        <v>3160119050925</v>
      </c>
      <c r="T129" s="5">
        <v>3092961479104</v>
      </c>
      <c r="U129" s="5">
        <v>2983964016</v>
      </c>
      <c r="V129" s="5">
        <v>253312221464</v>
      </c>
      <c r="W129" s="5">
        <v>2387442231855</v>
      </c>
      <c r="X129" s="5">
        <v>2383523118515</v>
      </c>
      <c r="Y129" s="5">
        <v>2185570335977</v>
      </c>
      <c r="Z129" s="5">
        <v>2293232779368</v>
      </c>
      <c r="AA129" s="5">
        <v>2323691219967</v>
      </c>
      <c r="AB129" s="5">
        <v>23158039060845</v>
      </c>
      <c r="AC129" s="5">
        <v>23274100465882</v>
      </c>
      <c r="AD129" s="5">
        <v>225052837664107</v>
      </c>
      <c r="AE129" s="5">
        <v>222404556152127</v>
      </c>
      <c r="AF129" s="5">
        <v>247164935428465</v>
      </c>
      <c r="AG129" s="5">
        <v>23212611392061</v>
      </c>
      <c r="AH129" s="5">
        <v>21759950581279</v>
      </c>
      <c r="AI129" s="5">
        <v>239591223822257</v>
      </c>
      <c r="AJ129" s="5">
        <v>285794077156364</v>
      </c>
      <c r="AK129" s="5">
        <v>290890965343695</v>
      </c>
      <c r="AL129" s="5">
        <v>284981088497418</v>
      </c>
      <c r="AM129" s="5">
        <v>2745062467704</v>
      </c>
      <c r="AN129" s="5">
        <v>27711780786804</v>
      </c>
      <c r="AO129" s="5">
        <v>274318384984611</v>
      </c>
      <c r="AP129" s="5">
        <v>258389814344025</v>
      </c>
      <c r="AQ129" s="5"/>
      <c r="AR129" s="5"/>
      <c r="AS129" s="5"/>
      <c r="AT129" s="5"/>
      <c r="AU129" s="5"/>
      <c r="AV129" s="5"/>
      <c r="AW129" s="5"/>
      <c r="AX129" s="5"/>
      <c r="AY129" s="5"/>
      <c r="AZ129" s="5"/>
      <c r="BA129" s="5"/>
    </row>
    <row r="130" spans="1:53" x14ac:dyDescent="0.45">
      <c r="A130" s="1"/>
      <c r="B130" s="2"/>
      <c r="C130" s="1" t="s">
        <v>124</v>
      </c>
      <c r="D130" s="2">
        <v>4004278</v>
      </c>
      <c r="E130" s="3" t="s">
        <v>782</v>
      </c>
      <c r="F130" s="3" t="s">
        <v>783</v>
      </c>
      <c r="G130" s="3" t="s">
        <v>784</v>
      </c>
      <c r="H130" s="5">
        <v>331212311769024</v>
      </c>
      <c r="I130" s="5">
        <v>315588898165063</v>
      </c>
      <c r="J130" s="5">
        <v>305211852694736</v>
      </c>
      <c r="K130" s="5">
        <v>294264487864058</v>
      </c>
      <c r="L130" s="5">
        <v>286617430168139</v>
      </c>
      <c r="M130" s="5">
        <v>302075811430183</v>
      </c>
      <c r="N130" s="5">
        <v>345150484589502</v>
      </c>
      <c r="O130" s="5">
        <v>320402337425601</v>
      </c>
      <c r="P130" s="5">
        <v>305594322211926</v>
      </c>
      <c r="Q130" s="5">
        <v>316116399299124</v>
      </c>
      <c r="R130" s="5">
        <v>342405695872736</v>
      </c>
      <c r="S130" s="5">
        <v>321277508069925</v>
      </c>
      <c r="T130" s="5">
        <v>34197600184055</v>
      </c>
      <c r="U130" s="5">
        <v>334494670629662</v>
      </c>
      <c r="V130" s="5">
        <v>279692629880816</v>
      </c>
      <c r="W130" s="5">
        <v>26137126274525</v>
      </c>
      <c r="X130" s="5">
        <v>246313154835334</v>
      </c>
      <c r="Y130" s="5">
        <v>259109950928207</v>
      </c>
      <c r="Z130" s="5">
        <v>252287785710389</v>
      </c>
      <c r="AA130" s="5">
        <v>300337403533694</v>
      </c>
      <c r="AB130" s="5">
        <v>279827124820985</v>
      </c>
      <c r="AC130" s="5">
        <v>344610003375647</v>
      </c>
      <c r="AD130" s="5">
        <v>31985758137858</v>
      </c>
      <c r="AE130" s="5">
        <v>36473086749561</v>
      </c>
      <c r="AF130" s="5">
        <v>343661804477424</v>
      </c>
      <c r="AG130" s="5">
        <v>360287753287188</v>
      </c>
      <c r="AH130" s="5">
        <v>317781472116081</v>
      </c>
      <c r="AI130" s="5">
        <v>308919892446783</v>
      </c>
      <c r="AJ130" s="5">
        <v>317217036388415</v>
      </c>
      <c r="AK130" s="5">
        <v>299200780504571</v>
      </c>
      <c r="AL130" s="5">
        <v>317268190382144</v>
      </c>
      <c r="AM130" s="5">
        <v>323497905328123</v>
      </c>
      <c r="AN130" s="5">
        <v>342869271491084</v>
      </c>
      <c r="AO130" s="5">
        <v>325289115307869</v>
      </c>
      <c r="AP130" s="5">
        <v>345606486304319</v>
      </c>
      <c r="AQ130" s="5"/>
      <c r="AR130" s="5"/>
      <c r="AS130" s="5"/>
      <c r="AT130" s="5"/>
      <c r="AU130" s="5"/>
      <c r="AV130" s="5"/>
      <c r="AW130" s="5"/>
      <c r="AX130" s="5"/>
      <c r="AY130" s="5"/>
      <c r="AZ130" s="5"/>
      <c r="BA130" s="5"/>
    </row>
    <row r="131" spans="1:53" x14ac:dyDescent="0.45">
      <c r="A131" s="1"/>
      <c r="B131" s="2"/>
      <c r="C131" s="1" t="s">
        <v>125</v>
      </c>
      <c r="D131" s="2">
        <v>4010561</v>
      </c>
      <c r="E131" s="3" t="s">
        <v>785</v>
      </c>
      <c r="F131" s="3" t="s">
        <v>786</v>
      </c>
      <c r="G131" s="3" t="s">
        <v>552</v>
      </c>
      <c r="H131" s="5">
        <v>1811814696</v>
      </c>
      <c r="I131" s="5">
        <v>170018383455</v>
      </c>
      <c r="J131" s="5">
        <v>166573040739651</v>
      </c>
      <c r="K131" s="5">
        <v>163226723613518</v>
      </c>
      <c r="L131" s="5">
        <v>13897883664</v>
      </c>
      <c r="M131" s="5">
        <v>148581403495</v>
      </c>
      <c r="N131" s="5">
        <v>147310103185</v>
      </c>
      <c r="O131" s="5">
        <v>1589832454</v>
      </c>
      <c r="P131" s="5">
        <v>190521254491351</v>
      </c>
      <c r="Q131" s="5">
        <v>204680789824</v>
      </c>
      <c r="R131" s="5">
        <v>21427349952</v>
      </c>
      <c r="S131" s="5">
        <v>220969242648</v>
      </c>
      <c r="T131" s="5">
        <v>226526068076</v>
      </c>
      <c r="U131" s="5">
        <v>23939086248</v>
      </c>
      <c r="V131" s="5">
        <v>181012897296</v>
      </c>
      <c r="W131" s="5">
        <v>205473528414</v>
      </c>
      <c r="X131" s="5">
        <v>203519008154</v>
      </c>
      <c r="Y131" s="5">
        <v>17951551464</v>
      </c>
      <c r="Z131" s="5">
        <v>1710404775</v>
      </c>
      <c r="AA131" s="5">
        <v>16992622818</v>
      </c>
      <c r="AB131" s="5">
        <v>158644087400239</v>
      </c>
      <c r="AC131" s="5">
        <v>943220899695204</v>
      </c>
      <c r="AD131" s="5">
        <v>10597135635</v>
      </c>
      <c r="AE131" s="5">
        <v>12109704</v>
      </c>
      <c r="AF131" s="5">
        <v>178993646205</v>
      </c>
      <c r="AG131" s="5">
        <v>156279546255</v>
      </c>
      <c r="AH131" s="5">
        <v>136593772395</v>
      </c>
      <c r="AI131" s="5">
        <v>15652817865</v>
      </c>
      <c r="AJ131" s="5">
        <v>18386941608546</v>
      </c>
      <c r="AK131" s="5">
        <v>21952580722695</v>
      </c>
      <c r="AL131" s="5">
        <v>24426254291526</v>
      </c>
      <c r="AM131" s="5">
        <v>25044206407965</v>
      </c>
      <c r="AN131" s="5">
        <v>2307897455485</v>
      </c>
      <c r="AO131" s="5">
        <v>2258132896065</v>
      </c>
      <c r="AP131" s="5">
        <v>21841991574079</v>
      </c>
      <c r="AQ131" s="5"/>
      <c r="AR131" s="5"/>
      <c r="AS131" s="5"/>
      <c r="AT131" s="5"/>
      <c r="AU131" s="5"/>
      <c r="AV131" s="5"/>
      <c r="AW131" s="5"/>
      <c r="AX131" s="5"/>
      <c r="AY131" s="5"/>
      <c r="AZ131" s="5"/>
      <c r="BA131" s="5"/>
    </row>
    <row r="132" spans="1:53" x14ac:dyDescent="0.45">
      <c r="A132" s="1"/>
      <c r="B132" s="2"/>
      <c r="C132" s="1" t="s">
        <v>126</v>
      </c>
      <c r="D132" s="2">
        <v>4270258</v>
      </c>
      <c r="E132" s="3" t="s">
        <v>787</v>
      </c>
      <c r="F132" s="3" t="s">
        <v>788</v>
      </c>
      <c r="G132" s="3" t="s">
        <v>469</v>
      </c>
      <c r="H132" s="5">
        <v>415348297816284</v>
      </c>
      <c r="I132" s="5">
        <v>426378731514529</v>
      </c>
      <c r="J132" s="5">
        <v>334378269205158</v>
      </c>
      <c r="K132" s="5">
        <v>35832286628886</v>
      </c>
      <c r="L132" s="5">
        <v>543854468767063</v>
      </c>
      <c r="M132" s="5">
        <v>488151018645</v>
      </c>
      <c r="N132" s="5">
        <v>553769676075</v>
      </c>
      <c r="O132" s="5">
        <v>5137944012</v>
      </c>
      <c r="P132" s="5">
        <v>61784882588</v>
      </c>
      <c r="Q132" s="5">
        <v>68351237266783</v>
      </c>
      <c r="R132" s="5">
        <v>624465312824208</v>
      </c>
      <c r="S132" s="5">
        <v>61993987386</v>
      </c>
      <c r="T132" s="5">
        <v>47799280212</v>
      </c>
      <c r="U132" s="5">
        <v>52203220168</v>
      </c>
      <c r="V132" s="5">
        <v>598813064667859</v>
      </c>
      <c r="W132" s="5">
        <v>654180806768262</v>
      </c>
      <c r="X132" s="5">
        <v>685432197719304</v>
      </c>
      <c r="Y132" s="5">
        <v>689557702773983</v>
      </c>
      <c r="Z132" s="5">
        <v>596755856535961</v>
      </c>
      <c r="AA132" s="5">
        <v>484099081468707</v>
      </c>
      <c r="AB132" s="5">
        <v>468999214735281</v>
      </c>
      <c r="AC132" s="5">
        <v>489548895042</v>
      </c>
      <c r="AD132" s="5">
        <v>535517494438846</v>
      </c>
      <c r="AE132" s="5">
        <v>613040452999065</v>
      </c>
      <c r="AF132" s="5">
        <v>654226549740278</v>
      </c>
      <c r="AG132" s="5">
        <v>605086057094016</v>
      </c>
      <c r="AH132" s="5">
        <v>616106166178333</v>
      </c>
      <c r="AI132" s="5">
        <v>673033187385387</v>
      </c>
      <c r="AJ132" s="5">
        <v>606772439262456</v>
      </c>
      <c r="AK132" s="5">
        <v>568610848732752</v>
      </c>
      <c r="AL132" s="5">
        <v>518189958913596</v>
      </c>
      <c r="AM132" s="5">
        <v>478614417280855</v>
      </c>
      <c r="AN132" s="5">
        <v>449811140468101</v>
      </c>
      <c r="AO132" s="5">
        <v>419904288963132</v>
      </c>
      <c r="AP132" s="5">
        <v>405476788880877</v>
      </c>
      <c r="AQ132" s="5"/>
      <c r="AR132" s="5"/>
      <c r="AS132" s="5"/>
      <c r="AT132" s="5"/>
      <c r="AU132" s="5"/>
      <c r="AV132" s="5"/>
      <c r="AW132" s="5"/>
      <c r="AX132" s="5"/>
      <c r="AY132" s="5"/>
      <c r="AZ132" s="5"/>
      <c r="BA132" s="5"/>
    </row>
    <row r="133" spans="1:53" x14ac:dyDescent="0.45">
      <c r="A133" s="1"/>
      <c r="B133" s="2"/>
      <c r="C133" s="1" t="s">
        <v>127</v>
      </c>
      <c r="D133" s="2">
        <v>4337452</v>
      </c>
      <c r="E133" s="3" t="s">
        <v>789</v>
      </c>
      <c r="F133" s="3" t="s">
        <v>790</v>
      </c>
      <c r="G133" s="3" t="s">
        <v>552</v>
      </c>
      <c r="H133" s="5">
        <v>10321406932749</v>
      </c>
      <c r="I133" s="5">
        <v>901054054298742</v>
      </c>
      <c r="J133" s="5">
        <v>903316677407892</v>
      </c>
      <c r="K133" s="5">
        <v>813363409716911</v>
      </c>
      <c r="L133" s="5">
        <v>750266997241539</v>
      </c>
      <c r="M133" s="5">
        <v>798312647326974</v>
      </c>
      <c r="N133" s="5">
        <v>76384796887245</v>
      </c>
      <c r="O133" s="5">
        <v>81010979691252</v>
      </c>
      <c r="P133" s="5">
        <v>899178187968154</v>
      </c>
      <c r="Q133" s="5">
        <v>948933081389031</v>
      </c>
      <c r="R133" s="5">
        <v>856458598661208</v>
      </c>
      <c r="S133" s="5">
        <v>878552146718743</v>
      </c>
      <c r="T133" s="5">
        <v>862985181741889</v>
      </c>
      <c r="U133" s="5">
        <v>79647845204367</v>
      </c>
      <c r="V133" s="5">
        <v>649973995689739</v>
      </c>
      <c r="W133" s="5">
        <v>670214740777477</v>
      </c>
      <c r="X133" s="5">
        <v>666759378092115</v>
      </c>
      <c r="Y133" s="5">
        <v>613100004557165</v>
      </c>
      <c r="Z133" s="5">
        <v>588893633255494</v>
      </c>
      <c r="AA133" s="5">
        <v>585975897407542</v>
      </c>
      <c r="AB133" s="5">
        <v>542022122448764</v>
      </c>
      <c r="AC133" s="5">
        <v>468287390909419</v>
      </c>
      <c r="AD133" s="5">
        <v>522229443500333</v>
      </c>
      <c r="AE133" s="5">
        <v>41087833134177</v>
      </c>
      <c r="AF133" s="5">
        <v>492600557259232</v>
      </c>
      <c r="AG133" s="5">
        <v>445657222051678</v>
      </c>
      <c r="AH133" s="5">
        <v>385246379215435</v>
      </c>
      <c r="AI133" s="5">
        <v>405752098909064</v>
      </c>
      <c r="AJ133" s="5">
        <v>383830811067142</v>
      </c>
      <c r="AK133" s="5">
        <v>426398590724022</v>
      </c>
      <c r="AL133" s="5">
        <v>446713943532673</v>
      </c>
      <c r="AM133" s="5">
        <v>435226470470649</v>
      </c>
      <c r="AN133" s="5">
        <v>421291761130066</v>
      </c>
      <c r="AO133" s="5">
        <v>3740664078867</v>
      </c>
      <c r="AP133" s="5">
        <v>347628030654883</v>
      </c>
      <c r="AQ133" s="5"/>
      <c r="AR133" s="5"/>
      <c r="AS133" s="5"/>
      <c r="AT133" s="5"/>
      <c r="AU133" s="5"/>
      <c r="AV133" s="5"/>
      <c r="AW133" s="5"/>
      <c r="AX133" s="5"/>
      <c r="AY133" s="5"/>
      <c r="AZ133" s="5"/>
      <c r="BA133" s="5"/>
    </row>
    <row r="134" spans="1:53" x14ac:dyDescent="0.45">
      <c r="A134" s="1"/>
      <c r="B134" s="2"/>
      <c r="C134" s="1" t="s">
        <v>128</v>
      </c>
      <c r="D134" s="2">
        <v>4094311</v>
      </c>
      <c r="E134" s="3" t="s">
        <v>791</v>
      </c>
      <c r="F134" s="3" t="s">
        <v>792</v>
      </c>
      <c r="G134" s="3" t="s">
        <v>793</v>
      </c>
      <c r="H134" s="5">
        <v>194874439845144</v>
      </c>
      <c r="I134" s="5">
        <v>201319317075843</v>
      </c>
      <c r="J134" s="5">
        <v>209007955639602</v>
      </c>
      <c r="K134" s="5">
        <v>205409103939331</v>
      </c>
      <c r="L134" s="5">
        <v>161634206451727</v>
      </c>
      <c r="M134" s="5">
        <v>158733954849698</v>
      </c>
      <c r="N134" s="5">
        <v>160559294715</v>
      </c>
      <c r="O134" s="5">
        <v>17056412565</v>
      </c>
      <c r="P134" s="5">
        <v>1680710823792</v>
      </c>
      <c r="Q134" s="5">
        <v>15865442481673</v>
      </c>
      <c r="R134" s="5">
        <v>16177968988848</v>
      </c>
      <c r="S134" s="5">
        <v>1585279019574</v>
      </c>
      <c r="T134" s="5">
        <v>1479440508012</v>
      </c>
      <c r="U134" s="5">
        <v>138824839692</v>
      </c>
      <c r="V134" s="5">
        <v>135478005527585</v>
      </c>
      <c r="W134" s="5">
        <v>137261275502476</v>
      </c>
      <c r="X134" s="5">
        <v>13054374783028</v>
      </c>
      <c r="Y134" s="5">
        <v>13729336789337</v>
      </c>
      <c r="Z134" s="5">
        <v>1440892148031</v>
      </c>
      <c r="AA134" s="5">
        <v>1259225184495</v>
      </c>
      <c r="AB134" s="5">
        <v>112771373916</v>
      </c>
      <c r="AC134" s="5">
        <v>10662168982355</v>
      </c>
      <c r="AD134" s="5">
        <v>108303007267335</v>
      </c>
      <c r="AE134" s="5">
        <v>101894885153917</v>
      </c>
      <c r="AF134" s="5">
        <v>998879359204432</v>
      </c>
      <c r="AG134" s="5">
        <v>981536249702618</v>
      </c>
      <c r="AH134" s="5">
        <v>795036083066431</v>
      </c>
      <c r="AI134" s="5">
        <v>767854943398354</v>
      </c>
      <c r="AJ134" s="5">
        <v>790191809919933</v>
      </c>
      <c r="AK134" s="5">
        <v>812921523889419</v>
      </c>
      <c r="AL134" s="5">
        <v>817136409081114</v>
      </c>
      <c r="AM134" s="5">
        <v>769143607911947</v>
      </c>
      <c r="AN134" s="5">
        <v>833059206039227</v>
      </c>
      <c r="AO134" s="5">
        <v>802921032913377</v>
      </c>
      <c r="AP134" s="5">
        <v>875500023422472</v>
      </c>
      <c r="AQ134" s="5"/>
      <c r="AR134" s="5"/>
      <c r="AS134" s="5"/>
      <c r="AT134" s="5"/>
      <c r="AU134" s="5"/>
      <c r="AV134" s="5"/>
      <c r="AW134" s="5"/>
      <c r="AX134" s="5"/>
      <c r="AY134" s="5"/>
      <c r="AZ134" s="5"/>
      <c r="BA134" s="5"/>
    </row>
    <row r="135" spans="1:53" x14ac:dyDescent="0.45">
      <c r="A135" s="1"/>
      <c r="B135" s="2"/>
      <c r="C135" s="1" t="s">
        <v>129</v>
      </c>
      <c r="D135" s="2">
        <v>4022058</v>
      </c>
      <c r="E135" s="3" t="s">
        <v>794</v>
      </c>
      <c r="F135" s="3" t="s">
        <v>795</v>
      </c>
      <c r="G135" s="3" t="s">
        <v>751</v>
      </c>
      <c r="H135" s="5">
        <v>210349707947246</v>
      </c>
      <c r="I135" s="5">
        <v>202104480587879</v>
      </c>
      <c r="J135" s="5">
        <v>189755315912478</v>
      </c>
      <c r="K135" s="5">
        <v>18739120196777</v>
      </c>
      <c r="L135" s="5">
        <v>166968837724979</v>
      </c>
      <c r="M135" s="5">
        <v>174885410898</v>
      </c>
      <c r="N135" s="5">
        <v>1732773947355</v>
      </c>
      <c r="O135" s="5">
        <v>17955017619</v>
      </c>
      <c r="P135" s="5">
        <v>1834429979382</v>
      </c>
      <c r="Q135" s="5">
        <v>179393756642998</v>
      </c>
      <c r="R135" s="5">
        <v>190024998984</v>
      </c>
      <c r="S135" s="5">
        <v>1889866868244</v>
      </c>
      <c r="T135" s="5">
        <v>1938420032886</v>
      </c>
      <c r="U135" s="5">
        <v>206077934128</v>
      </c>
      <c r="V135" s="5">
        <v>1776024610584</v>
      </c>
      <c r="W135" s="5">
        <v>1754299287009</v>
      </c>
      <c r="X135" s="5">
        <v>1855326658647</v>
      </c>
      <c r="Y135" s="5">
        <v>2406101462814</v>
      </c>
      <c r="Z135" s="5">
        <v>24019791894</v>
      </c>
      <c r="AA135" s="5">
        <v>229236476581</v>
      </c>
      <c r="AB135" s="5">
        <v>20488253185755</v>
      </c>
      <c r="AC135" s="5">
        <v>198856174161521</v>
      </c>
      <c r="AD135" s="5">
        <v>201811665838825</v>
      </c>
      <c r="AE135" s="5">
        <v>192523882724293</v>
      </c>
      <c r="AF135" s="5">
        <v>182435046407914</v>
      </c>
      <c r="AG135" s="5">
        <v>181089598362213</v>
      </c>
      <c r="AH135" s="5">
        <v>191263125449582</v>
      </c>
      <c r="AI135" s="5">
        <v>195951411269502</v>
      </c>
      <c r="AJ135" s="5">
        <v>216137239727467</v>
      </c>
      <c r="AK135" s="5">
        <v>207355245777225</v>
      </c>
      <c r="AL135" s="5">
        <v>20087097511964</v>
      </c>
      <c r="AM135" s="5">
        <v>1972503041058</v>
      </c>
      <c r="AN135" s="5">
        <v>212898953254904</v>
      </c>
      <c r="AO135" s="5">
        <v>196517277383302</v>
      </c>
      <c r="AP135" s="5">
        <v>180230126493984</v>
      </c>
      <c r="AQ135" s="5"/>
      <c r="AR135" s="5"/>
      <c r="AS135" s="5"/>
      <c r="AT135" s="5"/>
      <c r="AU135" s="5"/>
      <c r="AV135" s="5"/>
      <c r="AW135" s="5"/>
      <c r="AX135" s="5"/>
      <c r="AY135" s="5"/>
      <c r="AZ135" s="5"/>
      <c r="BA135" s="5"/>
    </row>
    <row r="136" spans="1:53" x14ac:dyDescent="0.45">
      <c r="A136" s="1"/>
      <c r="B136" s="2"/>
      <c r="C136" s="1" t="s">
        <v>130</v>
      </c>
      <c r="D136" s="2">
        <v>4911259</v>
      </c>
      <c r="E136" s="3" t="s">
        <v>796</v>
      </c>
      <c r="F136" s="3" t="s">
        <v>797</v>
      </c>
      <c r="G136" s="3" t="s">
        <v>751</v>
      </c>
      <c r="H136" s="5">
        <v>211887864354963</v>
      </c>
      <c r="I136" s="5">
        <v>204584826952992</v>
      </c>
      <c r="J136" s="5">
        <v>185647730101937</v>
      </c>
      <c r="K136" s="5">
        <v>173982306131253</v>
      </c>
      <c r="L136" s="5">
        <v>158839505104573</v>
      </c>
      <c r="M136" s="5">
        <v>144759319972</v>
      </c>
      <c r="N136" s="5">
        <v>145055182472</v>
      </c>
      <c r="O136" s="5">
        <v>1636782357</v>
      </c>
      <c r="P136" s="5">
        <v>179508381078</v>
      </c>
      <c r="Q136" s="5">
        <v>173386996496</v>
      </c>
      <c r="R136" s="5">
        <v>170519404392</v>
      </c>
      <c r="S136" s="5">
        <v>1688655286611</v>
      </c>
      <c r="T136" s="5">
        <v>1725969478698</v>
      </c>
      <c r="U136" s="5">
        <v>196639011008</v>
      </c>
      <c r="V136" s="5">
        <v>162527445196</v>
      </c>
      <c r="W136" s="5">
        <v>1655648916561</v>
      </c>
      <c r="X136" s="5">
        <v>1748342286845</v>
      </c>
      <c r="Y136" s="5">
        <v>20308799915285</v>
      </c>
      <c r="Z136" s="5">
        <v>1999858101336</v>
      </c>
      <c r="AA136" s="5">
        <v>1916473068369</v>
      </c>
      <c r="AB136" s="5">
        <v>1636824260907</v>
      </c>
      <c r="AC136" s="5">
        <v>173453480731207</v>
      </c>
      <c r="AD136" s="5">
        <v>176453563638385</v>
      </c>
      <c r="AE136" s="5">
        <v>166940657924233</v>
      </c>
      <c r="AF136" s="5">
        <v>167706909801349</v>
      </c>
      <c r="AG136" s="5">
        <v>139397858432348</v>
      </c>
      <c r="AH136" s="5">
        <v>140198448475661</v>
      </c>
      <c r="AI136" s="5">
        <v>159780579117247</v>
      </c>
      <c r="AJ136" s="5">
        <v>165759906758251</v>
      </c>
      <c r="AK136" s="5">
        <v>146217128920714</v>
      </c>
      <c r="AL136" s="5">
        <v>140884740847885</v>
      </c>
      <c r="AM136" s="5">
        <v>140437758367604</v>
      </c>
      <c r="AN136" s="5">
        <v>1554182919932</v>
      </c>
      <c r="AO136" s="5">
        <v>14614332254604</v>
      </c>
      <c r="AP136" s="5">
        <v>129514560581572</v>
      </c>
      <c r="AQ136" s="5"/>
      <c r="AR136" s="5"/>
      <c r="AS136" s="5"/>
      <c r="AT136" s="5"/>
      <c r="AU136" s="5"/>
      <c r="AV136" s="5"/>
      <c r="AW136" s="5"/>
      <c r="AX136" s="5"/>
      <c r="AY136" s="5"/>
      <c r="AZ136" s="5"/>
      <c r="BA136" s="5"/>
    </row>
    <row r="137" spans="1:53" x14ac:dyDescent="0.45">
      <c r="A137" s="1"/>
      <c r="B137" s="2"/>
      <c r="C137" s="1" t="s">
        <v>131</v>
      </c>
      <c r="D137" s="2">
        <v>4001616</v>
      </c>
      <c r="E137" s="3" t="s">
        <v>798</v>
      </c>
      <c r="F137" s="3" t="s">
        <v>799</v>
      </c>
      <c r="G137" s="3" t="s">
        <v>519</v>
      </c>
      <c r="H137" s="5">
        <v>434426148169766</v>
      </c>
      <c r="I137" s="5">
        <v>45461491903575</v>
      </c>
      <c r="J137" s="5">
        <v>4488632344</v>
      </c>
      <c r="K137" s="5">
        <v>418262236239258</v>
      </c>
      <c r="L137" s="5">
        <v>426241508755478</v>
      </c>
      <c r="M137" s="5">
        <v>411908127977</v>
      </c>
      <c r="N137" s="5">
        <v>4224686499305</v>
      </c>
      <c r="O137" s="5">
        <v>45215134847</v>
      </c>
      <c r="P137" s="5">
        <v>4464532452042</v>
      </c>
      <c r="Q137" s="5">
        <v>4557398038872</v>
      </c>
      <c r="R137" s="5">
        <v>459384004896782</v>
      </c>
      <c r="S137" s="5">
        <v>44304127683</v>
      </c>
      <c r="T137" s="5">
        <v>4547303586225</v>
      </c>
      <c r="U137" s="5">
        <v>43454044095</v>
      </c>
      <c r="V137" s="5">
        <v>4302002496</v>
      </c>
      <c r="W137" s="5">
        <v>4134665740968</v>
      </c>
      <c r="X137" s="5">
        <v>4162882667328</v>
      </c>
      <c r="Y137" s="5">
        <v>4302694466378</v>
      </c>
      <c r="Z137" s="5">
        <v>4324143205107</v>
      </c>
      <c r="AA137" s="5">
        <v>4000514875225</v>
      </c>
      <c r="AB137" s="5">
        <v>384520089898099</v>
      </c>
      <c r="AC137" s="5">
        <v>3831832972248</v>
      </c>
      <c r="AD137" s="5">
        <v>397063141935338</v>
      </c>
      <c r="AE137" s="5">
        <v>370770974240033</v>
      </c>
      <c r="AF137" s="5">
        <v>379638727331103</v>
      </c>
      <c r="AG137" s="5">
        <v>384979715995081</v>
      </c>
      <c r="AH137" s="5">
        <v>374803162748541</v>
      </c>
      <c r="AI137" s="5">
        <v>370080166771176</v>
      </c>
      <c r="AJ137" s="5">
        <v>382471190303784</v>
      </c>
      <c r="AK137" s="5">
        <v>353790162721244</v>
      </c>
      <c r="AL137" s="5">
        <v>381331716564103</v>
      </c>
      <c r="AM137" s="5">
        <v>3767263266816</v>
      </c>
      <c r="AN137" s="5">
        <v>38799075394851</v>
      </c>
      <c r="AO137" s="5">
        <v>378134376797779</v>
      </c>
      <c r="AP137" s="5">
        <v>397674440467425</v>
      </c>
      <c r="AQ137" s="5"/>
      <c r="AR137" s="5"/>
      <c r="AS137" s="5"/>
      <c r="AT137" s="5"/>
      <c r="AU137" s="5"/>
      <c r="AV137" s="5"/>
      <c r="AW137" s="5"/>
      <c r="AX137" s="5"/>
      <c r="AY137" s="5"/>
      <c r="AZ137" s="5"/>
      <c r="BA137" s="5"/>
    </row>
    <row r="138" spans="1:53" x14ac:dyDescent="0.45">
      <c r="A138" s="1"/>
      <c r="B138" s="2"/>
      <c r="C138" s="1" t="s">
        <v>132</v>
      </c>
      <c r="D138" s="2">
        <v>4206221</v>
      </c>
      <c r="E138" s="3" t="s">
        <v>800</v>
      </c>
      <c r="F138" s="3" t="s">
        <v>801</v>
      </c>
      <c r="G138" s="3" t="s">
        <v>698</v>
      </c>
      <c r="H138" s="5">
        <v>688419454485274</v>
      </c>
      <c r="I138" s="5">
        <v>683837734222094</v>
      </c>
      <c r="J138" s="5">
        <v>6876806299134</v>
      </c>
      <c r="K138" s="5">
        <v>81065735319239</v>
      </c>
      <c r="L138" s="5">
        <v>740629102306548</v>
      </c>
      <c r="M138" s="5">
        <v>7636184671945</v>
      </c>
      <c r="N138" s="5">
        <v>891922144212099</v>
      </c>
      <c r="O138" s="5">
        <v>90647315825976</v>
      </c>
      <c r="P138" s="5">
        <v>800613698442444</v>
      </c>
      <c r="Q138" s="5">
        <v>828460160056592</v>
      </c>
      <c r="R138" s="5">
        <v>859159355936688</v>
      </c>
      <c r="S138" s="5">
        <v>779742188777437</v>
      </c>
      <c r="T138" s="5">
        <v>727204578219521</v>
      </c>
      <c r="U138" s="5">
        <v>76430775872</v>
      </c>
      <c r="V138" s="5">
        <v>742425281408</v>
      </c>
      <c r="W138" s="5">
        <v>651929069432538</v>
      </c>
      <c r="X138" s="5">
        <v>647481719593293</v>
      </c>
      <c r="Y138" s="5">
        <v>636162238385772</v>
      </c>
      <c r="Z138" s="5">
        <v>593280121815</v>
      </c>
      <c r="AA138" s="5">
        <v>54471287086</v>
      </c>
      <c r="AB138" s="5">
        <v>529356197555806</v>
      </c>
      <c r="AC138" s="5">
        <v>610779464290036</v>
      </c>
      <c r="AD138" s="5">
        <v>575559058945227</v>
      </c>
      <c r="AE138" s="5">
        <v>559952355363719</v>
      </c>
      <c r="AF138" s="5">
        <v>556083664327531</v>
      </c>
      <c r="AG138" s="5">
        <v>528794684631643</v>
      </c>
      <c r="AH138" s="5">
        <v>531149482659495</v>
      </c>
      <c r="AI138" s="5">
        <v>519532419843526</v>
      </c>
      <c r="AJ138" s="5">
        <v>566028461040775</v>
      </c>
      <c r="AK138" s="5">
        <v>562070450989845</v>
      </c>
      <c r="AL138" s="5">
        <v>546617156258149</v>
      </c>
      <c r="AM138" s="5">
        <v>531883909823243</v>
      </c>
      <c r="AN138" s="5">
        <v>520766235966232</v>
      </c>
      <c r="AO138" s="5">
        <v>50373184635157</v>
      </c>
      <c r="AP138" s="5">
        <v>482585166234675</v>
      </c>
      <c r="AQ138" s="5"/>
      <c r="AR138" s="5"/>
      <c r="AS138" s="5"/>
      <c r="AT138" s="5"/>
      <c r="AU138" s="5"/>
      <c r="AV138" s="5"/>
      <c r="AW138" s="5"/>
      <c r="AX138" s="5"/>
      <c r="AY138" s="5"/>
      <c r="AZ138" s="5"/>
      <c r="BA138" s="5"/>
    </row>
    <row r="139" spans="1:53" x14ac:dyDescent="0.45">
      <c r="A139" s="1"/>
      <c r="B139" s="2"/>
      <c r="C139" s="1" t="s">
        <v>133</v>
      </c>
      <c r="D139" s="2">
        <v>4068060</v>
      </c>
      <c r="E139" s="3" t="s">
        <v>802</v>
      </c>
      <c r="F139" s="3" t="s">
        <v>803</v>
      </c>
      <c r="G139" s="3" t="s">
        <v>804</v>
      </c>
      <c r="H139" s="5">
        <v>131027273667545</v>
      </c>
      <c r="I139" s="5">
        <v>127822051150548</v>
      </c>
      <c r="J139" s="5">
        <v>127789059271419</v>
      </c>
      <c r="K139" s="5">
        <v>120421651173827</v>
      </c>
      <c r="L139" s="5">
        <v>111314885431302</v>
      </c>
      <c r="M139" s="5">
        <v>1109980471635</v>
      </c>
      <c r="N139" s="5">
        <v>109455982461</v>
      </c>
      <c r="O139" s="5">
        <v>11436997065</v>
      </c>
      <c r="P139" s="5">
        <v>1126989528288</v>
      </c>
      <c r="Q139" s="5">
        <v>116915491588</v>
      </c>
      <c r="R139" s="5">
        <v>117331281</v>
      </c>
      <c r="S139" s="5">
        <v>1119311119875</v>
      </c>
      <c r="T139" s="5">
        <v>1102692771115</v>
      </c>
      <c r="U139" s="5">
        <v>10670845471</v>
      </c>
      <c r="V139" s="5">
        <v>94810782326</v>
      </c>
      <c r="W139" s="5">
        <v>1016905607172</v>
      </c>
      <c r="X139" s="5">
        <v>100949073225</v>
      </c>
      <c r="Y139" s="5">
        <v>992263694877</v>
      </c>
      <c r="Z139" s="5">
        <v>96843379491</v>
      </c>
      <c r="AA139" s="5">
        <v>9305619669375</v>
      </c>
      <c r="AB139" s="5">
        <v>890032791825</v>
      </c>
      <c r="AC139" s="5">
        <v>86729358263298</v>
      </c>
      <c r="AD139" s="5">
        <v>837071330365489</v>
      </c>
      <c r="AE139" s="5">
        <v>874799503614886</v>
      </c>
      <c r="AF139" s="5">
        <v>966639323855893</v>
      </c>
      <c r="AG139" s="5">
        <v>905438741525726</v>
      </c>
      <c r="AH139" s="5">
        <v>801668400781338</v>
      </c>
      <c r="AI139" s="5">
        <v>865345500452475</v>
      </c>
      <c r="AJ139" s="5">
        <v>907389292167591</v>
      </c>
      <c r="AK139" s="5">
        <v>101047550853907</v>
      </c>
      <c r="AL139" s="5">
        <v>1101842597193</v>
      </c>
      <c r="AM139" s="5">
        <v>1084780732887</v>
      </c>
      <c r="AN139" s="5">
        <v>103168967549495</v>
      </c>
      <c r="AO139" s="5">
        <v>104769117781625</v>
      </c>
      <c r="AP139" s="5">
        <v>102587361568735</v>
      </c>
      <c r="AQ139" s="5"/>
      <c r="AR139" s="5"/>
      <c r="AS139" s="5"/>
      <c r="AT139" s="5"/>
      <c r="AU139" s="5"/>
      <c r="AV139" s="5"/>
      <c r="AW139" s="5"/>
      <c r="AX139" s="5"/>
      <c r="AY139" s="5"/>
      <c r="AZ139" s="5"/>
      <c r="BA139" s="5"/>
    </row>
    <row r="140" spans="1:53" x14ac:dyDescent="0.45">
      <c r="A140" s="1"/>
      <c r="B140" s="2"/>
      <c r="C140" s="1" t="s">
        <v>134</v>
      </c>
      <c r="D140" s="2">
        <v>4057044</v>
      </c>
      <c r="E140" s="3" t="s">
        <v>805</v>
      </c>
      <c r="F140" s="3" t="s">
        <v>806</v>
      </c>
      <c r="G140" s="3" t="s">
        <v>519</v>
      </c>
      <c r="H140" s="5">
        <v>163529113555904</v>
      </c>
      <c r="I140" s="5">
        <v>174087740559309</v>
      </c>
      <c r="J140" s="5">
        <v>1702147240175</v>
      </c>
      <c r="K140" s="5">
        <v>162956276361224</v>
      </c>
      <c r="L140" s="5">
        <v>169678828286211</v>
      </c>
      <c r="M140" s="5">
        <v>162961862677274</v>
      </c>
      <c r="N140" s="5">
        <v>166336872302174</v>
      </c>
      <c r="O140" s="5">
        <v>174853945020672</v>
      </c>
      <c r="P140" s="5">
        <v>172198835345796</v>
      </c>
      <c r="Q140" s="5">
        <v>1713053806408</v>
      </c>
      <c r="R140" s="5">
        <v>1713584422718</v>
      </c>
      <c r="S140" s="5">
        <v>16402088865179</v>
      </c>
      <c r="T140" s="5">
        <v>167446004958824</v>
      </c>
      <c r="U140" s="5">
        <v>15801601336028</v>
      </c>
      <c r="V140" s="5">
        <v>157184124421843</v>
      </c>
      <c r="W140" s="5">
        <v>149500326807</v>
      </c>
      <c r="X140" s="5">
        <v>149533856244188</v>
      </c>
      <c r="Y140" s="5">
        <v>156602839980421</v>
      </c>
      <c r="Z140" s="5">
        <v>1601548726176</v>
      </c>
      <c r="AA140" s="5">
        <v>1462086343216</v>
      </c>
      <c r="AB140" s="5">
        <v>139690558909118</v>
      </c>
      <c r="AC140" s="5">
        <v>1389833281368</v>
      </c>
      <c r="AD140" s="5">
        <v>140999625257072</v>
      </c>
      <c r="AE140" s="5">
        <v>132515724520266</v>
      </c>
      <c r="AF140" s="5">
        <v>136738547273934</v>
      </c>
      <c r="AG140" s="5">
        <v>132793820206447</v>
      </c>
      <c r="AH140" s="5">
        <v>129250473209203</v>
      </c>
      <c r="AI140" s="5">
        <v>125073221222718</v>
      </c>
      <c r="AJ140" s="5">
        <v>13070930735739</v>
      </c>
      <c r="AK140" s="5">
        <v>120165825380643</v>
      </c>
      <c r="AL140" s="5">
        <v>12945907032285</v>
      </c>
      <c r="AM140" s="5">
        <v>127556815941215</v>
      </c>
      <c r="AN140" s="5">
        <v>134657825289395</v>
      </c>
      <c r="AO140" s="5">
        <v>129657999098095</v>
      </c>
      <c r="AP140" s="5">
        <v>14055978317895</v>
      </c>
      <c r="AQ140" s="5"/>
      <c r="AR140" s="5"/>
      <c r="AS140" s="5"/>
      <c r="AT140" s="5"/>
      <c r="AU140" s="5"/>
      <c r="AV140" s="5"/>
      <c r="AW140" s="5"/>
      <c r="AX140" s="5"/>
      <c r="AY140" s="5"/>
      <c r="AZ140" s="5"/>
      <c r="BA140" s="5"/>
    </row>
    <row r="141" spans="1:53" x14ac:dyDescent="0.45">
      <c r="A141" s="1"/>
      <c r="B141" s="2"/>
      <c r="C141" s="1" t="s">
        <v>135</v>
      </c>
      <c r="D141" s="2">
        <v>4121470</v>
      </c>
      <c r="E141" s="3" t="s">
        <v>807</v>
      </c>
      <c r="F141" s="3" t="s">
        <v>808</v>
      </c>
      <c r="G141" s="3" t="s">
        <v>507</v>
      </c>
      <c r="H141" s="5">
        <v>4903136466384</v>
      </c>
      <c r="I141" s="5">
        <v>5241761451108</v>
      </c>
      <c r="J141" s="5">
        <v>530970391392251</v>
      </c>
      <c r="K141" s="5">
        <v>496997753592047</v>
      </c>
      <c r="L141" s="5">
        <v>514570833898714</v>
      </c>
      <c r="M141" s="5">
        <v>50548611889001</v>
      </c>
      <c r="N141" s="5">
        <v>512781109884883</v>
      </c>
      <c r="O141" s="5">
        <v>533697584043456</v>
      </c>
      <c r="P141" s="5">
        <v>5299386378</v>
      </c>
      <c r="Q141" s="5">
        <v>5367782290976</v>
      </c>
      <c r="R141" s="5">
        <v>544029817356909</v>
      </c>
      <c r="S141" s="5">
        <v>5014313242092</v>
      </c>
      <c r="T141" s="5">
        <v>5065736274844</v>
      </c>
      <c r="U141" s="5">
        <v>480786561948</v>
      </c>
      <c r="V141" s="5">
        <v>5029895015464</v>
      </c>
      <c r="W141" s="5">
        <v>4905704222298</v>
      </c>
      <c r="X141" s="5">
        <v>4923025093679</v>
      </c>
      <c r="Y141" s="5">
        <v>527691814684197</v>
      </c>
      <c r="Z141" s="5">
        <v>532175441509643</v>
      </c>
      <c r="AA141" s="5">
        <v>484255026874214</v>
      </c>
      <c r="AB141" s="5">
        <v>473871968973</v>
      </c>
      <c r="AC141" s="5">
        <v>47070218142471</v>
      </c>
      <c r="AD141" s="5">
        <v>479001534217811</v>
      </c>
      <c r="AE141" s="5">
        <v>452458310892205</v>
      </c>
      <c r="AF141" s="5">
        <v>441485472764022</v>
      </c>
      <c r="AG141" s="5">
        <v>446124655184667</v>
      </c>
      <c r="AH141" s="5">
        <v>443710456568077</v>
      </c>
      <c r="AI141" s="5">
        <v>435746924048605</v>
      </c>
      <c r="AJ141" s="5">
        <v>464576436602142</v>
      </c>
      <c r="AK141" s="5">
        <v>43842852234027</v>
      </c>
      <c r="AL141" s="5">
        <v>477170138906615</v>
      </c>
      <c r="AM141" s="5">
        <v>490580396215366</v>
      </c>
      <c r="AN141" s="5">
        <v>506024080267035</v>
      </c>
      <c r="AO141" s="5">
        <v>495287559725</v>
      </c>
      <c r="AP141" s="5">
        <v>54591698646977</v>
      </c>
      <c r="AQ141" s="5"/>
      <c r="AR141" s="5"/>
      <c r="AS141" s="5"/>
      <c r="AT141" s="5"/>
      <c r="AU141" s="5"/>
      <c r="AV141" s="5"/>
      <c r="AW141" s="5"/>
      <c r="AX141" s="5"/>
      <c r="AY141" s="5"/>
      <c r="AZ141" s="5"/>
      <c r="BA141" s="5"/>
    </row>
    <row r="142" spans="1:53" x14ac:dyDescent="0.45">
      <c r="A142" s="1"/>
      <c r="B142" s="2"/>
      <c r="C142" s="1" t="s">
        <v>136</v>
      </c>
      <c r="D142" s="2">
        <v>4873611</v>
      </c>
      <c r="E142" s="3" t="s">
        <v>809</v>
      </c>
      <c r="F142" s="3" t="s">
        <v>810</v>
      </c>
      <c r="G142" s="3" t="s">
        <v>496</v>
      </c>
      <c r="H142" s="5">
        <v>138789538258164</v>
      </c>
      <c r="I142" s="5">
        <v>141393470031711</v>
      </c>
      <c r="J142" s="5">
        <v>145097254476395</v>
      </c>
      <c r="K142" s="5">
        <v>13683074643329</v>
      </c>
      <c r="L142" s="5">
        <v>131108693769795</v>
      </c>
      <c r="M142" s="5">
        <v>666870950411582</v>
      </c>
      <c r="N142" s="5">
        <v>675366198348489</v>
      </c>
      <c r="O142" s="5">
        <v>673699127631228</v>
      </c>
      <c r="P142" s="5">
        <v>704163060758383</v>
      </c>
      <c r="Q142" s="5">
        <v>724404514252437</v>
      </c>
      <c r="R142" s="5">
        <v>711593203041151</v>
      </c>
      <c r="S142" s="5">
        <v>673155551908932</v>
      </c>
      <c r="T142" s="5">
        <v>607838482336214</v>
      </c>
      <c r="U142" s="5">
        <v>591091950603554</v>
      </c>
      <c r="V142" s="5">
        <v>550555862574476</v>
      </c>
      <c r="W142" s="5">
        <v>519587612080583</v>
      </c>
      <c r="X142" s="5">
        <v>542205517567287</v>
      </c>
      <c r="Y142" s="5">
        <v>541238747884972</v>
      </c>
      <c r="Z142" s="5">
        <v>503923055141056</v>
      </c>
      <c r="AA142" s="5">
        <v>518180738781466</v>
      </c>
      <c r="AB142" s="5">
        <v>515786960079148</v>
      </c>
      <c r="AC142" s="5">
        <v>499883656894298</v>
      </c>
      <c r="AD142" s="5">
        <v>449324527106322</v>
      </c>
      <c r="AE142" s="5">
        <v>549185742588612</v>
      </c>
      <c r="AF142" s="5">
        <v>571702739103079</v>
      </c>
      <c r="AG142" s="5">
        <v>542891331383071</v>
      </c>
      <c r="AH142" s="5">
        <v>440134213837594</v>
      </c>
      <c r="AI142" s="5">
        <v>452432666802743</v>
      </c>
      <c r="AJ142" s="5">
        <v>49330925228102</v>
      </c>
      <c r="AK142" s="5">
        <v>529608879143388</v>
      </c>
      <c r="AL142" s="5">
        <v>546968018662104</v>
      </c>
      <c r="AM142" s="5">
        <v>524812711444695</v>
      </c>
      <c r="AN142" s="5">
        <v>514518587412075</v>
      </c>
      <c r="AO142" s="5">
        <v>50839821099439</v>
      </c>
      <c r="AP142" s="5">
        <v>473757737788012</v>
      </c>
      <c r="AQ142" s="5"/>
      <c r="AR142" s="5"/>
      <c r="AS142" s="5"/>
      <c r="AT142" s="5"/>
      <c r="AU142" s="5"/>
      <c r="AV142" s="5"/>
      <c r="AW142" s="5"/>
      <c r="AX142" s="5"/>
      <c r="AY142" s="5"/>
      <c r="AZ142" s="5"/>
      <c r="BA142" s="5"/>
    </row>
    <row r="143" spans="1:53" x14ac:dyDescent="0.45">
      <c r="A143" s="1"/>
      <c r="B143" s="2"/>
      <c r="C143" s="1" t="s">
        <v>137</v>
      </c>
      <c r="D143" s="2">
        <v>4991395</v>
      </c>
      <c r="E143" s="3" t="s">
        <v>811</v>
      </c>
      <c r="F143" s="3" t="s">
        <v>812</v>
      </c>
      <c r="G143" s="3" t="s">
        <v>539</v>
      </c>
      <c r="H143" s="5">
        <v>289912720368</v>
      </c>
      <c r="I143" s="5">
        <v>287764081596</v>
      </c>
      <c r="J143" s="5">
        <v>30285601508</v>
      </c>
      <c r="K143" s="5">
        <v>288995540512</v>
      </c>
      <c r="L143" s="5">
        <v>268788619008</v>
      </c>
      <c r="M143" s="5">
        <v>296985394125</v>
      </c>
      <c r="N143" s="5">
        <v>305139091635</v>
      </c>
      <c r="O143" s="5">
        <v>3080474586</v>
      </c>
      <c r="P143" s="5">
        <v>311398708003618</v>
      </c>
      <c r="Q143" s="5">
        <v>311051919939715</v>
      </c>
      <c r="R143" s="5">
        <v>30491980452</v>
      </c>
      <c r="S143" s="5">
        <v>296278278042</v>
      </c>
      <c r="T143" s="5">
        <v>287075030569</v>
      </c>
      <c r="U143" s="5">
        <v>28420268382</v>
      </c>
      <c r="V143" s="5">
        <v>264561502156</v>
      </c>
      <c r="W143" s="5">
        <v>2658126251205</v>
      </c>
      <c r="X143" s="5">
        <v>271409097729</v>
      </c>
      <c r="Y143" s="5">
        <v>25990941011</v>
      </c>
      <c r="Z143" s="5">
        <v>24633016353</v>
      </c>
      <c r="AA143" s="5">
        <v>25362957517</v>
      </c>
      <c r="AB143" s="5">
        <v>25301843829</v>
      </c>
      <c r="AC143" s="5">
        <v>2395659480045</v>
      </c>
      <c r="AD143" s="5">
        <v>216029562762</v>
      </c>
      <c r="AE143" s="5">
        <v>22175446124</v>
      </c>
      <c r="AF143" s="5">
        <v>254777638544</v>
      </c>
      <c r="AG143" s="5">
        <v>234648779638</v>
      </c>
      <c r="AH143" s="5">
        <v>214897431375</v>
      </c>
      <c r="AI143" s="5">
        <v>238145972625</v>
      </c>
      <c r="AJ143" s="5">
        <v>256348889225</v>
      </c>
      <c r="AK143" s="5">
        <v>2830119079725</v>
      </c>
      <c r="AL143" s="5">
        <v>3046857263235</v>
      </c>
      <c r="AM143" s="5">
        <v>2867670416475</v>
      </c>
      <c r="AN143" s="5">
        <v>295909079371</v>
      </c>
      <c r="AO143" s="5">
        <v>2963223263115</v>
      </c>
      <c r="AP143" s="5">
        <v>265215817755</v>
      </c>
      <c r="AQ143" s="5"/>
      <c r="AR143" s="5"/>
      <c r="AS143" s="5"/>
      <c r="AT143" s="5"/>
      <c r="AU143" s="5"/>
      <c r="AV143" s="5"/>
      <c r="AW143" s="5"/>
      <c r="AX143" s="5"/>
      <c r="AY143" s="5"/>
      <c r="AZ143" s="5"/>
      <c r="BA143" s="5"/>
    </row>
    <row r="144" spans="1:53" x14ac:dyDescent="0.45">
      <c r="A144" s="1"/>
      <c r="B144" s="2"/>
      <c r="C144" s="1" t="s">
        <v>138</v>
      </c>
      <c r="D144" s="2">
        <v>4081627</v>
      </c>
      <c r="E144" s="3" t="s">
        <v>813</v>
      </c>
      <c r="F144" s="3" t="s">
        <v>814</v>
      </c>
      <c r="G144" s="3" t="s">
        <v>516</v>
      </c>
      <c r="H144" s="5">
        <v>328307372565239</v>
      </c>
      <c r="I144" s="5">
        <v>304099718406773</v>
      </c>
      <c r="J144" s="5">
        <v>337738680048792</v>
      </c>
      <c r="K144" s="5">
        <v>348291437256721</v>
      </c>
      <c r="L144" s="5">
        <v>325644277986079</v>
      </c>
      <c r="M144" s="5">
        <v>324486539095487</v>
      </c>
      <c r="N144" s="5">
        <v>331275916692</v>
      </c>
      <c r="O144" s="5">
        <v>3304059318</v>
      </c>
      <c r="P144" s="5">
        <v>3318854689332</v>
      </c>
      <c r="Q144" s="5">
        <v>338837748971959</v>
      </c>
      <c r="R144" s="5">
        <v>34713317952</v>
      </c>
      <c r="S144" s="5">
        <v>3297542581773</v>
      </c>
      <c r="T144" s="5">
        <v>3144215799241</v>
      </c>
      <c r="U144" s="5">
        <v>294107931018</v>
      </c>
      <c r="V144" s="5">
        <v>2908018095532</v>
      </c>
      <c r="W144" s="5">
        <v>330458002362533</v>
      </c>
      <c r="X144" s="5">
        <v>325712092603645</v>
      </c>
      <c r="Y144" s="5">
        <v>314845444254284</v>
      </c>
      <c r="Z144" s="5">
        <v>2421827718705</v>
      </c>
      <c r="AA144" s="5">
        <v>252511365637</v>
      </c>
      <c r="AB144" s="5">
        <v>245073389587211</v>
      </c>
      <c r="AC144" s="5">
        <v>258244634739</v>
      </c>
      <c r="AD144" s="5">
        <v>260308472622384</v>
      </c>
      <c r="AE144" s="5">
        <v>303791965837726</v>
      </c>
      <c r="AF144" s="5">
        <v>336284115140648</v>
      </c>
      <c r="AG144" s="5">
        <v>303778818677751</v>
      </c>
      <c r="AH144" s="5">
        <v>26678539786187</v>
      </c>
      <c r="AI144" s="5">
        <v>294841075065932</v>
      </c>
      <c r="AJ144" s="5">
        <v>310073378827104</v>
      </c>
      <c r="AK144" s="5">
        <v>656981159213383</v>
      </c>
      <c r="AL144" s="5">
        <v>679184503870935</v>
      </c>
      <c r="AM144" s="5">
        <v>632202258938405</v>
      </c>
      <c r="AN144" s="5">
        <v>651089632650223</v>
      </c>
      <c r="AO144" s="5">
        <v>624953291139318</v>
      </c>
      <c r="AP144" s="5">
        <v>58322620804443</v>
      </c>
      <c r="AQ144" s="5"/>
      <c r="AR144" s="5"/>
      <c r="AS144" s="5"/>
      <c r="AT144" s="5"/>
      <c r="AU144" s="5"/>
      <c r="AV144" s="5"/>
      <c r="AW144" s="5"/>
      <c r="AX144" s="5"/>
      <c r="AY144" s="5"/>
      <c r="AZ144" s="5"/>
      <c r="BA144" s="5"/>
    </row>
    <row r="145" spans="1:53" x14ac:dyDescent="0.45">
      <c r="A145" s="1"/>
      <c r="B145" s="2"/>
      <c r="C145" s="1" t="s">
        <v>139</v>
      </c>
      <c r="D145" s="2">
        <v>4190757</v>
      </c>
      <c r="E145" s="3" t="s">
        <v>815</v>
      </c>
      <c r="F145" s="3" t="s">
        <v>816</v>
      </c>
      <c r="G145" s="3" t="s">
        <v>692</v>
      </c>
      <c r="H145" s="5">
        <v>477687348894</v>
      </c>
      <c r="I145" s="5">
        <v>481085117260272</v>
      </c>
      <c r="J145" s="5">
        <v>45969712819311</v>
      </c>
      <c r="K145" s="5">
        <v>463152461912435</v>
      </c>
      <c r="L145" s="5">
        <v>485690395540266</v>
      </c>
      <c r="M145" s="5">
        <v>492398479005698</v>
      </c>
      <c r="N145" s="5">
        <v>508396072062225</v>
      </c>
      <c r="O145" s="5">
        <v>50219395828275</v>
      </c>
      <c r="P145" s="5">
        <v>501118615320284</v>
      </c>
      <c r="Q145" s="5">
        <v>50520765675982</v>
      </c>
      <c r="R145" s="5">
        <v>474676264476414</v>
      </c>
      <c r="S145" s="5">
        <v>445182980403239</v>
      </c>
      <c r="T145" s="5">
        <v>459013089796113</v>
      </c>
      <c r="U145" s="5">
        <v>4539972337032</v>
      </c>
      <c r="V145" s="5">
        <v>400364629417039</v>
      </c>
      <c r="W145" s="5">
        <v>366076939046219</v>
      </c>
      <c r="X145" s="5">
        <v>326424040799149</v>
      </c>
      <c r="Y145" s="5">
        <v>326824866478318</v>
      </c>
      <c r="Z145" s="5">
        <v>335165236617875</v>
      </c>
      <c r="AA145" s="5">
        <v>337291601633787</v>
      </c>
      <c r="AB145" s="5">
        <v>333444177368102</v>
      </c>
      <c r="AC145" s="5">
        <v>383713344999063</v>
      </c>
      <c r="AD145" s="5">
        <v>300723153186013</v>
      </c>
      <c r="AE145" s="5">
        <v>333561403330996</v>
      </c>
      <c r="AF145" s="5">
        <v>342777434053997</v>
      </c>
      <c r="AG145" s="5">
        <v>375739209878163</v>
      </c>
      <c r="AH145" s="5">
        <v>356357506825665</v>
      </c>
      <c r="AI145" s="5">
        <v>367999339475865</v>
      </c>
      <c r="AJ145" s="5">
        <v>387576998426507</v>
      </c>
      <c r="AK145" s="5">
        <v>403123658272461</v>
      </c>
      <c r="AL145" s="5">
        <v>42094319343467</v>
      </c>
      <c r="AM145" s="5">
        <v>40998405918375</v>
      </c>
      <c r="AN145" s="5">
        <v>442487772017728</v>
      </c>
      <c r="AO145" s="5">
        <v>444954414396199</v>
      </c>
      <c r="AP145" s="5">
        <v>423466878688875</v>
      </c>
      <c r="AQ145" s="5"/>
      <c r="AR145" s="5"/>
      <c r="AS145" s="5"/>
      <c r="AT145" s="5"/>
      <c r="AU145" s="5"/>
      <c r="AV145" s="5"/>
      <c r="AW145" s="5"/>
      <c r="AX145" s="5"/>
      <c r="AY145" s="5"/>
      <c r="AZ145" s="5"/>
      <c r="BA145" s="5"/>
    </row>
    <row r="146" spans="1:53" x14ac:dyDescent="0.45">
      <c r="A146" s="1"/>
      <c r="B146" s="2"/>
      <c r="C146" s="1" t="s">
        <v>140</v>
      </c>
      <c r="D146" s="2">
        <v>4051243</v>
      </c>
      <c r="E146" s="3" t="s">
        <v>817</v>
      </c>
      <c r="F146" s="3" t="s">
        <v>818</v>
      </c>
      <c r="G146" s="3" t="s">
        <v>496</v>
      </c>
      <c r="H146" s="5">
        <v>322847590593127</v>
      </c>
      <c r="I146" s="5">
        <v>329743743922033</v>
      </c>
      <c r="J146" s="5">
        <v>324792717174589</v>
      </c>
      <c r="K146" s="5">
        <v>314895821697942</v>
      </c>
      <c r="L146" s="5">
        <v>324836095431609</v>
      </c>
      <c r="M146" s="5">
        <v>3240496464975</v>
      </c>
      <c r="N146" s="5">
        <v>3374887651875</v>
      </c>
      <c r="O146" s="5">
        <v>3429191538</v>
      </c>
      <c r="P146" s="5">
        <v>3436596130812</v>
      </c>
      <c r="Q146" s="5">
        <v>3400024379808</v>
      </c>
      <c r="R146" s="5">
        <v>340668119845469</v>
      </c>
      <c r="S146" s="5">
        <v>3245664952005</v>
      </c>
      <c r="T146" s="5">
        <v>323744426243</v>
      </c>
      <c r="U146" s="5">
        <v>32194869399</v>
      </c>
      <c r="V146" s="5">
        <v>303755952528</v>
      </c>
      <c r="W146" s="5">
        <v>315768385368</v>
      </c>
      <c r="X146" s="5">
        <v>321868697117462</v>
      </c>
      <c r="Y146" s="5">
        <v>3107448772911</v>
      </c>
      <c r="Z146" s="5">
        <v>313235633547</v>
      </c>
      <c r="AA146" s="5">
        <v>3089903584662</v>
      </c>
      <c r="AB146" s="5">
        <v>2947992525468</v>
      </c>
      <c r="AC146" s="5">
        <v>279432864452614</v>
      </c>
      <c r="AD146" s="5">
        <v>294382340710543</v>
      </c>
      <c r="AE146" s="5">
        <v>31100002742186</v>
      </c>
      <c r="AF146" s="5">
        <v>333075479626611</v>
      </c>
      <c r="AG146" s="5">
        <v>32206188079992</v>
      </c>
      <c r="AH146" s="5">
        <v>290118762277968</v>
      </c>
      <c r="AI146" s="5">
        <v>287522331331743</v>
      </c>
      <c r="AJ146" s="5">
        <v>312128885774758</v>
      </c>
      <c r="AK146" s="5">
        <v>302252673256257</v>
      </c>
      <c r="AL146" s="5">
        <v>310041458404919</v>
      </c>
      <c r="AM146" s="5">
        <v>2974277124225</v>
      </c>
      <c r="AN146" s="5">
        <v>3186133393275</v>
      </c>
      <c r="AO146" s="5">
        <v>308360249417579</v>
      </c>
      <c r="AP146" s="5">
        <v>275849883220719</v>
      </c>
      <c r="AQ146" s="5"/>
      <c r="AR146" s="5"/>
      <c r="AS146" s="5"/>
      <c r="AT146" s="5"/>
      <c r="AU146" s="5"/>
      <c r="AV146" s="5"/>
      <c r="AW146" s="5"/>
      <c r="AX146" s="5"/>
      <c r="AY146" s="5"/>
      <c r="AZ146" s="5"/>
      <c r="BA146" s="5"/>
    </row>
    <row r="147" spans="1:53" x14ac:dyDescent="0.45">
      <c r="A147" s="1"/>
      <c r="B147" s="2"/>
      <c r="C147" s="1" t="s">
        <v>141</v>
      </c>
      <c r="D147" s="2">
        <v>4056943</v>
      </c>
      <c r="E147" s="3" t="s">
        <v>819</v>
      </c>
      <c r="F147" s="3" t="s">
        <v>820</v>
      </c>
      <c r="G147" s="3" t="s">
        <v>507</v>
      </c>
      <c r="H147" s="5">
        <v>17159261595844</v>
      </c>
      <c r="I147" s="5">
        <v>222341448347473</v>
      </c>
      <c r="J147" s="5">
        <v>223757524850223</v>
      </c>
      <c r="K147" s="5">
        <v>212733660339756</v>
      </c>
      <c r="L147" s="5">
        <v>219986351367911</v>
      </c>
      <c r="M147" s="5">
        <v>217511495963359</v>
      </c>
      <c r="N147" s="5">
        <v>2232891103835</v>
      </c>
      <c r="O147" s="5">
        <v>23652926313</v>
      </c>
      <c r="P147" s="5">
        <v>239125686228</v>
      </c>
      <c r="Q147" s="5">
        <v>242562244176</v>
      </c>
      <c r="R147" s="5">
        <v>244733348035865</v>
      </c>
      <c r="S147" s="5">
        <v>220046033464626</v>
      </c>
      <c r="T147" s="5">
        <v>222190623823992</v>
      </c>
      <c r="U147" s="5">
        <v>211961106582425</v>
      </c>
      <c r="V147" s="5">
        <v>218434102071613</v>
      </c>
      <c r="W147" s="5">
        <v>209422361229433</v>
      </c>
      <c r="X147" s="5">
        <v>212537974871321</v>
      </c>
      <c r="Y147" s="5">
        <v>225628270890946</v>
      </c>
      <c r="Z147" s="5">
        <v>227865683233845</v>
      </c>
      <c r="AA147" s="5">
        <v>209702311250076</v>
      </c>
      <c r="AB147" s="5">
        <v>201157260750314</v>
      </c>
      <c r="AC147" s="5">
        <v>204429224673737</v>
      </c>
      <c r="AD147" s="5">
        <v>186078827283388</v>
      </c>
      <c r="AE147" s="5">
        <v>177624474478096</v>
      </c>
      <c r="AF147" s="5">
        <v>183064220002528</v>
      </c>
      <c r="AG147" s="5">
        <v>178813537135898</v>
      </c>
      <c r="AH147" s="5">
        <v>184128532807664</v>
      </c>
      <c r="AI147" s="5">
        <v>170099579590721</v>
      </c>
      <c r="AJ147" s="5">
        <v>176974298667851</v>
      </c>
      <c r="AK147" s="5">
        <v>162569838261657</v>
      </c>
      <c r="AL147" s="5">
        <v>18052231753895</v>
      </c>
      <c r="AM147" s="5">
        <v>177354205937439</v>
      </c>
      <c r="AN147" s="5">
        <v>189459866282356</v>
      </c>
      <c r="AO147" s="5">
        <v>186694260215682</v>
      </c>
      <c r="AP147" s="5">
        <v>196672228399432</v>
      </c>
      <c r="AQ147" s="5"/>
      <c r="AR147" s="5"/>
      <c r="AS147" s="5"/>
      <c r="AT147" s="5"/>
      <c r="AU147" s="5"/>
      <c r="AV147" s="5"/>
      <c r="AW147" s="5"/>
      <c r="AX147" s="5"/>
      <c r="AY147" s="5"/>
      <c r="AZ147" s="5"/>
      <c r="BA147" s="5"/>
    </row>
    <row r="148" spans="1:53" x14ac:dyDescent="0.45">
      <c r="A148" s="1"/>
      <c r="B148" s="2"/>
      <c r="C148" s="1" t="s">
        <v>142</v>
      </c>
      <c r="D148" s="2">
        <v>4812781</v>
      </c>
      <c r="E148" s="3" t="s">
        <v>821</v>
      </c>
      <c r="F148" s="3" t="s">
        <v>822</v>
      </c>
      <c r="G148" s="3" t="s">
        <v>469</v>
      </c>
      <c r="H148" s="5">
        <v>198636773672872</v>
      </c>
      <c r="I148" s="5">
        <v>20826114118406</v>
      </c>
      <c r="J148" s="5">
        <v>185835209879399</v>
      </c>
      <c r="K148" s="5">
        <v>195294126944721</v>
      </c>
      <c r="L148" s="5">
        <v>202105863293482</v>
      </c>
      <c r="M148" s="5">
        <v>206365226590793</v>
      </c>
      <c r="N148" s="5">
        <v>217434080250785</v>
      </c>
      <c r="O148" s="5">
        <v>214863868185787</v>
      </c>
      <c r="P148" s="5">
        <v>211177267833837</v>
      </c>
      <c r="Q148" s="5">
        <v>185789288271827</v>
      </c>
      <c r="R148" s="5">
        <v>188240843626306</v>
      </c>
      <c r="S148" s="5">
        <v>193192871413783</v>
      </c>
      <c r="T148" s="5">
        <v>189785547891114</v>
      </c>
      <c r="U148" s="5">
        <v>167579022599219</v>
      </c>
      <c r="V148" s="5">
        <v>185758830489896</v>
      </c>
      <c r="W148" s="5">
        <v>228325746244736</v>
      </c>
      <c r="X148" s="5">
        <v>219912932461003</v>
      </c>
      <c r="Y148" s="5">
        <v>218178814927062</v>
      </c>
      <c r="Z148" s="5">
        <v>190166916576253</v>
      </c>
      <c r="AA148" s="5">
        <v>187425216973801</v>
      </c>
      <c r="AB148" s="5">
        <v>196382964104359</v>
      </c>
      <c r="AC148" s="5">
        <v>169303787986329</v>
      </c>
      <c r="AD148" s="5">
        <v>155910133712671</v>
      </c>
      <c r="AE148" s="5">
        <v>156865860500951</v>
      </c>
      <c r="AF148" s="5">
        <v>166406676992019</v>
      </c>
      <c r="AG148" s="5">
        <v>153705506450672</v>
      </c>
      <c r="AH148" s="5">
        <v>136965736409117</v>
      </c>
      <c r="AI148" s="5">
        <v>135223113436798</v>
      </c>
      <c r="AJ148" s="5">
        <v>148078765323195</v>
      </c>
      <c r="AK148" s="5">
        <v>137530349363501</v>
      </c>
      <c r="AL148" s="5">
        <v>128107519886181</v>
      </c>
      <c r="AM148" s="5">
        <v>121680189211637</v>
      </c>
      <c r="AN148" s="5">
        <v>142586222826399</v>
      </c>
      <c r="AO148" s="5">
        <v>1279347837408</v>
      </c>
      <c r="AP148" s="5">
        <v>118772143318493</v>
      </c>
      <c r="AQ148" s="5"/>
      <c r="AR148" s="5"/>
      <c r="AS148" s="5"/>
      <c r="AT148" s="5"/>
      <c r="AU148" s="5"/>
      <c r="AV148" s="5"/>
      <c r="AW148" s="5"/>
      <c r="AX148" s="5"/>
      <c r="AY148" s="5"/>
      <c r="AZ148" s="5"/>
      <c r="BA148" s="5"/>
    </row>
    <row r="149" spans="1:53" x14ac:dyDescent="0.45">
      <c r="A149" s="1"/>
      <c r="B149" s="2"/>
      <c r="C149" s="1" t="s">
        <v>143</v>
      </c>
      <c r="D149" s="2">
        <v>4100183</v>
      </c>
      <c r="E149" s="3" t="s">
        <v>823</v>
      </c>
      <c r="F149" s="3" t="s">
        <v>824</v>
      </c>
      <c r="G149" s="3" t="s">
        <v>825</v>
      </c>
      <c r="H149" s="5">
        <v>269416197311675</v>
      </c>
      <c r="I149" s="5">
        <v>27498388056724</v>
      </c>
      <c r="J149" s="5">
        <v>317175744302716</v>
      </c>
      <c r="K149" s="5">
        <v>30838986590799</v>
      </c>
      <c r="L149" s="5">
        <v>315875228786428</v>
      </c>
      <c r="M149" s="5">
        <v>306656320158648</v>
      </c>
      <c r="N149" s="5">
        <v>2868728573459</v>
      </c>
      <c r="O149" s="5">
        <v>31270772911</v>
      </c>
      <c r="P149" s="5">
        <v>2682657187496</v>
      </c>
      <c r="Q149" s="5">
        <v>2580725099904</v>
      </c>
      <c r="R149" s="5">
        <v>2511794958</v>
      </c>
      <c r="S149" s="5">
        <v>2333044796256</v>
      </c>
      <c r="T149" s="5">
        <v>2251411685248</v>
      </c>
      <c r="U149" s="5">
        <v>226202434304</v>
      </c>
      <c r="V149" s="5">
        <v>2154694205248</v>
      </c>
      <c r="W149" s="5">
        <v>228505748436</v>
      </c>
      <c r="X149" s="5">
        <v>219159465365824</v>
      </c>
      <c r="Y149" s="5">
        <v>205852602135247</v>
      </c>
      <c r="Z149" s="5">
        <v>205597957332064</v>
      </c>
      <c r="AA149" s="5">
        <v>208001165692569</v>
      </c>
      <c r="AB149" s="5">
        <v>16704078539025</v>
      </c>
      <c r="AC149" s="5">
        <v>1829139698892</v>
      </c>
      <c r="AD149" s="5">
        <v>185394583214106</v>
      </c>
      <c r="AE149" s="5">
        <v>196660367462375</v>
      </c>
      <c r="AF149" s="5">
        <v>199434900892693</v>
      </c>
      <c r="AG149" s="5">
        <v>203746759567455</v>
      </c>
      <c r="AH149" s="5">
        <v>189252783029328</v>
      </c>
      <c r="AI149" s="5">
        <v>18410281892908</v>
      </c>
      <c r="AJ149" s="5">
        <v>202122154254333</v>
      </c>
      <c r="AK149" s="5">
        <v>186320561201933</v>
      </c>
      <c r="AL149" s="5">
        <v>179890597366393</v>
      </c>
      <c r="AM149" s="5">
        <v>1608742467513</v>
      </c>
      <c r="AN149" s="5">
        <v>169718622525</v>
      </c>
      <c r="AO149" s="5">
        <v>1580875473</v>
      </c>
      <c r="AP149" s="5">
        <v>151090952986058</v>
      </c>
      <c r="AQ149" s="5"/>
      <c r="AR149" s="5"/>
      <c r="AS149" s="5"/>
      <c r="AT149" s="5"/>
      <c r="AU149" s="5"/>
      <c r="AV149" s="5"/>
      <c r="AW149" s="5"/>
      <c r="AX149" s="5"/>
      <c r="AY149" s="5"/>
      <c r="AZ149" s="5"/>
      <c r="BA149" s="5"/>
    </row>
    <row r="150" spans="1:53" x14ac:dyDescent="0.45">
      <c r="A150" s="1"/>
      <c r="B150" s="2"/>
      <c r="C150" s="1" t="s">
        <v>144</v>
      </c>
      <c r="D150" s="2">
        <v>4072364</v>
      </c>
      <c r="E150" s="3" t="s">
        <v>826</v>
      </c>
      <c r="F150" s="3" t="s">
        <v>827</v>
      </c>
      <c r="G150" s="3" t="s">
        <v>682</v>
      </c>
      <c r="H150" s="5">
        <v>481139247265989</v>
      </c>
      <c r="I150" s="5">
        <v>506578011562902</v>
      </c>
      <c r="J150" s="5">
        <v>461427901260342</v>
      </c>
      <c r="K150" s="5">
        <v>421861912703074</v>
      </c>
      <c r="L150" s="5">
        <v>433488679576167</v>
      </c>
      <c r="M150" s="5">
        <v>414881668554785</v>
      </c>
      <c r="N150" s="5">
        <v>436951515099184</v>
      </c>
      <c r="O150" s="5">
        <v>43005009500215</v>
      </c>
      <c r="P150" s="5">
        <v>432636206719748</v>
      </c>
      <c r="Q150" s="5">
        <v>409741412186085</v>
      </c>
      <c r="R150" s="5">
        <v>410475341915939</v>
      </c>
      <c r="S150" s="5">
        <v>37629517128279</v>
      </c>
      <c r="T150" s="5">
        <v>358781414501901</v>
      </c>
      <c r="U150" s="5">
        <v>355198848543185</v>
      </c>
      <c r="V150" s="5">
        <v>292606851450544</v>
      </c>
      <c r="W150" s="5">
        <v>293388410124887</v>
      </c>
      <c r="X150" s="5">
        <v>295285800706121</v>
      </c>
      <c r="Y150" s="5">
        <v>309338392915994</v>
      </c>
      <c r="Z150" s="5">
        <v>310981639839543</v>
      </c>
      <c r="AA150" s="5">
        <v>312262917789611</v>
      </c>
      <c r="AB150" s="5">
        <v>323204280489415</v>
      </c>
      <c r="AC150" s="5">
        <v>314423649535212</v>
      </c>
      <c r="AD150" s="5">
        <v>314830207297023</v>
      </c>
      <c r="AE150" s="5">
        <v>335185943807417</v>
      </c>
      <c r="AF150" s="5">
        <v>32218938872795</v>
      </c>
      <c r="AG150" s="5">
        <v>329439268050639</v>
      </c>
      <c r="AH150" s="5">
        <v>32815532953434</v>
      </c>
      <c r="AI150" s="5">
        <v>329398890095525</v>
      </c>
      <c r="AJ150" s="5">
        <v>365276066469312</v>
      </c>
      <c r="AK150" s="5">
        <v>389811879568216</v>
      </c>
      <c r="AL150" s="5">
        <v>406788222670875</v>
      </c>
      <c r="AM150" s="5">
        <v>358596249116625</v>
      </c>
      <c r="AN150" s="5">
        <v>383459754166695</v>
      </c>
      <c r="AO150" s="5">
        <v>348454927154707</v>
      </c>
      <c r="AP150" s="5">
        <v>322690145148357</v>
      </c>
      <c r="AQ150" s="5"/>
      <c r="AR150" s="5"/>
      <c r="AS150" s="5"/>
      <c r="AT150" s="5"/>
      <c r="AU150" s="5"/>
      <c r="AV150" s="5"/>
      <c r="AW150" s="5"/>
      <c r="AX150" s="5"/>
      <c r="AY150" s="5"/>
      <c r="AZ150" s="5"/>
      <c r="BA150" s="5"/>
    </row>
    <row r="151" spans="1:53" x14ac:dyDescent="0.45">
      <c r="A151" s="1"/>
      <c r="B151" s="2"/>
      <c r="C151" s="1" t="s">
        <v>145</v>
      </c>
      <c r="D151" s="2">
        <v>4059821</v>
      </c>
      <c r="E151" s="3" t="s">
        <v>828</v>
      </c>
      <c r="F151" s="3" t="s">
        <v>829</v>
      </c>
      <c r="G151" s="3" t="s">
        <v>633</v>
      </c>
      <c r="H151" s="5">
        <v>736573970664864</v>
      </c>
      <c r="I151" s="5">
        <v>744259491366624</v>
      </c>
      <c r="J151" s="5">
        <v>73700803551188</v>
      </c>
      <c r="K151" s="5">
        <v>757833920775932</v>
      </c>
      <c r="L151" s="5">
        <v>716776718113302</v>
      </c>
      <c r="M151" s="5">
        <v>73607936323478</v>
      </c>
      <c r="N151" s="5">
        <v>75882179077755</v>
      </c>
      <c r="O151" s="5">
        <v>7449504775917</v>
      </c>
      <c r="P151" s="5">
        <v>79279156808852</v>
      </c>
      <c r="Q151" s="5">
        <v>82800238474408</v>
      </c>
      <c r="R151" s="5">
        <v>8211323152578</v>
      </c>
      <c r="S151" s="5">
        <v>748901826070416</v>
      </c>
      <c r="T151" s="5">
        <v>73096409183064</v>
      </c>
      <c r="U151" s="5">
        <v>66614521535232</v>
      </c>
      <c r="V151" s="5">
        <v>706736066947456</v>
      </c>
      <c r="W151" s="5">
        <v>749028994193844</v>
      </c>
      <c r="X151" s="5">
        <v>73163982786895</v>
      </c>
      <c r="Y151" s="5">
        <v>778182038854038</v>
      </c>
      <c r="Z151" s="5">
        <v>74385871498575</v>
      </c>
      <c r="AA151" s="5">
        <v>707224806696954</v>
      </c>
      <c r="AB151" s="5">
        <v>692243080432009</v>
      </c>
      <c r="AC151" s="5">
        <v>699444642024</v>
      </c>
      <c r="AD151" s="5">
        <v>76787109687294</v>
      </c>
      <c r="AE151" s="5">
        <v>814952979263204</v>
      </c>
      <c r="AF151" s="5">
        <v>815715248755479</v>
      </c>
      <c r="AG151" s="5">
        <v>779511316079066</v>
      </c>
      <c r="AH151" s="5">
        <v>788620332106934</v>
      </c>
      <c r="AI151" s="5">
        <v>773135508821865</v>
      </c>
      <c r="AJ151" s="5">
        <v>806650359527993</v>
      </c>
      <c r="AK151" s="5">
        <v>790375948507876</v>
      </c>
      <c r="AL151" s="5">
        <v>758981082798211</v>
      </c>
      <c r="AM151" s="5">
        <v>67805104878423</v>
      </c>
      <c r="AN151" s="5">
        <v>716970175419139</v>
      </c>
      <c r="AO151" s="5">
        <v>66354380217663</v>
      </c>
      <c r="AP151" s="5">
        <v>672536178558</v>
      </c>
      <c r="AQ151" s="5"/>
      <c r="AR151" s="5"/>
      <c r="AS151" s="5"/>
      <c r="AT151" s="5"/>
      <c r="AU151" s="5"/>
      <c r="AV151" s="5"/>
      <c r="AW151" s="5"/>
      <c r="AX151" s="5"/>
      <c r="AY151" s="5"/>
      <c r="AZ151" s="5"/>
      <c r="BA151" s="5"/>
    </row>
    <row r="152" spans="1:53" x14ac:dyDescent="0.45">
      <c r="A152" s="1"/>
      <c r="B152" s="2"/>
      <c r="C152" s="1" t="s">
        <v>146</v>
      </c>
      <c r="D152" s="2">
        <v>4279452</v>
      </c>
      <c r="E152" s="3" t="s">
        <v>830</v>
      </c>
      <c r="F152" s="3" t="s">
        <v>831</v>
      </c>
      <c r="G152" s="3" t="s">
        <v>731</v>
      </c>
      <c r="H152" s="5">
        <v>4004125502913</v>
      </c>
      <c r="I152" s="5">
        <v>398890266953935</v>
      </c>
      <c r="J152" s="5">
        <v>406744972785155</v>
      </c>
      <c r="K152" s="5">
        <v>347392421354357</v>
      </c>
      <c r="L152" s="5">
        <v>329105455175734</v>
      </c>
      <c r="M152" s="5">
        <v>33893777071575</v>
      </c>
      <c r="N152" s="5">
        <v>33942089111</v>
      </c>
      <c r="O152" s="5">
        <v>3322080394</v>
      </c>
      <c r="P152" s="5">
        <v>357389476885054</v>
      </c>
      <c r="Q152" s="5">
        <v>35122343144</v>
      </c>
      <c r="R152" s="5">
        <v>34551587856</v>
      </c>
      <c r="S152" s="5">
        <v>391688149995</v>
      </c>
      <c r="T152" s="5">
        <v>40654269962</v>
      </c>
      <c r="U152" s="5">
        <v>3980096813</v>
      </c>
      <c r="V152" s="5">
        <v>33454842507071</v>
      </c>
      <c r="W152" s="5">
        <v>32248887264</v>
      </c>
      <c r="X152" s="5">
        <v>31229970464</v>
      </c>
      <c r="Y152" s="5">
        <v>303079763485923</v>
      </c>
      <c r="Z152" s="5">
        <v>26924193369</v>
      </c>
      <c r="AA152" s="5">
        <v>259347138675</v>
      </c>
      <c r="AB152" s="5">
        <v>256947643717531</v>
      </c>
      <c r="AC152" s="5">
        <v>256138517419072</v>
      </c>
      <c r="AD152" s="5">
        <v>264906234027573</v>
      </c>
      <c r="AE152" s="5">
        <v>277445852500378</v>
      </c>
      <c r="AF152" s="5">
        <v>299231704887192</v>
      </c>
      <c r="AG152" s="5">
        <v>274622571521959</v>
      </c>
      <c r="AH152" s="5">
        <v>248984568054424</v>
      </c>
      <c r="AI152" s="5">
        <v>258382727497078</v>
      </c>
      <c r="AJ152" s="5">
        <v>271861587129514</v>
      </c>
      <c r="AK152" s="5">
        <v>26884448029823</v>
      </c>
      <c r="AL152" s="5">
        <v>25914927662195</v>
      </c>
      <c r="AM152" s="5">
        <v>249913882194331</v>
      </c>
      <c r="AN152" s="5">
        <v>272430063651</v>
      </c>
      <c r="AO152" s="5">
        <v>247310831558553</v>
      </c>
      <c r="AP152" s="5">
        <v>231465121153545</v>
      </c>
      <c r="AQ152" s="5"/>
      <c r="AR152" s="5"/>
      <c r="AS152" s="5"/>
      <c r="AT152" s="5"/>
      <c r="AU152" s="5"/>
      <c r="AV152" s="5"/>
      <c r="AW152" s="5"/>
      <c r="AX152" s="5"/>
      <c r="AY152" s="5"/>
      <c r="AZ152" s="5"/>
      <c r="BA152" s="5"/>
    </row>
    <row r="153" spans="1:53" x14ac:dyDescent="0.45">
      <c r="A153" s="1"/>
      <c r="B153" s="2"/>
      <c r="C153" s="1" t="s">
        <v>147</v>
      </c>
      <c r="D153" s="2">
        <v>4136907</v>
      </c>
      <c r="E153" s="3" t="s">
        <v>832</v>
      </c>
      <c r="F153" s="3" t="s">
        <v>833</v>
      </c>
      <c r="G153" s="3" t="s">
        <v>539</v>
      </c>
      <c r="H153" s="5">
        <v>370650150991338</v>
      </c>
      <c r="I153" s="5">
        <v>349338391667247</v>
      </c>
      <c r="J153" s="5">
        <v>354386157602822</v>
      </c>
      <c r="K153" s="5">
        <v>340291543216132</v>
      </c>
      <c r="L153" s="5">
        <v>318202290201277</v>
      </c>
      <c r="M153" s="5">
        <v>325972087008</v>
      </c>
      <c r="N153" s="5">
        <v>336785462464</v>
      </c>
      <c r="O153" s="5">
        <v>33910475264</v>
      </c>
      <c r="P153" s="5">
        <v>3568793417904</v>
      </c>
      <c r="Q153" s="5">
        <v>3611115030432</v>
      </c>
      <c r="R153" s="5">
        <v>36519555852</v>
      </c>
      <c r="S153" s="5">
        <v>350324450679</v>
      </c>
      <c r="T153" s="5">
        <v>3403467728875</v>
      </c>
      <c r="U153" s="5">
        <v>343194640272</v>
      </c>
      <c r="V153" s="5">
        <v>297574489100911</v>
      </c>
      <c r="W153" s="5">
        <v>312082329419032</v>
      </c>
      <c r="X153" s="5">
        <v>304113871950832</v>
      </c>
      <c r="Y153" s="5">
        <v>3218532401175</v>
      </c>
      <c r="Z153" s="5">
        <v>302165231112</v>
      </c>
      <c r="AA153" s="5">
        <v>3007183305285</v>
      </c>
      <c r="AB153" s="5">
        <v>306767419332636</v>
      </c>
      <c r="AC153" s="5">
        <v>28908348432759</v>
      </c>
      <c r="AD153" s="5">
        <v>276781238926585</v>
      </c>
      <c r="AE153" s="5">
        <v>286858235440532</v>
      </c>
      <c r="AF153" s="5">
        <v>309785530906775</v>
      </c>
      <c r="AG153" s="5">
        <v>281456617635656</v>
      </c>
      <c r="AH153" s="5">
        <v>260086436777583</v>
      </c>
      <c r="AI153" s="5">
        <v>279955081760852</v>
      </c>
      <c r="AJ153" s="5">
        <v>313044201028523</v>
      </c>
      <c r="AK153" s="5">
        <v>332563854904731</v>
      </c>
      <c r="AL153" s="5">
        <v>367243367630286</v>
      </c>
      <c r="AM153" s="5">
        <v>36007294866795</v>
      </c>
      <c r="AN153" s="5">
        <v>36113384349854</v>
      </c>
      <c r="AO153" s="5">
        <v>35394761622304</v>
      </c>
      <c r="AP153" s="5">
        <v>349831976566001</v>
      </c>
      <c r="AQ153" s="5"/>
      <c r="AR153" s="5"/>
      <c r="AS153" s="5"/>
      <c r="AT153" s="5"/>
      <c r="AU153" s="5"/>
      <c r="AV153" s="5"/>
      <c r="AW153" s="5"/>
      <c r="AX153" s="5"/>
      <c r="AY153" s="5"/>
      <c r="AZ153" s="5"/>
      <c r="BA153" s="5"/>
    </row>
    <row r="154" spans="1:53" x14ac:dyDescent="0.45">
      <c r="A154" s="1"/>
      <c r="B154" s="2"/>
      <c r="C154" s="1" t="s">
        <v>148</v>
      </c>
      <c r="D154" s="2">
        <v>4007889</v>
      </c>
      <c r="E154" s="3" t="s">
        <v>834</v>
      </c>
      <c r="F154" s="3" t="s">
        <v>835</v>
      </c>
      <c r="G154" s="3" t="s">
        <v>507</v>
      </c>
      <c r="H154" s="5">
        <v>122177273266999</v>
      </c>
      <c r="I154" s="5">
        <v>130893625664792</v>
      </c>
      <c r="J154" s="5">
        <v>133097793040987</v>
      </c>
      <c r="K154" s="5">
        <v>115984647026921</v>
      </c>
      <c r="L154" s="5">
        <v>119684305126902</v>
      </c>
      <c r="M154" s="5">
        <v>116829442324</v>
      </c>
      <c r="N154" s="5">
        <v>1207633978035</v>
      </c>
      <c r="O154" s="5">
        <v>12628119398</v>
      </c>
      <c r="P154" s="5">
        <v>125587721802897</v>
      </c>
      <c r="Q154" s="5">
        <v>1279816860672</v>
      </c>
      <c r="R154" s="5">
        <v>129547584908566</v>
      </c>
      <c r="S154" s="5">
        <v>1189222359444</v>
      </c>
      <c r="T154" s="5">
        <v>1246711320603</v>
      </c>
      <c r="U154" s="5">
        <v>116467782354</v>
      </c>
      <c r="V154" s="5">
        <v>1203204361536</v>
      </c>
      <c r="W154" s="5">
        <v>1221768390861</v>
      </c>
      <c r="X154" s="5">
        <v>125554686427224</v>
      </c>
      <c r="Y154" s="5">
        <v>1301941811457</v>
      </c>
      <c r="Z154" s="5">
        <v>1309299232455</v>
      </c>
      <c r="AA154" s="5">
        <v>1219327030584</v>
      </c>
      <c r="AB154" s="5">
        <v>117304786179</v>
      </c>
      <c r="AC154" s="5">
        <v>118648852952489</v>
      </c>
      <c r="AD154" s="5">
        <v>116355478589076</v>
      </c>
      <c r="AE154" s="5">
        <v>11228105807396</v>
      </c>
      <c r="AF154" s="5">
        <v>112506104617302</v>
      </c>
      <c r="AG154" s="5">
        <v>110968059457093</v>
      </c>
      <c r="AH154" s="5">
        <v>104723991089565</v>
      </c>
      <c r="AI154" s="5">
        <v>104706940387943</v>
      </c>
      <c r="AJ154" s="5">
        <v>11540359348574</v>
      </c>
      <c r="AK154" s="5">
        <v>113622054886148</v>
      </c>
      <c r="AL154" s="5">
        <v>12508310333841</v>
      </c>
      <c r="AM154" s="5">
        <v>12444890933025</v>
      </c>
      <c r="AN154" s="5">
        <v>130208472547182</v>
      </c>
      <c r="AO154" s="5">
        <v>127425246380056</v>
      </c>
      <c r="AP154" s="5">
        <v>139894505777001</v>
      </c>
      <c r="AQ154" s="5"/>
      <c r="AR154" s="5"/>
      <c r="AS154" s="5"/>
      <c r="AT154" s="5"/>
      <c r="AU154" s="5"/>
      <c r="AV154" s="5"/>
      <c r="AW154" s="5"/>
      <c r="AX154" s="5"/>
      <c r="AY154" s="5"/>
      <c r="AZ154" s="5"/>
      <c r="BA154" s="5"/>
    </row>
    <row r="155" spans="1:53" x14ac:dyDescent="0.45">
      <c r="A155" s="1"/>
      <c r="B155" s="2"/>
      <c r="C155" s="1" t="s">
        <v>149</v>
      </c>
      <c r="D155" s="2">
        <v>4075407</v>
      </c>
      <c r="E155" s="3" t="s">
        <v>836</v>
      </c>
      <c r="F155" s="3" t="s">
        <v>837</v>
      </c>
      <c r="G155" s="3" t="s">
        <v>552</v>
      </c>
      <c r="H155" s="5">
        <v>51963086584625</v>
      </c>
      <c r="I155" s="5">
        <v>496794999379399</v>
      </c>
      <c r="J155" s="5">
        <v>495383097906513</v>
      </c>
      <c r="K155" s="5">
        <v>47265118286226</v>
      </c>
      <c r="L155" s="5">
        <v>413280074952314</v>
      </c>
      <c r="M155" s="5">
        <v>466008654283</v>
      </c>
      <c r="N155" s="5">
        <v>458010520706</v>
      </c>
      <c r="O155" s="5">
        <v>46398595793</v>
      </c>
      <c r="P155" s="5">
        <v>4899886394</v>
      </c>
      <c r="Q155" s="5">
        <v>526535911216</v>
      </c>
      <c r="R155" s="5">
        <v>527020204456327</v>
      </c>
      <c r="S155" s="5">
        <v>542642495541837</v>
      </c>
      <c r="T155" s="5">
        <v>552083951332066</v>
      </c>
      <c r="U155" s="5">
        <v>559073505232</v>
      </c>
      <c r="V155" s="5">
        <v>4748984409312</v>
      </c>
      <c r="W155" s="5">
        <v>4737599267796</v>
      </c>
      <c r="X155" s="5">
        <v>4370977814588</v>
      </c>
      <c r="Y155" s="5">
        <v>402350511262</v>
      </c>
      <c r="Z155" s="5">
        <v>4133457880092</v>
      </c>
      <c r="AA155" s="5">
        <v>4022878508784</v>
      </c>
      <c r="AB155" s="5">
        <v>3966887378817</v>
      </c>
      <c r="AC155" s="5">
        <v>327710743129797</v>
      </c>
      <c r="AD155" s="5">
        <v>360807336921501</v>
      </c>
      <c r="AE155" s="5">
        <v>358315721935058</v>
      </c>
      <c r="AF155" s="5">
        <v>434107434110541</v>
      </c>
      <c r="AG155" s="5">
        <v>427546861909885</v>
      </c>
      <c r="AH155" s="5">
        <v>358237949012544</v>
      </c>
      <c r="AI155" s="5">
        <v>383932652350549</v>
      </c>
      <c r="AJ155" s="5">
        <v>383532454784091</v>
      </c>
      <c r="AK155" s="5">
        <v>431451603782892</v>
      </c>
      <c r="AL155" s="5">
        <v>44359298078529</v>
      </c>
      <c r="AM155" s="5">
        <v>484773064108401</v>
      </c>
      <c r="AN155" s="5">
        <v>468113680141834</v>
      </c>
      <c r="AO155" s="5">
        <v>4388480400399</v>
      </c>
      <c r="AP155" s="5">
        <v>43215103102248</v>
      </c>
      <c r="AQ155" s="5"/>
      <c r="AR155" s="5"/>
      <c r="AS155" s="5"/>
      <c r="AT155" s="5"/>
      <c r="AU155" s="5"/>
      <c r="AV155" s="5"/>
      <c r="AW155" s="5"/>
      <c r="AX155" s="5"/>
      <c r="AY155" s="5"/>
      <c r="AZ155" s="5"/>
      <c r="BA155" s="5"/>
    </row>
    <row r="156" spans="1:53" x14ac:dyDescent="0.45">
      <c r="A156" s="1"/>
      <c r="B156" s="2"/>
      <c r="C156" s="1" t="s">
        <v>150</v>
      </c>
      <c r="D156" s="2">
        <v>4309704</v>
      </c>
      <c r="E156" s="3" t="s">
        <v>838</v>
      </c>
      <c r="F156" s="3" t="s">
        <v>839</v>
      </c>
      <c r="G156" s="3" t="s">
        <v>475</v>
      </c>
      <c r="H156" s="5">
        <v>472502081172254</v>
      </c>
      <c r="I156" s="5">
        <v>449853213540845</v>
      </c>
      <c r="J156" s="5">
        <v>411246436192545</v>
      </c>
      <c r="K156" s="5">
        <v>39076087986611</v>
      </c>
      <c r="L156" s="5">
        <v>359721793679264</v>
      </c>
      <c r="M156" s="5">
        <v>377970457424294</v>
      </c>
      <c r="N156" s="5">
        <v>382082785008709</v>
      </c>
      <c r="O156" s="5">
        <v>38699880701004</v>
      </c>
      <c r="P156" s="5">
        <v>36559633516406</v>
      </c>
      <c r="Q156" s="5">
        <v>361498597046989</v>
      </c>
      <c r="R156" s="5">
        <v>354410797756902</v>
      </c>
      <c r="S156" s="5">
        <v>304390590422075</v>
      </c>
      <c r="T156" s="5">
        <v>310915283868673</v>
      </c>
      <c r="U156" s="5">
        <v>31816512641606</v>
      </c>
      <c r="V156" s="5">
        <v>298893851636186</v>
      </c>
      <c r="W156" s="5">
        <v>313807470166357</v>
      </c>
      <c r="X156" s="5">
        <v>311395904110002</v>
      </c>
      <c r="Y156" s="5">
        <v>318507541596714</v>
      </c>
      <c r="Z156" s="5">
        <v>293409760377106</v>
      </c>
      <c r="AA156" s="5">
        <v>348334824755694</v>
      </c>
      <c r="AB156" s="5">
        <v>322072854376566</v>
      </c>
      <c r="AC156" s="5">
        <v>317068125788474</v>
      </c>
      <c r="AD156" s="5">
        <v>345896499851007</v>
      </c>
      <c r="AE156" s="5">
        <v>361740095451433</v>
      </c>
      <c r="AF156" s="5">
        <v>372396587910812</v>
      </c>
      <c r="AG156" s="5">
        <v>349009238065534</v>
      </c>
      <c r="AH156" s="5">
        <v>332235654419488</v>
      </c>
      <c r="AI156" s="5">
        <v>313644168777372</v>
      </c>
      <c r="AJ156" s="5">
        <v>32805799951825</v>
      </c>
      <c r="AK156" s="5">
        <v>31273149529125</v>
      </c>
      <c r="AL156" s="5">
        <v>32042945528325</v>
      </c>
      <c r="AM156" s="5">
        <v>2824100254035</v>
      </c>
      <c r="AN156" s="5">
        <v>2787436673397</v>
      </c>
      <c r="AO156" s="5">
        <v>2657169613632</v>
      </c>
      <c r="AP156" s="5">
        <v>2076233943735</v>
      </c>
      <c r="AQ156" s="5"/>
      <c r="AR156" s="5"/>
      <c r="AS156" s="5"/>
      <c r="AT156" s="5"/>
      <c r="AU156" s="5"/>
      <c r="AV156" s="5"/>
      <c r="AW156" s="5"/>
      <c r="AX156" s="5"/>
      <c r="AY156" s="5"/>
      <c r="AZ156" s="5"/>
      <c r="BA156" s="5"/>
    </row>
    <row r="157" spans="1:53" x14ac:dyDescent="0.45">
      <c r="A157" s="1"/>
      <c r="B157" s="2"/>
      <c r="C157" s="1" t="s">
        <v>151</v>
      </c>
      <c r="D157" s="2">
        <v>4004341</v>
      </c>
      <c r="E157" s="3" t="s">
        <v>840</v>
      </c>
      <c r="F157" s="3" t="s">
        <v>841</v>
      </c>
      <c r="G157" s="3" t="s">
        <v>552</v>
      </c>
      <c r="H157" s="5">
        <v>12573307563168</v>
      </c>
      <c r="I157" s="5">
        <v>1327438300716</v>
      </c>
      <c r="J157" s="5">
        <v>931230837798</v>
      </c>
      <c r="K157" s="5">
        <v>9567574829428</v>
      </c>
      <c r="L157" s="5">
        <v>9099063282078</v>
      </c>
      <c r="M157" s="5">
        <v>936822902015</v>
      </c>
      <c r="N157" s="5">
        <v>8925348663</v>
      </c>
      <c r="O157" s="5">
        <v>8525662796</v>
      </c>
      <c r="P157" s="5">
        <v>9248296357872</v>
      </c>
      <c r="Q157" s="5">
        <v>989128719488</v>
      </c>
      <c r="R157" s="5">
        <v>976590104352</v>
      </c>
      <c r="S157" s="5">
        <v>970666243596</v>
      </c>
      <c r="T157" s="5">
        <v>107030728392</v>
      </c>
      <c r="U157" s="5">
        <v>114532416768</v>
      </c>
      <c r="V157" s="5">
        <v>104032103472</v>
      </c>
      <c r="W157" s="5">
        <v>1116075266325</v>
      </c>
      <c r="X157" s="5">
        <v>1108002520625</v>
      </c>
      <c r="Y157" s="5">
        <v>11264150728579</v>
      </c>
      <c r="Z157" s="5">
        <v>12020743037835</v>
      </c>
      <c r="AA157" s="5">
        <v>11347817152875</v>
      </c>
      <c r="AB157" s="5">
        <v>982960784211</v>
      </c>
      <c r="AC157" s="5">
        <v>822802308281796</v>
      </c>
      <c r="AD157" s="5">
        <v>870347798334</v>
      </c>
      <c r="AE157" s="5">
        <v>732172131665</v>
      </c>
      <c r="AF157" s="5">
        <v>826180909114</v>
      </c>
      <c r="AG157" s="5">
        <v>913952249693</v>
      </c>
      <c r="AH157" s="5">
        <v>8845095104034</v>
      </c>
      <c r="AI157" s="5">
        <v>1058808577722</v>
      </c>
      <c r="AJ157" s="5">
        <v>1060134073411</v>
      </c>
      <c r="AK157" s="5">
        <v>1112475967281</v>
      </c>
      <c r="AL157" s="5">
        <v>11808571625553</v>
      </c>
      <c r="AM157" s="5">
        <v>1223931082113</v>
      </c>
      <c r="AN157" s="5">
        <v>11716878933734</v>
      </c>
      <c r="AO157" s="5">
        <v>10811452088762</v>
      </c>
      <c r="AP157" s="5">
        <v>998958295638</v>
      </c>
      <c r="AQ157" s="5"/>
      <c r="AR157" s="5"/>
      <c r="AS157" s="5"/>
      <c r="AT157" s="5"/>
      <c r="AU157" s="5"/>
      <c r="AV157" s="5"/>
      <c r="AW157" s="5"/>
      <c r="AX157" s="5"/>
      <c r="AY157" s="5"/>
      <c r="AZ157" s="5"/>
      <c r="BA157" s="5"/>
    </row>
    <row r="158" spans="1:53" x14ac:dyDescent="0.45">
      <c r="A158" s="1"/>
      <c r="B158" s="2"/>
      <c r="C158" s="1" t="s">
        <v>152</v>
      </c>
      <c r="D158" s="2">
        <v>4040823</v>
      </c>
      <c r="E158" s="3" t="s">
        <v>842</v>
      </c>
      <c r="F158" s="3" t="s">
        <v>843</v>
      </c>
      <c r="G158" s="3" t="s">
        <v>844</v>
      </c>
      <c r="H158" s="5">
        <v>117922481429238</v>
      </c>
      <c r="I158" s="5">
        <v>115067940093441</v>
      </c>
      <c r="J158" s="5">
        <v>112220003971204</v>
      </c>
      <c r="K158" s="5">
        <v>107947825938808</v>
      </c>
      <c r="L158" s="5">
        <v>144415698299234</v>
      </c>
      <c r="M158" s="5">
        <v>148546705860526</v>
      </c>
      <c r="N158" s="5">
        <v>144791298123</v>
      </c>
      <c r="O158" s="5">
        <v>1463580792</v>
      </c>
      <c r="P158" s="5">
        <v>149288044553748</v>
      </c>
      <c r="Q158" s="5">
        <v>1543886161104</v>
      </c>
      <c r="R158" s="5">
        <v>14802148557</v>
      </c>
      <c r="S158" s="5">
        <v>1301592110976</v>
      </c>
      <c r="T158" s="5">
        <v>1341303365304</v>
      </c>
      <c r="U158" s="5">
        <v>12966379272</v>
      </c>
      <c r="V158" s="5">
        <v>135462289665685</v>
      </c>
      <c r="W158" s="5">
        <v>1428847043598</v>
      </c>
      <c r="X158" s="5">
        <v>141198638789666</v>
      </c>
      <c r="Y158" s="5">
        <v>141466167134859</v>
      </c>
      <c r="Z158" s="5">
        <v>137596719978</v>
      </c>
      <c r="AA158" s="5">
        <v>13445118035415</v>
      </c>
      <c r="AB158" s="5">
        <v>124960183958703</v>
      </c>
      <c r="AC158" s="5">
        <v>1146112808364</v>
      </c>
      <c r="AD158" s="5">
        <v>115839619410183</v>
      </c>
      <c r="AE158" s="5">
        <v>121489552852536</v>
      </c>
      <c r="AF158" s="5">
        <v>125039553338362</v>
      </c>
      <c r="AG158" s="5">
        <v>114498397801573</v>
      </c>
      <c r="AH158" s="5">
        <v>102964954199986</v>
      </c>
      <c r="AI158" s="5">
        <v>103345802603722</v>
      </c>
      <c r="AJ158" s="5">
        <v>109308561597512</v>
      </c>
      <c r="AK158" s="5">
        <v>104016994113355</v>
      </c>
      <c r="AL158" s="5">
        <v>109092545699399</v>
      </c>
      <c r="AM158" s="5">
        <v>10303863473835</v>
      </c>
      <c r="AN158" s="5">
        <v>103308733194709</v>
      </c>
      <c r="AO158" s="5">
        <v>99499137616726</v>
      </c>
      <c r="AP158" s="5">
        <v>902113197030585</v>
      </c>
      <c r="AQ158" s="5"/>
      <c r="AR158" s="5"/>
      <c r="AS158" s="5"/>
      <c r="AT158" s="5"/>
      <c r="AU158" s="5"/>
      <c r="AV158" s="5"/>
      <c r="AW158" s="5"/>
      <c r="AX158" s="5"/>
      <c r="AY158" s="5"/>
      <c r="AZ158" s="5"/>
      <c r="BA158" s="5"/>
    </row>
    <row r="159" spans="1:53" x14ac:dyDescent="0.45">
      <c r="A159" s="1"/>
      <c r="B159" s="2"/>
      <c r="C159" s="1" t="s">
        <v>153</v>
      </c>
      <c r="D159" s="2">
        <v>4570011</v>
      </c>
      <c r="E159" s="3" t="s">
        <v>845</v>
      </c>
      <c r="F159" s="3" t="s">
        <v>846</v>
      </c>
      <c r="G159" s="3" t="s">
        <v>793</v>
      </c>
      <c r="H159" s="5">
        <v>295286530213344</v>
      </c>
      <c r="I159" s="5">
        <v>305136651014293</v>
      </c>
      <c r="J159" s="5">
        <v>3103357672008</v>
      </c>
      <c r="K159" s="5">
        <v>294332020600816</v>
      </c>
      <c r="L159" s="5">
        <v>307453014484123</v>
      </c>
      <c r="M159" s="5">
        <v>297969645012534</v>
      </c>
      <c r="N159" s="5">
        <v>293072364926249</v>
      </c>
      <c r="O159" s="5">
        <v>305803291594265</v>
      </c>
      <c r="P159" s="5">
        <v>298686845002465</v>
      </c>
      <c r="Q159" s="5">
        <v>291037559263837</v>
      </c>
      <c r="R159" s="5">
        <v>253780901188367</v>
      </c>
      <c r="S159" s="5">
        <v>254653469501209</v>
      </c>
      <c r="T159" s="5">
        <v>241672092924714</v>
      </c>
      <c r="U159" s="5">
        <v>228747063165271</v>
      </c>
      <c r="V159" s="5">
        <v>231690488320762</v>
      </c>
      <c r="W159" s="5">
        <v>227791437434909</v>
      </c>
      <c r="X159" s="5">
        <v>235041803766776</v>
      </c>
      <c r="Y159" s="5">
        <v>23168483779889</v>
      </c>
      <c r="Z159" s="5">
        <v>242398766530318</v>
      </c>
      <c r="AA159" s="5">
        <v>225835502893578</v>
      </c>
      <c r="AB159" s="5">
        <v>200264775201905</v>
      </c>
      <c r="AC159" s="5">
        <v>192968704607113</v>
      </c>
      <c r="AD159" s="5">
        <v>197375776564317</v>
      </c>
      <c r="AE159" s="5">
        <v>172542896462412</v>
      </c>
      <c r="AF159" s="5">
        <v>173916916702532</v>
      </c>
      <c r="AG159" s="5">
        <v>154123795030058</v>
      </c>
      <c r="AH159" s="5">
        <v>139536840881712</v>
      </c>
      <c r="AI159" s="5">
        <v>137177107998417</v>
      </c>
      <c r="AJ159" s="5">
        <v>143794664993694</v>
      </c>
      <c r="AK159" s="5">
        <v>1370033080731</v>
      </c>
      <c r="AL159" s="5">
        <v>146750644467276</v>
      </c>
      <c r="AM159" s="5">
        <v>13013178838651</v>
      </c>
      <c r="AN159" s="5">
        <v>12240590372952</v>
      </c>
      <c r="AO159" s="5">
        <v>112784586918595</v>
      </c>
      <c r="AP159" s="5">
        <v>108358097829005</v>
      </c>
      <c r="AQ159" s="5"/>
      <c r="AR159" s="5"/>
      <c r="AS159" s="5"/>
      <c r="AT159" s="5"/>
      <c r="AU159" s="5"/>
      <c r="AV159" s="5"/>
      <c r="AW159" s="5"/>
      <c r="AX159" s="5"/>
      <c r="AY159" s="5"/>
      <c r="AZ159" s="5"/>
      <c r="BA159" s="5"/>
    </row>
    <row r="160" spans="1:53" x14ac:dyDescent="0.45">
      <c r="A160" s="1"/>
      <c r="B160" s="2"/>
      <c r="C160" s="1" t="s">
        <v>154</v>
      </c>
      <c r="D160" s="2">
        <v>103054</v>
      </c>
      <c r="E160" s="3" t="s">
        <v>847</v>
      </c>
      <c r="F160" s="3" t="s">
        <v>848</v>
      </c>
      <c r="G160" s="3" t="s">
        <v>594</v>
      </c>
      <c r="H160" s="5">
        <v>195162556001216</v>
      </c>
      <c r="I160" s="5">
        <v>206191134564166</v>
      </c>
      <c r="J160" s="5">
        <v>212306371817232</v>
      </c>
      <c r="K160" s="5">
        <v>204899724230759</v>
      </c>
      <c r="L160" s="5">
        <v>207704682532779</v>
      </c>
      <c r="M160" s="5">
        <v>212111033230962</v>
      </c>
      <c r="N160" s="5">
        <v>2118455316425</v>
      </c>
      <c r="O160" s="5">
        <v>21269036215</v>
      </c>
      <c r="P160" s="5">
        <v>217608143753317</v>
      </c>
      <c r="Q160" s="5">
        <v>213608676624</v>
      </c>
      <c r="R160" s="5">
        <v>21809984565944</v>
      </c>
      <c r="S160" s="5">
        <v>206042256069065</v>
      </c>
      <c r="T160" s="5">
        <v>2229364225048</v>
      </c>
      <c r="U160" s="5">
        <v>207583207436</v>
      </c>
      <c r="V160" s="5">
        <v>206013750020455</v>
      </c>
      <c r="W160" s="5">
        <v>2092143180582</v>
      </c>
      <c r="X160" s="5">
        <v>2127253354226</v>
      </c>
      <c r="Y160" s="5">
        <v>222428973393807</v>
      </c>
      <c r="Z160" s="5">
        <v>226695375811424</v>
      </c>
      <c r="AA160" s="5">
        <v>227300828273854</v>
      </c>
      <c r="AB160" s="5">
        <v>2172360964275</v>
      </c>
      <c r="AC160" s="5">
        <v>250384058357765</v>
      </c>
      <c r="AD160" s="5">
        <v>259510065461194</v>
      </c>
      <c r="AE160" s="5">
        <v>273648047879321</v>
      </c>
      <c r="AF160" s="5">
        <v>275213020618733</v>
      </c>
      <c r="AG160" s="5">
        <v>255326409625857</v>
      </c>
      <c r="AH160" s="5">
        <v>245068416914976</v>
      </c>
      <c r="AI160" s="5">
        <v>231587038708941</v>
      </c>
      <c r="AJ160" s="5">
        <v>246514408052766</v>
      </c>
      <c r="AK160" s="5">
        <v>229295150198549</v>
      </c>
      <c r="AL160" s="5">
        <v>24648106355235</v>
      </c>
      <c r="AM160" s="5">
        <v>240129784754469</v>
      </c>
      <c r="AN160" s="5">
        <v>263666384612044</v>
      </c>
      <c r="AO160" s="5">
        <v>24992653966153</v>
      </c>
      <c r="AP160" s="5">
        <v>249099535373104</v>
      </c>
      <c r="AQ160" s="5"/>
      <c r="AR160" s="5"/>
      <c r="AS160" s="5"/>
      <c r="AT160" s="5"/>
      <c r="AU160" s="5"/>
      <c r="AV160" s="5"/>
      <c r="AW160" s="5"/>
      <c r="AX160" s="5"/>
      <c r="AY160" s="5"/>
      <c r="AZ160" s="5"/>
      <c r="BA160" s="5"/>
    </row>
    <row r="161" spans="1:53" x14ac:dyDescent="0.45">
      <c r="A161" s="1"/>
      <c r="B161" s="2"/>
      <c r="C161" s="1" t="s">
        <v>155</v>
      </c>
      <c r="D161" s="2">
        <v>103619</v>
      </c>
      <c r="E161" s="3" t="s">
        <v>849</v>
      </c>
      <c r="F161" s="3" t="s">
        <v>850</v>
      </c>
      <c r="G161" s="3" t="s">
        <v>527</v>
      </c>
      <c r="H161" s="5">
        <v>530576673225754</v>
      </c>
      <c r="I161" s="5">
        <v>543973760955284</v>
      </c>
      <c r="J161" s="5">
        <v>54259731907296</v>
      </c>
      <c r="K161" s="5">
        <v>533431307844544</v>
      </c>
      <c r="L161" s="5">
        <v>531878204643181</v>
      </c>
      <c r="M161" s="5">
        <v>565513928912508</v>
      </c>
      <c r="N161" s="5">
        <v>573221690760114</v>
      </c>
      <c r="O161" s="5">
        <v>54807782013804</v>
      </c>
      <c r="P161" s="5">
        <v>594232497009653</v>
      </c>
      <c r="Q161" s="5">
        <v>600021215472672</v>
      </c>
      <c r="R161" s="5">
        <v>584237937135816</v>
      </c>
      <c r="S161" s="5">
        <v>543251658794152</v>
      </c>
      <c r="T161" s="5">
        <v>557011988549718</v>
      </c>
      <c r="U161" s="5">
        <v>530129427526776</v>
      </c>
      <c r="V161" s="5">
        <v>488495272491605</v>
      </c>
      <c r="W161" s="5">
        <v>474826384642703</v>
      </c>
      <c r="X161" s="5">
        <v>478588305990148</v>
      </c>
      <c r="Y161" s="5">
        <v>457158108854315</v>
      </c>
      <c r="Z161" s="5">
        <v>46773654523772</v>
      </c>
      <c r="AA161" s="5">
        <v>459983746126806</v>
      </c>
      <c r="AB161" s="5">
        <v>430955462527004</v>
      </c>
      <c r="AC161" s="5">
        <v>452521252519547</v>
      </c>
      <c r="AD161" s="5">
        <v>464438903013754</v>
      </c>
      <c r="AE161" s="5">
        <v>460467348971004</v>
      </c>
      <c r="AF161" s="5">
        <v>476785089892168</v>
      </c>
      <c r="AG161" s="5">
        <v>414727158196067</v>
      </c>
      <c r="AH161" s="5">
        <v>388609864620292</v>
      </c>
      <c r="AI161" s="5">
        <v>382650547848429</v>
      </c>
      <c r="AJ161" s="5">
        <v>408506731968346</v>
      </c>
      <c r="AK161" s="5">
        <v>385263080378379</v>
      </c>
      <c r="AL161" s="5">
        <v>387487946284951</v>
      </c>
      <c r="AM161" s="5">
        <v>386508075990525</v>
      </c>
      <c r="AN161" s="5">
        <v>424729530176183</v>
      </c>
      <c r="AO161" s="5">
        <v>405302340880478</v>
      </c>
      <c r="AP161" s="5">
        <v>401372294534946</v>
      </c>
      <c r="AQ161" s="5"/>
      <c r="AR161" s="5"/>
      <c r="AS161" s="5"/>
      <c r="AT161" s="5"/>
      <c r="AU161" s="5"/>
      <c r="AV161" s="5"/>
      <c r="AW161" s="5"/>
      <c r="AX161" s="5"/>
      <c r="AY161" s="5"/>
      <c r="AZ161" s="5"/>
      <c r="BA161" s="5"/>
    </row>
    <row r="162" spans="1:53" x14ac:dyDescent="0.45">
      <c r="A162" s="1"/>
      <c r="B162" s="2"/>
      <c r="C162" s="1" t="s">
        <v>156</v>
      </c>
      <c r="D162" s="2">
        <v>103163</v>
      </c>
      <c r="E162" s="3" t="s">
        <v>851</v>
      </c>
      <c r="F162" s="3" t="s">
        <v>852</v>
      </c>
      <c r="G162" s="3" t="s">
        <v>594</v>
      </c>
      <c r="H162" s="5">
        <v>132742970840071</v>
      </c>
      <c r="I162" s="5">
        <v>136959149201386</v>
      </c>
      <c r="J162" s="5">
        <v>148758917317648</v>
      </c>
      <c r="K162" s="5">
        <v>141834887276482</v>
      </c>
      <c r="L162" s="5">
        <v>147799404837757</v>
      </c>
      <c r="M162" s="5">
        <v>146531816654434</v>
      </c>
      <c r="N162" s="5">
        <v>147923635171523</v>
      </c>
      <c r="O162" s="5">
        <v>149997639260496</v>
      </c>
      <c r="P162" s="5">
        <v>1471224029262</v>
      </c>
      <c r="Q162" s="5">
        <v>141950756371417</v>
      </c>
      <c r="R162" s="5">
        <v>14492161893678</v>
      </c>
      <c r="S162" s="5">
        <v>136183746183407</v>
      </c>
      <c r="T162" s="5">
        <v>14430033344073</v>
      </c>
      <c r="U162" s="5">
        <v>13382610808857</v>
      </c>
      <c r="V162" s="5">
        <v>127978937088584</v>
      </c>
      <c r="W162" s="5">
        <v>129761703622166</v>
      </c>
      <c r="X162" s="5">
        <v>133426140367766</v>
      </c>
      <c r="Y162" s="5">
        <v>136952318361834</v>
      </c>
      <c r="Z162" s="5">
        <v>134382704932099</v>
      </c>
      <c r="AA162" s="5">
        <v>133593536889265</v>
      </c>
      <c r="AB162" s="5">
        <v>125937761242725</v>
      </c>
      <c r="AC162" s="5">
        <v>12601717952565</v>
      </c>
      <c r="AD162" s="5">
        <v>130053306976124</v>
      </c>
      <c r="AE162" s="5">
        <v>145565721426585</v>
      </c>
      <c r="AF162" s="5">
        <v>144256586002059</v>
      </c>
      <c r="AG162" s="5">
        <v>1304086882329</v>
      </c>
      <c r="AH162" s="5">
        <v>131617174238386</v>
      </c>
      <c r="AI162" s="5">
        <v>125967444873716</v>
      </c>
      <c r="AJ162" s="5">
        <v>132412774458195</v>
      </c>
      <c r="AK162" s="5">
        <v>125150443964438</v>
      </c>
      <c r="AL162" s="5">
        <v>133067532678971</v>
      </c>
      <c r="AM162" s="5">
        <v>129115742828084</v>
      </c>
      <c r="AN162" s="5">
        <v>139370786928094</v>
      </c>
      <c r="AO162" s="5">
        <v>126330638920265</v>
      </c>
      <c r="AP162" s="5">
        <v>128027324460606</v>
      </c>
      <c r="AQ162" s="5"/>
      <c r="AR162" s="5"/>
      <c r="AS162" s="5"/>
      <c r="AT162" s="5"/>
      <c r="AU162" s="5"/>
      <c r="AV162" s="5"/>
      <c r="AW162" s="5"/>
      <c r="AX162" s="5"/>
      <c r="AY162" s="5"/>
      <c r="AZ162" s="5"/>
      <c r="BA162" s="5"/>
    </row>
    <row r="163" spans="1:53" x14ac:dyDescent="0.45">
      <c r="A163" s="1"/>
      <c r="B163" s="2"/>
      <c r="C163" s="1" t="s">
        <v>157</v>
      </c>
      <c r="D163" s="2">
        <v>4050636</v>
      </c>
      <c r="E163" s="3" t="s">
        <v>853</v>
      </c>
      <c r="F163" s="3" t="s">
        <v>854</v>
      </c>
      <c r="G163" s="3" t="s">
        <v>855</v>
      </c>
      <c r="H163" s="5">
        <v>756771989870832</v>
      </c>
      <c r="I163" s="5">
        <v>75731736249828</v>
      </c>
      <c r="J163" s="5">
        <v>83766214794</v>
      </c>
      <c r="K163" s="5">
        <v>793519432375449</v>
      </c>
      <c r="L163" s="5">
        <v>873070744718794</v>
      </c>
      <c r="M163" s="5">
        <v>9142625979475</v>
      </c>
      <c r="N163" s="5">
        <v>916453457668161</v>
      </c>
      <c r="O163" s="5">
        <v>9307881375111</v>
      </c>
      <c r="P163" s="5">
        <v>9485196085404</v>
      </c>
      <c r="Q163" s="5">
        <v>894456497084483</v>
      </c>
      <c r="R163" s="5">
        <v>905920539012</v>
      </c>
      <c r="S163" s="5">
        <v>833045406628606</v>
      </c>
      <c r="T163" s="5">
        <v>837895447012744</v>
      </c>
      <c r="U163" s="5">
        <v>81412561445006</v>
      </c>
      <c r="V163" s="5">
        <v>7592374411776</v>
      </c>
      <c r="W163" s="5">
        <v>707939513574955</v>
      </c>
      <c r="X163" s="5">
        <v>72664142643745</v>
      </c>
      <c r="Y163" s="5">
        <v>7084867057058</v>
      </c>
      <c r="Z163" s="5">
        <v>696430343151</v>
      </c>
      <c r="AA163" s="5">
        <v>681416955977</v>
      </c>
      <c r="AB163" s="5">
        <v>76718870712</v>
      </c>
      <c r="AC163" s="5">
        <v>731533495762088</v>
      </c>
      <c r="AD163" s="5">
        <v>712442352463799</v>
      </c>
      <c r="AE163" s="5">
        <v>726283504270129</v>
      </c>
      <c r="AF163" s="5">
        <v>752139680910671</v>
      </c>
      <c r="AG163" s="5">
        <v>69535783915325</v>
      </c>
      <c r="AH163" s="5">
        <v>686341355519251</v>
      </c>
      <c r="AI163" s="5">
        <v>693557646975184</v>
      </c>
      <c r="AJ163" s="5">
        <v>7324871197056</v>
      </c>
      <c r="AK163" s="5">
        <v>725997015850491</v>
      </c>
      <c r="AL163" s="5">
        <v>73481248085315</v>
      </c>
      <c r="AM163" s="5">
        <v>70980214433625</v>
      </c>
      <c r="AN163" s="5">
        <v>72031984167</v>
      </c>
      <c r="AO163" s="5">
        <v>7071154890613</v>
      </c>
      <c r="AP163" s="5">
        <v>686848227665028</v>
      </c>
      <c r="AQ163" s="5"/>
      <c r="AR163" s="5"/>
      <c r="AS163" s="5"/>
      <c r="AT163" s="5"/>
      <c r="AU163" s="5"/>
      <c r="AV163" s="5"/>
      <c r="AW163" s="5"/>
      <c r="AX163" s="5"/>
      <c r="AY163" s="5"/>
      <c r="AZ163" s="5"/>
      <c r="BA163" s="5"/>
    </row>
    <row r="164" spans="1:53" x14ac:dyDescent="0.45">
      <c r="A164" s="1"/>
      <c r="B164" s="2"/>
      <c r="C164" s="1" t="s">
        <v>158</v>
      </c>
      <c r="D164" s="2">
        <v>8603803</v>
      </c>
      <c r="E164" s="3" t="s">
        <v>856</v>
      </c>
      <c r="F164" s="3" t="s">
        <v>857</v>
      </c>
      <c r="G164" s="3" t="s">
        <v>507</v>
      </c>
      <c r="H164" s="5">
        <v>624814237200384</v>
      </c>
      <c r="I164" s="5">
        <v>682609579718371</v>
      </c>
      <c r="J164" s="5">
        <v>652770982140032</v>
      </c>
      <c r="K164" s="5">
        <v>596320237785808</v>
      </c>
      <c r="L164" s="5">
        <v>613959394746642</v>
      </c>
      <c r="M164" s="5">
        <v>611873662262713</v>
      </c>
      <c r="N164" s="5">
        <v>660336507631163</v>
      </c>
      <c r="O164" s="5">
        <v>66962187987855</v>
      </c>
      <c r="P164" s="5">
        <v>678309549488342</v>
      </c>
      <c r="Q164" s="5">
        <v>720925474153903</v>
      </c>
      <c r="R164" s="5">
        <v>722287061022228</v>
      </c>
      <c r="S164" s="5">
        <v>718588849245268</v>
      </c>
      <c r="T164" s="5">
        <v>756858765459426</v>
      </c>
      <c r="U164" s="5">
        <v>764002015636992</v>
      </c>
      <c r="V164" s="5">
        <v>7426425056</v>
      </c>
      <c r="W164" s="5">
        <v>7169244525</v>
      </c>
      <c r="X164" s="5">
        <v>6998317634</v>
      </c>
      <c r="Y164" s="5">
        <v>704641455662925</v>
      </c>
      <c r="Z164" s="5">
        <v>71560614852203</v>
      </c>
      <c r="AA164" s="5">
        <v>71715168098523</v>
      </c>
      <c r="AB164" s="5">
        <v>638224485447262</v>
      </c>
      <c r="AC164" s="5">
        <v>566590938522836</v>
      </c>
      <c r="AD164" s="5">
        <v>568968017444006</v>
      </c>
      <c r="AE164" s="5">
        <v>551909050329552</v>
      </c>
      <c r="AF164" s="5">
        <v>570986034783014</v>
      </c>
      <c r="AG164" s="5">
        <v>508539440171518</v>
      </c>
      <c r="AH164" s="5">
        <v>486535237489449</v>
      </c>
      <c r="AI164" s="5">
        <v>460909772778655</v>
      </c>
      <c r="AJ164" s="5">
        <v>450647423149544</v>
      </c>
      <c r="AK164" s="5">
        <v>406243826984552</v>
      </c>
      <c r="AL164" s="5">
        <v>44182855193085</v>
      </c>
      <c r="AM164" s="5">
        <v>4444856573175</v>
      </c>
      <c r="AN164" s="5">
        <v>4767505476948</v>
      </c>
      <c r="AO164" s="5">
        <v>457835150406622</v>
      </c>
      <c r="AP164" s="5">
        <v>494700919090884</v>
      </c>
      <c r="AQ164" s="5"/>
      <c r="AR164" s="5"/>
      <c r="AS164" s="5"/>
      <c r="AT164" s="5"/>
      <c r="AU164" s="5"/>
      <c r="AV164" s="5"/>
      <c r="AW164" s="5"/>
      <c r="AX164" s="5"/>
      <c r="AY164" s="5"/>
      <c r="AZ164" s="5"/>
      <c r="BA164" s="5"/>
    </row>
    <row r="165" spans="1:53" x14ac:dyDescent="0.45">
      <c r="A165" s="1"/>
      <c r="B165" s="2"/>
      <c r="C165" s="1" t="s">
        <v>159</v>
      </c>
      <c r="D165" s="2">
        <v>4057052</v>
      </c>
      <c r="E165" s="3" t="s">
        <v>858</v>
      </c>
      <c r="F165" s="3" t="s">
        <v>859</v>
      </c>
      <c r="G165" s="3" t="s">
        <v>507</v>
      </c>
      <c r="H165" s="5">
        <v>166733600070136</v>
      </c>
      <c r="I165" s="5">
        <v>172558724915974</v>
      </c>
      <c r="J165" s="5">
        <v>170509155042701</v>
      </c>
      <c r="K165" s="5">
        <v>162049964450735</v>
      </c>
      <c r="L165" s="5">
        <v>168115209517584</v>
      </c>
      <c r="M165" s="5">
        <v>163450697956695</v>
      </c>
      <c r="N165" s="5">
        <v>168622274343255</v>
      </c>
      <c r="O165" s="5">
        <v>175055008712784</v>
      </c>
      <c r="P165" s="5">
        <v>172757649981946</v>
      </c>
      <c r="Q165" s="5">
        <v>174195474971732</v>
      </c>
      <c r="R165" s="5">
        <v>1751669724</v>
      </c>
      <c r="S165" s="5">
        <v>162451648900956</v>
      </c>
      <c r="T165" s="5">
        <v>165792686884732</v>
      </c>
      <c r="U165" s="5">
        <v>154743325568762</v>
      </c>
      <c r="V165" s="5">
        <v>159354486625308</v>
      </c>
      <c r="W165" s="5">
        <v>152897715203035</v>
      </c>
      <c r="X165" s="5">
        <v>153571943516159</v>
      </c>
      <c r="Y165" s="5">
        <v>165935632835</v>
      </c>
      <c r="Z165" s="5">
        <v>171091816264154</v>
      </c>
      <c r="AA165" s="5">
        <v>157448573526065</v>
      </c>
      <c r="AB165" s="5">
        <v>156321486174031</v>
      </c>
      <c r="AC165" s="5">
        <v>15845519205</v>
      </c>
      <c r="AD165" s="5">
        <v>157705173506682</v>
      </c>
      <c r="AE165" s="5">
        <v>149151897373304</v>
      </c>
      <c r="AF165" s="5">
        <v>152970943449514</v>
      </c>
      <c r="AG165" s="5">
        <v>14651794963417</v>
      </c>
      <c r="AH165" s="5">
        <v>143863565485434</v>
      </c>
      <c r="AI165" s="5">
        <v>133763056036856</v>
      </c>
      <c r="AJ165" s="5">
        <v>14266286386</v>
      </c>
      <c r="AK165" s="5">
        <v>129494824689793</v>
      </c>
      <c r="AL165" s="5">
        <v>142541593864968</v>
      </c>
      <c r="AM165" s="5">
        <v>1380689379</v>
      </c>
      <c r="AN165" s="5">
        <v>149264596105365</v>
      </c>
      <c r="AO165" s="5">
        <v>146305762875</v>
      </c>
      <c r="AP165" s="5">
        <v>155960282823394</v>
      </c>
      <c r="AQ165" s="5"/>
      <c r="AR165" s="5"/>
      <c r="AS165" s="5"/>
      <c r="AT165" s="5"/>
      <c r="AU165" s="5"/>
      <c r="AV165" s="5"/>
      <c r="AW165" s="5"/>
      <c r="AX165" s="5"/>
      <c r="AY165" s="5"/>
      <c r="AZ165" s="5"/>
      <c r="BA165" s="5"/>
    </row>
    <row r="166" spans="1:53" x14ac:dyDescent="0.45">
      <c r="A166" s="1"/>
      <c r="B166" s="2"/>
      <c r="C166" s="1" t="s">
        <v>160</v>
      </c>
      <c r="D166" s="2">
        <v>4057056</v>
      </c>
      <c r="E166" s="3" t="s">
        <v>860</v>
      </c>
      <c r="F166" s="3" t="s">
        <v>861</v>
      </c>
      <c r="G166" s="3" t="s">
        <v>507</v>
      </c>
      <c r="H166" s="5">
        <v>315358007962625</v>
      </c>
      <c r="I166" s="5">
        <v>336527884380226</v>
      </c>
      <c r="J166" s="5">
        <v>331618104312002</v>
      </c>
      <c r="K166" s="5">
        <v>306004850566521</v>
      </c>
      <c r="L166" s="5">
        <v>306175170159626</v>
      </c>
      <c r="M166" s="5">
        <v>30127412889</v>
      </c>
      <c r="N166" s="5">
        <v>292789802655</v>
      </c>
      <c r="O166" s="5">
        <v>2992775499</v>
      </c>
      <c r="P166" s="5">
        <v>2942381334464</v>
      </c>
      <c r="Q166" s="5">
        <v>3115043165696</v>
      </c>
      <c r="R166" s="5">
        <v>320422420038</v>
      </c>
      <c r="S166" s="5">
        <v>3069872380692</v>
      </c>
      <c r="T166" s="5">
        <v>3104003918379</v>
      </c>
      <c r="U166" s="5">
        <v>283946702842</v>
      </c>
      <c r="V166" s="5">
        <v>28700289801197</v>
      </c>
      <c r="W166" s="5">
        <v>27332131827195</v>
      </c>
      <c r="X166" s="5">
        <v>28147258139</v>
      </c>
      <c r="Y166" s="5">
        <v>2960397659016</v>
      </c>
      <c r="Z166" s="5">
        <v>2905085060622</v>
      </c>
      <c r="AA166" s="5">
        <v>27323210565135</v>
      </c>
      <c r="AB166" s="5">
        <v>28239506448615</v>
      </c>
      <c r="AC166" s="5">
        <v>2666675089044</v>
      </c>
      <c r="AD166" s="5">
        <v>251290420219459</v>
      </c>
      <c r="AE166" s="5">
        <v>235125508331164</v>
      </c>
      <c r="AF166" s="5">
        <v>237709971608086</v>
      </c>
      <c r="AG166" s="5">
        <v>232826822674438</v>
      </c>
      <c r="AH166" s="5">
        <v>242605955155177</v>
      </c>
      <c r="AI166" s="5">
        <v>250339253948137</v>
      </c>
      <c r="AJ166" s="5">
        <v>264790888258981</v>
      </c>
      <c r="AK166" s="5">
        <v>242933594941328</v>
      </c>
      <c r="AL166" s="5">
        <v>265396400745</v>
      </c>
      <c r="AM166" s="5">
        <v>26163987216255</v>
      </c>
      <c r="AN166" s="5">
        <v>269367322255256</v>
      </c>
      <c r="AO166" s="5">
        <v>26011282710816</v>
      </c>
      <c r="AP166" s="5">
        <v>2743621129995</v>
      </c>
      <c r="AQ166" s="5"/>
      <c r="AR166" s="5"/>
      <c r="AS166" s="5"/>
      <c r="AT166" s="5"/>
      <c r="AU166" s="5"/>
      <c r="AV166" s="5"/>
      <c r="AW166" s="5"/>
      <c r="AX166" s="5"/>
      <c r="AY166" s="5"/>
      <c r="AZ166" s="5"/>
      <c r="BA166" s="5"/>
    </row>
    <row r="167" spans="1:53" x14ac:dyDescent="0.45">
      <c r="A167" s="1"/>
      <c r="B167" s="2"/>
      <c r="C167" s="1" t="s">
        <v>161</v>
      </c>
      <c r="D167" s="2">
        <v>4122573</v>
      </c>
      <c r="E167" s="3" t="s">
        <v>862</v>
      </c>
      <c r="F167" s="3" t="s">
        <v>863</v>
      </c>
      <c r="G167" s="3" t="s">
        <v>628</v>
      </c>
      <c r="H167" s="5">
        <v>152105310172089</v>
      </c>
      <c r="I167" s="5">
        <v>156861315144765</v>
      </c>
      <c r="J167" s="5">
        <v>163296131494659</v>
      </c>
      <c r="K167" s="5">
        <v>184674611585652</v>
      </c>
      <c r="L167" s="5">
        <v>189445586882482</v>
      </c>
      <c r="M167" s="5">
        <v>201320003875547</v>
      </c>
      <c r="N167" s="5">
        <v>197072280606953</v>
      </c>
      <c r="O167" s="5">
        <v>193161958620358</v>
      </c>
      <c r="P167" s="5">
        <v>185252938965787</v>
      </c>
      <c r="Q167" s="5">
        <v>177086583442242</v>
      </c>
      <c r="R167" s="5">
        <v>167990461086643</v>
      </c>
      <c r="S167" s="5">
        <v>169049981609125</v>
      </c>
      <c r="T167" s="5">
        <v>160997407970099</v>
      </c>
      <c r="U167" s="5">
        <v>176062154216487</v>
      </c>
      <c r="V167" s="5">
        <v>176899423493392</v>
      </c>
      <c r="W167" s="5">
        <v>155645697018801</v>
      </c>
      <c r="X167" s="5">
        <v>146721468315539</v>
      </c>
      <c r="Y167" s="5">
        <v>156297188272261</v>
      </c>
      <c r="Z167" s="5">
        <v>142408993955822</v>
      </c>
      <c r="AA167" s="5">
        <v>148712604636053</v>
      </c>
      <c r="AB167" s="5">
        <v>150720735050143</v>
      </c>
      <c r="AC167" s="5">
        <v>144313989885895</v>
      </c>
      <c r="AD167" s="5">
        <v>1403138421252</v>
      </c>
      <c r="AE167" s="5">
        <v>171979850693313</v>
      </c>
      <c r="AF167" s="5">
        <v>151301235547006</v>
      </c>
      <c r="AG167" s="5">
        <v>160485905356055</v>
      </c>
      <c r="AH167" s="5">
        <v>149665136277754</v>
      </c>
      <c r="AI167" s="5">
        <v>145705409031881</v>
      </c>
      <c r="AJ167" s="5">
        <v>141945670716612</v>
      </c>
      <c r="AK167" s="5">
        <v>125226365570972</v>
      </c>
      <c r="AL167" s="5">
        <v>124925179815073</v>
      </c>
      <c r="AM167" s="5">
        <v>107593126357229</v>
      </c>
      <c r="AN167" s="5">
        <v>111033223042855</v>
      </c>
      <c r="AO167" s="5">
        <v>103691480269634</v>
      </c>
      <c r="AP167" s="5">
        <v>963188174580509</v>
      </c>
      <c r="AQ167" s="5"/>
      <c r="AR167" s="5"/>
      <c r="AS167" s="5"/>
      <c r="AT167" s="5"/>
      <c r="AU167" s="5"/>
      <c r="AV167" s="5"/>
      <c r="AW167" s="5"/>
      <c r="AX167" s="5"/>
      <c r="AY167" s="5"/>
      <c r="AZ167" s="5"/>
      <c r="BA167" s="5"/>
    </row>
    <row r="168" spans="1:53" x14ac:dyDescent="0.45">
      <c r="A168" s="1"/>
      <c r="B168" s="2"/>
      <c r="C168" s="1" t="s">
        <v>162</v>
      </c>
      <c r="D168" s="2">
        <v>4077460</v>
      </c>
      <c r="E168" s="3" t="s">
        <v>864</v>
      </c>
      <c r="F168" s="3" t="s">
        <v>865</v>
      </c>
      <c r="G168" s="3" t="s">
        <v>653</v>
      </c>
      <c r="H168" s="5">
        <v>95735334868212</v>
      </c>
      <c r="I168" s="5">
        <v>96662826461331</v>
      </c>
      <c r="J168" s="5">
        <v>906372744078732</v>
      </c>
      <c r="K168" s="5">
        <v>915393849873511</v>
      </c>
      <c r="L168" s="5">
        <v>853839242890326</v>
      </c>
      <c r="M168" s="5">
        <v>90007359488</v>
      </c>
      <c r="N168" s="5">
        <v>89187703552</v>
      </c>
      <c r="O168" s="5">
        <v>8559077312</v>
      </c>
      <c r="P168" s="5">
        <v>93023279414</v>
      </c>
      <c r="Q168" s="5">
        <v>95462812536</v>
      </c>
      <c r="R168" s="5">
        <v>956620481858076</v>
      </c>
      <c r="S168" s="5">
        <v>870511361832</v>
      </c>
      <c r="T168" s="5">
        <v>904898397296</v>
      </c>
      <c r="U168" s="5">
        <v>89990272548</v>
      </c>
      <c r="V168" s="5">
        <v>85023303294</v>
      </c>
      <c r="W168" s="5">
        <v>82983847464</v>
      </c>
      <c r="X168" s="5">
        <v>8226112211625</v>
      </c>
      <c r="Y168" s="5">
        <v>805385712971</v>
      </c>
      <c r="Z168" s="5">
        <v>803941786008</v>
      </c>
      <c r="AA168" s="5">
        <v>794229513115</v>
      </c>
      <c r="AB168" s="5">
        <v>790794631704</v>
      </c>
      <c r="AC168" s="5">
        <v>767428316146019</v>
      </c>
      <c r="AD168" s="5">
        <v>77729982508008</v>
      </c>
      <c r="AE168" s="5">
        <v>774096814976375</v>
      </c>
      <c r="AF168" s="5">
        <v>856486146971895</v>
      </c>
      <c r="AG168" s="5">
        <v>854096282453846</v>
      </c>
      <c r="AH168" s="5">
        <v>797482423292119</v>
      </c>
      <c r="AI168" s="5">
        <v>826968963935081</v>
      </c>
      <c r="AJ168" s="5">
        <v>8114689652755</v>
      </c>
      <c r="AK168" s="5">
        <v>791698543062407</v>
      </c>
      <c r="AL168" s="5">
        <v>798897190804278</v>
      </c>
      <c r="AM168" s="5">
        <v>784987578342</v>
      </c>
      <c r="AN168" s="5">
        <v>859976259536153</v>
      </c>
      <c r="AO168" s="5">
        <v>825997838702159</v>
      </c>
      <c r="AP168" s="5">
        <v>74682693674316</v>
      </c>
      <c r="AQ168" s="5"/>
      <c r="AR168" s="5"/>
      <c r="AS168" s="5"/>
      <c r="AT168" s="5"/>
      <c r="AU168" s="5"/>
      <c r="AV168" s="5"/>
      <c r="AW168" s="5"/>
      <c r="AX168" s="5"/>
      <c r="AY168" s="5"/>
      <c r="AZ168" s="5"/>
      <c r="BA168" s="5"/>
    </row>
    <row r="169" spans="1:53" x14ac:dyDescent="0.45">
      <c r="A169" s="1"/>
      <c r="B169" s="2"/>
      <c r="C169" s="1" t="s">
        <v>163</v>
      </c>
      <c r="D169" s="2">
        <v>4092889</v>
      </c>
      <c r="E169" s="3" t="s">
        <v>866</v>
      </c>
      <c r="F169" s="3" t="s">
        <v>867</v>
      </c>
      <c r="G169" s="3" t="s">
        <v>868</v>
      </c>
      <c r="H169" s="5">
        <v>91771016436</v>
      </c>
      <c r="I169" s="5">
        <v>903199255992</v>
      </c>
      <c r="J169" s="5">
        <v>883082004978234</v>
      </c>
      <c r="K169" s="5">
        <v>852016702071557</v>
      </c>
      <c r="L169" s="5">
        <v>823690755043342</v>
      </c>
      <c r="M169" s="5">
        <v>849672627</v>
      </c>
      <c r="N169" s="5">
        <v>861150732</v>
      </c>
      <c r="O169" s="5">
        <v>8684727868</v>
      </c>
      <c r="P169" s="5">
        <v>872841176652318</v>
      </c>
      <c r="Q169" s="5">
        <v>875949927048</v>
      </c>
      <c r="R169" s="5">
        <v>93902678424</v>
      </c>
      <c r="S169" s="5">
        <v>840017455035</v>
      </c>
      <c r="T169" s="5">
        <v>920544875612</v>
      </c>
      <c r="U169" s="5">
        <v>83501808016</v>
      </c>
      <c r="V169" s="5">
        <v>83954647059129</v>
      </c>
      <c r="W169" s="5">
        <v>8886699526635</v>
      </c>
      <c r="X169" s="5">
        <v>9089255515725</v>
      </c>
      <c r="Y169" s="5">
        <v>964132278073734</v>
      </c>
      <c r="Z169" s="5">
        <v>1043345418003</v>
      </c>
      <c r="AA169" s="5">
        <v>10459817208135</v>
      </c>
      <c r="AB169" s="5">
        <v>9281404194525</v>
      </c>
      <c r="AC169" s="5">
        <v>945700626875886</v>
      </c>
      <c r="AD169" s="5">
        <v>103470676044594</v>
      </c>
      <c r="AE169" s="5">
        <v>100270912340128</v>
      </c>
      <c r="AF169" s="5">
        <v>978686938803612</v>
      </c>
      <c r="AG169" s="5">
        <v>886250976437585</v>
      </c>
      <c r="AH169" s="5">
        <v>849361029709327</v>
      </c>
      <c r="AI169" s="5">
        <v>805873498820599</v>
      </c>
      <c r="AJ169" s="5">
        <v>817425538311314</v>
      </c>
      <c r="AK169" s="5">
        <v>752379375928887</v>
      </c>
      <c r="AL169" s="5">
        <v>74332389329555</v>
      </c>
      <c r="AM169" s="5">
        <v>685845069722863</v>
      </c>
      <c r="AN169" s="5">
        <v>732083311044371</v>
      </c>
      <c r="AO169" s="5">
        <v>682637733062843</v>
      </c>
      <c r="AP169" s="5">
        <v>68006351997045</v>
      </c>
      <c r="AQ169" s="5"/>
      <c r="AR169" s="5"/>
      <c r="AS169" s="5"/>
      <c r="AT169" s="5"/>
      <c r="AU169" s="5"/>
      <c r="AV169" s="5"/>
      <c r="AW169" s="5"/>
      <c r="AX169" s="5"/>
      <c r="AY169" s="5"/>
      <c r="AZ169" s="5"/>
      <c r="BA169" s="5"/>
    </row>
    <row r="170" spans="1:53" x14ac:dyDescent="0.45">
      <c r="A170" s="1"/>
      <c r="B170" s="2"/>
      <c r="C170" s="1" t="s">
        <v>164</v>
      </c>
      <c r="D170" s="2">
        <v>3007562</v>
      </c>
      <c r="E170" s="3" t="s">
        <v>869</v>
      </c>
      <c r="F170" s="3" t="s">
        <v>870</v>
      </c>
      <c r="G170" s="3" t="s">
        <v>695</v>
      </c>
      <c r="H170" s="5">
        <v>295137284739017</v>
      </c>
      <c r="I170" s="5">
        <v>296337322159251</v>
      </c>
      <c r="J170" s="5">
        <v>303366820086104</v>
      </c>
      <c r="K170" s="5">
        <v>293899549462984</v>
      </c>
      <c r="L170" s="5">
        <v>272350540199529</v>
      </c>
      <c r="M170" s="5">
        <v>28775136378</v>
      </c>
      <c r="N170" s="5">
        <v>299809463265</v>
      </c>
      <c r="O170" s="5">
        <v>303559865</v>
      </c>
      <c r="P170" s="5">
        <v>31751387369</v>
      </c>
      <c r="Q170" s="5">
        <v>320019140939265</v>
      </c>
      <c r="R170" s="5">
        <v>319633961758306</v>
      </c>
      <c r="S170" s="5">
        <v>322469099724</v>
      </c>
      <c r="T170" s="5">
        <v>35455567078362</v>
      </c>
      <c r="U170" s="5">
        <v>342457711002</v>
      </c>
      <c r="V170" s="5">
        <v>315259783696</v>
      </c>
      <c r="W170" s="5">
        <v>322008959844</v>
      </c>
      <c r="X170" s="5">
        <v>32413922261105</v>
      </c>
      <c r="Y170" s="5">
        <v>3301252629675</v>
      </c>
      <c r="Z170" s="5">
        <v>35031421741392</v>
      </c>
      <c r="AA170" s="5">
        <v>33197321949104</v>
      </c>
      <c r="AB170" s="5">
        <v>3203423337504</v>
      </c>
      <c r="AC170" s="5">
        <v>30715038252255</v>
      </c>
      <c r="AD170" s="5">
        <v>299502933873575</v>
      </c>
      <c r="AE170" s="5">
        <v>298784348242326</v>
      </c>
      <c r="AF170" s="5">
        <v>321775468767254</v>
      </c>
      <c r="AG170" s="5">
        <v>312361417347</v>
      </c>
      <c r="AH170" s="5">
        <v>277774166908467</v>
      </c>
      <c r="AI170" s="5">
        <v>280063996874077</v>
      </c>
      <c r="AJ170" s="5">
        <v>2989045074235</v>
      </c>
      <c r="AK170" s="5">
        <v>312924738672</v>
      </c>
      <c r="AL170" s="5">
        <v>3252300249102</v>
      </c>
      <c r="AM170" s="5">
        <v>326961425916225</v>
      </c>
      <c r="AN170" s="5">
        <v>331893331899018</v>
      </c>
      <c r="AO170" s="5">
        <v>33123119584584</v>
      </c>
      <c r="AP170" s="5">
        <v>327889171678185</v>
      </c>
      <c r="AQ170" s="5"/>
      <c r="AR170" s="5"/>
      <c r="AS170" s="5"/>
      <c r="AT170" s="5"/>
      <c r="AU170" s="5"/>
      <c r="AV170" s="5"/>
      <c r="AW170" s="5"/>
      <c r="AX170" s="5"/>
      <c r="AY170" s="5"/>
      <c r="AZ170" s="5"/>
      <c r="BA170" s="5"/>
    </row>
    <row r="171" spans="1:53" x14ac:dyDescent="0.45">
      <c r="A171" s="1"/>
      <c r="B171" s="2"/>
      <c r="C171" s="1" t="s">
        <v>165</v>
      </c>
      <c r="D171" s="2">
        <v>4135450</v>
      </c>
      <c r="E171" s="3" t="s">
        <v>871</v>
      </c>
      <c r="F171" s="3" t="s">
        <v>872</v>
      </c>
      <c r="G171" s="3" t="s">
        <v>573</v>
      </c>
      <c r="H171" s="5">
        <v>684022108565635</v>
      </c>
      <c r="I171" s="5">
        <v>705352253282028</v>
      </c>
      <c r="J171" s="5">
        <v>652047519242</v>
      </c>
      <c r="K171" s="5">
        <v>648212207298489</v>
      </c>
      <c r="L171" s="5">
        <v>638833251253751</v>
      </c>
      <c r="M171" s="5">
        <v>6510487893</v>
      </c>
      <c r="N171" s="5">
        <v>7205515423</v>
      </c>
      <c r="O171" s="5">
        <v>737810979</v>
      </c>
      <c r="P171" s="5">
        <v>7598148118054</v>
      </c>
      <c r="Q171" s="5">
        <v>863854555256</v>
      </c>
      <c r="R171" s="5">
        <v>87440804286</v>
      </c>
      <c r="S171" s="5">
        <v>804728088879</v>
      </c>
      <c r="T171" s="5">
        <v>895493148192</v>
      </c>
      <c r="U171" s="5">
        <v>869732534</v>
      </c>
      <c r="V171" s="5">
        <v>823640464326</v>
      </c>
      <c r="W171" s="5">
        <v>73406516112</v>
      </c>
      <c r="X171" s="5">
        <v>728879607866187</v>
      </c>
      <c r="Y171" s="5">
        <v>73126153488331</v>
      </c>
      <c r="Z171" s="5">
        <v>686593413144</v>
      </c>
      <c r="AA171" s="5">
        <v>66323736658</v>
      </c>
      <c r="AB171" s="5">
        <v>612627326751431</v>
      </c>
      <c r="AC171" s="5">
        <v>6086388928125</v>
      </c>
      <c r="AD171" s="5">
        <v>595865525335215</v>
      </c>
      <c r="AE171" s="5">
        <v>628309962206112</v>
      </c>
      <c r="AF171" s="5">
        <v>68615209853674</v>
      </c>
      <c r="AG171" s="5">
        <v>700923191206</v>
      </c>
      <c r="AH171" s="5">
        <v>736756973166936</v>
      </c>
      <c r="AI171" s="5">
        <v>769604803004286</v>
      </c>
      <c r="AJ171" s="5">
        <v>862109258563338</v>
      </c>
      <c r="AK171" s="5">
        <v>777187897101394</v>
      </c>
      <c r="AL171" s="5">
        <v>823787364220718</v>
      </c>
      <c r="AM171" s="5">
        <v>7862744496735</v>
      </c>
      <c r="AN171" s="5">
        <v>771823735284138</v>
      </c>
      <c r="AO171" s="5">
        <v>759913403964899</v>
      </c>
      <c r="AP171" s="5">
        <v>718509209958864</v>
      </c>
      <c r="AQ171" s="5"/>
      <c r="AR171" s="5"/>
      <c r="AS171" s="5"/>
      <c r="AT171" s="5"/>
      <c r="AU171" s="5"/>
      <c r="AV171" s="5"/>
      <c r="AW171" s="5"/>
      <c r="AX171" s="5"/>
      <c r="AY171" s="5"/>
      <c r="AZ171" s="5"/>
      <c r="BA171" s="5"/>
    </row>
    <row r="172" spans="1:53" x14ac:dyDescent="0.45">
      <c r="A172" s="1"/>
      <c r="B172" s="2"/>
      <c r="C172" s="1" t="s">
        <v>166</v>
      </c>
      <c r="D172" s="2">
        <v>4047873</v>
      </c>
      <c r="E172" s="3" t="s">
        <v>873</v>
      </c>
      <c r="F172" s="3" t="s">
        <v>874</v>
      </c>
      <c r="G172" s="3" t="s">
        <v>875</v>
      </c>
      <c r="H172" s="5">
        <v>627830817532589</v>
      </c>
      <c r="I172" s="5">
        <v>656414988879406</v>
      </c>
      <c r="J172" s="5">
        <v>637873425932418</v>
      </c>
      <c r="K172" s="5">
        <v>597804097420752</v>
      </c>
      <c r="L172" s="5">
        <v>519230646579334</v>
      </c>
      <c r="M172" s="5">
        <v>556595168186313</v>
      </c>
      <c r="N172" s="5">
        <v>574736692546653</v>
      </c>
      <c r="O172" s="5">
        <v>58186810749249</v>
      </c>
      <c r="P172" s="5">
        <v>591243112859209</v>
      </c>
      <c r="Q172" s="5">
        <v>61020659413901</v>
      </c>
      <c r="R172" s="5">
        <v>66305912705946</v>
      </c>
      <c r="S172" s="5">
        <v>634506642974419</v>
      </c>
      <c r="T172" s="5">
        <v>61462443883</v>
      </c>
      <c r="U172" s="5">
        <v>605103288792486</v>
      </c>
      <c r="V172" s="5">
        <v>563753089246854</v>
      </c>
      <c r="W172" s="5">
        <v>57684906</v>
      </c>
      <c r="X172" s="5">
        <v>649213064693355</v>
      </c>
      <c r="Y172" s="5">
        <v>625609906855996</v>
      </c>
      <c r="Z172" s="5">
        <v>59157710073</v>
      </c>
      <c r="AA172" s="5">
        <v>584308283968856</v>
      </c>
      <c r="AB172" s="5">
        <v>538093434501439</v>
      </c>
      <c r="AC172" s="5">
        <v>570630578388921</v>
      </c>
      <c r="AD172" s="5">
        <v>57366154220859</v>
      </c>
      <c r="AE172" s="5">
        <v>61970139585</v>
      </c>
      <c r="AF172" s="5">
        <v>665125217834413</v>
      </c>
      <c r="AG172" s="5">
        <v>65587527236</v>
      </c>
      <c r="AH172" s="5">
        <v>591406709565</v>
      </c>
      <c r="AI172" s="5">
        <v>583895524128</v>
      </c>
      <c r="AJ172" s="5">
        <v>6210211122984</v>
      </c>
      <c r="AK172" s="5">
        <v>605457412875</v>
      </c>
      <c r="AL172" s="5">
        <v>6285559363953</v>
      </c>
      <c r="AM172" s="5">
        <v>5871824198505</v>
      </c>
      <c r="AN172" s="5">
        <v>6164758912</v>
      </c>
      <c r="AO172" s="5">
        <v>57858981456225</v>
      </c>
      <c r="AP172" s="5">
        <v>53044982261475</v>
      </c>
      <c r="AQ172" s="5"/>
      <c r="AR172" s="5"/>
      <c r="AS172" s="5"/>
      <c r="AT172" s="5"/>
      <c r="AU172" s="5"/>
      <c r="AV172" s="5"/>
      <c r="AW172" s="5"/>
      <c r="AX172" s="5"/>
      <c r="AY172" s="5"/>
      <c r="AZ172" s="5"/>
      <c r="BA172" s="5"/>
    </row>
    <row r="173" spans="1:53" x14ac:dyDescent="0.45">
      <c r="A173" s="1"/>
      <c r="B173" s="2"/>
      <c r="C173" s="1" t="s">
        <v>167</v>
      </c>
      <c r="D173" s="2">
        <v>108391</v>
      </c>
      <c r="E173" s="3" t="s">
        <v>876</v>
      </c>
      <c r="F173" s="3" t="s">
        <v>877</v>
      </c>
      <c r="G173" s="3" t="s">
        <v>478</v>
      </c>
      <c r="H173" s="5">
        <v>382630114667616</v>
      </c>
      <c r="I173" s="5">
        <v>395520877338532</v>
      </c>
      <c r="J173" s="5">
        <v>38193462706794</v>
      </c>
      <c r="K173" s="5">
        <v>364122008990175</v>
      </c>
      <c r="L173" s="5">
        <v>363071229956946</v>
      </c>
      <c r="M173" s="5">
        <v>370482739399613</v>
      </c>
      <c r="N173" s="5">
        <v>378431302905</v>
      </c>
      <c r="O173" s="5">
        <v>3656547378</v>
      </c>
      <c r="P173" s="5">
        <v>385031325855946</v>
      </c>
      <c r="Q173" s="5">
        <v>37456508824</v>
      </c>
      <c r="R173" s="5">
        <v>38056556964</v>
      </c>
      <c r="S173" s="5">
        <v>354886618891734</v>
      </c>
      <c r="T173" s="5">
        <v>349427405964</v>
      </c>
      <c r="U173" s="5">
        <v>33276198956</v>
      </c>
      <c r="V173" s="5">
        <v>339734799240894</v>
      </c>
      <c r="W173" s="5">
        <v>341996628757581</v>
      </c>
      <c r="X173" s="5">
        <v>354113474854116</v>
      </c>
      <c r="Y173" s="5">
        <v>349694764544936</v>
      </c>
      <c r="Z173" s="5">
        <v>317287226331</v>
      </c>
      <c r="AA173" s="5">
        <v>312191079827</v>
      </c>
      <c r="AB173" s="5">
        <v>292357966463385</v>
      </c>
      <c r="AC173" s="5">
        <v>28746084897227</v>
      </c>
      <c r="AD173" s="5">
        <v>277130935652318</v>
      </c>
      <c r="AE173" s="5">
        <v>269480143660491</v>
      </c>
      <c r="AF173" s="5">
        <v>280178561209099</v>
      </c>
      <c r="AG173" s="5">
        <v>260828680261272</v>
      </c>
      <c r="AH173" s="5">
        <v>235764219808943</v>
      </c>
      <c r="AI173" s="5">
        <v>237870362185258</v>
      </c>
      <c r="AJ173" s="5">
        <v>255604738470021</v>
      </c>
      <c r="AK173" s="5">
        <v>253063325970063</v>
      </c>
      <c r="AL173" s="5">
        <v>2481864574056</v>
      </c>
      <c r="AM173" s="5">
        <v>245359896234273</v>
      </c>
      <c r="AN173" s="5">
        <v>2595316587112</v>
      </c>
      <c r="AO173" s="5">
        <v>2385681911872</v>
      </c>
      <c r="AP173" s="5">
        <v>200490167955</v>
      </c>
      <c r="AQ173" s="5"/>
      <c r="AR173" s="5"/>
      <c r="AS173" s="5"/>
      <c r="AT173" s="5"/>
      <c r="AU173" s="5"/>
      <c r="AV173" s="5"/>
      <c r="AW173" s="5"/>
      <c r="AX173" s="5"/>
      <c r="AY173" s="5"/>
      <c r="AZ173" s="5"/>
      <c r="BA173" s="5"/>
    </row>
    <row r="174" spans="1:53" x14ac:dyDescent="0.45">
      <c r="A174" s="1"/>
      <c r="B174" s="2"/>
      <c r="C174" s="1" t="s">
        <v>168</v>
      </c>
      <c r="D174" s="2">
        <v>4101711</v>
      </c>
      <c r="E174" s="3" t="s">
        <v>878</v>
      </c>
      <c r="F174" s="3" t="s">
        <v>879</v>
      </c>
      <c r="G174" s="3" t="s">
        <v>880</v>
      </c>
      <c r="H174" s="5">
        <v>130894336926212</v>
      </c>
      <c r="I174" s="5">
        <v>126428437083342</v>
      </c>
      <c r="J174" s="5">
        <v>11595405519564</v>
      </c>
      <c r="K174" s="5">
        <v>111059468191154</v>
      </c>
      <c r="L174" s="5">
        <v>103477489552848</v>
      </c>
      <c r="M174" s="5">
        <v>104972536882514</v>
      </c>
      <c r="N174" s="5">
        <v>110365887731726</v>
      </c>
      <c r="O174" s="5">
        <v>111138960031812</v>
      </c>
      <c r="P174" s="5">
        <v>118619336677009</v>
      </c>
      <c r="Q174" s="5">
        <v>13931571528</v>
      </c>
      <c r="R174" s="5">
        <v>136323640341122</v>
      </c>
      <c r="S174" s="5">
        <v>133125685149493</v>
      </c>
      <c r="T174" s="5">
        <v>1286303563062</v>
      </c>
      <c r="U174" s="5">
        <v>12960220812</v>
      </c>
      <c r="V174" s="5">
        <v>1027945368856</v>
      </c>
      <c r="W174" s="5">
        <v>1074089266569</v>
      </c>
      <c r="X174" s="5">
        <v>111748407551699</v>
      </c>
      <c r="Y174" s="5">
        <v>110555807514603</v>
      </c>
      <c r="Z174" s="5">
        <v>1154681540244</v>
      </c>
      <c r="AA174" s="5">
        <v>1194815089772</v>
      </c>
      <c r="AB174" s="5">
        <v>1180210241388</v>
      </c>
      <c r="AC174" s="5">
        <v>1202889202494</v>
      </c>
      <c r="AD174" s="5">
        <v>108545419272074</v>
      </c>
      <c r="AE174" s="5">
        <v>108881974602176</v>
      </c>
      <c r="AF174" s="5">
        <v>111274810388188</v>
      </c>
      <c r="AG174" s="5">
        <v>102877262841008</v>
      </c>
      <c r="AH174" s="5">
        <v>951868954511106</v>
      </c>
      <c r="AI174" s="5">
        <v>998359048684276</v>
      </c>
      <c r="AJ174" s="5">
        <v>109942338204991</v>
      </c>
      <c r="AK174" s="5">
        <v>111894508621813</v>
      </c>
      <c r="AL174" s="5">
        <v>111760773049584</v>
      </c>
      <c r="AM174" s="5">
        <v>112495008925365</v>
      </c>
      <c r="AN174" s="5">
        <v>113970861346314</v>
      </c>
      <c r="AO174" s="5">
        <v>109498867888382</v>
      </c>
      <c r="AP174" s="5">
        <v>116356834613412</v>
      </c>
      <c r="AQ174" s="5"/>
      <c r="AR174" s="5"/>
      <c r="AS174" s="5"/>
      <c r="AT174" s="5"/>
      <c r="AU174" s="5"/>
      <c r="AV174" s="5"/>
      <c r="AW174" s="5"/>
      <c r="AX174" s="5"/>
      <c r="AY174" s="5"/>
      <c r="AZ174" s="5"/>
      <c r="BA174" s="5"/>
    </row>
    <row r="175" spans="1:53" x14ac:dyDescent="0.45">
      <c r="A175" s="1"/>
      <c r="B175" s="2"/>
      <c r="C175" s="1" t="s">
        <v>169</v>
      </c>
      <c r="D175" s="2">
        <v>102950</v>
      </c>
      <c r="E175" s="3" t="s">
        <v>881</v>
      </c>
      <c r="F175" s="3" t="s">
        <v>882</v>
      </c>
      <c r="G175" s="3" t="s">
        <v>883</v>
      </c>
      <c r="H175" s="5">
        <v>802398619735416</v>
      </c>
      <c r="I175" s="5">
        <v>805391678696319</v>
      </c>
      <c r="J175" s="5">
        <v>75098253672</v>
      </c>
      <c r="K175" s="5">
        <v>762352463574</v>
      </c>
      <c r="L175" s="5">
        <v>772319564990234</v>
      </c>
      <c r="M175" s="5">
        <v>81296407332</v>
      </c>
      <c r="N175" s="5">
        <v>80028075204</v>
      </c>
      <c r="O175" s="5">
        <v>7891396464</v>
      </c>
      <c r="P175" s="5">
        <v>866984286714</v>
      </c>
      <c r="Q175" s="5">
        <v>9010366764</v>
      </c>
      <c r="R175" s="5">
        <v>95594539626</v>
      </c>
      <c r="S175" s="5">
        <v>934249797099</v>
      </c>
      <c r="T175" s="5">
        <v>966442744737</v>
      </c>
      <c r="U175" s="5">
        <v>95363912028</v>
      </c>
      <c r="V175" s="5">
        <v>946503586836</v>
      </c>
      <c r="W175" s="5">
        <v>9781897384035</v>
      </c>
      <c r="X175" s="5">
        <v>101881287585</v>
      </c>
      <c r="Y175" s="5">
        <v>107677967635</v>
      </c>
      <c r="Z175" s="5">
        <v>1056902737275</v>
      </c>
      <c r="AA175" s="5">
        <v>975930520205</v>
      </c>
      <c r="AB175" s="5">
        <v>940940388072</v>
      </c>
      <c r="AC175" s="5">
        <v>949576788476791</v>
      </c>
      <c r="AD175" s="5">
        <v>967692077559068</v>
      </c>
      <c r="AE175" s="5">
        <v>933896892017377</v>
      </c>
      <c r="AF175" s="5">
        <v>962825217530596</v>
      </c>
      <c r="AG175" s="5">
        <v>899492212878755</v>
      </c>
      <c r="AH175" s="5">
        <v>845173943024902</v>
      </c>
      <c r="AI175" s="5">
        <v>796579509061791</v>
      </c>
      <c r="AJ175" s="5">
        <v>850394885776954</v>
      </c>
      <c r="AK175" s="5">
        <v>789798625970429</v>
      </c>
      <c r="AL175" s="5">
        <v>841513366761784</v>
      </c>
      <c r="AM175" s="5">
        <v>820018119351114</v>
      </c>
      <c r="AN175" s="5">
        <v>941095055492416</v>
      </c>
      <c r="AO175" s="5">
        <v>869763693923859</v>
      </c>
      <c r="AP175" s="5">
        <v>867629952277061</v>
      </c>
      <c r="AQ175" s="5"/>
      <c r="AR175" s="5"/>
      <c r="AS175" s="5"/>
      <c r="AT175" s="5"/>
      <c r="AU175" s="5"/>
      <c r="AV175" s="5"/>
      <c r="AW175" s="5"/>
      <c r="AX175" s="5"/>
      <c r="AY175" s="5"/>
      <c r="AZ175" s="5"/>
      <c r="BA175" s="5"/>
    </row>
    <row r="176" spans="1:53" x14ac:dyDescent="0.45">
      <c r="A176" s="1"/>
      <c r="B176" s="2"/>
      <c r="C176" s="1" t="s">
        <v>170</v>
      </c>
      <c r="D176" s="2">
        <v>4379438</v>
      </c>
      <c r="E176" s="3" t="s">
        <v>884</v>
      </c>
      <c r="F176" s="3" t="s">
        <v>885</v>
      </c>
      <c r="G176" s="3" t="s">
        <v>653</v>
      </c>
      <c r="H176" s="5">
        <v>556719942087042</v>
      </c>
      <c r="I176" s="5">
        <v>521163661198646</v>
      </c>
      <c r="J176" s="5">
        <v>520128149986177</v>
      </c>
      <c r="K176" s="5">
        <v>51179532176629</v>
      </c>
      <c r="L176" s="5">
        <v>484286830767843</v>
      </c>
      <c r="M176" s="5">
        <v>473510465047745</v>
      </c>
      <c r="N176" s="5">
        <v>5093124312065</v>
      </c>
      <c r="O176" s="5">
        <v>46126030712</v>
      </c>
      <c r="P176" s="5">
        <v>465508976842</v>
      </c>
      <c r="Q176" s="5">
        <v>487961693436</v>
      </c>
      <c r="R176" s="5">
        <v>484480960116</v>
      </c>
      <c r="S176" s="5">
        <v>4670540764287</v>
      </c>
      <c r="T176" s="5">
        <v>470089686626</v>
      </c>
      <c r="U176" s="5">
        <v>481875553632</v>
      </c>
      <c r="V176" s="5">
        <v>4226901319168</v>
      </c>
      <c r="W176" s="5">
        <v>4130018351712</v>
      </c>
      <c r="X176" s="5">
        <v>392878563892799</v>
      </c>
      <c r="Y176" s="5">
        <v>384724577454668</v>
      </c>
      <c r="Z176" s="5">
        <v>3668504219442</v>
      </c>
      <c r="AA176" s="5">
        <v>3978891485127</v>
      </c>
      <c r="AB176" s="5">
        <v>3869698309653</v>
      </c>
      <c r="AC176" s="5">
        <v>3472946612808</v>
      </c>
      <c r="AD176" s="5">
        <v>338458421560388</v>
      </c>
      <c r="AE176" s="5">
        <v>37809600198043</v>
      </c>
      <c r="AF176" s="5">
        <v>423755643914755</v>
      </c>
      <c r="AG176" s="5">
        <v>399606286844259</v>
      </c>
      <c r="AH176" s="5">
        <v>364306982506634</v>
      </c>
      <c r="AI176" s="5">
        <v>379842427159782</v>
      </c>
      <c r="AJ176" s="5">
        <v>438221006890391</v>
      </c>
      <c r="AK176" s="5">
        <v>434081269324836</v>
      </c>
      <c r="AL176" s="5">
        <v>44785197907071</v>
      </c>
      <c r="AM176" s="5">
        <v>429802194881925</v>
      </c>
      <c r="AN176" s="5">
        <v>437011148915696</v>
      </c>
      <c r="AO176" s="5">
        <v>447179542988161</v>
      </c>
      <c r="AP176" s="5">
        <v>424371657417332</v>
      </c>
      <c r="AQ176" s="5"/>
      <c r="AR176" s="5"/>
      <c r="AS176" s="5"/>
      <c r="AT176" s="5"/>
      <c r="AU176" s="5"/>
      <c r="AV176" s="5"/>
      <c r="AW176" s="5"/>
      <c r="AX176" s="5"/>
      <c r="AY176" s="5"/>
      <c r="AZ176" s="5"/>
      <c r="BA176" s="5"/>
    </row>
    <row r="177" spans="1:53" x14ac:dyDescent="0.45">
      <c r="A177" s="1"/>
      <c r="B177" s="2"/>
      <c r="C177" s="1" t="s">
        <v>171</v>
      </c>
      <c r="D177" s="2">
        <v>4093074</v>
      </c>
      <c r="E177" s="3" t="s">
        <v>886</v>
      </c>
      <c r="F177" s="3" t="s">
        <v>887</v>
      </c>
      <c r="G177" s="3" t="s">
        <v>524</v>
      </c>
      <c r="H177" s="5">
        <v>261613226672778</v>
      </c>
      <c r="I177" s="5">
        <v>264453610031724</v>
      </c>
      <c r="J177" s="5">
        <v>264869359912832</v>
      </c>
      <c r="K177" s="5">
        <v>262663597808252</v>
      </c>
      <c r="L177" s="5">
        <v>260106189434534</v>
      </c>
      <c r="M177" s="5">
        <v>255869481986</v>
      </c>
      <c r="N177" s="5">
        <v>24744937798</v>
      </c>
      <c r="O177" s="5">
        <v>25264345094</v>
      </c>
      <c r="P177" s="5">
        <v>2547732657704</v>
      </c>
      <c r="Q177" s="5">
        <v>2448116395872</v>
      </c>
      <c r="R177" s="5">
        <v>254799437493534</v>
      </c>
      <c r="S177" s="5">
        <v>2415724025022</v>
      </c>
      <c r="T177" s="5">
        <v>2351891758356</v>
      </c>
      <c r="U177" s="5">
        <v>239679257202</v>
      </c>
      <c r="V177" s="5">
        <v>221100597770089</v>
      </c>
      <c r="W177" s="5">
        <v>224657935123272</v>
      </c>
      <c r="X177" s="5">
        <v>233290356484076</v>
      </c>
      <c r="Y177" s="5">
        <v>232881182881155</v>
      </c>
      <c r="Z177" s="5">
        <v>216583761762</v>
      </c>
      <c r="AA177" s="5">
        <v>21785741459825</v>
      </c>
      <c r="AB177" s="5">
        <v>187159772352</v>
      </c>
      <c r="AC177" s="5">
        <v>174172764822885</v>
      </c>
      <c r="AD177" s="5">
        <v>180167355803316</v>
      </c>
      <c r="AE177" s="5">
        <v>182119090943018</v>
      </c>
      <c r="AF177" s="5">
        <v>170045077335335</v>
      </c>
      <c r="AG177" s="5">
        <v>186203473980425</v>
      </c>
      <c r="AH177" s="5">
        <v>16925088961412</v>
      </c>
      <c r="AI177" s="5">
        <v>173604946326408</v>
      </c>
      <c r="AJ177" s="5">
        <v>167878476000526</v>
      </c>
      <c r="AK177" s="5">
        <v>157268386398911</v>
      </c>
      <c r="AL177" s="5">
        <v>1619404461972</v>
      </c>
      <c r="AM177" s="5">
        <v>15813912150405</v>
      </c>
      <c r="AN177" s="5">
        <v>18060035229617</v>
      </c>
      <c r="AO177" s="5">
        <v>171838745156897</v>
      </c>
      <c r="AP177" s="5">
        <v>156906916011217</v>
      </c>
      <c r="AQ177" s="5"/>
      <c r="AR177" s="5"/>
      <c r="AS177" s="5"/>
      <c r="AT177" s="5"/>
      <c r="AU177" s="5"/>
      <c r="AV177" s="5"/>
      <c r="AW177" s="5"/>
      <c r="AX177" s="5"/>
      <c r="AY177" s="5"/>
      <c r="AZ177" s="5"/>
      <c r="BA177" s="5"/>
    </row>
    <row r="178" spans="1:53" x14ac:dyDescent="0.45">
      <c r="A178" s="1"/>
      <c r="B178" s="2"/>
      <c r="C178" s="1" t="s">
        <v>172</v>
      </c>
      <c r="D178" s="2">
        <v>100260</v>
      </c>
      <c r="E178" s="3" t="s">
        <v>888</v>
      </c>
      <c r="F178" s="3" t="s">
        <v>889</v>
      </c>
      <c r="G178" s="3" t="s">
        <v>607</v>
      </c>
      <c r="H178" s="5">
        <v>178280291469087</v>
      </c>
      <c r="I178" s="5">
        <v>180764607834652</v>
      </c>
      <c r="J178" s="5">
        <v>175134625974</v>
      </c>
      <c r="K178" s="5">
        <v>1748623650714</v>
      </c>
      <c r="L178" s="5">
        <v>1625286843999</v>
      </c>
      <c r="M178" s="5">
        <v>1673913087135</v>
      </c>
      <c r="N178" s="5">
        <v>170715985638</v>
      </c>
      <c r="O178" s="5">
        <v>15852154722</v>
      </c>
      <c r="P178" s="5">
        <v>168196324086043</v>
      </c>
      <c r="Q178" s="5">
        <v>178302875296</v>
      </c>
      <c r="R178" s="5">
        <v>193817210766883</v>
      </c>
      <c r="S178" s="5">
        <v>181517621976</v>
      </c>
      <c r="T178" s="5">
        <v>192713700783</v>
      </c>
      <c r="U178" s="5">
        <v>18567034156</v>
      </c>
      <c r="V178" s="5">
        <v>150011971082931</v>
      </c>
      <c r="W178" s="5">
        <v>1394964990243</v>
      </c>
      <c r="X178" s="5">
        <v>138595203984394</v>
      </c>
      <c r="Y178" s="5">
        <v>130172649674313</v>
      </c>
      <c r="Z178" s="5">
        <v>1215985220766</v>
      </c>
      <c r="AA178" s="5">
        <v>1301718278922</v>
      </c>
      <c r="AB178" s="5">
        <v>122879357717425</v>
      </c>
      <c r="AC178" s="5">
        <v>110025121110749</v>
      </c>
      <c r="AD178" s="5">
        <v>114373781978041</v>
      </c>
      <c r="AE178" s="5">
        <v>147007469081693</v>
      </c>
      <c r="AF178" s="5">
        <v>155412394637793</v>
      </c>
      <c r="AG178" s="5">
        <v>137416058168347</v>
      </c>
      <c r="AH178" s="5">
        <v>136105128845458</v>
      </c>
      <c r="AI178" s="5">
        <v>142846601014926</v>
      </c>
      <c r="AJ178" s="5">
        <v>154328854854702</v>
      </c>
      <c r="AK178" s="5">
        <v>151386007375361</v>
      </c>
      <c r="AL178" s="5">
        <v>149365392291167</v>
      </c>
      <c r="AM178" s="5">
        <v>14563673055</v>
      </c>
      <c r="AN178" s="5">
        <v>143040550213595</v>
      </c>
      <c r="AO178" s="5">
        <v>140679117770873</v>
      </c>
      <c r="AP178" s="5">
        <v>126144800709236</v>
      </c>
      <c r="AQ178" s="5"/>
      <c r="AR178" s="5"/>
      <c r="AS178" s="5"/>
      <c r="AT178" s="5"/>
      <c r="AU178" s="5"/>
      <c r="AV178" s="5"/>
      <c r="AW178" s="5"/>
      <c r="AX178" s="5"/>
      <c r="AY178" s="5"/>
      <c r="AZ178" s="5"/>
      <c r="BA178" s="5"/>
    </row>
    <row r="179" spans="1:53" x14ac:dyDescent="0.45">
      <c r="A179" s="1"/>
      <c r="B179" s="2"/>
      <c r="C179" s="1" t="s">
        <v>173</v>
      </c>
      <c r="D179" s="2">
        <v>4211343</v>
      </c>
      <c r="E179" s="3" t="s">
        <v>890</v>
      </c>
      <c r="F179" s="3" t="s">
        <v>891</v>
      </c>
      <c r="G179" s="3" t="s">
        <v>481</v>
      </c>
      <c r="H179" s="5">
        <v>587233542328013</v>
      </c>
      <c r="I179" s="5">
        <v>544569679946556</v>
      </c>
      <c r="J179" s="5">
        <v>491778908945544</v>
      </c>
      <c r="K179" s="5">
        <v>40533862674404</v>
      </c>
      <c r="L179" s="5">
        <v>412918787231345</v>
      </c>
      <c r="M179" s="5">
        <v>436877558742761</v>
      </c>
      <c r="N179" s="5">
        <v>364544139364344</v>
      </c>
      <c r="O179" s="5">
        <v>35744281841988</v>
      </c>
      <c r="P179" s="5">
        <v>282801834213444</v>
      </c>
      <c r="Q179" s="5">
        <v>263690032512872</v>
      </c>
      <c r="R179" s="5">
        <v>354698547998718</v>
      </c>
      <c r="S179" s="5">
        <v>300347967139802</v>
      </c>
      <c r="T179" s="5">
        <v>315883843376556</v>
      </c>
      <c r="U179" s="5">
        <v>298050937641952</v>
      </c>
      <c r="V179" s="5">
        <v>378147674580503</v>
      </c>
      <c r="W179" s="5">
        <v>359612432313151</v>
      </c>
      <c r="X179" s="5">
        <v>347269431204534</v>
      </c>
      <c r="Y179" s="5">
        <v>427141878723046</v>
      </c>
      <c r="Z179" s="5">
        <v>446338908787831</v>
      </c>
      <c r="AA179" s="5">
        <v>45614617254293</v>
      </c>
      <c r="AB179" s="5">
        <v>498513359948647</v>
      </c>
      <c r="AC179" s="5">
        <v>67329417708116</v>
      </c>
      <c r="AD179" s="5">
        <v>640358986788</v>
      </c>
      <c r="AE179" s="5">
        <v>61319287191</v>
      </c>
      <c r="AF179" s="5">
        <v>539816442726</v>
      </c>
      <c r="AG179" s="5">
        <v>522295589804302</v>
      </c>
      <c r="AH179" s="5">
        <v>386519392611765</v>
      </c>
      <c r="AI179" s="5">
        <v>430947092542512</v>
      </c>
      <c r="AJ179" s="5">
        <v>4042735077045</v>
      </c>
      <c r="AK179" s="5">
        <v>4252256238195</v>
      </c>
      <c r="AL179" s="5">
        <v>45665124217965</v>
      </c>
      <c r="AM179" s="5">
        <v>53721832299525</v>
      </c>
      <c r="AN179" s="5">
        <v>5581803562278</v>
      </c>
      <c r="AO179" s="5">
        <v>5343916629849</v>
      </c>
      <c r="AP179" s="5">
        <v>375640332234</v>
      </c>
      <c r="AQ179" s="5"/>
      <c r="AR179" s="5"/>
      <c r="AS179" s="5"/>
      <c r="AT179" s="5"/>
      <c r="AU179" s="5"/>
      <c r="AV179" s="5"/>
      <c r="AW179" s="5"/>
      <c r="AX179" s="5"/>
      <c r="AY179" s="5"/>
      <c r="AZ179" s="5"/>
      <c r="BA179" s="5"/>
    </row>
    <row r="180" spans="1:53" x14ac:dyDescent="0.45">
      <c r="A180" s="1"/>
      <c r="B180" s="2"/>
      <c r="C180" s="1" t="s">
        <v>174</v>
      </c>
      <c r="D180" s="2">
        <v>4056944</v>
      </c>
      <c r="E180" s="3" t="s">
        <v>892</v>
      </c>
      <c r="F180" s="3" t="s">
        <v>893</v>
      </c>
      <c r="G180" s="3" t="s">
        <v>507</v>
      </c>
      <c r="H180" s="5">
        <v>11344028548789</v>
      </c>
      <c r="I180" s="5">
        <v>127529036311661</v>
      </c>
      <c r="J180" s="5">
        <v>125912831598122</v>
      </c>
      <c r="K180" s="5">
        <v>115897985868319</v>
      </c>
      <c r="L180" s="5">
        <v>121897673305138</v>
      </c>
      <c r="M180" s="5">
        <v>120298252795296</v>
      </c>
      <c r="N180" s="5">
        <v>113414352876</v>
      </c>
      <c r="O180" s="5">
        <v>11547712264</v>
      </c>
      <c r="P180" s="5">
        <v>12193501670385</v>
      </c>
      <c r="Q180" s="5">
        <v>13203559050592</v>
      </c>
      <c r="R180" s="5">
        <v>135173480688</v>
      </c>
      <c r="S180" s="5">
        <v>119751732528</v>
      </c>
      <c r="T180" s="5">
        <v>125038048822</v>
      </c>
      <c r="U180" s="5">
        <v>126020487516</v>
      </c>
      <c r="V180" s="5">
        <v>133174518544009</v>
      </c>
      <c r="W180" s="5">
        <v>125271724973601</v>
      </c>
      <c r="X180" s="5">
        <v>124840618518</v>
      </c>
      <c r="Y180" s="5">
        <v>132881479028691</v>
      </c>
      <c r="Z180" s="5">
        <v>13349378083365</v>
      </c>
      <c r="AA180" s="5">
        <v>12519876967085</v>
      </c>
      <c r="AB180" s="5">
        <v>12084391896195</v>
      </c>
      <c r="AC180" s="5">
        <v>130530188939965</v>
      </c>
      <c r="AD180" s="5">
        <v>12924941317335</v>
      </c>
      <c r="AE180" s="5">
        <v>123593338202383</v>
      </c>
      <c r="AF180" s="5">
        <v>125695039388284</v>
      </c>
      <c r="AG180" s="5">
        <v>11969425728209</v>
      </c>
      <c r="AH180" s="5">
        <v>11852066551424</v>
      </c>
      <c r="AI180" s="5">
        <v>120535618075267</v>
      </c>
      <c r="AJ180" s="5">
        <v>129857490837227</v>
      </c>
      <c r="AK180" s="5">
        <v>12332343540825</v>
      </c>
      <c r="AL180" s="5">
        <v>13719994359632</v>
      </c>
      <c r="AM180" s="5">
        <v>135358508726208</v>
      </c>
      <c r="AN180" s="5">
        <v>13745527700382</v>
      </c>
      <c r="AO180" s="5">
        <v>13139578211166</v>
      </c>
      <c r="AP180" s="5">
        <v>150316754066032</v>
      </c>
      <c r="AQ180" s="5"/>
      <c r="AR180" s="5"/>
      <c r="AS180" s="5"/>
      <c r="AT180" s="5"/>
      <c r="AU180" s="5"/>
      <c r="AV180" s="5"/>
      <c r="AW180" s="5"/>
      <c r="AX180" s="5"/>
      <c r="AY180" s="5"/>
      <c r="AZ180" s="5"/>
      <c r="BA180" s="5"/>
    </row>
    <row r="181" spans="1:53" x14ac:dyDescent="0.45">
      <c r="A181" s="1"/>
      <c r="B181" s="2"/>
      <c r="C181" s="1" t="s">
        <v>175</v>
      </c>
      <c r="D181" s="2">
        <v>113881</v>
      </c>
      <c r="E181" s="3" t="s">
        <v>894</v>
      </c>
      <c r="F181" s="3" t="s">
        <v>895</v>
      </c>
      <c r="G181" s="3" t="s">
        <v>896</v>
      </c>
      <c r="H181" s="5">
        <v>227582691593312</v>
      </c>
      <c r="I181" s="5">
        <v>230028260565896</v>
      </c>
      <c r="J181" s="5">
        <v>233996366094498</v>
      </c>
      <c r="K181" s="5">
        <v>229645382520902</v>
      </c>
      <c r="L181" s="5">
        <v>219254982939581</v>
      </c>
      <c r="M181" s="5">
        <v>23156269255</v>
      </c>
      <c r="N181" s="5">
        <v>227737219038</v>
      </c>
      <c r="O181" s="5">
        <v>23680200096</v>
      </c>
      <c r="P181" s="5">
        <v>232228296759889</v>
      </c>
      <c r="Q181" s="5">
        <v>2313770239872</v>
      </c>
      <c r="R181" s="5">
        <v>2332456039986</v>
      </c>
      <c r="S181" s="5">
        <v>2160949099986</v>
      </c>
      <c r="T181" s="5">
        <v>2185339329064</v>
      </c>
      <c r="U181" s="5">
        <v>214825410712</v>
      </c>
      <c r="V181" s="5">
        <v>195032849057916</v>
      </c>
      <c r="W181" s="5">
        <v>1945263798261</v>
      </c>
      <c r="X181" s="5">
        <v>203199337550979</v>
      </c>
      <c r="Y181" s="5">
        <v>2195879640906</v>
      </c>
      <c r="Z181" s="5">
        <v>21767425083405</v>
      </c>
      <c r="AA181" s="5">
        <v>21042260882595</v>
      </c>
      <c r="AB181" s="5">
        <v>1902644737182</v>
      </c>
      <c r="AC181" s="5">
        <v>1962589788771</v>
      </c>
      <c r="AD181" s="5">
        <v>199714536354983</v>
      </c>
      <c r="AE181" s="5">
        <v>192456538171193</v>
      </c>
      <c r="AF181" s="5">
        <v>208189546517325</v>
      </c>
      <c r="AG181" s="5">
        <v>200017280422881</v>
      </c>
      <c r="AH181" s="5">
        <v>182048426181524</v>
      </c>
      <c r="AI181" s="5">
        <v>17857175540386</v>
      </c>
      <c r="AJ181" s="5">
        <v>184428072256675</v>
      </c>
      <c r="AK181" s="5">
        <v>176077437441357</v>
      </c>
      <c r="AL181" s="5">
        <v>172923509136963</v>
      </c>
      <c r="AM181" s="5">
        <v>165452917266</v>
      </c>
      <c r="AN181" s="5">
        <v>176416642233144</v>
      </c>
      <c r="AO181" s="5">
        <v>166194000635985</v>
      </c>
      <c r="AP181" s="5">
        <v>156732221165042</v>
      </c>
      <c r="AQ181" s="5"/>
      <c r="AR181" s="5"/>
      <c r="AS181" s="5"/>
      <c r="AT181" s="5"/>
      <c r="AU181" s="5"/>
      <c r="AV181" s="5"/>
      <c r="AW181" s="5"/>
      <c r="AX181" s="5"/>
      <c r="AY181" s="5"/>
      <c r="AZ181" s="5"/>
      <c r="BA181" s="5"/>
    </row>
    <row r="182" spans="1:53" x14ac:dyDescent="0.45">
      <c r="A182" s="1"/>
      <c r="B182" s="2"/>
      <c r="C182" s="1" t="s">
        <v>176</v>
      </c>
      <c r="D182" s="2">
        <v>113873</v>
      </c>
      <c r="E182" s="3" t="s">
        <v>897</v>
      </c>
      <c r="F182" s="3" t="s">
        <v>898</v>
      </c>
      <c r="G182" s="3" t="s">
        <v>899</v>
      </c>
      <c r="H182" s="5">
        <v>41318584486065</v>
      </c>
      <c r="I182" s="5">
        <v>417609877257924</v>
      </c>
      <c r="J182" s="5">
        <v>418677870425266</v>
      </c>
      <c r="K182" s="5">
        <v>402252092368572</v>
      </c>
      <c r="L182" s="5">
        <v>368911034967242</v>
      </c>
      <c r="M182" s="5">
        <v>37811784140694</v>
      </c>
      <c r="N182" s="5">
        <v>390554610685767</v>
      </c>
      <c r="O182" s="5">
        <v>394089220831176</v>
      </c>
      <c r="P182" s="5">
        <v>41919030863516</v>
      </c>
      <c r="Q182" s="5">
        <v>43345854992111</v>
      </c>
      <c r="R182" s="5">
        <v>469096628029709</v>
      </c>
      <c r="S182" s="5">
        <v>46354386564</v>
      </c>
      <c r="T182" s="5">
        <v>456609280635849</v>
      </c>
      <c r="U182" s="5">
        <v>449592142217962</v>
      </c>
      <c r="V182" s="5">
        <v>425647461865758</v>
      </c>
      <c r="W182" s="5">
        <v>43446253473</v>
      </c>
      <c r="X182" s="5">
        <v>4573125018</v>
      </c>
      <c r="Y182" s="5">
        <v>45841451082</v>
      </c>
      <c r="Z182" s="5">
        <v>449671216004259</v>
      </c>
      <c r="AA182" s="5">
        <v>481564436528934</v>
      </c>
      <c r="AB182" s="5">
        <v>470380266068964</v>
      </c>
      <c r="AC182" s="5">
        <v>457217425125081</v>
      </c>
      <c r="AD182" s="5">
        <v>437912583291071</v>
      </c>
      <c r="AE182" s="5">
        <v>514864977188909</v>
      </c>
      <c r="AF182" s="5">
        <v>538307437508917</v>
      </c>
      <c r="AG182" s="5">
        <v>53300483167453</v>
      </c>
      <c r="AH182" s="5">
        <v>491080418818477</v>
      </c>
      <c r="AI182" s="5">
        <v>500088474680364</v>
      </c>
      <c r="AJ182" s="5">
        <v>532617752414038</v>
      </c>
      <c r="AK182" s="5">
        <v>535688275176073</v>
      </c>
      <c r="AL182" s="5">
        <v>549479500967811</v>
      </c>
      <c r="AM182" s="5">
        <v>561055939615773</v>
      </c>
      <c r="AN182" s="5">
        <v>59717992299397</v>
      </c>
      <c r="AO182" s="5">
        <v>57649267407453</v>
      </c>
      <c r="AP182" s="5">
        <v>5014602047903</v>
      </c>
      <c r="AQ182" s="5"/>
      <c r="AR182" s="5"/>
      <c r="AS182" s="5"/>
      <c r="AT182" s="5"/>
      <c r="AU182" s="5"/>
      <c r="AV182" s="5"/>
      <c r="AW182" s="5"/>
      <c r="AX182" s="5"/>
      <c r="AY182" s="5"/>
      <c r="AZ182" s="5"/>
      <c r="BA182" s="5"/>
    </row>
    <row r="183" spans="1:53" x14ac:dyDescent="0.45">
      <c r="A183" s="1"/>
      <c r="B183" s="2"/>
      <c r="C183" s="1" t="s">
        <v>177</v>
      </c>
      <c r="D183" s="2">
        <v>4868602</v>
      </c>
      <c r="E183" s="3" t="s">
        <v>900</v>
      </c>
      <c r="F183" s="3" t="s">
        <v>901</v>
      </c>
      <c r="G183" s="3" t="s">
        <v>902</v>
      </c>
      <c r="H183" s="5">
        <v>632736474204175</v>
      </c>
      <c r="I183" s="5">
        <v>6141769741852</v>
      </c>
      <c r="J183" s="5">
        <v>595258676749632</v>
      </c>
      <c r="K183" s="5">
        <v>533206987338547</v>
      </c>
      <c r="L183" s="5">
        <v>565630951487616</v>
      </c>
      <c r="M183" s="5">
        <v>55045047526925</v>
      </c>
      <c r="N183" s="5">
        <v>576779903034192</v>
      </c>
      <c r="O183" s="5">
        <v>61538473828062</v>
      </c>
      <c r="P183" s="5">
        <v>62754399672666</v>
      </c>
      <c r="Q183" s="5">
        <v>628783859929316</v>
      </c>
      <c r="R183" s="5">
        <v>60881697857826</v>
      </c>
      <c r="S183" s="5">
        <v>533343067501492</v>
      </c>
      <c r="T183" s="5">
        <v>493727993163665</v>
      </c>
      <c r="U183" s="5">
        <v>49272304897508</v>
      </c>
      <c r="V183" s="5">
        <v>505138545274871</v>
      </c>
      <c r="W183" s="5">
        <v>567361948356091</v>
      </c>
      <c r="X183" s="5">
        <v>55984333640245</v>
      </c>
      <c r="Y183" s="5">
        <v>532967314696317</v>
      </c>
      <c r="Z183" s="5">
        <v>488322496182877</v>
      </c>
      <c r="AA183" s="5">
        <v>527706965050509</v>
      </c>
      <c r="AB183" s="5">
        <v>487154868659495</v>
      </c>
      <c r="AC183" s="5">
        <v>448633959661182</v>
      </c>
      <c r="AD183" s="5">
        <v>447982665365189</v>
      </c>
      <c r="AE183" s="5">
        <v>494393984884932</v>
      </c>
      <c r="AF183" s="5">
        <v>587329637753109</v>
      </c>
      <c r="AG183" s="5">
        <v>533297029806831</v>
      </c>
      <c r="AH183" s="5">
        <v>651474325092535</v>
      </c>
      <c r="AI183" s="5">
        <v>643880010600743</v>
      </c>
      <c r="AJ183" s="5">
        <v>732713330528533</v>
      </c>
      <c r="AK183" s="5">
        <v>629146726897059</v>
      </c>
      <c r="AL183" s="5">
        <v>618916337565503</v>
      </c>
      <c r="AM183" s="5">
        <v>571455944710816</v>
      </c>
      <c r="AN183" s="5">
        <v>549373504976295</v>
      </c>
      <c r="AO183" s="5">
        <v>494156983261653</v>
      </c>
      <c r="AP183" s="5">
        <v>436530232445871</v>
      </c>
      <c r="AQ183" s="5"/>
      <c r="AR183" s="5"/>
      <c r="AS183" s="5"/>
      <c r="AT183" s="5"/>
      <c r="AU183" s="5"/>
      <c r="AV183" s="5"/>
      <c r="AW183" s="5"/>
      <c r="AX183" s="5"/>
      <c r="AY183" s="5"/>
      <c r="AZ183" s="5"/>
      <c r="BA183" s="5"/>
    </row>
    <row r="184" spans="1:53" x14ac:dyDescent="0.45">
      <c r="A184" s="1"/>
      <c r="B184" s="2"/>
      <c r="C184" s="1" t="s">
        <v>178</v>
      </c>
      <c r="D184" s="2">
        <v>102719</v>
      </c>
      <c r="E184" s="3" t="s">
        <v>903</v>
      </c>
      <c r="F184" s="3" t="s">
        <v>904</v>
      </c>
      <c r="G184" s="3" t="s">
        <v>536</v>
      </c>
      <c r="H184" s="5">
        <v>200236907976</v>
      </c>
      <c r="I184" s="5">
        <v>201989121255</v>
      </c>
      <c r="J184" s="5">
        <v>20081647883</v>
      </c>
      <c r="K184" s="5">
        <v>210029848626159</v>
      </c>
      <c r="L184" s="5">
        <v>203025520662523</v>
      </c>
      <c r="M184" s="5">
        <v>21190327357187</v>
      </c>
      <c r="N184" s="5">
        <v>220365447342</v>
      </c>
      <c r="O184" s="5">
        <v>20877230892</v>
      </c>
      <c r="P184" s="5">
        <v>222092497881388</v>
      </c>
      <c r="Q184" s="5">
        <v>2227888130496</v>
      </c>
      <c r="R184" s="5">
        <v>229201531776</v>
      </c>
      <c r="S184" s="5">
        <v>208191188306531</v>
      </c>
      <c r="T184" s="5">
        <v>2132703836054</v>
      </c>
      <c r="U184" s="5">
        <v>211255806476</v>
      </c>
      <c r="V184" s="5">
        <v>175147022952</v>
      </c>
      <c r="W184" s="5">
        <v>1823123127006</v>
      </c>
      <c r="X184" s="5">
        <v>18863508279</v>
      </c>
      <c r="Y184" s="5">
        <v>186595574563612</v>
      </c>
      <c r="Z184" s="5">
        <v>17575986291345</v>
      </c>
      <c r="AA184" s="5">
        <v>19630743603525</v>
      </c>
      <c r="AB184" s="5">
        <v>190707664835076</v>
      </c>
      <c r="AC184" s="5">
        <v>195583352754741</v>
      </c>
      <c r="AD184" s="5">
        <v>191456810687787</v>
      </c>
      <c r="AE184" s="5">
        <v>203917052037921</v>
      </c>
      <c r="AF184" s="5">
        <v>238667270385676</v>
      </c>
      <c r="AG184" s="5">
        <v>22307294821</v>
      </c>
      <c r="AH184" s="5">
        <v>204934338884319</v>
      </c>
      <c r="AI184" s="5">
        <v>222372737219161</v>
      </c>
      <c r="AJ184" s="5">
        <v>253074610666429</v>
      </c>
      <c r="AK184" s="5">
        <v>272269274792053</v>
      </c>
      <c r="AL184" s="5">
        <v>286928776723935</v>
      </c>
      <c r="AM184" s="5">
        <v>284883476889576</v>
      </c>
      <c r="AN184" s="5">
        <v>29705435662594</v>
      </c>
      <c r="AO184" s="5">
        <v>298528481476085</v>
      </c>
      <c r="AP184" s="5">
        <v>283818521646514</v>
      </c>
      <c r="AQ184" s="5"/>
      <c r="AR184" s="5"/>
      <c r="AS184" s="5"/>
      <c r="AT184" s="5"/>
      <c r="AU184" s="5"/>
      <c r="AV184" s="5"/>
      <c r="AW184" s="5"/>
      <c r="AX184" s="5"/>
      <c r="AY184" s="5"/>
      <c r="AZ184" s="5"/>
      <c r="BA184" s="5"/>
    </row>
    <row r="185" spans="1:53" x14ac:dyDescent="0.45">
      <c r="A185" s="1"/>
      <c r="B185" s="2"/>
      <c r="C185" s="1" t="s">
        <v>179</v>
      </c>
      <c r="D185" s="2">
        <v>4004107</v>
      </c>
      <c r="E185" s="3" t="s">
        <v>905</v>
      </c>
      <c r="F185" s="3" t="s">
        <v>906</v>
      </c>
      <c r="G185" s="3" t="s">
        <v>907</v>
      </c>
      <c r="H185" s="5">
        <v>228572945175652</v>
      </c>
      <c r="I185" s="5">
        <v>169203430241608</v>
      </c>
      <c r="J185" s="5">
        <v>173804538351092</v>
      </c>
      <c r="K185" s="5">
        <v>171929175337792</v>
      </c>
      <c r="L185" s="5">
        <v>180135321355289</v>
      </c>
      <c r="M185" s="5">
        <v>179477793267</v>
      </c>
      <c r="N185" s="5">
        <v>1523022886965</v>
      </c>
      <c r="O185" s="5">
        <v>14795223741</v>
      </c>
      <c r="P185" s="5">
        <v>169286259675</v>
      </c>
      <c r="Q185" s="5">
        <v>1805897086336</v>
      </c>
      <c r="R185" s="5">
        <v>182447447846304</v>
      </c>
      <c r="S185" s="5">
        <v>222185592</v>
      </c>
      <c r="T185" s="5">
        <v>1799263728</v>
      </c>
      <c r="U185" s="5">
        <v>20910384</v>
      </c>
      <c r="V185" s="5">
        <v>1387285952</v>
      </c>
      <c r="W185" s="5">
        <v>1283311548774</v>
      </c>
      <c r="X185" s="5">
        <v>1226069586357</v>
      </c>
      <c r="Y185" s="5">
        <v>152854704002191</v>
      </c>
      <c r="Z185" s="5">
        <v>1275984977652</v>
      </c>
      <c r="AA185" s="5">
        <v>1246622319876</v>
      </c>
      <c r="AB185" s="5">
        <v>153048913810989</v>
      </c>
      <c r="AC185" s="5">
        <v>87927382437657</v>
      </c>
      <c r="AD185" s="5">
        <v>53138625</v>
      </c>
      <c r="AE185" s="5">
        <v>7417838225</v>
      </c>
      <c r="AF185" s="5">
        <v>894964761194193</v>
      </c>
      <c r="AG185" s="5">
        <v>1174098695</v>
      </c>
      <c r="AH185" s="5">
        <v>986467216370237</v>
      </c>
      <c r="AI185" s="5">
        <v>988098261928246</v>
      </c>
      <c r="AJ185" s="5">
        <v>110614095666796</v>
      </c>
      <c r="AK185" s="5">
        <v>173854982319489</v>
      </c>
      <c r="AL185" s="5">
        <v>186210670843875</v>
      </c>
      <c r="AM185" s="5">
        <v>216182959966253</v>
      </c>
      <c r="AN185" s="5">
        <v>183427751737725</v>
      </c>
      <c r="AO185" s="5">
        <v>200410639144291</v>
      </c>
      <c r="AP185" s="5">
        <v>154719054872353</v>
      </c>
      <c r="AQ185" s="5"/>
      <c r="AR185" s="5"/>
      <c r="AS185" s="5"/>
      <c r="AT185" s="5"/>
      <c r="AU185" s="5"/>
      <c r="AV185" s="5"/>
      <c r="AW185" s="5"/>
      <c r="AX185" s="5"/>
      <c r="AY185" s="5"/>
      <c r="AZ185" s="5"/>
      <c r="BA185" s="5"/>
    </row>
    <row r="186" spans="1:53" x14ac:dyDescent="0.45">
      <c r="A186" s="1"/>
      <c r="B186" s="2"/>
      <c r="C186" s="1" t="s">
        <v>180</v>
      </c>
      <c r="D186" s="2">
        <v>4156047</v>
      </c>
      <c r="E186" s="3" t="s">
        <v>908</v>
      </c>
      <c r="F186" s="3" t="s">
        <v>909</v>
      </c>
      <c r="G186" s="3" t="s">
        <v>910</v>
      </c>
      <c r="H186" s="5">
        <v>93018555</v>
      </c>
      <c r="I186" s="5">
        <v>9774108</v>
      </c>
      <c r="J186" s="5">
        <v>912761960697</v>
      </c>
      <c r="K186" s="5">
        <v>8571272982951</v>
      </c>
      <c r="L186" s="5">
        <v>814033185945</v>
      </c>
      <c r="M186" s="5">
        <v>800947269596597</v>
      </c>
      <c r="N186" s="5">
        <v>841225389021454</v>
      </c>
      <c r="O186" s="5">
        <v>87108829370556</v>
      </c>
      <c r="P186" s="5">
        <v>877583558463175</v>
      </c>
      <c r="Q186" s="5">
        <v>901304344668</v>
      </c>
      <c r="R186" s="5">
        <v>91673929503</v>
      </c>
      <c r="S186" s="5">
        <v>8433023136978</v>
      </c>
      <c r="T186" s="5">
        <v>8656187297342</v>
      </c>
      <c r="U186" s="5">
        <v>929855881856</v>
      </c>
      <c r="V186" s="5">
        <v>8314927986144</v>
      </c>
      <c r="W186" s="5">
        <v>80841360929355</v>
      </c>
      <c r="X186" s="5">
        <v>8315728098678</v>
      </c>
      <c r="Y186" s="5">
        <v>91836971475795</v>
      </c>
      <c r="Z186" s="5">
        <v>722130493897947</v>
      </c>
      <c r="AA186" s="5">
        <v>722305501003384</v>
      </c>
      <c r="AB186" s="5">
        <v>703703334645325</v>
      </c>
      <c r="AC186" s="5">
        <v>7075014263421</v>
      </c>
      <c r="AD186" s="5">
        <v>6188322396174</v>
      </c>
      <c r="AE186" s="5">
        <v>6514317427905</v>
      </c>
      <c r="AF186" s="5">
        <v>6819367130785</v>
      </c>
      <c r="AG186" s="5">
        <v>6122534966569</v>
      </c>
      <c r="AH186" s="5">
        <v>613865815527853</v>
      </c>
      <c r="AI186" s="5">
        <v>64109437024449</v>
      </c>
      <c r="AJ186" s="5">
        <v>7243125941964</v>
      </c>
      <c r="AK186" s="5">
        <v>755321240954983</v>
      </c>
      <c r="AL186" s="5">
        <v>793306671227791</v>
      </c>
      <c r="AM186" s="5">
        <v>772762674932343</v>
      </c>
      <c r="AN186" s="5">
        <v>848474317548</v>
      </c>
      <c r="AO186" s="5">
        <v>84902144106325</v>
      </c>
      <c r="AP186" s="5">
        <v>887669843914854</v>
      </c>
      <c r="AQ186" s="5"/>
      <c r="AR186" s="5"/>
      <c r="AS186" s="5"/>
      <c r="AT186" s="5"/>
      <c r="AU186" s="5"/>
      <c r="AV186" s="5"/>
      <c r="AW186" s="5"/>
      <c r="AX186" s="5"/>
      <c r="AY186" s="5"/>
      <c r="AZ186" s="5"/>
      <c r="BA186" s="5"/>
    </row>
    <row r="187" spans="1:53" x14ac:dyDescent="0.45">
      <c r="A187" s="1"/>
      <c r="B187" s="2"/>
      <c r="C187" s="1" t="s">
        <v>181</v>
      </c>
      <c r="D187" s="2">
        <v>4094069</v>
      </c>
      <c r="E187" s="3" t="s">
        <v>911</v>
      </c>
      <c r="F187" s="3" t="s">
        <v>912</v>
      </c>
      <c r="G187" s="3" t="s">
        <v>475</v>
      </c>
      <c r="H187" s="5">
        <v>929714994086148</v>
      </c>
      <c r="I187" s="5">
        <v>920214841125819</v>
      </c>
      <c r="J187" s="5">
        <v>975201540929892</v>
      </c>
      <c r="K187" s="5">
        <v>953657591232575</v>
      </c>
      <c r="L187" s="5">
        <v>920005550587897</v>
      </c>
      <c r="M187" s="5">
        <v>98459749936</v>
      </c>
      <c r="N187" s="5">
        <v>978963665145</v>
      </c>
      <c r="O187" s="5">
        <v>962573092</v>
      </c>
      <c r="P187" s="5">
        <v>947185138989118</v>
      </c>
      <c r="Q187" s="5">
        <v>838033673904</v>
      </c>
      <c r="R187" s="5">
        <v>80358287276016</v>
      </c>
      <c r="S187" s="5">
        <v>76101567768</v>
      </c>
      <c r="T187" s="5">
        <v>790937970471</v>
      </c>
      <c r="U187" s="5">
        <v>80352863492</v>
      </c>
      <c r="V187" s="5">
        <v>648590926752</v>
      </c>
      <c r="W187" s="5">
        <v>650133000135</v>
      </c>
      <c r="X187" s="5">
        <v>6744398661</v>
      </c>
      <c r="Y187" s="5">
        <v>740179584375</v>
      </c>
      <c r="Z187" s="5">
        <v>723630884625</v>
      </c>
      <c r="AA187" s="5">
        <v>75331287075</v>
      </c>
      <c r="AB187" s="5">
        <v>6289174676865</v>
      </c>
      <c r="AC187" s="5">
        <v>62457623688</v>
      </c>
      <c r="AD187" s="5">
        <v>672990827883297</v>
      </c>
      <c r="AE187" s="5">
        <v>69195241208555</v>
      </c>
      <c r="AF187" s="5">
        <v>73173262105713</v>
      </c>
      <c r="AG187" s="5">
        <v>682808301649985</v>
      </c>
      <c r="AH187" s="5">
        <v>624524077992288</v>
      </c>
      <c r="AI187" s="5">
        <v>633937561413727</v>
      </c>
      <c r="AJ187" s="5">
        <v>665743477226373</v>
      </c>
      <c r="AK187" s="5">
        <v>639374142600648</v>
      </c>
      <c r="AL187" s="5">
        <v>6617786758452</v>
      </c>
      <c r="AM187" s="5">
        <v>62796060972</v>
      </c>
      <c r="AN187" s="5">
        <v>6831247232745</v>
      </c>
      <c r="AO187" s="5">
        <v>648731004656084</v>
      </c>
      <c r="AP187" s="5">
        <v>656667833166477</v>
      </c>
      <c r="AQ187" s="5"/>
      <c r="AR187" s="5"/>
      <c r="AS187" s="5"/>
      <c r="AT187" s="5"/>
      <c r="AU187" s="5"/>
      <c r="AV187" s="5"/>
      <c r="AW187" s="5"/>
      <c r="AX187" s="5"/>
      <c r="AY187" s="5"/>
      <c r="AZ187" s="5"/>
      <c r="BA187" s="5"/>
    </row>
    <row r="188" spans="1:53" x14ac:dyDescent="0.45">
      <c r="A188" s="1"/>
      <c r="B188" s="2"/>
      <c r="C188" s="1" t="s">
        <v>182</v>
      </c>
      <c r="D188" s="2">
        <v>4048156</v>
      </c>
      <c r="E188" s="3" t="s">
        <v>913</v>
      </c>
      <c r="F188" s="3" t="s">
        <v>914</v>
      </c>
      <c r="G188" s="3" t="s">
        <v>902</v>
      </c>
      <c r="H188" s="5">
        <v>144879689548464</v>
      </c>
      <c r="I188" s="5">
        <v>150817511939306</v>
      </c>
      <c r="J188" s="5">
        <v>172985806313775</v>
      </c>
      <c r="K188" s="5">
        <v>170599608951416</v>
      </c>
      <c r="L188" s="5">
        <v>155147721448428</v>
      </c>
      <c r="M188" s="5">
        <v>159936799236</v>
      </c>
      <c r="N188" s="5">
        <v>1506070667</v>
      </c>
      <c r="O188" s="5">
        <v>16407821416</v>
      </c>
      <c r="P188" s="5">
        <v>1796464356362</v>
      </c>
      <c r="Q188" s="5">
        <v>1775543075488</v>
      </c>
      <c r="R188" s="5">
        <v>166545346602</v>
      </c>
      <c r="S188" s="5">
        <v>159162773007</v>
      </c>
      <c r="T188" s="5">
        <v>1410861614974</v>
      </c>
      <c r="U188" s="5">
        <v>143841322548</v>
      </c>
      <c r="V188" s="5">
        <v>1421443708024</v>
      </c>
      <c r="W188" s="5">
        <v>138987724203</v>
      </c>
      <c r="X188" s="5">
        <v>133249179183835</v>
      </c>
      <c r="Y188" s="5">
        <v>112537772928396</v>
      </c>
      <c r="Z188" s="5">
        <v>113839038524645</v>
      </c>
      <c r="AA188" s="5">
        <v>955100639612</v>
      </c>
      <c r="AB188" s="5">
        <v>947912934267817</v>
      </c>
      <c r="AC188" s="5">
        <v>115937904771293</v>
      </c>
      <c r="AD188" s="5">
        <v>123858629883901</v>
      </c>
      <c r="AE188" s="5">
        <v>13061803865418</v>
      </c>
      <c r="AF188" s="5">
        <v>125198285966527</v>
      </c>
      <c r="AG188" s="5">
        <v>126882387369527</v>
      </c>
      <c r="AH188" s="5">
        <v>118494136245223</v>
      </c>
      <c r="AI188" s="5">
        <v>125150655326921</v>
      </c>
      <c r="AJ188" s="5">
        <v>140114985851565</v>
      </c>
      <c r="AK188" s="5">
        <v>142086213971573</v>
      </c>
      <c r="AL188" s="5">
        <v>152735394103293</v>
      </c>
      <c r="AM188" s="5">
        <v>15192683179875</v>
      </c>
      <c r="AN188" s="5">
        <v>148412963945795</v>
      </c>
      <c r="AO188" s="5">
        <v>153118901031799</v>
      </c>
      <c r="AP188" s="5">
        <v>151418536590744</v>
      </c>
      <c r="AQ188" s="5"/>
      <c r="AR188" s="5"/>
      <c r="AS188" s="5"/>
      <c r="AT188" s="5"/>
      <c r="AU188" s="5"/>
      <c r="AV188" s="5"/>
      <c r="AW188" s="5"/>
      <c r="AX188" s="5"/>
      <c r="AY188" s="5"/>
      <c r="AZ188" s="5"/>
      <c r="BA188" s="5"/>
    </row>
    <row r="189" spans="1:53" x14ac:dyDescent="0.45">
      <c r="A189" s="1"/>
      <c r="B189" s="2"/>
      <c r="C189" s="1" t="s">
        <v>183</v>
      </c>
      <c r="D189" s="2">
        <v>4991196</v>
      </c>
      <c r="E189" s="3" t="s">
        <v>915</v>
      </c>
      <c r="F189" s="3" t="s">
        <v>916</v>
      </c>
      <c r="G189" s="3" t="s">
        <v>539</v>
      </c>
      <c r="H189" s="5">
        <v>256363923121958</v>
      </c>
      <c r="I189" s="5">
        <v>256661021204419</v>
      </c>
      <c r="J189" s="5">
        <v>278096822280205</v>
      </c>
      <c r="K189" s="5">
        <v>241527533069851</v>
      </c>
      <c r="L189" s="5">
        <v>211338434991789</v>
      </c>
      <c r="M189" s="5">
        <v>191774785444589</v>
      </c>
      <c r="N189" s="5">
        <v>198984433529808</v>
      </c>
      <c r="O189" s="5">
        <v>19377264465405</v>
      </c>
      <c r="P189" s="5">
        <v>202834494900339</v>
      </c>
      <c r="Q189" s="5">
        <v>218722991412083</v>
      </c>
      <c r="R189" s="5">
        <v>230714423988096</v>
      </c>
      <c r="S189" s="5">
        <v>238170369011216</v>
      </c>
      <c r="T189" s="5">
        <v>246367466748068</v>
      </c>
      <c r="U189" s="5">
        <v>247478734430136</v>
      </c>
      <c r="V189" s="5">
        <v>228902642852036</v>
      </c>
      <c r="W189" s="5">
        <v>212706306199481</v>
      </c>
      <c r="X189" s="5">
        <v>220383989206574</v>
      </c>
      <c r="Y189" s="5">
        <v>22504731937883</v>
      </c>
      <c r="Z189" s="5">
        <v>209473556500832</v>
      </c>
      <c r="AA189" s="5">
        <v>226670087838989</v>
      </c>
      <c r="AB189" s="5">
        <v>221483786925387</v>
      </c>
      <c r="AC189" s="5">
        <v>212240885689374</v>
      </c>
      <c r="AD189" s="5">
        <v>176399742683497</v>
      </c>
      <c r="AE189" s="5">
        <v>184099228287091</v>
      </c>
      <c r="AF189" s="5">
        <v>204070391695302</v>
      </c>
      <c r="AG189" s="5">
        <v>198186840224348</v>
      </c>
      <c r="AH189" s="5">
        <v>186705363274972</v>
      </c>
      <c r="AI189" s="5">
        <v>191148857166409</v>
      </c>
      <c r="AJ189" s="5">
        <v>219510812353539</v>
      </c>
      <c r="AK189" s="5">
        <v>246769875583875</v>
      </c>
      <c r="AL189" s="5">
        <v>2632429687897</v>
      </c>
      <c r="AM189" s="5">
        <v>257493706039301</v>
      </c>
      <c r="AN189" s="5">
        <v>3131553338631</v>
      </c>
      <c r="AO189" s="5">
        <v>303731305059154</v>
      </c>
      <c r="AP189" s="5">
        <v>2668171350645</v>
      </c>
      <c r="AQ189" s="5"/>
      <c r="AR189" s="5"/>
      <c r="AS189" s="5"/>
      <c r="AT189" s="5"/>
      <c r="AU189" s="5"/>
      <c r="AV189" s="5"/>
      <c r="AW189" s="5"/>
      <c r="AX189" s="5"/>
      <c r="AY189" s="5"/>
      <c r="AZ189" s="5"/>
      <c r="BA189" s="5"/>
    </row>
    <row r="190" spans="1:53" x14ac:dyDescent="0.45">
      <c r="A190" s="1"/>
      <c r="B190" s="2"/>
      <c r="C190" s="1" t="s">
        <v>184</v>
      </c>
      <c r="D190" s="2">
        <v>4040505</v>
      </c>
      <c r="E190" s="3" t="s">
        <v>917</v>
      </c>
      <c r="F190" s="3" t="s">
        <v>918</v>
      </c>
      <c r="G190" s="3" t="s">
        <v>600</v>
      </c>
      <c r="H190" s="5">
        <v>505893529128</v>
      </c>
      <c r="I190" s="5">
        <v>5193866340216</v>
      </c>
      <c r="J190" s="5">
        <v>520603550556</v>
      </c>
      <c r="K190" s="5">
        <v>5208844313148</v>
      </c>
      <c r="L190" s="5">
        <v>507754898091</v>
      </c>
      <c r="M190" s="5">
        <v>498858450573</v>
      </c>
      <c r="N190" s="5">
        <v>523838375585</v>
      </c>
      <c r="O190" s="5">
        <v>54573458325</v>
      </c>
      <c r="P190" s="5">
        <v>5395752835694</v>
      </c>
      <c r="Q190" s="5">
        <v>531108160128</v>
      </c>
      <c r="R190" s="5">
        <v>541302207948</v>
      </c>
      <c r="S190" s="5">
        <v>5110053769872</v>
      </c>
      <c r="T190" s="5">
        <v>4980754029736</v>
      </c>
      <c r="U190" s="5">
        <v>50514112572</v>
      </c>
      <c r="V190" s="5">
        <v>4168278579032</v>
      </c>
      <c r="W190" s="5">
        <v>4214026933632</v>
      </c>
      <c r="X190" s="5">
        <v>4168566376128</v>
      </c>
      <c r="Y190" s="5">
        <v>400654793562625</v>
      </c>
      <c r="Z190" s="5">
        <v>383219868177</v>
      </c>
      <c r="AA190" s="5">
        <v>38963433230025</v>
      </c>
      <c r="AB190" s="5">
        <v>375013662306497</v>
      </c>
      <c r="AC190" s="5">
        <v>388586531770364</v>
      </c>
      <c r="AD190" s="5">
        <v>390808839715913</v>
      </c>
      <c r="AE190" s="5">
        <v>399820624560352</v>
      </c>
      <c r="AF190" s="5">
        <v>438253883483381</v>
      </c>
      <c r="AG190" s="5">
        <v>433691289092518</v>
      </c>
      <c r="AH190" s="5">
        <v>398923365787688</v>
      </c>
      <c r="AI190" s="5">
        <v>409209277645237</v>
      </c>
      <c r="AJ190" s="5">
        <v>435574906007706</v>
      </c>
      <c r="AK190" s="5">
        <v>418155316246775</v>
      </c>
      <c r="AL190" s="5">
        <v>41981434224672</v>
      </c>
      <c r="AM190" s="5">
        <v>403227207455469</v>
      </c>
      <c r="AN190" s="5">
        <v>417168031671456</v>
      </c>
      <c r="AO190" s="5">
        <v>41055440647815</v>
      </c>
      <c r="AP190" s="5">
        <v>391009265683188</v>
      </c>
      <c r="AQ190" s="5"/>
      <c r="AR190" s="5"/>
      <c r="AS190" s="5"/>
      <c r="AT190" s="5"/>
      <c r="AU190" s="5"/>
      <c r="AV190" s="5"/>
      <c r="AW190" s="5"/>
      <c r="AX190" s="5"/>
      <c r="AY190" s="5"/>
      <c r="AZ190" s="5"/>
      <c r="BA190" s="5"/>
    </row>
    <row r="191" spans="1:53" x14ac:dyDescent="0.45">
      <c r="A191" s="1"/>
      <c r="B191" s="2"/>
      <c r="C191" s="1" t="s">
        <v>185</v>
      </c>
      <c r="D191" s="2">
        <v>114527</v>
      </c>
      <c r="E191" s="3" t="s">
        <v>919</v>
      </c>
      <c r="F191" s="3" t="s">
        <v>920</v>
      </c>
      <c r="G191" s="3" t="s">
        <v>600</v>
      </c>
      <c r="H191" s="5">
        <v>1260258611706</v>
      </c>
      <c r="I191" s="5">
        <v>133186861375605</v>
      </c>
      <c r="J191" s="5">
        <v>1501783116624</v>
      </c>
      <c r="K191" s="5">
        <v>177130302514308</v>
      </c>
      <c r="L191" s="5">
        <v>17899052281803</v>
      </c>
      <c r="M191" s="5">
        <v>18813790250541</v>
      </c>
      <c r="N191" s="5">
        <v>2055863702894</v>
      </c>
      <c r="O191" s="5">
        <v>211612474072</v>
      </c>
      <c r="P191" s="5">
        <v>23171283856162</v>
      </c>
      <c r="Q191" s="5">
        <v>2427026906416</v>
      </c>
      <c r="R191" s="5">
        <v>24500080591866</v>
      </c>
      <c r="S191" s="5">
        <v>2434791035061</v>
      </c>
      <c r="T191" s="5">
        <v>2648138538052</v>
      </c>
      <c r="U191" s="5">
        <v>2574207487544</v>
      </c>
      <c r="V191" s="5">
        <v>2379281839332</v>
      </c>
      <c r="W191" s="5">
        <v>23614125194259</v>
      </c>
      <c r="X191" s="5">
        <v>251128177717186</v>
      </c>
      <c r="Y191" s="5">
        <v>25627148525538</v>
      </c>
      <c r="Z191" s="5">
        <v>26066170483956</v>
      </c>
      <c r="AA191" s="5">
        <v>24978324365739</v>
      </c>
      <c r="AB191" s="5">
        <v>249299821229625</v>
      </c>
      <c r="AC191" s="5">
        <v>250291927378532</v>
      </c>
      <c r="AD191" s="5">
        <v>253810478959491</v>
      </c>
      <c r="AE191" s="5">
        <v>270691033567422</v>
      </c>
      <c r="AF191" s="5">
        <v>267466532624728</v>
      </c>
      <c r="AG191" s="5">
        <v>264789976789758</v>
      </c>
      <c r="AH191" s="5">
        <v>228162949281449</v>
      </c>
      <c r="AI191" s="5">
        <v>223717229085595</v>
      </c>
      <c r="AJ191" s="5">
        <v>238522228714035</v>
      </c>
      <c r="AK191" s="5">
        <v>240343325951557</v>
      </c>
      <c r="AL191" s="5">
        <v>250357217456705</v>
      </c>
      <c r="AM191" s="5">
        <v>24352477491816</v>
      </c>
      <c r="AN191" s="5">
        <v>232502663846196</v>
      </c>
      <c r="AO191" s="5">
        <v>233296352491984</v>
      </c>
      <c r="AP191" s="5">
        <v>21249848166396</v>
      </c>
      <c r="AQ191" s="5"/>
      <c r="AR191" s="5"/>
      <c r="AS191" s="5"/>
      <c r="AT191" s="5"/>
      <c r="AU191" s="5"/>
      <c r="AV191" s="5"/>
      <c r="AW191" s="5"/>
      <c r="AX191" s="5"/>
      <c r="AY191" s="5"/>
      <c r="AZ191" s="5"/>
      <c r="BA191" s="5"/>
    </row>
    <row r="192" spans="1:53" x14ac:dyDescent="0.45">
      <c r="A192" s="1"/>
      <c r="B192" s="2"/>
      <c r="C192" s="1" t="s">
        <v>186</v>
      </c>
      <c r="D192" s="2">
        <v>4096376</v>
      </c>
      <c r="E192" s="3" t="s">
        <v>921</v>
      </c>
      <c r="F192" s="3" t="s">
        <v>922</v>
      </c>
      <c r="G192" s="3" t="s">
        <v>734</v>
      </c>
      <c r="H192" s="5">
        <v>280975112848418</v>
      </c>
      <c r="I192" s="5">
        <v>269923443829422</v>
      </c>
      <c r="J192" s="5">
        <v>25347486469103</v>
      </c>
      <c r="K192" s="5">
        <v>248898921616236</v>
      </c>
      <c r="L192" s="5">
        <v>257133058686192</v>
      </c>
      <c r="M192" s="5">
        <v>272549808609693</v>
      </c>
      <c r="N192" s="5">
        <v>280228639228499</v>
      </c>
      <c r="O192" s="5">
        <v>29094263404</v>
      </c>
      <c r="P192" s="5">
        <v>3041021210292</v>
      </c>
      <c r="Q192" s="5">
        <v>3179494961328</v>
      </c>
      <c r="R192" s="5">
        <v>329843218854</v>
      </c>
      <c r="S192" s="5">
        <v>3358270428216</v>
      </c>
      <c r="T192" s="5">
        <v>3393912332721</v>
      </c>
      <c r="U192" s="5">
        <v>340926075512</v>
      </c>
      <c r="V192" s="5">
        <v>3344286544176</v>
      </c>
      <c r="W192" s="5">
        <v>3360862334196</v>
      </c>
      <c r="X192" s="5">
        <v>3808886051355</v>
      </c>
      <c r="Y192" s="5">
        <v>3841104619261</v>
      </c>
      <c r="Z192" s="5">
        <v>383407387032852</v>
      </c>
      <c r="AA192" s="5">
        <v>335306799736</v>
      </c>
      <c r="AB192" s="5">
        <v>318354820824</v>
      </c>
      <c r="AC192" s="5">
        <v>32144360956125</v>
      </c>
      <c r="AD192" s="5">
        <v>309866908325275</v>
      </c>
      <c r="AE192" s="5">
        <v>315009600164382</v>
      </c>
      <c r="AF192" s="5">
        <v>326772080300455</v>
      </c>
      <c r="AG192" s="5">
        <v>314963720081781</v>
      </c>
      <c r="AH192" s="5">
        <v>300608658103038</v>
      </c>
      <c r="AI192" s="5">
        <v>303886314546481</v>
      </c>
      <c r="AJ192" s="5">
        <v>315467608521994</v>
      </c>
      <c r="AK192" s="5">
        <v>298179874157495</v>
      </c>
      <c r="AL192" s="5">
        <v>30496603706525</v>
      </c>
      <c r="AM192" s="5">
        <v>2946619210095</v>
      </c>
      <c r="AN192" s="5">
        <v>314056633099</v>
      </c>
      <c r="AO192" s="5">
        <v>289633532324746</v>
      </c>
      <c r="AP192" s="5">
        <v>280647040821379</v>
      </c>
      <c r="AQ192" s="5"/>
      <c r="AR192" s="5"/>
      <c r="AS192" s="5"/>
      <c r="AT192" s="5"/>
      <c r="AU192" s="5"/>
      <c r="AV192" s="5"/>
      <c r="AW192" s="5"/>
      <c r="AX192" s="5"/>
      <c r="AY192" s="5"/>
      <c r="AZ192" s="5"/>
      <c r="BA192" s="5"/>
    </row>
    <row r="193" spans="1:53" x14ac:dyDescent="0.45">
      <c r="A193" s="1"/>
      <c r="B193" s="2"/>
      <c r="C193" s="1" t="s">
        <v>187</v>
      </c>
      <c r="D193" s="2">
        <v>4272273</v>
      </c>
      <c r="E193" s="3" t="s">
        <v>923</v>
      </c>
      <c r="F193" s="3" t="s">
        <v>924</v>
      </c>
      <c r="G193" s="3" t="s">
        <v>899</v>
      </c>
      <c r="H193" s="5">
        <v>484877029005283</v>
      </c>
      <c r="I193" s="5">
        <v>513941422702079</v>
      </c>
      <c r="J193" s="5">
        <v>524411914418392</v>
      </c>
      <c r="K193" s="5">
        <v>495973112965277</v>
      </c>
      <c r="L193" s="5">
        <v>451655631993604</v>
      </c>
      <c r="M193" s="5">
        <v>444871548079039</v>
      </c>
      <c r="N193" s="5">
        <v>462511927850876</v>
      </c>
      <c r="O193" s="5">
        <v>456190563627864</v>
      </c>
      <c r="P193" s="5">
        <v>480257440240916</v>
      </c>
      <c r="Q193" s="5">
        <v>4953554790912</v>
      </c>
      <c r="R193" s="5">
        <v>519841253088</v>
      </c>
      <c r="S193" s="5">
        <v>508910870505827</v>
      </c>
      <c r="T193" s="5">
        <v>503954517580505</v>
      </c>
      <c r="U193" s="5">
        <v>498784987785209</v>
      </c>
      <c r="V193" s="5">
        <v>440233596191357</v>
      </c>
      <c r="W193" s="5">
        <v>436784471472587</v>
      </c>
      <c r="X193" s="5">
        <v>448127598119909</v>
      </c>
      <c r="Y193" s="5">
        <v>4408788318816</v>
      </c>
      <c r="Z193" s="5">
        <v>395669260255046</v>
      </c>
      <c r="AA193" s="5">
        <v>436410575227971</v>
      </c>
      <c r="AB193" s="5">
        <v>427484171289984</v>
      </c>
      <c r="AC193" s="5">
        <v>4185721113408</v>
      </c>
      <c r="AD193" s="5">
        <v>422557669908864</v>
      </c>
      <c r="AE193" s="5">
        <v>486882841177827</v>
      </c>
      <c r="AF193" s="5">
        <v>532755865916064</v>
      </c>
      <c r="AG193" s="5">
        <v>492656563663975</v>
      </c>
      <c r="AH193" s="5">
        <v>422749606848454</v>
      </c>
      <c r="AI193" s="5">
        <v>415806761817389</v>
      </c>
      <c r="AJ193" s="5">
        <v>451776292182237</v>
      </c>
      <c r="AK193" s="5">
        <v>475711332492662</v>
      </c>
      <c r="AL193" s="5">
        <v>525894722728792</v>
      </c>
      <c r="AM193" s="5">
        <v>5033348742276</v>
      </c>
      <c r="AN193" s="5">
        <v>563807307825581</v>
      </c>
      <c r="AO193" s="5">
        <v>53584805457001</v>
      </c>
      <c r="AP193" s="5">
        <v>465180125236084</v>
      </c>
      <c r="AQ193" s="5"/>
      <c r="AR193" s="5"/>
      <c r="AS193" s="5"/>
      <c r="AT193" s="5"/>
      <c r="AU193" s="5"/>
      <c r="AV193" s="5"/>
      <c r="AW193" s="5"/>
      <c r="AX193" s="5"/>
      <c r="AY193" s="5"/>
      <c r="AZ193" s="5"/>
      <c r="BA193" s="5"/>
    </row>
    <row r="194" spans="1:53" x14ac:dyDescent="0.45">
      <c r="A194" s="1"/>
      <c r="B194" s="2"/>
      <c r="C194" s="1" t="s">
        <v>188</v>
      </c>
      <c r="D194" s="2">
        <v>4004397</v>
      </c>
      <c r="E194" s="3" t="s">
        <v>925</v>
      </c>
      <c r="F194" s="3" t="s">
        <v>926</v>
      </c>
      <c r="G194" s="3" t="s">
        <v>927</v>
      </c>
      <c r="H194" s="5">
        <v>116006943467307</v>
      </c>
      <c r="I194" s="5">
        <v>114456624504039</v>
      </c>
      <c r="J194" s="5">
        <v>111117738180367</v>
      </c>
      <c r="K194" s="5">
        <v>118829540326266</v>
      </c>
      <c r="L194" s="5">
        <v>102416298685796</v>
      </c>
      <c r="M194" s="5">
        <v>105810975540657</v>
      </c>
      <c r="N194" s="5">
        <v>119834171946</v>
      </c>
      <c r="O194" s="5">
        <v>12149623002</v>
      </c>
      <c r="P194" s="5">
        <v>1244796335484</v>
      </c>
      <c r="Q194" s="5">
        <v>1282327143216</v>
      </c>
      <c r="R194" s="5">
        <v>133776400302049</v>
      </c>
      <c r="S194" s="5">
        <v>1334403462798</v>
      </c>
      <c r="T194" s="5">
        <v>1346171994708</v>
      </c>
      <c r="U194" s="5">
        <v>135403346892</v>
      </c>
      <c r="V194" s="5">
        <v>122937749185822</v>
      </c>
      <c r="W194" s="5">
        <v>13307393151675</v>
      </c>
      <c r="X194" s="5">
        <v>1373466634771</v>
      </c>
      <c r="Y194" s="5">
        <v>136255732843704</v>
      </c>
      <c r="Z194" s="5">
        <v>1364093956125</v>
      </c>
      <c r="AA194" s="5">
        <v>1303002666292</v>
      </c>
      <c r="AB194" s="5">
        <v>125378483703319</v>
      </c>
      <c r="AC194" s="5">
        <v>124079380240618</v>
      </c>
      <c r="AD194" s="5">
        <v>120058794092137</v>
      </c>
      <c r="AE194" s="5">
        <v>119228408345932</v>
      </c>
      <c r="AF194" s="5">
        <v>129333477766446</v>
      </c>
      <c r="AG194" s="5">
        <v>124773193473541</v>
      </c>
      <c r="AH194" s="5">
        <v>112596717520313</v>
      </c>
      <c r="AI194" s="5">
        <v>112994073641175</v>
      </c>
      <c r="AJ194" s="5">
        <v>122541237565537</v>
      </c>
      <c r="AK194" s="5">
        <v>122331908764652</v>
      </c>
      <c r="AL194" s="5">
        <v>125461427227518</v>
      </c>
      <c r="AM194" s="5">
        <v>122553946002375</v>
      </c>
      <c r="AN194" s="5">
        <v>132460139401385</v>
      </c>
      <c r="AO194" s="5">
        <v>130846548879228</v>
      </c>
      <c r="AP194" s="5">
        <v>125834044336368</v>
      </c>
      <c r="AQ194" s="5"/>
      <c r="AR194" s="5"/>
      <c r="AS194" s="5"/>
      <c r="AT194" s="5"/>
      <c r="AU194" s="5"/>
      <c r="AV194" s="5"/>
      <c r="AW194" s="5"/>
      <c r="AX194" s="5"/>
      <c r="AY194" s="5"/>
      <c r="AZ194" s="5"/>
      <c r="BA194" s="5"/>
    </row>
    <row r="195" spans="1:53" x14ac:dyDescent="0.45">
      <c r="A195" s="1"/>
      <c r="B195" s="2"/>
      <c r="C195" s="1" t="s">
        <v>189</v>
      </c>
      <c r="D195" s="2">
        <v>4135343</v>
      </c>
      <c r="E195" s="3" t="s">
        <v>928</v>
      </c>
      <c r="F195" s="3" t="s">
        <v>929</v>
      </c>
      <c r="G195" s="3" t="s">
        <v>472</v>
      </c>
      <c r="H195" s="5">
        <v>779343491354008</v>
      </c>
      <c r="I195" s="5">
        <v>820242433988829</v>
      </c>
      <c r="J195" s="5">
        <v>840894249054089</v>
      </c>
      <c r="K195" s="5">
        <v>895225768319438</v>
      </c>
      <c r="L195" s="5">
        <v>920576003206714</v>
      </c>
      <c r="M195" s="5">
        <v>8431844869</v>
      </c>
      <c r="N195" s="5">
        <v>810677912491</v>
      </c>
      <c r="O195" s="5">
        <v>75466401633</v>
      </c>
      <c r="P195" s="5">
        <v>822452529756</v>
      </c>
      <c r="Q195" s="5">
        <v>8303429519616</v>
      </c>
      <c r="R195" s="5">
        <v>86778994755504</v>
      </c>
      <c r="S195" s="5">
        <v>884534936859</v>
      </c>
      <c r="T195" s="5">
        <v>8937141813138</v>
      </c>
      <c r="U195" s="5">
        <v>91853574692</v>
      </c>
      <c r="V195" s="5">
        <v>8865477463592</v>
      </c>
      <c r="W195" s="5">
        <v>9288969026328</v>
      </c>
      <c r="X195" s="5">
        <v>9278632261514</v>
      </c>
      <c r="Y195" s="5">
        <v>946629514215</v>
      </c>
      <c r="Z195" s="5">
        <v>10004037715098</v>
      </c>
      <c r="AA195" s="5">
        <v>10418529931866</v>
      </c>
      <c r="AB195" s="5">
        <v>103823716902</v>
      </c>
      <c r="AC195" s="5">
        <v>109782641214375</v>
      </c>
      <c r="AD195" s="5">
        <v>110544933518028</v>
      </c>
      <c r="AE195" s="5">
        <v>134275755946899</v>
      </c>
      <c r="AF195" s="5">
        <v>144545239171977</v>
      </c>
      <c r="AG195" s="5">
        <v>1420855935345</v>
      </c>
      <c r="AH195" s="5">
        <v>129124554289489</v>
      </c>
      <c r="AI195" s="5">
        <v>137663219587436</v>
      </c>
      <c r="AJ195" s="5">
        <v>157141082067</v>
      </c>
      <c r="AK195" s="5">
        <v>154468183021249</v>
      </c>
      <c r="AL195" s="5">
        <v>150333065233767</v>
      </c>
      <c r="AM195" s="5">
        <v>133719341901615</v>
      </c>
      <c r="AN195" s="5">
        <v>135469335923307</v>
      </c>
      <c r="AO195" s="5">
        <v>137521268903527</v>
      </c>
      <c r="AP195" s="5">
        <v>140084269556646</v>
      </c>
      <c r="AQ195" s="5"/>
      <c r="AR195" s="5"/>
      <c r="AS195" s="5"/>
      <c r="AT195" s="5"/>
      <c r="AU195" s="5"/>
      <c r="AV195" s="5"/>
      <c r="AW195" s="5"/>
      <c r="AX195" s="5"/>
      <c r="AY195" s="5"/>
      <c r="AZ195" s="5"/>
      <c r="BA195" s="5"/>
    </row>
    <row r="196" spans="1:53" x14ac:dyDescent="0.45">
      <c r="A196" s="1"/>
      <c r="B196" s="2"/>
      <c r="C196" s="1" t="s">
        <v>190</v>
      </c>
      <c r="D196" s="2">
        <v>4090258</v>
      </c>
      <c r="E196" s="3" t="s">
        <v>930</v>
      </c>
      <c r="F196" s="3" t="s">
        <v>931</v>
      </c>
      <c r="G196" s="3" t="s">
        <v>524</v>
      </c>
      <c r="H196" s="5">
        <v>132851897696488</v>
      </c>
      <c r="I196" s="5">
        <v>13438023794684</v>
      </c>
      <c r="J196" s="5">
        <v>141838689116471</v>
      </c>
      <c r="K196" s="5">
        <v>127720166387901</v>
      </c>
      <c r="L196" s="5">
        <v>122619468051156</v>
      </c>
      <c r="M196" s="5">
        <v>122095226536</v>
      </c>
      <c r="N196" s="5">
        <v>120711523904</v>
      </c>
      <c r="O196" s="5">
        <v>12432136592</v>
      </c>
      <c r="P196" s="5">
        <v>114428958546681</v>
      </c>
      <c r="Q196" s="5">
        <v>115058152663772</v>
      </c>
      <c r="R196" s="5">
        <v>114276268209605</v>
      </c>
      <c r="S196" s="5">
        <v>1090415714976</v>
      </c>
      <c r="T196" s="5">
        <v>101060966941</v>
      </c>
      <c r="U196" s="5">
        <v>996718371</v>
      </c>
      <c r="V196" s="5">
        <v>101699060176</v>
      </c>
      <c r="W196" s="5">
        <v>1049815006182</v>
      </c>
      <c r="X196" s="5">
        <v>10473770559175</v>
      </c>
      <c r="Y196" s="5">
        <v>102650948496789</v>
      </c>
      <c r="Z196" s="5">
        <v>9898214634</v>
      </c>
      <c r="AA196" s="5">
        <v>10750485823</v>
      </c>
      <c r="AB196" s="5">
        <v>814647797442</v>
      </c>
      <c r="AC196" s="5">
        <v>7257508035375</v>
      </c>
      <c r="AD196" s="5">
        <v>704672883713741</v>
      </c>
      <c r="AE196" s="5">
        <v>767894791704202</v>
      </c>
      <c r="AF196" s="5">
        <v>871041932504386</v>
      </c>
      <c r="AG196" s="5">
        <v>803354663110359</v>
      </c>
      <c r="AH196" s="5">
        <v>667626941374763</v>
      </c>
      <c r="AI196" s="5">
        <v>647566358859077</v>
      </c>
      <c r="AJ196" s="5">
        <v>6606868168768</v>
      </c>
      <c r="AK196" s="5">
        <v>617212832815136</v>
      </c>
      <c r="AL196" s="5">
        <v>6320543715346</v>
      </c>
      <c r="AM196" s="5">
        <v>595298266038</v>
      </c>
      <c r="AN196" s="5">
        <v>572292239568</v>
      </c>
      <c r="AO196" s="5">
        <v>549391336746</v>
      </c>
      <c r="AP196" s="5">
        <v>518607386745</v>
      </c>
      <c r="AQ196" s="5"/>
      <c r="AR196" s="5"/>
      <c r="AS196" s="5"/>
      <c r="AT196" s="5"/>
      <c r="AU196" s="5"/>
      <c r="AV196" s="5"/>
      <c r="AW196" s="5"/>
      <c r="AX196" s="5"/>
      <c r="AY196" s="5"/>
      <c r="AZ196" s="5"/>
      <c r="BA196" s="5"/>
    </row>
    <row r="197" spans="1:53" x14ac:dyDescent="0.45">
      <c r="A197" s="1"/>
      <c r="B197" s="2"/>
      <c r="C197" s="1" t="s">
        <v>191</v>
      </c>
      <c r="D197" s="2">
        <v>103323</v>
      </c>
      <c r="E197" s="3" t="s">
        <v>932</v>
      </c>
      <c r="F197" s="3" t="s">
        <v>933</v>
      </c>
      <c r="G197" s="3" t="s">
        <v>484</v>
      </c>
      <c r="H197" s="5">
        <v>872123327846362</v>
      </c>
      <c r="I197" s="5">
        <v>861318162418104</v>
      </c>
      <c r="J197" s="5">
        <v>840619842778673</v>
      </c>
      <c r="K197" s="5">
        <v>788234742844353</v>
      </c>
      <c r="L197" s="5">
        <v>75394686282834</v>
      </c>
      <c r="M197" s="5">
        <v>78383671441</v>
      </c>
      <c r="N197" s="5">
        <v>7843772205</v>
      </c>
      <c r="O197" s="5">
        <v>78604711</v>
      </c>
      <c r="P197" s="5">
        <v>83006832402</v>
      </c>
      <c r="Q197" s="5">
        <v>84944365632</v>
      </c>
      <c r="R197" s="5">
        <v>860048090494878</v>
      </c>
      <c r="S197" s="5">
        <v>808662180588</v>
      </c>
      <c r="T197" s="5">
        <v>829111214368</v>
      </c>
      <c r="U197" s="5">
        <v>78677679124</v>
      </c>
      <c r="V197" s="5">
        <v>692932736468</v>
      </c>
      <c r="W197" s="5">
        <v>6807695480145</v>
      </c>
      <c r="X197" s="5">
        <v>694911073535587</v>
      </c>
      <c r="Y197" s="5">
        <v>6680457641725</v>
      </c>
      <c r="Z197" s="5">
        <v>671608106235</v>
      </c>
      <c r="AA197" s="5">
        <v>6681311843725</v>
      </c>
      <c r="AB197" s="5">
        <v>6128781736875</v>
      </c>
      <c r="AC197" s="5">
        <v>571769461343032</v>
      </c>
      <c r="AD197" s="5">
        <v>619343760348242</v>
      </c>
      <c r="AE197" s="5">
        <v>649088048006855</v>
      </c>
      <c r="AF197" s="5">
        <v>707667346279317</v>
      </c>
      <c r="AG197" s="5">
        <v>650963045512549</v>
      </c>
      <c r="AH197" s="5">
        <v>625358936208222</v>
      </c>
      <c r="AI197" s="5">
        <v>65297912824344</v>
      </c>
      <c r="AJ197" s="5">
        <v>703258625137626</v>
      </c>
      <c r="AK197" s="5">
        <v>659129755407197</v>
      </c>
      <c r="AL197" s="5">
        <v>6557531570694</v>
      </c>
      <c r="AM197" s="5">
        <v>6373592665245</v>
      </c>
      <c r="AN197" s="5">
        <v>6501016112812</v>
      </c>
      <c r="AO197" s="5">
        <v>603646249410439</v>
      </c>
      <c r="AP197" s="5">
        <v>570526027907641</v>
      </c>
      <c r="AQ197" s="5"/>
      <c r="AR197" s="5"/>
      <c r="AS197" s="5"/>
      <c r="AT197" s="5"/>
      <c r="AU197" s="5"/>
      <c r="AV197" s="5"/>
      <c r="AW197" s="5"/>
      <c r="AX197" s="5"/>
      <c r="AY197" s="5"/>
      <c r="AZ197" s="5"/>
      <c r="BA197" s="5"/>
    </row>
    <row r="198" spans="1:53" x14ac:dyDescent="0.45">
      <c r="A198" s="1"/>
      <c r="B198" s="2"/>
      <c r="C198" s="1" t="s">
        <v>192</v>
      </c>
      <c r="D198" s="2">
        <v>4010641</v>
      </c>
      <c r="E198" s="3" t="s">
        <v>934</v>
      </c>
      <c r="F198" s="3" t="s">
        <v>935</v>
      </c>
      <c r="G198" s="3" t="s">
        <v>601</v>
      </c>
      <c r="H198" s="5">
        <v>355114863685792</v>
      </c>
      <c r="I198" s="5">
        <v>306110610712874</v>
      </c>
      <c r="J198" s="5">
        <v>32034170048835</v>
      </c>
      <c r="K198" s="5">
        <v>33945140020738</v>
      </c>
      <c r="L198" s="5">
        <v>286028301808362</v>
      </c>
      <c r="M198" s="5">
        <v>313864470565394</v>
      </c>
      <c r="N198" s="5">
        <v>3248898682905</v>
      </c>
      <c r="O198" s="5">
        <v>34904950317</v>
      </c>
      <c r="P198" s="5">
        <v>365447799045342</v>
      </c>
      <c r="Q198" s="5">
        <v>3989715198056</v>
      </c>
      <c r="R198" s="5">
        <v>436580052876</v>
      </c>
      <c r="S198" s="5">
        <v>4531742455455</v>
      </c>
      <c r="T198" s="5">
        <v>4429394860365</v>
      </c>
      <c r="U198" s="5">
        <v>43415393373</v>
      </c>
      <c r="V198" s="5">
        <v>36281405244436</v>
      </c>
      <c r="W198" s="5">
        <v>343815633612</v>
      </c>
      <c r="X198" s="5">
        <v>332231607650903</v>
      </c>
      <c r="Y198" s="5">
        <v>3357470095259</v>
      </c>
      <c r="Z198" s="5">
        <v>35042216822235</v>
      </c>
      <c r="AA198" s="5">
        <v>3256705392753</v>
      </c>
      <c r="AB198" s="5">
        <v>3096666744678</v>
      </c>
      <c r="AC198" s="5">
        <v>2550587695236</v>
      </c>
      <c r="AD198" s="5">
        <v>25142707997568</v>
      </c>
      <c r="AE198" s="5">
        <v>268231843714208</v>
      </c>
      <c r="AF198" s="5">
        <v>322812944632936</v>
      </c>
      <c r="AG198" s="5">
        <v>297865005632452</v>
      </c>
      <c r="AH198" s="5">
        <v>27074492876406</v>
      </c>
      <c r="AI198" s="5">
        <v>300270912667846</v>
      </c>
      <c r="AJ198" s="5">
        <v>323319274297173</v>
      </c>
      <c r="AK198" s="5">
        <v>328999906149136</v>
      </c>
      <c r="AL198" s="5">
        <v>3519743256754</v>
      </c>
      <c r="AM198" s="5">
        <v>37204114664475</v>
      </c>
      <c r="AN198" s="5">
        <v>34705445911056</v>
      </c>
      <c r="AO198" s="5">
        <v>325390655388814</v>
      </c>
      <c r="AP198" s="5">
        <v>300186465837395</v>
      </c>
      <c r="AQ198" s="5"/>
      <c r="AR198" s="5"/>
      <c r="AS198" s="5"/>
      <c r="AT198" s="5"/>
      <c r="AU198" s="5"/>
      <c r="AV198" s="5"/>
      <c r="AW198" s="5"/>
      <c r="AX198" s="5"/>
      <c r="AY198" s="5"/>
      <c r="AZ198" s="5"/>
      <c r="BA198" s="5"/>
    </row>
    <row r="199" spans="1:53" x14ac:dyDescent="0.45">
      <c r="A199" s="1"/>
      <c r="B199" s="2"/>
      <c r="C199" s="1" t="s">
        <v>193</v>
      </c>
      <c r="D199" s="2">
        <v>4095387</v>
      </c>
      <c r="E199" s="3" t="s">
        <v>936</v>
      </c>
      <c r="F199" s="3" t="s">
        <v>937</v>
      </c>
      <c r="G199" s="3" t="s">
        <v>938</v>
      </c>
      <c r="H199" s="5">
        <v>942800988577051</v>
      </c>
      <c r="I199" s="5">
        <v>972889906398188</v>
      </c>
      <c r="J199" s="5">
        <v>994830001192961</v>
      </c>
      <c r="K199" s="5">
        <v>103365237942725</v>
      </c>
      <c r="L199" s="5">
        <v>103487489689673</v>
      </c>
      <c r="M199" s="5">
        <v>112298975</v>
      </c>
      <c r="N199" s="5">
        <v>12217314375</v>
      </c>
      <c r="O199" s="5">
        <v>11710175</v>
      </c>
      <c r="P199" s="5">
        <v>113710083874639</v>
      </c>
      <c r="Q199" s="5">
        <v>116036118352</v>
      </c>
      <c r="R199" s="5">
        <v>11342566422</v>
      </c>
      <c r="S199" s="5">
        <v>954169510143</v>
      </c>
      <c r="T199" s="5">
        <v>919583337693</v>
      </c>
      <c r="U199" s="5">
        <v>100804039226</v>
      </c>
      <c r="V199" s="5">
        <v>954411284644</v>
      </c>
      <c r="W199" s="5">
        <v>8850927945645</v>
      </c>
      <c r="X199" s="5">
        <v>919567157047</v>
      </c>
      <c r="Y199" s="5">
        <v>9116904245785</v>
      </c>
      <c r="Z199" s="5">
        <v>943091079885</v>
      </c>
      <c r="AA199" s="5">
        <v>978077335865</v>
      </c>
      <c r="AB199" s="5">
        <v>923201472672</v>
      </c>
      <c r="AC199" s="5">
        <v>87162976368</v>
      </c>
      <c r="AD199" s="5">
        <v>855489128983355</v>
      </c>
      <c r="AE199" s="5">
        <v>772936717159288</v>
      </c>
      <c r="AF199" s="5">
        <v>862187364607858</v>
      </c>
      <c r="AG199" s="5">
        <v>870238356701942</v>
      </c>
      <c r="AH199" s="5">
        <v>807384324035831</v>
      </c>
      <c r="AI199" s="5">
        <v>831730058155743</v>
      </c>
      <c r="AJ199" s="5">
        <v>890200629512503</v>
      </c>
      <c r="AK199" s="5">
        <v>835787990260692</v>
      </c>
      <c r="AL199" s="5">
        <v>818093592154034</v>
      </c>
      <c r="AM199" s="5">
        <v>786064151826</v>
      </c>
      <c r="AN199" s="5">
        <v>731784847654887</v>
      </c>
      <c r="AO199" s="5">
        <v>69086988848247</v>
      </c>
      <c r="AP199" s="5">
        <v>611386376991615</v>
      </c>
      <c r="AQ199" s="5"/>
      <c r="AR199" s="5"/>
      <c r="AS199" s="5"/>
      <c r="AT199" s="5"/>
      <c r="AU199" s="5"/>
      <c r="AV199" s="5"/>
      <c r="AW199" s="5"/>
      <c r="AX199" s="5"/>
      <c r="AY199" s="5"/>
      <c r="AZ199" s="5"/>
      <c r="BA199" s="5"/>
    </row>
    <row r="200" spans="1:53" x14ac:dyDescent="0.45">
      <c r="A200" s="1"/>
      <c r="B200" s="2"/>
      <c r="C200" s="1" t="s">
        <v>194</v>
      </c>
      <c r="D200" s="2">
        <v>4283738</v>
      </c>
      <c r="E200" s="3" t="s">
        <v>939</v>
      </c>
      <c r="F200" s="3" t="s">
        <v>940</v>
      </c>
      <c r="G200" s="3" t="s">
        <v>941</v>
      </c>
      <c r="H200" s="5">
        <v>2590005634848</v>
      </c>
      <c r="I200" s="5">
        <v>2527032016125</v>
      </c>
      <c r="J200" s="5">
        <v>23475215692495</v>
      </c>
      <c r="K200" s="5">
        <v>243269518114203</v>
      </c>
      <c r="L200" s="5">
        <v>239290305706242</v>
      </c>
      <c r="M200" s="5">
        <v>25011332556054</v>
      </c>
      <c r="N200" s="5">
        <v>2804281210168</v>
      </c>
      <c r="O200" s="5">
        <v>2674730864954</v>
      </c>
      <c r="P200" s="5">
        <v>286306050420548</v>
      </c>
      <c r="Q200" s="5">
        <v>308293600733143</v>
      </c>
      <c r="R200" s="5">
        <v>3041920315224</v>
      </c>
      <c r="S200" s="5">
        <v>27566202095136</v>
      </c>
      <c r="T200" s="5">
        <v>262726413024122</v>
      </c>
      <c r="U200" s="5">
        <v>25127149932258</v>
      </c>
      <c r="V200" s="5">
        <v>264393389591064</v>
      </c>
      <c r="W200" s="5">
        <v>254769178201029</v>
      </c>
      <c r="X200" s="5">
        <v>256616585437905</v>
      </c>
      <c r="Y200" s="5">
        <v>269934705403996</v>
      </c>
      <c r="Z200" s="5">
        <v>271171065324776</v>
      </c>
      <c r="AA200" s="5">
        <v>274147832135469</v>
      </c>
      <c r="AB200" s="5">
        <v>278594607454174</v>
      </c>
      <c r="AC200" s="5">
        <v>252907220148552</v>
      </c>
      <c r="AD200" s="5">
        <v>25639857527823</v>
      </c>
      <c r="AE200" s="5">
        <v>253855991518332</v>
      </c>
      <c r="AF200" s="5">
        <v>262628472492661</v>
      </c>
      <c r="AG200" s="5">
        <v>254312126831185</v>
      </c>
      <c r="AH200" s="5">
        <v>28780456758176</v>
      </c>
      <c r="AI200" s="5">
        <v>3210679943596</v>
      </c>
      <c r="AJ200" s="5">
        <v>348808148754807</v>
      </c>
      <c r="AK200" s="5">
        <v>3374386908354</v>
      </c>
      <c r="AL200" s="5">
        <v>308915270318445</v>
      </c>
      <c r="AM200" s="5">
        <v>274815284610461</v>
      </c>
      <c r="AN200" s="5">
        <v>293769346180229</v>
      </c>
      <c r="AO200" s="5">
        <v>268340209800985</v>
      </c>
      <c r="AP200" s="5">
        <v>2636863163469</v>
      </c>
      <c r="AQ200" s="5"/>
      <c r="AR200" s="5"/>
      <c r="AS200" s="5"/>
      <c r="AT200" s="5"/>
      <c r="AU200" s="5"/>
      <c r="AV200" s="5"/>
      <c r="AW200" s="5"/>
      <c r="AX200" s="5"/>
      <c r="AY200" s="5"/>
      <c r="AZ200" s="5"/>
      <c r="BA200" s="5"/>
    </row>
    <row r="201" spans="1:53" x14ac:dyDescent="0.45">
      <c r="A201" s="1"/>
      <c r="B201" s="2"/>
      <c r="C201" s="1" t="s">
        <v>195</v>
      </c>
      <c r="D201" s="2">
        <v>102953</v>
      </c>
      <c r="E201" s="3" t="s">
        <v>942</v>
      </c>
      <c r="F201" s="3" t="s">
        <v>943</v>
      </c>
      <c r="G201" s="3" t="s">
        <v>499</v>
      </c>
      <c r="H201" s="5">
        <v>101887653058134</v>
      </c>
      <c r="I201" s="5">
        <v>104149900406929</v>
      </c>
      <c r="J201" s="5">
        <v>104093686079778</v>
      </c>
      <c r="K201" s="5">
        <v>110426578472256</v>
      </c>
      <c r="L201" s="5">
        <v>117723823230011</v>
      </c>
      <c r="M201" s="5">
        <v>1258345906425</v>
      </c>
      <c r="N201" s="5">
        <v>131260232958</v>
      </c>
      <c r="O201" s="5">
        <v>13069635582</v>
      </c>
      <c r="P201" s="5">
        <v>134775749823</v>
      </c>
      <c r="Q201" s="5">
        <v>1370242396096</v>
      </c>
      <c r="R201" s="5">
        <v>144612281124</v>
      </c>
      <c r="S201" s="5">
        <v>1314880766568</v>
      </c>
      <c r="T201" s="5">
        <v>1317511319532</v>
      </c>
      <c r="U201" s="5">
        <v>130729197786</v>
      </c>
      <c r="V201" s="5">
        <v>14611734726</v>
      </c>
      <c r="W201" s="5">
        <v>1578653765865</v>
      </c>
      <c r="X201" s="5">
        <v>1649667899187</v>
      </c>
      <c r="Y201" s="5">
        <v>163994309828603</v>
      </c>
      <c r="Z201" s="5">
        <v>1488051631989</v>
      </c>
      <c r="AA201" s="5">
        <v>13795661259965</v>
      </c>
      <c r="AB201" s="5">
        <v>1378746704202</v>
      </c>
      <c r="AC201" s="5">
        <v>126763682138525</v>
      </c>
      <c r="AD201" s="5">
        <v>154458902719321</v>
      </c>
      <c r="AE201" s="5">
        <v>163738955540636</v>
      </c>
      <c r="AF201" s="5">
        <v>156397991685169</v>
      </c>
      <c r="AG201" s="5">
        <v>15605276427578</v>
      </c>
      <c r="AH201" s="5">
        <v>154401526634555</v>
      </c>
      <c r="AI201" s="5">
        <v>153048241036559</v>
      </c>
      <c r="AJ201" s="5">
        <v>161747893445061</v>
      </c>
      <c r="AK201" s="5">
        <v>151416128218596</v>
      </c>
      <c r="AL201" s="5">
        <v>16287812912137</v>
      </c>
      <c r="AM201" s="5">
        <v>166085454348304</v>
      </c>
      <c r="AN201" s="5">
        <v>185620216993351</v>
      </c>
      <c r="AO201" s="5">
        <v>17407066927592</v>
      </c>
      <c r="AP201" s="5">
        <v>192372236015416</v>
      </c>
      <c r="AQ201" s="5"/>
      <c r="AR201" s="5"/>
      <c r="AS201" s="5"/>
      <c r="AT201" s="5"/>
      <c r="AU201" s="5"/>
      <c r="AV201" s="5"/>
      <c r="AW201" s="5"/>
      <c r="AX201" s="5"/>
      <c r="AY201" s="5"/>
      <c r="AZ201" s="5"/>
      <c r="BA201" s="5"/>
    </row>
    <row r="202" spans="1:53" x14ac:dyDescent="0.45">
      <c r="A202" s="1"/>
      <c r="B202" s="2"/>
      <c r="C202" s="1" t="s">
        <v>196</v>
      </c>
      <c r="D202" s="2">
        <v>4811795</v>
      </c>
      <c r="E202" s="3" t="s">
        <v>944</v>
      </c>
      <c r="F202" s="3" t="s">
        <v>945</v>
      </c>
      <c r="G202" s="3" t="s">
        <v>663</v>
      </c>
      <c r="H202" s="5">
        <v>913412784191309</v>
      </c>
      <c r="I202" s="5">
        <v>941672438166348</v>
      </c>
      <c r="J202" s="5">
        <v>10675176114</v>
      </c>
      <c r="K202" s="5">
        <v>1096836565329</v>
      </c>
      <c r="L202" s="5">
        <v>115624064501291</v>
      </c>
      <c r="M202" s="5">
        <v>1226482932605</v>
      </c>
      <c r="N202" s="5">
        <v>127258829899</v>
      </c>
      <c r="O202" s="5">
        <v>12988962689</v>
      </c>
      <c r="P202" s="5">
        <v>127164273808</v>
      </c>
      <c r="Q202" s="5">
        <v>125893107648</v>
      </c>
      <c r="R202" s="5">
        <v>12799473984</v>
      </c>
      <c r="S202" s="5">
        <v>1192397066838</v>
      </c>
      <c r="T202" s="5">
        <v>1156761093267</v>
      </c>
      <c r="U202" s="5">
        <v>113423417184</v>
      </c>
      <c r="V202" s="5">
        <v>11135440544</v>
      </c>
      <c r="W202" s="5">
        <v>118606038426</v>
      </c>
      <c r="X202" s="5">
        <v>120186956351</v>
      </c>
      <c r="Y202" s="5">
        <v>1329271794557</v>
      </c>
      <c r="Z202" s="5">
        <v>130655078892</v>
      </c>
      <c r="AA202" s="5">
        <v>12811544859405</v>
      </c>
      <c r="AB202" s="5">
        <v>1210072827075</v>
      </c>
      <c r="AC202" s="5">
        <v>124801882895448</v>
      </c>
      <c r="AD202" s="5">
        <v>116057323366029</v>
      </c>
      <c r="AE202" s="5">
        <v>120784229985426</v>
      </c>
      <c r="AF202" s="5">
        <v>12282644401934</v>
      </c>
      <c r="AG202" s="5">
        <v>114736050432874</v>
      </c>
      <c r="AH202" s="5">
        <v>991787996002927</v>
      </c>
      <c r="AI202" s="5">
        <v>101858653809067</v>
      </c>
      <c r="AJ202" s="5">
        <v>111705307676333</v>
      </c>
      <c r="AK202" s="5">
        <v>106688143666635</v>
      </c>
      <c r="AL202" s="5">
        <v>107937739717604</v>
      </c>
      <c r="AM202" s="5">
        <v>102402343822943</v>
      </c>
      <c r="AN202" s="5">
        <v>108913319480152</v>
      </c>
      <c r="AO202" s="5">
        <v>104671533721821</v>
      </c>
      <c r="AP202" s="5">
        <v>102990808888193</v>
      </c>
      <c r="AQ202" s="5"/>
      <c r="AR202" s="5"/>
      <c r="AS202" s="5"/>
      <c r="AT202" s="5"/>
      <c r="AU202" s="5"/>
      <c r="AV202" s="5"/>
      <c r="AW202" s="5"/>
      <c r="AX202" s="5"/>
      <c r="AY202" s="5"/>
      <c r="AZ202" s="5"/>
      <c r="BA202" s="5"/>
    </row>
    <row r="203" spans="1:53" x14ac:dyDescent="0.45">
      <c r="A203" s="1"/>
      <c r="B203" s="2"/>
      <c r="C203" s="1" t="s">
        <v>197</v>
      </c>
      <c r="D203" s="2">
        <v>4019144</v>
      </c>
      <c r="E203" s="3" t="s">
        <v>946</v>
      </c>
      <c r="F203" s="3" t="s">
        <v>947</v>
      </c>
      <c r="G203" s="3" t="s">
        <v>628</v>
      </c>
      <c r="H203" s="5">
        <v>21279139896149</v>
      </c>
      <c r="I203" s="5">
        <v>20837518624436</v>
      </c>
      <c r="J203" s="5">
        <v>198653103880525</v>
      </c>
      <c r="K203" s="5">
        <v>18861209685413</v>
      </c>
      <c r="L203" s="5">
        <v>175633360610867</v>
      </c>
      <c r="M203" s="5">
        <v>172016484554002</v>
      </c>
      <c r="N203" s="5">
        <v>176318457315932</v>
      </c>
      <c r="O203" s="5">
        <v>194501375738596</v>
      </c>
      <c r="P203" s="5">
        <v>178459417283177</v>
      </c>
      <c r="Q203" s="5">
        <v>180270058059355</v>
      </c>
      <c r="R203" s="5">
        <v>177667184868888</v>
      </c>
      <c r="S203" s="5">
        <v>176085956191403</v>
      </c>
      <c r="T203" s="5">
        <v>255088943499823</v>
      </c>
      <c r="U203" s="5">
        <v>234739157943659</v>
      </c>
      <c r="V203" s="5">
        <v>204095667523787</v>
      </c>
      <c r="W203" s="5">
        <v>201911173125042</v>
      </c>
      <c r="X203" s="5">
        <v>211936710051309</v>
      </c>
      <c r="Y203" s="5">
        <v>205417119457754</v>
      </c>
      <c r="Z203" s="5">
        <v>20079561814737</v>
      </c>
      <c r="AA203" s="5">
        <v>18480819785651</v>
      </c>
      <c r="AB203" s="5">
        <v>190559625244738</v>
      </c>
      <c r="AC203" s="5">
        <v>188970607739604</v>
      </c>
      <c r="AD203" s="5">
        <v>162525801560929</v>
      </c>
      <c r="AE203" s="5">
        <v>194568006897245</v>
      </c>
      <c r="AF203" s="5">
        <v>21703096492122</v>
      </c>
      <c r="AG203" s="5">
        <v>223778131197081</v>
      </c>
      <c r="AH203" s="5">
        <v>202974365459474</v>
      </c>
      <c r="AI203" s="5">
        <v>218888082118422</v>
      </c>
      <c r="AJ203" s="5">
        <v>239982948946695</v>
      </c>
      <c r="AK203" s="5">
        <v>244225861000596</v>
      </c>
      <c r="AL203" s="5">
        <v>260557193272346</v>
      </c>
      <c r="AM203" s="5">
        <v>255438416166957</v>
      </c>
      <c r="AN203" s="5">
        <v>272256308174866</v>
      </c>
      <c r="AO203" s="5">
        <v>248249556031281</v>
      </c>
      <c r="AP203" s="5">
        <v>22649081597001</v>
      </c>
      <c r="AQ203" s="5"/>
      <c r="AR203" s="5"/>
      <c r="AS203" s="5"/>
      <c r="AT203" s="5"/>
      <c r="AU203" s="5"/>
      <c r="AV203" s="5"/>
      <c r="AW203" s="5"/>
      <c r="AX203" s="5"/>
      <c r="AY203" s="5"/>
      <c r="AZ203" s="5"/>
      <c r="BA203" s="5"/>
    </row>
    <row r="204" spans="1:53" x14ac:dyDescent="0.45">
      <c r="A204" s="1"/>
      <c r="B204" s="2"/>
      <c r="C204" s="1" t="s">
        <v>198</v>
      </c>
      <c r="D204" s="2">
        <v>4121346</v>
      </c>
      <c r="E204" s="3" t="s">
        <v>948</v>
      </c>
      <c r="F204" s="3" t="s">
        <v>949</v>
      </c>
      <c r="G204" s="3" t="s">
        <v>463</v>
      </c>
      <c r="H204" s="5">
        <v>96658471659873</v>
      </c>
      <c r="I204" s="5">
        <v>997680147648441</v>
      </c>
      <c r="J204" s="5">
        <v>943391346509291</v>
      </c>
      <c r="K204" s="5">
        <v>912121809232962</v>
      </c>
      <c r="L204" s="5">
        <v>885585193459042</v>
      </c>
      <c r="M204" s="5">
        <v>878440809787116</v>
      </c>
      <c r="N204" s="5">
        <v>890631797229</v>
      </c>
      <c r="O204" s="5">
        <v>90231400974</v>
      </c>
      <c r="P204" s="5">
        <v>9175546500328</v>
      </c>
      <c r="Q204" s="5">
        <v>8883568270528</v>
      </c>
      <c r="R204" s="5">
        <v>8927160201</v>
      </c>
      <c r="S204" s="5">
        <v>8356428138528</v>
      </c>
      <c r="T204" s="5">
        <v>836386345746</v>
      </c>
      <c r="U204" s="5">
        <v>821468113488</v>
      </c>
      <c r="V204" s="5">
        <v>7626689702784</v>
      </c>
      <c r="W204" s="5">
        <v>78920703195345</v>
      </c>
      <c r="X204" s="5">
        <v>796595498121438</v>
      </c>
      <c r="Y204" s="5">
        <v>792143072579951</v>
      </c>
      <c r="Z204" s="5">
        <v>7982471096928</v>
      </c>
      <c r="AA204" s="5">
        <v>7795111706658</v>
      </c>
      <c r="AB204" s="5">
        <v>760399563845633</v>
      </c>
      <c r="AC204" s="5">
        <v>717760907565307</v>
      </c>
      <c r="AD204" s="5">
        <v>735025978064653</v>
      </c>
      <c r="AE204" s="5">
        <v>73494734827263</v>
      </c>
      <c r="AF204" s="5">
        <v>758313132179301</v>
      </c>
      <c r="AG204" s="5">
        <v>721825482957051</v>
      </c>
      <c r="AH204" s="5">
        <v>663301750117876</v>
      </c>
      <c r="AI204" s="5">
        <v>692823584610651</v>
      </c>
      <c r="AJ204" s="5">
        <v>7433466609522</v>
      </c>
      <c r="AK204" s="5">
        <v>71560292284527</v>
      </c>
      <c r="AL204" s="5">
        <v>7421669310381</v>
      </c>
      <c r="AM204" s="5">
        <v>7046837677053</v>
      </c>
      <c r="AN204" s="5">
        <v>757967025100356</v>
      </c>
      <c r="AO204" s="5">
        <v>71742289685409</v>
      </c>
      <c r="AP204" s="5">
        <v>67784266227249</v>
      </c>
      <c r="AQ204" s="5"/>
      <c r="AR204" s="5"/>
      <c r="AS204" s="5"/>
      <c r="AT204" s="5"/>
      <c r="AU204" s="5"/>
      <c r="AV204" s="5"/>
      <c r="AW204" s="5"/>
      <c r="AX204" s="5"/>
      <c r="AY204" s="5"/>
      <c r="AZ204" s="5"/>
      <c r="BA204" s="5"/>
    </row>
    <row r="205" spans="1:53" x14ac:dyDescent="0.45">
      <c r="A205" s="1"/>
      <c r="B205" s="2"/>
      <c r="C205" s="1" t="s">
        <v>199</v>
      </c>
      <c r="D205" s="2">
        <v>4068867</v>
      </c>
      <c r="E205" s="3" t="s">
        <v>950</v>
      </c>
      <c r="F205" s="3" t="s">
        <v>951</v>
      </c>
      <c r="G205" s="3" t="s">
        <v>734</v>
      </c>
      <c r="H205" s="5">
        <v>16052310095502</v>
      </c>
      <c r="I205" s="5">
        <v>161552719038047</v>
      </c>
      <c r="J205" s="5">
        <v>141280817385422</v>
      </c>
      <c r="K205" s="5">
        <v>143535773334682</v>
      </c>
      <c r="L205" s="5">
        <v>136821356533093</v>
      </c>
      <c r="M205" s="5">
        <v>153243896764128</v>
      </c>
      <c r="N205" s="5">
        <v>158022890427556</v>
      </c>
      <c r="O205" s="5">
        <v>15830646537</v>
      </c>
      <c r="P205" s="5">
        <v>1702901061784</v>
      </c>
      <c r="Q205" s="5">
        <v>1712926656616</v>
      </c>
      <c r="R205" s="5">
        <v>175590684</v>
      </c>
      <c r="S205" s="5">
        <v>17788414248</v>
      </c>
      <c r="T205" s="5">
        <v>174374512744</v>
      </c>
      <c r="U205" s="5">
        <v>17141338368</v>
      </c>
      <c r="V205" s="5">
        <v>1858942008</v>
      </c>
      <c r="W205" s="5">
        <v>178575494454</v>
      </c>
      <c r="X205" s="5">
        <v>1818539553138</v>
      </c>
      <c r="Y205" s="5">
        <v>1771130303145</v>
      </c>
      <c r="Z205" s="5">
        <v>174623151942</v>
      </c>
      <c r="AA205" s="5">
        <v>1638465238656</v>
      </c>
      <c r="AB205" s="5">
        <v>178370714304</v>
      </c>
      <c r="AC205" s="5">
        <v>206799048769271</v>
      </c>
      <c r="AD205" s="5">
        <v>196350758716091</v>
      </c>
      <c r="AE205" s="5">
        <v>192392634650334</v>
      </c>
      <c r="AF205" s="5">
        <v>187583535392478</v>
      </c>
      <c r="AG205" s="5">
        <v>16203700186506</v>
      </c>
      <c r="AH205" s="5">
        <v>150057582655546</v>
      </c>
      <c r="AI205" s="5">
        <v>144154191774489</v>
      </c>
      <c r="AJ205" s="5">
        <v>141635403203013</v>
      </c>
      <c r="AK205" s="5">
        <v>133739487621312</v>
      </c>
      <c r="AL205" s="5">
        <v>13745031558914</v>
      </c>
      <c r="AM205" s="5">
        <v>12799133874225</v>
      </c>
      <c r="AN205" s="5">
        <v>13951412526255</v>
      </c>
      <c r="AO205" s="5">
        <v>137571935998565</v>
      </c>
      <c r="AP205" s="5">
        <v>119607570608048</v>
      </c>
      <c r="AQ205" s="5"/>
      <c r="AR205" s="5"/>
      <c r="AS205" s="5"/>
      <c r="AT205" s="5"/>
      <c r="AU205" s="5"/>
      <c r="AV205" s="5"/>
      <c r="AW205" s="5"/>
      <c r="AX205" s="5"/>
      <c r="AY205" s="5"/>
      <c r="AZ205" s="5"/>
      <c r="BA205" s="5"/>
    </row>
    <row r="206" spans="1:53" x14ac:dyDescent="0.45">
      <c r="A206" s="1"/>
      <c r="B206" s="2"/>
      <c r="C206" s="1" t="s">
        <v>200</v>
      </c>
      <c r="D206" s="2">
        <v>4041118</v>
      </c>
      <c r="E206" s="3" t="s">
        <v>952</v>
      </c>
      <c r="F206" s="3" t="s">
        <v>953</v>
      </c>
      <c r="G206" s="3" t="s">
        <v>954</v>
      </c>
      <c r="H206" s="5">
        <v>122344571090074</v>
      </c>
      <c r="I206" s="5">
        <v>122985361649353</v>
      </c>
      <c r="J206" s="5">
        <v>124343817098862</v>
      </c>
      <c r="K206" s="5">
        <v>11577659882011</v>
      </c>
      <c r="L206" s="5">
        <v>112923424907131</v>
      </c>
      <c r="M206" s="5">
        <v>117172492123841</v>
      </c>
      <c r="N206" s="5">
        <v>1184610128625</v>
      </c>
      <c r="O206" s="5">
        <v>11844211225</v>
      </c>
      <c r="P206" s="5">
        <v>121568704192</v>
      </c>
      <c r="Q206" s="5">
        <v>12900527556</v>
      </c>
      <c r="R206" s="5">
        <v>125277795161631</v>
      </c>
      <c r="S206" s="5">
        <v>1238947014903</v>
      </c>
      <c r="T206" s="5">
        <v>1320455755284</v>
      </c>
      <c r="U206" s="5">
        <v>124865196368</v>
      </c>
      <c r="V206" s="5">
        <v>1048675188096</v>
      </c>
      <c r="W206" s="5">
        <v>1028472195924</v>
      </c>
      <c r="X206" s="5">
        <v>118688923659419</v>
      </c>
      <c r="Y206" s="5">
        <v>117879484797276</v>
      </c>
      <c r="Z206" s="5">
        <v>1090810280574</v>
      </c>
      <c r="AA206" s="5">
        <v>103411675444</v>
      </c>
      <c r="AB206" s="5">
        <v>103228417999411</v>
      </c>
      <c r="AC206" s="5">
        <v>1060234882974</v>
      </c>
      <c r="AD206" s="5">
        <v>962022448659932</v>
      </c>
      <c r="AE206" s="5">
        <v>106159790364253</v>
      </c>
      <c r="AF206" s="5">
        <v>118098562927529</v>
      </c>
      <c r="AG206" s="5">
        <v>118120964685008</v>
      </c>
      <c r="AH206" s="5">
        <v>106408194178986</v>
      </c>
      <c r="AI206" s="5">
        <v>11889115696964</v>
      </c>
      <c r="AJ206" s="5">
        <v>13176051611903</v>
      </c>
      <c r="AK206" s="5">
        <v>134884153362418</v>
      </c>
      <c r="AL206" s="5">
        <v>137518781602207</v>
      </c>
      <c r="AM206" s="5">
        <v>1349254125</v>
      </c>
      <c r="AN206" s="5">
        <v>142296776692267</v>
      </c>
      <c r="AO206" s="5">
        <v>141874815235314</v>
      </c>
      <c r="AP206" s="5">
        <v>153544978235927</v>
      </c>
      <c r="AQ206" s="5"/>
      <c r="AR206" s="5"/>
      <c r="AS206" s="5"/>
      <c r="AT206" s="5"/>
      <c r="AU206" s="5"/>
      <c r="AV206" s="5"/>
      <c r="AW206" s="5"/>
      <c r="AX206" s="5"/>
      <c r="AY206" s="5"/>
      <c r="AZ206" s="5"/>
      <c r="BA206" s="5"/>
    </row>
    <row r="207" spans="1:53" x14ac:dyDescent="0.45">
      <c r="A207" s="1"/>
      <c r="B207" s="2"/>
      <c r="C207" s="1" t="s">
        <v>201</v>
      </c>
      <c r="D207" s="2">
        <v>105223</v>
      </c>
      <c r="E207" s="3" t="s">
        <v>955</v>
      </c>
      <c r="F207" s="3" t="s">
        <v>956</v>
      </c>
      <c r="G207" s="3" t="s">
        <v>557</v>
      </c>
      <c r="H207" s="5">
        <v>287867716765725</v>
      </c>
      <c r="I207" s="5">
        <v>300838951698006</v>
      </c>
      <c r="J207" s="5">
        <v>30918830276048</v>
      </c>
      <c r="K207" s="5">
        <v>282075163771299</v>
      </c>
      <c r="L207" s="5">
        <v>268364246070284</v>
      </c>
      <c r="M207" s="5">
        <v>272807159989802</v>
      </c>
      <c r="N207" s="5">
        <v>257907457001666</v>
      </c>
      <c r="O207" s="5">
        <v>282299721506936</v>
      </c>
      <c r="P207" s="5">
        <v>292048702737741</v>
      </c>
      <c r="Q207" s="5">
        <v>282722011212762</v>
      </c>
      <c r="R207" s="5">
        <v>27665487680854</v>
      </c>
      <c r="S207" s="5">
        <v>237856442833521</v>
      </c>
      <c r="T207" s="5">
        <v>239751147777651</v>
      </c>
      <c r="U207" s="5">
        <v>249247212856488</v>
      </c>
      <c r="V207" s="5">
        <v>22618933068001</v>
      </c>
      <c r="W207" s="5">
        <v>236379109491299</v>
      </c>
      <c r="X207" s="5">
        <v>220507593464763</v>
      </c>
      <c r="Y207" s="5">
        <v>214480117327725</v>
      </c>
      <c r="Z207" s="5">
        <v>193309616440418</v>
      </c>
      <c r="AA207" s="5">
        <v>20758912127464</v>
      </c>
      <c r="AB207" s="5">
        <v>184986335652256</v>
      </c>
      <c r="AC207" s="5">
        <v>169914842052901</v>
      </c>
      <c r="AD207" s="5">
        <v>160791450408317</v>
      </c>
      <c r="AE207" s="5">
        <v>195341574946549</v>
      </c>
      <c r="AF207" s="5">
        <v>204849634542536</v>
      </c>
      <c r="AG207" s="5">
        <v>421938779574381</v>
      </c>
      <c r="AH207" s="5">
        <v>412653757099617</v>
      </c>
      <c r="AI207" s="5">
        <v>452517170257897</v>
      </c>
      <c r="AJ207" s="5">
        <v>499025366351246</v>
      </c>
      <c r="AK207" s="5">
        <v>486674897786409</v>
      </c>
      <c r="AL207" s="5">
        <v>5531270068719</v>
      </c>
      <c r="AM207" s="5">
        <v>535279349954475</v>
      </c>
      <c r="AN207" s="5">
        <v>527188107854468</v>
      </c>
      <c r="AO207" s="5">
        <v>56783774748298</v>
      </c>
      <c r="AP207" s="5">
        <v>5869456246708</v>
      </c>
      <c r="AQ207" s="5"/>
      <c r="AR207" s="5"/>
      <c r="AS207" s="5"/>
      <c r="AT207" s="5"/>
      <c r="AU207" s="5"/>
      <c r="AV207" s="5"/>
      <c r="AW207" s="5"/>
      <c r="AX207" s="5"/>
      <c r="AY207" s="5"/>
      <c r="AZ207" s="5"/>
      <c r="BA207" s="5"/>
    </row>
    <row r="208" spans="1:53" x14ac:dyDescent="0.45">
      <c r="A208" s="1"/>
      <c r="B208" s="2"/>
      <c r="C208" s="1" t="s">
        <v>202</v>
      </c>
      <c r="D208" s="2">
        <v>4992018</v>
      </c>
      <c r="E208" s="3" t="s">
        <v>957</v>
      </c>
      <c r="F208" s="3" t="s">
        <v>958</v>
      </c>
      <c r="G208" s="3" t="s">
        <v>539</v>
      </c>
      <c r="H208" s="5">
        <v>616598067704693</v>
      </c>
      <c r="I208" s="5">
        <v>577837258068666</v>
      </c>
      <c r="J208" s="5">
        <v>591259477737582</v>
      </c>
      <c r="K208" s="5">
        <v>536984123078221</v>
      </c>
      <c r="L208" s="5">
        <v>519566513915098</v>
      </c>
      <c r="M208" s="5">
        <v>551364268522816</v>
      </c>
      <c r="N208" s="5">
        <v>545975751997441</v>
      </c>
      <c r="O208" s="5">
        <v>56780737789718</v>
      </c>
      <c r="P208" s="5">
        <v>571499637567815</v>
      </c>
      <c r="Q208" s="5">
        <v>621773589380664</v>
      </c>
      <c r="R208" s="5">
        <v>619555691842668</v>
      </c>
      <c r="S208" s="5">
        <v>626260524235853</v>
      </c>
      <c r="T208" s="5">
        <v>611969456428368</v>
      </c>
      <c r="U208" s="5">
        <v>587983168119424</v>
      </c>
      <c r="V208" s="5">
        <v>52790531098007</v>
      </c>
      <c r="W208" s="5">
        <v>530377160330731</v>
      </c>
      <c r="X208" s="5">
        <v>537618080344029</v>
      </c>
      <c r="Y208" s="5">
        <v>533982515657201</v>
      </c>
      <c r="Z208" s="5">
        <v>525435123313422</v>
      </c>
      <c r="AA208" s="5">
        <v>528303491636309</v>
      </c>
      <c r="AB208" s="5">
        <v>510905822827207</v>
      </c>
      <c r="AC208" s="5">
        <v>518942802953398</v>
      </c>
      <c r="AD208" s="5">
        <v>48372299631876</v>
      </c>
      <c r="AE208" s="5">
        <v>538488956077338</v>
      </c>
      <c r="AF208" s="5">
        <v>560082465555207</v>
      </c>
      <c r="AG208" s="5">
        <v>522705051327519</v>
      </c>
      <c r="AH208" s="5">
        <v>454769125046287</v>
      </c>
      <c r="AI208" s="5">
        <v>5226085552228</v>
      </c>
      <c r="AJ208" s="5">
        <v>5432971151576</v>
      </c>
      <c r="AK208" s="5">
        <v>562104500701023</v>
      </c>
      <c r="AL208" s="5">
        <v>574603678532046</v>
      </c>
      <c r="AM208" s="5">
        <v>564133293869524</v>
      </c>
      <c r="AN208" s="5">
        <v>589043094540873</v>
      </c>
      <c r="AO208" s="5">
        <v>593101053619517</v>
      </c>
      <c r="AP208" s="5">
        <v>556169626911017</v>
      </c>
      <c r="AQ208" s="5"/>
      <c r="AR208" s="5"/>
      <c r="AS208" s="5"/>
      <c r="AT208" s="5"/>
      <c r="AU208" s="5"/>
      <c r="AV208" s="5"/>
      <c r="AW208" s="5"/>
      <c r="AX208" s="5"/>
      <c r="AY208" s="5"/>
      <c r="AZ208" s="5"/>
      <c r="BA208" s="5"/>
    </row>
    <row r="209" spans="1:53" x14ac:dyDescent="0.45">
      <c r="A209" s="1"/>
      <c r="B209" s="2"/>
      <c r="C209" s="1" t="s">
        <v>203</v>
      </c>
      <c r="D209" s="2">
        <v>111564</v>
      </c>
      <c r="E209" s="3" t="s">
        <v>959</v>
      </c>
      <c r="F209" s="3" t="s">
        <v>960</v>
      </c>
      <c r="G209" s="3" t="s">
        <v>682</v>
      </c>
      <c r="H209" s="5">
        <v>288353313150928</v>
      </c>
      <c r="I209" s="5">
        <v>312926671543576</v>
      </c>
      <c r="J209" s="5">
        <v>316992196088713</v>
      </c>
      <c r="K209" s="5">
        <v>297901030036703</v>
      </c>
      <c r="L209" s="5">
        <v>31351822221878</v>
      </c>
      <c r="M209" s="5">
        <v>28309754492</v>
      </c>
      <c r="N209" s="5">
        <v>304354739833</v>
      </c>
      <c r="O209" s="5">
        <v>29830522134</v>
      </c>
      <c r="P209" s="5">
        <v>2939463244432</v>
      </c>
      <c r="Q209" s="5">
        <v>2781460542784</v>
      </c>
      <c r="R209" s="5">
        <v>28553407422345</v>
      </c>
      <c r="S209" s="5">
        <v>27426937545</v>
      </c>
      <c r="T209" s="5">
        <v>288176929929</v>
      </c>
      <c r="U209" s="5">
        <v>29992574304</v>
      </c>
      <c r="V209" s="5">
        <v>233296308054745</v>
      </c>
      <c r="W209" s="5">
        <v>234587553949936</v>
      </c>
      <c r="X209" s="5">
        <v>238972544164824</v>
      </c>
      <c r="Y209" s="5">
        <v>230152966974</v>
      </c>
      <c r="Z209" s="5">
        <v>2414044787184</v>
      </c>
      <c r="AA209" s="5">
        <v>2310252056892</v>
      </c>
      <c r="AB209" s="5">
        <v>2303978407791</v>
      </c>
      <c r="AC209" s="5">
        <v>241600655791368</v>
      </c>
      <c r="AD209" s="5">
        <v>222991601284904</v>
      </c>
      <c r="AE209" s="5">
        <v>24362541541975</v>
      </c>
      <c r="AF209" s="5">
        <v>23663227057458</v>
      </c>
      <c r="AG209" s="5">
        <v>240106883479592</v>
      </c>
      <c r="AH209" s="5">
        <v>237599591344794</v>
      </c>
      <c r="AI209" s="5">
        <v>241736764984275</v>
      </c>
      <c r="AJ209" s="5">
        <v>244155811421601</v>
      </c>
      <c r="AK209" s="5">
        <v>257206826735006</v>
      </c>
      <c r="AL209" s="5">
        <v>29170759305283</v>
      </c>
      <c r="AM209" s="5">
        <v>220627842870384</v>
      </c>
      <c r="AN209" s="5">
        <v>24791529262536</v>
      </c>
      <c r="AO209" s="5">
        <v>21932877347224</v>
      </c>
      <c r="AP209" s="5">
        <v>193917500015633</v>
      </c>
      <c r="AQ209" s="5"/>
      <c r="AR209" s="5"/>
      <c r="AS209" s="5"/>
      <c r="AT209" s="5"/>
      <c r="AU209" s="5"/>
      <c r="AV209" s="5"/>
      <c r="AW209" s="5"/>
      <c r="AX209" s="5"/>
      <c r="AY209" s="5"/>
      <c r="AZ209" s="5"/>
      <c r="BA209" s="5"/>
    </row>
    <row r="210" spans="1:53" x14ac:dyDescent="0.45">
      <c r="A210" s="1"/>
      <c r="B210" s="2"/>
      <c r="C210" s="1" t="s">
        <v>204</v>
      </c>
      <c r="D210" s="2">
        <v>100307</v>
      </c>
      <c r="E210" s="3" t="s">
        <v>961</v>
      </c>
      <c r="F210" s="3" t="s">
        <v>962</v>
      </c>
      <c r="G210" s="3" t="s">
        <v>607</v>
      </c>
      <c r="H210" s="5">
        <v>131070880468819</v>
      </c>
      <c r="I210" s="5">
        <v>130704569381592</v>
      </c>
      <c r="J210" s="5">
        <v>12813753807273</v>
      </c>
      <c r="K210" s="5">
        <v>128747905645158</v>
      </c>
      <c r="L210" s="5">
        <v>115563971149803</v>
      </c>
      <c r="M210" s="5">
        <v>122546464047911</v>
      </c>
      <c r="N210" s="5">
        <v>128826763936</v>
      </c>
      <c r="O210" s="5">
        <v>12132911472</v>
      </c>
      <c r="P210" s="5">
        <v>1283117734496</v>
      </c>
      <c r="Q210" s="5">
        <v>1365159153904</v>
      </c>
      <c r="R210" s="5">
        <v>144638899147915</v>
      </c>
      <c r="S210" s="5">
        <v>1361265372819</v>
      </c>
      <c r="T210" s="5">
        <v>1358503188268</v>
      </c>
      <c r="U210" s="5">
        <v>127864754248</v>
      </c>
      <c r="V210" s="5">
        <v>104914110572169</v>
      </c>
      <c r="W210" s="5">
        <v>70101380960582</v>
      </c>
      <c r="X210" s="5">
        <v>717597973203912</v>
      </c>
      <c r="Y210" s="5">
        <v>67944272528419</v>
      </c>
      <c r="Z210" s="5">
        <v>641337282387</v>
      </c>
      <c r="AA210" s="5">
        <v>7480797604775</v>
      </c>
      <c r="AB210" s="5">
        <v>699802841988045</v>
      </c>
      <c r="AC210" s="5">
        <v>640377845965069</v>
      </c>
      <c r="AD210" s="5">
        <v>63031556873734</v>
      </c>
      <c r="AE210" s="5">
        <v>81127774239428</v>
      </c>
      <c r="AF210" s="5">
        <v>881517173737508</v>
      </c>
      <c r="AG210" s="5">
        <v>792528322640908</v>
      </c>
      <c r="AH210" s="5">
        <v>762762295853441</v>
      </c>
      <c r="AI210" s="5">
        <v>782178217426869</v>
      </c>
      <c r="AJ210" s="5">
        <v>848286429929958</v>
      </c>
      <c r="AK210" s="5">
        <v>8224641517365</v>
      </c>
      <c r="AL210" s="5">
        <v>8214554263587</v>
      </c>
      <c r="AM210" s="5">
        <v>785781516807</v>
      </c>
      <c r="AN210" s="5">
        <v>834130029353725</v>
      </c>
      <c r="AO210" s="5">
        <v>7903290116355</v>
      </c>
      <c r="AP210" s="5">
        <v>720183471225534</v>
      </c>
      <c r="AQ210" s="5"/>
      <c r="AR210" s="5"/>
      <c r="AS210" s="5"/>
      <c r="AT210" s="5"/>
      <c r="AU210" s="5"/>
      <c r="AV210" s="5"/>
      <c r="AW210" s="5"/>
      <c r="AX210" s="5"/>
      <c r="AY210" s="5"/>
      <c r="AZ210" s="5"/>
      <c r="BA210" s="5"/>
    </row>
    <row r="211" spans="1:53" x14ac:dyDescent="0.45">
      <c r="A211" s="1"/>
      <c r="B211" s="2"/>
      <c r="C211" s="1" t="s">
        <v>205</v>
      </c>
      <c r="D211" s="2">
        <v>4436418</v>
      </c>
      <c r="E211" s="3" t="s">
        <v>963</v>
      </c>
      <c r="F211" s="3" t="s">
        <v>964</v>
      </c>
      <c r="G211" s="3" t="s">
        <v>600</v>
      </c>
      <c r="H211" s="5">
        <v>88843751947548</v>
      </c>
      <c r="I211" s="5">
        <v>918488001026524</v>
      </c>
      <c r="J211" s="5">
        <v>908154784529343</v>
      </c>
      <c r="K211" s="5">
        <v>86996667054568</v>
      </c>
      <c r="L211" s="5">
        <v>81813322476086</v>
      </c>
      <c r="M211" s="5">
        <v>804809734944324</v>
      </c>
      <c r="N211" s="5">
        <v>750897401962656</v>
      </c>
      <c r="O211" s="5">
        <v>80198673504696</v>
      </c>
      <c r="P211" s="5">
        <v>853136465056933</v>
      </c>
      <c r="Q211" s="5">
        <v>866497806690701</v>
      </c>
      <c r="R211" s="5">
        <v>9474411728169</v>
      </c>
      <c r="S211" s="5">
        <v>833396607107329</v>
      </c>
      <c r="T211" s="5">
        <v>809010158158015</v>
      </c>
      <c r="U211" s="5">
        <v>784082700502376</v>
      </c>
      <c r="V211" s="5">
        <v>688847942791885</v>
      </c>
      <c r="W211" s="5">
        <v>63862124989297</v>
      </c>
      <c r="X211" s="5">
        <v>693250231472075</v>
      </c>
      <c r="Y211" s="5">
        <v>72626307463971</v>
      </c>
      <c r="Z211" s="5">
        <v>711461095392411</v>
      </c>
      <c r="AA211" s="5">
        <v>648187490641731</v>
      </c>
      <c r="AB211" s="5">
        <v>597324703685679</v>
      </c>
      <c r="AC211" s="5">
        <v>564807938936666</v>
      </c>
      <c r="AD211" s="5">
        <v>5551637866752</v>
      </c>
      <c r="AE211" s="5">
        <v>54866623312</v>
      </c>
      <c r="AF211" s="5">
        <v>5821375186176</v>
      </c>
      <c r="AG211" s="5">
        <v>520119323169537</v>
      </c>
      <c r="AH211" s="5">
        <v>459121791577247</v>
      </c>
      <c r="AI211" s="5">
        <v>480611977801735</v>
      </c>
      <c r="AJ211" s="5">
        <v>5168725800714</v>
      </c>
      <c r="AK211" s="5">
        <v>491601367971</v>
      </c>
      <c r="AL211" s="5">
        <v>5494578586686</v>
      </c>
      <c r="AM211" s="5">
        <v>5740553679165</v>
      </c>
      <c r="AN211" s="5">
        <v>6371338449845</v>
      </c>
      <c r="AO211" s="5">
        <v>6088485432792</v>
      </c>
      <c r="AP211" s="5">
        <v>498721307205</v>
      </c>
      <c r="AQ211" s="5"/>
      <c r="AR211" s="5"/>
      <c r="AS211" s="5"/>
      <c r="AT211" s="5"/>
      <c r="AU211" s="5"/>
      <c r="AV211" s="5"/>
      <c r="AW211" s="5"/>
      <c r="AX211" s="5"/>
      <c r="AY211" s="5"/>
      <c r="AZ211" s="5"/>
      <c r="BA211" s="5"/>
    </row>
    <row r="212" spans="1:53" x14ac:dyDescent="0.45">
      <c r="A212" s="1"/>
      <c r="B212" s="2"/>
      <c r="C212" s="1" t="s">
        <v>206</v>
      </c>
      <c r="D212" s="2">
        <v>4992897</v>
      </c>
      <c r="E212" s="3" t="s">
        <v>965</v>
      </c>
      <c r="F212" s="3" t="s">
        <v>966</v>
      </c>
      <c r="G212" s="3" t="s">
        <v>804</v>
      </c>
      <c r="H212" s="5">
        <v>839691543641652</v>
      </c>
      <c r="I212" s="5">
        <v>8697443086948</v>
      </c>
      <c r="J212" s="5">
        <v>841431779025955</v>
      </c>
      <c r="K212" s="5">
        <v>785473234112911</v>
      </c>
      <c r="L212" s="5">
        <v>756724486311032</v>
      </c>
      <c r="M212" s="5">
        <v>755731499643642</v>
      </c>
      <c r="N212" s="5">
        <v>755854852230553</v>
      </c>
      <c r="O212" s="5">
        <v>73666367767977</v>
      </c>
      <c r="P212" s="5">
        <v>733690934817703</v>
      </c>
      <c r="Q212" s="5">
        <v>667477365654607</v>
      </c>
      <c r="R212" s="5">
        <v>662165599219992</v>
      </c>
      <c r="S212" s="5">
        <v>637013654988564</v>
      </c>
      <c r="T212" s="5">
        <v>650451853868631</v>
      </c>
      <c r="U212" s="5">
        <v>67516365805097</v>
      </c>
      <c r="V212" s="5">
        <v>601306239977672</v>
      </c>
      <c r="W212" s="5">
        <v>633748121774764</v>
      </c>
      <c r="X212" s="5">
        <v>638131749495117</v>
      </c>
      <c r="Y212" s="5">
        <v>609921638699588</v>
      </c>
      <c r="Z212" s="5">
        <v>561112646500192</v>
      </c>
      <c r="AA212" s="5">
        <v>56838556804765</v>
      </c>
      <c r="AB212" s="5">
        <v>542775276960053</v>
      </c>
      <c r="AC212" s="5">
        <v>525344396965159</v>
      </c>
      <c r="AD212" s="5">
        <v>512752076948772</v>
      </c>
      <c r="AE212" s="5">
        <v>53975198115501</v>
      </c>
      <c r="AF212" s="5">
        <v>570738057152098</v>
      </c>
      <c r="AG212" s="5">
        <v>532644538866024</v>
      </c>
      <c r="AH212" s="5">
        <v>494445160238662</v>
      </c>
      <c r="AI212" s="5">
        <v>496286065607786</v>
      </c>
      <c r="AJ212" s="5">
        <v>5326005569864</v>
      </c>
      <c r="AK212" s="5">
        <v>5498504133885</v>
      </c>
      <c r="AL212" s="5">
        <v>5486832481407</v>
      </c>
      <c r="AM212" s="5">
        <v>52223900820975</v>
      </c>
      <c r="AN212" s="5">
        <v>5522111763476</v>
      </c>
      <c r="AO212" s="5">
        <v>5390523622792</v>
      </c>
      <c r="AP212" s="5">
        <v>50880783404625</v>
      </c>
      <c r="AQ212" s="5"/>
      <c r="AR212" s="5"/>
      <c r="AS212" s="5"/>
      <c r="AT212" s="5"/>
      <c r="AU212" s="5"/>
      <c r="AV212" s="5"/>
      <c r="AW212" s="5"/>
      <c r="AX212" s="5"/>
      <c r="AY212" s="5"/>
      <c r="AZ212" s="5"/>
      <c r="BA212" s="5"/>
    </row>
    <row r="213" spans="1:53" x14ac:dyDescent="0.45">
      <c r="A213" s="1"/>
      <c r="B213" s="2"/>
      <c r="C213" s="1" t="s">
        <v>207</v>
      </c>
      <c r="D213" s="2">
        <v>4811348</v>
      </c>
      <c r="E213" s="3" t="s">
        <v>967</v>
      </c>
      <c r="F213" s="3" t="s">
        <v>968</v>
      </c>
      <c r="G213" s="3" t="s">
        <v>469</v>
      </c>
      <c r="H213" s="5">
        <v>113587776758692</v>
      </c>
      <c r="I213" s="5">
        <v>114550857126071</v>
      </c>
      <c r="J213" s="5">
        <v>124496017101814</v>
      </c>
      <c r="K213" s="5">
        <v>114820142520677</v>
      </c>
      <c r="L213" s="5">
        <v>114233224869967</v>
      </c>
      <c r="M213" s="5">
        <v>124466716609608</v>
      </c>
      <c r="N213" s="5">
        <v>124681138590581</v>
      </c>
      <c r="O213" s="5">
        <v>132068060433621</v>
      </c>
      <c r="P213" s="5">
        <v>135659526391719</v>
      </c>
      <c r="Q213" s="5">
        <v>127128667425674</v>
      </c>
      <c r="R213" s="5">
        <v>120156590812991</v>
      </c>
      <c r="S213" s="5">
        <v>101639424647491</v>
      </c>
      <c r="T213" s="5">
        <v>996011887190104</v>
      </c>
      <c r="U213" s="5">
        <v>99786807212521</v>
      </c>
      <c r="V213" s="5">
        <v>875300156574325</v>
      </c>
      <c r="W213" s="5">
        <v>89800504719011</v>
      </c>
      <c r="X213" s="5">
        <v>905072931394909</v>
      </c>
      <c r="Y213" s="5">
        <v>751501017621414</v>
      </c>
      <c r="Z213" s="5">
        <v>748621932419658</v>
      </c>
      <c r="AA213" s="5">
        <v>704485182528852</v>
      </c>
      <c r="AB213" s="5">
        <v>659398887421213</v>
      </c>
      <c r="AC213" s="5">
        <v>603689112908764</v>
      </c>
      <c r="AD213" s="5">
        <v>5896275655284</v>
      </c>
      <c r="AE213" s="5">
        <v>610742211076</v>
      </c>
      <c r="AF213" s="5">
        <v>6097741812844</v>
      </c>
      <c r="AG213" s="5">
        <v>5660512067308</v>
      </c>
      <c r="AH213" s="5">
        <v>61212518053236</v>
      </c>
      <c r="AI213" s="5">
        <v>587036606552872</v>
      </c>
      <c r="AJ213" s="5">
        <v>60568326317975</v>
      </c>
      <c r="AK213" s="5">
        <v>538918506252</v>
      </c>
      <c r="AL213" s="5">
        <v>578173658424</v>
      </c>
      <c r="AM213" s="5">
        <v>524053206999</v>
      </c>
      <c r="AN213" s="5">
        <v>6735916035844</v>
      </c>
      <c r="AO213" s="5">
        <v>6591458741773</v>
      </c>
      <c r="AP213" s="5">
        <v>669076279623</v>
      </c>
      <c r="AQ213" s="5"/>
      <c r="AR213" s="5"/>
      <c r="AS213" s="5"/>
      <c r="AT213" s="5"/>
      <c r="AU213" s="5"/>
      <c r="AV213" s="5"/>
      <c r="AW213" s="5"/>
      <c r="AX213" s="5"/>
      <c r="AY213" s="5"/>
      <c r="AZ213" s="5"/>
      <c r="BA213" s="5"/>
    </row>
    <row r="214" spans="1:53" x14ac:dyDescent="0.45">
      <c r="A214" s="1"/>
      <c r="B214" s="2"/>
      <c r="C214" s="1" t="s">
        <v>208</v>
      </c>
      <c r="D214" s="2">
        <v>4992234</v>
      </c>
      <c r="E214" s="3" t="s">
        <v>969</v>
      </c>
      <c r="F214" s="3" t="s">
        <v>970</v>
      </c>
      <c r="G214" s="3" t="s">
        <v>804</v>
      </c>
      <c r="H214" s="5">
        <v>476050471310298</v>
      </c>
      <c r="I214" s="5">
        <v>486899022339866</v>
      </c>
      <c r="J214" s="5">
        <v>460626665005598</v>
      </c>
      <c r="K214" s="5">
        <v>430837065978055</v>
      </c>
      <c r="L214" s="5">
        <v>398515292372908</v>
      </c>
      <c r="M214" s="5">
        <v>4124411667075</v>
      </c>
      <c r="N214" s="5">
        <v>4337422700625</v>
      </c>
      <c r="O214" s="5">
        <v>4341815961</v>
      </c>
      <c r="P214" s="5">
        <v>4380987082134</v>
      </c>
      <c r="Q214" s="5">
        <v>4282365426248</v>
      </c>
      <c r="R214" s="5">
        <v>43094677701</v>
      </c>
      <c r="S214" s="5">
        <v>4137456024</v>
      </c>
      <c r="T214" s="5">
        <v>40718231658</v>
      </c>
      <c r="U214" s="5">
        <v>4156551828</v>
      </c>
      <c r="V214" s="5">
        <v>363715566472954</v>
      </c>
      <c r="W214" s="5">
        <v>3784429325376</v>
      </c>
      <c r="X214" s="5">
        <v>378438777056473</v>
      </c>
      <c r="Y214" s="5">
        <v>371147381451</v>
      </c>
      <c r="Z214" s="5">
        <v>3370562567064</v>
      </c>
      <c r="AA214" s="5">
        <v>34238350188405</v>
      </c>
      <c r="AB214" s="5">
        <v>3293267468868</v>
      </c>
      <c r="AC214" s="5">
        <v>31561353627375</v>
      </c>
      <c r="AD214" s="5">
        <v>302563975293949</v>
      </c>
      <c r="AE214" s="5">
        <v>310186105183851</v>
      </c>
      <c r="AF214" s="5">
        <v>323350537731182</v>
      </c>
      <c r="AG214" s="5">
        <v>303064134522597</v>
      </c>
      <c r="AH214" s="5">
        <v>270004507399992</v>
      </c>
      <c r="AI214" s="5">
        <v>276265654299656</v>
      </c>
      <c r="AJ214" s="5">
        <v>296472326545694</v>
      </c>
      <c r="AK214" s="5">
        <v>302994040759469</v>
      </c>
      <c r="AL214" s="5">
        <v>314350818558095</v>
      </c>
      <c r="AM214" s="5">
        <v>312061685530205</v>
      </c>
      <c r="AN214" s="5">
        <v>337568711794831</v>
      </c>
      <c r="AO214" s="5">
        <v>33455193515077</v>
      </c>
      <c r="AP214" s="5">
        <v>32234254797645</v>
      </c>
      <c r="AQ214" s="5"/>
      <c r="AR214" s="5"/>
      <c r="AS214" s="5"/>
      <c r="AT214" s="5"/>
      <c r="AU214" s="5"/>
      <c r="AV214" s="5"/>
      <c r="AW214" s="5"/>
      <c r="AX214" s="5"/>
      <c r="AY214" s="5"/>
      <c r="AZ214" s="5"/>
      <c r="BA214" s="5"/>
    </row>
    <row r="215" spans="1:53" x14ac:dyDescent="0.45">
      <c r="A215" s="1"/>
      <c r="B215" s="2"/>
      <c r="C215" s="1" t="s">
        <v>209</v>
      </c>
      <c r="D215" s="2">
        <v>4810794</v>
      </c>
      <c r="E215" s="3" t="s">
        <v>971</v>
      </c>
      <c r="F215" s="3" t="s">
        <v>972</v>
      </c>
      <c r="G215" s="3" t="s">
        <v>472</v>
      </c>
      <c r="H215" s="5">
        <v>166454596962728</v>
      </c>
      <c r="I215" s="5">
        <v>17541822728079</v>
      </c>
      <c r="J215" s="5">
        <v>205300787348107</v>
      </c>
      <c r="K215" s="5">
        <v>208066562839709</v>
      </c>
      <c r="L215" s="5">
        <v>238027035157185</v>
      </c>
      <c r="M215" s="5">
        <v>2315878361505</v>
      </c>
      <c r="N215" s="5">
        <v>2259844074855</v>
      </c>
      <c r="O215" s="5">
        <v>23569784649</v>
      </c>
      <c r="P215" s="5">
        <v>23335929558679</v>
      </c>
      <c r="Q215" s="5">
        <v>2547916806288</v>
      </c>
      <c r="R215" s="5">
        <v>254705568236328</v>
      </c>
      <c r="S215" s="5">
        <v>2116096458573</v>
      </c>
      <c r="T215" s="5">
        <v>1789436939869</v>
      </c>
      <c r="U215" s="5">
        <v>182298107926</v>
      </c>
      <c r="V215" s="5">
        <v>14918068464</v>
      </c>
      <c r="W215" s="5">
        <v>15770398518</v>
      </c>
      <c r="X215" s="5">
        <v>136773542267031</v>
      </c>
      <c r="Y215" s="5">
        <v>1514720791899</v>
      </c>
      <c r="Z215" s="5">
        <v>1351201547142</v>
      </c>
      <c r="AA215" s="5">
        <v>1423034012391</v>
      </c>
      <c r="AB215" s="5">
        <v>1183172821875</v>
      </c>
      <c r="AC215" s="5">
        <v>126660153891584</v>
      </c>
      <c r="AD215" s="5">
        <v>121288108165636</v>
      </c>
      <c r="AE215" s="5">
        <v>185732740124376</v>
      </c>
      <c r="AF215" s="5">
        <v>201130964549777</v>
      </c>
      <c r="AG215" s="5">
        <v>198125890941859</v>
      </c>
      <c r="AH215" s="5">
        <v>183773506242831</v>
      </c>
      <c r="AI215" s="5">
        <v>187212054669584</v>
      </c>
      <c r="AJ215" s="5">
        <v>168996822389483</v>
      </c>
      <c r="AK215" s="5">
        <v>167502683920126</v>
      </c>
      <c r="AL215" s="5">
        <v>179693075361731</v>
      </c>
      <c r="AM215" s="5">
        <v>15538800521991</v>
      </c>
      <c r="AN215" s="5">
        <v>146553341150462</v>
      </c>
      <c r="AO215" s="5">
        <v>131512878693181</v>
      </c>
      <c r="AP215" s="5">
        <v>119278243145671</v>
      </c>
      <c r="AQ215" s="5"/>
      <c r="AR215" s="5"/>
      <c r="AS215" s="5"/>
      <c r="AT215" s="5"/>
      <c r="AU215" s="5"/>
      <c r="AV215" s="5"/>
      <c r="AW215" s="5"/>
      <c r="AX215" s="5"/>
      <c r="AY215" s="5"/>
      <c r="AZ215" s="5"/>
      <c r="BA215" s="5"/>
    </row>
    <row r="216" spans="1:53" x14ac:dyDescent="0.45">
      <c r="A216" s="1"/>
      <c r="B216" s="2"/>
      <c r="C216" s="1" t="s">
        <v>210</v>
      </c>
      <c r="D216" s="2">
        <v>4811052</v>
      </c>
      <c r="E216" s="3" t="s">
        <v>973</v>
      </c>
      <c r="F216" s="3" t="s">
        <v>974</v>
      </c>
      <c r="G216" s="3" t="s">
        <v>469</v>
      </c>
      <c r="H216" s="5">
        <v>33436546605792</v>
      </c>
      <c r="I216" s="5">
        <v>350474635749784</v>
      </c>
      <c r="J216" s="5">
        <v>293304257924842</v>
      </c>
      <c r="K216" s="5">
        <v>270576236079842</v>
      </c>
      <c r="L216" s="5">
        <v>283866879284495</v>
      </c>
      <c r="M216" s="5">
        <v>24723449941203</v>
      </c>
      <c r="N216" s="5">
        <v>26046948044047</v>
      </c>
      <c r="O216" s="5">
        <v>2163375387714</v>
      </c>
      <c r="P216" s="5">
        <v>230600484988934</v>
      </c>
      <c r="Q216" s="5">
        <v>232320710654122</v>
      </c>
      <c r="R216" s="5">
        <v>236562395392224</v>
      </c>
      <c r="S216" s="5">
        <v>221381642237184</v>
      </c>
      <c r="T216" s="5">
        <v>204978137445101</v>
      </c>
      <c r="U216" s="5">
        <v>18280384073688</v>
      </c>
      <c r="V216" s="5">
        <v>193956444336026</v>
      </c>
      <c r="W216" s="5">
        <v>20858255893546</v>
      </c>
      <c r="X216" s="5">
        <v>217458250024854</v>
      </c>
      <c r="Y216" s="5">
        <v>181037428269447</v>
      </c>
      <c r="Z216" s="5">
        <v>155643298407425</v>
      </c>
      <c r="AA216" s="5">
        <v>154184946005665</v>
      </c>
      <c r="AB216" s="5">
        <v>166196597539999</v>
      </c>
      <c r="AC216" s="5">
        <v>160815904134383</v>
      </c>
      <c r="AD216" s="5">
        <v>174561774168518</v>
      </c>
      <c r="AE216" s="5">
        <v>198188614952845</v>
      </c>
      <c r="AF216" s="5">
        <v>197167925488956</v>
      </c>
      <c r="AG216" s="5">
        <v>154269875516575</v>
      </c>
      <c r="AH216" s="5">
        <v>132091277550528</v>
      </c>
      <c r="AI216" s="5">
        <v>150906169041763</v>
      </c>
      <c r="AJ216" s="5">
        <v>174086508504669</v>
      </c>
      <c r="AK216" s="5">
        <v>157862837523817</v>
      </c>
      <c r="AL216" s="5">
        <v>146180242676898</v>
      </c>
      <c r="AM216" s="5">
        <v>151317915810514</v>
      </c>
      <c r="AN216" s="5">
        <v>175236189296995</v>
      </c>
      <c r="AO216" s="5">
        <v>159738700778638</v>
      </c>
      <c r="AP216" s="5">
        <v>145992346652982</v>
      </c>
      <c r="AQ216" s="5"/>
      <c r="AR216" s="5"/>
      <c r="AS216" s="5"/>
      <c r="AT216" s="5"/>
      <c r="AU216" s="5"/>
      <c r="AV216" s="5"/>
      <c r="AW216" s="5"/>
      <c r="AX216" s="5"/>
      <c r="AY216" s="5"/>
      <c r="AZ216" s="5"/>
      <c r="BA216" s="5"/>
    </row>
    <row r="217" spans="1:53" x14ac:dyDescent="0.45">
      <c r="A217" s="1"/>
      <c r="B217" s="2"/>
      <c r="C217" s="1" t="s">
        <v>211</v>
      </c>
      <c r="D217" s="2">
        <v>4025746</v>
      </c>
      <c r="E217" s="3" t="s">
        <v>975</v>
      </c>
      <c r="F217" s="3" t="s">
        <v>976</v>
      </c>
      <c r="G217" s="3" t="s">
        <v>481</v>
      </c>
      <c r="H217" s="5">
        <v>17990878464</v>
      </c>
      <c r="I217" s="5">
        <v>17621205264</v>
      </c>
      <c r="J217" s="5">
        <v>1828752588</v>
      </c>
      <c r="K217" s="5">
        <v>151399374112</v>
      </c>
      <c r="L217" s="5">
        <v>138772968453</v>
      </c>
      <c r="M217" s="5">
        <v>141422490205</v>
      </c>
      <c r="N217" s="5">
        <v>13925977499</v>
      </c>
      <c r="O217" s="5">
        <v>1513373711</v>
      </c>
      <c r="P217" s="5">
        <v>15623741523</v>
      </c>
      <c r="Q217" s="5">
        <v>159488035392</v>
      </c>
      <c r="R217" s="5">
        <v>1612266912</v>
      </c>
      <c r="S217" s="5">
        <v>161699864466</v>
      </c>
      <c r="T217" s="5">
        <v>162825267969</v>
      </c>
      <c r="U217" s="5">
        <v>1555633618</v>
      </c>
      <c r="V217" s="5">
        <v>150773123732</v>
      </c>
      <c r="W217" s="5">
        <v>1588872641625</v>
      </c>
      <c r="X217" s="5">
        <v>1523151340095</v>
      </c>
      <c r="Y217" s="5">
        <v>147316752954</v>
      </c>
      <c r="Z217" s="5">
        <v>13946313672</v>
      </c>
      <c r="AA217" s="5">
        <v>134034888429</v>
      </c>
      <c r="AB217" s="5">
        <v>1247232536868</v>
      </c>
      <c r="AC217" s="5">
        <v>128677387938</v>
      </c>
      <c r="AD217" s="5">
        <v>135280200627</v>
      </c>
      <c r="AE217" s="5">
        <v>1496859131625</v>
      </c>
      <c r="AF217" s="5">
        <v>1553095737765</v>
      </c>
      <c r="AG217" s="5">
        <v>144901335579</v>
      </c>
      <c r="AH217" s="5">
        <v>128391026038</v>
      </c>
      <c r="AI217" s="5">
        <v>12112757009</v>
      </c>
      <c r="AJ217" s="5">
        <v>124574255745</v>
      </c>
      <c r="AK217" s="5">
        <v>12953523429</v>
      </c>
      <c r="AL217" s="5">
        <v>148953198376</v>
      </c>
      <c r="AM217" s="5">
        <v>1379331639</v>
      </c>
      <c r="AN217" s="5">
        <v>137853970112</v>
      </c>
      <c r="AO217" s="5">
        <v>1404414032</v>
      </c>
      <c r="AP217" s="5">
        <v>1414971453</v>
      </c>
      <c r="AQ217" s="5"/>
      <c r="AR217" s="5"/>
      <c r="AS217" s="5"/>
      <c r="AT217" s="5"/>
      <c r="AU217" s="5"/>
      <c r="AV217" s="5"/>
      <c r="AW217" s="5"/>
      <c r="AX217" s="5"/>
      <c r="AY217" s="5"/>
      <c r="AZ217" s="5"/>
      <c r="BA217" s="5"/>
    </row>
    <row r="218" spans="1:53" x14ac:dyDescent="0.45">
      <c r="A218" s="1"/>
      <c r="B218" s="2"/>
      <c r="C218" s="1" t="s">
        <v>212</v>
      </c>
      <c r="D218" s="2">
        <v>4153870</v>
      </c>
      <c r="E218" s="3" t="s">
        <v>977</v>
      </c>
      <c r="F218" s="3" t="s">
        <v>978</v>
      </c>
      <c r="G218" s="3" t="s">
        <v>979</v>
      </c>
      <c r="H218" s="5">
        <v>352438138940801</v>
      </c>
      <c r="I218" s="5">
        <v>342454629945616</v>
      </c>
      <c r="J218" s="5">
        <v>331624938346092</v>
      </c>
      <c r="K218" s="5">
        <v>272345068365394</v>
      </c>
      <c r="L218" s="5">
        <v>252341086304248</v>
      </c>
      <c r="M218" s="5">
        <v>231040030524795</v>
      </c>
      <c r="N218" s="5">
        <v>222991633951122</v>
      </c>
      <c r="O218" s="5">
        <v>21105679996608</v>
      </c>
      <c r="P218" s="5">
        <v>21732770609791</v>
      </c>
      <c r="Q218" s="5">
        <v>220748511016051</v>
      </c>
      <c r="R218" s="5">
        <v>235097957209986</v>
      </c>
      <c r="S218" s="5">
        <v>235241643336161</v>
      </c>
      <c r="T218" s="5">
        <v>235125698222215</v>
      </c>
      <c r="U218" s="5">
        <v>236153581739856</v>
      </c>
      <c r="V218" s="5">
        <v>203704531146742</v>
      </c>
      <c r="W218" s="5">
        <v>211073058478645</v>
      </c>
      <c r="X218" s="5">
        <v>216509643703353</v>
      </c>
      <c r="Y218" s="5">
        <v>199518871345685</v>
      </c>
      <c r="Z218" s="5">
        <v>203971704500808</v>
      </c>
      <c r="AA218" s="5">
        <v>231025139742818</v>
      </c>
      <c r="AB218" s="5">
        <v>21230175376695</v>
      </c>
      <c r="AC218" s="5">
        <v>201267423910667</v>
      </c>
      <c r="AD218" s="5">
        <v>189897845642101</v>
      </c>
      <c r="AE218" s="5">
        <v>25562705772505</v>
      </c>
      <c r="AF218" s="5">
        <v>261343340440732</v>
      </c>
      <c r="AG218" s="5">
        <v>23533662201491</v>
      </c>
      <c r="AH218" s="5">
        <v>223094642592801</v>
      </c>
      <c r="AI218" s="5">
        <v>224807171887476</v>
      </c>
      <c r="AJ218" s="5">
        <v>222596547370126</v>
      </c>
      <c r="AK218" s="5">
        <v>2181883875759</v>
      </c>
      <c r="AL218" s="5">
        <v>190220328166481</v>
      </c>
      <c r="AM218" s="5">
        <v>177324572872125</v>
      </c>
      <c r="AN218" s="5">
        <v>185170377845086</v>
      </c>
      <c r="AO218" s="5">
        <v>166171641019597</v>
      </c>
      <c r="AP218" s="5">
        <v>158613879085335</v>
      </c>
      <c r="AQ218" s="5"/>
      <c r="AR218" s="5"/>
      <c r="AS218" s="5"/>
      <c r="AT218" s="5"/>
      <c r="AU218" s="5"/>
      <c r="AV218" s="5"/>
      <c r="AW218" s="5"/>
      <c r="AX218" s="5"/>
      <c r="AY218" s="5"/>
      <c r="AZ218" s="5"/>
      <c r="BA218" s="5"/>
    </row>
    <row r="219" spans="1:53" x14ac:dyDescent="0.45">
      <c r="A219" s="1"/>
      <c r="B219" s="2"/>
      <c r="C219" s="1" t="s">
        <v>213</v>
      </c>
      <c r="D219" s="2">
        <v>4099823</v>
      </c>
      <c r="E219" s="3" t="s">
        <v>980</v>
      </c>
      <c r="F219" s="3" t="s">
        <v>981</v>
      </c>
      <c r="G219" s="3" t="s">
        <v>671</v>
      </c>
      <c r="H219" s="5">
        <v>343775234437448</v>
      </c>
      <c r="I219" s="5">
        <v>350995609950854</v>
      </c>
      <c r="J219" s="5">
        <v>334145489914435</v>
      </c>
      <c r="K219" s="5">
        <v>342073485202345</v>
      </c>
      <c r="L219" s="5">
        <v>32048485319757</v>
      </c>
      <c r="M219" s="5">
        <v>335130061955462</v>
      </c>
      <c r="N219" s="5">
        <v>342089479801309</v>
      </c>
      <c r="O219" s="5">
        <v>317164776340841</v>
      </c>
      <c r="P219" s="5">
        <v>327892443150672</v>
      </c>
      <c r="Q219" s="5">
        <v>332277259110911</v>
      </c>
      <c r="R219" s="5">
        <v>320391636257222</v>
      </c>
      <c r="S219" s="5">
        <v>32215480041889</v>
      </c>
      <c r="T219" s="5">
        <v>318369004919493</v>
      </c>
      <c r="U219" s="5">
        <v>31218430271072</v>
      </c>
      <c r="V219" s="5">
        <v>293957779857966</v>
      </c>
      <c r="W219" s="5">
        <v>285536309961586</v>
      </c>
      <c r="X219" s="5">
        <v>301443285816668</v>
      </c>
      <c r="Y219" s="5">
        <v>281478406323014</v>
      </c>
      <c r="Z219" s="5">
        <v>274375419583457</v>
      </c>
      <c r="AA219" s="5">
        <v>290012890705555</v>
      </c>
      <c r="AB219" s="5">
        <v>249492351255956</v>
      </c>
      <c r="AC219" s="5">
        <v>260975556671007</v>
      </c>
      <c r="AD219" s="5">
        <v>289486616941968</v>
      </c>
      <c r="AE219" s="5">
        <v>280177838977612</v>
      </c>
      <c r="AF219" s="5">
        <v>269915179859445</v>
      </c>
      <c r="AG219" s="5">
        <v>251190118157651</v>
      </c>
      <c r="AH219" s="5">
        <v>232647802436893</v>
      </c>
      <c r="AI219" s="5">
        <v>225300575893675</v>
      </c>
      <c r="AJ219" s="5">
        <v>2297554229186</v>
      </c>
      <c r="AK219" s="5">
        <v>22345023624525</v>
      </c>
      <c r="AL219" s="5">
        <v>2401425281707</v>
      </c>
      <c r="AM219" s="5">
        <v>22413541210065</v>
      </c>
      <c r="AN219" s="5">
        <v>242569165023751</v>
      </c>
      <c r="AO219" s="5">
        <v>23511340544344</v>
      </c>
      <c r="AP219" s="5">
        <v>205381117835829</v>
      </c>
      <c r="AQ219" s="5"/>
      <c r="AR219" s="5"/>
      <c r="AS219" s="5"/>
      <c r="AT219" s="5"/>
      <c r="AU219" s="5"/>
      <c r="AV219" s="5"/>
      <c r="AW219" s="5"/>
      <c r="AX219" s="5"/>
      <c r="AY219" s="5"/>
      <c r="AZ219" s="5"/>
      <c r="BA219" s="5"/>
    </row>
    <row r="220" spans="1:53" x14ac:dyDescent="0.45">
      <c r="A220" s="1"/>
      <c r="B220" s="2"/>
      <c r="C220" s="1" t="s">
        <v>214</v>
      </c>
      <c r="D220" s="2">
        <v>4000193</v>
      </c>
      <c r="E220" s="3" t="s">
        <v>982</v>
      </c>
      <c r="F220" s="3" t="s">
        <v>983</v>
      </c>
      <c r="G220" s="3" t="s">
        <v>475</v>
      </c>
      <c r="H220" s="5">
        <v>118313330976</v>
      </c>
      <c r="I220" s="5">
        <v>119721251934</v>
      </c>
      <c r="J220" s="5">
        <v>12254456204</v>
      </c>
      <c r="K220" s="5">
        <v>11439771054212</v>
      </c>
      <c r="L220" s="5">
        <v>112248073754552</v>
      </c>
      <c r="M220" s="5">
        <v>114397996647791</v>
      </c>
      <c r="N220" s="5">
        <v>1266746593025</v>
      </c>
      <c r="O220" s="5">
        <v>12762233765</v>
      </c>
      <c r="P220" s="5">
        <v>138213755199</v>
      </c>
      <c r="Q220" s="5">
        <v>15360715120688</v>
      </c>
      <c r="R220" s="5">
        <v>159771189027412</v>
      </c>
      <c r="S220" s="5">
        <v>1537787683314</v>
      </c>
      <c r="T220" s="5">
        <v>14951386662795</v>
      </c>
      <c r="U220" s="5">
        <v>145917555102</v>
      </c>
      <c r="V220" s="5">
        <v>1333346109426</v>
      </c>
      <c r="W220" s="5">
        <v>1350801714456</v>
      </c>
      <c r="X220" s="5">
        <v>136230075916133</v>
      </c>
      <c r="Y220" s="5">
        <v>137399613445507</v>
      </c>
      <c r="Z220" s="5">
        <v>13119802214796</v>
      </c>
      <c r="AA220" s="5">
        <v>13261182819692</v>
      </c>
      <c r="AB220" s="5">
        <v>12232554945531</v>
      </c>
      <c r="AC220" s="5">
        <v>11590102514652</v>
      </c>
      <c r="AD220" s="5">
        <v>111403639431</v>
      </c>
      <c r="AE220" s="5">
        <v>122926161013565</v>
      </c>
      <c r="AF220" s="5">
        <v>128023494078078</v>
      </c>
      <c r="AG220" s="5">
        <v>123234591036255</v>
      </c>
      <c r="AH220" s="5">
        <v>127241285613942</v>
      </c>
      <c r="AI220" s="5">
        <v>129326145306222</v>
      </c>
      <c r="AJ220" s="5">
        <v>143623804443662</v>
      </c>
      <c r="AK220" s="5">
        <v>143798761106887</v>
      </c>
      <c r="AL220" s="5">
        <v>152216831162565</v>
      </c>
      <c r="AM220" s="5">
        <v>150669031589016</v>
      </c>
      <c r="AN220" s="5">
        <v>1476719541042</v>
      </c>
      <c r="AO220" s="5">
        <v>142754336277441</v>
      </c>
      <c r="AP220" s="5">
        <v>1345721835075</v>
      </c>
      <c r="AQ220" s="5"/>
      <c r="AR220" s="5"/>
      <c r="AS220" s="5"/>
      <c r="AT220" s="5"/>
      <c r="AU220" s="5"/>
      <c r="AV220" s="5"/>
      <c r="AW220" s="5"/>
      <c r="AX220" s="5"/>
      <c r="AY220" s="5"/>
      <c r="AZ220" s="5"/>
      <c r="BA220" s="5"/>
    </row>
    <row r="221" spans="1:53" x14ac:dyDescent="0.45">
      <c r="A221" s="1"/>
      <c r="B221" s="2"/>
      <c r="C221" s="1" t="s">
        <v>215</v>
      </c>
      <c r="D221" s="2">
        <v>4985791</v>
      </c>
      <c r="E221" s="3" t="s">
        <v>984</v>
      </c>
      <c r="F221" s="3" t="s">
        <v>985</v>
      </c>
      <c r="G221" s="3" t="s">
        <v>496</v>
      </c>
      <c r="H221" s="5">
        <v>100374919598061</v>
      </c>
      <c r="I221" s="5">
        <v>103083330663649</v>
      </c>
      <c r="J221" s="5">
        <v>100009958513283</v>
      </c>
      <c r="K221" s="5">
        <v>954944189859599</v>
      </c>
      <c r="L221" s="5">
        <v>910127308279298</v>
      </c>
      <c r="M221" s="5">
        <v>892399785189525</v>
      </c>
      <c r="N221" s="5">
        <v>93444617098125</v>
      </c>
      <c r="O221" s="5">
        <v>96915084354675</v>
      </c>
      <c r="P221" s="5">
        <v>1004481832094</v>
      </c>
      <c r="Q221" s="5">
        <v>978770416232</v>
      </c>
      <c r="R221" s="5">
        <v>9358804266192</v>
      </c>
      <c r="S221" s="5">
        <v>862648182594</v>
      </c>
      <c r="T221" s="5">
        <v>886488891178</v>
      </c>
      <c r="U221" s="5">
        <v>9094646286</v>
      </c>
      <c r="V221" s="5">
        <v>949697105448</v>
      </c>
      <c r="W221" s="5">
        <v>10123311603195</v>
      </c>
      <c r="X221" s="5">
        <v>989408671251</v>
      </c>
      <c r="Y221" s="5">
        <v>9505583894625</v>
      </c>
      <c r="Z221" s="5">
        <v>9048657797865</v>
      </c>
      <c r="AA221" s="5">
        <v>92394212445</v>
      </c>
      <c r="AB221" s="5">
        <v>8312880718545</v>
      </c>
      <c r="AC221" s="5">
        <v>763047982010021</v>
      </c>
      <c r="AD221" s="5">
        <v>867413178077981</v>
      </c>
      <c r="AE221" s="5">
        <v>884024538610836</v>
      </c>
      <c r="AF221" s="5">
        <v>911606018861369</v>
      </c>
      <c r="AG221" s="5">
        <v>848154501793259</v>
      </c>
      <c r="AH221" s="5">
        <v>745626462522548</v>
      </c>
      <c r="AI221" s="5">
        <v>788132412884985</v>
      </c>
      <c r="AJ221" s="5">
        <v>846899333685928</v>
      </c>
      <c r="AK221" s="5">
        <v>794194383539466</v>
      </c>
      <c r="AL221" s="5">
        <v>8773162160256</v>
      </c>
      <c r="AM221" s="5">
        <v>8276500326375</v>
      </c>
      <c r="AN221" s="5">
        <v>882406741534</v>
      </c>
      <c r="AO221" s="5">
        <v>880511671036107</v>
      </c>
      <c r="AP221" s="5">
        <v>761027239760393</v>
      </c>
      <c r="AQ221" s="5"/>
      <c r="AR221" s="5"/>
      <c r="AS221" s="5"/>
      <c r="AT221" s="5"/>
      <c r="AU221" s="5"/>
      <c r="AV221" s="5"/>
      <c r="AW221" s="5"/>
      <c r="AX221" s="5"/>
      <c r="AY221" s="5"/>
      <c r="AZ221" s="5"/>
      <c r="BA221" s="5"/>
    </row>
    <row r="222" spans="1:53" x14ac:dyDescent="0.45">
      <c r="A222" s="1"/>
      <c r="B222" s="2"/>
      <c r="C222" s="1" t="s">
        <v>216</v>
      </c>
      <c r="D222" s="2">
        <v>4060689</v>
      </c>
      <c r="E222" s="3" t="s">
        <v>986</v>
      </c>
      <c r="F222" s="3" t="s">
        <v>987</v>
      </c>
      <c r="G222" s="3" t="s">
        <v>597</v>
      </c>
      <c r="H222" s="5">
        <v>199247903739067</v>
      </c>
      <c r="I222" s="5">
        <v>196287146534136</v>
      </c>
      <c r="J222" s="5">
        <v>203133290960785</v>
      </c>
      <c r="K222" s="5">
        <v>198510590878424</v>
      </c>
      <c r="L222" s="5">
        <v>187314501360502</v>
      </c>
      <c r="M222" s="5">
        <v>192619576996258</v>
      </c>
      <c r="N222" s="5">
        <v>204874977056403</v>
      </c>
      <c r="O222" s="5">
        <v>194323487344952</v>
      </c>
      <c r="P222" s="5">
        <v>204524506914</v>
      </c>
      <c r="Q222" s="5">
        <v>1953051367456</v>
      </c>
      <c r="R222" s="5">
        <v>20416344684</v>
      </c>
      <c r="S222" s="5">
        <v>215684661762</v>
      </c>
      <c r="T222" s="5">
        <v>2066895170298</v>
      </c>
      <c r="U222" s="5">
        <v>189523070352</v>
      </c>
      <c r="V222" s="5">
        <v>168943049664</v>
      </c>
      <c r="W222" s="5">
        <v>175522393584</v>
      </c>
      <c r="X222" s="5">
        <v>178864452338397</v>
      </c>
      <c r="Y222" s="5">
        <v>16857007656615</v>
      </c>
      <c r="Z222" s="5">
        <v>1569068756307</v>
      </c>
      <c r="AA222" s="5">
        <v>1557629883556</v>
      </c>
      <c r="AB222" s="5">
        <v>155341139393983</v>
      </c>
      <c r="AC222" s="5">
        <v>13512136448785</v>
      </c>
      <c r="AD222" s="5">
        <v>131066043372571</v>
      </c>
      <c r="AE222" s="5">
        <v>143905610023676</v>
      </c>
      <c r="AF222" s="5">
        <v>16414440026399</v>
      </c>
      <c r="AG222" s="5">
        <v>161721914226908</v>
      </c>
      <c r="AH222" s="5">
        <v>141454379239041</v>
      </c>
      <c r="AI222" s="5">
        <v>1608856319466</v>
      </c>
      <c r="AJ222" s="5">
        <v>182379411798994</v>
      </c>
      <c r="AK222" s="5">
        <v>179830332001769</v>
      </c>
      <c r="AL222" s="5">
        <v>198775762278085</v>
      </c>
      <c r="AM222" s="5">
        <v>2029138992774</v>
      </c>
      <c r="AN222" s="5">
        <v>218411563351925</v>
      </c>
      <c r="AO222" s="5">
        <v>212730402949599</v>
      </c>
      <c r="AP222" s="5">
        <v>197588724359984</v>
      </c>
      <c r="AQ222" s="5"/>
      <c r="AR222" s="5"/>
      <c r="AS222" s="5"/>
      <c r="AT222" s="5"/>
      <c r="AU222" s="5"/>
      <c r="AV222" s="5"/>
      <c r="AW222" s="5"/>
      <c r="AX222" s="5"/>
      <c r="AY222" s="5"/>
      <c r="AZ222" s="5"/>
      <c r="BA222" s="5"/>
    </row>
    <row r="223" spans="1:53" x14ac:dyDescent="0.45">
      <c r="A223" s="1"/>
      <c r="B223" s="2"/>
      <c r="C223" s="1" t="s">
        <v>217</v>
      </c>
      <c r="D223" s="2">
        <v>4048157</v>
      </c>
      <c r="E223" s="3" t="s">
        <v>988</v>
      </c>
      <c r="F223" s="3" t="s">
        <v>989</v>
      </c>
      <c r="G223" s="3" t="s">
        <v>896</v>
      </c>
      <c r="H223" s="5">
        <v>335921875926857</v>
      </c>
      <c r="I223" s="5">
        <v>337502942702484</v>
      </c>
      <c r="J223" s="5">
        <v>330767386751347</v>
      </c>
      <c r="K223" s="5">
        <v>306643002377276</v>
      </c>
      <c r="L223" s="5">
        <v>305196568299</v>
      </c>
      <c r="M223" s="5">
        <v>298298203507</v>
      </c>
      <c r="N223" s="5">
        <v>298260487923</v>
      </c>
      <c r="O223" s="5">
        <v>32070954912</v>
      </c>
      <c r="P223" s="5">
        <v>2939480820302</v>
      </c>
      <c r="Q223" s="5">
        <v>2774652557992</v>
      </c>
      <c r="R223" s="5">
        <v>30224739920256</v>
      </c>
      <c r="S223" s="5">
        <v>2820497503362</v>
      </c>
      <c r="T223" s="5">
        <v>2786667550351</v>
      </c>
      <c r="U223" s="5">
        <v>276026203376</v>
      </c>
      <c r="V223" s="5">
        <v>2559135614544</v>
      </c>
      <c r="W223" s="5">
        <v>2524469007321</v>
      </c>
      <c r="X223" s="5">
        <v>25580916051075</v>
      </c>
      <c r="Y223" s="5">
        <v>25415695162935</v>
      </c>
      <c r="Z223" s="5">
        <v>25714736572815</v>
      </c>
      <c r="AA223" s="5">
        <v>2452241269341</v>
      </c>
      <c r="AB223" s="5">
        <v>2262381402087</v>
      </c>
      <c r="AC223" s="5">
        <v>228473174020692</v>
      </c>
      <c r="AD223" s="5">
        <v>233024917459029</v>
      </c>
      <c r="AE223" s="5">
        <v>234574117307837</v>
      </c>
      <c r="AF223" s="5">
        <v>250393085158623</v>
      </c>
      <c r="AG223" s="5">
        <v>245012575412867</v>
      </c>
      <c r="AH223" s="5">
        <v>220526518571841</v>
      </c>
      <c r="AI223" s="5">
        <v>211033642329921</v>
      </c>
      <c r="AJ223" s="5">
        <v>263919066994139</v>
      </c>
      <c r="AK223" s="5">
        <v>249387326492475</v>
      </c>
      <c r="AL223" s="5">
        <v>261599470685318</v>
      </c>
      <c r="AM223" s="5">
        <v>24800121164835</v>
      </c>
      <c r="AN223" s="5">
        <v>249759718524676</v>
      </c>
      <c r="AO223" s="5">
        <v>240949035575443</v>
      </c>
      <c r="AP223" s="5">
        <v>219570774416808</v>
      </c>
      <c r="AQ223" s="5"/>
      <c r="AR223" s="5"/>
      <c r="AS223" s="5"/>
      <c r="AT223" s="5"/>
      <c r="AU223" s="5"/>
      <c r="AV223" s="5"/>
      <c r="AW223" s="5"/>
      <c r="AX223" s="5"/>
      <c r="AY223" s="5"/>
      <c r="AZ223" s="5"/>
      <c r="BA223" s="5"/>
    </row>
    <row r="224" spans="1:53" x14ac:dyDescent="0.45">
      <c r="A224" s="1"/>
      <c r="B224" s="2"/>
      <c r="C224" s="1" t="s">
        <v>218</v>
      </c>
      <c r="D224" s="2">
        <v>4410647</v>
      </c>
      <c r="E224" s="3" t="s">
        <v>990</v>
      </c>
      <c r="F224" s="3" t="s">
        <v>991</v>
      </c>
      <c r="G224" s="3" t="s">
        <v>469</v>
      </c>
      <c r="H224" s="5">
        <v>340538058116959</v>
      </c>
      <c r="I224" s="5">
        <v>376139281107444</v>
      </c>
      <c r="J224" s="5">
        <v>361280588443046</v>
      </c>
      <c r="K224" s="5">
        <v>329931514895652</v>
      </c>
      <c r="L224" s="5">
        <v>315433164350948</v>
      </c>
      <c r="M224" s="5">
        <v>295764063441105</v>
      </c>
      <c r="N224" s="5">
        <v>302033404962</v>
      </c>
      <c r="O224" s="5">
        <v>299901619352124</v>
      </c>
      <c r="P224" s="5">
        <v>28262229008993</v>
      </c>
      <c r="Q224" s="5">
        <v>263281646840703</v>
      </c>
      <c r="R224" s="5">
        <v>269301123676786</v>
      </c>
      <c r="S224" s="5">
        <v>248742379617019</v>
      </c>
      <c r="T224" s="5">
        <v>232790329786264</v>
      </c>
      <c r="U224" s="5">
        <v>23597898830055</v>
      </c>
      <c r="V224" s="5">
        <v>237617242632225</v>
      </c>
      <c r="W224" s="5">
        <v>248200842101992</v>
      </c>
      <c r="X224" s="5">
        <v>237003350416704</v>
      </c>
      <c r="Y224" s="5">
        <v>239665839512002</v>
      </c>
      <c r="Z224" s="5">
        <v>2266726610907</v>
      </c>
      <c r="AA224" s="5">
        <v>217063284966336</v>
      </c>
      <c r="AB224" s="5">
        <v>208152510998796</v>
      </c>
      <c r="AC224" s="5">
        <v>193751286703615</v>
      </c>
      <c r="AD224" s="5">
        <v>18676123025484</v>
      </c>
      <c r="AE224" s="5">
        <v>187900978458161</v>
      </c>
      <c r="AF224" s="5">
        <v>183920879140505</v>
      </c>
      <c r="AG224" s="5">
        <v>168271123287166</v>
      </c>
      <c r="AH224" s="5">
        <v>152447199936361</v>
      </c>
      <c r="AI224" s="5">
        <v>168862941961134</v>
      </c>
      <c r="AJ224" s="5">
        <v>178653837995357</v>
      </c>
      <c r="AK224" s="5">
        <v>160317574978803</v>
      </c>
      <c r="AL224" s="5">
        <v>163801960897935</v>
      </c>
      <c r="AM224" s="5">
        <v>163293585299547</v>
      </c>
      <c r="AN224" s="5">
        <v>173169241924235</v>
      </c>
      <c r="AO224" s="5">
        <v>163207652058673</v>
      </c>
      <c r="AP224" s="5">
        <v>158778319928884</v>
      </c>
      <c r="AQ224" s="5"/>
      <c r="AR224" s="5"/>
      <c r="AS224" s="5"/>
      <c r="AT224" s="5"/>
      <c r="AU224" s="5"/>
      <c r="AV224" s="5"/>
      <c r="AW224" s="5"/>
      <c r="AX224" s="5"/>
      <c r="AY224" s="5"/>
      <c r="AZ224" s="5"/>
      <c r="BA224" s="5"/>
    </row>
    <row r="225" spans="1:53" x14ac:dyDescent="0.45">
      <c r="A225" s="1"/>
      <c r="B225" s="2"/>
      <c r="C225" s="1" t="s">
        <v>219</v>
      </c>
      <c r="D225" s="2">
        <v>103661</v>
      </c>
      <c r="E225" s="3" t="s">
        <v>992</v>
      </c>
      <c r="F225" s="3" t="s">
        <v>993</v>
      </c>
      <c r="G225" s="3" t="s">
        <v>536</v>
      </c>
      <c r="H225" s="5">
        <v>123876080921074</v>
      </c>
      <c r="I225" s="5">
        <v>12363768352155</v>
      </c>
      <c r="J225" s="5">
        <v>125150635656933</v>
      </c>
      <c r="K225" s="5">
        <v>120632591493598</v>
      </c>
      <c r="L225" s="5">
        <v>112318548320138</v>
      </c>
      <c r="M225" s="5">
        <v>120042602551115</v>
      </c>
      <c r="N225" s="5">
        <v>125491017087478</v>
      </c>
      <c r="O225" s="5">
        <v>11478647541053</v>
      </c>
      <c r="P225" s="5">
        <v>123002262564101</v>
      </c>
      <c r="Q225" s="5">
        <v>11652293315478</v>
      </c>
      <c r="R225" s="5">
        <v>122455587402965</v>
      </c>
      <c r="S225" s="5">
        <v>109488178906189</v>
      </c>
      <c r="T225" s="5">
        <v>117417517593304</v>
      </c>
      <c r="U225" s="5">
        <v>121005186309641</v>
      </c>
      <c r="V225" s="5">
        <v>10470484939761</v>
      </c>
      <c r="W225" s="5">
        <v>114036024900155</v>
      </c>
      <c r="X225" s="5">
        <v>114690390411927</v>
      </c>
      <c r="Y225" s="5">
        <v>1070481252283</v>
      </c>
      <c r="Z225" s="5">
        <v>959616390411</v>
      </c>
      <c r="AA225" s="5">
        <v>117730518969</v>
      </c>
      <c r="AB225" s="5">
        <v>112980605511437</v>
      </c>
      <c r="AC225" s="5">
        <v>1025038942494</v>
      </c>
      <c r="AD225" s="5">
        <v>117239504722319</v>
      </c>
      <c r="AE225" s="5">
        <v>13066280202033</v>
      </c>
      <c r="AF225" s="5">
        <v>135166591155898</v>
      </c>
      <c r="AG225" s="5">
        <v>127498689024633</v>
      </c>
      <c r="AH225" s="5">
        <v>119971231656866</v>
      </c>
      <c r="AI225" s="5">
        <v>130552281945631</v>
      </c>
      <c r="AJ225" s="5">
        <v>149789285604612</v>
      </c>
      <c r="AK225" s="5">
        <v>144961239223061</v>
      </c>
      <c r="AL225" s="5">
        <v>1563057870815</v>
      </c>
      <c r="AM225" s="5">
        <v>1587461393673</v>
      </c>
      <c r="AN225" s="5">
        <v>159258666293904</v>
      </c>
      <c r="AO225" s="5">
        <v>154155298153875</v>
      </c>
      <c r="AP225" s="5">
        <v>139773332351725</v>
      </c>
      <c r="AQ225" s="5"/>
      <c r="AR225" s="5"/>
      <c r="AS225" s="5"/>
      <c r="AT225" s="5"/>
      <c r="AU225" s="5"/>
      <c r="AV225" s="5"/>
      <c r="AW225" s="5"/>
      <c r="AX225" s="5"/>
      <c r="AY225" s="5"/>
      <c r="AZ225" s="5"/>
      <c r="BA225" s="5"/>
    </row>
    <row r="226" spans="1:53" x14ac:dyDescent="0.45">
      <c r="A226" s="1"/>
      <c r="B226" s="2"/>
      <c r="C226" s="1" t="s">
        <v>220</v>
      </c>
      <c r="D226" s="2">
        <v>4326091</v>
      </c>
      <c r="E226" s="3" t="s">
        <v>994</v>
      </c>
      <c r="F226" s="3" t="s">
        <v>995</v>
      </c>
      <c r="G226" s="3" t="s">
        <v>487</v>
      </c>
      <c r="H226" s="5">
        <v>169574839875144</v>
      </c>
      <c r="I226" s="5">
        <v>178157827469224</v>
      </c>
      <c r="J226" s="5">
        <v>196221272016447</v>
      </c>
      <c r="K226" s="5">
        <v>169810648417452</v>
      </c>
      <c r="L226" s="5">
        <v>1750984096889</v>
      </c>
      <c r="M226" s="5">
        <v>165818767907704</v>
      </c>
      <c r="N226" s="5">
        <v>169304436371635</v>
      </c>
      <c r="O226" s="5">
        <v>166034426884072</v>
      </c>
      <c r="P226" s="5">
        <v>182492942853931</v>
      </c>
      <c r="Q226" s="5">
        <v>177678832373277</v>
      </c>
      <c r="R226" s="5">
        <v>171992394866481</v>
      </c>
      <c r="S226" s="5">
        <v>179064300901655</v>
      </c>
      <c r="T226" s="5">
        <v>177354525654774</v>
      </c>
      <c r="U226" s="5">
        <v>178927662750408</v>
      </c>
      <c r="V226" s="5">
        <v>160969244004145</v>
      </c>
      <c r="W226" s="5">
        <v>854426002979871</v>
      </c>
      <c r="X226" s="5">
        <v>821570466174535</v>
      </c>
      <c r="Y226" s="5">
        <v>823252339371882</v>
      </c>
      <c r="Z226" s="5">
        <v>703860260662004</v>
      </c>
      <c r="AA226" s="5">
        <v>73000985781042</v>
      </c>
      <c r="AB226" s="5">
        <v>720693495676542</v>
      </c>
      <c r="AC226" s="5">
        <v>689181992624867</v>
      </c>
      <c r="AD226" s="5">
        <v>675116096508846</v>
      </c>
      <c r="AE226" s="5">
        <v>759213120994013</v>
      </c>
      <c r="AF226" s="5">
        <v>772870586560372</v>
      </c>
      <c r="AG226" s="5">
        <v>710505909534684</v>
      </c>
      <c r="AH226" s="5">
        <v>764939391606844</v>
      </c>
      <c r="AI226" s="5">
        <v>816238735464353</v>
      </c>
      <c r="AJ226" s="5">
        <v>852122295205698</v>
      </c>
      <c r="AK226" s="5">
        <v>796920116214553</v>
      </c>
      <c r="AL226" s="5">
        <v>776511516755661</v>
      </c>
      <c r="AM226" s="5">
        <v>735721404016176</v>
      </c>
      <c r="AN226" s="5">
        <v>777976718953877</v>
      </c>
      <c r="AO226" s="5">
        <v>7204354222095</v>
      </c>
      <c r="AP226" s="5">
        <v>662070366436463</v>
      </c>
      <c r="AQ226" s="5"/>
      <c r="AR226" s="5"/>
      <c r="AS226" s="5"/>
      <c r="AT226" s="5"/>
      <c r="AU226" s="5"/>
      <c r="AV226" s="5"/>
      <c r="AW226" s="5"/>
      <c r="AX226" s="5"/>
      <c r="AY226" s="5"/>
      <c r="AZ226" s="5"/>
      <c r="BA226" s="5"/>
    </row>
    <row r="227" spans="1:53" x14ac:dyDescent="0.45">
      <c r="A227" s="1"/>
      <c r="B227" s="2"/>
      <c r="C227" s="1" t="s">
        <v>221</v>
      </c>
      <c r="D227" s="2">
        <v>4094831</v>
      </c>
      <c r="E227" s="3" t="s">
        <v>996</v>
      </c>
      <c r="F227" s="3" t="s">
        <v>997</v>
      </c>
      <c r="G227" s="3" t="s">
        <v>998</v>
      </c>
      <c r="H227" s="5">
        <v>884318803235314</v>
      </c>
      <c r="I227" s="5">
        <v>916089107098567</v>
      </c>
      <c r="J227" s="5">
        <v>917195854984</v>
      </c>
      <c r="K227" s="5">
        <v>877437708622958</v>
      </c>
      <c r="L227" s="5">
        <v>877660322827856</v>
      </c>
      <c r="M227" s="5">
        <v>817254265287021</v>
      </c>
      <c r="N227" s="5">
        <v>795427579947388</v>
      </c>
      <c r="O227" s="5">
        <v>82084245639336</v>
      </c>
      <c r="P227" s="5">
        <v>842603756167202</v>
      </c>
      <c r="Q227" s="5">
        <v>879746631219439</v>
      </c>
      <c r="R227" s="5">
        <v>90303653842821</v>
      </c>
      <c r="S227" s="5">
        <v>87401086571424</v>
      </c>
      <c r="T227" s="5">
        <v>810584322926336</v>
      </c>
      <c r="U227" s="5">
        <v>822431466912</v>
      </c>
      <c r="V227" s="5">
        <v>810154332698304</v>
      </c>
      <c r="W227" s="5">
        <v>878949429634297</v>
      </c>
      <c r="X227" s="5">
        <v>907041376775299</v>
      </c>
      <c r="Y227" s="5">
        <v>968757254415637</v>
      </c>
      <c r="Z227" s="5">
        <v>942070684593626</v>
      </c>
      <c r="AA227" s="5">
        <v>867151503200403</v>
      </c>
      <c r="AB227" s="5">
        <v>676046163849709</v>
      </c>
      <c r="AC227" s="5">
        <v>572039985781532</v>
      </c>
      <c r="AD227" s="5">
        <v>537407225818899</v>
      </c>
      <c r="AE227" s="5">
        <v>525125864454927</v>
      </c>
      <c r="AF227" s="5">
        <v>555229968359976</v>
      </c>
      <c r="AG227" s="5">
        <v>586707062473893</v>
      </c>
      <c r="AH227" s="5">
        <v>585999946363187</v>
      </c>
      <c r="AI227" s="5">
        <v>533400284994629</v>
      </c>
      <c r="AJ227" s="5">
        <v>573440775156921</v>
      </c>
      <c r="AK227" s="5">
        <v>586297547358075</v>
      </c>
      <c r="AL227" s="5">
        <v>69966669554775</v>
      </c>
      <c r="AM227" s="5">
        <v>648683009359499</v>
      </c>
      <c r="AN227" s="5">
        <v>7133500613376</v>
      </c>
      <c r="AO227" s="5">
        <v>688521171846769</v>
      </c>
      <c r="AP227" s="5">
        <v>740281066668</v>
      </c>
      <c r="AQ227" s="5"/>
      <c r="AR227" s="5"/>
      <c r="AS227" s="5"/>
      <c r="AT227" s="5"/>
      <c r="AU227" s="5"/>
      <c r="AV227" s="5"/>
      <c r="AW227" s="5"/>
      <c r="AX227" s="5"/>
      <c r="AY227" s="5"/>
      <c r="AZ227" s="5"/>
      <c r="BA227" s="5"/>
    </row>
    <row r="228" spans="1:53" x14ac:dyDescent="0.45">
      <c r="A228" s="1"/>
      <c r="B228" s="2"/>
      <c r="C228" s="1" t="s">
        <v>222</v>
      </c>
      <c r="D228" s="2">
        <v>4994170</v>
      </c>
      <c r="E228" s="3" t="s">
        <v>999</v>
      </c>
      <c r="F228" s="3" t="s">
        <v>1000</v>
      </c>
      <c r="G228" s="3" t="s">
        <v>1001</v>
      </c>
      <c r="H228" s="5">
        <v>105093304603769</v>
      </c>
      <c r="I228" s="5">
        <v>102425141649689</v>
      </c>
      <c r="J228" s="5">
        <v>100301170296739</v>
      </c>
      <c r="K228" s="5">
        <v>10285267849889</v>
      </c>
      <c r="L228" s="5">
        <v>911326678671186</v>
      </c>
      <c r="M228" s="5">
        <v>842296611547305</v>
      </c>
      <c r="N228" s="5">
        <v>88088008086</v>
      </c>
      <c r="O228" s="5">
        <v>8357182236</v>
      </c>
      <c r="P228" s="5">
        <v>905024848104</v>
      </c>
      <c r="Q228" s="5">
        <v>954994223822654</v>
      </c>
      <c r="R228" s="5">
        <v>102935980255474</v>
      </c>
      <c r="S228" s="5">
        <v>1022019880116</v>
      </c>
      <c r="T228" s="5">
        <v>1031636537009</v>
      </c>
      <c r="U228" s="5">
        <v>101217840438</v>
      </c>
      <c r="V228" s="5">
        <v>835340860752941</v>
      </c>
      <c r="W228" s="5">
        <v>813394112868</v>
      </c>
      <c r="X228" s="5">
        <v>802470896766</v>
      </c>
      <c r="Y228" s="5">
        <v>838309503245312</v>
      </c>
      <c r="Z228" s="5">
        <v>8209190594025</v>
      </c>
      <c r="AA228" s="5">
        <v>83730555084</v>
      </c>
      <c r="AB228" s="5">
        <v>81524190932231</v>
      </c>
      <c r="AC228" s="5">
        <v>7919697208815</v>
      </c>
      <c r="AD228" s="5">
        <v>765567671334</v>
      </c>
      <c r="AE228" s="5">
        <v>774092433926336</v>
      </c>
      <c r="AF228" s="5">
        <v>848719487283994</v>
      </c>
      <c r="AG228" s="5">
        <v>793688376928194</v>
      </c>
      <c r="AH228" s="5">
        <v>743749352173044</v>
      </c>
      <c r="AI228" s="5">
        <v>755332296439194</v>
      </c>
      <c r="AJ228" s="5">
        <v>885148146481774</v>
      </c>
      <c r="AK228" s="5">
        <v>858973238607645</v>
      </c>
      <c r="AL228" s="5">
        <v>892291016971986</v>
      </c>
      <c r="AM228" s="5">
        <v>9078695997948</v>
      </c>
      <c r="AN228" s="5">
        <v>926180348815407</v>
      </c>
      <c r="AO228" s="5">
        <v>888467094021802</v>
      </c>
      <c r="AP228" s="5">
        <v>82202345405625</v>
      </c>
      <c r="AQ228" s="5"/>
      <c r="AR228" s="5"/>
      <c r="AS228" s="5"/>
      <c r="AT228" s="5"/>
      <c r="AU228" s="5"/>
      <c r="AV228" s="5"/>
      <c r="AW228" s="5"/>
      <c r="AX228" s="5"/>
      <c r="AY228" s="5"/>
      <c r="AZ228" s="5"/>
      <c r="BA228" s="5"/>
    </row>
    <row r="229" spans="1:53" x14ac:dyDescent="0.45">
      <c r="A229" s="1"/>
      <c r="B229" s="2"/>
      <c r="C229" s="1" t="s">
        <v>223</v>
      </c>
      <c r="D229" s="2">
        <v>4069059</v>
      </c>
      <c r="E229" s="3" t="s">
        <v>1002</v>
      </c>
      <c r="F229" s="3" t="s">
        <v>1003</v>
      </c>
      <c r="G229" s="3" t="s">
        <v>1004</v>
      </c>
      <c r="H229" s="5">
        <v>386625032766</v>
      </c>
      <c r="I229" s="5">
        <v>42710235048805</v>
      </c>
      <c r="J229" s="5">
        <v>428286672131108</v>
      </c>
      <c r="K229" s="5">
        <v>432981412978848</v>
      </c>
      <c r="L229" s="5">
        <v>473197736175664</v>
      </c>
      <c r="M229" s="5">
        <v>463866630754475</v>
      </c>
      <c r="N229" s="5">
        <v>458593042038905</v>
      </c>
      <c r="O229" s="5">
        <v>4854163952</v>
      </c>
      <c r="P229" s="5">
        <v>485521321324</v>
      </c>
      <c r="Q229" s="5">
        <v>492858966432</v>
      </c>
      <c r="R229" s="5">
        <v>43790634366</v>
      </c>
      <c r="S229" s="5">
        <v>404956353318</v>
      </c>
      <c r="T229" s="5">
        <v>413674381359</v>
      </c>
      <c r="U229" s="5">
        <v>3713066082</v>
      </c>
      <c r="V229" s="5">
        <v>361335691728</v>
      </c>
      <c r="W229" s="5">
        <v>370947022767</v>
      </c>
      <c r="X229" s="5">
        <v>3632332258555</v>
      </c>
      <c r="Y229" s="5">
        <v>3480175508425</v>
      </c>
      <c r="Z229" s="5">
        <v>317800445275932</v>
      </c>
      <c r="AA229" s="5">
        <v>327782521746</v>
      </c>
      <c r="AB229" s="5">
        <v>289803584196</v>
      </c>
      <c r="AC229" s="5">
        <v>36573067869993</v>
      </c>
      <c r="AD229" s="5">
        <v>350607884365134</v>
      </c>
      <c r="AE229" s="5">
        <v>408594496738316</v>
      </c>
      <c r="AF229" s="5">
        <v>45846170426122</v>
      </c>
      <c r="AG229" s="5">
        <v>394434323904753</v>
      </c>
      <c r="AH229" s="5">
        <v>388522560104116</v>
      </c>
      <c r="AI229" s="5">
        <v>334833453123266</v>
      </c>
      <c r="AJ229" s="5">
        <v>355274139984334</v>
      </c>
      <c r="AK229" s="5">
        <v>370466624889223</v>
      </c>
      <c r="AL229" s="5">
        <v>4337741271591</v>
      </c>
      <c r="AM229" s="5">
        <v>389771445438</v>
      </c>
      <c r="AN229" s="5">
        <v>4205186662152</v>
      </c>
      <c r="AO229" s="5">
        <v>3786020332068</v>
      </c>
      <c r="AP229" s="5">
        <v>352736353638</v>
      </c>
      <c r="AQ229" s="5"/>
      <c r="AR229" s="5"/>
      <c r="AS229" s="5"/>
      <c r="AT229" s="5"/>
      <c r="AU229" s="5"/>
      <c r="AV229" s="5"/>
      <c r="AW229" s="5"/>
      <c r="AX229" s="5"/>
      <c r="AY229" s="5"/>
      <c r="AZ229" s="5"/>
      <c r="BA229" s="5"/>
    </row>
    <row r="230" spans="1:53" x14ac:dyDescent="0.45">
      <c r="A230" s="1"/>
      <c r="B230" s="2"/>
      <c r="C230" s="1" t="s">
        <v>224</v>
      </c>
      <c r="D230" s="2">
        <v>3008229</v>
      </c>
      <c r="E230" s="3" t="s">
        <v>1005</v>
      </c>
      <c r="F230" s="3" t="s">
        <v>1006</v>
      </c>
      <c r="G230" s="3" t="s">
        <v>524</v>
      </c>
      <c r="H230" s="5">
        <v>752296807238592</v>
      </c>
      <c r="I230" s="5">
        <v>747893793964086</v>
      </c>
      <c r="J230" s="5">
        <v>730573997517444</v>
      </c>
      <c r="K230" s="5">
        <v>673485566771903</v>
      </c>
      <c r="L230" s="5">
        <v>672127516062664</v>
      </c>
      <c r="M230" s="5">
        <v>7070888203</v>
      </c>
      <c r="N230" s="5">
        <v>706941557075</v>
      </c>
      <c r="O230" s="5">
        <v>7340013785</v>
      </c>
      <c r="P230" s="5">
        <v>690543505288</v>
      </c>
      <c r="Q230" s="5">
        <v>67590205256</v>
      </c>
      <c r="R230" s="5">
        <v>68571619242</v>
      </c>
      <c r="S230" s="5">
        <v>64978517406</v>
      </c>
      <c r="T230" s="5">
        <v>65683110614</v>
      </c>
      <c r="U230" s="5">
        <v>6386411944</v>
      </c>
      <c r="V230" s="5">
        <v>577261958232</v>
      </c>
      <c r="W230" s="5">
        <v>597764464605</v>
      </c>
      <c r="X230" s="5">
        <v>61482286714017</v>
      </c>
      <c r="Y230" s="5">
        <v>6300483798</v>
      </c>
      <c r="Z230" s="5">
        <v>619856957592</v>
      </c>
      <c r="AA230" s="5">
        <v>598419779432</v>
      </c>
      <c r="AB230" s="5">
        <v>557957179981506</v>
      </c>
      <c r="AC230" s="5">
        <v>597030691371662</v>
      </c>
      <c r="AD230" s="5">
        <v>599648276559262</v>
      </c>
      <c r="AE230" s="5">
        <v>574480576394436</v>
      </c>
      <c r="AF230" s="5">
        <v>600564600068479</v>
      </c>
      <c r="AG230" s="5">
        <v>562628665065346</v>
      </c>
      <c r="AH230" s="5">
        <v>50036406013608</v>
      </c>
      <c r="AI230" s="5">
        <v>491393049749978</v>
      </c>
      <c r="AJ230" s="5">
        <v>512147335420528</v>
      </c>
      <c r="AK230" s="5">
        <v>470441336317785</v>
      </c>
      <c r="AL230" s="5">
        <v>484910232855267</v>
      </c>
      <c r="AM230" s="5">
        <v>485829517744901</v>
      </c>
      <c r="AN230" s="5">
        <v>532008619530013</v>
      </c>
      <c r="AO230" s="5">
        <v>477701980489612</v>
      </c>
      <c r="AP230" s="5">
        <v>444519901519571</v>
      </c>
      <c r="AQ230" s="5"/>
      <c r="AR230" s="5"/>
      <c r="AS230" s="5"/>
      <c r="AT230" s="5"/>
      <c r="AU230" s="5"/>
      <c r="AV230" s="5"/>
      <c r="AW230" s="5"/>
      <c r="AX230" s="5"/>
      <c r="AY230" s="5"/>
      <c r="AZ230" s="5"/>
      <c r="BA230" s="5"/>
    </row>
    <row r="231" spans="1:53" x14ac:dyDescent="0.45">
      <c r="A231" s="1"/>
      <c r="B231" s="2"/>
      <c r="C231" s="1" t="s">
        <v>225</v>
      </c>
      <c r="D231" s="2">
        <v>4004212</v>
      </c>
      <c r="E231" s="3" t="s">
        <v>1007</v>
      </c>
      <c r="F231" s="3" t="s">
        <v>1008</v>
      </c>
      <c r="G231" s="3" t="s">
        <v>844</v>
      </c>
      <c r="H231" s="5">
        <v>776121286570397</v>
      </c>
      <c r="I231" s="5">
        <v>663882907548634</v>
      </c>
      <c r="J231" s="5">
        <v>601604335312724</v>
      </c>
      <c r="K231" s="5">
        <v>593180556686565</v>
      </c>
      <c r="L231" s="5">
        <v>552078290191436</v>
      </c>
      <c r="M231" s="5">
        <v>53867382264</v>
      </c>
      <c r="N231" s="5">
        <v>57407627907</v>
      </c>
      <c r="O231" s="5">
        <v>5618050596</v>
      </c>
      <c r="P231" s="5">
        <v>610260308632</v>
      </c>
      <c r="Q231" s="5">
        <v>625905942592</v>
      </c>
      <c r="R231" s="5">
        <v>64334442954</v>
      </c>
      <c r="S231" s="5">
        <v>655602857655</v>
      </c>
      <c r="T231" s="5">
        <v>6524348763</v>
      </c>
      <c r="U231" s="5">
        <v>708338408319828</v>
      </c>
      <c r="V231" s="5">
        <v>571468911656</v>
      </c>
      <c r="W231" s="5">
        <v>558732191814</v>
      </c>
      <c r="X231" s="5">
        <v>5739457497235</v>
      </c>
      <c r="Y231" s="5">
        <v>584016948732</v>
      </c>
      <c r="Z231" s="5">
        <v>5468732969985</v>
      </c>
      <c r="AA231" s="5">
        <v>5553606614035</v>
      </c>
      <c r="AB231" s="5">
        <v>476975677307451</v>
      </c>
      <c r="AC231" s="5">
        <v>435977615228339</v>
      </c>
      <c r="AD231" s="5">
        <v>446185044435199</v>
      </c>
      <c r="AE231" s="5">
        <v>47536579181414</v>
      </c>
      <c r="AF231" s="5">
        <v>512055923395374</v>
      </c>
      <c r="AG231" s="5">
        <v>450639340500605</v>
      </c>
      <c r="AH231" s="5">
        <v>415210519945638</v>
      </c>
      <c r="AI231" s="5">
        <v>446616728984576</v>
      </c>
      <c r="AJ231" s="5">
        <v>471981738287709</v>
      </c>
      <c r="AK231" s="5">
        <v>457961544893129</v>
      </c>
      <c r="AL231" s="5">
        <v>4950062772816</v>
      </c>
      <c r="AM231" s="5">
        <v>4912117791975</v>
      </c>
      <c r="AN231" s="5">
        <v>539358114973</v>
      </c>
      <c r="AO231" s="5">
        <v>5073773623845</v>
      </c>
      <c r="AP231" s="5">
        <v>44061309622188</v>
      </c>
      <c r="AQ231" s="5"/>
      <c r="AR231" s="5"/>
      <c r="AS231" s="5"/>
      <c r="AT231" s="5"/>
      <c r="AU231" s="5"/>
      <c r="AV231" s="5"/>
      <c r="AW231" s="5"/>
      <c r="AX231" s="5"/>
      <c r="AY231" s="5"/>
      <c r="AZ231" s="5"/>
      <c r="BA231" s="5"/>
    </row>
    <row r="232" spans="1:53" x14ac:dyDescent="0.45">
      <c r="A232" s="1"/>
      <c r="B232" s="2"/>
      <c r="C232" s="1" t="s">
        <v>226</v>
      </c>
      <c r="D232" s="2">
        <v>4044333</v>
      </c>
      <c r="E232" s="3" t="s">
        <v>1009</v>
      </c>
      <c r="F232" s="3" t="s">
        <v>1010</v>
      </c>
      <c r="G232" s="3" t="s">
        <v>633</v>
      </c>
      <c r="H232" s="5">
        <v>312600292178261</v>
      </c>
      <c r="I232" s="5">
        <v>31431049054429</v>
      </c>
      <c r="J232" s="5">
        <v>321417529387132</v>
      </c>
      <c r="K232" s="5">
        <v>295243891403603</v>
      </c>
      <c r="L232" s="5">
        <v>299182167148493</v>
      </c>
      <c r="M232" s="5">
        <v>3033600622836</v>
      </c>
      <c r="N232" s="5">
        <v>31235547451855</v>
      </c>
      <c r="O232" s="5">
        <v>307480490775</v>
      </c>
      <c r="P232" s="5">
        <v>30720013134174</v>
      </c>
      <c r="Q232" s="5">
        <v>3157621900524</v>
      </c>
      <c r="R232" s="5">
        <v>312365399113056</v>
      </c>
      <c r="S232" s="5">
        <v>28551629085075</v>
      </c>
      <c r="T232" s="5">
        <v>29691438112949</v>
      </c>
      <c r="U232" s="5">
        <v>286444059594</v>
      </c>
      <c r="V232" s="5">
        <v>28953619962288</v>
      </c>
      <c r="W232" s="5">
        <v>28752554258946</v>
      </c>
      <c r="X232" s="5">
        <v>292886414549049</v>
      </c>
      <c r="Y232" s="5">
        <v>30827684611164</v>
      </c>
      <c r="Z232" s="5">
        <v>3004375124844</v>
      </c>
      <c r="AA232" s="5">
        <v>27852320348868</v>
      </c>
      <c r="AB232" s="5">
        <v>26993846751768</v>
      </c>
      <c r="AC232" s="5">
        <v>267246877842419</v>
      </c>
      <c r="AD232" s="5">
        <v>267060490513082</v>
      </c>
      <c r="AE232" s="5">
        <v>261695978942388</v>
      </c>
      <c r="AF232" s="5">
        <v>265152671813112</v>
      </c>
      <c r="AG232" s="5">
        <v>253504761910722</v>
      </c>
      <c r="AH232" s="5">
        <v>23162540103602</v>
      </c>
      <c r="AI232" s="5">
        <v>232329799357823</v>
      </c>
      <c r="AJ232" s="5">
        <v>251172006909243</v>
      </c>
      <c r="AK232" s="5">
        <v>24262681266782</v>
      </c>
      <c r="AL232" s="5">
        <v>253019727568245</v>
      </c>
      <c r="AM232" s="5">
        <v>246386533824</v>
      </c>
      <c r="AN232" s="5">
        <v>26037474947639</v>
      </c>
      <c r="AO232" s="5">
        <v>254202130347097</v>
      </c>
      <c r="AP232" s="5">
        <v>24827830399459</v>
      </c>
      <c r="AQ232" s="5"/>
      <c r="AR232" s="5"/>
      <c r="AS232" s="5"/>
      <c r="AT232" s="5"/>
      <c r="AU232" s="5"/>
      <c r="AV232" s="5"/>
      <c r="AW232" s="5"/>
      <c r="AX232" s="5"/>
      <c r="AY232" s="5"/>
      <c r="AZ232" s="5"/>
      <c r="BA232" s="5"/>
    </row>
    <row r="233" spans="1:53" x14ac:dyDescent="0.45">
      <c r="A233" s="1"/>
      <c r="B233" s="2"/>
      <c r="C233" s="1" t="s">
        <v>227</v>
      </c>
      <c r="D233" s="2">
        <v>5234450</v>
      </c>
      <c r="E233" s="3" t="s">
        <v>1011</v>
      </c>
      <c r="F233" s="3" t="s">
        <v>1012</v>
      </c>
      <c r="G233" s="3" t="s">
        <v>466</v>
      </c>
      <c r="H233" s="5">
        <v>293714638143361</v>
      </c>
      <c r="I233" s="5">
        <v>292495840232557</v>
      </c>
      <c r="J233" s="5">
        <v>331505147659196</v>
      </c>
      <c r="K233" s="5">
        <v>317848853166037</v>
      </c>
      <c r="L233" s="5">
        <v>310849988368862</v>
      </c>
      <c r="M233" s="5">
        <v>3081495753</v>
      </c>
      <c r="N233" s="5">
        <v>356528554374196</v>
      </c>
      <c r="O233" s="5">
        <v>34866120028536</v>
      </c>
      <c r="P233" s="5">
        <v>357912786426</v>
      </c>
      <c r="Q233" s="5">
        <v>369763771849618</v>
      </c>
      <c r="R233" s="5">
        <v>370860710941602</v>
      </c>
      <c r="S233" s="5">
        <v>382583191438306</v>
      </c>
      <c r="T233" s="5">
        <v>365142487746</v>
      </c>
      <c r="U233" s="5">
        <v>39819300664</v>
      </c>
      <c r="V233" s="5">
        <v>344258325873746</v>
      </c>
      <c r="W233" s="5">
        <v>387374374540605</v>
      </c>
      <c r="X233" s="5">
        <v>251806188454881</v>
      </c>
      <c r="Y233" s="5">
        <v>262895881173315</v>
      </c>
      <c r="Z233" s="5">
        <v>258400835814652</v>
      </c>
      <c r="AA233" s="5">
        <v>25721474923525</v>
      </c>
      <c r="AB233" s="5">
        <v>234375499055163</v>
      </c>
      <c r="AC233" s="5">
        <v>217544920154227</v>
      </c>
      <c r="AD233" s="5">
        <v>214861569843787</v>
      </c>
      <c r="AE233" s="5">
        <v>235497963805556</v>
      </c>
      <c r="AF233" s="5">
        <v>282006868910316</v>
      </c>
      <c r="AG233" s="5">
        <v>265249380942</v>
      </c>
      <c r="AH233" s="5">
        <v>242402238684627</v>
      </c>
      <c r="AI233" s="5">
        <v>240224887333688</v>
      </c>
      <c r="AJ233" s="5">
        <v>269729298755973</v>
      </c>
      <c r="AK233" s="5">
        <v>291174082306462</v>
      </c>
      <c r="AL233" s="5">
        <v>31037694799113</v>
      </c>
      <c r="AM233" s="5">
        <v>294686440523068</v>
      </c>
      <c r="AN233" s="5">
        <v>306893774243347</v>
      </c>
      <c r="AO233" s="5">
        <v>296192605312831</v>
      </c>
      <c r="AP233" s="5">
        <v>270547434497095</v>
      </c>
      <c r="AQ233" s="5"/>
      <c r="AR233" s="5"/>
      <c r="AS233" s="5"/>
      <c r="AT233" s="5"/>
      <c r="AU233" s="5"/>
      <c r="AV233" s="5"/>
      <c r="AW233" s="5"/>
      <c r="AX233" s="5"/>
      <c r="AY233" s="5"/>
      <c r="AZ233" s="5"/>
      <c r="BA233" s="5"/>
    </row>
    <row r="234" spans="1:53" x14ac:dyDescent="0.45">
      <c r="A234" s="1"/>
      <c r="B234" s="2"/>
      <c r="C234" s="1" t="s">
        <v>228</v>
      </c>
      <c r="D234" s="2">
        <v>100201</v>
      </c>
      <c r="E234" s="3" t="s">
        <v>1013</v>
      </c>
      <c r="F234" s="3" t="s">
        <v>1014</v>
      </c>
      <c r="G234" s="3" t="s">
        <v>607</v>
      </c>
      <c r="H234" s="5">
        <v>309008664864065</v>
      </c>
      <c r="I234" s="5">
        <v>304518243143446</v>
      </c>
      <c r="J234" s="5">
        <v>299824443617658</v>
      </c>
      <c r="K234" s="5">
        <v>284332495458474</v>
      </c>
      <c r="L234" s="5">
        <v>269299611773711</v>
      </c>
      <c r="M234" s="5">
        <v>2741030037</v>
      </c>
      <c r="N234" s="5">
        <v>284584379621969</v>
      </c>
      <c r="O234" s="5">
        <v>259723063550834</v>
      </c>
      <c r="P234" s="5">
        <v>284052249040599</v>
      </c>
      <c r="Q234" s="5">
        <v>293390403649371</v>
      </c>
      <c r="R234" s="5">
        <v>303957183209474</v>
      </c>
      <c r="S234" s="5">
        <v>280593748753778</v>
      </c>
      <c r="T234" s="5">
        <v>292457318511777</v>
      </c>
      <c r="U234" s="5">
        <v>271342303429859</v>
      </c>
      <c r="V234" s="5">
        <v>228221329195831</v>
      </c>
      <c r="W234" s="5">
        <v>213952154702169</v>
      </c>
      <c r="X234" s="5">
        <v>218679911764516</v>
      </c>
      <c r="Y234" s="5">
        <v>209316531115678</v>
      </c>
      <c r="Z234" s="5">
        <v>204578154748917</v>
      </c>
      <c r="AA234" s="5">
        <v>214429368675512</v>
      </c>
      <c r="AB234" s="5">
        <v>202044407002365</v>
      </c>
      <c r="AC234" s="5">
        <v>189842253126796</v>
      </c>
      <c r="AD234" s="5">
        <v>202388000732026</v>
      </c>
      <c r="AE234" s="5">
        <v>223773343809189</v>
      </c>
      <c r="AF234" s="5">
        <v>23230816679337</v>
      </c>
      <c r="AG234" s="5">
        <v>215440754161491</v>
      </c>
      <c r="AH234" s="5">
        <v>202007600742514</v>
      </c>
      <c r="AI234" s="5">
        <v>211595856836262</v>
      </c>
      <c r="AJ234" s="5">
        <v>229363545042703</v>
      </c>
      <c r="AK234" s="5">
        <v>225751146469543</v>
      </c>
      <c r="AL234" s="5">
        <v>222425658200889</v>
      </c>
      <c r="AM234" s="5">
        <v>209801999041579</v>
      </c>
      <c r="AN234" s="5">
        <v>210216229211492</v>
      </c>
      <c r="AO234" s="5">
        <v>202996924815089</v>
      </c>
      <c r="AP234" s="5">
        <v>180035416379648</v>
      </c>
      <c r="AQ234" s="5"/>
      <c r="AR234" s="5"/>
      <c r="AS234" s="5"/>
      <c r="AT234" s="5"/>
      <c r="AU234" s="5"/>
      <c r="AV234" s="5"/>
      <c r="AW234" s="5"/>
      <c r="AX234" s="5"/>
      <c r="AY234" s="5"/>
      <c r="AZ234" s="5"/>
      <c r="BA234" s="5"/>
    </row>
    <row r="235" spans="1:53" x14ac:dyDescent="0.45">
      <c r="A235" s="1"/>
      <c r="B235" s="2"/>
      <c r="C235" s="1" t="s">
        <v>229</v>
      </c>
      <c r="D235" s="2">
        <v>100334</v>
      </c>
      <c r="E235" s="3" t="s">
        <v>1015</v>
      </c>
      <c r="F235" s="3" t="s">
        <v>1016</v>
      </c>
      <c r="G235" s="3" t="s">
        <v>607</v>
      </c>
      <c r="H235" s="5">
        <v>180641074352363</v>
      </c>
      <c r="I235" s="5">
        <v>171391884539604</v>
      </c>
      <c r="J235" s="5">
        <v>1691582464325</v>
      </c>
      <c r="K235" s="5">
        <v>173176403613084</v>
      </c>
      <c r="L235" s="5">
        <v>157612965307421</v>
      </c>
      <c r="M235" s="5">
        <v>167265056156</v>
      </c>
      <c r="N235" s="5">
        <v>180042753771</v>
      </c>
      <c r="O235" s="5">
        <v>17042647113</v>
      </c>
      <c r="P235" s="5">
        <v>1837255270656</v>
      </c>
      <c r="Q235" s="5">
        <v>179916048077004</v>
      </c>
      <c r="R235" s="5">
        <v>189621544154638</v>
      </c>
      <c r="S235" s="5">
        <v>1797353248869</v>
      </c>
      <c r="T235" s="5">
        <v>1870403277141</v>
      </c>
      <c r="U235" s="5">
        <v>176969072346</v>
      </c>
      <c r="V235" s="5">
        <v>1394020978584</v>
      </c>
      <c r="W235" s="5">
        <v>1171680668829</v>
      </c>
      <c r="X235" s="5">
        <v>1219286578664</v>
      </c>
      <c r="Y235" s="5">
        <v>8823871483245</v>
      </c>
      <c r="Z235" s="5">
        <v>8381558334825</v>
      </c>
      <c r="AA235" s="5">
        <v>970360624407</v>
      </c>
      <c r="AB235" s="5">
        <v>8886888830025</v>
      </c>
      <c r="AC235" s="5">
        <v>8115279287025</v>
      </c>
      <c r="AD235" s="5">
        <v>8619529639014</v>
      </c>
      <c r="AE235" s="5">
        <v>101452744287956</v>
      </c>
      <c r="AF235" s="5">
        <v>103662941390782</v>
      </c>
      <c r="AG235" s="5">
        <v>9407879271945</v>
      </c>
      <c r="AH235" s="5">
        <v>980242999932528</v>
      </c>
      <c r="AI235" s="5">
        <v>103143247329522</v>
      </c>
      <c r="AJ235" s="5">
        <v>11331702033008</v>
      </c>
      <c r="AK235" s="5">
        <v>114387265051744</v>
      </c>
      <c r="AL235" s="5">
        <v>11269377893502</v>
      </c>
      <c r="AM235" s="5">
        <v>108906843918375</v>
      </c>
      <c r="AN235" s="5">
        <v>112738985517</v>
      </c>
      <c r="AO235" s="5">
        <v>106767678181115</v>
      </c>
      <c r="AP235" s="5">
        <v>98881985321775</v>
      </c>
      <c r="AQ235" s="5"/>
      <c r="AR235" s="5"/>
      <c r="AS235" s="5"/>
      <c r="AT235" s="5"/>
      <c r="AU235" s="5"/>
      <c r="AV235" s="5"/>
      <c r="AW235" s="5"/>
      <c r="AX235" s="5"/>
      <c r="AY235" s="5"/>
      <c r="AZ235" s="5"/>
      <c r="BA235" s="5"/>
    </row>
    <row r="236" spans="1:53" x14ac:dyDescent="0.45">
      <c r="A236" s="1"/>
      <c r="B236" s="2"/>
      <c r="C236" s="1" t="s">
        <v>230</v>
      </c>
      <c r="D236" s="2">
        <v>4972803</v>
      </c>
      <c r="E236" s="3" t="s">
        <v>1017</v>
      </c>
      <c r="F236" s="3" t="s">
        <v>1018</v>
      </c>
      <c r="G236" s="3" t="s">
        <v>1019</v>
      </c>
      <c r="H236" s="5">
        <v>64883652802176</v>
      </c>
      <c r="I236" s="5">
        <v>679427901799245</v>
      </c>
      <c r="J236" s="5">
        <v>713738434682523</v>
      </c>
      <c r="K236" s="5">
        <v>655648283300307</v>
      </c>
      <c r="L236" s="5">
        <v>63896038542</v>
      </c>
      <c r="M236" s="5">
        <v>654147076370779</v>
      </c>
      <c r="N236" s="5">
        <v>632515193176417</v>
      </c>
      <c r="O236" s="5">
        <v>6351289014168</v>
      </c>
      <c r="P236" s="5">
        <v>634457640481782</v>
      </c>
      <c r="Q236" s="5">
        <v>624205222119024</v>
      </c>
      <c r="R236" s="5">
        <v>60759326143008</v>
      </c>
      <c r="S236" s="5">
        <v>588962501242629</v>
      </c>
      <c r="T236" s="5">
        <v>59393428135329</v>
      </c>
      <c r="U236" s="5">
        <v>5912548246</v>
      </c>
      <c r="V236" s="5">
        <v>50856559692048</v>
      </c>
      <c r="W236" s="5">
        <v>47910342987092</v>
      </c>
      <c r="X236" s="5">
        <v>463234018555</v>
      </c>
      <c r="Y236" s="5">
        <v>445458104105183</v>
      </c>
      <c r="Z236" s="5">
        <v>445896483486632</v>
      </c>
      <c r="AA236" s="5">
        <v>46623261531</v>
      </c>
      <c r="AB236" s="5">
        <v>39010476673589</v>
      </c>
      <c r="AC236" s="5">
        <v>41069325645</v>
      </c>
      <c r="AD236" s="5">
        <v>369466178593473</v>
      </c>
      <c r="AE236" s="5">
        <v>445661035944719</v>
      </c>
      <c r="AF236" s="5">
        <v>4957744935</v>
      </c>
      <c r="AG236" s="5">
        <v>508388199214449</v>
      </c>
      <c r="AH236" s="5">
        <v>468318286866085</v>
      </c>
      <c r="AI236" s="5">
        <v>483402699</v>
      </c>
      <c r="AJ236" s="5">
        <v>46810484639759</v>
      </c>
      <c r="AK236" s="5">
        <v>474159370422371</v>
      </c>
      <c r="AL236" s="5">
        <v>5059925741</v>
      </c>
      <c r="AM236" s="5">
        <v>502120836</v>
      </c>
      <c r="AN236" s="5">
        <v>580962102</v>
      </c>
      <c r="AO236" s="5">
        <v>5624648232</v>
      </c>
      <c r="AP236" s="5">
        <v>4963770947308</v>
      </c>
      <c r="AQ236" s="5"/>
      <c r="AR236" s="5"/>
      <c r="AS236" s="5"/>
      <c r="AT236" s="5"/>
      <c r="AU236" s="5"/>
      <c r="AV236" s="5"/>
      <c r="AW236" s="5"/>
      <c r="AX236" s="5"/>
      <c r="AY236" s="5"/>
      <c r="AZ236" s="5"/>
      <c r="BA236" s="5"/>
    </row>
    <row r="237" spans="1:53" x14ac:dyDescent="0.45">
      <c r="A237" s="1"/>
      <c r="B237" s="2"/>
      <c r="C237" s="1" t="s">
        <v>231</v>
      </c>
      <c r="D237" s="2">
        <v>4060881</v>
      </c>
      <c r="E237" s="3" t="s">
        <v>1020</v>
      </c>
      <c r="F237" s="3" t="s">
        <v>1021</v>
      </c>
      <c r="G237" s="3" t="s">
        <v>703</v>
      </c>
      <c r="H237" s="5">
        <v>353465597268022</v>
      </c>
      <c r="I237" s="5">
        <v>353735831292332</v>
      </c>
      <c r="J237" s="5">
        <v>339959671907266</v>
      </c>
      <c r="K237" s="5">
        <v>351780277332035</v>
      </c>
      <c r="L237" s="5">
        <v>366807875970931</v>
      </c>
      <c r="M237" s="5">
        <v>369205922550822</v>
      </c>
      <c r="N237" s="5">
        <v>4016562328095</v>
      </c>
      <c r="O237" s="5">
        <v>40980111321</v>
      </c>
      <c r="P237" s="5">
        <v>422666793315</v>
      </c>
      <c r="Q237" s="5">
        <v>43792958762</v>
      </c>
      <c r="R237" s="5">
        <v>444198022033722</v>
      </c>
      <c r="S237" s="5">
        <v>400287675786</v>
      </c>
      <c r="T237" s="5">
        <v>3871920054816</v>
      </c>
      <c r="U237" s="5">
        <v>391709062096</v>
      </c>
      <c r="V237" s="5">
        <v>3738749290144</v>
      </c>
      <c r="W237" s="5">
        <v>4035896299764</v>
      </c>
      <c r="X237" s="5">
        <v>413136338356685</v>
      </c>
      <c r="Y237" s="5">
        <v>416964842384272</v>
      </c>
      <c r="Z237" s="5">
        <v>44573636082113</v>
      </c>
      <c r="AA237" s="5">
        <v>4110948485296</v>
      </c>
      <c r="AB237" s="5">
        <v>39365683714305</v>
      </c>
      <c r="AC237" s="5">
        <v>432891122985</v>
      </c>
      <c r="AD237" s="5">
        <v>428313748887</v>
      </c>
      <c r="AE237" s="5">
        <v>425471103300662</v>
      </c>
      <c r="AF237" s="5">
        <v>409390296620738</v>
      </c>
      <c r="AG237" s="5">
        <v>394063151641736</v>
      </c>
      <c r="AH237" s="5">
        <v>35591597588227</v>
      </c>
      <c r="AI237" s="5">
        <v>346442513933243</v>
      </c>
      <c r="AJ237" s="5">
        <v>379083151608248</v>
      </c>
      <c r="AK237" s="5">
        <v>346384179212701</v>
      </c>
      <c r="AL237" s="5">
        <v>36114174787111</v>
      </c>
      <c r="AM237" s="5">
        <v>356746357486575</v>
      </c>
      <c r="AN237" s="5">
        <v>364117068100347</v>
      </c>
      <c r="AO237" s="5">
        <v>35742967242099</v>
      </c>
      <c r="AP237" s="5">
        <v>34932020721</v>
      </c>
      <c r="AQ237" s="5"/>
      <c r="AR237" s="5"/>
      <c r="AS237" s="5"/>
      <c r="AT237" s="5"/>
      <c r="AU237" s="5"/>
      <c r="AV237" s="5"/>
      <c r="AW237" s="5"/>
      <c r="AX237" s="5"/>
      <c r="AY237" s="5"/>
      <c r="AZ237" s="5"/>
      <c r="BA237" s="5"/>
    </row>
    <row r="238" spans="1:53" x14ac:dyDescent="0.45">
      <c r="A238" s="1"/>
      <c r="B238" s="2"/>
      <c r="C238" s="1" t="s">
        <v>232</v>
      </c>
      <c r="D238" s="2">
        <v>102965</v>
      </c>
      <c r="E238" s="3" t="s">
        <v>1022</v>
      </c>
      <c r="F238" s="3" t="s">
        <v>1023</v>
      </c>
      <c r="G238" s="3" t="s">
        <v>883</v>
      </c>
      <c r="H238" s="5">
        <v>643388748612588</v>
      </c>
      <c r="I238" s="5">
        <v>66194400227908</v>
      </c>
      <c r="J238" s="5">
        <v>663995481449096</v>
      </c>
      <c r="K238" s="5">
        <v>704055903871164</v>
      </c>
      <c r="L238" s="5">
        <v>703236426248866</v>
      </c>
      <c r="M238" s="5">
        <v>728805592253544</v>
      </c>
      <c r="N238" s="5">
        <v>68462196665</v>
      </c>
      <c r="O238" s="5">
        <v>6644807996</v>
      </c>
      <c r="P238" s="5">
        <v>792661787450512</v>
      </c>
      <c r="Q238" s="5">
        <v>879300174042416</v>
      </c>
      <c r="R238" s="5">
        <v>972285651837</v>
      </c>
      <c r="S238" s="5">
        <v>980355624189</v>
      </c>
      <c r="T238" s="5">
        <v>1013019392204</v>
      </c>
      <c r="U238" s="5">
        <v>102690818252</v>
      </c>
      <c r="V238" s="5">
        <v>103191877482408</v>
      </c>
      <c r="W238" s="5">
        <v>10818583043654</v>
      </c>
      <c r="X238" s="5">
        <v>113230587012691</v>
      </c>
      <c r="Y238" s="5">
        <v>120671979433752</v>
      </c>
      <c r="Z238" s="5">
        <v>1185768117765</v>
      </c>
      <c r="AA238" s="5">
        <v>1062601598135</v>
      </c>
      <c r="AB238" s="5">
        <v>103036319281327</v>
      </c>
      <c r="AC238" s="5">
        <v>101875040660835</v>
      </c>
      <c r="AD238" s="5">
        <v>103855118318542</v>
      </c>
      <c r="AE238" s="5">
        <v>100694974622265</v>
      </c>
      <c r="AF238" s="5">
        <v>102069001985873</v>
      </c>
      <c r="AG238" s="5">
        <v>100294301508584</v>
      </c>
      <c r="AH238" s="5">
        <v>904374150932263</v>
      </c>
      <c r="AI238" s="5">
        <v>850145417444736</v>
      </c>
      <c r="AJ238" s="5">
        <v>92399320499704</v>
      </c>
      <c r="AK238" s="5">
        <v>835216677878499</v>
      </c>
      <c r="AL238" s="5">
        <v>901086588013656</v>
      </c>
      <c r="AM238" s="5">
        <v>88826508238662</v>
      </c>
      <c r="AN238" s="5">
        <v>103127981156869</v>
      </c>
      <c r="AO238" s="5">
        <v>966992709041564</v>
      </c>
      <c r="AP238" s="5">
        <v>100762048750613</v>
      </c>
      <c r="AQ238" s="5"/>
      <c r="AR238" s="5"/>
      <c r="AS238" s="5"/>
      <c r="AT238" s="5"/>
      <c r="AU238" s="5"/>
      <c r="AV238" s="5"/>
      <c r="AW238" s="5"/>
      <c r="AX238" s="5"/>
      <c r="AY238" s="5"/>
      <c r="AZ238" s="5"/>
      <c r="BA238" s="5"/>
    </row>
    <row r="239" spans="1:53" x14ac:dyDescent="0.45">
      <c r="A239" s="1"/>
      <c r="B239" s="2"/>
      <c r="C239" s="1" t="s">
        <v>233</v>
      </c>
      <c r="D239" s="2">
        <v>4275772</v>
      </c>
      <c r="E239" s="3" t="s">
        <v>1024</v>
      </c>
      <c r="F239" s="3" t="s">
        <v>1025</v>
      </c>
      <c r="G239" s="3" t="s">
        <v>1026</v>
      </c>
      <c r="H239" s="5">
        <v>336073434442955</v>
      </c>
      <c r="I239" s="5">
        <v>323105793870588</v>
      </c>
      <c r="J239" s="5">
        <v>347413691005353</v>
      </c>
      <c r="K239" s="5">
        <v>362412549819156</v>
      </c>
      <c r="L239" s="5">
        <v>363520118904046</v>
      </c>
      <c r="M239" s="5">
        <v>387126716182249</v>
      </c>
      <c r="N239" s="5">
        <v>374922675722115</v>
      </c>
      <c r="O239" s="5">
        <v>372737512205744</v>
      </c>
      <c r="P239" s="5">
        <v>422695420685367</v>
      </c>
      <c r="Q239" s="5">
        <v>453883356072406</v>
      </c>
      <c r="R239" s="5">
        <v>448140239905609</v>
      </c>
      <c r="S239" s="5">
        <v>46215472270471</v>
      </c>
      <c r="T239" s="5">
        <v>437958237957037</v>
      </c>
      <c r="U239" s="5">
        <v>468823285911288</v>
      </c>
      <c r="V239" s="5">
        <v>41612011212299</v>
      </c>
      <c r="W239" s="5">
        <v>459358671153031</v>
      </c>
      <c r="X239" s="5">
        <v>437547487934201</v>
      </c>
      <c r="Y239" s="5">
        <v>406156356007089</v>
      </c>
      <c r="Z239" s="5">
        <v>376160537111898</v>
      </c>
      <c r="AA239" s="5">
        <v>362533763700052</v>
      </c>
      <c r="AB239" s="5">
        <v>346050598638925</v>
      </c>
      <c r="AC239" s="5">
        <v>37161542663556</v>
      </c>
      <c r="AD239" s="5">
        <v>339240833235709</v>
      </c>
      <c r="AE239" s="5">
        <v>30655633958885</v>
      </c>
      <c r="AF239" s="5">
        <v>497855023283965</v>
      </c>
      <c r="AG239" s="5">
        <v>553468029167465</v>
      </c>
      <c r="AH239" s="5">
        <v>543658786811571</v>
      </c>
      <c r="AI239" s="5">
        <v>634215674905835</v>
      </c>
      <c r="AJ239" s="5">
        <v>687268629312141</v>
      </c>
      <c r="AK239" s="5">
        <v>74724636703563</v>
      </c>
      <c r="AL239" s="5">
        <v>819640936280925</v>
      </c>
      <c r="AM239" s="5">
        <v>83181448615545</v>
      </c>
      <c r="AN239" s="5">
        <v>843560267662627</v>
      </c>
      <c r="AO239" s="5">
        <v>779061595976069</v>
      </c>
      <c r="AP239" s="5">
        <v>775559599875</v>
      </c>
      <c r="AQ239" s="5"/>
      <c r="AR239" s="5"/>
      <c r="AS239" s="5"/>
      <c r="AT239" s="5"/>
      <c r="AU239" s="5"/>
      <c r="AV239" s="5"/>
      <c r="AW239" s="5"/>
      <c r="AX239" s="5"/>
      <c r="AY239" s="5"/>
      <c r="AZ239" s="5"/>
      <c r="BA239" s="5"/>
    </row>
    <row r="240" spans="1:53" x14ac:dyDescent="0.45">
      <c r="A240" s="1"/>
      <c r="B240" s="2"/>
      <c r="C240" s="1" t="s">
        <v>234</v>
      </c>
      <c r="D240" s="2">
        <v>4165107</v>
      </c>
      <c r="E240" s="3" t="s">
        <v>1027</v>
      </c>
      <c r="F240" s="3" t="s">
        <v>1028</v>
      </c>
      <c r="G240" s="3" t="s">
        <v>536</v>
      </c>
      <c r="H240" s="5">
        <v>83585944310413</v>
      </c>
      <c r="I240" s="5">
        <v>797163962345633</v>
      </c>
      <c r="J240" s="5">
        <v>814876989058165</v>
      </c>
      <c r="K240" s="5">
        <v>808428083720098</v>
      </c>
      <c r="L240" s="5">
        <v>752364165806574</v>
      </c>
      <c r="M240" s="5">
        <v>772812390347919</v>
      </c>
      <c r="N240" s="5">
        <v>75286433699229</v>
      </c>
      <c r="O240" s="5">
        <v>75706207900338</v>
      </c>
      <c r="P240" s="5">
        <v>793597514122946</v>
      </c>
      <c r="Q240" s="5">
        <v>771833744705845</v>
      </c>
      <c r="R240" s="5">
        <v>768916578538188</v>
      </c>
      <c r="S240" s="5">
        <v>723183517990937</v>
      </c>
      <c r="T240" s="5">
        <v>655368846348858</v>
      </c>
      <c r="U240" s="5">
        <v>65064216285882</v>
      </c>
      <c r="V240" s="5">
        <v>577693979431272</v>
      </c>
      <c r="W240" s="5">
        <v>564368543523316</v>
      </c>
      <c r="X240" s="5">
        <v>59819444269014</v>
      </c>
      <c r="Y240" s="5">
        <v>576632329344998</v>
      </c>
      <c r="Z240" s="5">
        <v>498325598732026</v>
      </c>
      <c r="AA240" s="5">
        <v>544422458828783</v>
      </c>
      <c r="AB240" s="5">
        <v>52976816384988</v>
      </c>
      <c r="AC240" s="5">
        <v>541154504128725</v>
      </c>
      <c r="AD240" s="5">
        <v>58537021626045</v>
      </c>
      <c r="AE240" s="5">
        <v>66708341090925</v>
      </c>
      <c r="AF240" s="5">
        <v>74383989137205</v>
      </c>
      <c r="AG240" s="5">
        <v>704919075420613</v>
      </c>
      <c r="AH240" s="5">
        <v>677203312261856</v>
      </c>
      <c r="AI240" s="5">
        <v>76759238959877</v>
      </c>
      <c r="AJ240" s="5">
        <v>974346276120368</v>
      </c>
      <c r="AK240" s="5">
        <v>9065159452125</v>
      </c>
      <c r="AL240" s="5">
        <v>9240732504675</v>
      </c>
      <c r="AM240" s="5">
        <v>880798426496687</v>
      </c>
      <c r="AN240" s="5">
        <v>92048588165855</v>
      </c>
      <c r="AO240" s="5">
        <v>883465742006987</v>
      </c>
      <c r="AP240" s="5">
        <v>911565566394</v>
      </c>
      <c r="AQ240" s="5"/>
      <c r="AR240" s="5"/>
      <c r="AS240" s="5"/>
      <c r="AT240" s="5"/>
      <c r="AU240" s="5"/>
      <c r="AV240" s="5"/>
      <c r="AW240" s="5"/>
      <c r="AX240" s="5"/>
      <c r="AY240" s="5"/>
      <c r="AZ240" s="5"/>
      <c r="BA240" s="5"/>
    </row>
    <row r="241" spans="1:53" x14ac:dyDescent="0.45">
      <c r="A241" s="1"/>
      <c r="B241" s="2"/>
      <c r="C241" s="1" t="s">
        <v>235</v>
      </c>
      <c r="D241" s="2">
        <v>4069171</v>
      </c>
      <c r="E241" s="3" t="s">
        <v>1029</v>
      </c>
      <c r="F241" s="3" t="s">
        <v>1030</v>
      </c>
      <c r="G241" s="3" t="s">
        <v>560</v>
      </c>
      <c r="H241" s="5">
        <v>137123013138453</v>
      </c>
      <c r="I241" s="5">
        <v>13453518897484</v>
      </c>
      <c r="J241" s="5">
        <v>146579103360385</v>
      </c>
      <c r="K241" s="5">
        <v>14071566103561</v>
      </c>
      <c r="L241" s="5">
        <v>123741365136266</v>
      </c>
      <c r="M241" s="5">
        <v>123207959618</v>
      </c>
      <c r="N241" s="5">
        <v>125734868114</v>
      </c>
      <c r="O241" s="5">
        <v>145097056</v>
      </c>
      <c r="P241" s="5">
        <v>141315729499469</v>
      </c>
      <c r="Q241" s="5">
        <v>1393478029272</v>
      </c>
      <c r="R241" s="5">
        <v>133052861592</v>
      </c>
      <c r="S241" s="5">
        <v>123614666884328</v>
      </c>
      <c r="T241" s="5">
        <v>116509922159208</v>
      </c>
      <c r="U241" s="5">
        <v>118065412344845</v>
      </c>
      <c r="V241" s="5">
        <v>107125796039784</v>
      </c>
      <c r="W241" s="5">
        <v>969457583448</v>
      </c>
      <c r="X241" s="5">
        <v>969192008597405</v>
      </c>
      <c r="Y241" s="5">
        <v>10550390229295</v>
      </c>
      <c r="Z241" s="5">
        <v>10270314340875</v>
      </c>
      <c r="AA241" s="5">
        <v>10203871171065</v>
      </c>
      <c r="AB241" s="5">
        <v>950881718308318</v>
      </c>
      <c r="AC241" s="5">
        <v>970694449400448</v>
      </c>
      <c r="AD241" s="5">
        <v>963701238798144</v>
      </c>
      <c r="AE241" s="5">
        <v>995775829399718</v>
      </c>
      <c r="AF241" s="5">
        <v>981166306570438</v>
      </c>
      <c r="AG241" s="5">
        <v>949206694677377</v>
      </c>
      <c r="AH241" s="5">
        <v>70158198443575</v>
      </c>
      <c r="AI241" s="5">
        <v>70472544927718</v>
      </c>
      <c r="AJ241" s="5">
        <v>767912240260891</v>
      </c>
      <c r="AK241" s="5">
        <v>807002063576651</v>
      </c>
      <c r="AL241" s="5">
        <v>869318205224549</v>
      </c>
      <c r="AM241" s="5">
        <v>83995495638705</v>
      </c>
      <c r="AN241" s="5">
        <v>882607653377524</v>
      </c>
      <c r="AO241" s="5">
        <v>942319838603058</v>
      </c>
      <c r="AP241" s="5">
        <v>885662598361883</v>
      </c>
      <c r="AQ241" s="5"/>
      <c r="AR241" s="5"/>
      <c r="AS241" s="5"/>
      <c r="AT241" s="5"/>
      <c r="AU241" s="5"/>
      <c r="AV241" s="5"/>
      <c r="AW241" s="5"/>
      <c r="AX241" s="5"/>
      <c r="AY241" s="5"/>
      <c r="AZ241" s="5"/>
      <c r="BA241" s="5"/>
    </row>
    <row r="242" spans="1:53" x14ac:dyDescent="0.45">
      <c r="A242" s="1"/>
      <c r="B242" s="2"/>
      <c r="C242" s="1" t="s">
        <v>236</v>
      </c>
      <c r="D242" s="2">
        <v>4104164</v>
      </c>
      <c r="E242" s="3" t="s">
        <v>1031</v>
      </c>
      <c r="F242" s="3" t="s">
        <v>1032</v>
      </c>
      <c r="G242" s="3" t="s">
        <v>600</v>
      </c>
      <c r="H242" s="5">
        <v>14061626385366</v>
      </c>
      <c r="I242" s="5">
        <v>144633954151575</v>
      </c>
      <c r="J242" s="5">
        <v>14265430717734</v>
      </c>
      <c r="K242" s="5">
        <v>132705318953031</v>
      </c>
      <c r="L242" s="5">
        <v>123947501778851</v>
      </c>
      <c r="M242" s="5">
        <v>1184084948845</v>
      </c>
      <c r="N242" s="5">
        <v>116556468642</v>
      </c>
      <c r="O242" s="5">
        <v>12169348784</v>
      </c>
      <c r="P242" s="5">
        <v>127812967957984</v>
      </c>
      <c r="Q242" s="5">
        <v>129514436030083</v>
      </c>
      <c r="R242" s="5">
        <v>128849930243538</v>
      </c>
      <c r="S242" s="5">
        <v>1182913904796</v>
      </c>
      <c r="T242" s="5">
        <v>1206383859668</v>
      </c>
      <c r="U242" s="5">
        <v>121754332128</v>
      </c>
      <c r="V242" s="5">
        <v>1005881931032</v>
      </c>
      <c r="W242" s="5">
        <v>1007187337467</v>
      </c>
      <c r="X242" s="5">
        <v>103609252961993</v>
      </c>
      <c r="Y242" s="5">
        <v>966914057137</v>
      </c>
      <c r="Z242" s="5">
        <v>937140744204</v>
      </c>
      <c r="AA242" s="5">
        <v>8828237665955</v>
      </c>
      <c r="AB242" s="5">
        <v>870843198975048</v>
      </c>
      <c r="AC242" s="5">
        <v>895282641376605</v>
      </c>
      <c r="AD242" s="5">
        <v>999949466313738</v>
      </c>
      <c r="AE242" s="5">
        <v>995468722260567</v>
      </c>
      <c r="AF242" s="5">
        <v>978965654107635</v>
      </c>
      <c r="AG242" s="5">
        <v>890321584211646</v>
      </c>
      <c r="AH242" s="5">
        <v>813236483453644</v>
      </c>
      <c r="AI242" s="5">
        <v>850892000632394</v>
      </c>
      <c r="AJ242" s="5">
        <v>927812703791288</v>
      </c>
      <c r="AK242" s="5">
        <v>853323985403379</v>
      </c>
      <c r="AL242" s="5">
        <v>892073103743031</v>
      </c>
      <c r="AM242" s="5">
        <v>746266477122</v>
      </c>
      <c r="AN242" s="5">
        <v>7633353919774</v>
      </c>
      <c r="AO242" s="5">
        <v>7213250622052</v>
      </c>
      <c r="AP242" s="5">
        <v>621906536532949</v>
      </c>
      <c r="AQ242" s="5"/>
      <c r="AR242" s="5"/>
      <c r="AS242" s="5"/>
      <c r="AT242" s="5"/>
      <c r="AU242" s="5"/>
      <c r="AV242" s="5"/>
      <c r="AW242" s="5"/>
      <c r="AX242" s="5"/>
      <c r="AY242" s="5"/>
      <c r="AZ242" s="5"/>
      <c r="BA242" s="5"/>
    </row>
    <row r="243" spans="1:53" x14ac:dyDescent="0.45">
      <c r="A243" s="1"/>
      <c r="B243" s="2"/>
      <c r="C243" s="1" t="s">
        <v>237</v>
      </c>
      <c r="D243" s="2">
        <v>4069312</v>
      </c>
      <c r="E243" s="3" t="s">
        <v>1033</v>
      </c>
      <c r="F243" s="3" t="s">
        <v>1034</v>
      </c>
      <c r="G243" s="3" t="s">
        <v>766</v>
      </c>
      <c r="H243" s="5">
        <v>135231046704</v>
      </c>
      <c r="I243" s="5">
        <v>135291506742</v>
      </c>
      <c r="J243" s="5">
        <v>13441355402</v>
      </c>
      <c r="K243" s="5">
        <v>130034959906</v>
      </c>
      <c r="L243" s="5">
        <v>134478031086</v>
      </c>
      <c r="M243" s="5">
        <v>137936343105</v>
      </c>
      <c r="N243" s="5">
        <v>13821109533</v>
      </c>
      <c r="O243" s="5">
        <v>12655533</v>
      </c>
      <c r="P243" s="5">
        <v>13158815241</v>
      </c>
      <c r="Q243" s="5">
        <v>13743349504648</v>
      </c>
      <c r="R243" s="5">
        <v>13762716084</v>
      </c>
      <c r="S243" s="5">
        <v>12810357921</v>
      </c>
      <c r="T243" s="5">
        <v>12526280522</v>
      </c>
      <c r="U243" s="5">
        <v>122625723</v>
      </c>
      <c r="V243" s="5">
        <v>11779102248</v>
      </c>
      <c r="W243" s="5">
        <v>125122190886</v>
      </c>
      <c r="X243" s="5">
        <v>1256582167995</v>
      </c>
      <c r="Y243" s="5">
        <v>127771904106</v>
      </c>
      <c r="Z243" s="5">
        <v>120116860416</v>
      </c>
      <c r="AA243" s="5">
        <v>11772873984</v>
      </c>
      <c r="AB243" s="5">
        <v>1117101020022</v>
      </c>
      <c r="AC243" s="5">
        <v>102832136604</v>
      </c>
      <c r="AD243" s="5">
        <v>10507419153</v>
      </c>
      <c r="AE243" s="5">
        <v>11520762836</v>
      </c>
      <c r="AF243" s="5">
        <v>116424211244</v>
      </c>
      <c r="AG243" s="5">
        <v>112642450228</v>
      </c>
      <c r="AH243" s="5">
        <v>97777710761</v>
      </c>
      <c r="AI243" s="5">
        <v>105805926765</v>
      </c>
      <c r="AJ243" s="5">
        <v>115907842761</v>
      </c>
      <c r="AK243" s="5">
        <v>109300067205333</v>
      </c>
      <c r="AL243" s="5">
        <v>107939042254637</v>
      </c>
      <c r="AM243" s="5">
        <v>1072626047892</v>
      </c>
      <c r="AN243" s="5">
        <v>1177229891295</v>
      </c>
      <c r="AO243" s="5">
        <v>1100534784165</v>
      </c>
      <c r="AP243" s="5">
        <v>85908095325</v>
      </c>
      <c r="AQ243" s="5"/>
      <c r="AR243" s="5"/>
      <c r="AS243" s="5"/>
      <c r="AT243" s="5"/>
      <c r="AU243" s="5"/>
      <c r="AV243" s="5"/>
      <c r="AW243" s="5"/>
      <c r="AX243" s="5"/>
      <c r="AY243" s="5"/>
      <c r="AZ243" s="5"/>
      <c r="BA243" s="5"/>
    </row>
    <row r="244" spans="1:53" x14ac:dyDescent="0.45">
      <c r="A244" s="1"/>
      <c r="B244" s="2"/>
      <c r="C244" s="1" t="s">
        <v>238</v>
      </c>
      <c r="D244" s="2">
        <v>4069378</v>
      </c>
      <c r="E244" s="3" t="s">
        <v>1035</v>
      </c>
      <c r="F244" s="3" t="s">
        <v>1036</v>
      </c>
      <c r="G244" s="3" t="s">
        <v>560</v>
      </c>
      <c r="H244" s="5">
        <v>24825306520003</v>
      </c>
      <c r="I244" s="5">
        <v>261542382408222</v>
      </c>
      <c r="J244" s="5">
        <v>290145537640642</v>
      </c>
      <c r="K244" s="5">
        <v>25440833401483</v>
      </c>
      <c r="L244" s="5">
        <v>22706577057558</v>
      </c>
      <c r="M244" s="5">
        <v>2188141461863</v>
      </c>
      <c r="N244" s="5">
        <v>1999653524745</v>
      </c>
      <c r="O244" s="5">
        <v>22277120703</v>
      </c>
      <c r="P244" s="5">
        <v>214450885623</v>
      </c>
      <c r="Q244" s="5">
        <v>1954768357248</v>
      </c>
      <c r="R244" s="5">
        <v>181834764912</v>
      </c>
      <c r="S244" s="5">
        <v>173332267806773</v>
      </c>
      <c r="T244" s="5">
        <v>1630873186207</v>
      </c>
      <c r="U244" s="5">
        <v>163310218236</v>
      </c>
      <c r="V244" s="5">
        <v>1439011167112</v>
      </c>
      <c r="W244" s="5">
        <v>135879388590891</v>
      </c>
      <c r="X244" s="5">
        <v>134157990169744</v>
      </c>
      <c r="Y244" s="5">
        <v>128704941119615</v>
      </c>
      <c r="Z244" s="5">
        <v>120804155892</v>
      </c>
      <c r="AA244" s="5">
        <v>118756645098</v>
      </c>
      <c r="AB244" s="5">
        <v>106465450371057</v>
      </c>
      <c r="AC244" s="5">
        <v>107215767373153</v>
      </c>
      <c r="AD244" s="5">
        <v>10520150908788</v>
      </c>
      <c r="AE244" s="5">
        <v>115826038993807</v>
      </c>
      <c r="AF244" s="5">
        <v>117242455942835</v>
      </c>
      <c r="AG244" s="5">
        <v>110092474573592</v>
      </c>
      <c r="AH244" s="5">
        <v>92783535345205</v>
      </c>
      <c r="AI244" s="5">
        <v>102766829389025</v>
      </c>
      <c r="AJ244" s="5">
        <v>110304095045455</v>
      </c>
      <c r="AK244" s="5">
        <v>115628111700633</v>
      </c>
      <c r="AL244" s="5">
        <v>118652323830523</v>
      </c>
      <c r="AM244" s="5">
        <v>106888350405409</v>
      </c>
      <c r="AN244" s="5">
        <v>10415808298022</v>
      </c>
      <c r="AO244" s="5">
        <v>117164174080467</v>
      </c>
      <c r="AP244" s="5">
        <v>1078527584862</v>
      </c>
      <c r="AQ244" s="5"/>
      <c r="AR244" s="5"/>
      <c r="AS244" s="5"/>
      <c r="AT244" s="5"/>
      <c r="AU244" s="5"/>
      <c r="AV244" s="5"/>
      <c r="AW244" s="5"/>
      <c r="AX244" s="5"/>
      <c r="AY244" s="5"/>
      <c r="AZ244" s="5"/>
      <c r="BA244" s="5"/>
    </row>
    <row r="245" spans="1:53" x14ac:dyDescent="0.45">
      <c r="A245" s="1"/>
      <c r="B245" s="2"/>
      <c r="C245" s="1" t="s">
        <v>239</v>
      </c>
      <c r="D245" s="2">
        <v>4107929</v>
      </c>
      <c r="E245" s="3" t="s">
        <v>1037</v>
      </c>
      <c r="F245" s="3" t="s">
        <v>1038</v>
      </c>
      <c r="G245" s="3" t="s">
        <v>1039</v>
      </c>
      <c r="H245" s="5">
        <v>457460836692727</v>
      </c>
      <c r="I245" s="5">
        <v>459923506020681</v>
      </c>
      <c r="J245" s="5">
        <v>430821671144</v>
      </c>
      <c r="K245" s="5">
        <v>4295742026432</v>
      </c>
      <c r="L245" s="5">
        <v>4145491328412</v>
      </c>
      <c r="M245" s="5">
        <v>4141677386295</v>
      </c>
      <c r="N245" s="5">
        <v>4436679120795</v>
      </c>
      <c r="O245" s="5">
        <v>41693763339</v>
      </c>
      <c r="P245" s="5">
        <v>4289430749994</v>
      </c>
      <c r="Q245" s="5">
        <v>4237672629736</v>
      </c>
      <c r="R245" s="5">
        <v>395987340626289</v>
      </c>
      <c r="S245" s="5">
        <v>387020549595138</v>
      </c>
      <c r="T245" s="5">
        <v>401868897854151</v>
      </c>
      <c r="U245" s="5">
        <v>470896119561549</v>
      </c>
      <c r="V245" s="5">
        <v>419436487664858</v>
      </c>
      <c r="W245" s="5">
        <v>406575729172409</v>
      </c>
      <c r="X245" s="5">
        <v>357733227521722</v>
      </c>
      <c r="Y245" s="5">
        <v>360009165161277</v>
      </c>
      <c r="Z245" s="5">
        <v>311017155611485</v>
      </c>
      <c r="AA245" s="5">
        <v>329985919630004</v>
      </c>
      <c r="AB245" s="5">
        <v>31309919293466</v>
      </c>
      <c r="AC245" s="5">
        <v>35350933202364</v>
      </c>
      <c r="AD245" s="5">
        <v>331516193861287</v>
      </c>
      <c r="AE245" s="5">
        <v>321068730532934</v>
      </c>
      <c r="AF245" s="5">
        <v>331721629844831</v>
      </c>
      <c r="AG245" s="5">
        <v>357812329343882</v>
      </c>
      <c r="AH245" s="5">
        <v>271143850319669</v>
      </c>
      <c r="AI245" s="5">
        <v>328912720480649</v>
      </c>
      <c r="AJ245" s="5">
        <v>4048470104773</v>
      </c>
      <c r="AK245" s="5">
        <v>37667400098082</v>
      </c>
      <c r="AL245" s="5">
        <v>369642669690036</v>
      </c>
      <c r="AM245" s="5">
        <v>376995985552177</v>
      </c>
      <c r="AN245" s="5">
        <v>408847804566109</v>
      </c>
      <c r="AO245" s="5">
        <v>404956012729792</v>
      </c>
      <c r="AP245" s="5">
        <v>386228110478171</v>
      </c>
      <c r="AQ245" s="5"/>
      <c r="AR245" s="5"/>
      <c r="AS245" s="5"/>
      <c r="AT245" s="5"/>
      <c r="AU245" s="5"/>
      <c r="AV245" s="5"/>
      <c r="AW245" s="5"/>
      <c r="AX245" s="5"/>
      <c r="AY245" s="5"/>
      <c r="AZ245" s="5"/>
      <c r="BA245" s="5"/>
    </row>
    <row r="246" spans="1:53" x14ac:dyDescent="0.45">
      <c r="A246" s="1"/>
      <c r="B246" s="2"/>
      <c r="C246" s="1" t="s">
        <v>240</v>
      </c>
      <c r="D246" s="2">
        <v>4276840</v>
      </c>
      <c r="E246" s="3" t="s">
        <v>1040</v>
      </c>
      <c r="F246" s="3" t="s">
        <v>1041</v>
      </c>
      <c r="G246" s="3" t="s">
        <v>844</v>
      </c>
      <c r="H246" s="5">
        <v>813504727066416</v>
      </c>
      <c r="I246" s="5">
        <v>807541671725334</v>
      </c>
      <c r="J246" s="5">
        <v>81206360600646</v>
      </c>
      <c r="K246" s="5">
        <v>757648926485199</v>
      </c>
      <c r="L246" s="5">
        <v>742607099341884</v>
      </c>
      <c r="M246" s="5">
        <v>684844443593232</v>
      </c>
      <c r="N246" s="5">
        <v>684277236822056</v>
      </c>
      <c r="O246" s="5">
        <v>74683710035532</v>
      </c>
      <c r="P246" s="5">
        <v>727337682750432</v>
      </c>
      <c r="Q246" s="5">
        <v>719734635053952</v>
      </c>
      <c r="R246" s="5">
        <v>75489760295586</v>
      </c>
      <c r="S246" s="5">
        <v>673300991854886</v>
      </c>
      <c r="T246" s="5">
        <v>728436043104703</v>
      </c>
      <c r="U246" s="5">
        <v>72828985946112</v>
      </c>
      <c r="V246" s="5">
        <v>56801485172314</v>
      </c>
      <c r="W246" s="5">
        <v>576634769100616</v>
      </c>
      <c r="X246" s="5">
        <v>544218478535074</v>
      </c>
      <c r="Y246" s="5">
        <v>325829570612296</v>
      </c>
      <c r="Z246" s="5">
        <v>313251440421788</v>
      </c>
      <c r="AA246" s="5">
        <v>322581341932967</v>
      </c>
      <c r="AB246" s="5">
        <v>314795222148101</v>
      </c>
      <c r="AC246" s="5">
        <v>287116588710749</v>
      </c>
      <c r="AD246" s="5">
        <v>307274014532348</v>
      </c>
      <c r="AE246" s="5">
        <v>373452630975959</v>
      </c>
      <c r="AF246" s="5">
        <v>395313054487578</v>
      </c>
      <c r="AG246" s="5">
        <v>343690479808832</v>
      </c>
      <c r="AH246" s="5">
        <v>266748716473234</v>
      </c>
      <c r="AI246" s="5">
        <v>2707200921901</v>
      </c>
      <c r="AJ246" s="5">
        <v>2747251015113</v>
      </c>
      <c r="AK246" s="5">
        <v>269607386746294</v>
      </c>
      <c r="AL246" s="5">
        <v>2880707785125</v>
      </c>
      <c r="AM246" s="5">
        <v>276112843362</v>
      </c>
      <c r="AN246" s="5">
        <v>289520144925839</v>
      </c>
      <c r="AO246" s="5">
        <v>297386538133878</v>
      </c>
      <c r="AP246" s="5">
        <v>271603586291355</v>
      </c>
      <c r="AQ246" s="5"/>
      <c r="AR246" s="5"/>
      <c r="AS246" s="5"/>
      <c r="AT246" s="5"/>
      <c r="AU246" s="5"/>
      <c r="AV246" s="5"/>
      <c r="AW246" s="5"/>
      <c r="AX246" s="5"/>
      <c r="AY246" s="5"/>
      <c r="AZ246" s="5"/>
      <c r="BA246" s="5"/>
    </row>
    <row r="247" spans="1:53" x14ac:dyDescent="0.45">
      <c r="A247" s="1"/>
      <c r="B247" s="2"/>
      <c r="C247" s="1" t="s">
        <v>241</v>
      </c>
      <c r="D247" s="2">
        <v>4054537</v>
      </c>
      <c r="E247" s="3" t="s">
        <v>1042</v>
      </c>
      <c r="F247" s="3" t="s">
        <v>1043</v>
      </c>
      <c r="G247" s="3" t="s">
        <v>769</v>
      </c>
      <c r="H247" s="5">
        <v>123306795282211</v>
      </c>
      <c r="I247" s="5">
        <v>123428346350008</v>
      </c>
      <c r="J247" s="5">
        <v>110426839485965</v>
      </c>
      <c r="K247" s="5">
        <v>102713870236473</v>
      </c>
      <c r="L247" s="5">
        <v>999083728324745</v>
      </c>
      <c r="M247" s="5">
        <v>102222532165771</v>
      </c>
      <c r="N247" s="5">
        <v>107300261936497</v>
      </c>
      <c r="O247" s="5">
        <v>104735018977419</v>
      </c>
      <c r="P247" s="5">
        <v>10640425312459</v>
      </c>
      <c r="Q247" s="5">
        <v>109495402530013</v>
      </c>
      <c r="R247" s="5">
        <v>104978067927213</v>
      </c>
      <c r="S247" s="5">
        <v>945057571441673</v>
      </c>
      <c r="T247" s="5">
        <v>915972782066901</v>
      </c>
      <c r="U247" s="5">
        <v>905525004194712</v>
      </c>
      <c r="V247" s="5">
        <v>856791774068546</v>
      </c>
      <c r="W247" s="5">
        <v>847133429833259</v>
      </c>
      <c r="X247" s="5">
        <v>928356934099318</v>
      </c>
      <c r="Y247" s="5">
        <v>916257469892487</v>
      </c>
      <c r="Z247" s="5">
        <v>86776743353091</v>
      </c>
      <c r="AA247" s="5">
        <v>855357225271955</v>
      </c>
      <c r="AB247" s="5">
        <v>825257380511592</v>
      </c>
      <c r="AC247" s="5">
        <v>792513002255946</v>
      </c>
      <c r="AD247" s="5">
        <v>801827053217746</v>
      </c>
      <c r="AE247" s="5">
        <v>922104843498629</v>
      </c>
      <c r="AF247" s="5">
        <v>991128916862624</v>
      </c>
      <c r="AG247" s="5">
        <v>930595460539674</v>
      </c>
      <c r="AH247" s="5">
        <v>871994443095553</v>
      </c>
      <c r="AI247" s="5">
        <v>921133668807885</v>
      </c>
      <c r="AJ247" s="5">
        <v>97133430206693</v>
      </c>
      <c r="AK247" s="5">
        <v>9180133650474</v>
      </c>
      <c r="AL247" s="5">
        <v>848775282304645</v>
      </c>
      <c r="AM247" s="5">
        <v>813587403725789</v>
      </c>
      <c r="AN247" s="5">
        <v>958434539701556</v>
      </c>
      <c r="AO247" s="5">
        <v>891174696806524</v>
      </c>
      <c r="AP247" s="5">
        <v>791227071435201</v>
      </c>
      <c r="AQ247" s="5"/>
      <c r="AR247" s="5"/>
      <c r="AS247" s="5"/>
      <c r="AT247" s="5"/>
      <c r="AU247" s="5"/>
      <c r="AV247" s="5"/>
      <c r="AW247" s="5"/>
      <c r="AX247" s="5"/>
      <c r="AY247" s="5"/>
      <c r="AZ247" s="5"/>
      <c r="BA247" s="5"/>
    </row>
    <row r="248" spans="1:53" x14ac:dyDescent="0.45">
      <c r="A248" s="1"/>
      <c r="B248" s="2"/>
      <c r="C248" s="1" t="s">
        <v>242</v>
      </c>
      <c r="D248" s="2">
        <v>4021939</v>
      </c>
      <c r="E248" s="3" t="s">
        <v>1044</v>
      </c>
      <c r="F248" s="3" t="s">
        <v>1045</v>
      </c>
      <c r="G248" s="3" t="s">
        <v>466</v>
      </c>
      <c r="H248" s="5">
        <v>724521002804352</v>
      </c>
      <c r="I248" s="5">
        <v>735715347578352</v>
      </c>
      <c r="J248" s="5">
        <v>68584570396728</v>
      </c>
      <c r="K248" s="5">
        <v>638742548931463</v>
      </c>
      <c r="L248" s="5">
        <v>588692782905637</v>
      </c>
      <c r="M248" s="5">
        <v>6120288167454</v>
      </c>
      <c r="N248" s="5">
        <v>68687711386813</v>
      </c>
      <c r="O248" s="5">
        <v>6726178827445</v>
      </c>
      <c r="P248" s="5">
        <v>647764498565301</v>
      </c>
      <c r="Q248" s="5">
        <v>672497643915832</v>
      </c>
      <c r="R248" s="5">
        <v>666536333471868</v>
      </c>
      <c r="S248" s="5">
        <v>625552709347808</v>
      </c>
      <c r="T248" s="5">
        <v>624614757987362</v>
      </c>
      <c r="U248" s="5">
        <v>605432136092146</v>
      </c>
      <c r="V248" s="5">
        <v>573009460705091</v>
      </c>
      <c r="W248" s="5">
        <v>607320943583208</v>
      </c>
      <c r="X248" s="5">
        <v>628127421782911</v>
      </c>
      <c r="Y248" s="5">
        <v>610044161565328</v>
      </c>
      <c r="Z248" s="5">
        <v>559925361421326</v>
      </c>
      <c r="AA248" s="5">
        <v>538173022082772</v>
      </c>
      <c r="AB248" s="5">
        <v>513822074605621</v>
      </c>
      <c r="AC248" s="5">
        <v>531689549716381</v>
      </c>
      <c r="AD248" s="5">
        <v>498903178932122</v>
      </c>
      <c r="AE248" s="5">
        <v>518141829238462</v>
      </c>
      <c r="AF248" s="5">
        <v>579657439071678</v>
      </c>
      <c r="AG248" s="5">
        <v>542638648167352</v>
      </c>
      <c r="AH248" s="5">
        <v>45726655235485</v>
      </c>
      <c r="AI248" s="5">
        <v>474516547609</v>
      </c>
      <c r="AJ248" s="5">
        <v>48122969832545</v>
      </c>
      <c r="AK248" s="5">
        <v>435015467271</v>
      </c>
      <c r="AL248" s="5">
        <v>461638666804</v>
      </c>
      <c r="AM248" s="5">
        <v>425881605492</v>
      </c>
      <c r="AN248" s="5">
        <v>46449174189105</v>
      </c>
      <c r="AO248" s="5">
        <v>4154258722237</v>
      </c>
      <c r="AP248" s="5">
        <v>41832310833</v>
      </c>
      <c r="AQ248" s="5"/>
      <c r="AR248" s="5"/>
      <c r="AS248" s="5"/>
      <c r="AT248" s="5"/>
      <c r="AU248" s="5"/>
      <c r="AV248" s="5"/>
      <c r="AW248" s="5"/>
      <c r="AX248" s="5"/>
      <c r="AY248" s="5"/>
      <c r="AZ248" s="5"/>
      <c r="BA248" s="5"/>
    </row>
    <row r="249" spans="1:53" x14ac:dyDescent="0.45">
      <c r="A249" s="1"/>
      <c r="B249" s="2"/>
      <c r="C249" s="1" t="s">
        <v>243</v>
      </c>
      <c r="D249" s="2">
        <v>4062407</v>
      </c>
      <c r="E249" s="3" t="s">
        <v>1046</v>
      </c>
      <c r="F249" s="3" t="s">
        <v>1047</v>
      </c>
      <c r="G249" s="3" t="s">
        <v>490</v>
      </c>
      <c r="H249" s="5">
        <v>368811394094889</v>
      </c>
      <c r="I249" s="5">
        <v>370039987574188</v>
      </c>
      <c r="J249" s="5">
        <v>359362103907243</v>
      </c>
      <c r="K249" s="5">
        <v>3382320438498</v>
      </c>
      <c r="L249" s="5">
        <v>3168792641238</v>
      </c>
      <c r="M249" s="5">
        <v>315887421748756</v>
      </c>
      <c r="N249" s="5">
        <v>332113835558351</v>
      </c>
      <c r="O249" s="5">
        <v>33596566835</v>
      </c>
      <c r="P249" s="5">
        <v>327319925801641</v>
      </c>
      <c r="Q249" s="5">
        <v>316417513216</v>
      </c>
      <c r="R249" s="5">
        <v>319136853798</v>
      </c>
      <c r="S249" s="5">
        <v>3132393493572</v>
      </c>
      <c r="T249" s="5">
        <v>3168231028893</v>
      </c>
      <c r="U249" s="5">
        <v>32478466482</v>
      </c>
      <c r="V249" s="5">
        <v>304811264353661</v>
      </c>
      <c r="W249" s="5">
        <v>306613780357679</v>
      </c>
      <c r="X249" s="5">
        <v>312260147622783</v>
      </c>
      <c r="Y249" s="5">
        <v>297489401060255</v>
      </c>
      <c r="Z249" s="5">
        <v>2886876142713</v>
      </c>
      <c r="AA249" s="5">
        <v>2815935617778</v>
      </c>
      <c r="AB249" s="5">
        <v>292568251168355</v>
      </c>
      <c r="AC249" s="5">
        <v>2669030113698</v>
      </c>
      <c r="AD249" s="5">
        <v>2632399854597</v>
      </c>
      <c r="AE249" s="5">
        <v>268566026955264</v>
      </c>
      <c r="AF249" s="5">
        <v>304131952270951</v>
      </c>
      <c r="AG249" s="5">
        <v>286958976320311</v>
      </c>
      <c r="AH249" s="5">
        <v>261467372909997</v>
      </c>
      <c r="AI249" s="5">
        <v>270453011848498</v>
      </c>
      <c r="AJ249" s="5">
        <v>29596476533808</v>
      </c>
      <c r="AK249" s="5">
        <v>309431830558174</v>
      </c>
      <c r="AL249" s="5">
        <v>3227454263759</v>
      </c>
      <c r="AM249" s="5">
        <v>314010081051298</v>
      </c>
      <c r="AN249" s="5">
        <v>324372912510841</v>
      </c>
      <c r="AO249" s="5">
        <v>329414924300676</v>
      </c>
      <c r="AP249" s="5">
        <v>311222564875225</v>
      </c>
      <c r="AQ249" s="5"/>
      <c r="AR249" s="5"/>
      <c r="AS249" s="5"/>
      <c r="AT249" s="5"/>
      <c r="AU249" s="5"/>
      <c r="AV249" s="5"/>
      <c r="AW249" s="5"/>
      <c r="AX249" s="5"/>
      <c r="AY249" s="5"/>
      <c r="AZ249" s="5"/>
      <c r="BA249" s="5"/>
    </row>
    <row r="250" spans="1:53" x14ac:dyDescent="0.45">
      <c r="A250" s="1"/>
      <c r="B250" s="2"/>
      <c r="C250" s="1" t="s">
        <v>244</v>
      </c>
      <c r="D250" s="2">
        <v>4121693</v>
      </c>
      <c r="E250" s="3" t="s">
        <v>1048</v>
      </c>
      <c r="F250" s="3" t="s">
        <v>1049</v>
      </c>
      <c r="G250" s="3" t="s">
        <v>1050</v>
      </c>
      <c r="H250" s="5">
        <v>73315321893301</v>
      </c>
      <c r="I250" s="5">
        <v>788023236498664</v>
      </c>
      <c r="J250" s="5">
        <v>775220256894028</v>
      </c>
      <c r="K250" s="5">
        <v>759566925936767</v>
      </c>
      <c r="L250" s="5">
        <v>693657902542802</v>
      </c>
      <c r="M250" s="5">
        <v>650212736795</v>
      </c>
      <c r="N250" s="5">
        <v>628056820025</v>
      </c>
      <c r="O250" s="5">
        <v>6311425121</v>
      </c>
      <c r="P250" s="5">
        <v>606533489952</v>
      </c>
      <c r="Q250" s="5">
        <v>581559843424</v>
      </c>
      <c r="R250" s="5">
        <v>54799394837022</v>
      </c>
      <c r="S250" s="5">
        <v>539566700976</v>
      </c>
      <c r="T250" s="5">
        <v>51263177392</v>
      </c>
      <c r="U250" s="5">
        <v>53271333632</v>
      </c>
      <c r="V250" s="5">
        <v>512710942812734</v>
      </c>
      <c r="W250" s="5">
        <v>496494066202664</v>
      </c>
      <c r="X250" s="5">
        <v>486778351158299</v>
      </c>
      <c r="Y250" s="5">
        <v>498361373157812</v>
      </c>
      <c r="Z250" s="5">
        <v>429411548475</v>
      </c>
      <c r="AA250" s="5">
        <v>4403577448725</v>
      </c>
      <c r="AB250" s="5">
        <v>380594560090579</v>
      </c>
      <c r="AC250" s="5">
        <v>409836925448535</v>
      </c>
      <c r="AD250" s="5">
        <v>424494722901278</v>
      </c>
      <c r="AE250" s="5">
        <v>457773717572876</v>
      </c>
      <c r="AF250" s="5">
        <v>48630667572561</v>
      </c>
      <c r="AG250" s="5">
        <v>500591872209814</v>
      </c>
      <c r="AH250" s="5">
        <v>43590930586922</v>
      </c>
      <c r="AI250" s="5">
        <v>44478214043216</v>
      </c>
      <c r="AJ250" s="5">
        <v>478444044842572</v>
      </c>
      <c r="AK250" s="5">
        <v>497517159023309</v>
      </c>
      <c r="AL250" s="5">
        <v>525331587066</v>
      </c>
      <c r="AM250" s="5">
        <v>451265364396283</v>
      </c>
      <c r="AN250" s="5">
        <v>47323206035955</v>
      </c>
      <c r="AO250" s="5">
        <v>459873650014524</v>
      </c>
      <c r="AP250" s="5">
        <v>422473035308961</v>
      </c>
      <c r="AQ250" s="5"/>
      <c r="AR250" s="5"/>
      <c r="AS250" s="5"/>
      <c r="AT250" s="5"/>
      <c r="AU250" s="5"/>
      <c r="AV250" s="5"/>
      <c r="AW250" s="5"/>
      <c r="AX250" s="5"/>
      <c r="AY250" s="5"/>
      <c r="AZ250" s="5"/>
      <c r="BA250" s="5"/>
    </row>
    <row r="251" spans="1:53" x14ac:dyDescent="0.45">
      <c r="A251" s="1"/>
      <c r="B251" s="2"/>
      <c r="C251" s="1" t="s">
        <v>245</v>
      </c>
      <c r="D251" s="2">
        <v>4004271</v>
      </c>
      <c r="E251" s="3" t="s">
        <v>1051</v>
      </c>
      <c r="F251" s="3" t="s">
        <v>1052</v>
      </c>
      <c r="G251" s="3" t="s">
        <v>600</v>
      </c>
      <c r="H251" s="5">
        <v>762005754</v>
      </c>
      <c r="I251" s="5">
        <v>7637004324</v>
      </c>
      <c r="J251" s="5">
        <v>754421904</v>
      </c>
      <c r="K251" s="5">
        <v>7560784890831</v>
      </c>
      <c r="L251" s="5">
        <v>7406207698281</v>
      </c>
      <c r="M251" s="5">
        <v>7138474511695</v>
      </c>
      <c r="N251" s="5">
        <v>704280357576</v>
      </c>
      <c r="O251" s="5">
        <v>72419537808</v>
      </c>
      <c r="P251" s="5">
        <v>7122274848</v>
      </c>
      <c r="Q251" s="5">
        <v>725310124142688</v>
      </c>
      <c r="R251" s="5">
        <v>729046822752</v>
      </c>
      <c r="S251" s="5">
        <v>6749193853758</v>
      </c>
      <c r="T251" s="5">
        <v>6936833610276</v>
      </c>
      <c r="U251" s="5">
        <v>7351644597</v>
      </c>
      <c r="V251" s="5">
        <v>65415959592</v>
      </c>
      <c r="W251" s="5">
        <v>626015317918826</v>
      </c>
      <c r="X251" s="5">
        <v>639780224763099</v>
      </c>
      <c r="Y251" s="5">
        <v>685114468007583</v>
      </c>
      <c r="Z251" s="5">
        <v>68033820760425</v>
      </c>
      <c r="AA251" s="5">
        <v>64623916825925</v>
      </c>
      <c r="AB251" s="5">
        <v>61479486891</v>
      </c>
      <c r="AC251" s="5">
        <v>601895818035</v>
      </c>
      <c r="AD251" s="5">
        <v>5908368195</v>
      </c>
      <c r="AE251" s="5">
        <v>614409261127236</v>
      </c>
      <c r="AF251" s="5">
        <v>637471897041836</v>
      </c>
      <c r="AG251" s="5">
        <v>612602280652732</v>
      </c>
      <c r="AH251" s="5">
        <v>576849332648835</v>
      </c>
      <c r="AI251" s="5">
        <v>557730713794559</v>
      </c>
      <c r="AJ251" s="5">
        <v>582117363076894</v>
      </c>
      <c r="AK251" s="5">
        <v>52530929816315</v>
      </c>
      <c r="AL251" s="5">
        <v>5397472210523</v>
      </c>
      <c r="AM251" s="5">
        <v>5246450512245</v>
      </c>
      <c r="AN251" s="5">
        <v>597535949904502</v>
      </c>
      <c r="AO251" s="5">
        <v>5598364449302</v>
      </c>
      <c r="AP251" s="5">
        <v>52390500435</v>
      </c>
      <c r="AQ251" s="5"/>
      <c r="AR251" s="5"/>
      <c r="AS251" s="5"/>
      <c r="AT251" s="5"/>
      <c r="AU251" s="5"/>
      <c r="AV251" s="5"/>
      <c r="AW251" s="5"/>
      <c r="AX251" s="5"/>
      <c r="AY251" s="5"/>
      <c r="AZ251" s="5"/>
      <c r="BA251" s="5"/>
    </row>
    <row r="252" spans="1:53" x14ac:dyDescent="0.45">
      <c r="A252" s="1"/>
      <c r="B252" s="2"/>
      <c r="C252" s="1" t="s">
        <v>246</v>
      </c>
      <c r="D252" s="2">
        <v>103455</v>
      </c>
      <c r="E252" s="3" t="s">
        <v>1053</v>
      </c>
      <c r="F252" s="3" t="s">
        <v>1054</v>
      </c>
      <c r="G252" s="3" t="s">
        <v>527</v>
      </c>
      <c r="H252" s="5">
        <v>140257315619816</v>
      </c>
      <c r="I252" s="5">
        <v>142126062866536</v>
      </c>
      <c r="J252" s="5">
        <v>143166165602117</v>
      </c>
      <c r="K252" s="5">
        <v>136304471575777</v>
      </c>
      <c r="L252" s="5">
        <v>132031897762724</v>
      </c>
      <c r="M252" s="5">
        <v>139033075687852</v>
      </c>
      <c r="N252" s="5">
        <v>138144525155</v>
      </c>
      <c r="O252" s="5">
        <v>1413210708</v>
      </c>
      <c r="P252" s="5">
        <v>1440580862448</v>
      </c>
      <c r="Q252" s="5">
        <v>14726335331373</v>
      </c>
      <c r="R252" s="5">
        <v>148976145108</v>
      </c>
      <c r="S252" s="5">
        <v>1454510955456</v>
      </c>
      <c r="T252" s="5">
        <v>1494823940064</v>
      </c>
      <c r="U252" s="5">
        <v>14232819744</v>
      </c>
      <c r="V252" s="5">
        <v>132292172928751</v>
      </c>
      <c r="W252" s="5">
        <v>123411698150483</v>
      </c>
      <c r="X252" s="5">
        <v>126585272301558</v>
      </c>
      <c r="Y252" s="5">
        <v>1253976787217</v>
      </c>
      <c r="Z252" s="5">
        <v>1254356726931</v>
      </c>
      <c r="AA252" s="5">
        <v>1233127752208</v>
      </c>
      <c r="AB252" s="5">
        <v>1174554115392</v>
      </c>
      <c r="AC252" s="5">
        <v>113436154575</v>
      </c>
      <c r="AD252" s="5">
        <v>121195066830181</v>
      </c>
      <c r="AE252" s="5">
        <v>125284210761024</v>
      </c>
      <c r="AF252" s="5">
        <v>127084198620227</v>
      </c>
      <c r="AG252" s="5">
        <v>120048366062803</v>
      </c>
      <c r="AH252" s="5">
        <v>117577581870797</v>
      </c>
      <c r="AI252" s="5">
        <v>118149400754729</v>
      </c>
      <c r="AJ252" s="5">
        <v>128107488974279</v>
      </c>
      <c r="AK252" s="5">
        <v>128393768655437</v>
      </c>
      <c r="AL252" s="5">
        <v>13575811760426</v>
      </c>
      <c r="AM252" s="5">
        <v>1384335782712</v>
      </c>
      <c r="AN252" s="5">
        <v>141454454445401</v>
      </c>
      <c r="AO252" s="5">
        <v>136488390132474</v>
      </c>
      <c r="AP252" s="5">
        <v>126792938575785</v>
      </c>
      <c r="AQ252" s="5"/>
      <c r="AR252" s="5"/>
      <c r="AS252" s="5"/>
      <c r="AT252" s="5"/>
      <c r="AU252" s="5"/>
      <c r="AV252" s="5"/>
      <c r="AW252" s="5"/>
      <c r="AX252" s="5"/>
      <c r="AY252" s="5"/>
      <c r="AZ252" s="5"/>
      <c r="BA252" s="5"/>
    </row>
    <row r="253" spans="1:53" x14ac:dyDescent="0.45">
      <c r="A253" s="1"/>
      <c r="B253" s="2"/>
      <c r="C253" s="1" t="s">
        <v>247</v>
      </c>
      <c r="D253" s="2">
        <v>4004318</v>
      </c>
      <c r="E253" s="3" t="s">
        <v>1055</v>
      </c>
      <c r="F253" s="3" t="s">
        <v>1056</v>
      </c>
      <c r="G253" s="3" t="s">
        <v>1057</v>
      </c>
      <c r="H253" s="5">
        <v>642238286643779</v>
      </c>
      <c r="I253" s="5">
        <v>583016736797042</v>
      </c>
      <c r="J253" s="5">
        <v>571950836577919</v>
      </c>
      <c r="K253" s="5">
        <v>563291122290729</v>
      </c>
      <c r="L253" s="5">
        <v>52080457653</v>
      </c>
      <c r="M253" s="5">
        <v>55443876597</v>
      </c>
      <c r="N253" s="5">
        <v>5736968764035</v>
      </c>
      <c r="O253" s="5">
        <v>597998209</v>
      </c>
      <c r="P253" s="5">
        <v>6678846239312</v>
      </c>
      <c r="Q253" s="5">
        <v>66580497872</v>
      </c>
      <c r="R253" s="5">
        <v>60938681319</v>
      </c>
      <c r="S253" s="5">
        <v>589090568346</v>
      </c>
      <c r="T253" s="5">
        <v>586035133236</v>
      </c>
      <c r="U253" s="5">
        <v>580538598786256</v>
      </c>
      <c r="V253" s="5">
        <v>531893516036</v>
      </c>
      <c r="W253" s="5">
        <v>5618958103449</v>
      </c>
      <c r="X253" s="5">
        <v>60505448388</v>
      </c>
      <c r="Y253" s="5">
        <v>652492902446</v>
      </c>
      <c r="Z253" s="5">
        <v>6316885194165</v>
      </c>
      <c r="AA253" s="5">
        <v>63800258625977</v>
      </c>
      <c r="AB253" s="5">
        <v>5956925193072</v>
      </c>
      <c r="AC253" s="5">
        <v>56569914765</v>
      </c>
      <c r="AD253" s="5">
        <v>606024264905815</v>
      </c>
      <c r="AE253" s="5">
        <v>640699783867148</v>
      </c>
      <c r="AF253" s="5">
        <v>6648775441</v>
      </c>
      <c r="AG253" s="5">
        <v>619468501961405</v>
      </c>
      <c r="AH253" s="5">
        <v>571384448533833</v>
      </c>
      <c r="AI253" s="5">
        <v>573125910530126</v>
      </c>
      <c r="AJ253" s="5">
        <v>585551284372098</v>
      </c>
      <c r="AK253" s="5">
        <v>560752231377278</v>
      </c>
      <c r="AL253" s="5">
        <v>60382876319</v>
      </c>
      <c r="AM253" s="5">
        <v>58538608427475</v>
      </c>
      <c r="AN253" s="5">
        <v>659016743096722</v>
      </c>
      <c r="AO253" s="5">
        <v>6343407984</v>
      </c>
      <c r="AP253" s="5">
        <v>583924410576646</v>
      </c>
      <c r="AQ253" s="5"/>
      <c r="AR253" s="5"/>
      <c r="AS253" s="5"/>
      <c r="AT253" s="5"/>
      <c r="AU253" s="5"/>
      <c r="AV253" s="5"/>
      <c r="AW253" s="5"/>
      <c r="AX253" s="5"/>
      <c r="AY253" s="5"/>
      <c r="AZ253" s="5"/>
      <c r="BA253" s="5"/>
    </row>
    <row r="254" spans="1:53" x14ac:dyDescent="0.45">
      <c r="A254" s="1"/>
      <c r="B254" s="2"/>
      <c r="C254" s="1" t="s">
        <v>248</v>
      </c>
      <c r="D254" s="2">
        <v>4218591</v>
      </c>
      <c r="E254" s="3" t="s">
        <v>1058</v>
      </c>
      <c r="F254" s="3" t="s">
        <v>1059</v>
      </c>
      <c r="G254" s="3" t="s">
        <v>1060</v>
      </c>
      <c r="H254" s="5">
        <v>886058696761173</v>
      </c>
      <c r="I254" s="5">
        <v>761203332627329</v>
      </c>
      <c r="J254" s="5">
        <v>715319350739741</v>
      </c>
      <c r="K254" s="5">
        <v>713053529076652</v>
      </c>
      <c r="L254" s="5">
        <v>656100061028989</v>
      </c>
      <c r="M254" s="5">
        <v>715015446442186</v>
      </c>
      <c r="N254" s="5">
        <v>715004714690779</v>
      </c>
      <c r="O254" s="5">
        <v>58858408574736</v>
      </c>
      <c r="P254" s="5">
        <v>65387179891072</v>
      </c>
      <c r="Q254" s="5">
        <v>664831487904293</v>
      </c>
      <c r="R254" s="5">
        <v>842699180811228</v>
      </c>
      <c r="S254" s="5">
        <v>85759426976412</v>
      </c>
      <c r="T254" s="5">
        <v>843934368999929</v>
      </c>
      <c r="U254" s="5">
        <v>738854885027776</v>
      </c>
      <c r="V254" s="5">
        <v>71586334151456</v>
      </c>
      <c r="W254" s="5">
        <v>743491416123101</v>
      </c>
      <c r="X254" s="5">
        <v>940124976653332</v>
      </c>
      <c r="Y254" s="5">
        <v>951899219760045</v>
      </c>
      <c r="Z254" s="5">
        <v>911002658059784</v>
      </c>
      <c r="AA254" s="5">
        <v>802420948144361</v>
      </c>
      <c r="AB254" s="5">
        <v>785973330273105</v>
      </c>
      <c r="AC254" s="5">
        <v>792868387021934</v>
      </c>
      <c r="AD254" s="5">
        <v>787594447117829</v>
      </c>
      <c r="AE254" s="5">
        <v>669376737611926</v>
      </c>
      <c r="AF254" s="5">
        <v>636199530153363</v>
      </c>
      <c r="AG254" s="5">
        <v>626723353511293</v>
      </c>
      <c r="AH254" s="5">
        <v>637898977922048</v>
      </c>
      <c r="AI254" s="5">
        <v>80834112043386</v>
      </c>
      <c r="AJ254" s="5">
        <v>804844384656926</v>
      </c>
      <c r="AK254" s="5">
        <v>829250192482582</v>
      </c>
      <c r="AL254" s="5">
        <v>773510627727912</v>
      </c>
      <c r="AM254" s="5">
        <v>807144047011323</v>
      </c>
      <c r="AN254" s="5">
        <v>846007176596848</v>
      </c>
      <c r="AO254" s="5">
        <v>866697110396178</v>
      </c>
      <c r="AP254" s="5">
        <v>833099772495528</v>
      </c>
      <c r="AQ254" s="5"/>
      <c r="AR254" s="5"/>
      <c r="AS254" s="5"/>
      <c r="AT254" s="5"/>
      <c r="AU254" s="5"/>
      <c r="AV254" s="5"/>
      <c r="AW254" s="5"/>
      <c r="AX254" s="5"/>
      <c r="AY254" s="5"/>
      <c r="AZ254" s="5"/>
      <c r="BA254" s="5"/>
    </row>
    <row r="255" spans="1:53" x14ac:dyDescent="0.45">
      <c r="A255" s="1"/>
      <c r="B255" s="2"/>
      <c r="C255" s="1" t="s">
        <v>249</v>
      </c>
      <c r="D255" s="2">
        <v>4986300</v>
      </c>
      <c r="E255" s="3" t="s">
        <v>1061</v>
      </c>
      <c r="F255" s="3" t="s">
        <v>1062</v>
      </c>
      <c r="G255" s="3" t="s">
        <v>1063</v>
      </c>
      <c r="H255" s="5">
        <v>362408396007679</v>
      </c>
      <c r="I255" s="5">
        <v>346796028838784</v>
      </c>
      <c r="J255" s="5">
        <v>350802483031001</v>
      </c>
      <c r="K255" s="5">
        <v>331708266382849</v>
      </c>
      <c r="L255" s="5">
        <v>301942361001207</v>
      </c>
      <c r="M255" s="5">
        <v>302557939046263</v>
      </c>
      <c r="N255" s="5">
        <v>29661101835</v>
      </c>
      <c r="O255" s="5">
        <v>287367828</v>
      </c>
      <c r="P255" s="5">
        <v>313353012023091</v>
      </c>
      <c r="Q255" s="5">
        <v>343282296966255</v>
      </c>
      <c r="R255" s="5">
        <v>345967953830868</v>
      </c>
      <c r="S255" s="5">
        <v>352236325182203</v>
      </c>
      <c r="T255" s="5">
        <v>331151388975433</v>
      </c>
      <c r="U255" s="5">
        <v>348199439019186</v>
      </c>
      <c r="V255" s="5">
        <v>301736852464466</v>
      </c>
      <c r="W255" s="5">
        <v>298318575050277</v>
      </c>
      <c r="X255" s="5">
        <v>294199209687154</v>
      </c>
      <c r="Y255" s="5">
        <v>280005061232888</v>
      </c>
      <c r="Z255" s="5">
        <v>2859581270097</v>
      </c>
      <c r="AA255" s="5">
        <v>31196326537624</v>
      </c>
      <c r="AB255" s="5">
        <v>308025779341302</v>
      </c>
      <c r="AC255" s="5">
        <v>319125270405518</v>
      </c>
      <c r="AD255" s="5">
        <v>323851130987143</v>
      </c>
      <c r="AE255" s="5">
        <v>35961427262368</v>
      </c>
      <c r="AF255" s="5">
        <v>407638450743035</v>
      </c>
      <c r="AG255" s="5">
        <v>378680841407623</v>
      </c>
      <c r="AH255" s="5">
        <v>347983845214447</v>
      </c>
      <c r="AI255" s="5">
        <v>355103654622875</v>
      </c>
      <c r="AJ255" s="5">
        <v>395668434543817</v>
      </c>
      <c r="AK255" s="5">
        <v>4375699545672</v>
      </c>
      <c r="AL255" s="5">
        <v>43599193641765</v>
      </c>
      <c r="AM255" s="5">
        <v>437657797850627</v>
      </c>
      <c r="AN255" s="5">
        <v>389843341263978</v>
      </c>
      <c r="AO255" s="5">
        <v>36558063453857</v>
      </c>
      <c r="AP255" s="5">
        <v>350737770681853</v>
      </c>
      <c r="AQ255" s="5"/>
      <c r="AR255" s="5"/>
      <c r="AS255" s="5"/>
      <c r="AT255" s="5"/>
      <c r="AU255" s="5"/>
      <c r="AV255" s="5"/>
      <c r="AW255" s="5"/>
      <c r="AX255" s="5"/>
      <c r="AY255" s="5"/>
      <c r="AZ255" s="5"/>
      <c r="BA255" s="5"/>
    </row>
    <row r="256" spans="1:53" x14ac:dyDescent="0.45">
      <c r="A256" s="1"/>
      <c r="B256" s="2"/>
      <c r="C256" s="1" t="s">
        <v>250</v>
      </c>
      <c r="D256" s="2">
        <v>100253</v>
      </c>
      <c r="E256" s="3" t="s">
        <v>1064</v>
      </c>
      <c r="F256" s="3" t="s">
        <v>1065</v>
      </c>
      <c r="G256" s="3" t="s">
        <v>607</v>
      </c>
      <c r="H256" s="5">
        <v>214334593040532</v>
      </c>
      <c r="I256" s="5">
        <v>213532109825296</v>
      </c>
      <c r="J256" s="5">
        <v>2167325726013</v>
      </c>
      <c r="K256" s="5">
        <v>207016273195884</v>
      </c>
      <c r="L256" s="5">
        <v>189174849978724</v>
      </c>
      <c r="M256" s="5">
        <v>21116397065725</v>
      </c>
      <c r="N256" s="5">
        <v>218403000655</v>
      </c>
      <c r="O256" s="5">
        <v>21426282038</v>
      </c>
      <c r="P256" s="5">
        <v>21934598761738</v>
      </c>
      <c r="Q256" s="5">
        <v>2224960954496</v>
      </c>
      <c r="R256" s="5">
        <v>242487425358</v>
      </c>
      <c r="S256" s="5">
        <v>23534053784847</v>
      </c>
      <c r="T256" s="5">
        <v>2297626085195</v>
      </c>
      <c r="U256" s="5">
        <v>21112730562</v>
      </c>
      <c r="V256" s="5">
        <v>17355266334924</v>
      </c>
      <c r="W256" s="5">
        <v>1619251698105</v>
      </c>
      <c r="X256" s="5">
        <v>16640810437405</v>
      </c>
      <c r="Y256" s="5">
        <v>16190514961824</v>
      </c>
      <c r="Z256" s="5">
        <v>169271723565</v>
      </c>
      <c r="AA256" s="5">
        <v>17072899275</v>
      </c>
      <c r="AB256" s="5">
        <v>164263643072475</v>
      </c>
      <c r="AC256" s="5">
        <v>15018478213725</v>
      </c>
      <c r="AD256" s="5">
        <v>162509263812</v>
      </c>
      <c r="AE256" s="5">
        <v>148720049156703</v>
      </c>
      <c r="AF256" s="5">
        <v>158123145157282</v>
      </c>
      <c r="AG256" s="5">
        <v>144867291462391</v>
      </c>
      <c r="AH256" s="5">
        <v>145593862088283</v>
      </c>
      <c r="AI256" s="5">
        <v>140644676213328</v>
      </c>
      <c r="AJ256" s="5">
        <v>158002385243275</v>
      </c>
      <c r="AK256" s="5">
        <v>149133866099461</v>
      </c>
      <c r="AL256" s="5">
        <v>1464529080164</v>
      </c>
      <c r="AM256" s="5">
        <v>14211292915215</v>
      </c>
      <c r="AN256" s="5">
        <v>157059639652</v>
      </c>
      <c r="AO256" s="5">
        <v>1434315354505</v>
      </c>
      <c r="AP256" s="5">
        <v>1326603598038</v>
      </c>
      <c r="AQ256" s="5"/>
      <c r="AR256" s="5"/>
      <c r="AS256" s="5"/>
      <c r="AT256" s="5"/>
      <c r="AU256" s="5"/>
      <c r="AV256" s="5"/>
      <c r="AW256" s="5"/>
      <c r="AX256" s="5"/>
      <c r="AY256" s="5"/>
      <c r="AZ256" s="5"/>
      <c r="BA256" s="5"/>
    </row>
    <row r="257" spans="1:53" x14ac:dyDescent="0.45">
      <c r="A257" s="1"/>
      <c r="B257" s="2"/>
      <c r="C257" s="1" t="s">
        <v>251</v>
      </c>
      <c r="D257" s="2">
        <v>4136924</v>
      </c>
      <c r="E257" s="3" t="s">
        <v>1066</v>
      </c>
      <c r="F257" s="3" t="s">
        <v>1067</v>
      </c>
      <c r="G257" s="3" t="s">
        <v>1068</v>
      </c>
      <c r="H257" s="5">
        <v>268373422485125</v>
      </c>
      <c r="I257" s="5">
        <v>256857967577019</v>
      </c>
      <c r="J257" s="5">
        <v>250636812677522</v>
      </c>
      <c r="K257" s="5">
        <v>240213860583389</v>
      </c>
      <c r="L257" s="5">
        <v>223602946903163</v>
      </c>
      <c r="M257" s="5">
        <v>2403880259</v>
      </c>
      <c r="N257" s="5">
        <v>237930554623302</v>
      </c>
      <c r="O257" s="5">
        <v>240256339697556</v>
      </c>
      <c r="P257" s="5">
        <v>24264667908</v>
      </c>
      <c r="Q257" s="5">
        <v>249500189339005</v>
      </c>
      <c r="R257" s="5">
        <v>246597073482528</v>
      </c>
      <c r="S257" s="5">
        <v>235025204278047</v>
      </c>
      <c r="T257" s="5">
        <v>251749661919739</v>
      </c>
      <c r="U257" s="5">
        <v>234777051966939</v>
      </c>
      <c r="V257" s="5">
        <v>209920102343565</v>
      </c>
      <c r="W257" s="5">
        <v>190939905220933</v>
      </c>
      <c r="X257" s="5">
        <v>201635141221399</v>
      </c>
      <c r="Y257" s="5">
        <v>18613098504</v>
      </c>
      <c r="Z257" s="5">
        <v>181103296164645</v>
      </c>
      <c r="AA257" s="5">
        <v>165819755926839</v>
      </c>
      <c r="AB257" s="5">
        <v>1808503206</v>
      </c>
      <c r="AC257" s="5">
        <v>166859263661759</v>
      </c>
      <c r="AD257" s="5">
        <v>205835806383166</v>
      </c>
      <c r="AE257" s="5">
        <v>254397480916594</v>
      </c>
      <c r="AF257" s="5">
        <v>294670630410519</v>
      </c>
      <c r="AG257" s="5">
        <v>2508455922</v>
      </c>
      <c r="AH257" s="5">
        <v>222580109374552</v>
      </c>
      <c r="AI257" s="5">
        <v>22645119353888</v>
      </c>
      <c r="AJ257" s="5">
        <v>265732036185</v>
      </c>
      <c r="AK257" s="5">
        <v>255128674278593</v>
      </c>
      <c r="AL257" s="5">
        <v>25606562356823</v>
      </c>
      <c r="AM257" s="5">
        <v>24035776465365</v>
      </c>
      <c r="AN257" s="5">
        <v>260181863361805</v>
      </c>
      <c r="AO257" s="5">
        <v>2557076860044</v>
      </c>
      <c r="AP257" s="5">
        <v>229790530603732</v>
      </c>
      <c r="AQ257" s="5"/>
      <c r="AR257" s="5"/>
      <c r="AS257" s="5"/>
      <c r="AT257" s="5"/>
      <c r="AU257" s="5"/>
      <c r="AV257" s="5"/>
      <c r="AW257" s="5"/>
      <c r="AX257" s="5"/>
      <c r="AY257" s="5"/>
      <c r="AZ257" s="5"/>
      <c r="BA257" s="5"/>
    </row>
    <row r="258" spans="1:53" x14ac:dyDescent="0.45">
      <c r="A258" s="1"/>
      <c r="B258" s="2"/>
      <c r="C258" s="1" t="s">
        <v>252</v>
      </c>
      <c r="D258" s="2">
        <v>4046286</v>
      </c>
      <c r="E258" s="3" t="s">
        <v>1069</v>
      </c>
      <c r="F258" s="3" t="s">
        <v>1070</v>
      </c>
      <c r="G258" s="3" t="s">
        <v>628</v>
      </c>
      <c r="H258" s="5">
        <v>412107894886362</v>
      </c>
      <c r="I258" s="5">
        <v>388796407235577</v>
      </c>
      <c r="J258" s="5">
        <v>38222713555665</v>
      </c>
      <c r="K258" s="5">
        <v>347434403876203</v>
      </c>
      <c r="L258" s="5">
        <v>324842401189756</v>
      </c>
      <c r="M258" s="5">
        <v>3349585191135</v>
      </c>
      <c r="N258" s="5">
        <v>3331265859635</v>
      </c>
      <c r="O258" s="5">
        <v>363009533674815</v>
      </c>
      <c r="P258" s="5">
        <v>3323880176656</v>
      </c>
      <c r="Q258" s="5">
        <v>3378286628416</v>
      </c>
      <c r="R258" s="5">
        <v>314307801216602</v>
      </c>
      <c r="S258" s="5">
        <v>306131712336</v>
      </c>
      <c r="T258" s="5">
        <v>3058347288672</v>
      </c>
      <c r="U258" s="5">
        <v>291008656224</v>
      </c>
      <c r="V258" s="5">
        <v>24370714944</v>
      </c>
      <c r="W258" s="5">
        <v>232891722936</v>
      </c>
      <c r="X258" s="5">
        <v>162781850616</v>
      </c>
      <c r="Y258" s="5">
        <v>163243470932409</v>
      </c>
      <c r="Z258" s="5">
        <v>1521411647661</v>
      </c>
      <c r="AA258" s="5">
        <v>1508606972366</v>
      </c>
      <c r="AB258" s="5">
        <v>155587482606286</v>
      </c>
      <c r="AC258" s="5">
        <v>159023114972586</v>
      </c>
      <c r="AD258" s="5">
        <v>145451770082777</v>
      </c>
      <c r="AE258" s="5">
        <v>158538052680284</v>
      </c>
      <c r="AF258" s="5">
        <v>172388714642622</v>
      </c>
      <c r="AG258" s="5">
        <v>179033567409924</v>
      </c>
      <c r="AH258" s="5">
        <v>162485512885646</v>
      </c>
      <c r="AI258" s="5">
        <v>16772643597374</v>
      </c>
      <c r="AJ258" s="5">
        <v>174749128800725</v>
      </c>
      <c r="AK258" s="5">
        <v>183621603455561</v>
      </c>
      <c r="AL258" s="5">
        <v>195381123611044</v>
      </c>
      <c r="AM258" s="5">
        <v>196602105296081</v>
      </c>
      <c r="AN258" s="5">
        <v>206759299426792</v>
      </c>
      <c r="AO258" s="5">
        <v>204953099018273</v>
      </c>
      <c r="AP258" s="5">
        <v>186985194565721</v>
      </c>
      <c r="AQ258" s="5"/>
      <c r="AR258" s="5"/>
      <c r="AS258" s="5"/>
      <c r="AT258" s="5"/>
      <c r="AU258" s="5"/>
      <c r="AV258" s="5"/>
      <c r="AW258" s="5"/>
      <c r="AX258" s="5"/>
      <c r="AY258" s="5"/>
      <c r="AZ258" s="5"/>
      <c r="BA258" s="5"/>
    </row>
    <row r="259" spans="1:53" x14ac:dyDescent="0.45">
      <c r="A259" s="1"/>
      <c r="B259" s="2"/>
      <c r="C259" s="1" t="s">
        <v>253</v>
      </c>
      <c r="D259" s="2">
        <v>103442</v>
      </c>
      <c r="E259" s="3" t="s">
        <v>1071</v>
      </c>
      <c r="F259" s="3" t="s">
        <v>1072</v>
      </c>
      <c r="G259" s="3" t="s">
        <v>549</v>
      </c>
      <c r="H259" s="5">
        <v>34592798154347</v>
      </c>
      <c r="I259" s="5">
        <v>359679183866693</v>
      </c>
      <c r="J259" s="5">
        <v>354794298403066</v>
      </c>
      <c r="K259" s="5">
        <v>363439800813932</v>
      </c>
      <c r="L259" s="5">
        <v>336991092918063</v>
      </c>
      <c r="M259" s="5">
        <v>33907387613747</v>
      </c>
      <c r="N259" s="5">
        <v>351335502704</v>
      </c>
      <c r="O259" s="5">
        <v>35491642144</v>
      </c>
      <c r="P259" s="5">
        <v>349816527455462</v>
      </c>
      <c r="Q259" s="5">
        <v>356105905849436</v>
      </c>
      <c r="R259" s="5">
        <v>356476006163218</v>
      </c>
      <c r="S259" s="5">
        <v>3249976914906</v>
      </c>
      <c r="T259" s="5">
        <v>3301220012913</v>
      </c>
      <c r="U259" s="5">
        <v>338058235834</v>
      </c>
      <c r="V259" s="5">
        <v>298204209313841</v>
      </c>
      <c r="W259" s="5">
        <v>31005761526</v>
      </c>
      <c r="X259" s="5">
        <v>3144032079496</v>
      </c>
      <c r="Y259" s="5">
        <v>305394975375</v>
      </c>
      <c r="Z259" s="5">
        <v>321383758806016</v>
      </c>
      <c r="AA259" s="5">
        <v>309509500187305</v>
      </c>
      <c r="AB259" s="5">
        <v>28746937920375</v>
      </c>
      <c r="AC259" s="5">
        <v>27373632674325</v>
      </c>
      <c r="AD259" s="5">
        <v>257093893964651</v>
      </c>
      <c r="AE259" s="5">
        <v>266330551661507</v>
      </c>
      <c r="AF259" s="5">
        <v>273052653781304</v>
      </c>
      <c r="AG259" s="5">
        <v>263681786436323</v>
      </c>
      <c r="AH259" s="5">
        <v>247992692995214</v>
      </c>
      <c r="AI259" s="5">
        <v>254223955971162</v>
      </c>
      <c r="AJ259" s="5">
        <v>27795137043731</v>
      </c>
      <c r="AK259" s="5">
        <v>274062734502291</v>
      </c>
      <c r="AL259" s="5">
        <v>285659178935912</v>
      </c>
      <c r="AM259" s="5">
        <v>2700919424736</v>
      </c>
      <c r="AN259" s="5">
        <v>281110234251485</v>
      </c>
      <c r="AO259" s="5">
        <v>273362428889196</v>
      </c>
      <c r="AP259" s="5">
        <v>257612876581455</v>
      </c>
      <c r="AQ259" s="5"/>
      <c r="AR259" s="5"/>
      <c r="AS259" s="5"/>
      <c r="AT259" s="5"/>
      <c r="AU259" s="5"/>
      <c r="AV259" s="5"/>
      <c r="AW259" s="5"/>
      <c r="AX259" s="5"/>
      <c r="AY259" s="5"/>
      <c r="AZ259" s="5"/>
      <c r="BA259" s="5"/>
    </row>
    <row r="260" spans="1:53" x14ac:dyDescent="0.45">
      <c r="A260" s="1"/>
      <c r="B260" s="2"/>
      <c r="C260" s="1" t="s">
        <v>254</v>
      </c>
      <c r="D260" s="2">
        <v>4095241</v>
      </c>
      <c r="E260" s="3" t="s">
        <v>1073</v>
      </c>
      <c r="F260" s="3" t="s">
        <v>1074</v>
      </c>
      <c r="G260" s="3" t="s">
        <v>756</v>
      </c>
      <c r="H260" s="5">
        <v>115713189074517</v>
      </c>
      <c r="I260" s="5">
        <v>109994837490777</v>
      </c>
      <c r="J260" s="5">
        <v>117054105861101</v>
      </c>
      <c r="K260" s="5">
        <v>109649738022119</v>
      </c>
      <c r="L260" s="5">
        <v>112179397662256</v>
      </c>
      <c r="M260" s="5">
        <v>120331224181466</v>
      </c>
      <c r="N260" s="5">
        <v>122188569463175</v>
      </c>
      <c r="O260" s="5">
        <v>12491781666642</v>
      </c>
      <c r="P260" s="5">
        <v>12657215272437</v>
      </c>
      <c r="Q260" s="5">
        <v>128724732365544</v>
      </c>
      <c r="R260" s="5">
        <v>128294299025844</v>
      </c>
      <c r="S260" s="5">
        <v>135037173000744</v>
      </c>
      <c r="T260" s="5">
        <v>133187165243667</v>
      </c>
      <c r="U260" s="5">
        <v>13175557852149</v>
      </c>
      <c r="V260" s="5">
        <v>107298706831285</v>
      </c>
      <c r="W260" s="5">
        <v>101084682283397</v>
      </c>
      <c r="X260" s="5">
        <v>104156232813887</v>
      </c>
      <c r="Y260" s="5">
        <v>11521389580951</v>
      </c>
      <c r="Z260" s="5">
        <v>109829830319424</v>
      </c>
      <c r="AA260" s="5">
        <v>107908446101581</v>
      </c>
      <c r="AB260" s="5">
        <v>938120039147313</v>
      </c>
      <c r="AC260" s="5">
        <v>844599967230568</v>
      </c>
      <c r="AD260" s="5">
        <v>7675977682737</v>
      </c>
      <c r="AE260" s="5">
        <v>8317629910935</v>
      </c>
      <c r="AF260" s="5">
        <v>985414718277</v>
      </c>
      <c r="AG260" s="5">
        <v>942692766821076</v>
      </c>
      <c r="AH260" s="5">
        <v>912254230677086</v>
      </c>
      <c r="AI260" s="5">
        <v>100370191533298</v>
      </c>
      <c r="AJ260" s="5">
        <v>9578632585663</v>
      </c>
      <c r="AK260" s="5">
        <v>85728268973025</v>
      </c>
      <c r="AL260" s="5">
        <v>91619265124815</v>
      </c>
      <c r="AM260" s="5">
        <v>85764001260375</v>
      </c>
      <c r="AN260" s="5">
        <v>874518644166</v>
      </c>
      <c r="AO260" s="5">
        <v>8530420979621</v>
      </c>
      <c r="AP260" s="5">
        <v>641962352535</v>
      </c>
      <c r="AQ260" s="5"/>
      <c r="AR260" s="5"/>
      <c r="AS260" s="5"/>
      <c r="AT260" s="5"/>
      <c r="AU260" s="5"/>
      <c r="AV260" s="5"/>
      <c r="AW260" s="5"/>
      <c r="AX260" s="5"/>
      <c r="AY260" s="5"/>
      <c r="AZ260" s="5"/>
      <c r="BA260" s="5"/>
    </row>
    <row r="261" spans="1:53" x14ac:dyDescent="0.45">
      <c r="A261" s="1"/>
      <c r="B261" s="2"/>
      <c r="C261" s="1" t="s">
        <v>255</v>
      </c>
      <c r="D261" s="2">
        <v>6331137</v>
      </c>
      <c r="E261" s="3" t="s">
        <v>1075</v>
      </c>
      <c r="F261" s="3" t="s">
        <v>1076</v>
      </c>
      <c r="G261" s="3" t="s">
        <v>466</v>
      </c>
      <c r="H261" s="5">
        <v>11398791768</v>
      </c>
      <c r="I261" s="5">
        <v>112238206605</v>
      </c>
      <c r="J261" s="5">
        <v>1065497587</v>
      </c>
      <c r="K261" s="5">
        <v>104102062594</v>
      </c>
      <c r="L261" s="5">
        <v>97660509618</v>
      </c>
      <c r="M261" s="5">
        <v>10204232397</v>
      </c>
      <c r="N261" s="5">
        <v>105865256465</v>
      </c>
      <c r="O261" s="5">
        <v>1047950525</v>
      </c>
      <c r="P261" s="5">
        <v>107401157916</v>
      </c>
      <c r="Q261" s="5">
        <v>101702790124006</v>
      </c>
      <c r="R261" s="5">
        <v>101928258432</v>
      </c>
      <c r="S261" s="5">
        <v>99085312425</v>
      </c>
      <c r="T261" s="5">
        <v>9719951637</v>
      </c>
      <c r="U261" s="5">
        <v>971582205</v>
      </c>
      <c r="V261" s="5">
        <v>9142758944</v>
      </c>
      <c r="W261" s="5">
        <v>99568934073</v>
      </c>
      <c r="X261" s="5">
        <v>103820763508</v>
      </c>
      <c r="Y261" s="5">
        <v>106497045312</v>
      </c>
      <c r="Z261" s="5">
        <v>927038937825</v>
      </c>
      <c r="AA261" s="5">
        <v>9759115608</v>
      </c>
      <c r="AB261" s="5">
        <v>881390527755</v>
      </c>
      <c r="AC261" s="5">
        <v>85702726314</v>
      </c>
      <c r="AD261" s="5">
        <v>809448291015</v>
      </c>
      <c r="AE261" s="5">
        <v>86483929775</v>
      </c>
      <c r="AF261" s="5">
        <v>939652395495</v>
      </c>
      <c r="AG261" s="5">
        <v>8728521935</v>
      </c>
      <c r="AH261" s="5">
        <v>776039273468787</v>
      </c>
      <c r="AI261" s="5">
        <v>805422726592973</v>
      </c>
      <c r="AJ261" s="5">
        <v>80976619815</v>
      </c>
      <c r="AK261" s="5">
        <v>834643902740162</v>
      </c>
      <c r="AL261" s="5">
        <v>85980690963941</v>
      </c>
      <c r="AM261" s="5">
        <v>824854565673</v>
      </c>
      <c r="AN261" s="5">
        <v>8687484818775</v>
      </c>
      <c r="AO261" s="5">
        <v>81645153390675</v>
      </c>
      <c r="AP261" s="5">
        <v>7838447608206</v>
      </c>
      <c r="AQ261" s="5"/>
      <c r="AR261" s="5"/>
      <c r="AS261" s="5"/>
      <c r="AT261" s="5"/>
      <c r="AU261" s="5"/>
      <c r="AV261" s="5"/>
      <c r="AW261" s="5"/>
      <c r="AX261" s="5"/>
      <c r="AY261" s="5"/>
      <c r="AZ261" s="5"/>
      <c r="BA261" s="5"/>
    </row>
    <row r="262" spans="1:53" x14ac:dyDescent="0.45">
      <c r="A262" s="1"/>
      <c r="B262" s="2"/>
      <c r="C262" s="1" t="s">
        <v>256</v>
      </c>
      <c r="D262" s="2">
        <v>4073702</v>
      </c>
      <c r="E262" s="3" t="s">
        <v>1077</v>
      </c>
      <c r="F262" s="3" t="s">
        <v>1078</v>
      </c>
      <c r="G262" s="3" t="s">
        <v>524</v>
      </c>
      <c r="H262" s="5">
        <v>133447312438615</v>
      </c>
      <c r="I262" s="5">
        <v>13376178953065</v>
      </c>
      <c r="J262" s="5">
        <v>135290257388505</v>
      </c>
      <c r="K262" s="5">
        <v>12722255558402</v>
      </c>
      <c r="L262" s="5">
        <v>119536776503277</v>
      </c>
      <c r="M262" s="5">
        <v>11547565223596</v>
      </c>
      <c r="N262" s="5">
        <v>114102407780678</v>
      </c>
      <c r="O262" s="5">
        <v>117224011370496</v>
      </c>
      <c r="P262" s="5">
        <v>115077127616585</v>
      </c>
      <c r="Q262" s="5">
        <v>113377730542855</v>
      </c>
      <c r="R262" s="5">
        <v>112161164059199</v>
      </c>
      <c r="S262" s="5">
        <v>106517427891</v>
      </c>
      <c r="T262" s="5">
        <v>106574281315003</v>
      </c>
      <c r="U262" s="5">
        <v>105345708234844</v>
      </c>
      <c r="V262" s="5">
        <v>106395454100003</v>
      </c>
      <c r="W262" s="5">
        <v>993892923425403</v>
      </c>
      <c r="X262" s="5">
        <v>951544867066598</v>
      </c>
      <c r="Y262" s="5">
        <v>935662123461545</v>
      </c>
      <c r="Z262" s="5">
        <v>87120104633095</v>
      </c>
      <c r="AA262" s="5">
        <v>946762309754436</v>
      </c>
      <c r="AB262" s="5">
        <v>93045189586766</v>
      </c>
      <c r="AC262" s="5">
        <v>888747015231452</v>
      </c>
      <c r="AD262" s="5">
        <v>91821215142</v>
      </c>
      <c r="AE262" s="5">
        <v>101425200193225</v>
      </c>
      <c r="AF262" s="5">
        <v>104866927906166</v>
      </c>
      <c r="AG262" s="5">
        <v>101566470903528</v>
      </c>
      <c r="AH262" s="5">
        <v>914194675558318</v>
      </c>
      <c r="AI262" s="5">
        <v>933568227593139</v>
      </c>
      <c r="AJ262" s="5">
        <v>998078666789722</v>
      </c>
      <c r="AK262" s="5">
        <v>956905742694926</v>
      </c>
      <c r="AL262" s="5">
        <v>958513463398491</v>
      </c>
      <c r="AM262" s="5">
        <v>918803733184538</v>
      </c>
      <c r="AN262" s="5">
        <v>923541285717786</v>
      </c>
      <c r="AO262" s="5">
        <v>92315436049673</v>
      </c>
      <c r="AP262" s="5">
        <v>837429191884209</v>
      </c>
      <c r="AQ262" s="5"/>
      <c r="AR262" s="5"/>
      <c r="AS262" s="5"/>
      <c r="AT262" s="5"/>
      <c r="AU262" s="5"/>
      <c r="AV262" s="5"/>
      <c r="AW262" s="5"/>
      <c r="AX262" s="5"/>
      <c r="AY262" s="5"/>
      <c r="AZ262" s="5"/>
      <c r="BA262" s="5"/>
    </row>
    <row r="263" spans="1:53" x14ac:dyDescent="0.45">
      <c r="A263" s="1"/>
      <c r="B263" s="2"/>
      <c r="C263" s="1" t="s">
        <v>257</v>
      </c>
      <c r="D263" s="2">
        <v>4219024</v>
      </c>
      <c r="E263" s="3" t="s">
        <v>1079</v>
      </c>
      <c r="F263" s="3" t="s">
        <v>1080</v>
      </c>
      <c r="G263" s="3" t="s">
        <v>734</v>
      </c>
      <c r="H263" s="5">
        <v>111047980424396</v>
      </c>
      <c r="I263" s="5">
        <v>112400130132164</v>
      </c>
      <c r="J263" s="5">
        <v>112022710619026</v>
      </c>
      <c r="K263" s="5">
        <v>11376379800947</v>
      </c>
      <c r="L263" s="5">
        <v>104920379455606</v>
      </c>
      <c r="M263" s="5">
        <v>100744296870023</v>
      </c>
      <c r="N263" s="5">
        <v>10650196718304</v>
      </c>
      <c r="O263" s="5">
        <v>115523973420496</v>
      </c>
      <c r="P263" s="5">
        <v>114280637914554</v>
      </c>
      <c r="Q263" s="5">
        <v>11374025780936</v>
      </c>
      <c r="R263" s="5">
        <v>115967200978076</v>
      </c>
      <c r="S263" s="5">
        <v>110848422286262</v>
      </c>
      <c r="T263" s="5">
        <v>111434122673268</v>
      </c>
      <c r="U263" s="5">
        <v>108906426334121</v>
      </c>
      <c r="V263" s="5">
        <v>110233552084967</v>
      </c>
      <c r="W263" s="5">
        <v>112605574406911</v>
      </c>
      <c r="X263" s="5">
        <v>115770280582037</v>
      </c>
      <c r="Y263" s="5">
        <v>115869502267617</v>
      </c>
      <c r="Z263" s="5">
        <v>121857042693591</v>
      </c>
      <c r="AA263" s="5">
        <v>110804170689262</v>
      </c>
      <c r="AB263" s="5">
        <v>103894581526885</v>
      </c>
      <c r="AC263" s="5">
        <v>10916071788366</v>
      </c>
      <c r="AD263" s="5">
        <v>103298744181299</v>
      </c>
      <c r="AE263" s="5">
        <v>100962223329864</v>
      </c>
      <c r="AF263" s="5">
        <v>104130749842566</v>
      </c>
      <c r="AG263" s="5">
        <v>975639200962646</v>
      </c>
      <c r="AH263" s="5">
        <v>940481776874184</v>
      </c>
      <c r="AI263" s="5">
        <v>904892264838171</v>
      </c>
      <c r="AJ263" s="5">
        <v>949034664312756</v>
      </c>
      <c r="AK263" s="5">
        <v>928782499790801</v>
      </c>
      <c r="AL263" s="5">
        <v>914098112293135</v>
      </c>
      <c r="AM263" s="5">
        <v>8594001633366</v>
      </c>
      <c r="AN263" s="5">
        <v>917799228059733</v>
      </c>
      <c r="AO263" s="5">
        <v>862220556605645</v>
      </c>
      <c r="AP263" s="5">
        <v>814613200114336</v>
      </c>
      <c r="AQ263" s="5"/>
      <c r="AR263" s="5"/>
      <c r="AS263" s="5"/>
      <c r="AT263" s="5"/>
      <c r="AU263" s="5"/>
      <c r="AV263" s="5"/>
      <c r="AW263" s="5"/>
      <c r="AX263" s="5"/>
      <c r="AY263" s="5"/>
      <c r="AZ263" s="5"/>
      <c r="BA263" s="5"/>
    </row>
    <row r="264" spans="1:53" x14ac:dyDescent="0.45">
      <c r="A264" s="1"/>
      <c r="B264" s="2"/>
      <c r="C264" s="1" t="s">
        <v>258</v>
      </c>
      <c r="D264" s="2">
        <v>4095638</v>
      </c>
      <c r="E264" s="3" t="s">
        <v>1081</v>
      </c>
      <c r="F264" s="3" t="s">
        <v>1082</v>
      </c>
      <c r="G264" s="3" t="s">
        <v>698</v>
      </c>
      <c r="H264" s="5">
        <v>114269806660983</v>
      </c>
      <c r="I264" s="5">
        <v>115116157075752</v>
      </c>
      <c r="J264" s="5">
        <v>116133823286538</v>
      </c>
      <c r="K264" s="5">
        <v>107378778875747</v>
      </c>
      <c r="L264" s="5">
        <v>109115240704734</v>
      </c>
      <c r="M264" s="5">
        <v>1072927908903</v>
      </c>
      <c r="N264" s="5">
        <v>1094188602318</v>
      </c>
      <c r="O264" s="5">
        <v>109457461947</v>
      </c>
      <c r="P264" s="5">
        <v>104893768131954</v>
      </c>
      <c r="Q264" s="5">
        <v>9927081965528</v>
      </c>
      <c r="R264" s="5">
        <v>98426406402</v>
      </c>
      <c r="S264" s="5">
        <v>9297437257626</v>
      </c>
      <c r="T264" s="5">
        <v>9839697859616</v>
      </c>
      <c r="U264" s="5">
        <v>962841138512</v>
      </c>
      <c r="V264" s="5">
        <v>8764763959648</v>
      </c>
      <c r="W264" s="5">
        <v>870571481867277</v>
      </c>
      <c r="X264" s="5">
        <v>880095589333524</v>
      </c>
      <c r="Y264" s="5">
        <v>9243064094355</v>
      </c>
      <c r="Z264" s="5">
        <v>9512504391258</v>
      </c>
      <c r="AA264" s="5">
        <v>9628106263218</v>
      </c>
      <c r="AB264" s="5">
        <v>969345657326294</v>
      </c>
      <c r="AC264" s="5">
        <v>972647868087595</v>
      </c>
      <c r="AD264" s="5">
        <v>105037491214752</v>
      </c>
      <c r="AE264" s="5">
        <v>998826573395493</v>
      </c>
      <c r="AF264" s="5">
        <v>992222141117478</v>
      </c>
      <c r="AG264" s="5">
        <v>958705488567823</v>
      </c>
      <c r="AH264" s="5">
        <v>831503599639751</v>
      </c>
      <c r="AI264" s="5">
        <v>798929194845479</v>
      </c>
      <c r="AJ264" s="5">
        <v>866385113029743</v>
      </c>
      <c r="AK264" s="5">
        <v>818083760092373</v>
      </c>
      <c r="AL264" s="5">
        <v>8377924479075</v>
      </c>
      <c r="AM264" s="5">
        <v>827182656100125</v>
      </c>
      <c r="AN264" s="5">
        <v>87175438604856</v>
      </c>
      <c r="AO264" s="5">
        <v>847744774413226</v>
      </c>
      <c r="AP264" s="5">
        <v>796846766826388</v>
      </c>
      <c r="AQ264" s="5"/>
      <c r="AR264" s="5"/>
      <c r="AS264" s="5"/>
      <c r="AT264" s="5"/>
      <c r="AU264" s="5"/>
      <c r="AV264" s="5"/>
      <c r="AW264" s="5"/>
      <c r="AX264" s="5"/>
      <c r="AY264" s="5"/>
      <c r="AZ264" s="5"/>
      <c r="BA264" s="5"/>
    </row>
    <row r="265" spans="1:53" x14ac:dyDescent="0.45">
      <c r="A265" s="1"/>
      <c r="B265" s="2"/>
      <c r="C265" s="1" t="s">
        <v>259</v>
      </c>
      <c r="D265" s="2">
        <v>4069640</v>
      </c>
      <c r="E265" s="3" t="s">
        <v>1083</v>
      </c>
      <c r="F265" s="3" t="s">
        <v>1084</v>
      </c>
      <c r="G265" s="3" t="s">
        <v>663</v>
      </c>
      <c r="H265" s="5">
        <v>270756537185384</v>
      </c>
      <c r="I265" s="5">
        <v>258627739160626</v>
      </c>
      <c r="J265" s="5">
        <v>246914897715443</v>
      </c>
      <c r="K265" s="5">
        <v>273274394732226</v>
      </c>
      <c r="L265" s="5">
        <v>26436887301988</v>
      </c>
      <c r="M265" s="5">
        <v>28878589021795</v>
      </c>
      <c r="N265" s="5">
        <v>304960800947406</v>
      </c>
      <c r="O265" s="5">
        <v>3061215609</v>
      </c>
      <c r="P265" s="5">
        <v>269139292721</v>
      </c>
      <c r="Q265" s="5">
        <v>294013160616</v>
      </c>
      <c r="R265" s="5">
        <v>29988632643</v>
      </c>
      <c r="S265" s="5">
        <v>2734391217525</v>
      </c>
      <c r="T265" s="5">
        <v>3008088675565</v>
      </c>
      <c r="U265" s="5">
        <v>307582467434</v>
      </c>
      <c r="V265" s="5">
        <v>262328491687997</v>
      </c>
      <c r="W265" s="5">
        <v>3348240033375</v>
      </c>
      <c r="X265" s="5">
        <v>373792616088403</v>
      </c>
      <c r="Y265" s="5">
        <v>392995566378778</v>
      </c>
      <c r="Z265" s="5">
        <v>379321236970818</v>
      </c>
      <c r="AA265" s="5">
        <v>3702939178394</v>
      </c>
      <c r="AB265" s="5">
        <v>334953140175381</v>
      </c>
      <c r="AC265" s="5">
        <v>327464534900612</v>
      </c>
      <c r="AD265" s="5">
        <v>340068080025177</v>
      </c>
      <c r="AE265" s="5">
        <v>417877014117081</v>
      </c>
      <c r="AF265" s="5">
        <v>412422784307521</v>
      </c>
      <c r="AG265" s="5">
        <v>373109882604845</v>
      </c>
      <c r="AH265" s="5">
        <v>385315541609589</v>
      </c>
      <c r="AI265" s="5">
        <v>409934975267767</v>
      </c>
      <c r="AJ265" s="5">
        <v>463990546811766</v>
      </c>
      <c r="AK265" s="5">
        <v>467328693877648</v>
      </c>
      <c r="AL265" s="5">
        <v>50050886720933</v>
      </c>
      <c r="AM265" s="5">
        <v>4646469708225</v>
      </c>
      <c r="AN265" s="5">
        <v>4902744037815</v>
      </c>
      <c r="AO265" s="5">
        <v>47492485390275</v>
      </c>
      <c r="AP265" s="5">
        <v>436760263406454</v>
      </c>
      <c r="AQ265" s="5"/>
      <c r="AR265" s="5"/>
      <c r="AS265" s="5"/>
      <c r="AT265" s="5"/>
      <c r="AU265" s="5"/>
      <c r="AV265" s="5"/>
      <c r="AW265" s="5"/>
      <c r="AX265" s="5"/>
      <c r="AY265" s="5"/>
      <c r="AZ265" s="5"/>
      <c r="BA265" s="5"/>
    </row>
    <row r="266" spans="1:53" x14ac:dyDescent="0.45">
      <c r="A266" s="1"/>
      <c r="B266" s="2"/>
      <c r="C266" s="1" t="s">
        <v>260</v>
      </c>
      <c r="D266" s="2">
        <v>4806212</v>
      </c>
      <c r="E266" s="3" t="s">
        <v>1085</v>
      </c>
      <c r="F266" s="3" t="s">
        <v>1086</v>
      </c>
      <c r="G266" s="3" t="s">
        <v>469</v>
      </c>
      <c r="H266" s="5">
        <v>910208456028</v>
      </c>
      <c r="I266" s="5">
        <v>933498772255373</v>
      </c>
      <c r="J266" s="5">
        <v>936925923153858</v>
      </c>
      <c r="K266" s="5">
        <v>891337378689477</v>
      </c>
      <c r="L266" s="5">
        <v>922338653193452</v>
      </c>
      <c r="M266" s="5">
        <v>968286727824466</v>
      </c>
      <c r="N266" s="5">
        <v>105717835189842</v>
      </c>
      <c r="O266" s="5">
        <v>102678968066917</v>
      </c>
      <c r="P266" s="5">
        <v>10439117215143</v>
      </c>
      <c r="Q266" s="5">
        <v>103131400983063</v>
      </c>
      <c r="R266" s="5">
        <v>104649848896678</v>
      </c>
      <c r="S266" s="5">
        <v>967280716642955</v>
      </c>
      <c r="T266" s="5">
        <v>926479860650285</v>
      </c>
      <c r="U266" s="5">
        <v>954467819827784</v>
      </c>
      <c r="V266" s="5">
        <v>103417217183414</v>
      </c>
      <c r="W266" s="5">
        <v>106223530395653</v>
      </c>
      <c r="X266" s="5">
        <v>10888708353083</v>
      </c>
      <c r="Y266" s="5">
        <v>109381107330099</v>
      </c>
      <c r="Z266" s="5">
        <v>108973257040777</v>
      </c>
      <c r="AA266" s="5">
        <v>101316868685529</v>
      </c>
      <c r="AB266" s="5">
        <v>968258504605428</v>
      </c>
      <c r="AC266" s="5">
        <v>100176452334763</v>
      </c>
      <c r="AD266" s="5">
        <v>986579496921199</v>
      </c>
      <c r="AE266" s="5">
        <v>99589699408943</v>
      </c>
      <c r="AF266" s="5">
        <v>100809211453474</v>
      </c>
      <c r="AG266" s="5">
        <v>947607430459721</v>
      </c>
      <c r="AH266" s="5">
        <v>847908510131733</v>
      </c>
      <c r="AI266" s="5">
        <v>912673499513572</v>
      </c>
      <c r="AJ266" s="5">
        <v>100343345624354</v>
      </c>
      <c r="AK266" s="5">
        <v>948054340883286</v>
      </c>
      <c r="AL266" s="5">
        <v>99097688510856</v>
      </c>
      <c r="AM266" s="5">
        <v>947704647274875</v>
      </c>
      <c r="AN266" s="5">
        <v>103464227180453</v>
      </c>
      <c r="AO266" s="5">
        <v>98180831724879</v>
      </c>
      <c r="AP266" s="5">
        <v>897301742463</v>
      </c>
      <c r="AQ266" s="5"/>
      <c r="AR266" s="5"/>
      <c r="AS266" s="5"/>
      <c r="AT266" s="5"/>
      <c r="AU266" s="5"/>
      <c r="AV266" s="5"/>
      <c r="AW266" s="5"/>
      <c r="AX266" s="5"/>
      <c r="AY266" s="5"/>
      <c r="AZ266" s="5"/>
      <c r="BA266" s="5"/>
    </row>
    <row r="267" spans="1:53" x14ac:dyDescent="0.45">
      <c r="A267" s="1"/>
      <c r="B267" s="2"/>
      <c r="C267" s="1" t="s">
        <v>261</v>
      </c>
      <c r="D267" s="2">
        <v>4004265</v>
      </c>
      <c r="E267" s="3" t="s">
        <v>1087</v>
      </c>
      <c r="F267" s="3" t="s">
        <v>1088</v>
      </c>
      <c r="G267" s="3" t="s">
        <v>633</v>
      </c>
      <c r="H267" s="5">
        <v>127671621755499</v>
      </c>
      <c r="I267" s="5">
        <v>126441710164017</v>
      </c>
      <c r="J267" s="5">
        <v>129064707557325</v>
      </c>
      <c r="K267" s="5">
        <v>147756556887948</v>
      </c>
      <c r="L267" s="5">
        <v>146667587029136</v>
      </c>
      <c r="M267" s="5">
        <v>1482516346488</v>
      </c>
      <c r="N267" s="5">
        <v>1536472984566</v>
      </c>
      <c r="O267" s="5">
        <v>158496778164</v>
      </c>
      <c r="P267" s="5">
        <v>15683326466522</v>
      </c>
      <c r="Q267" s="5">
        <v>16314892984656</v>
      </c>
      <c r="R267" s="5">
        <v>170361421744659</v>
      </c>
      <c r="S267" s="5">
        <v>15838703113962</v>
      </c>
      <c r="T267" s="5">
        <v>15375894556414</v>
      </c>
      <c r="U267" s="5">
        <v>1595990891836</v>
      </c>
      <c r="V267" s="5">
        <v>14814924490688</v>
      </c>
      <c r="W267" s="5">
        <v>153532911064365</v>
      </c>
      <c r="X267" s="5">
        <v>155752479861687</v>
      </c>
      <c r="Y267" s="5">
        <v>14531539398901</v>
      </c>
      <c r="Z267" s="5">
        <v>143591347263735</v>
      </c>
      <c r="AA267" s="5">
        <v>13993062343669</v>
      </c>
      <c r="AB267" s="5">
        <v>13262353619166</v>
      </c>
      <c r="AC267" s="5">
        <v>128274715299401</v>
      </c>
      <c r="AD267" s="5">
        <v>130812351939267</v>
      </c>
      <c r="AE267" s="5">
        <v>135861218828005</v>
      </c>
      <c r="AF267" s="5">
        <v>140170539867913</v>
      </c>
      <c r="AG267" s="5">
        <v>139616150474703</v>
      </c>
      <c r="AH267" s="5">
        <v>124652744539651</v>
      </c>
      <c r="AI267" s="5">
        <v>135408566724554</v>
      </c>
      <c r="AJ267" s="5">
        <v>150775428521689</v>
      </c>
      <c r="AK267" s="5">
        <v>144393997036629</v>
      </c>
      <c r="AL267" s="5">
        <v>156743100430517</v>
      </c>
      <c r="AM267" s="5">
        <v>15047927165241</v>
      </c>
      <c r="AN267" s="5">
        <v>151858248718794</v>
      </c>
      <c r="AO267" s="5">
        <v>148178928181511</v>
      </c>
      <c r="AP267" s="5">
        <v>152216710406537</v>
      </c>
      <c r="AQ267" s="5"/>
      <c r="AR267" s="5"/>
      <c r="AS267" s="5"/>
      <c r="AT267" s="5"/>
      <c r="AU267" s="5"/>
      <c r="AV267" s="5"/>
      <c r="AW267" s="5"/>
      <c r="AX267" s="5"/>
      <c r="AY267" s="5"/>
      <c r="AZ267" s="5"/>
      <c r="BA267" s="5"/>
    </row>
    <row r="268" spans="1:53" x14ac:dyDescent="0.45">
      <c r="A268" s="1"/>
      <c r="B268" s="2"/>
      <c r="C268" s="1" t="s">
        <v>262</v>
      </c>
      <c r="D268" s="2">
        <v>4144156</v>
      </c>
      <c r="E268" s="3" t="s">
        <v>1089</v>
      </c>
      <c r="F268" s="3" t="s">
        <v>1090</v>
      </c>
      <c r="G268" s="3" t="s">
        <v>510</v>
      </c>
      <c r="H268" s="5">
        <v>427025704920508</v>
      </c>
      <c r="I268" s="5">
        <v>432320547577146</v>
      </c>
      <c r="J268" s="5">
        <v>449196558110019</v>
      </c>
      <c r="K268" s="5">
        <v>419868723487666</v>
      </c>
      <c r="L268" s="5">
        <v>420573949544159</v>
      </c>
      <c r="M268" s="5">
        <v>417067678157937</v>
      </c>
      <c r="N268" s="5">
        <v>383527261291324</v>
      </c>
      <c r="O268" s="5">
        <v>390672513684231</v>
      </c>
      <c r="P268" s="5">
        <v>399544896120124</v>
      </c>
      <c r="Q268" s="5">
        <v>383920032712243</v>
      </c>
      <c r="R268" s="5">
        <v>368989001949759</v>
      </c>
      <c r="S268" s="5">
        <v>348072287714734</v>
      </c>
      <c r="T268" s="5">
        <v>314118397832176</v>
      </c>
      <c r="U268" s="5">
        <v>322875734016543</v>
      </c>
      <c r="V268" s="5">
        <v>343207746732751</v>
      </c>
      <c r="W268" s="5">
        <v>327701131603873</v>
      </c>
      <c r="X268" s="5">
        <v>324888452762626</v>
      </c>
      <c r="Y268" s="5">
        <v>318525295611539</v>
      </c>
      <c r="Z268" s="5">
        <v>294335237517615</v>
      </c>
      <c r="AA268" s="5">
        <v>305356744594806</v>
      </c>
      <c r="AB268" s="5">
        <v>293653097861461</v>
      </c>
      <c r="AC268" s="5">
        <v>288714653905841</v>
      </c>
      <c r="AD268" s="5">
        <v>295156073333683</v>
      </c>
      <c r="AE268" s="5">
        <v>272521612373212</v>
      </c>
      <c r="AF268" s="5">
        <v>279033569235192</v>
      </c>
      <c r="AG268" s="5">
        <v>260542642466978</v>
      </c>
      <c r="AH268" s="5">
        <v>226967081265783</v>
      </c>
      <c r="AI268" s="5">
        <v>22494897908782</v>
      </c>
      <c r="AJ268" s="5">
        <v>239753825408898</v>
      </c>
      <c r="AK268" s="5">
        <v>216221634615685</v>
      </c>
      <c r="AL268" s="5">
        <v>202625389634442</v>
      </c>
      <c r="AM268" s="5">
        <v>19759115999627</v>
      </c>
      <c r="AN268" s="5">
        <v>214207905990694</v>
      </c>
      <c r="AO268" s="5">
        <v>197132707258367</v>
      </c>
      <c r="AP268" s="5">
        <v>188197948058755</v>
      </c>
      <c r="AQ268" s="5"/>
      <c r="AR268" s="5"/>
      <c r="AS268" s="5"/>
      <c r="AT268" s="5"/>
      <c r="AU268" s="5"/>
      <c r="AV268" s="5"/>
      <c r="AW268" s="5"/>
      <c r="AX268" s="5"/>
      <c r="AY268" s="5"/>
      <c r="AZ268" s="5"/>
      <c r="BA268" s="5"/>
    </row>
    <row r="269" spans="1:53" x14ac:dyDescent="0.45">
      <c r="A269" s="1"/>
      <c r="B269" s="2"/>
      <c r="C269" s="1" t="s">
        <v>263</v>
      </c>
      <c r="D269" s="2">
        <v>4051708</v>
      </c>
      <c r="E269" s="3" t="s">
        <v>1091</v>
      </c>
      <c r="F269" s="3" t="s">
        <v>1092</v>
      </c>
      <c r="G269" s="3" t="s">
        <v>484</v>
      </c>
      <c r="H269" s="5">
        <v>443085003508577</v>
      </c>
      <c r="I269" s="5">
        <v>47432490661055</v>
      </c>
      <c r="J269" s="5">
        <v>488352018068794</v>
      </c>
      <c r="K269" s="5">
        <v>466384770724658</v>
      </c>
      <c r="L269" s="5">
        <v>419148119332639</v>
      </c>
      <c r="M269" s="5">
        <v>50210963275</v>
      </c>
      <c r="N269" s="5">
        <v>518113123163</v>
      </c>
      <c r="O269" s="5">
        <v>48443855843</v>
      </c>
      <c r="P269" s="5">
        <v>513766320328636</v>
      </c>
      <c r="Q269" s="5">
        <v>5370766925664</v>
      </c>
      <c r="R269" s="5">
        <v>5411603484</v>
      </c>
      <c r="S269" s="5">
        <v>5542055899758</v>
      </c>
      <c r="T269" s="5">
        <v>5611109370258</v>
      </c>
      <c r="U269" s="5">
        <v>571986520644</v>
      </c>
      <c r="V269" s="5">
        <v>4708251807648</v>
      </c>
      <c r="W269" s="5">
        <v>43435198771065</v>
      </c>
      <c r="X269" s="5">
        <v>427811738739</v>
      </c>
      <c r="Y269" s="5">
        <v>420241799751705</v>
      </c>
      <c r="Z269" s="5">
        <v>394035967888482</v>
      </c>
      <c r="AA269" s="5">
        <v>449672767683422</v>
      </c>
      <c r="AB269" s="5">
        <v>433412524739627</v>
      </c>
      <c r="AC269" s="5">
        <v>399372711626967</v>
      </c>
      <c r="AD269" s="5">
        <v>458693741943811</v>
      </c>
      <c r="AE269" s="5">
        <v>49344385271576</v>
      </c>
      <c r="AF269" s="5">
        <v>537574112292212</v>
      </c>
      <c r="AG269" s="5">
        <v>510270603010918</v>
      </c>
      <c r="AH269" s="5">
        <v>471868373137755</v>
      </c>
      <c r="AI269" s="5">
        <v>499544881407421</v>
      </c>
      <c r="AJ269" s="5">
        <v>563459785248</v>
      </c>
      <c r="AK269" s="5">
        <v>560866523127459</v>
      </c>
      <c r="AL269" s="5">
        <v>53131617461481</v>
      </c>
      <c r="AM269" s="5">
        <v>512777025429075</v>
      </c>
      <c r="AN269" s="5">
        <v>526652050787251</v>
      </c>
      <c r="AO269" s="5">
        <v>506566571538573</v>
      </c>
      <c r="AP269" s="5">
        <v>467905889818091</v>
      </c>
      <c r="AQ269" s="5"/>
      <c r="AR269" s="5"/>
      <c r="AS269" s="5"/>
      <c r="AT269" s="5"/>
      <c r="AU269" s="5"/>
      <c r="AV269" s="5"/>
      <c r="AW269" s="5"/>
      <c r="AX269" s="5"/>
      <c r="AY269" s="5"/>
      <c r="AZ269" s="5"/>
      <c r="BA269" s="5"/>
    </row>
    <row r="270" spans="1:53" x14ac:dyDescent="0.45">
      <c r="A270" s="1"/>
      <c r="B270" s="2"/>
      <c r="C270" s="1" t="s">
        <v>264</v>
      </c>
      <c r="D270" s="2">
        <v>4811730</v>
      </c>
      <c r="E270" s="3" t="s">
        <v>1093</v>
      </c>
      <c r="F270" s="3" t="s">
        <v>1094</v>
      </c>
      <c r="G270" s="3" t="s">
        <v>487</v>
      </c>
      <c r="H270" s="5">
        <v>131971974683197</v>
      </c>
      <c r="I270" s="5">
        <v>1351466972193</v>
      </c>
      <c r="J270" s="5">
        <v>150512122000352</v>
      </c>
      <c r="K270" s="5">
        <v>135987803848427</v>
      </c>
      <c r="L270" s="5">
        <v>130790616615516</v>
      </c>
      <c r="M270" s="5">
        <v>124813063557925</v>
      </c>
      <c r="N270" s="5">
        <v>133193841042</v>
      </c>
      <c r="O270" s="5">
        <v>13392857238</v>
      </c>
      <c r="P270" s="5">
        <v>1220922925716</v>
      </c>
      <c r="Q270" s="5">
        <v>1160448353512</v>
      </c>
      <c r="R270" s="5">
        <v>116366642856</v>
      </c>
      <c r="S270" s="5">
        <v>1037419447104</v>
      </c>
      <c r="T270" s="5">
        <v>1040420954112</v>
      </c>
      <c r="U270" s="5">
        <v>102275889408</v>
      </c>
      <c r="V270" s="5">
        <v>976625807586912</v>
      </c>
      <c r="W270" s="5">
        <v>98939159434688</v>
      </c>
      <c r="X270" s="5">
        <v>957795274947703</v>
      </c>
      <c r="Y270" s="5">
        <v>97485046730231</v>
      </c>
      <c r="Z270" s="5">
        <v>879312764664</v>
      </c>
      <c r="AA270" s="5">
        <v>902464371336</v>
      </c>
      <c r="AB270" s="5">
        <v>8398058421975</v>
      </c>
      <c r="AC270" s="5">
        <v>782151608224727</v>
      </c>
      <c r="AD270" s="5">
        <v>790941796192445</v>
      </c>
      <c r="AE270" s="5">
        <v>8542280656618</v>
      </c>
      <c r="AF270" s="5">
        <v>887615613275074</v>
      </c>
      <c r="AG270" s="5">
        <v>781180674775959</v>
      </c>
      <c r="AH270" s="5">
        <v>70672480413525</v>
      </c>
      <c r="AI270" s="5">
        <v>73332652914819</v>
      </c>
      <c r="AJ270" s="5">
        <v>846433031304128</v>
      </c>
      <c r="AK270" s="5">
        <v>85733356770054</v>
      </c>
      <c r="AL270" s="5">
        <v>8273834466176</v>
      </c>
      <c r="AM270" s="5">
        <v>79511074754175</v>
      </c>
      <c r="AN270" s="5">
        <v>859007776591529</v>
      </c>
      <c r="AO270" s="5">
        <v>78809748553415</v>
      </c>
      <c r="AP270" s="5">
        <v>768563997168334</v>
      </c>
      <c r="AQ270" s="5"/>
      <c r="AR270" s="5"/>
      <c r="AS270" s="5"/>
      <c r="AT270" s="5"/>
      <c r="AU270" s="5"/>
      <c r="AV270" s="5"/>
      <c r="AW270" s="5"/>
      <c r="AX270" s="5"/>
      <c r="AY270" s="5"/>
      <c r="AZ270" s="5"/>
      <c r="BA270" s="5"/>
    </row>
    <row r="271" spans="1:53" x14ac:dyDescent="0.45">
      <c r="A271" s="1"/>
      <c r="B271" s="2"/>
      <c r="C271" s="1" t="s">
        <v>265</v>
      </c>
      <c r="D271" s="2">
        <v>4094582</v>
      </c>
      <c r="E271" s="3" t="s">
        <v>1095</v>
      </c>
      <c r="F271" s="3" t="s">
        <v>1096</v>
      </c>
      <c r="G271" s="3" t="s">
        <v>1039</v>
      </c>
      <c r="H271" s="5">
        <v>15742714877258</v>
      </c>
      <c r="I271" s="5">
        <v>162201800212202</v>
      </c>
      <c r="J271" s="5">
        <v>15489723632333</v>
      </c>
      <c r="K271" s="5">
        <v>15860578204235</v>
      </c>
      <c r="L271" s="5">
        <v>159648128024374</v>
      </c>
      <c r="M271" s="5">
        <v>160663801390798</v>
      </c>
      <c r="N271" s="5">
        <v>157626381969</v>
      </c>
      <c r="O271" s="5">
        <v>16225369992</v>
      </c>
      <c r="P271" s="5">
        <v>1619180346186</v>
      </c>
      <c r="Q271" s="5">
        <v>14713576416</v>
      </c>
      <c r="R271" s="5">
        <v>142181851416</v>
      </c>
      <c r="S271" s="5">
        <v>153026489952</v>
      </c>
      <c r="T271" s="5">
        <v>1565911255083</v>
      </c>
      <c r="U271" s="5">
        <v>155725342542</v>
      </c>
      <c r="V271" s="5">
        <v>1350535729988</v>
      </c>
      <c r="W271" s="5">
        <v>13098164197095</v>
      </c>
      <c r="X271" s="5">
        <v>12121318962445</v>
      </c>
      <c r="Y271" s="5">
        <v>1212862820015</v>
      </c>
      <c r="Z271" s="5">
        <v>11516165255025</v>
      </c>
      <c r="AA271" s="5">
        <v>11603584917625</v>
      </c>
      <c r="AB271" s="5">
        <v>105105274083</v>
      </c>
      <c r="AC271" s="5">
        <v>98432757979645</v>
      </c>
      <c r="AD271" s="5">
        <v>104561888523558</v>
      </c>
      <c r="AE271" s="5">
        <v>117873803345038</v>
      </c>
      <c r="AF271" s="5">
        <v>121283371838301</v>
      </c>
      <c r="AG271" s="5">
        <v>118442762684065</v>
      </c>
      <c r="AH271" s="5">
        <v>930920752919489</v>
      </c>
      <c r="AI271" s="5">
        <v>102702809208618</v>
      </c>
      <c r="AJ271" s="5">
        <v>999909540003812</v>
      </c>
      <c r="AK271" s="5">
        <v>922485260555775</v>
      </c>
      <c r="AL271" s="5">
        <v>10285965151915</v>
      </c>
      <c r="AM271" s="5">
        <v>928243287145159</v>
      </c>
      <c r="AN271" s="5">
        <v>96178329882315</v>
      </c>
      <c r="AO271" s="5">
        <v>952119234389436</v>
      </c>
      <c r="AP271" s="5">
        <v>84739889449938</v>
      </c>
      <c r="AQ271" s="5"/>
      <c r="AR271" s="5"/>
      <c r="AS271" s="5"/>
      <c r="AT271" s="5"/>
      <c r="AU271" s="5"/>
      <c r="AV271" s="5"/>
      <c r="AW271" s="5"/>
      <c r="AX271" s="5"/>
      <c r="AY271" s="5"/>
      <c r="AZ271" s="5"/>
      <c r="BA271" s="5"/>
    </row>
    <row r="272" spans="1:53" x14ac:dyDescent="0.45">
      <c r="A272" s="1"/>
      <c r="B272" s="2"/>
      <c r="C272" s="1" t="s">
        <v>266</v>
      </c>
      <c r="D272" s="2">
        <v>4133448</v>
      </c>
      <c r="E272" s="3" t="s">
        <v>1097</v>
      </c>
      <c r="F272" s="3" t="s">
        <v>1098</v>
      </c>
      <c r="G272" s="3" t="s">
        <v>481</v>
      </c>
      <c r="H272" s="5">
        <v>171187081850816</v>
      </c>
      <c r="I272" s="5">
        <v>170857366478247</v>
      </c>
      <c r="J272" s="5">
        <v>189518223331068</v>
      </c>
      <c r="K272" s="5">
        <v>176787181239472</v>
      </c>
      <c r="L272" s="5">
        <v>170111184151717</v>
      </c>
      <c r="M272" s="5">
        <v>158051973207357</v>
      </c>
      <c r="N272" s="5">
        <v>15518513138</v>
      </c>
      <c r="O272" s="5">
        <v>17006870407149</v>
      </c>
      <c r="P272" s="5">
        <v>1501316993332</v>
      </c>
      <c r="Q272" s="5">
        <v>1493346569008</v>
      </c>
      <c r="R272" s="5">
        <v>147851643912</v>
      </c>
      <c r="S272" s="5">
        <v>134825091849</v>
      </c>
      <c r="T272" s="5">
        <v>131273831059</v>
      </c>
      <c r="U272" s="5">
        <v>135242086056</v>
      </c>
      <c r="V272" s="5">
        <v>118938725878</v>
      </c>
      <c r="W272" s="5">
        <v>1190184499179</v>
      </c>
      <c r="X272" s="5">
        <v>119563376583739</v>
      </c>
      <c r="Y272" s="5">
        <v>107071920700166</v>
      </c>
      <c r="Z272" s="5">
        <v>981874379844</v>
      </c>
      <c r="AA272" s="5">
        <v>997561008848</v>
      </c>
      <c r="AB272" s="5">
        <v>906231306864844</v>
      </c>
      <c r="AC272" s="5">
        <v>833443874902747</v>
      </c>
      <c r="AD272" s="5">
        <v>842711024237563</v>
      </c>
      <c r="AE272" s="5">
        <v>870413829262777</v>
      </c>
      <c r="AF272" s="5">
        <v>928257565085952</v>
      </c>
      <c r="AG272" s="5">
        <v>924405852904769</v>
      </c>
      <c r="AH272" s="5">
        <v>815039697480788</v>
      </c>
      <c r="AI272" s="5">
        <v>800919398896437</v>
      </c>
      <c r="AJ272" s="5">
        <v>784864347706656</v>
      </c>
      <c r="AK272" s="5">
        <v>861407189843484</v>
      </c>
      <c r="AL272" s="5">
        <v>905695860131839</v>
      </c>
      <c r="AM272" s="5">
        <v>857524653385875</v>
      </c>
      <c r="AN272" s="5">
        <v>916965155740752</v>
      </c>
      <c r="AO272" s="5">
        <v>92112677173669</v>
      </c>
      <c r="AP272" s="5">
        <v>802803993464963</v>
      </c>
      <c r="AQ272" s="5"/>
      <c r="AR272" s="5"/>
      <c r="AS272" s="5"/>
      <c r="AT272" s="5"/>
      <c r="AU272" s="5"/>
      <c r="AV272" s="5"/>
      <c r="AW272" s="5"/>
      <c r="AX272" s="5"/>
      <c r="AY272" s="5"/>
      <c r="AZ272" s="5"/>
      <c r="BA272" s="5"/>
    </row>
    <row r="273" spans="1:53" x14ac:dyDescent="0.45">
      <c r="A273" s="1"/>
      <c r="B273" s="2"/>
      <c r="C273" s="1" t="s">
        <v>267</v>
      </c>
      <c r="D273" s="2">
        <v>4133530</v>
      </c>
      <c r="E273" s="3" t="s">
        <v>1099</v>
      </c>
      <c r="F273" s="3" t="s">
        <v>1100</v>
      </c>
      <c r="G273" s="3" t="s">
        <v>481</v>
      </c>
      <c r="H273" s="5">
        <v>395977009489874</v>
      </c>
      <c r="I273" s="5">
        <v>410499847674188</v>
      </c>
      <c r="J273" s="5">
        <v>43895534779903</v>
      </c>
      <c r="K273" s="5">
        <v>3693992482791</v>
      </c>
      <c r="L273" s="5">
        <v>2988523460559</v>
      </c>
      <c r="M273" s="5">
        <v>264860703874</v>
      </c>
      <c r="N273" s="5">
        <v>290512419</v>
      </c>
      <c r="O273" s="5">
        <v>30296631243</v>
      </c>
      <c r="P273" s="5">
        <v>2809532436906</v>
      </c>
      <c r="Q273" s="5">
        <v>299005501368</v>
      </c>
      <c r="R273" s="5">
        <v>243427490916538</v>
      </c>
      <c r="S273" s="5">
        <v>2463187579309</v>
      </c>
      <c r="T273" s="5">
        <v>228210646124674</v>
      </c>
      <c r="U273" s="5">
        <v>192428472852</v>
      </c>
      <c r="V273" s="5">
        <v>163071207294447</v>
      </c>
      <c r="W273" s="5">
        <v>1642522913703</v>
      </c>
      <c r="X273" s="5">
        <v>15360232989255</v>
      </c>
      <c r="Y273" s="5">
        <v>1276867997307</v>
      </c>
      <c r="Z273" s="5">
        <v>1284912471168</v>
      </c>
      <c r="AA273" s="5">
        <v>1185290675424</v>
      </c>
      <c r="AB273" s="5">
        <v>9734033367</v>
      </c>
      <c r="AC273" s="5">
        <v>1015200932589</v>
      </c>
      <c r="AD273" s="5">
        <v>105751764751611</v>
      </c>
      <c r="AE273" s="5">
        <v>134972717859257</v>
      </c>
      <c r="AF273" s="5">
        <v>156930472988225</v>
      </c>
      <c r="AG273" s="5">
        <v>15603116004</v>
      </c>
      <c r="AH273" s="5">
        <v>144488113641516</v>
      </c>
      <c r="AI273" s="5">
        <v>157698115521798</v>
      </c>
      <c r="AJ273" s="5">
        <v>180349539677445</v>
      </c>
      <c r="AK273" s="5">
        <v>182923238663122</v>
      </c>
      <c r="AL273" s="5">
        <v>274159131568035</v>
      </c>
      <c r="AM273" s="5">
        <v>270697757218425</v>
      </c>
      <c r="AN273" s="5">
        <v>272064303022603</v>
      </c>
      <c r="AO273" s="5">
        <v>294677962576097</v>
      </c>
      <c r="AP273" s="5">
        <v>27925551277838</v>
      </c>
      <c r="AQ273" s="5"/>
      <c r="AR273" s="5"/>
      <c r="AS273" s="5"/>
      <c r="AT273" s="5"/>
      <c r="AU273" s="5"/>
      <c r="AV273" s="5"/>
      <c r="AW273" s="5"/>
      <c r="AX273" s="5"/>
      <c r="AY273" s="5"/>
      <c r="AZ273" s="5"/>
      <c r="BA273" s="5"/>
    </row>
    <row r="274" spans="1:53" x14ac:dyDescent="0.45">
      <c r="A274" s="1"/>
      <c r="B274" s="2"/>
      <c r="C274" s="1" t="s">
        <v>268</v>
      </c>
      <c r="D274" s="2">
        <v>4004214</v>
      </c>
      <c r="E274" s="3" t="s">
        <v>1101</v>
      </c>
      <c r="F274" s="3" t="s">
        <v>1102</v>
      </c>
      <c r="G274" s="3" t="s">
        <v>902</v>
      </c>
      <c r="H274" s="5">
        <v>549569754509434</v>
      </c>
      <c r="I274" s="5">
        <v>545248326522032</v>
      </c>
      <c r="J274" s="5">
        <v>551219967068866</v>
      </c>
      <c r="K274" s="5">
        <v>48544154429577</v>
      </c>
      <c r="L274" s="5">
        <v>484962680383108</v>
      </c>
      <c r="M274" s="5">
        <v>4754753026</v>
      </c>
      <c r="N274" s="5">
        <v>46645117214395</v>
      </c>
      <c r="O274" s="5">
        <v>479888372376</v>
      </c>
      <c r="P274" s="5">
        <v>485099921240854</v>
      </c>
      <c r="Q274" s="5">
        <v>475956118561551</v>
      </c>
      <c r="R274" s="5">
        <v>465731731126351</v>
      </c>
      <c r="S274" s="5">
        <v>462965236813142</v>
      </c>
      <c r="T274" s="5">
        <v>457697733369176</v>
      </c>
      <c r="U274" s="5">
        <v>443241319645986</v>
      </c>
      <c r="V274" s="5">
        <v>425086249442975</v>
      </c>
      <c r="W274" s="5">
        <v>3993186480768</v>
      </c>
      <c r="X274" s="5">
        <v>401661264404889</v>
      </c>
      <c r="Y274" s="5">
        <v>395281321507354</v>
      </c>
      <c r="Z274" s="5">
        <v>362179079159428</v>
      </c>
      <c r="AA274" s="5">
        <v>374340192153316</v>
      </c>
      <c r="AB274" s="5">
        <v>342276231005535</v>
      </c>
      <c r="AC274" s="5">
        <v>370452633058658</v>
      </c>
      <c r="AD274" s="5">
        <v>402673863116839</v>
      </c>
      <c r="AE274" s="5">
        <v>408048245005378</v>
      </c>
      <c r="AF274" s="5">
        <v>410938132195291</v>
      </c>
      <c r="AG274" s="5">
        <v>381315687165153</v>
      </c>
      <c r="AH274" s="5">
        <v>317193310900279</v>
      </c>
      <c r="AI274" s="5">
        <v>310741395638453</v>
      </c>
      <c r="AJ274" s="5">
        <v>338078694540019</v>
      </c>
      <c r="AK274" s="5">
        <v>320635675447516</v>
      </c>
      <c r="AL274" s="5">
        <v>345396461829102</v>
      </c>
      <c r="AM274" s="5">
        <v>351473277971007</v>
      </c>
      <c r="AN274" s="5">
        <v>310461646684753</v>
      </c>
      <c r="AO274" s="5">
        <v>320830540186862</v>
      </c>
      <c r="AP274" s="5">
        <v>293566715777946</v>
      </c>
      <c r="AQ274" s="5"/>
      <c r="AR274" s="5"/>
      <c r="AS274" s="5"/>
      <c r="AT274" s="5"/>
      <c r="AU274" s="5"/>
      <c r="AV274" s="5"/>
      <c r="AW274" s="5"/>
      <c r="AX274" s="5"/>
      <c r="AY274" s="5"/>
      <c r="AZ274" s="5"/>
      <c r="BA274" s="5"/>
    </row>
    <row r="275" spans="1:53" x14ac:dyDescent="0.45">
      <c r="A275" s="1"/>
      <c r="B275" s="2"/>
      <c r="C275" s="1" t="s">
        <v>269</v>
      </c>
      <c r="D275" s="2">
        <v>103123</v>
      </c>
      <c r="E275" s="3" t="s">
        <v>1103</v>
      </c>
      <c r="F275" s="3" t="s">
        <v>1103</v>
      </c>
      <c r="G275" s="3" t="s">
        <v>594</v>
      </c>
      <c r="H275" s="5">
        <v>951584972918515</v>
      </c>
      <c r="I275" s="5">
        <v>977406711850015</v>
      </c>
      <c r="J275" s="5">
        <v>99899336744111</v>
      </c>
      <c r="K275" s="5">
        <v>102736799890221</v>
      </c>
      <c r="L275" s="5">
        <v>101849294007871</v>
      </c>
      <c r="M275" s="5">
        <v>997989459497027</v>
      </c>
      <c r="N275" s="5">
        <v>104904689359644</v>
      </c>
      <c r="O275" s="5">
        <v>103043220430044</v>
      </c>
      <c r="P275" s="5">
        <v>103416132066869</v>
      </c>
      <c r="Q275" s="5">
        <v>108035162531743</v>
      </c>
      <c r="R275" s="5">
        <v>109879604889535</v>
      </c>
      <c r="S275" s="5">
        <v>999059444873838</v>
      </c>
      <c r="T275" s="5">
        <v>10532128274526</v>
      </c>
      <c r="U275" s="5">
        <v>654814504246056</v>
      </c>
      <c r="V275" s="5">
        <v>63927638597172</v>
      </c>
      <c r="W275" s="5">
        <v>63160245743345</v>
      </c>
      <c r="X275" s="5">
        <v>636856049503374</v>
      </c>
      <c r="Y275" s="5">
        <v>716687039276951</v>
      </c>
      <c r="Z275" s="5">
        <v>723442945006152</v>
      </c>
      <c r="AA275" s="5">
        <v>698779832114553</v>
      </c>
      <c r="AB275" s="5">
        <v>630639973893216</v>
      </c>
      <c r="AC275" s="5">
        <v>624531934757659</v>
      </c>
      <c r="AD275" s="5">
        <v>653567523151689</v>
      </c>
      <c r="AE275" s="5">
        <v>630271936271266</v>
      </c>
      <c r="AF275" s="5">
        <v>631878726925631</v>
      </c>
      <c r="AG275" s="5">
        <v>582340027150262</v>
      </c>
      <c r="AH275" s="5">
        <v>552947118409352</v>
      </c>
      <c r="AI275" s="5">
        <v>528839288465613</v>
      </c>
      <c r="AJ275" s="5">
        <v>548124163261787</v>
      </c>
      <c r="AK275" s="5">
        <v>492504937369641</v>
      </c>
      <c r="AL275" s="5">
        <v>524433629676097</v>
      </c>
      <c r="AM275" s="5">
        <v>50213963444625</v>
      </c>
      <c r="AN275" s="5">
        <v>541589639387178</v>
      </c>
      <c r="AO275" s="5">
        <v>486664659999741</v>
      </c>
      <c r="AP275" s="5">
        <v>528718969742481</v>
      </c>
      <c r="AQ275" s="5"/>
      <c r="AR275" s="5"/>
      <c r="AS275" s="5"/>
      <c r="AT275" s="5"/>
      <c r="AU275" s="5"/>
      <c r="AV275" s="5"/>
      <c r="AW275" s="5"/>
      <c r="AX275" s="5"/>
      <c r="AY275" s="5"/>
      <c r="AZ275" s="5"/>
      <c r="BA275" s="5"/>
    </row>
    <row r="276" spans="1:53" x14ac:dyDescent="0.45">
      <c r="A276" s="1"/>
      <c r="B276" s="2"/>
      <c r="C276" s="1" t="s">
        <v>270</v>
      </c>
      <c r="D276" s="2">
        <v>4209632</v>
      </c>
      <c r="E276" s="3" t="s">
        <v>1104</v>
      </c>
      <c r="F276" s="3" t="s">
        <v>1105</v>
      </c>
      <c r="G276" s="3" t="s">
        <v>1106</v>
      </c>
      <c r="H276" s="5">
        <v>147263807670706</v>
      </c>
      <c r="I276" s="5">
        <v>141299395890206</v>
      </c>
      <c r="J276" s="5">
        <v>149652905532352</v>
      </c>
      <c r="K276" s="5">
        <v>148779466769956</v>
      </c>
      <c r="L276" s="5">
        <v>162774153474888</v>
      </c>
      <c r="M276" s="5">
        <v>162559745682002</v>
      </c>
      <c r="N276" s="5">
        <v>163112707244432</v>
      </c>
      <c r="O276" s="5">
        <v>181601326402667</v>
      </c>
      <c r="P276" s="5">
        <v>189439045193628</v>
      </c>
      <c r="Q276" s="5">
        <v>192424684334617</v>
      </c>
      <c r="R276" s="5">
        <v>203321800982803</v>
      </c>
      <c r="S276" s="5">
        <v>192185398670192</v>
      </c>
      <c r="T276" s="5">
        <v>198088414438168</v>
      </c>
      <c r="U276" s="5">
        <v>199320585489707</v>
      </c>
      <c r="V276" s="5">
        <v>203480120737599</v>
      </c>
      <c r="W276" s="5">
        <v>209789535121554</v>
      </c>
      <c r="X276" s="5">
        <v>197082450813211</v>
      </c>
      <c r="Y276" s="5">
        <v>196240339275065</v>
      </c>
      <c r="Z276" s="5">
        <v>195500187564701</v>
      </c>
      <c r="AA276" s="5">
        <v>191324224128903</v>
      </c>
      <c r="AB276" s="5">
        <v>179264855570082</v>
      </c>
      <c r="AC276" s="5">
        <v>168342247810586</v>
      </c>
      <c r="AD276" s="5">
        <v>177022691314962</v>
      </c>
      <c r="AE276" s="5">
        <v>159623241805132</v>
      </c>
      <c r="AF276" s="5">
        <v>16076435289021</v>
      </c>
      <c r="AG276" s="5">
        <v>161272964480239</v>
      </c>
      <c r="AH276" s="5">
        <v>137638747278998</v>
      </c>
      <c r="AI276" s="5">
        <v>112485482492205</v>
      </c>
      <c r="AJ276" s="5">
        <v>119512968268446</v>
      </c>
      <c r="AK276" s="5">
        <v>116373801294278</v>
      </c>
      <c r="AL276" s="5">
        <v>124309344309342</v>
      </c>
      <c r="AM276" s="5">
        <v>122504811644284</v>
      </c>
      <c r="AN276" s="5">
        <v>129044219961534</v>
      </c>
      <c r="AO276" s="5">
        <v>126063198575342</v>
      </c>
      <c r="AP276" s="5">
        <v>124762629756961</v>
      </c>
      <c r="AQ276" s="5"/>
      <c r="AR276" s="5"/>
      <c r="AS276" s="5"/>
      <c r="AT276" s="5"/>
      <c r="AU276" s="5"/>
      <c r="AV276" s="5"/>
      <c r="AW276" s="5"/>
      <c r="AX276" s="5"/>
      <c r="AY276" s="5"/>
      <c r="AZ276" s="5"/>
      <c r="BA276" s="5"/>
    </row>
    <row r="277" spans="1:53" x14ac:dyDescent="0.45">
      <c r="A277" s="1"/>
      <c r="B277" s="2"/>
      <c r="C277" s="1" t="s">
        <v>271</v>
      </c>
      <c r="D277" s="2">
        <v>4060931</v>
      </c>
      <c r="E277" s="3" t="s">
        <v>1107</v>
      </c>
      <c r="F277" s="3" t="s">
        <v>1108</v>
      </c>
      <c r="G277" s="3" t="s">
        <v>734</v>
      </c>
      <c r="H277" s="5">
        <v>532657480849363</v>
      </c>
      <c r="I277" s="5">
        <v>538827482605014</v>
      </c>
      <c r="J277" s="5">
        <v>531828543494053</v>
      </c>
      <c r="K277" s="5">
        <v>518664711608726</v>
      </c>
      <c r="L277" s="5">
        <v>516212686024948</v>
      </c>
      <c r="M277" s="5">
        <v>566718114840268</v>
      </c>
      <c r="N277" s="5">
        <v>57438135583968</v>
      </c>
      <c r="O277" s="5">
        <v>629140911297972</v>
      </c>
      <c r="P277" s="5">
        <v>630055522208598</v>
      </c>
      <c r="Q277" s="5">
        <v>614198872426427</v>
      </c>
      <c r="R277" s="5">
        <v>631599756876562</v>
      </c>
      <c r="S277" s="5">
        <v>633738162426691</v>
      </c>
      <c r="T277" s="5">
        <v>64855730241122</v>
      </c>
      <c r="U277" s="5">
        <v>602521957016593</v>
      </c>
      <c r="V277" s="5">
        <v>63325908591518</v>
      </c>
      <c r="W277" s="5">
        <v>607524078927264</v>
      </c>
      <c r="X277" s="5">
        <v>628205788091184</v>
      </c>
      <c r="Y277" s="5">
        <v>612257043105132</v>
      </c>
      <c r="Z277" s="5">
        <v>636026393515493</v>
      </c>
      <c r="AA277" s="5">
        <v>620459379970772</v>
      </c>
      <c r="AB277" s="5">
        <v>582186098742331</v>
      </c>
      <c r="AC277" s="5">
        <v>585339316087184</v>
      </c>
      <c r="AD277" s="5">
        <v>632979155175937</v>
      </c>
      <c r="AE277" s="5">
        <v>656110520864421</v>
      </c>
      <c r="AF277" s="5">
        <v>656745282032555</v>
      </c>
      <c r="AG277" s="5">
        <v>665228623570669</v>
      </c>
      <c r="AH277" s="5">
        <v>604523994087331</v>
      </c>
      <c r="AI277" s="5">
        <v>609346257772</v>
      </c>
      <c r="AJ277" s="5">
        <v>658209622855913</v>
      </c>
      <c r="AK277" s="5">
        <v>600767629843724</v>
      </c>
      <c r="AL277" s="5">
        <v>616404247926477</v>
      </c>
      <c r="AM277" s="5">
        <v>557508697666027</v>
      </c>
      <c r="AN277" s="5">
        <v>550886271359279</v>
      </c>
      <c r="AO277" s="5">
        <v>543346687308402</v>
      </c>
      <c r="AP277" s="5">
        <v>5243683093509</v>
      </c>
      <c r="AQ277" s="5"/>
      <c r="AR277" s="5"/>
      <c r="AS277" s="5"/>
      <c r="AT277" s="5"/>
      <c r="AU277" s="5"/>
      <c r="AV277" s="5"/>
      <c r="AW277" s="5"/>
      <c r="AX277" s="5"/>
      <c r="AY277" s="5"/>
      <c r="AZ277" s="5"/>
      <c r="BA277" s="5"/>
    </row>
    <row r="278" spans="1:53" x14ac:dyDescent="0.45">
      <c r="A278" s="1"/>
      <c r="B278" s="2"/>
      <c r="C278" s="1" t="s">
        <v>272</v>
      </c>
      <c r="D278" s="2">
        <v>4967353</v>
      </c>
      <c r="E278" s="3" t="s">
        <v>1109</v>
      </c>
      <c r="F278" s="3" t="s">
        <v>1110</v>
      </c>
      <c r="G278" s="3" t="s">
        <v>481</v>
      </c>
      <c r="H278" s="5">
        <v>38848790390495</v>
      </c>
      <c r="I278" s="5">
        <v>412588833098594</v>
      </c>
      <c r="J278" s="5">
        <v>433818911124</v>
      </c>
      <c r="K278" s="5">
        <v>373086022547415</v>
      </c>
      <c r="L278" s="5">
        <v>353095902745236</v>
      </c>
      <c r="M278" s="5">
        <v>35929089180876</v>
      </c>
      <c r="N278" s="5">
        <v>3487092142</v>
      </c>
      <c r="O278" s="5">
        <v>360691546</v>
      </c>
      <c r="P278" s="5">
        <v>34641133970235</v>
      </c>
      <c r="Q278" s="5">
        <v>35460511464</v>
      </c>
      <c r="R278" s="5">
        <v>33801751146</v>
      </c>
      <c r="S278" s="5">
        <v>328797867636</v>
      </c>
      <c r="T278" s="5">
        <v>315649179363</v>
      </c>
      <c r="U278" s="5">
        <v>31563921928</v>
      </c>
      <c r="V278" s="5">
        <v>2923779787284</v>
      </c>
      <c r="W278" s="5">
        <v>289976524425</v>
      </c>
      <c r="X278" s="5">
        <v>278658966124</v>
      </c>
      <c r="Y278" s="5">
        <v>263526695656358</v>
      </c>
      <c r="Z278" s="5">
        <v>247859019576</v>
      </c>
      <c r="AA278" s="5">
        <v>2473722257235</v>
      </c>
      <c r="AB278" s="5">
        <v>219317862815927</v>
      </c>
      <c r="AC278" s="5">
        <v>218556008814509</v>
      </c>
      <c r="AD278" s="5">
        <v>228516329574242</v>
      </c>
      <c r="AE278" s="5">
        <v>231823762203625</v>
      </c>
      <c r="AF278" s="5">
        <v>255601617341454</v>
      </c>
      <c r="AG278" s="5">
        <v>223700955261821</v>
      </c>
      <c r="AH278" s="5">
        <v>181682269906432</v>
      </c>
      <c r="AI278" s="5">
        <v>170018029350425</v>
      </c>
      <c r="AJ278" s="5">
        <v>18542858276105</v>
      </c>
      <c r="AK278" s="5">
        <v>179958528310523</v>
      </c>
      <c r="AL278" s="5">
        <v>19665542465751</v>
      </c>
      <c r="AM278" s="5">
        <v>183150547899617</v>
      </c>
      <c r="AN278" s="5">
        <v>19256167568857</v>
      </c>
      <c r="AO278" s="5">
        <v>1826162191416</v>
      </c>
      <c r="AP278" s="5">
        <v>162978050699444</v>
      </c>
      <c r="AQ278" s="5"/>
      <c r="AR278" s="5"/>
      <c r="AS278" s="5"/>
      <c r="AT278" s="5"/>
      <c r="AU278" s="5"/>
      <c r="AV278" s="5"/>
      <c r="AW278" s="5"/>
      <c r="AX278" s="5"/>
      <c r="AY278" s="5"/>
      <c r="AZ278" s="5"/>
      <c r="BA278" s="5"/>
    </row>
    <row r="279" spans="1:53" x14ac:dyDescent="0.45">
      <c r="A279" s="1"/>
      <c r="B279" s="2"/>
      <c r="C279" s="1" t="s">
        <v>273</v>
      </c>
      <c r="D279" s="2">
        <v>4915639</v>
      </c>
      <c r="E279" s="3" t="s">
        <v>1111</v>
      </c>
      <c r="F279" s="3" t="s">
        <v>1112</v>
      </c>
      <c r="G279" s="3" t="s">
        <v>1113</v>
      </c>
      <c r="H279" s="5">
        <v>298475564232756</v>
      </c>
      <c r="I279" s="5">
        <v>296780041352367</v>
      </c>
      <c r="J279" s="5">
        <v>282731569917407</v>
      </c>
      <c r="K279" s="5">
        <v>265602152154215</v>
      </c>
      <c r="L279" s="5">
        <v>267073693083322</v>
      </c>
      <c r="M279" s="5">
        <v>2541425290875</v>
      </c>
      <c r="N279" s="5">
        <v>247250139012</v>
      </c>
      <c r="O279" s="5">
        <v>25550541504</v>
      </c>
      <c r="P279" s="5">
        <v>236492278829128</v>
      </c>
      <c r="Q279" s="5">
        <v>2446562261808</v>
      </c>
      <c r="R279" s="5">
        <v>222886589856</v>
      </c>
      <c r="S279" s="5">
        <v>225404224974</v>
      </c>
      <c r="T279" s="5">
        <v>2398261392354</v>
      </c>
      <c r="U279" s="5">
        <v>24171158495</v>
      </c>
      <c r="V279" s="5">
        <v>250722487552692</v>
      </c>
      <c r="W279" s="5">
        <v>248654394125269</v>
      </c>
      <c r="X279" s="5">
        <v>262781759632142</v>
      </c>
      <c r="Y279" s="5">
        <v>279557054202955</v>
      </c>
      <c r="Z279" s="5">
        <v>281415191529466</v>
      </c>
      <c r="AA279" s="5">
        <v>273662388</v>
      </c>
      <c r="AB279" s="5">
        <v>255682870858423</v>
      </c>
      <c r="AC279" s="5">
        <v>234431301745775</v>
      </c>
      <c r="AD279" s="5">
        <v>252973252938452</v>
      </c>
      <c r="AE279" s="5">
        <v>278043821740313</v>
      </c>
      <c r="AF279" s="5">
        <v>296676402537271</v>
      </c>
      <c r="AG279" s="5">
        <v>254040888674147</v>
      </c>
      <c r="AH279" s="5">
        <v>248842606019804</v>
      </c>
      <c r="AI279" s="5">
        <v>254016988028922</v>
      </c>
      <c r="AJ279" s="5">
        <v>283888586814313</v>
      </c>
      <c r="AK279" s="5">
        <v>245755124275355</v>
      </c>
      <c r="AL279" s="5">
        <v>197349362627526</v>
      </c>
      <c r="AM279" s="5">
        <v>208316586375789</v>
      </c>
      <c r="AN279" s="5">
        <v>219119891429925</v>
      </c>
      <c r="AO279" s="5">
        <v>21109134007584</v>
      </c>
      <c r="AP279" s="5">
        <v>173731233443325</v>
      </c>
      <c r="AQ279" s="5"/>
      <c r="AR279" s="5"/>
      <c r="AS279" s="5"/>
      <c r="AT279" s="5"/>
      <c r="AU279" s="5"/>
      <c r="AV279" s="5"/>
      <c r="AW279" s="5"/>
      <c r="AX279" s="5"/>
      <c r="AY279" s="5"/>
      <c r="AZ279" s="5"/>
      <c r="BA279" s="5"/>
    </row>
    <row r="280" spans="1:53" x14ac:dyDescent="0.45">
      <c r="A280" s="1"/>
      <c r="B280" s="2"/>
      <c r="C280" s="1" t="s">
        <v>274</v>
      </c>
      <c r="D280" s="2">
        <v>108462</v>
      </c>
      <c r="E280" s="3" t="s">
        <v>1114</v>
      </c>
      <c r="F280" s="3" t="s">
        <v>1115</v>
      </c>
      <c r="G280" s="3" t="s">
        <v>875</v>
      </c>
      <c r="H280" s="5">
        <v>234918480888</v>
      </c>
      <c r="I280" s="5">
        <v>243620498394</v>
      </c>
      <c r="J280" s="5">
        <v>2336506629</v>
      </c>
      <c r="K280" s="5">
        <v>22497045971</v>
      </c>
      <c r="L280" s="5">
        <v>21557532633</v>
      </c>
      <c r="M280" s="5">
        <v>21332418505</v>
      </c>
      <c r="N280" s="5">
        <v>20402627076</v>
      </c>
      <c r="O280" s="5">
        <v>2016694165</v>
      </c>
      <c r="P280" s="5">
        <v>2074364421792</v>
      </c>
      <c r="Q280" s="5">
        <v>2001503892416</v>
      </c>
      <c r="R280" s="5">
        <v>20016931032</v>
      </c>
      <c r="S280" s="5">
        <v>183687730968</v>
      </c>
      <c r="T280" s="5">
        <v>170745368552</v>
      </c>
      <c r="U280" s="5">
        <v>181779576</v>
      </c>
      <c r="V280" s="5">
        <v>175358024576</v>
      </c>
      <c r="W280" s="5">
        <v>185245093746</v>
      </c>
      <c r="X280" s="5">
        <v>1874932009335</v>
      </c>
      <c r="Y280" s="5">
        <v>1824420279885</v>
      </c>
      <c r="Z280" s="5">
        <v>1639526123385</v>
      </c>
      <c r="AA280" s="5">
        <v>172213864596</v>
      </c>
      <c r="AB280" s="5">
        <v>162391894674</v>
      </c>
      <c r="AC280" s="5">
        <v>15932069316</v>
      </c>
      <c r="AD280" s="5">
        <v>162862751187</v>
      </c>
      <c r="AE280" s="5">
        <v>182651184735</v>
      </c>
      <c r="AF280" s="5">
        <v>192971482572</v>
      </c>
      <c r="AG280" s="5">
        <v>172399729992</v>
      </c>
      <c r="AH280" s="5">
        <v>17624819633</v>
      </c>
      <c r="AI280" s="5">
        <v>1829485167575</v>
      </c>
      <c r="AJ280" s="5">
        <v>2002112961435</v>
      </c>
      <c r="AK280" s="5">
        <v>19597444398</v>
      </c>
      <c r="AL280" s="5">
        <v>19912502347605</v>
      </c>
      <c r="AM280" s="5">
        <v>1940552667648</v>
      </c>
      <c r="AN280" s="5">
        <v>1952271481596</v>
      </c>
      <c r="AO280" s="5">
        <v>175246188353</v>
      </c>
      <c r="AP280" s="5">
        <v>168748112085</v>
      </c>
      <c r="AQ280" s="5"/>
      <c r="AR280" s="5"/>
      <c r="AS280" s="5"/>
      <c r="AT280" s="5"/>
      <c r="AU280" s="5"/>
      <c r="AV280" s="5"/>
      <c r="AW280" s="5"/>
      <c r="AX280" s="5"/>
      <c r="AY280" s="5"/>
      <c r="AZ280" s="5"/>
      <c r="BA280" s="5"/>
    </row>
    <row r="281" spans="1:53" x14ac:dyDescent="0.45">
      <c r="A281" s="1"/>
      <c r="B281" s="2"/>
      <c r="C281" s="1" t="s">
        <v>275</v>
      </c>
      <c r="D281" s="2">
        <v>103042</v>
      </c>
      <c r="E281" s="3" t="s">
        <v>1116</v>
      </c>
      <c r="F281" s="3" t="s">
        <v>1117</v>
      </c>
      <c r="G281" s="3" t="s">
        <v>979</v>
      </c>
      <c r="H281" s="5">
        <v>789997985646036</v>
      </c>
      <c r="I281" s="5">
        <v>783487758846266</v>
      </c>
      <c r="J281" s="5" t="s">
        <v>1493</v>
      </c>
      <c r="K281" s="5">
        <v>748528525442962</v>
      </c>
      <c r="L281" s="5">
        <v>70369599295045</v>
      </c>
      <c r="M281" s="5" t="s">
        <v>1494</v>
      </c>
      <c r="N281" s="5">
        <v>722465614952</v>
      </c>
      <c r="O281" s="5">
        <v>68716737308</v>
      </c>
      <c r="P281" s="5">
        <v>7373356191682</v>
      </c>
      <c r="Q281" s="5">
        <v>7476577452288</v>
      </c>
      <c r="R281" s="5">
        <v>802845413829649</v>
      </c>
      <c r="S281" s="5">
        <v>72923394516</v>
      </c>
      <c r="T281" s="5">
        <v>749566708085</v>
      </c>
      <c r="U281" s="5">
        <v>732770040992</v>
      </c>
      <c r="V281" s="5">
        <v>57460506768</v>
      </c>
      <c r="W281" s="5">
        <v>5452898703399</v>
      </c>
      <c r="X281" s="5">
        <v>549825218568445</v>
      </c>
      <c r="Y281" s="5">
        <v>49315450093</v>
      </c>
      <c r="Z281" s="5">
        <v>4531404734082</v>
      </c>
      <c r="AA281" s="5">
        <v>4763774011577</v>
      </c>
      <c r="AB281" s="5">
        <v>4582801695879</v>
      </c>
      <c r="AC281" s="5">
        <v>4453315185345</v>
      </c>
      <c r="AD281" s="5">
        <v>4592064384</v>
      </c>
      <c r="AE281" s="5">
        <v>567101748680286</v>
      </c>
      <c r="AF281" s="5">
        <v>628627346418267</v>
      </c>
      <c r="AG281" s="5">
        <v>57943960641</v>
      </c>
      <c r="AH281" s="5">
        <v>551354286519068</v>
      </c>
      <c r="AI281" s="5">
        <v>600768346740039</v>
      </c>
      <c r="AJ281" s="5">
        <v>68765186856</v>
      </c>
      <c r="AK281" s="5">
        <v>686036667052342</v>
      </c>
      <c r="AL281" s="5">
        <v>6856862186011</v>
      </c>
      <c r="AM281" s="5">
        <v>65710423245285</v>
      </c>
      <c r="AN281" s="5">
        <v>656671092323745</v>
      </c>
      <c r="AO281" s="5">
        <v>6227393835027</v>
      </c>
      <c r="AP281" s="5">
        <v>5842640288835</v>
      </c>
      <c r="AQ281" s="5"/>
      <c r="AR281" s="5"/>
      <c r="AS281" s="5"/>
      <c r="AT281" s="5"/>
      <c r="AU281" s="5"/>
      <c r="AV281" s="5"/>
      <c r="AW281" s="5"/>
      <c r="AX281" s="5"/>
      <c r="AY281" s="5"/>
      <c r="AZ281" s="5"/>
      <c r="BA281" s="5"/>
    </row>
    <row r="282" spans="1:53" x14ac:dyDescent="0.45">
      <c r="A282" s="1"/>
      <c r="B282" s="2"/>
      <c r="C282" s="1" t="s">
        <v>276</v>
      </c>
      <c r="D282" s="2">
        <v>4280272</v>
      </c>
      <c r="E282" s="3" t="s">
        <v>1118</v>
      </c>
      <c r="F282" s="3" t="s">
        <v>1119</v>
      </c>
      <c r="G282" s="3" t="s">
        <v>573</v>
      </c>
      <c r="H282" s="5">
        <v>12205198733926</v>
      </c>
      <c r="I282" s="5">
        <v>128198805661741</v>
      </c>
      <c r="J282" s="5">
        <v>126501945817507</v>
      </c>
      <c r="K282" s="5">
        <v>116799087273669</v>
      </c>
      <c r="L282" s="5">
        <v>120698454069863</v>
      </c>
      <c r="M282" s="5">
        <v>125777054706</v>
      </c>
      <c r="N282" s="5">
        <v>124282334067</v>
      </c>
      <c r="O282" s="5">
        <v>12158457231</v>
      </c>
      <c r="P282" s="5">
        <v>129316761681423</v>
      </c>
      <c r="Q282" s="5">
        <v>132151579161749</v>
      </c>
      <c r="R282" s="5">
        <v>122549657676</v>
      </c>
      <c r="S282" s="5">
        <v>1241280510372</v>
      </c>
      <c r="T282" s="5">
        <v>1303146083412</v>
      </c>
      <c r="U282" s="5">
        <v>1259910234</v>
      </c>
      <c r="V282" s="5">
        <v>1104119272616</v>
      </c>
      <c r="W282" s="5">
        <v>1131471495846</v>
      </c>
      <c r="X282" s="5">
        <v>11515020629035</v>
      </c>
      <c r="Y282" s="5">
        <v>108411987726</v>
      </c>
      <c r="Z282" s="5">
        <v>103717090629</v>
      </c>
      <c r="AA282" s="5">
        <v>108675507141</v>
      </c>
      <c r="AB282" s="5">
        <v>11468773821465</v>
      </c>
      <c r="AC282" s="5">
        <v>1179431360763</v>
      </c>
      <c r="AD282" s="5">
        <v>107400167970877</v>
      </c>
      <c r="AE282" s="5">
        <v>109697390468588</v>
      </c>
      <c r="AF282" s="5">
        <v>119961929304495</v>
      </c>
      <c r="AG282" s="5">
        <v>112127880840089</v>
      </c>
      <c r="AH282" s="5">
        <v>108274858207341</v>
      </c>
      <c r="AI282" s="5">
        <v>119663756090904</v>
      </c>
      <c r="AJ282" s="5">
        <v>11486598542208</v>
      </c>
      <c r="AK282" s="5">
        <v>1085865816987</v>
      </c>
      <c r="AL282" s="5">
        <v>113397883947</v>
      </c>
      <c r="AM282" s="5">
        <v>112759965331875</v>
      </c>
      <c r="AN282" s="5">
        <v>134470487954905</v>
      </c>
      <c r="AO282" s="5">
        <v>13129076588231</v>
      </c>
      <c r="AP282" s="5">
        <v>13110455250645</v>
      </c>
      <c r="AQ282" s="5"/>
      <c r="AR282" s="5"/>
      <c r="AS282" s="5"/>
      <c r="AT282" s="5"/>
      <c r="AU282" s="5"/>
      <c r="AV282" s="5"/>
      <c r="AW282" s="5"/>
      <c r="AX282" s="5"/>
      <c r="AY282" s="5"/>
      <c r="AZ282" s="5"/>
      <c r="BA282" s="5"/>
    </row>
    <row r="283" spans="1:53" x14ac:dyDescent="0.45">
      <c r="A283" s="1"/>
      <c r="B283" s="2"/>
      <c r="C283" s="1" t="s">
        <v>277</v>
      </c>
      <c r="D283" s="2">
        <v>4167462</v>
      </c>
      <c r="E283" s="3" t="s">
        <v>1120</v>
      </c>
      <c r="F283" s="3" t="s">
        <v>1121</v>
      </c>
      <c r="G283" s="3" t="s">
        <v>875</v>
      </c>
      <c r="H283" s="5">
        <v>949168092827362</v>
      </c>
      <c r="I283" s="5">
        <v>973368492101577</v>
      </c>
      <c r="J283" s="5">
        <v>907906212369</v>
      </c>
      <c r="K283" s="5">
        <v>890766609994625</v>
      </c>
      <c r="L283" s="5">
        <v>869188362591412</v>
      </c>
      <c r="M283" s="5">
        <v>836211357534177</v>
      </c>
      <c r="N283" s="5">
        <v>816552211268899</v>
      </c>
      <c r="O283" s="5">
        <v>81898515884049</v>
      </c>
      <c r="P283" s="5">
        <v>832812252059674</v>
      </c>
      <c r="Q283" s="5">
        <v>822124534912621</v>
      </c>
      <c r="R283" s="5">
        <v>806793508491372</v>
      </c>
      <c r="S283" s="5">
        <v>72178365367821</v>
      </c>
      <c r="T283" s="5">
        <v>702430548460025</v>
      </c>
      <c r="U283" s="5">
        <v>70164467043616</v>
      </c>
      <c r="V283" s="5">
        <v>688660806628555</v>
      </c>
      <c r="W283" s="5">
        <v>706659557303791</v>
      </c>
      <c r="X283" s="5">
        <v>764997335718323</v>
      </c>
      <c r="Y283" s="5">
        <v>728653848653644</v>
      </c>
      <c r="Z283" s="5">
        <v>670133794695624</v>
      </c>
      <c r="AA283" s="5">
        <v>691871769083808</v>
      </c>
      <c r="AB283" s="5">
        <v>639873828881353</v>
      </c>
      <c r="AC283" s="5">
        <v>641292283372225</v>
      </c>
      <c r="AD283" s="5">
        <v>653207678181028</v>
      </c>
      <c r="AE283" s="5">
        <v>681907726370478</v>
      </c>
      <c r="AF283" s="5">
        <v>681480477106788</v>
      </c>
      <c r="AG283" s="5">
        <v>62384717326057</v>
      </c>
      <c r="AH283" s="5">
        <v>58426157249969</v>
      </c>
      <c r="AI283" s="5">
        <v>592487172806424</v>
      </c>
      <c r="AJ283" s="5">
        <v>676550643901171</v>
      </c>
      <c r="AK283" s="5">
        <v>621223319964398</v>
      </c>
      <c r="AL283" s="5">
        <v>63561562044375</v>
      </c>
      <c r="AM283" s="5">
        <v>6143555547</v>
      </c>
      <c r="AN283" s="5">
        <v>6414828618227</v>
      </c>
      <c r="AO283" s="5">
        <v>636696652013153</v>
      </c>
      <c r="AP283" s="5">
        <v>534060685955979</v>
      </c>
      <c r="AQ283" s="5"/>
      <c r="AR283" s="5"/>
      <c r="AS283" s="5"/>
      <c r="AT283" s="5"/>
      <c r="AU283" s="5"/>
      <c r="AV283" s="5"/>
      <c r="AW283" s="5"/>
      <c r="AX283" s="5"/>
      <c r="AY283" s="5"/>
      <c r="AZ283" s="5"/>
      <c r="BA283" s="5"/>
    </row>
    <row r="284" spans="1:53" x14ac:dyDescent="0.45">
      <c r="A284" s="1"/>
      <c r="B284" s="2"/>
      <c r="C284" s="1" t="s">
        <v>278</v>
      </c>
      <c r="D284" s="2">
        <v>4057757</v>
      </c>
      <c r="E284" s="3" t="s">
        <v>1122</v>
      </c>
      <c r="F284" s="3" t="s">
        <v>1123</v>
      </c>
      <c r="G284" s="3" t="s">
        <v>671</v>
      </c>
      <c r="H284" s="5">
        <v>106358258410626</v>
      </c>
      <c r="I284" s="5">
        <v>110491684666796</v>
      </c>
      <c r="J284" s="5">
        <v>104144496588609</v>
      </c>
      <c r="K284" s="5">
        <v>109527463418627</v>
      </c>
      <c r="L284" s="5">
        <v>105878085987742</v>
      </c>
      <c r="M284" s="5">
        <v>104233444551</v>
      </c>
      <c r="N284" s="5">
        <v>103503415023</v>
      </c>
      <c r="O284" s="5">
        <v>994524003</v>
      </c>
      <c r="P284" s="5">
        <v>105015240150734</v>
      </c>
      <c r="Q284" s="5">
        <v>107909698660882</v>
      </c>
      <c r="R284" s="5">
        <v>110660242683816</v>
      </c>
      <c r="S284" s="5">
        <v>107990277005092</v>
      </c>
      <c r="T284" s="5">
        <v>10503874438706</v>
      </c>
      <c r="U284" s="5">
        <v>100159337717208</v>
      </c>
      <c r="V284" s="5">
        <v>965669227164342</v>
      </c>
      <c r="W284" s="5">
        <v>994138755025741</v>
      </c>
      <c r="X284" s="5">
        <v>105687687543912</v>
      </c>
      <c r="Y284" s="5">
        <v>104178688711636</v>
      </c>
      <c r="Z284" s="5">
        <v>957976272149894</v>
      </c>
      <c r="AA284" s="5">
        <v>975762844978454</v>
      </c>
      <c r="AB284" s="5">
        <v>8856598558005</v>
      </c>
      <c r="AC284" s="5">
        <v>954835790617751</v>
      </c>
      <c r="AD284" s="5">
        <v>941030965599982</v>
      </c>
      <c r="AE284" s="5">
        <v>879651327754468</v>
      </c>
      <c r="AF284" s="5">
        <v>911295330952637</v>
      </c>
      <c r="AG284" s="5">
        <v>886841190377809</v>
      </c>
      <c r="AH284" s="5">
        <v>807254874066858</v>
      </c>
      <c r="AI284" s="5">
        <v>772008077300863</v>
      </c>
      <c r="AJ284" s="5">
        <v>79147975061564</v>
      </c>
      <c r="AK284" s="5">
        <v>75085816134776</v>
      </c>
      <c r="AL284" s="5">
        <v>807967548217822</v>
      </c>
      <c r="AM284" s="5">
        <v>733367686293</v>
      </c>
      <c r="AN284" s="5">
        <v>802247514003693</v>
      </c>
      <c r="AO284" s="5">
        <v>755255304399526</v>
      </c>
      <c r="AP284" s="5">
        <v>67720392006408</v>
      </c>
      <c r="AQ284" s="5"/>
      <c r="AR284" s="5"/>
      <c r="AS284" s="5"/>
      <c r="AT284" s="5"/>
      <c r="AU284" s="5"/>
      <c r="AV284" s="5"/>
      <c r="AW284" s="5"/>
      <c r="AX284" s="5"/>
      <c r="AY284" s="5"/>
      <c r="AZ284" s="5"/>
      <c r="BA284" s="5"/>
    </row>
    <row r="285" spans="1:53" x14ac:dyDescent="0.45">
      <c r="A285" s="1"/>
      <c r="B285" s="2"/>
      <c r="C285" s="1" t="s">
        <v>279</v>
      </c>
      <c r="D285" s="2">
        <v>4305562</v>
      </c>
      <c r="E285" s="3" t="s">
        <v>1124</v>
      </c>
      <c r="F285" s="3" t="s">
        <v>1125</v>
      </c>
      <c r="G285" s="3" t="s">
        <v>557</v>
      </c>
      <c r="H285" s="5">
        <v>122912301400983</v>
      </c>
      <c r="I285" s="5">
        <v>126596565306716</v>
      </c>
      <c r="J285" s="5">
        <v>10293080709706</v>
      </c>
      <c r="K285" s="5">
        <v>998786511209755</v>
      </c>
      <c r="L285" s="5">
        <v>878211615995305</v>
      </c>
      <c r="M285" s="5">
        <v>100113212596283</v>
      </c>
      <c r="N285" s="5">
        <v>953902908611235</v>
      </c>
      <c r="O285" s="5">
        <v>9763981295</v>
      </c>
      <c r="P285" s="5">
        <v>99098147135</v>
      </c>
      <c r="Q285" s="5">
        <v>10604473614</v>
      </c>
      <c r="R285" s="5">
        <v>106765281953261</v>
      </c>
      <c r="S285" s="5">
        <v>977905883472</v>
      </c>
      <c r="T285" s="5">
        <v>920079580798</v>
      </c>
      <c r="U285" s="5">
        <v>96380137392</v>
      </c>
      <c r="V285" s="5">
        <v>862953376152</v>
      </c>
      <c r="W285" s="5">
        <v>888045018021</v>
      </c>
      <c r="X285" s="5">
        <v>86338741035877</v>
      </c>
      <c r="Y285" s="5">
        <v>66048276546</v>
      </c>
      <c r="Z285" s="5">
        <v>620154970524</v>
      </c>
      <c r="AA285" s="5">
        <v>670627419171</v>
      </c>
      <c r="AB285" s="5">
        <v>603426770244</v>
      </c>
      <c r="AC285" s="5">
        <v>668478150108</v>
      </c>
      <c r="AD285" s="5">
        <v>592482468712621</v>
      </c>
      <c r="AE285" s="5">
        <v>714123594440963</v>
      </c>
      <c r="AF285" s="5">
        <v>8558371286932</v>
      </c>
      <c r="AG285" s="5">
        <v>90926356223115</v>
      </c>
      <c r="AH285" s="5">
        <v>78216678295398</v>
      </c>
      <c r="AI285" s="5">
        <v>856204259733011</v>
      </c>
      <c r="AJ285" s="5">
        <v>846095453588618</v>
      </c>
      <c r="AK285" s="5">
        <v>864097222714614</v>
      </c>
      <c r="AL285" s="5">
        <v>948754727678</v>
      </c>
      <c r="AM285" s="5">
        <v>10094821464375</v>
      </c>
      <c r="AN285" s="5">
        <v>10290486897611</v>
      </c>
      <c r="AO285" s="5">
        <v>107462961439148</v>
      </c>
      <c r="AP285" s="5">
        <v>1043590242555</v>
      </c>
      <c r="AQ285" s="5"/>
      <c r="AR285" s="5"/>
      <c r="AS285" s="5"/>
      <c r="AT285" s="5"/>
      <c r="AU285" s="5"/>
      <c r="AV285" s="5"/>
      <c r="AW285" s="5"/>
      <c r="AX285" s="5"/>
      <c r="AY285" s="5"/>
      <c r="AZ285" s="5"/>
      <c r="BA285" s="5"/>
    </row>
    <row r="286" spans="1:53" x14ac:dyDescent="0.45">
      <c r="A286" s="1"/>
      <c r="B286" s="2"/>
      <c r="C286" s="1" t="s">
        <v>280</v>
      </c>
      <c r="D286" s="2">
        <v>4104060</v>
      </c>
      <c r="E286" s="3" t="s">
        <v>1126</v>
      </c>
      <c r="F286" s="3" t="s">
        <v>1127</v>
      </c>
      <c r="G286" s="3" t="s">
        <v>1050</v>
      </c>
      <c r="H286" s="5">
        <v>691782539928854</v>
      </c>
      <c r="I286" s="5">
        <v>681598809953264</v>
      </c>
      <c r="J286" s="5">
        <v>730161818688081</v>
      </c>
      <c r="K286" s="5">
        <v>662477821805498</v>
      </c>
      <c r="L286" s="5">
        <v>635204432256875</v>
      </c>
      <c r="M286" s="5">
        <v>665492622330414</v>
      </c>
      <c r="N286" s="5">
        <v>56442839815</v>
      </c>
      <c r="O286" s="5">
        <v>625520213</v>
      </c>
      <c r="P286" s="5">
        <v>6020602796</v>
      </c>
      <c r="Q286" s="5">
        <v>5949639724392</v>
      </c>
      <c r="R286" s="5">
        <v>576260712486</v>
      </c>
      <c r="S286" s="5">
        <v>561239315731295</v>
      </c>
      <c r="T286" s="5">
        <v>50328883821</v>
      </c>
      <c r="U286" s="5">
        <v>474991803</v>
      </c>
      <c r="V286" s="5">
        <v>488936551602</v>
      </c>
      <c r="W286" s="5">
        <v>37588905965475</v>
      </c>
      <c r="X286" s="5">
        <v>37478514421425</v>
      </c>
      <c r="Y286" s="5">
        <v>35011887106875</v>
      </c>
      <c r="Z286" s="5">
        <v>352804269978</v>
      </c>
      <c r="AA286" s="5">
        <v>3947395834005</v>
      </c>
      <c r="AB286" s="5">
        <v>33667746057405</v>
      </c>
      <c r="AC286" s="5">
        <v>3680998940004</v>
      </c>
      <c r="AD286" s="5">
        <v>363329381539559</v>
      </c>
      <c r="AE286" s="5">
        <v>450105620952109</v>
      </c>
      <c r="AF286" s="5">
        <v>498924588795093</v>
      </c>
      <c r="AG286" s="5">
        <v>420056027352721</v>
      </c>
      <c r="AH286" s="5">
        <v>394165753917002</v>
      </c>
      <c r="AI286" s="5">
        <v>4374772795504</v>
      </c>
      <c r="AJ286" s="5">
        <v>440777385614418</v>
      </c>
      <c r="AK286" s="5">
        <v>357536448003131</v>
      </c>
      <c r="AL286" s="5">
        <v>344711198538296</v>
      </c>
      <c r="AM286" s="5">
        <v>301354306046876</v>
      </c>
      <c r="AN286" s="5">
        <v>234657460610069</v>
      </c>
      <c r="AO286" s="5">
        <v>256238687275501</v>
      </c>
      <c r="AP286" s="5">
        <v>236743704714497</v>
      </c>
      <c r="AQ286" s="5"/>
      <c r="AR286" s="5"/>
      <c r="AS286" s="5"/>
      <c r="AT286" s="5"/>
      <c r="AU286" s="5"/>
      <c r="AV286" s="5"/>
      <c r="AW286" s="5"/>
      <c r="AX286" s="5"/>
      <c r="AY286" s="5"/>
      <c r="AZ286" s="5"/>
      <c r="BA286" s="5"/>
    </row>
    <row r="287" spans="1:53" x14ac:dyDescent="0.45">
      <c r="A287" s="1"/>
      <c r="B287" s="2"/>
      <c r="C287" s="1" t="s">
        <v>281</v>
      </c>
      <c r="D287" s="2">
        <v>4075105</v>
      </c>
      <c r="E287" s="3" t="s">
        <v>1128</v>
      </c>
      <c r="F287" s="3" t="s">
        <v>1129</v>
      </c>
      <c r="G287" s="3" t="s">
        <v>1130</v>
      </c>
      <c r="H287" s="5">
        <v>166649812103443</v>
      </c>
      <c r="I287" s="5">
        <v>165656990264444</v>
      </c>
      <c r="J287" s="5">
        <v>165661987627168</v>
      </c>
      <c r="K287" s="5">
        <v>169245501475237</v>
      </c>
      <c r="L287" s="5">
        <v>172172644742371</v>
      </c>
      <c r="M287" s="5">
        <v>168187138858062</v>
      </c>
      <c r="N287" s="5">
        <v>1513831171705</v>
      </c>
      <c r="O287" s="5">
        <v>16206826121189</v>
      </c>
      <c r="P287" s="5">
        <v>165466652976545</v>
      </c>
      <c r="Q287" s="5">
        <v>16383058048</v>
      </c>
      <c r="R287" s="5">
        <v>171317487217574</v>
      </c>
      <c r="S287" s="5">
        <v>17844173787</v>
      </c>
      <c r="T287" s="5">
        <v>1712969671325</v>
      </c>
      <c r="U287" s="5">
        <v>1628778338</v>
      </c>
      <c r="V287" s="5">
        <v>179368558528519</v>
      </c>
      <c r="W287" s="5">
        <v>18546427770615</v>
      </c>
      <c r="X287" s="5">
        <v>1820093064328</v>
      </c>
      <c r="Y287" s="5">
        <v>20893466902</v>
      </c>
      <c r="Z287" s="5">
        <v>1868823969012</v>
      </c>
      <c r="AA287" s="5">
        <v>15450097577915</v>
      </c>
      <c r="AB287" s="5">
        <v>161992600977352</v>
      </c>
      <c r="AC287" s="5">
        <v>1258229996825</v>
      </c>
      <c r="AD287" s="5">
        <v>976011946877914</v>
      </c>
      <c r="AE287" s="5">
        <v>876445710312592</v>
      </c>
      <c r="AF287" s="5">
        <v>922039395250019</v>
      </c>
      <c r="AG287" s="5">
        <v>93374958574567</v>
      </c>
      <c r="AH287" s="5">
        <v>761813508145213</v>
      </c>
      <c r="AI287" s="5">
        <v>806239233569126</v>
      </c>
      <c r="AJ287" s="5">
        <v>822226366152496</v>
      </c>
      <c r="AK287" s="5">
        <v>110906783481917</v>
      </c>
      <c r="AL287" s="5">
        <v>12406065581922</v>
      </c>
      <c r="AM287" s="5">
        <v>118274705395676</v>
      </c>
      <c r="AN287" s="5">
        <v>100812781447495</v>
      </c>
      <c r="AO287" s="5">
        <v>117143648547985</v>
      </c>
      <c r="AP287" s="5">
        <v>111114772112461</v>
      </c>
      <c r="AQ287" s="5"/>
      <c r="AR287" s="5"/>
      <c r="AS287" s="5"/>
      <c r="AT287" s="5"/>
      <c r="AU287" s="5"/>
      <c r="AV287" s="5"/>
      <c r="AW287" s="5"/>
      <c r="AX287" s="5"/>
      <c r="AY287" s="5"/>
      <c r="AZ287" s="5"/>
      <c r="BA287" s="5"/>
    </row>
    <row r="288" spans="1:53" x14ac:dyDescent="0.45">
      <c r="A288" s="1"/>
      <c r="B288" s="2"/>
      <c r="C288" s="1" t="s">
        <v>282</v>
      </c>
      <c r="D288" s="2">
        <v>4382367</v>
      </c>
      <c r="E288" s="3" t="s">
        <v>1131</v>
      </c>
      <c r="F288" s="3" t="s">
        <v>1132</v>
      </c>
      <c r="G288" s="3" t="s">
        <v>1133</v>
      </c>
      <c r="H288" s="5">
        <v>793374648799567</v>
      </c>
      <c r="I288" s="5">
        <v>794956824928699</v>
      </c>
      <c r="J288" s="5">
        <v>687964092316404</v>
      </c>
      <c r="K288" s="5">
        <v>660432065914249</v>
      </c>
      <c r="L288" s="5">
        <v>66168192403518</v>
      </c>
      <c r="M288" s="5">
        <v>713410961568879</v>
      </c>
      <c r="N288" s="5">
        <v>70686491745764</v>
      </c>
      <c r="O288" s="5">
        <v>69878424146434</v>
      </c>
      <c r="P288" s="5">
        <v>68450457093485</v>
      </c>
      <c r="Q288" s="5">
        <v>7167863232908</v>
      </c>
      <c r="R288" s="5">
        <v>709653877115076</v>
      </c>
      <c r="S288" s="5">
        <v>669057513466523</v>
      </c>
      <c r="T288" s="5">
        <v>637798768418479</v>
      </c>
      <c r="U288" s="5">
        <v>64334775373088</v>
      </c>
      <c r="V288" s="5">
        <v>648157277885872</v>
      </c>
      <c r="W288" s="5">
        <v>727483783875947</v>
      </c>
      <c r="X288" s="5">
        <v>739973962732135</v>
      </c>
      <c r="Y288" s="5">
        <v>682025233205344</v>
      </c>
      <c r="Z288" s="5">
        <v>598810776102171</v>
      </c>
      <c r="AA288" s="5">
        <v>630340668216515</v>
      </c>
      <c r="AB288" s="5">
        <v>638557111549464</v>
      </c>
      <c r="AC288" s="5">
        <v>588337267450796</v>
      </c>
      <c r="AD288" s="5">
        <v>704068325380272</v>
      </c>
      <c r="AE288" s="5">
        <v>726267254106224</v>
      </c>
      <c r="AF288" s="5">
        <v>791784248120335</v>
      </c>
      <c r="AG288" s="5">
        <v>813329252499897</v>
      </c>
      <c r="AH288" s="5">
        <v>66096036660564</v>
      </c>
      <c r="AI288" s="5">
        <v>711230894008694</v>
      </c>
      <c r="AJ288" s="5">
        <v>76603862419742</v>
      </c>
      <c r="AK288" s="5">
        <v>75575068551812</v>
      </c>
      <c r="AL288" s="5">
        <v>800261426761154</v>
      </c>
      <c r="AM288" s="5">
        <v>818548453209199</v>
      </c>
      <c r="AN288" s="5">
        <v>866544756752163</v>
      </c>
      <c r="AO288" s="5">
        <v>889856977197493</v>
      </c>
      <c r="AP288" s="5">
        <v>75822613321536</v>
      </c>
      <c r="AQ288" s="5"/>
      <c r="AR288" s="5"/>
      <c r="AS288" s="5"/>
      <c r="AT288" s="5"/>
      <c r="AU288" s="5"/>
      <c r="AV288" s="5"/>
      <c r="AW288" s="5"/>
      <c r="AX288" s="5"/>
      <c r="AY288" s="5"/>
      <c r="AZ288" s="5"/>
      <c r="BA288" s="5"/>
    </row>
    <row r="289" spans="1:53" x14ac:dyDescent="0.45">
      <c r="A289" s="1"/>
      <c r="B289" s="2"/>
      <c r="C289" s="1" t="s">
        <v>283</v>
      </c>
      <c r="D289" s="2">
        <v>3010401</v>
      </c>
      <c r="E289" s="3" t="s">
        <v>1134</v>
      </c>
      <c r="F289" s="3" t="s">
        <v>1135</v>
      </c>
      <c r="G289" s="3" t="s">
        <v>507</v>
      </c>
      <c r="H289" s="5">
        <v>611869804012976</v>
      </c>
      <c r="I289" s="5">
        <v>624246698189312</v>
      </c>
      <c r="J289" s="5">
        <v>626593709287905</v>
      </c>
      <c r="K289" s="5">
        <v>581831599830987</v>
      </c>
      <c r="L289" s="5">
        <v>594728580715897</v>
      </c>
      <c r="M289" s="5">
        <v>581650522299567</v>
      </c>
      <c r="N289" s="5">
        <v>575012580912</v>
      </c>
      <c r="O289" s="5">
        <v>58932729856</v>
      </c>
      <c r="P289" s="5">
        <v>5738769324288</v>
      </c>
      <c r="Q289" s="5">
        <v>562043800869271</v>
      </c>
      <c r="R289" s="5">
        <v>57700541500398</v>
      </c>
      <c r="S289" s="5">
        <v>5357312416548</v>
      </c>
      <c r="T289" s="5">
        <v>5287835628966</v>
      </c>
      <c r="U289" s="5">
        <v>504939344866</v>
      </c>
      <c r="V289" s="5">
        <v>539556864</v>
      </c>
      <c r="W289" s="5">
        <v>50275758456</v>
      </c>
      <c r="X289" s="5">
        <v>50122022874</v>
      </c>
      <c r="Y289" s="5">
        <v>530405594612907</v>
      </c>
      <c r="Z289" s="5">
        <v>541805015124</v>
      </c>
      <c r="AA289" s="5">
        <v>4980390533118</v>
      </c>
      <c r="AB289" s="5">
        <v>4737270033711</v>
      </c>
      <c r="AC289" s="5">
        <v>478362813306</v>
      </c>
      <c r="AD289" s="5">
        <v>475442516086651</v>
      </c>
      <c r="AE289" s="5">
        <v>440533530588486</v>
      </c>
      <c r="AF289" s="5">
        <v>435309973457746</v>
      </c>
      <c r="AG289" s="5">
        <v>428746130193172</v>
      </c>
      <c r="AH289" s="5">
        <v>395182365157245</v>
      </c>
      <c r="AI289" s="5">
        <v>397198069396691</v>
      </c>
      <c r="AJ289" s="5">
        <v>430501167732633</v>
      </c>
      <c r="AK289" s="5">
        <v>3908576882763</v>
      </c>
      <c r="AL289" s="5">
        <v>41413271043284</v>
      </c>
      <c r="AM289" s="5">
        <v>4004032009959</v>
      </c>
      <c r="AN289" s="5">
        <v>430155816251036</v>
      </c>
      <c r="AO289" s="5">
        <v>40917763515853</v>
      </c>
      <c r="AP289" s="5">
        <v>42872347063415</v>
      </c>
      <c r="AQ289" s="5"/>
      <c r="AR289" s="5"/>
      <c r="AS289" s="5"/>
      <c r="AT289" s="5"/>
      <c r="AU289" s="5"/>
      <c r="AV289" s="5"/>
      <c r="AW289" s="5"/>
      <c r="AX289" s="5"/>
      <c r="AY289" s="5"/>
      <c r="AZ289" s="5"/>
      <c r="BA289" s="5"/>
    </row>
    <row r="290" spans="1:53" x14ac:dyDescent="0.45">
      <c r="A290" s="1"/>
      <c r="B290" s="2"/>
      <c r="C290" s="1" t="s">
        <v>284</v>
      </c>
      <c r="D290" s="2">
        <v>4004236</v>
      </c>
      <c r="E290" s="3" t="s">
        <v>1136</v>
      </c>
      <c r="F290" s="3" t="s">
        <v>1137</v>
      </c>
      <c r="G290" s="3" t="s">
        <v>778</v>
      </c>
      <c r="H290" s="5">
        <v>849884718549413</v>
      </c>
      <c r="I290" s="5">
        <v>827745567872047</v>
      </c>
      <c r="J290" s="5">
        <v>770670745212373</v>
      </c>
      <c r="K290" s="5">
        <v>720084141980656</v>
      </c>
      <c r="L290" s="5">
        <v>729949181395755</v>
      </c>
      <c r="M290" s="5">
        <v>822402723016003</v>
      </c>
      <c r="N290" s="5">
        <v>85366874716052</v>
      </c>
      <c r="O290" s="5">
        <v>778519287066472</v>
      </c>
      <c r="P290" s="5">
        <v>839501842461541</v>
      </c>
      <c r="Q290" s="5">
        <v>862294314700354</v>
      </c>
      <c r="R290" s="5">
        <v>890851066815494</v>
      </c>
      <c r="S290" s="5">
        <v>811067158736974</v>
      </c>
      <c r="T290" s="5">
        <v>801926356373758</v>
      </c>
      <c r="U290" s="5">
        <v>788852067602174</v>
      </c>
      <c r="V290" s="5">
        <v>762505137137345</v>
      </c>
      <c r="W290" s="5">
        <v>78593508112282</v>
      </c>
      <c r="X290" s="5">
        <v>867580412882654</v>
      </c>
      <c r="Y290" s="5">
        <v>833414152961082</v>
      </c>
      <c r="Z290" s="5">
        <v>837388251276797</v>
      </c>
      <c r="AA290" s="5">
        <v>835924076449351</v>
      </c>
      <c r="AB290" s="5">
        <v>867016121799037</v>
      </c>
      <c r="AC290" s="5">
        <v>965630405072487</v>
      </c>
      <c r="AD290" s="5">
        <v>976015461844549</v>
      </c>
      <c r="AE290" s="5">
        <v>98082175565</v>
      </c>
      <c r="AF290" s="5">
        <v>106702868786684</v>
      </c>
      <c r="AG290" s="5">
        <v>101261544731874</v>
      </c>
      <c r="AH290" s="5">
        <v>942524323185292</v>
      </c>
      <c r="AI290" s="5">
        <v>853372296630351</v>
      </c>
      <c r="AJ290" s="5">
        <v>892091858835153</v>
      </c>
      <c r="AK290" s="5">
        <v>833740115864456</v>
      </c>
      <c r="AL290" s="5">
        <v>796441377146931</v>
      </c>
      <c r="AM290" s="5">
        <v>759061340670251</v>
      </c>
      <c r="AN290" s="5">
        <v>806851354483591</v>
      </c>
      <c r="AO290" s="5">
        <v>748313374627655</v>
      </c>
      <c r="AP290" s="5">
        <v>705928235312183</v>
      </c>
      <c r="AQ290" s="5"/>
      <c r="AR290" s="5"/>
      <c r="AS290" s="5"/>
      <c r="AT290" s="5"/>
      <c r="AU290" s="5"/>
      <c r="AV290" s="5"/>
      <c r="AW290" s="5"/>
      <c r="AX290" s="5"/>
      <c r="AY290" s="5"/>
      <c r="AZ290" s="5"/>
      <c r="BA290" s="5"/>
    </row>
    <row r="291" spans="1:53" x14ac:dyDescent="0.45">
      <c r="A291" s="1"/>
      <c r="B291" s="2"/>
      <c r="C291" s="1" t="s">
        <v>285</v>
      </c>
      <c r="D291" s="2">
        <v>4057051</v>
      </c>
      <c r="E291" s="3" t="s">
        <v>1138</v>
      </c>
      <c r="F291" s="3" t="s">
        <v>1139</v>
      </c>
      <c r="G291" s="3" t="s">
        <v>519</v>
      </c>
      <c r="H291" s="5">
        <v>719996748590537</v>
      </c>
      <c r="I291" s="5">
        <v>778563993025311</v>
      </c>
      <c r="J291" s="5">
        <v>738155986084782</v>
      </c>
      <c r="K291" s="5">
        <v>705564681783145</v>
      </c>
      <c r="L291" s="5">
        <v>737354247252836</v>
      </c>
      <c r="M291" s="5">
        <v>717900905391561</v>
      </c>
      <c r="N291" s="5">
        <v>721671264087084</v>
      </c>
      <c r="O291" s="5">
        <v>75330227814633</v>
      </c>
      <c r="P291" s="5">
        <v>72045648065547</v>
      </c>
      <c r="Q291" s="5">
        <v>719615459150297</v>
      </c>
      <c r="R291" s="5">
        <v>728504138446362</v>
      </c>
      <c r="S291" s="5">
        <v>669044411958923</v>
      </c>
      <c r="T291" s="5">
        <v>676885100286105</v>
      </c>
      <c r="U291" s="5">
        <v>6698499977191</v>
      </c>
      <c r="V291" s="5">
        <v>683755384961931</v>
      </c>
      <c r="W291" s="5">
        <v>691070200329549</v>
      </c>
      <c r="X291" s="5">
        <v>691905159742243</v>
      </c>
      <c r="Y291" s="5">
        <v>738408154573258</v>
      </c>
      <c r="Z291" s="5">
        <v>767846098434425</v>
      </c>
      <c r="AA291" s="5">
        <v>689372171058484</v>
      </c>
      <c r="AB291" s="5">
        <v>635967248789918</v>
      </c>
      <c r="AC291" s="5">
        <v>632238635175595</v>
      </c>
      <c r="AD291" s="5">
        <v>618744633228612</v>
      </c>
      <c r="AE291" s="5">
        <v>57245574964806</v>
      </c>
      <c r="AF291" s="5">
        <v>578843897861196</v>
      </c>
      <c r="AG291" s="5">
        <v>552288073347319</v>
      </c>
      <c r="AH291" s="5">
        <v>528336799184262</v>
      </c>
      <c r="AI291" s="5">
        <v>476447725108638</v>
      </c>
      <c r="AJ291" s="5">
        <v>501581294877469</v>
      </c>
      <c r="AK291" s="5">
        <v>1298977244495</v>
      </c>
      <c r="AL291" s="5">
        <v>136434546990063</v>
      </c>
      <c r="AM291" s="5">
        <v>123094707631775</v>
      </c>
      <c r="AN291" s="5">
        <v>12998316719232</v>
      </c>
      <c r="AO291" s="5">
        <v>12101206674102</v>
      </c>
      <c r="AP291" s="5">
        <v>120968489565</v>
      </c>
      <c r="AQ291" s="5"/>
      <c r="AR291" s="5"/>
      <c r="AS291" s="5"/>
      <c r="AT291" s="5"/>
      <c r="AU291" s="5"/>
      <c r="AV291" s="5"/>
      <c r="AW291" s="5"/>
      <c r="AX291" s="5"/>
      <c r="AY291" s="5"/>
      <c r="AZ291" s="5"/>
      <c r="BA291" s="5"/>
    </row>
    <row r="292" spans="1:53" x14ac:dyDescent="0.45">
      <c r="A292" s="1"/>
      <c r="B292" s="2"/>
      <c r="C292" s="1" t="s">
        <v>286</v>
      </c>
      <c r="D292" s="2">
        <v>4298336</v>
      </c>
      <c r="E292" s="3" t="s">
        <v>1140</v>
      </c>
      <c r="F292" s="3" t="s">
        <v>1141</v>
      </c>
      <c r="G292" s="3" t="s">
        <v>804</v>
      </c>
      <c r="H292" s="5">
        <v>704045539892736</v>
      </c>
      <c r="I292" s="5">
        <v>621829880010544</v>
      </c>
      <c r="J292" s="5">
        <v>627846135127893</v>
      </c>
      <c r="K292" s="5">
        <v>578439271658655</v>
      </c>
      <c r="L292" s="5">
        <v>531005994876</v>
      </c>
      <c r="M292" s="5">
        <v>6210789472732</v>
      </c>
      <c r="N292" s="5">
        <v>612880159935888</v>
      </c>
      <c r="O292" s="5">
        <v>59441851152</v>
      </c>
      <c r="P292" s="5">
        <v>661244652359096</v>
      </c>
      <c r="Q292" s="5">
        <v>661080118863069</v>
      </c>
      <c r="R292" s="5">
        <v>65070550956</v>
      </c>
      <c r="S292" s="5">
        <v>604319897074435</v>
      </c>
      <c r="T292" s="5">
        <v>608729411737444</v>
      </c>
      <c r="U292" s="5">
        <v>577448750908744</v>
      </c>
      <c r="V292" s="5">
        <v>522498794988962</v>
      </c>
      <c r="W292" s="5">
        <v>506926638800041</v>
      </c>
      <c r="X292" s="5">
        <v>5065252173828</v>
      </c>
      <c r="Y292" s="5">
        <v>450788577912398</v>
      </c>
      <c r="Z292" s="5">
        <v>429517081498642</v>
      </c>
      <c r="AA292" s="5">
        <v>4458871052829</v>
      </c>
      <c r="AB292" s="5">
        <v>381815041737058</v>
      </c>
      <c r="AC292" s="5">
        <v>3759961896315</v>
      </c>
      <c r="AD292" s="5">
        <v>318802196561867</v>
      </c>
      <c r="AE292" s="5">
        <v>337182193188716</v>
      </c>
      <c r="AF292" s="5">
        <v>413723802648384</v>
      </c>
      <c r="AG292" s="5">
        <v>389321724660323</v>
      </c>
      <c r="AH292" s="5">
        <v>339866417131667</v>
      </c>
      <c r="AI292" s="5">
        <v>357876224699</v>
      </c>
      <c r="AJ292" s="5">
        <v>40807181851945</v>
      </c>
      <c r="AK292" s="5">
        <v>42537929976675</v>
      </c>
      <c r="AL292" s="5">
        <v>4540043086056</v>
      </c>
      <c r="AM292" s="5">
        <v>43815391722</v>
      </c>
      <c r="AN292" s="5">
        <v>4490877037776</v>
      </c>
      <c r="AO292" s="5">
        <v>4225279502472</v>
      </c>
      <c r="AP292" s="5">
        <v>400031268957</v>
      </c>
      <c r="AQ292" s="5"/>
      <c r="AR292" s="5"/>
      <c r="AS292" s="5"/>
      <c r="AT292" s="5"/>
      <c r="AU292" s="5"/>
      <c r="AV292" s="5"/>
      <c r="AW292" s="5"/>
      <c r="AX292" s="5"/>
      <c r="AY292" s="5"/>
      <c r="AZ292" s="5"/>
      <c r="BA292" s="5"/>
    </row>
    <row r="293" spans="1:53" x14ac:dyDescent="0.45">
      <c r="A293" s="1"/>
      <c r="B293" s="2"/>
      <c r="C293" s="1" t="s">
        <v>287</v>
      </c>
      <c r="D293" s="2">
        <v>4021829</v>
      </c>
      <c r="E293" s="3" t="s">
        <v>1142</v>
      </c>
      <c r="F293" s="3" t="s">
        <v>1143</v>
      </c>
      <c r="G293" s="3" t="s">
        <v>761</v>
      </c>
      <c r="H293" s="5">
        <v>345303499178635</v>
      </c>
      <c r="I293" s="5">
        <v>33309894240658</v>
      </c>
      <c r="J293" s="5">
        <v>323032712410115</v>
      </c>
      <c r="K293" s="5">
        <v>32000043504</v>
      </c>
      <c r="L293" s="5">
        <v>2924754503584</v>
      </c>
      <c r="M293" s="5">
        <v>275283206940888</v>
      </c>
      <c r="N293" s="5">
        <v>30910847089</v>
      </c>
      <c r="O293" s="5">
        <v>31987857926</v>
      </c>
      <c r="P293" s="5">
        <v>312479371031365</v>
      </c>
      <c r="Q293" s="5">
        <v>304079169911147</v>
      </c>
      <c r="R293" s="5">
        <v>33125681043</v>
      </c>
      <c r="S293" s="5">
        <v>3161226985644</v>
      </c>
      <c r="T293" s="5">
        <v>2988727312934</v>
      </c>
      <c r="U293" s="5">
        <v>294016160504</v>
      </c>
      <c r="V293" s="5">
        <v>24772043208</v>
      </c>
      <c r="W293" s="5">
        <v>2534787488295</v>
      </c>
      <c r="X293" s="5">
        <v>247265760559622</v>
      </c>
      <c r="Y293" s="5">
        <v>235863160378236</v>
      </c>
      <c r="Z293" s="5">
        <v>232265584755</v>
      </c>
      <c r="AA293" s="5">
        <v>22886230239</v>
      </c>
      <c r="AB293" s="5">
        <v>238399025895</v>
      </c>
      <c r="AC293" s="5">
        <v>200856602275879</v>
      </c>
      <c r="AD293" s="5">
        <v>194021121145662</v>
      </c>
      <c r="AE293" s="5">
        <v>23254477119958</v>
      </c>
      <c r="AF293" s="5">
        <v>268650217234349</v>
      </c>
      <c r="AG293" s="5">
        <v>216687620509617</v>
      </c>
      <c r="AH293" s="5">
        <v>206324072139488</v>
      </c>
      <c r="AI293" s="5">
        <v>209627068568405</v>
      </c>
      <c r="AJ293" s="5">
        <v>230052498363803</v>
      </c>
      <c r="AK293" s="5">
        <v>239085622626178</v>
      </c>
      <c r="AL293" s="5">
        <v>256778730523534</v>
      </c>
      <c r="AM293" s="5">
        <v>275949917148405</v>
      </c>
      <c r="AN293" s="5">
        <v>293468046546553</v>
      </c>
      <c r="AO293" s="5">
        <v>29927894212552</v>
      </c>
      <c r="AP293" s="5">
        <v>278402261941906</v>
      </c>
      <c r="AQ293" s="5"/>
      <c r="AR293" s="5"/>
      <c r="AS293" s="5"/>
      <c r="AT293" s="5"/>
      <c r="AU293" s="5"/>
      <c r="AV293" s="5"/>
      <c r="AW293" s="5"/>
      <c r="AX293" s="5"/>
      <c r="AY293" s="5"/>
      <c r="AZ293" s="5"/>
      <c r="BA293" s="5"/>
    </row>
    <row r="294" spans="1:53" x14ac:dyDescent="0.45">
      <c r="A294" s="1"/>
      <c r="B294" s="2"/>
      <c r="C294" s="1" t="s">
        <v>288</v>
      </c>
      <c r="D294" s="2">
        <v>100386</v>
      </c>
      <c r="E294" s="3" t="s">
        <v>1144</v>
      </c>
      <c r="F294" s="3" t="s">
        <v>1145</v>
      </c>
      <c r="G294" s="3" t="s">
        <v>536</v>
      </c>
      <c r="H294" s="5">
        <v>189187979451462</v>
      </c>
      <c r="I294" s="5">
        <v>186726086611368</v>
      </c>
      <c r="J294" s="5">
        <v>18269576121991</v>
      </c>
      <c r="K294" s="5">
        <v>177720885382532</v>
      </c>
      <c r="L294" s="5">
        <v>170281101584884</v>
      </c>
      <c r="M294" s="5">
        <v>169655929733639</v>
      </c>
      <c r="N294" s="5">
        <v>1956211607835</v>
      </c>
      <c r="O294" s="5">
        <v>17867061144</v>
      </c>
      <c r="P294" s="5">
        <v>1896459318</v>
      </c>
      <c r="Q294" s="5">
        <v>1858090747968</v>
      </c>
      <c r="R294" s="5">
        <v>188258490813357</v>
      </c>
      <c r="S294" s="5">
        <v>175745467152</v>
      </c>
      <c r="T294" s="5">
        <v>1910097022795</v>
      </c>
      <c r="U294" s="5">
        <v>17596758377</v>
      </c>
      <c r="V294" s="5">
        <v>1496159049144</v>
      </c>
      <c r="W294" s="5">
        <v>13705818100065</v>
      </c>
      <c r="X294" s="5">
        <v>143483623953665</v>
      </c>
      <c r="Y294" s="5">
        <v>137064101495815</v>
      </c>
      <c r="Z294" s="5">
        <v>1361289648672</v>
      </c>
      <c r="AA294" s="5">
        <v>151914757488</v>
      </c>
      <c r="AB294" s="5">
        <v>141606389960394</v>
      </c>
      <c r="AC294" s="5">
        <v>125167915154797</v>
      </c>
      <c r="AD294" s="5">
        <v>13154879270208</v>
      </c>
      <c r="AE294" s="5">
        <v>153476794819177</v>
      </c>
      <c r="AF294" s="5">
        <v>164014867116149</v>
      </c>
      <c r="AG294" s="5">
        <v>147595253195141</v>
      </c>
      <c r="AH294" s="5">
        <v>142214315321224</v>
      </c>
      <c r="AI294" s="5">
        <v>145182937205936</v>
      </c>
      <c r="AJ294" s="5">
        <v>161215466948148</v>
      </c>
      <c r="AK294" s="5">
        <v>160361358633</v>
      </c>
      <c r="AL294" s="5">
        <v>1586892643665</v>
      </c>
      <c r="AM294" s="5">
        <v>1526501990475</v>
      </c>
      <c r="AN294" s="5">
        <v>15146456126254</v>
      </c>
      <c r="AO294" s="5">
        <v>145410582174844</v>
      </c>
      <c r="AP294" s="5">
        <v>13515750995985</v>
      </c>
      <c r="AQ294" s="5"/>
      <c r="AR294" s="5"/>
      <c r="AS294" s="5"/>
      <c r="AT294" s="5"/>
      <c r="AU294" s="5"/>
      <c r="AV294" s="5"/>
      <c r="AW294" s="5"/>
      <c r="AX294" s="5"/>
      <c r="AY294" s="5"/>
      <c r="AZ294" s="5"/>
      <c r="BA294" s="5"/>
    </row>
    <row r="295" spans="1:53" x14ac:dyDescent="0.45">
      <c r="A295" s="1"/>
      <c r="B295" s="2"/>
      <c r="C295" s="1" t="s">
        <v>289</v>
      </c>
      <c r="D295" s="2">
        <v>4069910</v>
      </c>
      <c r="E295" s="3" t="s">
        <v>1146</v>
      </c>
      <c r="F295" s="3" t="s">
        <v>1147</v>
      </c>
      <c r="G295" s="3" t="s">
        <v>600</v>
      </c>
      <c r="H295" s="5">
        <v>444935385549503</v>
      </c>
      <c r="I295" s="5">
        <v>449338061154532</v>
      </c>
      <c r="J295" s="5">
        <v>441916205961209</v>
      </c>
      <c r="K295" s="5">
        <v>423814978332555</v>
      </c>
      <c r="L295" s="5">
        <v>399072955674943</v>
      </c>
      <c r="M295" s="5">
        <v>388693042586773</v>
      </c>
      <c r="N295" s="5">
        <v>3927935240955</v>
      </c>
      <c r="O295" s="5">
        <v>40274311506</v>
      </c>
      <c r="P295" s="5">
        <v>394084225107121</v>
      </c>
      <c r="Q295" s="5">
        <v>38883029230291</v>
      </c>
      <c r="R295" s="5">
        <v>40639682988</v>
      </c>
      <c r="S295" s="5">
        <v>37065434826269</v>
      </c>
      <c r="T295" s="5">
        <v>3883413797284</v>
      </c>
      <c r="U295" s="5">
        <v>41627130314</v>
      </c>
      <c r="V295" s="5">
        <v>36827693896</v>
      </c>
      <c r="W295" s="5">
        <v>33989124066975</v>
      </c>
      <c r="X295" s="5">
        <v>3397157995616</v>
      </c>
      <c r="Y295" s="5">
        <v>346208104944144</v>
      </c>
      <c r="Z295" s="5">
        <v>361174330917</v>
      </c>
      <c r="AA295" s="5">
        <v>34483025712825</v>
      </c>
      <c r="AB295" s="5">
        <v>324986008792265</v>
      </c>
      <c r="AC295" s="5">
        <v>320175627866896</v>
      </c>
      <c r="AD295" s="5">
        <v>310070332432225</v>
      </c>
      <c r="AE295" s="5">
        <v>317067092461448</v>
      </c>
      <c r="AF295" s="5">
        <v>321721964511763</v>
      </c>
      <c r="AG295" s="5">
        <v>31052734731956</v>
      </c>
      <c r="AH295" s="5">
        <v>278651729644607</v>
      </c>
      <c r="AI295" s="5">
        <v>273928290462247</v>
      </c>
      <c r="AJ295" s="5">
        <v>293456682866888</v>
      </c>
      <c r="AK295" s="5">
        <v>275968928356764</v>
      </c>
      <c r="AL295" s="5">
        <v>28105967333745</v>
      </c>
      <c r="AM295" s="5">
        <v>266640419501413</v>
      </c>
      <c r="AN295" s="5">
        <v>29727094792096</v>
      </c>
      <c r="AO295" s="5">
        <v>29322117889181</v>
      </c>
      <c r="AP295" s="5">
        <v>280815904065375</v>
      </c>
      <c r="AQ295" s="5"/>
      <c r="AR295" s="5"/>
      <c r="AS295" s="5"/>
      <c r="AT295" s="5"/>
      <c r="AU295" s="5"/>
      <c r="AV295" s="5"/>
      <c r="AW295" s="5"/>
      <c r="AX295" s="5"/>
      <c r="AY295" s="5"/>
      <c r="AZ295" s="5"/>
      <c r="BA295" s="5"/>
    </row>
    <row r="296" spans="1:53" x14ac:dyDescent="0.45">
      <c r="A296" s="1"/>
      <c r="B296" s="2"/>
      <c r="C296" s="1" t="s">
        <v>290</v>
      </c>
      <c r="D296" s="2">
        <v>4232236</v>
      </c>
      <c r="E296" s="3" t="s">
        <v>1148</v>
      </c>
      <c r="F296" s="3" t="s">
        <v>1149</v>
      </c>
      <c r="G296" s="3" t="s">
        <v>628</v>
      </c>
      <c r="H296" s="5">
        <v>10131598518138</v>
      </c>
      <c r="I296" s="5">
        <v>103901173350574</v>
      </c>
      <c r="J296" s="5">
        <v>10926516061679</v>
      </c>
      <c r="K296" s="5">
        <v>104342458737705</v>
      </c>
      <c r="L296" s="5">
        <v>1142436960649</v>
      </c>
      <c r="M296" s="5">
        <v>106495519654271</v>
      </c>
      <c r="N296" s="5">
        <v>108451653045203</v>
      </c>
      <c r="O296" s="5">
        <v>101359339075286</v>
      </c>
      <c r="P296" s="5">
        <v>11279202339584</v>
      </c>
      <c r="Q296" s="5">
        <v>107848699251534</v>
      </c>
      <c r="R296" s="5">
        <v>108568643886378</v>
      </c>
      <c r="S296" s="5">
        <v>98948005269138</v>
      </c>
      <c r="T296" s="5">
        <v>915277829245058</v>
      </c>
      <c r="U296" s="5">
        <v>855565643571012</v>
      </c>
      <c r="V296" s="5">
        <v>805461447119051</v>
      </c>
      <c r="W296" s="5">
        <v>761737741780451</v>
      </c>
      <c r="X296" s="5">
        <v>731198092325535</v>
      </c>
      <c r="Y296" s="5">
        <v>865460721723255</v>
      </c>
      <c r="Z296" s="5">
        <v>814362793051572</v>
      </c>
      <c r="AA296" s="5">
        <v>946657343070826</v>
      </c>
      <c r="AB296" s="5">
        <v>968673463530319</v>
      </c>
      <c r="AC296" s="5">
        <v>102804916902567</v>
      </c>
      <c r="AD296" s="5">
        <v>955170575156975</v>
      </c>
      <c r="AE296" s="5">
        <v>122916173450372</v>
      </c>
      <c r="AF296" s="5">
        <v>124761659147154</v>
      </c>
      <c r="AG296" s="5">
        <v>13220710356344</v>
      </c>
      <c r="AH296" s="5">
        <v>117655581517396</v>
      </c>
      <c r="AI296" s="5">
        <v>117836005182336</v>
      </c>
      <c r="AJ296" s="5">
        <v>129804936477019</v>
      </c>
      <c r="AK296" s="5">
        <v>115584721074509</v>
      </c>
      <c r="AL296" s="5">
        <v>114211840474373</v>
      </c>
      <c r="AM296" s="5">
        <v>98674189423425</v>
      </c>
      <c r="AN296" s="5">
        <v>114893260800008</v>
      </c>
      <c r="AO296" s="5">
        <v>100164497566546</v>
      </c>
      <c r="AP296" s="5">
        <v>863419363836</v>
      </c>
      <c r="AQ296" s="5"/>
      <c r="AR296" s="5"/>
      <c r="AS296" s="5"/>
      <c r="AT296" s="5"/>
      <c r="AU296" s="5"/>
      <c r="AV296" s="5"/>
      <c r="AW296" s="5"/>
      <c r="AX296" s="5"/>
      <c r="AY296" s="5"/>
      <c r="AZ296" s="5"/>
      <c r="BA296" s="5"/>
    </row>
    <row r="297" spans="1:53" x14ac:dyDescent="0.45">
      <c r="A297" s="1"/>
      <c r="B297" s="2"/>
      <c r="C297" s="1" t="s">
        <v>291</v>
      </c>
      <c r="D297" s="2">
        <v>4057436</v>
      </c>
      <c r="E297" s="3" t="s">
        <v>1150</v>
      </c>
      <c r="F297" s="3" t="s">
        <v>1151</v>
      </c>
      <c r="G297" s="3" t="s">
        <v>507</v>
      </c>
      <c r="H297" s="5">
        <v>751015578510106</v>
      </c>
      <c r="I297" s="5">
        <v>73516958798513</v>
      </c>
      <c r="J297" s="5">
        <v>67959933607</v>
      </c>
      <c r="K297" s="5">
        <v>685191164851571</v>
      </c>
      <c r="L297" s="5">
        <v>663830447894401</v>
      </c>
      <c r="M297" s="5">
        <v>660297972244547</v>
      </c>
      <c r="N297" s="5">
        <v>477073326868593</v>
      </c>
      <c r="O297" s="5">
        <v>45178896176414</v>
      </c>
      <c r="P297" s="5">
        <v>49026599856</v>
      </c>
      <c r="Q297" s="5">
        <v>55276828992</v>
      </c>
      <c r="R297" s="5">
        <v>49290226870968</v>
      </c>
      <c r="S297" s="5">
        <v>483494382192</v>
      </c>
      <c r="T297" s="5">
        <v>366348798512</v>
      </c>
      <c r="U297" s="5">
        <v>33839267616</v>
      </c>
      <c r="V297" s="5">
        <v>305784144736</v>
      </c>
      <c r="W297" s="5">
        <v>314428003092</v>
      </c>
      <c r="X297" s="5">
        <v>342497520517425</v>
      </c>
      <c r="Y297" s="5">
        <v>390050927028</v>
      </c>
      <c r="Z297" s="5">
        <v>4250575035405</v>
      </c>
      <c r="AA297" s="5">
        <v>463492379259</v>
      </c>
      <c r="AB297" s="5">
        <v>41647403922</v>
      </c>
      <c r="AC297" s="5">
        <v>312482646733326</v>
      </c>
      <c r="AD297" s="5">
        <v>308928200946557</v>
      </c>
      <c r="AE297" s="5">
        <v>340480034165062</v>
      </c>
      <c r="AF297" s="5">
        <v>367566133639742</v>
      </c>
      <c r="AG297" s="5">
        <v>386512796957871</v>
      </c>
      <c r="AH297" s="5">
        <v>439981281761002</v>
      </c>
      <c r="AI297" s="5">
        <v>588023517559338</v>
      </c>
      <c r="AJ297" s="5">
        <v>677681537177018</v>
      </c>
      <c r="AK297" s="5">
        <v>685015165903068</v>
      </c>
      <c r="AL297" s="5">
        <v>76573720251</v>
      </c>
      <c r="AM297" s="5">
        <v>760182279525</v>
      </c>
      <c r="AN297" s="5">
        <v>79183100129925</v>
      </c>
      <c r="AO297" s="5">
        <v>722214076031231</v>
      </c>
      <c r="AP297" s="5">
        <v>738516993662263</v>
      </c>
      <c r="AQ297" s="5"/>
      <c r="AR297" s="5"/>
      <c r="AS297" s="5"/>
      <c r="AT297" s="5"/>
      <c r="AU297" s="5"/>
      <c r="AV297" s="5"/>
      <c r="AW297" s="5"/>
      <c r="AX297" s="5"/>
      <c r="AY297" s="5"/>
      <c r="AZ297" s="5"/>
      <c r="BA297" s="5"/>
    </row>
    <row r="298" spans="1:53" x14ac:dyDescent="0.45">
      <c r="A298" s="1"/>
      <c r="B298" s="2"/>
      <c r="C298" s="1" t="s">
        <v>292</v>
      </c>
      <c r="D298" s="2">
        <v>4121108</v>
      </c>
      <c r="E298" s="3" t="s">
        <v>1152</v>
      </c>
      <c r="F298" s="3" t="s">
        <v>1153</v>
      </c>
      <c r="G298" s="3" t="s">
        <v>1154</v>
      </c>
      <c r="H298" s="5">
        <v>168335047682958</v>
      </c>
      <c r="I298" s="5">
        <v>153498912915735</v>
      </c>
      <c r="J298" s="5">
        <v>158677936113657</v>
      </c>
      <c r="K298" s="5">
        <v>151457229598791</v>
      </c>
      <c r="L298" s="5">
        <v>148239610539507</v>
      </c>
      <c r="M298" s="5">
        <v>1561207205475</v>
      </c>
      <c r="N298" s="5">
        <v>1618319069775</v>
      </c>
      <c r="O298" s="5">
        <v>1649775645</v>
      </c>
      <c r="P298" s="5">
        <v>17956087006</v>
      </c>
      <c r="Q298" s="5">
        <v>17816195936</v>
      </c>
      <c r="R298" s="5">
        <v>18793219462457</v>
      </c>
      <c r="S298" s="5">
        <v>1714495463547</v>
      </c>
      <c r="T298" s="5">
        <v>1795751594304</v>
      </c>
      <c r="U298" s="5">
        <v>187373208726</v>
      </c>
      <c r="V298" s="5">
        <v>141895407864</v>
      </c>
      <c r="W298" s="5">
        <v>140056727643</v>
      </c>
      <c r="X298" s="5">
        <v>13853531849973</v>
      </c>
      <c r="Y298" s="5">
        <v>152622023588307</v>
      </c>
      <c r="Z298" s="5">
        <v>141450381214184</v>
      </c>
      <c r="AA298" s="5">
        <v>138580839880733</v>
      </c>
      <c r="AB298" s="5">
        <v>1381895684751</v>
      </c>
      <c r="AC298" s="5">
        <v>115140625711086</v>
      </c>
      <c r="AD298" s="5">
        <v>115401882590404</v>
      </c>
      <c r="AE298" s="5">
        <v>1185970231854</v>
      </c>
      <c r="AF298" s="5">
        <v>125399299165438</v>
      </c>
      <c r="AG298" s="5">
        <v>122597680697015</v>
      </c>
      <c r="AH298" s="5">
        <v>107534696836839</v>
      </c>
      <c r="AI298" s="5">
        <v>12351618640566</v>
      </c>
      <c r="AJ298" s="5">
        <v>127504955461573</v>
      </c>
      <c r="AK298" s="5">
        <v>126261993986713</v>
      </c>
      <c r="AL298" s="5">
        <v>13753887153325</v>
      </c>
      <c r="AM298" s="5">
        <v>13924636770555</v>
      </c>
      <c r="AN298" s="5">
        <v>141156922946235</v>
      </c>
      <c r="AO298" s="5">
        <v>133820092981754</v>
      </c>
      <c r="AP298" s="5">
        <v>123334905767318</v>
      </c>
      <c r="AQ298" s="5"/>
      <c r="AR298" s="5"/>
      <c r="AS298" s="5"/>
      <c r="AT298" s="5"/>
      <c r="AU298" s="5"/>
      <c r="AV298" s="5"/>
      <c r="AW298" s="5"/>
      <c r="AX298" s="5"/>
      <c r="AY298" s="5"/>
      <c r="AZ298" s="5"/>
      <c r="BA298" s="5"/>
    </row>
    <row r="299" spans="1:53" x14ac:dyDescent="0.45">
      <c r="A299" s="1"/>
      <c r="B299" s="2"/>
      <c r="C299" s="1" t="s">
        <v>293</v>
      </c>
      <c r="D299" s="2">
        <v>4094286</v>
      </c>
      <c r="E299" s="3" t="s">
        <v>1155</v>
      </c>
      <c r="F299" s="3" t="s">
        <v>1156</v>
      </c>
      <c r="G299" s="3" t="s">
        <v>481</v>
      </c>
      <c r="H299" s="5">
        <v>976549608</v>
      </c>
      <c r="I299" s="5">
        <v>102132929322</v>
      </c>
      <c r="J299" s="5">
        <v>106589874</v>
      </c>
      <c r="K299" s="5">
        <v>907543782</v>
      </c>
      <c r="L299" s="5">
        <v>856112544</v>
      </c>
      <c r="M299" s="5">
        <v>82044392325</v>
      </c>
      <c r="N299" s="5">
        <v>753905698</v>
      </c>
      <c r="O299" s="5">
        <v>764405425</v>
      </c>
      <c r="P299" s="5">
        <v>569132570916</v>
      </c>
      <c r="Q299" s="5">
        <v>60002216904</v>
      </c>
      <c r="R299" s="5">
        <v>5152525224</v>
      </c>
      <c r="S299" s="5">
        <v>54534460134</v>
      </c>
      <c r="T299" s="5">
        <v>54500878278</v>
      </c>
      <c r="U299" s="5">
        <v>470122268</v>
      </c>
      <c r="V299" s="5">
        <v>3473561544</v>
      </c>
      <c r="W299" s="5">
        <v>3261296763</v>
      </c>
      <c r="X299" s="5">
        <v>29438400145</v>
      </c>
      <c r="Y299" s="5">
        <v>2728827843</v>
      </c>
      <c r="Z299" s="5">
        <v>22604302503</v>
      </c>
      <c r="AA299" s="5">
        <v>22417456704</v>
      </c>
      <c r="AB299" s="5">
        <v>16893585268725</v>
      </c>
      <c r="AC299" s="5">
        <v>15531225024</v>
      </c>
      <c r="AD299" s="5">
        <v>14562774183</v>
      </c>
      <c r="AE299" s="5">
        <v>1632718096</v>
      </c>
      <c r="AF299" s="5">
        <v>16153216508</v>
      </c>
      <c r="AG299" s="5">
        <v>138670332955</v>
      </c>
      <c r="AH299" s="5">
        <v>119052339175</v>
      </c>
      <c r="AI299" s="5">
        <v>1081720178</v>
      </c>
      <c r="AJ299" s="5">
        <v>9715065465</v>
      </c>
      <c r="AK299" s="5">
        <v>9712918845</v>
      </c>
      <c r="AL299" s="5">
        <v>109597439119815</v>
      </c>
      <c r="AM299" s="5">
        <v>109009581363193</v>
      </c>
      <c r="AN299" s="5">
        <v>107098075615656</v>
      </c>
      <c r="AO299" s="5">
        <v>106936596765601</v>
      </c>
      <c r="AP299" s="5">
        <v>924601314221671</v>
      </c>
      <c r="AQ299" s="5"/>
      <c r="AR299" s="5"/>
      <c r="AS299" s="5"/>
      <c r="AT299" s="5"/>
      <c r="AU299" s="5"/>
      <c r="AV299" s="5"/>
      <c r="AW299" s="5"/>
      <c r="AX299" s="5"/>
      <c r="AY299" s="5"/>
      <c r="AZ299" s="5"/>
      <c r="BA299" s="5"/>
    </row>
    <row r="300" spans="1:53" x14ac:dyDescent="0.45">
      <c r="A300" s="1"/>
      <c r="B300" s="2"/>
      <c r="C300" s="1" t="s">
        <v>294</v>
      </c>
      <c r="D300" s="2">
        <v>4094401</v>
      </c>
      <c r="E300" s="3" t="s">
        <v>1157</v>
      </c>
      <c r="F300" s="3" t="s">
        <v>1158</v>
      </c>
      <c r="G300" s="3" t="s">
        <v>769</v>
      </c>
      <c r="H300" s="5">
        <v>108761559515146</v>
      </c>
      <c r="I300" s="5">
        <v>10912746700035</v>
      </c>
      <c r="J300" s="5">
        <v>105415258892501</v>
      </c>
      <c r="K300" s="5">
        <v>904314649811</v>
      </c>
      <c r="L300" s="5">
        <v>85774861604817</v>
      </c>
      <c r="M300" s="5">
        <v>82919623407908</v>
      </c>
      <c r="N300" s="5">
        <v>792337374375</v>
      </c>
      <c r="O300" s="5">
        <v>761744325</v>
      </c>
      <c r="P300" s="5">
        <v>72620891064345</v>
      </c>
      <c r="Q300" s="5">
        <v>734219381736243</v>
      </c>
      <c r="R300" s="5">
        <v>6744144438</v>
      </c>
      <c r="S300" s="5">
        <v>6353473734</v>
      </c>
      <c r="T300" s="5">
        <v>5944724312</v>
      </c>
      <c r="U300" s="5">
        <v>56733512</v>
      </c>
      <c r="V300" s="5">
        <v>5267076794154</v>
      </c>
      <c r="W300" s="5">
        <v>568385634965418</v>
      </c>
      <c r="X300" s="5">
        <v>58951482644824</v>
      </c>
      <c r="Y300" s="5">
        <v>594480543041</v>
      </c>
      <c r="Z300" s="5">
        <v>62521178967</v>
      </c>
      <c r="AA300" s="5">
        <v>6073029885</v>
      </c>
      <c r="AB300" s="5">
        <v>565265323991415</v>
      </c>
      <c r="AC300" s="5">
        <v>584864797693935</v>
      </c>
      <c r="AD300" s="5">
        <v>59367591808902</v>
      </c>
      <c r="AE300" s="5">
        <v>591911887728975</v>
      </c>
      <c r="AF300" s="5">
        <v>623119355300468</v>
      </c>
      <c r="AG300" s="5">
        <v>591423440767354</v>
      </c>
      <c r="AH300" s="5">
        <v>555031890151001</v>
      </c>
      <c r="AI300" s="5">
        <v>551077096789601</v>
      </c>
      <c r="AJ300" s="5">
        <v>547736502220043</v>
      </c>
      <c r="AK300" s="5">
        <v>4889654033985</v>
      </c>
      <c r="AL300" s="5">
        <v>503942395485</v>
      </c>
      <c r="AM300" s="5">
        <v>4813011775935</v>
      </c>
      <c r="AN300" s="5">
        <v>502358068474773</v>
      </c>
      <c r="AO300" s="5">
        <v>48099860658</v>
      </c>
      <c r="AP300" s="5">
        <v>449828487125897</v>
      </c>
      <c r="AQ300" s="5"/>
      <c r="AR300" s="5"/>
      <c r="AS300" s="5"/>
      <c r="AT300" s="5"/>
      <c r="AU300" s="5"/>
      <c r="AV300" s="5"/>
      <c r="AW300" s="5"/>
      <c r="AX300" s="5"/>
      <c r="AY300" s="5"/>
      <c r="AZ300" s="5"/>
      <c r="BA300" s="5"/>
    </row>
    <row r="301" spans="1:53" x14ac:dyDescent="0.45">
      <c r="A301" s="1"/>
      <c r="B301" s="2"/>
      <c r="C301" s="1" t="s">
        <v>295</v>
      </c>
      <c r="D301" s="2">
        <v>4203993</v>
      </c>
      <c r="E301" s="3" t="s">
        <v>1159</v>
      </c>
      <c r="F301" s="3" t="s">
        <v>1160</v>
      </c>
      <c r="G301" s="3" t="s">
        <v>481</v>
      </c>
      <c r="H301" s="5">
        <v>330596636348885</v>
      </c>
      <c r="I301" s="5">
        <v>322802445725401</v>
      </c>
      <c r="J301" s="5">
        <v>339965166799697</v>
      </c>
      <c r="K301" s="5">
        <v>32353087945948</v>
      </c>
      <c r="L301" s="5">
        <v>321631214186453</v>
      </c>
      <c r="M301" s="5">
        <v>315435649817944</v>
      </c>
      <c r="N301" s="5">
        <v>323245878545978</v>
      </c>
      <c r="O301" s="5">
        <v>32957405006113</v>
      </c>
      <c r="P301" s="5">
        <v>325523443357827</v>
      </c>
      <c r="Q301" s="5">
        <v>324637503060024</v>
      </c>
      <c r="R301" s="5">
        <v>324609380753222</v>
      </c>
      <c r="S301" s="5">
        <v>303930858803311</v>
      </c>
      <c r="T301" s="5">
        <v>311195086133177</v>
      </c>
      <c r="U301" s="5">
        <v>314382714266181</v>
      </c>
      <c r="V301" s="5">
        <v>3048690376452</v>
      </c>
      <c r="W301" s="5">
        <v>307844484147596</v>
      </c>
      <c r="X301" s="5">
        <v>267835081206148</v>
      </c>
      <c r="Y301" s="5">
        <v>25778459100261</v>
      </c>
      <c r="Z301" s="5">
        <v>24163341885126</v>
      </c>
      <c r="AA301" s="5">
        <v>29083182371309</v>
      </c>
      <c r="AB301" s="5">
        <v>25506441873744</v>
      </c>
      <c r="AC301" s="5">
        <v>224286082943302</v>
      </c>
      <c r="AD301" s="5">
        <v>1595287617708</v>
      </c>
      <c r="AE301" s="5">
        <v>179069946025</v>
      </c>
      <c r="AF301" s="5">
        <v>2042115972292</v>
      </c>
      <c r="AG301" s="5">
        <v>164015738509</v>
      </c>
      <c r="AH301" s="5">
        <v>181254201005963</v>
      </c>
      <c r="AI301" s="5">
        <v>175567495489477</v>
      </c>
      <c r="AJ301" s="5">
        <v>2039548861152</v>
      </c>
      <c r="AK301" s="5">
        <v>205856671293</v>
      </c>
      <c r="AL301" s="5">
        <v>23882196840775</v>
      </c>
      <c r="AM301" s="5">
        <v>2004863602014</v>
      </c>
      <c r="AN301" s="5">
        <v>217909440186791</v>
      </c>
      <c r="AO301" s="5">
        <v>17289353300224</v>
      </c>
      <c r="AP301" s="5">
        <v>1621619025456</v>
      </c>
      <c r="AQ301" s="5"/>
      <c r="AR301" s="5"/>
      <c r="AS301" s="5"/>
      <c r="AT301" s="5"/>
      <c r="AU301" s="5"/>
      <c r="AV301" s="5"/>
      <c r="AW301" s="5"/>
      <c r="AX301" s="5"/>
      <c r="AY301" s="5"/>
      <c r="AZ301" s="5"/>
      <c r="BA301" s="5"/>
    </row>
    <row r="302" spans="1:53" x14ac:dyDescent="0.45">
      <c r="A302" s="1"/>
      <c r="B302" s="2"/>
      <c r="C302" s="1" t="s">
        <v>296</v>
      </c>
      <c r="D302" s="2">
        <v>4930128</v>
      </c>
      <c r="E302" s="3" t="s">
        <v>1161</v>
      </c>
      <c r="F302" s="3" t="s">
        <v>1162</v>
      </c>
      <c r="G302" s="3" t="s">
        <v>591</v>
      </c>
      <c r="H302" s="5">
        <v>170328938304573</v>
      </c>
      <c r="I302" s="5">
        <v>168648638643495</v>
      </c>
      <c r="J302" s="5">
        <v>154638148029507</v>
      </c>
      <c r="K302" s="5">
        <v>16038801250509</v>
      </c>
      <c r="L302" s="5">
        <v>145369296007477</v>
      </c>
      <c r="M302" s="5">
        <v>152544940243421</v>
      </c>
      <c r="N302" s="5">
        <v>174489469683973</v>
      </c>
      <c r="O302" s="5">
        <v>19608212902011</v>
      </c>
      <c r="P302" s="5">
        <v>207985158466212</v>
      </c>
      <c r="Q302" s="5">
        <v>231282773986446</v>
      </c>
      <c r="R302" s="5">
        <v>234552545678983</v>
      </c>
      <c r="S302" s="5">
        <v>229580873507792</v>
      </c>
      <c r="T302" s="5">
        <v>249126710319604</v>
      </c>
      <c r="U302" s="5">
        <v>2452908942</v>
      </c>
      <c r="V302" s="5">
        <v>22855405356223</v>
      </c>
      <c r="W302" s="5">
        <v>23656542852195</v>
      </c>
      <c r="X302" s="5">
        <v>238396895463902</v>
      </c>
      <c r="Y302" s="5">
        <v>246786250282552</v>
      </c>
      <c r="Z302" s="5">
        <v>23547042603413</v>
      </c>
      <c r="AA302" s="5">
        <v>229192401224487</v>
      </c>
      <c r="AB302" s="5">
        <v>221851379725634</v>
      </c>
      <c r="AC302" s="5">
        <v>23290235408056</v>
      </c>
      <c r="AD302" s="5">
        <v>237831484601869</v>
      </c>
      <c r="AE302" s="5">
        <v>230162944658578</v>
      </c>
      <c r="AF302" s="5">
        <v>246369179347652</v>
      </c>
      <c r="AG302" s="5">
        <v>24730537888564</v>
      </c>
      <c r="AH302" s="5">
        <v>222675557611477</v>
      </c>
      <c r="AI302" s="5">
        <v>213043381271841</v>
      </c>
      <c r="AJ302" s="5">
        <v>216194284536908</v>
      </c>
      <c r="AK302" s="5">
        <v>204881917556572</v>
      </c>
      <c r="AL302" s="5">
        <v>202004930009534</v>
      </c>
      <c r="AM302" s="5">
        <v>197785216417275</v>
      </c>
      <c r="AN302" s="5">
        <v>204912716352601</v>
      </c>
      <c r="AO302" s="5">
        <v>188681148645185</v>
      </c>
      <c r="AP302" s="5">
        <v>168351781289923</v>
      </c>
      <c r="AQ302" s="5"/>
      <c r="AR302" s="5"/>
      <c r="AS302" s="5"/>
      <c r="AT302" s="5"/>
      <c r="AU302" s="5"/>
      <c r="AV302" s="5"/>
      <c r="AW302" s="5"/>
      <c r="AX302" s="5"/>
      <c r="AY302" s="5"/>
      <c r="AZ302" s="5"/>
      <c r="BA302" s="5"/>
    </row>
    <row r="303" spans="1:53" x14ac:dyDescent="0.45">
      <c r="A303" s="1"/>
      <c r="B303" s="2"/>
      <c r="C303" s="1" t="s">
        <v>297</v>
      </c>
      <c r="D303" s="2">
        <v>4010841</v>
      </c>
      <c r="E303" s="3" t="s">
        <v>1163</v>
      </c>
      <c r="F303" s="3" t="s">
        <v>1164</v>
      </c>
      <c r="G303" s="3" t="s">
        <v>695</v>
      </c>
      <c r="H303" s="5">
        <v>469432472981447</v>
      </c>
      <c r="I303" s="5">
        <v>453016445102509</v>
      </c>
      <c r="J303" s="5">
        <v>424075277296373</v>
      </c>
      <c r="K303" s="5">
        <v>415377883836437</v>
      </c>
      <c r="L303" s="5">
        <v>384376654936997</v>
      </c>
      <c r="M303" s="5">
        <v>401769382127806</v>
      </c>
      <c r="N303" s="5">
        <v>401222323907146</v>
      </c>
      <c r="O303" s="5">
        <v>40100552676044</v>
      </c>
      <c r="P303" s="5">
        <v>4318455798696</v>
      </c>
      <c r="Q303" s="5">
        <v>4530463128576</v>
      </c>
      <c r="R303" s="5">
        <v>471935356832781</v>
      </c>
      <c r="S303" s="5">
        <v>4799301114321</v>
      </c>
      <c r="T303" s="5">
        <v>5156462123001</v>
      </c>
      <c r="U303" s="5">
        <v>515878380864</v>
      </c>
      <c r="V303" s="5">
        <v>5081897956012</v>
      </c>
      <c r="W303" s="5">
        <v>4955864326254</v>
      </c>
      <c r="X303" s="5">
        <v>526637719603111</v>
      </c>
      <c r="Y303" s="5">
        <v>510787361332714</v>
      </c>
      <c r="Z303" s="5">
        <v>51963445500369</v>
      </c>
      <c r="AA303" s="5">
        <v>517714485254382</v>
      </c>
      <c r="AB303" s="5">
        <v>5111478688365</v>
      </c>
      <c r="AC303" s="5">
        <v>4838464817874</v>
      </c>
      <c r="AD303" s="5">
        <v>485806617518595</v>
      </c>
      <c r="AE303" s="5">
        <v>475440147959239</v>
      </c>
      <c r="AF303" s="5">
        <v>546450835234588</v>
      </c>
      <c r="AG303" s="5">
        <v>516259474139027</v>
      </c>
      <c r="AH303" s="5">
        <v>452822161795567</v>
      </c>
      <c r="AI303" s="5">
        <v>497940886702386</v>
      </c>
      <c r="AJ303" s="5">
        <v>48807478658064</v>
      </c>
      <c r="AK303" s="5">
        <v>536285701505706</v>
      </c>
      <c r="AL303" s="5">
        <v>547229625034015</v>
      </c>
      <c r="AM303" s="5">
        <v>550692670149619</v>
      </c>
      <c r="AN303" s="5">
        <v>523005574918288</v>
      </c>
      <c r="AO303" s="5">
        <v>535203308453492</v>
      </c>
      <c r="AP303" s="5">
        <v>5494683438654</v>
      </c>
      <c r="AQ303" s="5"/>
      <c r="AR303" s="5"/>
      <c r="AS303" s="5"/>
      <c r="AT303" s="5"/>
      <c r="AU303" s="5"/>
      <c r="AV303" s="5"/>
      <c r="AW303" s="5"/>
      <c r="AX303" s="5"/>
      <c r="AY303" s="5"/>
      <c r="AZ303" s="5"/>
      <c r="BA303" s="5"/>
    </row>
    <row r="304" spans="1:53" x14ac:dyDescent="0.45">
      <c r="A304" s="1"/>
      <c r="B304" s="2"/>
      <c r="C304" s="1" t="s">
        <v>298</v>
      </c>
      <c r="D304" s="2">
        <v>4298644</v>
      </c>
      <c r="E304" s="3" t="s">
        <v>1165</v>
      </c>
      <c r="F304" s="3" t="s">
        <v>1166</v>
      </c>
      <c r="G304" s="3" t="s">
        <v>1001</v>
      </c>
      <c r="H304" s="5">
        <v>90246834743238</v>
      </c>
      <c r="I304" s="5">
        <v>893967051057246</v>
      </c>
      <c r="J304" s="5">
        <v>857273455975398</v>
      </c>
      <c r="K304" s="5">
        <v>767578773997982</v>
      </c>
      <c r="L304" s="5">
        <v>69311238381</v>
      </c>
      <c r="M304" s="5">
        <v>670908969621563</v>
      </c>
      <c r="N304" s="5">
        <v>688207115486689</v>
      </c>
      <c r="O304" s="5">
        <v>655370029137673</v>
      </c>
      <c r="P304" s="5">
        <v>669985835782379</v>
      </c>
      <c r="Q304" s="5">
        <v>659966695095406</v>
      </c>
      <c r="R304" s="5">
        <v>712820975470273</v>
      </c>
      <c r="S304" s="5">
        <v>67443400726457</v>
      </c>
      <c r="T304" s="5">
        <v>669980523928918</v>
      </c>
      <c r="U304" s="5">
        <v>6808373352</v>
      </c>
      <c r="V304" s="5">
        <v>564523587560766</v>
      </c>
      <c r="W304" s="5">
        <v>5057071746525</v>
      </c>
      <c r="X304" s="5">
        <v>5286423744525</v>
      </c>
      <c r="Y304" s="5">
        <v>520183458648</v>
      </c>
      <c r="Z304" s="5">
        <v>453130420474645</v>
      </c>
      <c r="AA304" s="5">
        <v>48246420222</v>
      </c>
      <c r="AB304" s="5">
        <v>483056950992991</v>
      </c>
      <c r="AC304" s="5">
        <v>498139927644517</v>
      </c>
      <c r="AD304" s="5">
        <v>428598455018618</v>
      </c>
      <c r="AE304" s="5">
        <v>460043185175442</v>
      </c>
      <c r="AF304" s="5">
        <v>510083240690717</v>
      </c>
      <c r="AG304" s="5">
        <v>479132987827379</v>
      </c>
      <c r="AH304" s="5">
        <v>466242115197277</v>
      </c>
      <c r="AI304" s="5">
        <v>506332277559626</v>
      </c>
      <c r="AJ304" s="5">
        <v>567865300361454</v>
      </c>
      <c r="AK304" s="5">
        <v>528228254579801</v>
      </c>
      <c r="AL304" s="5">
        <v>531463087047662</v>
      </c>
      <c r="AM304" s="5">
        <v>5459469306435</v>
      </c>
      <c r="AN304" s="5">
        <v>618275010456917</v>
      </c>
      <c r="AO304" s="5">
        <v>598654923991601</v>
      </c>
      <c r="AP304" s="5">
        <v>535159865899986</v>
      </c>
      <c r="AQ304" s="5"/>
      <c r="AR304" s="5"/>
      <c r="AS304" s="5"/>
      <c r="AT304" s="5"/>
      <c r="AU304" s="5"/>
      <c r="AV304" s="5"/>
      <c r="AW304" s="5"/>
      <c r="AX304" s="5"/>
      <c r="AY304" s="5"/>
      <c r="AZ304" s="5"/>
      <c r="BA304" s="5"/>
    </row>
    <row r="305" spans="1:53" x14ac:dyDescent="0.45">
      <c r="A305" s="1"/>
      <c r="B305" s="2"/>
      <c r="C305" s="1" t="s">
        <v>299</v>
      </c>
      <c r="D305" s="2">
        <v>4070013</v>
      </c>
      <c r="E305" s="3" t="s">
        <v>1167</v>
      </c>
      <c r="F305" s="3" t="s">
        <v>1168</v>
      </c>
      <c r="G305" s="3" t="s">
        <v>1169</v>
      </c>
      <c r="H305" s="5">
        <v>139886077167665</v>
      </c>
      <c r="I305" s="5">
        <v>13829231997555</v>
      </c>
      <c r="J305" s="5">
        <v>133054714741348</v>
      </c>
      <c r="K305" s="5">
        <v>144615107102365</v>
      </c>
      <c r="L305" s="5">
        <v>140647452382876</v>
      </c>
      <c r="M305" s="5">
        <v>154168938072925</v>
      </c>
      <c r="N305" s="5">
        <v>16911318969</v>
      </c>
      <c r="O305" s="5">
        <v>17341643592</v>
      </c>
      <c r="P305" s="5">
        <v>1755511890912</v>
      </c>
      <c r="Q305" s="5">
        <v>1890865103176</v>
      </c>
      <c r="R305" s="5">
        <v>18800909826</v>
      </c>
      <c r="S305" s="5">
        <v>187222331574</v>
      </c>
      <c r="T305" s="5">
        <v>1901775494364</v>
      </c>
      <c r="U305" s="5">
        <v>194000072112</v>
      </c>
      <c r="V305" s="5">
        <v>1717861391584</v>
      </c>
      <c r="W305" s="5">
        <v>17887213935</v>
      </c>
      <c r="X305" s="5">
        <v>1827577026891</v>
      </c>
      <c r="Y305" s="5">
        <v>1742009131317</v>
      </c>
      <c r="Z305" s="5">
        <v>17445541161375</v>
      </c>
      <c r="AA305" s="5">
        <v>17801809774125</v>
      </c>
      <c r="AB305" s="5">
        <v>1730427372873</v>
      </c>
      <c r="AC305" s="5">
        <v>171613929144544</v>
      </c>
      <c r="AD305" s="5">
        <v>1642160883385</v>
      </c>
      <c r="AE305" s="5">
        <v>168764532770837</v>
      </c>
      <c r="AF305" s="5">
        <v>169503486245201</v>
      </c>
      <c r="AG305" s="5">
        <v>164591098184564</v>
      </c>
      <c r="AH305" s="5">
        <v>143459849287152</v>
      </c>
      <c r="AI305" s="5">
        <v>145273939427037</v>
      </c>
      <c r="AJ305" s="5">
        <v>160705894299911</v>
      </c>
      <c r="AK305" s="5">
        <v>152413264219474</v>
      </c>
      <c r="AL305" s="5">
        <v>16590741616964</v>
      </c>
      <c r="AM305" s="5">
        <v>1653323313744</v>
      </c>
      <c r="AN305" s="5">
        <v>17908905737443</v>
      </c>
      <c r="AO305" s="5">
        <v>17501832371029</v>
      </c>
      <c r="AP305" s="5">
        <v>160032705821898</v>
      </c>
      <c r="AQ305" s="5"/>
      <c r="AR305" s="5"/>
      <c r="AS305" s="5"/>
      <c r="AT305" s="5"/>
      <c r="AU305" s="5"/>
      <c r="AV305" s="5"/>
      <c r="AW305" s="5"/>
      <c r="AX305" s="5"/>
      <c r="AY305" s="5"/>
      <c r="AZ305" s="5"/>
      <c r="BA305" s="5"/>
    </row>
    <row r="306" spans="1:53" x14ac:dyDescent="0.45">
      <c r="A306" s="1"/>
      <c r="B306" s="2"/>
      <c r="C306" s="1" t="s">
        <v>300</v>
      </c>
      <c r="D306" s="2">
        <v>4133677</v>
      </c>
      <c r="E306" s="3" t="s">
        <v>1170</v>
      </c>
      <c r="F306" s="3" t="s">
        <v>1171</v>
      </c>
      <c r="G306" s="3" t="s">
        <v>481</v>
      </c>
      <c r="H306" s="5">
        <v>7396894218492</v>
      </c>
      <c r="I306" s="5">
        <v>7151874349806</v>
      </c>
      <c r="J306" s="5">
        <v>772047126297616</v>
      </c>
      <c r="K306" s="5">
        <v>658797643572024</v>
      </c>
      <c r="L306" s="5">
        <v>606338270030338</v>
      </c>
      <c r="M306" s="5">
        <v>53371184555</v>
      </c>
      <c r="N306" s="5">
        <v>51776516844</v>
      </c>
      <c r="O306" s="5">
        <v>5796619128</v>
      </c>
      <c r="P306" s="5">
        <v>546736232580184</v>
      </c>
      <c r="Q306" s="5">
        <v>608568893696652</v>
      </c>
      <c r="R306" s="5">
        <v>598048696921068</v>
      </c>
      <c r="S306" s="5">
        <v>514680580224</v>
      </c>
      <c r="T306" s="5">
        <v>504002401408</v>
      </c>
      <c r="U306" s="5">
        <v>46465522048</v>
      </c>
      <c r="V306" s="5">
        <v>44246550594</v>
      </c>
      <c r="W306" s="5">
        <v>45546307884</v>
      </c>
      <c r="X306" s="5">
        <v>40259169917505</v>
      </c>
      <c r="Y306" s="5">
        <v>3723299594315</v>
      </c>
      <c r="Z306" s="5">
        <v>329424932151</v>
      </c>
      <c r="AA306" s="5">
        <v>3641372347465</v>
      </c>
      <c r="AB306" s="5">
        <v>342523892232</v>
      </c>
      <c r="AC306" s="5">
        <v>318281911545</v>
      </c>
      <c r="AD306" s="5">
        <v>326477208298072</v>
      </c>
      <c r="AE306" s="5">
        <v>372395512407765</v>
      </c>
      <c r="AF306" s="5">
        <v>428144874805309</v>
      </c>
      <c r="AG306" s="5">
        <v>411684748424565</v>
      </c>
      <c r="AH306" s="5">
        <v>347751098525136</v>
      </c>
      <c r="AI306" s="5">
        <v>352183465862046</v>
      </c>
      <c r="AJ306" s="5">
        <v>412584434302359</v>
      </c>
      <c r="AK306" s="5">
        <v>45044076942974</v>
      </c>
      <c r="AL306" s="5">
        <v>518562575023619</v>
      </c>
      <c r="AM306" s="5">
        <v>44383348656</v>
      </c>
      <c r="AN306" s="5">
        <v>486204011961706</v>
      </c>
      <c r="AO306" s="5">
        <v>490452207193279</v>
      </c>
      <c r="AP306" s="5">
        <v>386464368421131</v>
      </c>
      <c r="AQ306" s="5"/>
      <c r="AR306" s="5"/>
      <c r="AS306" s="5"/>
      <c r="AT306" s="5"/>
      <c r="AU306" s="5"/>
      <c r="AV306" s="5"/>
      <c r="AW306" s="5"/>
      <c r="AX306" s="5"/>
      <c r="AY306" s="5"/>
      <c r="AZ306" s="5"/>
      <c r="BA306" s="5"/>
    </row>
    <row r="307" spans="1:53" x14ac:dyDescent="0.45">
      <c r="A307" s="1"/>
      <c r="B307" s="2"/>
      <c r="C307" s="1" t="s">
        <v>301</v>
      </c>
      <c r="D307" s="2">
        <v>4010846</v>
      </c>
      <c r="E307" s="3" t="s">
        <v>1172</v>
      </c>
      <c r="F307" s="3" t="s">
        <v>1173</v>
      </c>
      <c r="G307" s="3" t="s">
        <v>1026</v>
      </c>
      <c r="H307" s="5">
        <v>170679785983009</v>
      </c>
      <c r="I307" s="5">
        <v>167103356972354</v>
      </c>
      <c r="J307" s="5">
        <v>17774718745352</v>
      </c>
      <c r="K307" s="5">
        <v>178156994411027</v>
      </c>
      <c r="L307" s="5">
        <v>173314682207708</v>
      </c>
      <c r="M307" s="5">
        <v>182363908376953</v>
      </c>
      <c r="N307" s="5">
        <v>96456342752</v>
      </c>
      <c r="O307" s="5">
        <v>9328522896</v>
      </c>
      <c r="P307" s="5">
        <v>1018388594678</v>
      </c>
      <c r="Q307" s="5">
        <v>1092737657088</v>
      </c>
      <c r="R307" s="5">
        <v>107307547682706</v>
      </c>
      <c r="S307" s="5">
        <v>1075134839724</v>
      </c>
      <c r="T307" s="5">
        <v>1144902346636</v>
      </c>
      <c r="U307" s="5">
        <v>109394149656</v>
      </c>
      <c r="V307" s="5">
        <v>929838235876</v>
      </c>
      <c r="W307" s="5">
        <v>9620673053805</v>
      </c>
      <c r="X307" s="5">
        <v>8851248595035</v>
      </c>
      <c r="Y307" s="5">
        <v>842200095168334</v>
      </c>
      <c r="Z307" s="5">
        <v>897700093697482</v>
      </c>
      <c r="AA307" s="5">
        <v>816514331057126</v>
      </c>
      <c r="AB307" s="5">
        <v>663167466225</v>
      </c>
      <c r="AC307" s="5">
        <v>4639351068</v>
      </c>
      <c r="AD307" s="5">
        <v>481769074731006</v>
      </c>
      <c r="AE307" s="5">
        <v>475179310616936</v>
      </c>
      <c r="AF307" s="5">
        <v>583974337106717</v>
      </c>
      <c r="AG307" s="5">
        <v>643405036222189</v>
      </c>
      <c r="AH307" s="5">
        <v>603505553615314</v>
      </c>
      <c r="AI307" s="5">
        <v>672428535850494</v>
      </c>
      <c r="AJ307" s="5">
        <v>714077350367024</v>
      </c>
      <c r="AK307" s="5">
        <v>739912506543567</v>
      </c>
      <c r="AL307" s="5">
        <v>797367337408</v>
      </c>
      <c r="AM307" s="5">
        <v>896914508701477</v>
      </c>
      <c r="AN307" s="5">
        <v>9358081017804</v>
      </c>
      <c r="AO307" s="5">
        <v>822625335228471</v>
      </c>
      <c r="AP307" s="5">
        <v>81196354133285</v>
      </c>
      <c r="AQ307" s="5"/>
      <c r="AR307" s="5"/>
      <c r="AS307" s="5"/>
      <c r="AT307" s="5"/>
      <c r="AU307" s="5"/>
      <c r="AV307" s="5"/>
      <c r="AW307" s="5"/>
      <c r="AX307" s="5"/>
      <c r="AY307" s="5"/>
      <c r="AZ307" s="5"/>
      <c r="BA307" s="5"/>
    </row>
    <row r="308" spans="1:53" x14ac:dyDescent="0.45">
      <c r="A308" s="1"/>
      <c r="B308" s="2"/>
      <c r="C308" s="1" t="s">
        <v>302</v>
      </c>
      <c r="D308" s="2">
        <v>4041363</v>
      </c>
      <c r="E308" s="3" t="s">
        <v>1174</v>
      </c>
      <c r="F308" s="3" t="s">
        <v>1175</v>
      </c>
      <c r="G308" s="3" t="s">
        <v>902</v>
      </c>
      <c r="H308" s="5">
        <v>162995934595968</v>
      </c>
      <c r="I308" s="5">
        <v>171929613993004</v>
      </c>
      <c r="J308" s="5">
        <v>182477758362576</v>
      </c>
      <c r="K308" s="5">
        <v>170732879320092</v>
      </c>
      <c r="L308" s="5">
        <v>175324550581026</v>
      </c>
      <c r="M308" s="5">
        <v>17525303562261</v>
      </c>
      <c r="N308" s="5">
        <v>18179770089822</v>
      </c>
      <c r="O308" s="5">
        <v>166221139428</v>
      </c>
      <c r="P308" s="5">
        <v>16978934054784</v>
      </c>
      <c r="Q308" s="5">
        <v>17166145411296</v>
      </c>
      <c r="R308" s="5">
        <v>164585379483</v>
      </c>
      <c r="S308" s="5">
        <v>15248409105195</v>
      </c>
      <c r="T308" s="5">
        <v>14942270415975</v>
      </c>
      <c r="U308" s="5">
        <v>1560953653336</v>
      </c>
      <c r="V308" s="5">
        <v>14392077966112</v>
      </c>
      <c r="W308" s="5">
        <v>14347344554928</v>
      </c>
      <c r="X308" s="5">
        <v>15244371769473</v>
      </c>
      <c r="Y308" s="5">
        <v>15142271124204</v>
      </c>
      <c r="Z308" s="5">
        <v>151944939512505</v>
      </c>
      <c r="AA308" s="5">
        <v>1499000394606</v>
      </c>
      <c r="AB308" s="5">
        <v>14443072732374</v>
      </c>
      <c r="AC308" s="5">
        <v>14224418835138</v>
      </c>
      <c r="AD308" s="5">
        <v>14097566148153</v>
      </c>
      <c r="AE308" s="5">
        <v>14130802419695</v>
      </c>
      <c r="AF308" s="5">
        <v>157309573034342</v>
      </c>
      <c r="AG308" s="5">
        <v>150208969012191</v>
      </c>
      <c r="AH308" s="5">
        <v>138026085877998</v>
      </c>
      <c r="AI308" s="5">
        <v>143576604391508</v>
      </c>
      <c r="AJ308" s="5">
        <v>156756515856207</v>
      </c>
      <c r="AK308" s="5">
        <v>156876339008025</v>
      </c>
      <c r="AL308" s="5">
        <v>173049138068445</v>
      </c>
      <c r="AM308" s="5">
        <v>17015661580455</v>
      </c>
      <c r="AN308" s="5">
        <v>175408508774925</v>
      </c>
      <c r="AO308" s="5">
        <v>171618429675189</v>
      </c>
      <c r="AP308" s="5">
        <v>162937577585273</v>
      </c>
      <c r="AQ308" s="5"/>
      <c r="AR308" s="5"/>
      <c r="AS308" s="5"/>
      <c r="AT308" s="5"/>
      <c r="AU308" s="5"/>
      <c r="AV308" s="5"/>
      <c r="AW308" s="5"/>
      <c r="AX308" s="5"/>
      <c r="AY308" s="5"/>
      <c r="AZ308" s="5"/>
      <c r="BA308" s="5"/>
    </row>
    <row r="309" spans="1:53" x14ac:dyDescent="0.45">
      <c r="A309" s="1"/>
      <c r="B309" s="2"/>
      <c r="C309" s="1" t="s">
        <v>303</v>
      </c>
      <c r="D309" s="2">
        <v>4001586</v>
      </c>
      <c r="E309" s="3" t="s">
        <v>1176</v>
      </c>
      <c r="F309" s="3" t="s">
        <v>1177</v>
      </c>
      <c r="G309" s="3" t="s">
        <v>668</v>
      </c>
      <c r="H309" s="5">
        <v>208137130792864</v>
      </c>
      <c r="I309" s="5">
        <v>207647256924952</v>
      </c>
      <c r="J309" s="5">
        <v>21658048605</v>
      </c>
      <c r="K309" s="5">
        <v>215066556814285</v>
      </c>
      <c r="L309" s="5">
        <v>196266579327223</v>
      </c>
      <c r="M309" s="5">
        <v>20403442373461</v>
      </c>
      <c r="N309" s="5">
        <v>203335122889031</v>
      </c>
      <c r="O309" s="5">
        <v>196837638756804</v>
      </c>
      <c r="P309" s="5">
        <v>215152958097769</v>
      </c>
      <c r="Q309" s="5">
        <v>220744608</v>
      </c>
      <c r="R309" s="5">
        <v>22083898518</v>
      </c>
      <c r="S309" s="5">
        <v>218753251114032</v>
      </c>
      <c r="T309" s="5">
        <v>212190520338</v>
      </c>
      <c r="U309" s="5">
        <v>206096135401946</v>
      </c>
      <c r="V309" s="5">
        <v>175647104143282</v>
      </c>
      <c r="W309" s="5">
        <v>18330484760461</v>
      </c>
      <c r="X309" s="5">
        <v>188161744804179</v>
      </c>
      <c r="Y309" s="5">
        <v>1849770796891</v>
      </c>
      <c r="Z309" s="5">
        <v>1636870444209</v>
      </c>
      <c r="AA309" s="5">
        <v>175559998748442</v>
      </c>
      <c r="AB309" s="5">
        <v>180236180286241</v>
      </c>
      <c r="AC309" s="5">
        <v>166573176397632</v>
      </c>
      <c r="AD309" s="5">
        <v>159307664653231</v>
      </c>
      <c r="AE309" s="5">
        <v>154260637851996</v>
      </c>
      <c r="AF309" s="5">
        <v>17383921645209</v>
      </c>
      <c r="AG309" s="5">
        <v>169497066375</v>
      </c>
      <c r="AH309" s="5">
        <v>165936849388935</v>
      </c>
      <c r="AI309" s="5">
        <v>186874800501332</v>
      </c>
      <c r="AJ309" s="5">
        <v>208290544161623</v>
      </c>
      <c r="AK309" s="5">
        <v>203246797185224</v>
      </c>
      <c r="AL309" s="5">
        <v>205472316310702</v>
      </c>
      <c r="AM309" s="5">
        <v>207052175794142</v>
      </c>
      <c r="AN309" s="5">
        <v>208450921915797</v>
      </c>
      <c r="AO309" s="5">
        <v>202510039938434</v>
      </c>
      <c r="AP309" s="5">
        <v>188533729980473</v>
      </c>
      <c r="AQ309" s="5"/>
      <c r="AR309" s="5"/>
      <c r="AS309" s="5"/>
      <c r="AT309" s="5"/>
      <c r="AU309" s="5"/>
      <c r="AV309" s="5"/>
      <c r="AW309" s="5"/>
      <c r="AX309" s="5"/>
      <c r="AY309" s="5"/>
      <c r="AZ309" s="5"/>
      <c r="BA309" s="5"/>
    </row>
    <row r="310" spans="1:53" x14ac:dyDescent="0.45">
      <c r="A310" s="1"/>
      <c r="B310" s="2"/>
      <c r="C310" s="1" t="s">
        <v>304</v>
      </c>
      <c r="D310" s="2">
        <v>4062146</v>
      </c>
      <c r="E310" s="3" t="s">
        <v>1178</v>
      </c>
      <c r="F310" s="3" t="s">
        <v>1179</v>
      </c>
      <c r="G310" s="3" t="s">
        <v>597</v>
      </c>
      <c r="H310" s="5">
        <v>940266564385632</v>
      </c>
      <c r="I310" s="5">
        <v>932721320169936</v>
      </c>
      <c r="J310" s="5">
        <v>93485638283961</v>
      </c>
      <c r="K310" s="5">
        <v>908224975722396</v>
      </c>
      <c r="L310" s="5">
        <v>886038669861597</v>
      </c>
      <c r="M310" s="5">
        <v>867953256375072</v>
      </c>
      <c r="N310" s="5">
        <v>912237299892504</v>
      </c>
      <c r="O310" s="5">
        <v>84953366261376</v>
      </c>
      <c r="P310" s="5">
        <v>846983921025356</v>
      </c>
      <c r="Q310" s="5">
        <v>80048440652171</v>
      </c>
      <c r="R310" s="5">
        <v>81340094343573</v>
      </c>
      <c r="S310" s="5">
        <v>797950758626564</v>
      </c>
      <c r="T310" s="5">
        <v>750561062813936</v>
      </c>
      <c r="U310" s="5">
        <v>749000848328304</v>
      </c>
      <c r="V310" s="5">
        <v>7030771139898</v>
      </c>
      <c r="W310" s="5">
        <v>675242450486933</v>
      </c>
      <c r="X310" s="5">
        <v>658822863616048</v>
      </c>
      <c r="Y310" s="5">
        <v>622887309924276</v>
      </c>
      <c r="Z310" s="5">
        <v>56160204259065</v>
      </c>
      <c r="AA310" s="5">
        <v>571302166598249</v>
      </c>
      <c r="AB310" s="5">
        <v>528216835911823</v>
      </c>
      <c r="AC310" s="5">
        <v>416303255459963</v>
      </c>
      <c r="AD310" s="5">
        <v>450741794375981</v>
      </c>
      <c r="AE310" s="5">
        <v>557047295629971</v>
      </c>
      <c r="AF310" s="5">
        <v>617524016550563</v>
      </c>
      <c r="AG310" s="5">
        <v>600183809904103</v>
      </c>
      <c r="AH310" s="5">
        <v>521213238503853</v>
      </c>
      <c r="AI310" s="5">
        <v>5792852412953</v>
      </c>
      <c r="AJ310" s="5">
        <v>619887662779386</v>
      </c>
      <c r="AK310" s="5">
        <v>542733292912876</v>
      </c>
      <c r="AL310" s="5">
        <v>609802660124745</v>
      </c>
      <c r="AM310" s="5">
        <v>6072981454485</v>
      </c>
      <c r="AN310" s="5">
        <v>7159534030432</v>
      </c>
      <c r="AO310" s="5">
        <v>718176669120945</v>
      </c>
      <c r="AP310" s="5">
        <v>652804642144755</v>
      </c>
      <c r="AQ310" s="5"/>
      <c r="AR310" s="5"/>
      <c r="AS310" s="5"/>
      <c r="AT310" s="5"/>
      <c r="AU310" s="5"/>
      <c r="AV310" s="5"/>
      <c r="AW310" s="5"/>
      <c r="AX310" s="5"/>
      <c r="AY310" s="5"/>
      <c r="AZ310" s="5"/>
      <c r="BA310" s="5"/>
    </row>
    <row r="311" spans="1:53" x14ac:dyDescent="0.45">
      <c r="A311" s="1"/>
      <c r="B311" s="2"/>
      <c r="C311" s="1" t="s">
        <v>305</v>
      </c>
      <c r="D311" s="2">
        <v>4318651</v>
      </c>
      <c r="E311" s="3" t="s">
        <v>1180</v>
      </c>
      <c r="F311" s="3" t="s">
        <v>1181</v>
      </c>
      <c r="G311" s="3" t="s">
        <v>902</v>
      </c>
      <c r="H311" s="5">
        <v>110915511986942</v>
      </c>
      <c r="I311" s="5">
        <v>112459469746148</v>
      </c>
      <c r="J311" s="5">
        <v>116300565821493</v>
      </c>
      <c r="K311" s="5">
        <v>111976971535643</v>
      </c>
      <c r="L311" s="5">
        <v>102602425845188</v>
      </c>
      <c r="M311" s="5">
        <v>102673203072691</v>
      </c>
      <c r="N311" s="5">
        <v>107695174847701</v>
      </c>
      <c r="O311" s="5">
        <v>97139760542358</v>
      </c>
      <c r="P311" s="5">
        <v>915748767085033</v>
      </c>
      <c r="Q311" s="5">
        <v>969862771970669</v>
      </c>
      <c r="R311" s="5">
        <v>13164261253344</v>
      </c>
      <c r="S311" s="5">
        <v>125375555811406</v>
      </c>
      <c r="T311" s="5">
        <v>108611618911736</v>
      </c>
      <c r="U311" s="5">
        <v>116546308238626</v>
      </c>
      <c r="V311" s="5">
        <v>128017305224992</v>
      </c>
      <c r="W311" s="5">
        <v>128778646281311</v>
      </c>
      <c r="X311" s="5">
        <v>1081114343925</v>
      </c>
      <c r="Y311" s="5">
        <v>104960551480946</v>
      </c>
      <c r="Z311" s="5">
        <v>989492730831057</v>
      </c>
      <c r="AA311" s="5">
        <v>105036557560322</v>
      </c>
      <c r="AB311" s="5">
        <v>116412314335553</v>
      </c>
      <c r="AC311" s="5">
        <v>117785848025643</v>
      </c>
      <c r="AD311" s="5">
        <v>1186842283944</v>
      </c>
      <c r="AE311" s="5">
        <v>139327906178353</v>
      </c>
      <c r="AF311" s="5">
        <v>152339481107716</v>
      </c>
      <c r="AG311" s="5">
        <v>12516929443065</v>
      </c>
      <c r="AH311" s="5">
        <v>131016211356863</v>
      </c>
      <c r="AI311" s="5">
        <v>122651529247596</v>
      </c>
      <c r="AJ311" s="5">
        <v>140719224833514</v>
      </c>
      <c r="AK311" s="5">
        <v>13120952692191</v>
      </c>
      <c r="AL311" s="5">
        <v>129196579226114</v>
      </c>
      <c r="AM311" s="5">
        <v>1085599557297</v>
      </c>
      <c r="AN311" s="5">
        <v>111873644187287</v>
      </c>
      <c r="AO311" s="5">
        <v>102163591028956</v>
      </c>
      <c r="AP311" s="5">
        <v>901711357550833</v>
      </c>
      <c r="AQ311" s="5"/>
      <c r="AR311" s="5"/>
      <c r="AS311" s="5"/>
      <c r="AT311" s="5"/>
      <c r="AU311" s="5"/>
      <c r="AV311" s="5"/>
      <c r="AW311" s="5"/>
      <c r="AX311" s="5"/>
      <c r="AY311" s="5"/>
      <c r="AZ311" s="5"/>
      <c r="BA311" s="5"/>
    </row>
    <row r="312" spans="1:53" x14ac:dyDescent="0.45">
      <c r="A312" s="1"/>
      <c r="B312" s="2"/>
      <c r="C312" s="1" t="s">
        <v>306</v>
      </c>
      <c r="D312" s="2">
        <v>4074329</v>
      </c>
      <c r="E312" s="3" t="s">
        <v>1182</v>
      </c>
      <c r="F312" s="3" t="s">
        <v>1183</v>
      </c>
      <c r="G312" s="3" t="s">
        <v>1184</v>
      </c>
      <c r="H312" s="5">
        <v>188099907373551</v>
      </c>
      <c r="I312" s="5">
        <v>180286170324878</v>
      </c>
      <c r="J312" s="5">
        <v>193025518100197</v>
      </c>
      <c r="K312" s="5">
        <v>197244422257912</v>
      </c>
      <c r="L312" s="5">
        <v>216792042367077</v>
      </c>
      <c r="M312" s="5">
        <v>226838249117985</v>
      </c>
      <c r="N312" s="5">
        <v>227283166840729</v>
      </c>
      <c r="O312" s="5">
        <v>221495077493676</v>
      </c>
      <c r="P312" s="5">
        <v>249225501204675</v>
      </c>
      <c r="Q312" s="5">
        <v>266000770651419</v>
      </c>
      <c r="R312" s="5">
        <v>254663891436586</v>
      </c>
      <c r="S312" s="5">
        <v>257252741761233</v>
      </c>
      <c r="T312" s="5">
        <v>259399794299955</v>
      </c>
      <c r="U312" s="5">
        <v>24730669970079</v>
      </c>
      <c r="V312" s="5">
        <v>229905400026205</v>
      </c>
      <c r="W312" s="5">
        <v>21673337632412</v>
      </c>
      <c r="X312" s="5">
        <v>203736160681539</v>
      </c>
      <c r="Y312" s="5">
        <v>208720098804114</v>
      </c>
      <c r="Z312" s="5">
        <v>223351468997016</v>
      </c>
      <c r="AA312" s="5">
        <v>225909555759655</v>
      </c>
      <c r="AB312" s="5">
        <v>223607632016814</v>
      </c>
      <c r="AC312" s="5">
        <v>206325647692481</v>
      </c>
      <c r="AD312" s="5">
        <v>208648460546267</v>
      </c>
      <c r="AE312" s="5">
        <v>206358025490188</v>
      </c>
      <c r="AF312" s="5">
        <v>226941861913637</v>
      </c>
      <c r="AG312" s="5">
        <v>204687606222437</v>
      </c>
      <c r="AH312" s="5">
        <v>174105399856272</v>
      </c>
      <c r="AI312" s="5">
        <v>196173438375016</v>
      </c>
      <c r="AJ312" s="5">
        <v>23896291457322</v>
      </c>
      <c r="AK312" s="5">
        <v>245856005675548</v>
      </c>
      <c r="AL312" s="5">
        <v>279616104145237</v>
      </c>
      <c r="AM312" s="5">
        <v>275701221020861</v>
      </c>
      <c r="AN312" s="5">
        <v>280999621815506</v>
      </c>
      <c r="AO312" s="5">
        <v>262552428814819</v>
      </c>
      <c r="AP312" s="5">
        <v>252047324884954</v>
      </c>
      <c r="AQ312" s="5"/>
      <c r="AR312" s="5"/>
      <c r="AS312" s="5"/>
      <c r="AT312" s="5"/>
      <c r="AU312" s="5"/>
      <c r="AV312" s="5"/>
      <c r="AW312" s="5"/>
      <c r="AX312" s="5"/>
      <c r="AY312" s="5"/>
      <c r="AZ312" s="5"/>
      <c r="BA312" s="5"/>
    </row>
    <row r="313" spans="1:53" x14ac:dyDescent="0.45">
      <c r="A313" s="1"/>
      <c r="B313" s="2"/>
      <c r="C313" s="1" t="s">
        <v>307</v>
      </c>
      <c r="D313" s="2">
        <v>4004412</v>
      </c>
      <c r="E313" s="3" t="s">
        <v>1185</v>
      </c>
      <c r="F313" s="3" t="s">
        <v>1186</v>
      </c>
      <c r="G313" s="3" t="s">
        <v>804</v>
      </c>
      <c r="H313" s="5">
        <v>221435327766068</v>
      </c>
      <c r="I313" s="5">
        <v>209744913125931</v>
      </c>
      <c r="J313" s="5">
        <v>208940264797194</v>
      </c>
      <c r="K313" s="5">
        <v>197248538954653</v>
      </c>
      <c r="L313" s="5">
        <v>180371718169</v>
      </c>
      <c r="M313" s="5">
        <v>187562761154</v>
      </c>
      <c r="N313" s="5">
        <v>186561513914</v>
      </c>
      <c r="O313" s="5">
        <v>18664950594</v>
      </c>
      <c r="P313" s="5">
        <v>196712367696</v>
      </c>
      <c r="Q313" s="5">
        <v>1998433817856</v>
      </c>
      <c r="R313" s="5">
        <v>194415834312</v>
      </c>
      <c r="S313" s="5">
        <v>181884724914</v>
      </c>
      <c r="T313" s="5">
        <v>176917748</v>
      </c>
      <c r="U313" s="5">
        <v>17532465852</v>
      </c>
      <c r="V313" s="5">
        <v>1499641169</v>
      </c>
      <c r="W313" s="5">
        <v>1495365266655</v>
      </c>
      <c r="X313" s="5">
        <v>147178050891701</v>
      </c>
      <c r="Y313" s="5">
        <v>1376353377854</v>
      </c>
      <c r="Z313" s="5">
        <v>131035050783</v>
      </c>
      <c r="AA313" s="5">
        <v>1389755943576</v>
      </c>
      <c r="AB313" s="5">
        <v>136862777474751</v>
      </c>
      <c r="AC313" s="5">
        <v>125861100452842</v>
      </c>
      <c r="AD313" s="5">
        <v>122097030098516</v>
      </c>
      <c r="AE313" s="5">
        <v>121422461735414</v>
      </c>
      <c r="AF313" s="5">
        <v>134709869833858</v>
      </c>
      <c r="AG313" s="5">
        <v>129291201938039</v>
      </c>
      <c r="AH313" s="5">
        <v>118722195211952</v>
      </c>
      <c r="AI313" s="5">
        <v>133039097202343</v>
      </c>
      <c r="AJ313" s="5">
        <v>14152745145261</v>
      </c>
      <c r="AK313" s="5">
        <v>144827395890669</v>
      </c>
      <c r="AL313" s="5">
        <v>152169987118765</v>
      </c>
      <c r="AM313" s="5">
        <v>151883127756</v>
      </c>
      <c r="AN313" s="5">
        <v>15750731241165</v>
      </c>
      <c r="AO313" s="5">
        <v>155875794528075</v>
      </c>
      <c r="AP313" s="5">
        <v>153334061965662</v>
      </c>
      <c r="AQ313" s="5"/>
      <c r="AR313" s="5"/>
      <c r="AS313" s="5"/>
      <c r="AT313" s="5"/>
      <c r="AU313" s="5"/>
      <c r="AV313" s="5"/>
      <c r="AW313" s="5"/>
      <c r="AX313" s="5"/>
      <c r="AY313" s="5"/>
      <c r="AZ313" s="5"/>
      <c r="BA313" s="5"/>
    </row>
    <row r="314" spans="1:53" x14ac:dyDescent="0.45">
      <c r="A314" s="1"/>
      <c r="B314" s="2"/>
      <c r="C314" s="1" t="s">
        <v>308</v>
      </c>
      <c r="D314" s="2">
        <v>4070114</v>
      </c>
      <c r="E314" s="3" t="s">
        <v>1187</v>
      </c>
      <c r="F314" s="3" t="s">
        <v>1188</v>
      </c>
      <c r="G314" s="3" t="s">
        <v>588</v>
      </c>
      <c r="H314" s="5">
        <v>203647467594651</v>
      </c>
      <c r="I314" s="5">
        <v>202904511951299</v>
      </c>
      <c r="J314" s="5">
        <v>196713301211436</v>
      </c>
      <c r="K314" s="5">
        <v>181940012188149</v>
      </c>
      <c r="L314" s="5">
        <v>17259966683633</v>
      </c>
      <c r="M314" s="5">
        <v>1764120001804</v>
      </c>
      <c r="N314" s="5">
        <v>17936902854</v>
      </c>
      <c r="O314" s="5">
        <v>18937755975</v>
      </c>
      <c r="P314" s="5">
        <v>19545780852</v>
      </c>
      <c r="Q314" s="5">
        <v>197885793805028</v>
      </c>
      <c r="R314" s="5">
        <v>207616355376</v>
      </c>
      <c r="S314" s="5">
        <v>2004865741812</v>
      </c>
      <c r="T314" s="5">
        <v>2069488555616</v>
      </c>
      <c r="U314" s="5">
        <v>20168027055</v>
      </c>
      <c r="V314" s="5">
        <v>18214314192</v>
      </c>
      <c r="W314" s="5">
        <v>186192809425581</v>
      </c>
      <c r="X314" s="5">
        <v>19621602094926</v>
      </c>
      <c r="Y314" s="5">
        <v>191271730154046</v>
      </c>
      <c r="Z314" s="5">
        <v>1930906971</v>
      </c>
      <c r="AA314" s="5">
        <v>1754482348572</v>
      </c>
      <c r="AB314" s="5">
        <v>1638854910936</v>
      </c>
      <c r="AC314" s="5">
        <v>170753057794217</v>
      </c>
      <c r="AD314" s="5">
        <v>159645856697254</v>
      </c>
      <c r="AE314" s="5">
        <v>175775274230286</v>
      </c>
      <c r="AF314" s="5">
        <v>185138478066311</v>
      </c>
      <c r="AG314" s="5">
        <v>168643723350019</v>
      </c>
      <c r="AH314" s="5">
        <v>153874343351938</v>
      </c>
      <c r="AI314" s="5">
        <v>144013740763312</v>
      </c>
      <c r="AJ314" s="5">
        <v>151702902474158</v>
      </c>
      <c r="AK314" s="5">
        <v>152870163751116</v>
      </c>
      <c r="AL314" s="5">
        <v>163488494329605</v>
      </c>
      <c r="AM314" s="5">
        <v>156967993845225</v>
      </c>
      <c r="AN314" s="5">
        <v>167753817789975</v>
      </c>
      <c r="AO314" s="5">
        <v>161402062768515</v>
      </c>
      <c r="AP314" s="5">
        <v>145582278499928</v>
      </c>
      <c r="AQ314" s="5"/>
      <c r="AR314" s="5"/>
      <c r="AS314" s="5"/>
      <c r="AT314" s="5"/>
      <c r="AU314" s="5"/>
      <c r="AV314" s="5"/>
      <c r="AW314" s="5"/>
      <c r="AX314" s="5"/>
      <c r="AY314" s="5"/>
      <c r="AZ314" s="5"/>
      <c r="BA314" s="5"/>
    </row>
    <row r="315" spans="1:53" x14ac:dyDescent="0.45">
      <c r="A315" s="1"/>
      <c r="B315" s="2"/>
      <c r="C315" s="1" t="s">
        <v>309</v>
      </c>
      <c r="D315" s="2">
        <v>4765589</v>
      </c>
      <c r="E315" s="3" t="s">
        <v>1189</v>
      </c>
      <c r="F315" s="3" t="s">
        <v>1190</v>
      </c>
      <c r="G315" s="3" t="s">
        <v>804</v>
      </c>
      <c r="H315" s="5">
        <v>106801667762154</v>
      </c>
      <c r="I315" s="5">
        <v>108509983474873</v>
      </c>
      <c r="J315" s="5">
        <v>109912075139097</v>
      </c>
      <c r="K315" s="5">
        <v>104352258265875</v>
      </c>
      <c r="L315" s="5">
        <v>948270499423915</v>
      </c>
      <c r="M315" s="5">
        <v>971183878075204</v>
      </c>
      <c r="N315" s="5">
        <v>106289544016687</v>
      </c>
      <c r="O315" s="5">
        <v>107407599394788</v>
      </c>
      <c r="P315" s="5">
        <v>107902354709359</v>
      </c>
      <c r="Q315" s="5">
        <v>106874299369523</v>
      </c>
      <c r="R315" s="5">
        <v>994121056412652</v>
      </c>
      <c r="S315" s="5">
        <v>987436517335811</v>
      </c>
      <c r="T315" s="5">
        <v>965313145603157</v>
      </c>
      <c r="U315" s="5">
        <v>987886123511144</v>
      </c>
      <c r="V315" s="5">
        <v>914162487497841</v>
      </c>
      <c r="W315" s="5">
        <v>103500671076</v>
      </c>
      <c r="X315" s="5">
        <v>1040529110775</v>
      </c>
      <c r="Y315" s="5">
        <v>103436548999</v>
      </c>
      <c r="Z315" s="5">
        <v>948530014020914</v>
      </c>
      <c r="AA315" s="5">
        <v>978193182444503</v>
      </c>
      <c r="AB315" s="5">
        <v>916458673878713</v>
      </c>
      <c r="AC315" s="5">
        <v>8012750563701</v>
      </c>
      <c r="AD315" s="5">
        <v>7944609845016</v>
      </c>
      <c r="AE315" s="5">
        <v>822041932110428</v>
      </c>
      <c r="AF315" s="5">
        <v>967409915833399</v>
      </c>
      <c r="AG315" s="5">
        <v>914084902354352</v>
      </c>
      <c r="AH315" s="5">
        <v>823474802720064</v>
      </c>
      <c r="AI315" s="5">
        <v>88875867694482</v>
      </c>
      <c r="AJ315" s="5">
        <v>991066882823028</v>
      </c>
      <c r="AK315" s="5">
        <v>110873610832359</v>
      </c>
      <c r="AL315" s="5">
        <v>104802937725715</v>
      </c>
      <c r="AM315" s="5">
        <v>997273394596586</v>
      </c>
      <c r="AN315" s="5">
        <v>105241638187534</v>
      </c>
      <c r="AO315" s="5">
        <v>108154050485291</v>
      </c>
      <c r="AP315" s="5">
        <v>102266487163607</v>
      </c>
      <c r="AQ315" s="5"/>
      <c r="AR315" s="5"/>
      <c r="AS315" s="5"/>
      <c r="AT315" s="5"/>
      <c r="AU315" s="5"/>
      <c r="AV315" s="5"/>
      <c r="AW315" s="5"/>
      <c r="AX315" s="5"/>
      <c r="AY315" s="5"/>
      <c r="AZ315" s="5"/>
      <c r="BA315" s="5"/>
    </row>
    <row r="316" spans="1:53" x14ac:dyDescent="0.45">
      <c r="A316" s="1"/>
      <c r="B316" s="2"/>
      <c r="C316" s="1" t="s">
        <v>310</v>
      </c>
      <c r="D316" s="2">
        <v>4004166</v>
      </c>
      <c r="E316" s="3" t="s">
        <v>1191</v>
      </c>
      <c r="F316" s="3" t="s">
        <v>1192</v>
      </c>
      <c r="G316" s="3" t="s">
        <v>1113</v>
      </c>
      <c r="H316" s="5">
        <v>142028569646135</v>
      </c>
      <c r="I316" s="5">
        <v>13914512848123</v>
      </c>
      <c r="J316" s="5">
        <v>134659298665972</v>
      </c>
      <c r="K316" s="5">
        <v>134398443234887</v>
      </c>
      <c r="L316" s="5">
        <v>138924880898084</v>
      </c>
      <c r="M316" s="5">
        <v>141045116752609</v>
      </c>
      <c r="N316" s="5">
        <v>144602871873103</v>
      </c>
      <c r="O316" s="5">
        <v>148584554759489</v>
      </c>
      <c r="P316" s="5">
        <v>148518963697334</v>
      </c>
      <c r="Q316" s="5">
        <v>14941056734963</v>
      </c>
      <c r="R316" s="5">
        <v>148398824326327</v>
      </c>
      <c r="S316" s="5">
        <v>137929587070209</v>
      </c>
      <c r="T316" s="5">
        <v>142150492687737</v>
      </c>
      <c r="U316" s="5">
        <v>135809396875152</v>
      </c>
      <c r="V316" s="5">
        <v>140276418355354</v>
      </c>
      <c r="W316" s="5">
        <v>138781928552249</v>
      </c>
      <c r="X316" s="5">
        <v>137813880397431</v>
      </c>
      <c r="Y316" s="5">
        <v>140286161433826</v>
      </c>
      <c r="Z316" s="5">
        <v>137788246217026</v>
      </c>
      <c r="AA316" s="5">
        <v>131306613273374</v>
      </c>
      <c r="AB316" s="5">
        <v>129852403814092</v>
      </c>
      <c r="AC316" s="5">
        <v>130156817209625</v>
      </c>
      <c r="AD316" s="5">
        <v>13369242050456</v>
      </c>
      <c r="AE316" s="5">
        <v>134032223664041</v>
      </c>
      <c r="AF316" s="5">
        <v>13811884743341</v>
      </c>
      <c r="AG316" s="5">
        <v>135007820540643</v>
      </c>
      <c r="AH316" s="5">
        <v>124126258052395</v>
      </c>
      <c r="AI316" s="5">
        <v>121872444524698</v>
      </c>
      <c r="AJ316" s="5">
        <v>128112645994083</v>
      </c>
      <c r="AK316" s="5">
        <v>123687147455235</v>
      </c>
      <c r="AL316" s="5">
        <v>129689080053919</v>
      </c>
      <c r="AM316" s="5">
        <v>12541406070294</v>
      </c>
      <c r="AN316" s="5">
        <v>131941360518212</v>
      </c>
      <c r="AO316" s="5">
        <v>130856587456497</v>
      </c>
      <c r="AP316" s="5">
        <v>12431652773481</v>
      </c>
      <c r="AQ316" s="5"/>
      <c r="AR316" s="5"/>
      <c r="AS316" s="5"/>
      <c r="AT316" s="5"/>
      <c r="AU316" s="5"/>
      <c r="AV316" s="5"/>
      <c r="AW316" s="5"/>
      <c r="AX316" s="5"/>
      <c r="AY316" s="5"/>
      <c r="AZ316" s="5"/>
      <c r="BA316" s="5"/>
    </row>
    <row r="317" spans="1:53" x14ac:dyDescent="0.45">
      <c r="A317" s="1"/>
      <c r="B317" s="2"/>
      <c r="C317" s="1" t="s">
        <v>311</v>
      </c>
      <c r="D317" s="2">
        <v>3009080</v>
      </c>
      <c r="E317" s="3" t="s">
        <v>1193</v>
      </c>
      <c r="F317" s="3" t="s">
        <v>1194</v>
      </c>
      <c r="G317" s="3" t="s">
        <v>633</v>
      </c>
      <c r="H317" s="5">
        <v>179798870881305</v>
      </c>
      <c r="I317" s="5">
        <v>181488767169918</v>
      </c>
      <c r="J317" s="5">
        <v>179113575678753</v>
      </c>
      <c r="K317" s="5">
        <v>179644257634842</v>
      </c>
      <c r="L317" s="5">
        <v>169880268693626</v>
      </c>
      <c r="M317" s="5">
        <v>1679126978784</v>
      </c>
      <c r="N317" s="5">
        <v>1757029670184</v>
      </c>
      <c r="O317" s="5">
        <v>17341647864</v>
      </c>
      <c r="P317" s="5">
        <v>18539377321088</v>
      </c>
      <c r="Q317" s="5">
        <v>19052361747496</v>
      </c>
      <c r="R317" s="5">
        <v>1912992917448</v>
      </c>
      <c r="S317" s="5">
        <v>17843521649676</v>
      </c>
      <c r="T317" s="5">
        <v>18671314526144</v>
      </c>
      <c r="U317" s="5">
        <v>1845050875184</v>
      </c>
      <c r="V317" s="5">
        <v>1754926231926</v>
      </c>
      <c r="W317" s="5">
        <v>182772868047075</v>
      </c>
      <c r="X317" s="5">
        <v>189353458371</v>
      </c>
      <c r="Y317" s="5">
        <v>200229236651675</v>
      </c>
      <c r="Z317" s="5">
        <v>192285126165825</v>
      </c>
      <c r="AA317" s="5">
        <v>18910011257225</v>
      </c>
      <c r="AB317" s="5">
        <v>17684465311962</v>
      </c>
      <c r="AC317" s="5">
        <v>168905674738776</v>
      </c>
      <c r="AD317" s="5">
        <v>173952855402033</v>
      </c>
      <c r="AE317" s="5">
        <v>183487685845671</v>
      </c>
      <c r="AF317" s="5">
        <v>191492456763222</v>
      </c>
      <c r="AG317" s="5">
        <v>189150502011057</v>
      </c>
      <c r="AH317" s="5">
        <v>173579574018241</v>
      </c>
      <c r="AI317" s="5">
        <v>177400088686954</v>
      </c>
      <c r="AJ317" s="5">
        <v>20098455473117</v>
      </c>
      <c r="AK317" s="5">
        <v>185355455554221</v>
      </c>
      <c r="AL317" s="5">
        <v>194966995462375</v>
      </c>
      <c r="AM317" s="5">
        <v>185753168796488</v>
      </c>
      <c r="AN317" s="5">
        <v>198478504304133</v>
      </c>
      <c r="AO317" s="5">
        <v>18759379546411</v>
      </c>
      <c r="AP317" s="5">
        <v>174400223364773</v>
      </c>
      <c r="AQ317" s="5"/>
      <c r="AR317" s="5"/>
      <c r="AS317" s="5"/>
      <c r="AT317" s="5"/>
      <c r="AU317" s="5"/>
      <c r="AV317" s="5"/>
      <c r="AW317" s="5"/>
      <c r="AX317" s="5"/>
      <c r="AY317" s="5"/>
      <c r="AZ317" s="5"/>
      <c r="BA317" s="5"/>
    </row>
    <row r="318" spans="1:53" x14ac:dyDescent="0.45">
      <c r="A318" s="1"/>
      <c r="B318" s="2"/>
      <c r="C318" s="1" t="s">
        <v>312</v>
      </c>
      <c r="D318" s="2">
        <v>4057057</v>
      </c>
      <c r="E318" s="3" t="s">
        <v>1195</v>
      </c>
      <c r="F318" s="3" t="s">
        <v>1196</v>
      </c>
      <c r="G318" s="3" t="s">
        <v>507</v>
      </c>
      <c r="H318" s="5">
        <v>192056791544737</v>
      </c>
      <c r="I318" s="5">
        <v>234295554299504</v>
      </c>
      <c r="J318" s="5">
        <v>254484824699049</v>
      </c>
      <c r="K318" s="5">
        <v>295441423851334</v>
      </c>
      <c r="L318" s="5">
        <v>303934001790427</v>
      </c>
      <c r="M318" s="5">
        <v>29453893978472</v>
      </c>
      <c r="N318" s="5">
        <v>29726558855</v>
      </c>
      <c r="O318" s="5">
        <v>310985402</v>
      </c>
      <c r="P318" s="5">
        <v>314221683789</v>
      </c>
      <c r="Q318" s="5">
        <v>3151276180416</v>
      </c>
      <c r="R318" s="5">
        <v>3192844473</v>
      </c>
      <c r="S318" s="5">
        <v>290720043404597</v>
      </c>
      <c r="T318" s="5">
        <v>2911011777707</v>
      </c>
      <c r="U318" s="5">
        <v>28127792616</v>
      </c>
      <c r="V318" s="5">
        <v>28566576456153</v>
      </c>
      <c r="W318" s="5">
        <v>274283154548303</v>
      </c>
      <c r="X318" s="5">
        <v>280045967615484</v>
      </c>
      <c r="Y318" s="5">
        <v>285260803838734</v>
      </c>
      <c r="Z318" s="5">
        <v>2855045721456</v>
      </c>
      <c r="AA318" s="5">
        <v>2677866185936</v>
      </c>
      <c r="AB318" s="5">
        <v>251754134553</v>
      </c>
      <c r="AC318" s="5">
        <v>25736963263245</v>
      </c>
      <c r="AD318" s="5">
        <v>2488811844244</v>
      </c>
      <c r="AE318" s="5">
        <v>240198267830393</v>
      </c>
      <c r="AF318" s="5">
        <v>244793276057333</v>
      </c>
      <c r="AG318" s="5">
        <v>237506154353462</v>
      </c>
      <c r="AH318" s="5">
        <v>23143137970949</v>
      </c>
      <c r="AI318" s="5">
        <v>216517228365981</v>
      </c>
      <c r="AJ318" s="5">
        <v>229096615289129</v>
      </c>
      <c r="AK318" s="5">
        <v>211570084327786</v>
      </c>
      <c r="AL318" s="5">
        <v>23383944741047</v>
      </c>
      <c r="AM318" s="5">
        <v>226887313929564</v>
      </c>
      <c r="AN318" s="5">
        <v>236165338293137</v>
      </c>
      <c r="AO318" s="5">
        <v>228286594782</v>
      </c>
      <c r="AP318" s="5">
        <v>2474778881676</v>
      </c>
      <c r="AQ318" s="5"/>
      <c r="AR318" s="5"/>
      <c r="AS318" s="5"/>
      <c r="AT318" s="5"/>
      <c r="AU318" s="5"/>
      <c r="AV318" s="5"/>
      <c r="AW318" s="5"/>
      <c r="AX318" s="5"/>
      <c r="AY318" s="5"/>
      <c r="AZ318" s="5"/>
      <c r="BA318" s="5"/>
    </row>
    <row r="319" spans="1:53" x14ac:dyDescent="0.45">
      <c r="A319" s="1"/>
      <c r="B319" s="2"/>
      <c r="C319" s="1" t="s">
        <v>313</v>
      </c>
      <c r="D319" s="2">
        <v>4913068</v>
      </c>
      <c r="E319" s="3" t="s">
        <v>1197</v>
      </c>
      <c r="F319" s="3" t="s">
        <v>1198</v>
      </c>
      <c r="G319" s="3" t="s">
        <v>513</v>
      </c>
      <c r="H319" s="5">
        <v>136659026642023</v>
      </c>
      <c r="I319" s="5">
        <v>134009037814226</v>
      </c>
      <c r="J319" s="5">
        <v>139610794966461</v>
      </c>
      <c r="K319" s="5">
        <v>145884064664205</v>
      </c>
      <c r="L319" s="5">
        <v>152937390088374</v>
      </c>
      <c r="M319" s="5">
        <v>153809787892936</v>
      </c>
      <c r="N319" s="5">
        <v>159888209723535</v>
      </c>
      <c r="O319" s="5">
        <v>16559923373729</v>
      </c>
      <c r="P319" s="5">
        <v>157999629533282</v>
      </c>
      <c r="Q319" s="5">
        <v>1639868580112</v>
      </c>
      <c r="R319" s="5">
        <v>159805115703</v>
      </c>
      <c r="S319" s="5">
        <v>13819995300585</v>
      </c>
      <c r="T319" s="5">
        <v>13445314179395</v>
      </c>
      <c r="U319" s="5">
        <v>129557706388</v>
      </c>
      <c r="V319" s="5">
        <v>1365061658056</v>
      </c>
      <c r="W319" s="5">
        <v>13417728220809</v>
      </c>
      <c r="X319" s="5">
        <v>139064644209645</v>
      </c>
      <c r="Y319" s="5">
        <v>13919725267371</v>
      </c>
      <c r="Z319" s="5">
        <v>14208575785524</v>
      </c>
      <c r="AA319" s="5">
        <v>13754853953164</v>
      </c>
      <c r="AB319" s="5">
        <v>132902210105746</v>
      </c>
      <c r="AC319" s="5">
        <v>129831914591775</v>
      </c>
      <c r="AD319" s="5">
        <v>128874663304248</v>
      </c>
      <c r="AE319" s="5">
        <v>125404846722065</v>
      </c>
      <c r="AF319" s="5">
        <v>128156197566536</v>
      </c>
      <c r="AG319" s="5">
        <v>12420012600935</v>
      </c>
      <c r="AH319" s="5">
        <v>110121768092986</v>
      </c>
      <c r="AI319" s="5">
        <v>110366235017333</v>
      </c>
      <c r="AJ319" s="5">
        <v>119934051552103</v>
      </c>
      <c r="AK319" s="5">
        <v>111496027518381</v>
      </c>
      <c r="AL319" s="5">
        <v>117253592982923</v>
      </c>
      <c r="AM319" s="5">
        <v>115499707509556</v>
      </c>
      <c r="AN319" s="5">
        <v>108623831231446</v>
      </c>
      <c r="AO319" s="5">
        <v>114454139008556</v>
      </c>
      <c r="AP319" s="5">
        <v>1104265336347</v>
      </c>
      <c r="AQ319" s="5"/>
      <c r="AR319" s="5"/>
      <c r="AS319" s="5"/>
      <c r="AT319" s="5"/>
      <c r="AU319" s="5"/>
      <c r="AV319" s="5"/>
      <c r="AW319" s="5"/>
      <c r="AX319" s="5"/>
      <c r="AY319" s="5"/>
      <c r="AZ319" s="5"/>
      <c r="BA319" s="5"/>
    </row>
    <row r="320" spans="1:53" x14ac:dyDescent="0.45">
      <c r="A320" s="1"/>
      <c r="B320" s="2"/>
      <c r="C320" s="1" t="s">
        <v>314</v>
      </c>
      <c r="D320" s="2">
        <v>4095021</v>
      </c>
      <c r="E320" s="3" t="s">
        <v>1199</v>
      </c>
      <c r="F320" s="3" t="s">
        <v>1200</v>
      </c>
      <c r="G320" s="3" t="s">
        <v>1068</v>
      </c>
      <c r="H320" s="5">
        <v>426866632565696</v>
      </c>
      <c r="I320" s="5">
        <v>415127543252713</v>
      </c>
      <c r="J320" s="5">
        <v>396462203345696</v>
      </c>
      <c r="K320" s="5">
        <v>396478252674848</v>
      </c>
      <c r="L320" s="5">
        <v>361005900662556</v>
      </c>
      <c r="M320" s="5">
        <v>364526473262344</v>
      </c>
      <c r="N320" s="5">
        <v>371789674222871</v>
      </c>
      <c r="O320" s="5">
        <v>347475461253975</v>
      </c>
      <c r="P320" s="5">
        <v>37678406688</v>
      </c>
      <c r="Q320" s="5">
        <v>383005595471156</v>
      </c>
      <c r="R320" s="5">
        <v>381397587216664</v>
      </c>
      <c r="S320" s="5">
        <v>393956792515371</v>
      </c>
      <c r="T320" s="5">
        <v>426348149045696</v>
      </c>
      <c r="U320" s="5">
        <v>409355343397044</v>
      </c>
      <c r="V320" s="5">
        <v>385644054494583</v>
      </c>
      <c r="W320" s="5">
        <v>374680663983151</v>
      </c>
      <c r="X320" s="5">
        <v>367947750202107</v>
      </c>
      <c r="Y320" s="5">
        <v>355902998354093</v>
      </c>
      <c r="Z320" s="5">
        <v>375944358087464</v>
      </c>
      <c r="AA320" s="5">
        <v>379974060330346</v>
      </c>
      <c r="AB320" s="5">
        <v>376812191638272</v>
      </c>
      <c r="AC320" s="5">
        <v>385480689784288</v>
      </c>
      <c r="AD320" s="5">
        <v>391833593025</v>
      </c>
      <c r="AE320" s="5">
        <v>40177308272858</v>
      </c>
      <c r="AF320" s="5">
        <v>46216050415522</v>
      </c>
      <c r="AG320" s="5">
        <v>430779658105979</v>
      </c>
      <c r="AH320" s="5">
        <v>370191974491598</v>
      </c>
      <c r="AI320" s="5">
        <v>379532522225248</v>
      </c>
      <c r="AJ320" s="5">
        <v>38689675158014</v>
      </c>
      <c r="AK320" s="5">
        <v>392225822821904</v>
      </c>
      <c r="AL320" s="5">
        <v>390964630290359</v>
      </c>
      <c r="AM320" s="5">
        <v>384204282410025</v>
      </c>
      <c r="AN320" s="5">
        <v>396792596683399</v>
      </c>
      <c r="AO320" s="5">
        <v>38031028519398</v>
      </c>
      <c r="AP320" s="5">
        <v>3400812324</v>
      </c>
      <c r="AQ320" s="5"/>
      <c r="AR320" s="5"/>
      <c r="AS320" s="5"/>
      <c r="AT320" s="5"/>
      <c r="AU320" s="5"/>
      <c r="AV320" s="5"/>
      <c r="AW320" s="5"/>
      <c r="AX320" s="5"/>
      <c r="AY320" s="5"/>
      <c r="AZ320" s="5"/>
      <c r="BA320" s="5"/>
    </row>
    <row r="321" spans="1:53" x14ac:dyDescent="0.45">
      <c r="A321" s="1"/>
      <c r="B321" s="2"/>
      <c r="C321" s="1" t="s">
        <v>315</v>
      </c>
      <c r="D321" s="2">
        <v>4056951</v>
      </c>
      <c r="E321" s="3" t="s">
        <v>1201</v>
      </c>
      <c r="F321" s="3" t="s">
        <v>1202</v>
      </c>
      <c r="G321" s="3" t="s">
        <v>507</v>
      </c>
      <c r="H321" s="5">
        <v>79258760528916</v>
      </c>
      <c r="I321" s="5">
        <v>861356756671717</v>
      </c>
      <c r="J321" s="5">
        <v>841011453440592</v>
      </c>
      <c r="K321" s="5">
        <v>798631259118605</v>
      </c>
      <c r="L321" s="5">
        <v>845709138214114</v>
      </c>
      <c r="M321" s="5">
        <v>820977700490294</v>
      </c>
      <c r="N321" s="5">
        <v>832717594684998</v>
      </c>
      <c r="O321" s="5">
        <v>87721637156505</v>
      </c>
      <c r="P321" s="5">
        <v>871200814231056</v>
      </c>
      <c r="Q321" s="5">
        <v>868196968594894</v>
      </c>
      <c r="R321" s="5">
        <v>862028767768362</v>
      </c>
      <c r="S321" s="5">
        <v>800733028317615</v>
      </c>
      <c r="T321" s="5">
        <v>822750467082063</v>
      </c>
      <c r="U321" s="5">
        <v>778450202402246</v>
      </c>
      <c r="V321" s="5">
        <v>772231217198926</v>
      </c>
      <c r="W321" s="5">
        <v>75159152627857</v>
      </c>
      <c r="X321" s="5">
        <v>74836888648639</v>
      </c>
      <c r="Y321" s="5">
        <v>784478392748647</v>
      </c>
      <c r="Z321" s="5">
        <v>811216124882761</v>
      </c>
      <c r="AA321" s="5">
        <v>734905376010853</v>
      </c>
      <c r="AB321" s="5">
        <v>705009306397826</v>
      </c>
      <c r="AC321" s="5">
        <v>703343315642015</v>
      </c>
      <c r="AD321" s="5">
        <v>679291564598915</v>
      </c>
      <c r="AE321" s="5">
        <v>658114534224992</v>
      </c>
      <c r="AF321" s="5">
        <v>664803740339482</v>
      </c>
      <c r="AG321" s="5">
        <v>638428543865221</v>
      </c>
      <c r="AH321" s="5">
        <v>636875430648537</v>
      </c>
      <c r="AI321" s="5">
        <v>588923706412104</v>
      </c>
      <c r="AJ321" s="5">
        <v>6189716155491</v>
      </c>
      <c r="AK321" s="5">
        <v>56562834001275</v>
      </c>
      <c r="AL321" s="5">
        <v>6147373316242</v>
      </c>
      <c r="AM321" s="5">
        <v>60541405074</v>
      </c>
      <c r="AN321" s="5">
        <v>65617070953125</v>
      </c>
      <c r="AO321" s="5">
        <v>63193333851</v>
      </c>
      <c r="AP321" s="5">
        <v>686578572075</v>
      </c>
      <c r="AQ321" s="5"/>
      <c r="AR321" s="5"/>
      <c r="AS321" s="5"/>
      <c r="AT321" s="5"/>
      <c r="AU321" s="5"/>
      <c r="AV321" s="5"/>
      <c r="AW321" s="5"/>
      <c r="AX321" s="5"/>
      <c r="AY321" s="5"/>
      <c r="AZ321" s="5"/>
      <c r="BA321" s="5"/>
    </row>
    <row r="322" spans="1:53" x14ac:dyDescent="0.45">
      <c r="A322" s="1"/>
      <c r="B322" s="2"/>
      <c r="C322" s="1" t="s">
        <v>316</v>
      </c>
      <c r="D322" s="2">
        <v>4104752</v>
      </c>
      <c r="E322" s="3" t="s">
        <v>1203</v>
      </c>
      <c r="F322" s="3" t="s">
        <v>1204</v>
      </c>
      <c r="G322" s="3" t="s">
        <v>927</v>
      </c>
      <c r="H322" s="5">
        <v>4336910616336</v>
      </c>
      <c r="I322" s="5">
        <v>42375937046544</v>
      </c>
      <c r="J322" s="5">
        <v>4167306303336</v>
      </c>
      <c r="K322" s="5">
        <v>377287335887943</v>
      </c>
      <c r="L322" s="5">
        <v>346066026471711</v>
      </c>
      <c r="M322" s="5">
        <v>37818263783898</v>
      </c>
      <c r="N322" s="5">
        <v>426112184175</v>
      </c>
      <c r="O322" s="5">
        <v>4384162695</v>
      </c>
      <c r="P322" s="5">
        <v>453852254474918</v>
      </c>
      <c r="Q322" s="5">
        <v>460758333498372</v>
      </c>
      <c r="R322" s="5">
        <v>444718896922686</v>
      </c>
      <c r="S322" s="5">
        <v>404398016568</v>
      </c>
      <c r="T322" s="5">
        <v>408609859788</v>
      </c>
      <c r="U322" s="5">
        <v>39346196604</v>
      </c>
      <c r="V322" s="5">
        <v>349192594784602</v>
      </c>
      <c r="W322" s="5">
        <v>35359726419</v>
      </c>
      <c r="X322" s="5">
        <v>380466889188802</v>
      </c>
      <c r="Y322" s="5">
        <v>384882077277169</v>
      </c>
      <c r="Z322" s="5">
        <v>356162821946766</v>
      </c>
      <c r="AA322" s="5">
        <v>346113076636326</v>
      </c>
      <c r="AB322" s="5">
        <v>321063267976289</v>
      </c>
      <c r="AC322" s="5">
        <v>31065143408195</v>
      </c>
      <c r="AD322" s="5">
        <v>332671851174195</v>
      </c>
      <c r="AE322" s="5">
        <v>316856378702409</v>
      </c>
      <c r="AF322" s="5">
        <v>330815682684287</v>
      </c>
      <c r="AG322" s="5">
        <v>315009058380799</v>
      </c>
      <c r="AH322" s="5">
        <v>278130668906587</v>
      </c>
      <c r="AI322" s="5">
        <v>26706460893645</v>
      </c>
      <c r="AJ322" s="5">
        <v>273649661523368</v>
      </c>
      <c r="AK322" s="5">
        <v>274242725218539</v>
      </c>
      <c r="AL322" s="5">
        <v>262868603255276</v>
      </c>
      <c r="AM322" s="5">
        <v>253026761179232</v>
      </c>
      <c r="AN322" s="5">
        <v>283560930993824</v>
      </c>
      <c r="AO322" s="5">
        <v>269088152262001</v>
      </c>
      <c r="AP322" s="5">
        <v>239281443094337</v>
      </c>
      <c r="AQ322" s="5"/>
      <c r="AR322" s="5"/>
      <c r="AS322" s="5"/>
      <c r="AT322" s="5"/>
      <c r="AU322" s="5"/>
      <c r="AV322" s="5"/>
      <c r="AW322" s="5"/>
      <c r="AX322" s="5"/>
      <c r="AY322" s="5"/>
      <c r="AZ322" s="5"/>
      <c r="BA322" s="5"/>
    </row>
    <row r="323" spans="1:53" x14ac:dyDescent="0.45">
      <c r="A323" s="1"/>
      <c r="B323" s="2"/>
      <c r="C323" s="1" t="s">
        <v>317</v>
      </c>
      <c r="D323" s="2">
        <v>4062397</v>
      </c>
      <c r="E323" s="3" t="s">
        <v>1205</v>
      </c>
      <c r="F323" s="3" t="s">
        <v>1206</v>
      </c>
      <c r="G323" s="3" t="s">
        <v>496</v>
      </c>
      <c r="H323" s="5">
        <v>247573766252942</v>
      </c>
      <c r="I323" s="5">
        <v>24968909485137</v>
      </c>
      <c r="J323" s="5">
        <v>254094620270983</v>
      </c>
      <c r="K323" s="5">
        <v>235800394982903</v>
      </c>
      <c r="L323" s="5">
        <v>225312028840282</v>
      </c>
      <c r="M323" s="5">
        <v>229048305729825</v>
      </c>
      <c r="N323" s="5">
        <v>24692540628</v>
      </c>
      <c r="O323" s="5">
        <v>2425199448</v>
      </c>
      <c r="P323" s="5">
        <v>258278171424</v>
      </c>
      <c r="Q323" s="5">
        <v>2522218763456</v>
      </c>
      <c r="R323" s="5">
        <v>2480680663617</v>
      </c>
      <c r="S323" s="5">
        <v>24467326488</v>
      </c>
      <c r="T323" s="5">
        <v>23698263072</v>
      </c>
      <c r="U323" s="5">
        <v>2395794192</v>
      </c>
      <c r="V323" s="5">
        <v>22432558368</v>
      </c>
      <c r="W323" s="5">
        <v>2448557076672</v>
      </c>
      <c r="X323" s="5">
        <v>252914008153039</v>
      </c>
      <c r="Y323" s="5">
        <v>249533715442636</v>
      </c>
      <c r="Z323" s="5">
        <v>250167719365208</v>
      </c>
      <c r="AA323" s="5">
        <v>258101000516867</v>
      </c>
      <c r="AB323" s="5">
        <v>257117113777184</v>
      </c>
      <c r="AC323" s="5">
        <v>237049785279545</v>
      </c>
      <c r="AD323" s="5">
        <v>236701488778416</v>
      </c>
      <c r="AE323" s="5">
        <v>24500404643238</v>
      </c>
      <c r="AF323" s="5">
        <v>269506687356324</v>
      </c>
      <c r="AG323" s="5">
        <v>254589130593252</v>
      </c>
      <c r="AH323" s="5">
        <v>212718304633233</v>
      </c>
      <c r="AI323" s="5">
        <v>23030307387723</v>
      </c>
      <c r="AJ323" s="5">
        <v>26557809488856</v>
      </c>
      <c r="AK323" s="5">
        <v>279979957946506</v>
      </c>
      <c r="AL323" s="5">
        <v>284460203860295</v>
      </c>
      <c r="AM323" s="5">
        <v>2699412158259</v>
      </c>
      <c r="AN323" s="5">
        <v>286358182394541</v>
      </c>
      <c r="AO323" s="5">
        <v>28560153505915</v>
      </c>
      <c r="AP323" s="5">
        <v>27092389338814</v>
      </c>
      <c r="AQ323" s="5"/>
      <c r="AR323" s="5"/>
      <c r="AS323" s="5"/>
      <c r="AT323" s="5"/>
      <c r="AU323" s="5"/>
      <c r="AV323" s="5"/>
      <c r="AW323" s="5"/>
      <c r="AX323" s="5"/>
      <c r="AY323" s="5"/>
      <c r="AZ323" s="5"/>
      <c r="BA323" s="5"/>
    </row>
    <row r="324" spans="1:53" x14ac:dyDescent="0.45">
      <c r="A324" s="1"/>
      <c r="B324" s="2"/>
      <c r="C324" s="1" t="s">
        <v>318</v>
      </c>
      <c r="D324" s="2">
        <v>4057058</v>
      </c>
      <c r="E324" s="3" t="s">
        <v>1207</v>
      </c>
      <c r="F324" s="3" t="s">
        <v>1208</v>
      </c>
      <c r="G324" s="3" t="s">
        <v>507</v>
      </c>
      <c r="H324" s="5">
        <v>177452778991906</v>
      </c>
      <c r="I324" s="5">
        <v>211990548369445</v>
      </c>
      <c r="J324" s="5">
        <v>221284751905393</v>
      </c>
      <c r="K324" s="5">
        <v>220224796240101</v>
      </c>
      <c r="L324" s="5">
        <v>226634179324747</v>
      </c>
      <c r="M324" s="5">
        <v>2221874132585</v>
      </c>
      <c r="N324" s="5">
        <v>231495502033</v>
      </c>
      <c r="O324" s="5">
        <v>24266130083</v>
      </c>
      <c r="P324" s="5">
        <v>2381223555282</v>
      </c>
      <c r="Q324" s="5">
        <v>237986273168</v>
      </c>
      <c r="R324" s="5">
        <v>23644697376</v>
      </c>
      <c r="S324" s="5">
        <v>2194268913564</v>
      </c>
      <c r="T324" s="5">
        <v>2192184964095</v>
      </c>
      <c r="U324" s="5">
        <v>215124371308</v>
      </c>
      <c r="V324" s="5">
        <v>2124579111144</v>
      </c>
      <c r="W324" s="5">
        <v>20854793907045</v>
      </c>
      <c r="X324" s="5">
        <v>2115600046791</v>
      </c>
      <c r="Y324" s="5">
        <v>22846090738275</v>
      </c>
      <c r="Z324" s="5">
        <v>23010875938125</v>
      </c>
      <c r="AA324" s="5">
        <v>2344285770315</v>
      </c>
      <c r="AB324" s="5">
        <v>222480509711744</v>
      </c>
      <c r="AC324" s="5">
        <v>21747899945955</v>
      </c>
      <c r="AD324" s="5">
        <v>218006672406632</v>
      </c>
      <c r="AE324" s="5">
        <v>211443053642028</v>
      </c>
      <c r="AF324" s="5">
        <v>216794628556982</v>
      </c>
      <c r="AG324" s="5">
        <v>209898486140538</v>
      </c>
      <c r="AH324" s="5">
        <v>197447347315698</v>
      </c>
      <c r="AI324" s="5">
        <v>185355988090822</v>
      </c>
      <c r="AJ324" s="5">
        <v>192366927345202</v>
      </c>
      <c r="AK324" s="5">
        <v>176759080173572</v>
      </c>
      <c r="AL324" s="5">
        <v>211295630057655</v>
      </c>
      <c r="AM324" s="5">
        <v>202837214568825</v>
      </c>
      <c r="AN324" s="5">
        <v>209077244192151</v>
      </c>
      <c r="AO324" s="5">
        <v>202838917051477</v>
      </c>
      <c r="AP324" s="5">
        <v>209126074164413</v>
      </c>
      <c r="AQ324" s="5"/>
      <c r="AR324" s="5"/>
      <c r="AS324" s="5"/>
      <c r="AT324" s="5"/>
      <c r="AU324" s="5"/>
      <c r="AV324" s="5"/>
      <c r="AW324" s="5"/>
      <c r="AX324" s="5"/>
      <c r="AY324" s="5"/>
      <c r="AZ324" s="5"/>
      <c r="BA324" s="5"/>
    </row>
    <row r="325" spans="1:53" x14ac:dyDescent="0.45">
      <c r="A325" s="1"/>
      <c r="B325" s="2"/>
      <c r="C325" s="1" t="s">
        <v>319</v>
      </c>
      <c r="D325" s="2">
        <v>110230</v>
      </c>
      <c r="E325" s="3" t="s">
        <v>1209</v>
      </c>
      <c r="F325" s="3" t="s">
        <v>1210</v>
      </c>
      <c r="G325" s="3" t="s">
        <v>484</v>
      </c>
      <c r="H325" s="5">
        <v>169679092967435</v>
      </c>
      <c r="I325" s="5">
        <v>171642610414901</v>
      </c>
      <c r="J325" s="5">
        <v>16319045775</v>
      </c>
      <c r="K325" s="5">
        <v>157304625543019</v>
      </c>
      <c r="L325" s="5">
        <v>15213228149134</v>
      </c>
      <c r="M325" s="5">
        <v>16345546425</v>
      </c>
      <c r="N325" s="5">
        <v>161912885936</v>
      </c>
      <c r="O325" s="5">
        <v>16143007968</v>
      </c>
      <c r="P325" s="5">
        <v>1723470685248</v>
      </c>
      <c r="Q325" s="5">
        <v>1696720529056</v>
      </c>
      <c r="R325" s="5">
        <v>169362172464</v>
      </c>
      <c r="S325" s="5">
        <v>152208556731</v>
      </c>
      <c r="T325" s="5">
        <v>1576796461504</v>
      </c>
      <c r="U325" s="5">
        <v>157000612032</v>
      </c>
      <c r="V325" s="5">
        <v>14332362408</v>
      </c>
      <c r="W325" s="5">
        <v>13179062384685</v>
      </c>
      <c r="X325" s="5">
        <v>12659206648165</v>
      </c>
      <c r="Y325" s="5">
        <v>12018677328</v>
      </c>
      <c r="Z325" s="5">
        <v>10729522230075</v>
      </c>
      <c r="AA325" s="5">
        <v>116054166118</v>
      </c>
      <c r="AB325" s="5">
        <v>1082876648436</v>
      </c>
      <c r="AC325" s="5">
        <v>101503194953148</v>
      </c>
      <c r="AD325" s="5">
        <v>10280746709178</v>
      </c>
      <c r="AE325" s="5">
        <v>121243865347319</v>
      </c>
      <c r="AF325" s="5">
        <v>142597508220378</v>
      </c>
      <c r="AG325" s="5">
        <v>133165455848594</v>
      </c>
      <c r="AH325" s="5">
        <v>125027755412386</v>
      </c>
      <c r="AI325" s="5">
        <v>132487611443755</v>
      </c>
      <c r="AJ325" s="5">
        <v>148094087392652</v>
      </c>
      <c r="AK325" s="5">
        <v>135551739703913</v>
      </c>
      <c r="AL325" s="5">
        <v>13864798563591</v>
      </c>
      <c r="AM325" s="5">
        <v>134425250036019</v>
      </c>
      <c r="AN325" s="5">
        <v>14063682717095</v>
      </c>
      <c r="AO325" s="5">
        <v>13421993519095</v>
      </c>
      <c r="AP325" s="5">
        <v>1221690794025</v>
      </c>
      <c r="AQ325" s="5"/>
      <c r="AR325" s="5"/>
      <c r="AS325" s="5"/>
      <c r="AT325" s="5"/>
      <c r="AU325" s="5"/>
      <c r="AV325" s="5"/>
      <c r="AW325" s="5"/>
      <c r="AX325" s="5"/>
      <c r="AY325" s="5"/>
      <c r="AZ325" s="5"/>
      <c r="BA325" s="5"/>
    </row>
    <row r="326" spans="1:53" x14ac:dyDescent="0.45">
      <c r="A326" s="1"/>
      <c r="B326" s="2"/>
      <c r="C326" s="1" t="s">
        <v>320</v>
      </c>
      <c r="D326" s="2">
        <v>103146</v>
      </c>
      <c r="E326" s="3" t="s">
        <v>1211</v>
      </c>
      <c r="F326" s="3" t="s">
        <v>1212</v>
      </c>
      <c r="G326" s="3" t="s">
        <v>1213</v>
      </c>
      <c r="H326" s="5">
        <v>28585535058096</v>
      </c>
      <c r="I326" s="5">
        <v>29590852385142</v>
      </c>
      <c r="J326" s="5">
        <v>2951683392604</v>
      </c>
      <c r="K326" s="5">
        <v>28557589181678</v>
      </c>
      <c r="L326" s="5">
        <v>28377792894528</v>
      </c>
      <c r="M326" s="5">
        <v>27442686791955</v>
      </c>
      <c r="N326" s="5">
        <v>272573661472</v>
      </c>
      <c r="O326" s="5">
        <v>26214035792</v>
      </c>
      <c r="P326" s="5">
        <v>2648285393936</v>
      </c>
      <c r="Q326" s="5">
        <v>2569328528256</v>
      </c>
      <c r="R326" s="5">
        <v>25455484194</v>
      </c>
      <c r="S326" s="5">
        <v>2392980202995</v>
      </c>
      <c r="T326" s="5">
        <v>2643471143587</v>
      </c>
      <c r="U326" s="5">
        <v>25453311554</v>
      </c>
      <c r="V326" s="5">
        <v>25078011219584</v>
      </c>
      <c r="W326" s="5">
        <v>25099656785811</v>
      </c>
      <c r="X326" s="5">
        <v>251051710645505</v>
      </c>
      <c r="Y326" s="5">
        <v>256972005130505</v>
      </c>
      <c r="Z326" s="5">
        <v>2319932418516</v>
      </c>
      <c r="AA326" s="5">
        <v>22437544777655</v>
      </c>
      <c r="AB326" s="5">
        <v>2081928626682</v>
      </c>
      <c r="AC326" s="5">
        <v>1857914232381</v>
      </c>
      <c r="AD326" s="5">
        <v>191248731603555</v>
      </c>
      <c r="AE326" s="5">
        <v>2072003144149</v>
      </c>
      <c r="AF326" s="5">
        <v>212162511688875</v>
      </c>
      <c r="AG326" s="5">
        <v>203097642739635</v>
      </c>
      <c r="AH326" s="5">
        <v>18269151535815</v>
      </c>
      <c r="AI326" s="5">
        <v>177807464115</v>
      </c>
      <c r="AJ326" s="5">
        <v>192659344299705</v>
      </c>
      <c r="AK326" s="5">
        <v>17454184506675</v>
      </c>
      <c r="AL326" s="5">
        <v>189036479381395</v>
      </c>
      <c r="AM326" s="5">
        <v>18714715081632</v>
      </c>
      <c r="AN326" s="5">
        <v>211325407880717</v>
      </c>
      <c r="AO326" s="5">
        <v>19507804258063</v>
      </c>
      <c r="AP326" s="5">
        <v>2037113370699</v>
      </c>
      <c r="AQ326" s="5"/>
      <c r="AR326" s="5"/>
      <c r="AS326" s="5"/>
      <c r="AT326" s="5"/>
      <c r="AU326" s="5"/>
      <c r="AV326" s="5"/>
      <c r="AW326" s="5"/>
      <c r="AX326" s="5"/>
      <c r="AY326" s="5"/>
      <c r="AZ326" s="5"/>
      <c r="BA326" s="5"/>
    </row>
    <row r="327" spans="1:53" x14ac:dyDescent="0.45">
      <c r="A327" s="1"/>
      <c r="B327" s="2"/>
      <c r="C327" s="1" t="s">
        <v>321</v>
      </c>
      <c r="D327" s="2">
        <v>4072932</v>
      </c>
      <c r="E327" s="3" t="s">
        <v>1214</v>
      </c>
      <c r="F327" s="3" t="s">
        <v>1215</v>
      </c>
      <c r="G327" s="3" t="s">
        <v>484</v>
      </c>
      <c r="H327" s="5">
        <v>406704770256578</v>
      </c>
      <c r="I327" s="5">
        <v>413141619422333</v>
      </c>
      <c r="J327" s="5">
        <v>4051595478</v>
      </c>
      <c r="K327" s="5">
        <v>38411789304</v>
      </c>
      <c r="L327" s="5">
        <v>36705589536</v>
      </c>
      <c r="M327" s="5">
        <v>41216455995</v>
      </c>
      <c r="N327" s="5">
        <v>4066264059</v>
      </c>
      <c r="O327" s="5">
        <v>400327785</v>
      </c>
      <c r="P327" s="5">
        <v>4227616350958</v>
      </c>
      <c r="Q327" s="5">
        <v>4293678232032</v>
      </c>
      <c r="R327" s="5">
        <v>447753324</v>
      </c>
      <c r="S327" s="5">
        <v>4188433791</v>
      </c>
      <c r="T327" s="5">
        <v>4238769634</v>
      </c>
      <c r="U327" s="5">
        <v>40922068</v>
      </c>
      <c r="V327" s="5">
        <v>33807367052</v>
      </c>
      <c r="W327" s="5">
        <v>317436461325</v>
      </c>
      <c r="X327" s="5">
        <v>31117821273</v>
      </c>
      <c r="Y327" s="5">
        <v>29782307191</v>
      </c>
      <c r="Z327" s="5">
        <v>28393241526</v>
      </c>
      <c r="AA327" s="5">
        <v>31474858675</v>
      </c>
      <c r="AB327" s="5">
        <v>3011834808648</v>
      </c>
      <c r="AC327" s="5">
        <v>27134260677</v>
      </c>
      <c r="AD327" s="5">
        <v>29079229968</v>
      </c>
      <c r="AE327" s="5">
        <v>336562576175</v>
      </c>
      <c r="AF327" s="5">
        <v>367838322225</v>
      </c>
      <c r="AG327" s="5">
        <v>33741621375</v>
      </c>
      <c r="AH327" s="5">
        <v>307978746955</v>
      </c>
      <c r="AI327" s="5">
        <v>32492261175</v>
      </c>
      <c r="AJ327" s="5">
        <v>36230511462</v>
      </c>
      <c r="AK327" s="5">
        <v>3559269924</v>
      </c>
      <c r="AL327" s="5">
        <v>349228578795</v>
      </c>
      <c r="AM327" s="5">
        <v>331051084128</v>
      </c>
      <c r="AN327" s="5">
        <v>339532084233474</v>
      </c>
      <c r="AO327" s="5">
        <v>32736156915</v>
      </c>
      <c r="AP327" s="5">
        <v>3078250518</v>
      </c>
      <c r="AQ327" s="5"/>
      <c r="AR327" s="5"/>
      <c r="AS327" s="5"/>
      <c r="AT327" s="5"/>
      <c r="AU327" s="5"/>
      <c r="AV327" s="5"/>
      <c r="AW327" s="5"/>
      <c r="AX327" s="5"/>
      <c r="AY327" s="5"/>
      <c r="AZ327" s="5"/>
      <c r="BA327" s="5"/>
    </row>
    <row r="328" spans="1:53" x14ac:dyDescent="0.45">
      <c r="A328" s="1"/>
      <c r="B328" s="2"/>
      <c r="C328" s="1" t="s">
        <v>322</v>
      </c>
      <c r="D328" s="2">
        <v>4391244</v>
      </c>
      <c r="E328" s="3" t="s">
        <v>1216</v>
      </c>
      <c r="F328" s="3" t="s">
        <v>1217</v>
      </c>
      <c r="G328" s="3" t="s">
        <v>478</v>
      </c>
      <c r="H328" s="5">
        <v>587701387176391</v>
      </c>
      <c r="I328" s="5">
        <v>620946195977059</v>
      </c>
      <c r="J328" s="5">
        <v>65989417390248</v>
      </c>
      <c r="K328" s="5">
        <v>550505837787629</v>
      </c>
      <c r="L328" s="5">
        <v>54517739396736</v>
      </c>
      <c r="M328" s="5">
        <v>540973037735104</v>
      </c>
      <c r="N328" s="5">
        <v>558116046120932</v>
      </c>
      <c r="O328" s="5">
        <v>59200455289838</v>
      </c>
      <c r="P328" s="5">
        <v>574060627014992</v>
      </c>
      <c r="Q328" s="5">
        <v>568710475460288</v>
      </c>
      <c r="R328" s="5">
        <v>587452959099744</v>
      </c>
      <c r="S328" s="5">
        <v>563191508994864</v>
      </c>
      <c r="T328" s="5">
        <v>506710979918838</v>
      </c>
      <c r="U328" s="5">
        <v>532699812948226</v>
      </c>
      <c r="V328" s="5">
        <v>497578826562371</v>
      </c>
      <c r="W328" s="5">
        <v>453161356064415</v>
      </c>
      <c r="X328" s="5">
        <v>440018795640451</v>
      </c>
      <c r="Y328" s="5">
        <v>40755601997442</v>
      </c>
      <c r="Z328" s="5">
        <v>387870145590919</v>
      </c>
      <c r="AA328" s="5">
        <v>36810080881511</v>
      </c>
      <c r="AB328" s="5">
        <v>364612183586261</v>
      </c>
      <c r="AC328" s="5">
        <v>325890755704704</v>
      </c>
      <c r="AD328" s="5">
        <v>313405480049763</v>
      </c>
      <c r="AE328" s="5">
        <v>365183746398699</v>
      </c>
      <c r="AF328" s="5">
        <v>390701935570984</v>
      </c>
      <c r="AG328" s="5">
        <v>366924283381264</v>
      </c>
      <c r="AH328" s="5">
        <v>324703111821252</v>
      </c>
      <c r="AI328" s="5">
        <v>33757281954288</v>
      </c>
      <c r="AJ328" s="5">
        <v>378331384568341</v>
      </c>
      <c r="AK328" s="5">
        <v>423446423088402</v>
      </c>
      <c r="AL328" s="5">
        <v>432386122968836</v>
      </c>
      <c r="AM328" s="5">
        <v>3935928529035</v>
      </c>
      <c r="AN328" s="5">
        <v>386945851746808</v>
      </c>
      <c r="AO328" s="5">
        <v>355205517487983</v>
      </c>
      <c r="AP328" s="5">
        <v>340101890149369</v>
      </c>
      <c r="AQ328" s="5"/>
      <c r="AR328" s="5"/>
      <c r="AS328" s="5"/>
      <c r="AT328" s="5"/>
      <c r="AU328" s="5"/>
      <c r="AV328" s="5"/>
      <c r="AW328" s="5"/>
      <c r="AX328" s="5"/>
      <c r="AY328" s="5"/>
      <c r="AZ328" s="5"/>
      <c r="BA328" s="5"/>
    </row>
    <row r="329" spans="1:53" x14ac:dyDescent="0.45">
      <c r="A329" s="1"/>
      <c r="B329" s="2"/>
      <c r="C329" s="1" t="s">
        <v>323</v>
      </c>
      <c r="D329" s="2">
        <v>4050911</v>
      </c>
      <c r="E329" s="3" t="s">
        <v>1218</v>
      </c>
      <c r="F329" s="3" t="s">
        <v>1219</v>
      </c>
      <c r="G329" s="3" t="s">
        <v>519</v>
      </c>
      <c r="H329" s="5">
        <v>216924170571792</v>
      </c>
      <c r="I329" s="5">
        <v>225346801831366</v>
      </c>
      <c r="J329" s="5">
        <v>213866162162748</v>
      </c>
      <c r="K329" s="5">
        <v>197965488770401</v>
      </c>
      <c r="L329" s="5">
        <v>199543050940937</v>
      </c>
      <c r="M329" s="5">
        <v>193032657016689</v>
      </c>
      <c r="N329" s="5">
        <v>190707982982</v>
      </c>
      <c r="O329" s="5">
        <v>20219973012</v>
      </c>
      <c r="P329" s="5">
        <v>204522205450192</v>
      </c>
      <c r="Q329" s="5">
        <v>209960414664</v>
      </c>
      <c r="R329" s="5">
        <v>21925870909668</v>
      </c>
      <c r="S329" s="5">
        <v>207451757025</v>
      </c>
      <c r="T329" s="5">
        <v>210290103916</v>
      </c>
      <c r="U329" s="5">
        <v>19770197634</v>
      </c>
      <c r="V329" s="5">
        <v>194232741674787</v>
      </c>
      <c r="W329" s="5">
        <v>1884534065136</v>
      </c>
      <c r="X329" s="5">
        <v>194058740340142</v>
      </c>
      <c r="Y329" s="5">
        <v>208319472202997</v>
      </c>
      <c r="Z329" s="5">
        <v>21233869198785</v>
      </c>
      <c r="AA329" s="5">
        <v>20343502217125</v>
      </c>
      <c r="AB329" s="5">
        <v>2039859770718</v>
      </c>
      <c r="AC329" s="5">
        <v>198880435964858</v>
      </c>
      <c r="AD329" s="5">
        <v>193112460128851</v>
      </c>
      <c r="AE329" s="5">
        <v>180242928201053</v>
      </c>
      <c r="AF329" s="5">
        <v>187257014165549</v>
      </c>
      <c r="AG329" s="5">
        <v>189451530113005</v>
      </c>
      <c r="AH329" s="5">
        <v>191106680112373</v>
      </c>
      <c r="AI329" s="5">
        <v>181776930337957</v>
      </c>
      <c r="AJ329" s="5">
        <v>190803825533246</v>
      </c>
      <c r="AK329" s="5">
        <v>178385456170215</v>
      </c>
      <c r="AL329" s="5">
        <v>196488782905556</v>
      </c>
      <c r="AM329" s="5">
        <v>1878886835901</v>
      </c>
      <c r="AN329" s="5">
        <v>19751728192528</v>
      </c>
      <c r="AO329" s="5">
        <v>189873883605941</v>
      </c>
      <c r="AP329" s="5">
        <v>1913039122764</v>
      </c>
      <c r="AQ329" s="5"/>
      <c r="AR329" s="5"/>
      <c r="AS329" s="5"/>
      <c r="AT329" s="5"/>
      <c r="AU329" s="5"/>
      <c r="AV329" s="5"/>
      <c r="AW329" s="5"/>
      <c r="AX329" s="5"/>
      <c r="AY329" s="5"/>
      <c r="AZ329" s="5"/>
      <c r="BA329" s="5"/>
    </row>
    <row r="330" spans="1:53" x14ac:dyDescent="0.45">
      <c r="A330" s="1"/>
      <c r="B330" s="2"/>
      <c r="C330" s="1" t="s">
        <v>324</v>
      </c>
      <c r="D330" s="2">
        <v>103016</v>
      </c>
      <c r="E330" s="3" t="s">
        <v>1220</v>
      </c>
      <c r="F330" s="3" t="s">
        <v>1221</v>
      </c>
      <c r="G330" s="3" t="s">
        <v>868</v>
      </c>
      <c r="H330" s="5">
        <v>302927791812888</v>
      </c>
      <c r="I330" s="5">
        <v>311458707589772</v>
      </c>
      <c r="J330" s="5">
        <v>30930329075922</v>
      </c>
      <c r="K330" s="5">
        <v>3150440601681</v>
      </c>
      <c r="L330" s="5">
        <v>300880018489058</v>
      </c>
      <c r="M330" s="5">
        <v>303506295996033</v>
      </c>
      <c r="N330" s="5">
        <v>3177570234825</v>
      </c>
      <c r="O330" s="5">
        <v>33320351775</v>
      </c>
      <c r="P330" s="5">
        <v>333496403978584</v>
      </c>
      <c r="Q330" s="5">
        <v>3552177089832</v>
      </c>
      <c r="R330" s="5">
        <v>371301239765408</v>
      </c>
      <c r="S330" s="5">
        <v>3455627232</v>
      </c>
      <c r="T330" s="5">
        <v>36720985632</v>
      </c>
      <c r="U330" s="5">
        <v>34340738432</v>
      </c>
      <c r="V330" s="5">
        <v>337614735667423</v>
      </c>
      <c r="W330" s="5">
        <v>344227612734</v>
      </c>
      <c r="X330" s="5">
        <v>348335243718</v>
      </c>
      <c r="Y330" s="5">
        <v>370120692518138</v>
      </c>
      <c r="Z330" s="5">
        <v>3990271616739</v>
      </c>
      <c r="AA330" s="5">
        <v>3952563287229</v>
      </c>
      <c r="AB330" s="5">
        <v>369966024229929</v>
      </c>
      <c r="AC330" s="5">
        <v>397944332775807</v>
      </c>
      <c r="AD330" s="5">
        <v>405751101390599</v>
      </c>
      <c r="AE330" s="5">
        <v>39491554626734</v>
      </c>
      <c r="AF330" s="5">
        <v>393459338990725</v>
      </c>
      <c r="AG330" s="5">
        <v>359684006203137</v>
      </c>
      <c r="AH330" s="5">
        <v>327999816164488</v>
      </c>
      <c r="AI330" s="5">
        <v>310794288876235</v>
      </c>
      <c r="AJ330" s="5">
        <v>320670615057887</v>
      </c>
      <c r="AK330" s="5">
        <v>286174093914181</v>
      </c>
      <c r="AL330" s="5">
        <v>304891462250835</v>
      </c>
      <c r="AM330" s="5">
        <v>289701502560208</v>
      </c>
      <c r="AN330" s="5">
        <v>31702952281795</v>
      </c>
      <c r="AO330" s="5">
        <v>303953942681209</v>
      </c>
      <c r="AP330" s="5">
        <v>30726864809174</v>
      </c>
      <c r="AQ330" s="5"/>
      <c r="AR330" s="5"/>
      <c r="AS330" s="5"/>
      <c r="AT330" s="5"/>
      <c r="AU330" s="5"/>
      <c r="AV330" s="5"/>
      <c r="AW330" s="5"/>
      <c r="AX330" s="5"/>
      <c r="AY330" s="5"/>
      <c r="AZ330" s="5"/>
      <c r="BA330" s="5"/>
    </row>
    <row r="331" spans="1:53" x14ac:dyDescent="0.45">
      <c r="A331" s="1"/>
      <c r="B331" s="2"/>
      <c r="C331" s="1" t="s">
        <v>325</v>
      </c>
      <c r="D331" s="2">
        <v>4006246</v>
      </c>
      <c r="E331" s="3" t="s">
        <v>1222</v>
      </c>
      <c r="F331" s="3" t="s">
        <v>1223</v>
      </c>
      <c r="G331" s="3" t="s">
        <v>769</v>
      </c>
      <c r="H331" s="5">
        <v>81401405537088</v>
      </c>
      <c r="I331" s="5">
        <v>842480735929373</v>
      </c>
      <c r="J331" s="5">
        <v>763362547717536</v>
      </c>
      <c r="K331" s="5">
        <v>697668598450614</v>
      </c>
      <c r="L331" s="5">
        <v>656005914086464</v>
      </c>
      <c r="M331" s="5">
        <v>625151612414307</v>
      </c>
      <c r="N331" s="5">
        <v>678350562762114</v>
      </c>
      <c r="O331" s="5">
        <v>63657011761596</v>
      </c>
      <c r="P331" s="5">
        <v>656453993199919</v>
      </c>
      <c r="Q331" s="5">
        <v>69822560388</v>
      </c>
      <c r="R331" s="5">
        <v>6601678713</v>
      </c>
      <c r="S331" s="5">
        <v>659274526458</v>
      </c>
      <c r="T331" s="5">
        <v>575863783676</v>
      </c>
      <c r="U331" s="5">
        <v>59009175544</v>
      </c>
      <c r="V331" s="5">
        <v>56128694736</v>
      </c>
      <c r="W331" s="5">
        <v>612625872132</v>
      </c>
      <c r="X331" s="5">
        <v>658718113977</v>
      </c>
      <c r="Y331" s="5">
        <v>651333118842</v>
      </c>
      <c r="Z331" s="5">
        <v>6072747086115</v>
      </c>
      <c r="AA331" s="5">
        <v>583295781194</v>
      </c>
      <c r="AB331" s="5">
        <v>5556282777855</v>
      </c>
      <c r="AC331" s="5">
        <v>552501236447933</v>
      </c>
      <c r="AD331" s="5">
        <v>540769932018982</v>
      </c>
      <c r="AE331" s="5">
        <v>572856019511539</v>
      </c>
      <c r="AF331" s="5">
        <v>643766785752554</v>
      </c>
      <c r="AG331" s="5">
        <v>580355328231465</v>
      </c>
      <c r="AH331" s="5">
        <v>596513705797503</v>
      </c>
      <c r="AI331" s="5">
        <v>651638344814797</v>
      </c>
      <c r="AJ331" s="5">
        <v>66164736791312</v>
      </c>
      <c r="AK331" s="5">
        <v>659559845436424</v>
      </c>
      <c r="AL331" s="5">
        <v>6371802317342</v>
      </c>
      <c r="AM331" s="5">
        <v>628570717335</v>
      </c>
      <c r="AN331" s="5">
        <v>758073335149032</v>
      </c>
      <c r="AO331" s="5">
        <v>7408213955064</v>
      </c>
      <c r="AP331" s="5">
        <v>676190801801356</v>
      </c>
      <c r="AQ331" s="5"/>
      <c r="AR331" s="5"/>
      <c r="AS331" s="5"/>
      <c r="AT331" s="5"/>
      <c r="AU331" s="5"/>
      <c r="AV331" s="5"/>
      <c r="AW331" s="5"/>
      <c r="AX331" s="5"/>
      <c r="AY331" s="5"/>
      <c r="AZ331" s="5"/>
      <c r="BA331" s="5"/>
    </row>
    <row r="332" spans="1:53" x14ac:dyDescent="0.45">
      <c r="A332" s="1"/>
      <c r="B332" s="2"/>
      <c r="C332" s="1" t="s">
        <v>326</v>
      </c>
      <c r="D332" s="2">
        <v>4062496</v>
      </c>
      <c r="E332" s="3" t="s">
        <v>1224</v>
      </c>
      <c r="F332" s="3" t="s">
        <v>1225</v>
      </c>
      <c r="G332" s="3" t="s">
        <v>481</v>
      </c>
      <c r="H332" s="5">
        <v>789440158589734</v>
      </c>
      <c r="I332" s="5">
        <v>82119370182413</v>
      </c>
      <c r="J332" s="5">
        <v>646776896797416</v>
      </c>
      <c r="K332" s="5">
        <v>647429820183959</v>
      </c>
      <c r="L332" s="5">
        <v>649713930226093</v>
      </c>
      <c r="M332" s="5">
        <v>666174259580351</v>
      </c>
      <c r="N332" s="5">
        <v>715085835552</v>
      </c>
      <c r="O332" s="5">
        <v>75305560032</v>
      </c>
      <c r="P332" s="5">
        <v>7287114077568</v>
      </c>
      <c r="Q332" s="5">
        <v>792407285936</v>
      </c>
      <c r="R332" s="5">
        <v>78619787232</v>
      </c>
      <c r="S332" s="5">
        <v>731662186437</v>
      </c>
      <c r="T332" s="5">
        <v>912185748844</v>
      </c>
      <c r="U332" s="5">
        <v>951870078522</v>
      </c>
      <c r="V332" s="5">
        <v>923980436272</v>
      </c>
      <c r="W332" s="5">
        <v>8980574149125</v>
      </c>
      <c r="X332" s="5">
        <v>833745214170112</v>
      </c>
      <c r="Y332" s="5">
        <v>825331087145068</v>
      </c>
      <c r="Z332" s="5">
        <v>7085645047998</v>
      </c>
      <c r="AA332" s="5">
        <v>7248880178472</v>
      </c>
      <c r="AB332" s="5">
        <v>6479632039896</v>
      </c>
      <c r="AC332" s="5">
        <v>69893185056705</v>
      </c>
      <c r="AD332" s="5">
        <v>626372167612482</v>
      </c>
      <c r="AE332" s="5">
        <v>691779306020872</v>
      </c>
      <c r="AF332" s="5">
        <v>694161495826317</v>
      </c>
      <c r="AG332" s="5">
        <v>846642723228391</v>
      </c>
      <c r="AH332" s="5">
        <v>756451624655491</v>
      </c>
      <c r="AI332" s="5">
        <v>793642428238075</v>
      </c>
      <c r="AJ332" s="5">
        <v>915737619975474</v>
      </c>
      <c r="AK332" s="5">
        <v>884112598786829</v>
      </c>
      <c r="AL332" s="5">
        <v>998315411085598</v>
      </c>
      <c r="AM332" s="5">
        <v>98981657735697</v>
      </c>
      <c r="AN332" s="5">
        <v>106471086072444</v>
      </c>
      <c r="AO332" s="5">
        <v>106673824432</v>
      </c>
      <c r="AP332" s="5">
        <v>912601723572424</v>
      </c>
      <c r="AQ332" s="5"/>
      <c r="AR332" s="5"/>
      <c r="AS332" s="5"/>
      <c r="AT332" s="5"/>
      <c r="AU332" s="5"/>
      <c r="AV332" s="5"/>
      <c r="AW332" s="5"/>
      <c r="AX332" s="5"/>
      <c r="AY332" s="5"/>
      <c r="AZ332" s="5"/>
      <c r="BA332" s="5"/>
    </row>
    <row r="333" spans="1:53" x14ac:dyDescent="0.45">
      <c r="A333" s="1"/>
      <c r="B333" s="2"/>
      <c r="C333" s="1" t="s">
        <v>327</v>
      </c>
      <c r="D333" s="2">
        <v>4097102</v>
      </c>
      <c r="E333" s="3" t="s">
        <v>1226</v>
      </c>
      <c r="F333" s="3" t="s">
        <v>1227</v>
      </c>
      <c r="G333" s="3" t="s">
        <v>731</v>
      </c>
      <c r="H333" s="5">
        <v>505521420531682</v>
      </c>
      <c r="I333" s="5">
        <v>493940222959626</v>
      </c>
      <c r="J333" s="5">
        <v>502907629848239</v>
      </c>
      <c r="K333" s="5">
        <v>490628812020999</v>
      </c>
      <c r="L333" s="5">
        <v>469493020143758</v>
      </c>
      <c r="M333" s="5">
        <v>443837669907392</v>
      </c>
      <c r="N333" s="5">
        <v>438868535230484</v>
      </c>
      <c r="O333" s="5">
        <v>41503512701532</v>
      </c>
      <c r="P333" s="5">
        <v>503042253335877</v>
      </c>
      <c r="Q333" s="5">
        <v>527643688638847</v>
      </c>
      <c r="R333" s="5">
        <v>531571785507</v>
      </c>
      <c r="S333" s="5">
        <v>502900427858587</v>
      </c>
      <c r="T333" s="5">
        <v>499182904310563</v>
      </c>
      <c r="U333" s="5">
        <v>482334232611</v>
      </c>
      <c r="V333" s="5">
        <v>3962688880723</v>
      </c>
      <c r="W333" s="5">
        <v>376174136038575</v>
      </c>
      <c r="X333" s="5">
        <v>348676989327505</v>
      </c>
      <c r="Y333" s="5">
        <v>346034446817024</v>
      </c>
      <c r="Z333" s="5">
        <v>314432934091697</v>
      </c>
      <c r="AA333" s="5">
        <v>326119385600457</v>
      </c>
      <c r="AB333" s="5">
        <v>332280979731496</v>
      </c>
      <c r="AC333" s="5">
        <v>298442428780408</v>
      </c>
      <c r="AD333" s="5">
        <v>276087622421606</v>
      </c>
      <c r="AE333" s="5">
        <v>297871956133706</v>
      </c>
      <c r="AF333" s="5">
        <v>33343794138449</v>
      </c>
      <c r="AG333" s="5">
        <v>297000107384573</v>
      </c>
      <c r="AH333" s="5">
        <v>442887498268541</v>
      </c>
      <c r="AI333" s="5">
        <v>441803204959818</v>
      </c>
      <c r="AJ333" s="5">
        <v>529565074822495</v>
      </c>
      <c r="AK333" s="5">
        <v>548055443439851</v>
      </c>
      <c r="AL333" s="5">
        <v>565886001569938</v>
      </c>
      <c r="AM333" s="5">
        <v>547003457061563</v>
      </c>
      <c r="AN333" s="5">
        <v>561574771742214</v>
      </c>
      <c r="AO333" s="5">
        <v>558742089722958</v>
      </c>
      <c r="AP333" s="5">
        <v>510573092229774</v>
      </c>
      <c r="AQ333" s="5"/>
      <c r="AR333" s="5"/>
      <c r="AS333" s="5"/>
      <c r="AT333" s="5"/>
      <c r="AU333" s="5"/>
      <c r="AV333" s="5"/>
      <c r="AW333" s="5"/>
      <c r="AX333" s="5"/>
      <c r="AY333" s="5"/>
      <c r="AZ333" s="5"/>
      <c r="BA333" s="5"/>
    </row>
    <row r="334" spans="1:53" x14ac:dyDescent="0.45">
      <c r="A334" s="1"/>
      <c r="B334" s="2"/>
      <c r="C334" s="1" t="s">
        <v>328</v>
      </c>
      <c r="D334" s="2">
        <v>4070417</v>
      </c>
      <c r="E334" s="3" t="s">
        <v>1228</v>
      </c>
      <c r="F334" s="3" t="s">
        <v>1229</v>
      </c>
      <c r="G334" s="3" t="s">
        <v>766</v>
      </c>
      <c r="H334" s="5">
        <v>111796171650606</v>
      </c>
      <c r="I334" s="5">
        <v>11268810156911</v>
      </c>
      <c r="J334" s="5">
        <v>109798768751828</v>
      </c>
      <c r="K334" s="5">
        <v>108072448617084</v>
      </c>
      <c r="L334" s="5">
        <v>124458474761671</v>
      </c>
      <c r="M334" s="5">
        <v>125358069053956</v>
      </c>
      <c r="N334" s="5">
        <v>133315849842</v>
      </c>
      <c r="O334" s="5">
        <v>13245869199</v>
      </c>
      <c r="P334" s="5">
        <v>1325021738274</v>
      </c>
      <c r="Q334" s="5">
        <v>126262521</v>
      </c>
      <c r="R334" s="5">
        <v>12620916</v>
      </c>
      <c r="S334" s="5">
        <v>11669970168</v>
      </c>
      <c r="T334" s="5">
        <v>120695644568</v>
      </c>
      <c r="U334" s="5">
        <v>114706798624</v>
      </c>
      <c r="V334" s="5">
        <v>1030176387584</v>
      </c>
      <c r="W334" s="5">
        <v>1046696587209</v>
      </c>
      <c r="X334" s="5">
        <v>103280784852015</v>
      </c>
      <c r="Y334" s="5">
        <v>107443230770998</v>
      </c>
      <c r="Z334" s="5">
        <v>101652792144064</v>
      </c>
      <c r="AA334" s="5">
        <v>961551841028747</v>
      </c>
      <c r="AB334" s="5">
        <v>928449765228626</v>
      </c>
      <c r="AC334" s="5">
        <v>874313405676483</v>
      </c>
      <c r="AD334" s="5">
        <v>86785170615</v>
      </c>
      <c r="AE334" s="5">
        <v>938971459611427</v>
      </c>
      <c r="AF334" s="5">
        <v>927018115445268</v>
      </c>
      <c r="AG334" s="5">
        <v>883327440459004</v>
      </c>
      <c r="AH334" s="5">
        <v>790692690734511</v>
      </c>
      <c r="AI334" s="5">
        <v>86890404617931</v>
      </c>
      <c r="AJ334" s="5">
        <v>959064968507126</v>
      </c>
      <c r="AK334" s="5">
        <v>935141656780485</v>
      </c>
      <c r="AL334" s="5">
        <v>984566683253728</v>
      </c>
      <c r="AM334" s="5">
        <v>916340886673493</v>
      </c>
      <c r="AN334" s="5">
        <v>103234060807975</v>
      </c>
      <c r="AO334" s="5">
        <v>902730099306542</v>
      </c>
      <c r="AP334" s="5">
        <v>906483636</v>
      </c>
      <c r="AQ334" s="5"/>
      <c r="AR334" s="5"/>
      <c r="AS334" s="5"/>
      <c r="AT334" s="5"/>
      <c r="AU334" s="5"/>
      <c r="AV334" s="5"/>
      <c r="AW334" s="5"/>
      <c r="AX334" s="5"/>
      <c r="AY334" s="5"/>
      <c r="AZ334" s="5"/>
      <c r="BA334" s="5"/>
    </row>
    <row r="335" spans="1:53" x14ac:dyDescent="0.45">
      <c r="A335" s="1"/>
      <c r="B335" s="2"/>
      <c r="C335" s="1" t="s">
        <v>329</v>
      </c>
      <c r="D335" s="2">
        <v>4157135</v>
      </c>
      <c r="E335" s="3" t="s">
        <v>1230</v>
      </c>
      <c r="F335" s="3" t="s">
        <v>1231</v>
      </c>
      <c r="G335" s="3" t="s">
        <v>1060</v>
      </c>
      <c r="H335" s="5">
        <v>701843326013057</v>
      </c>
      <c r="I335" s="5">
        <v>64937494675553</v>
      </c>
      <c r="J335" s="5">
        <v>624261462574167</v>
      </c>
      <c r="K335" s="5">
        <v>607048433604298</v>
      </c>
      <c r="L335" s="5">
        <v>601441321725298</v>
      </c>
      <c r="M335" s="5">
        <v>521594670204218</v>
      </c>
      <c r="N335" s="5">
        <v>52563060988119</v>
      </c>
      <c r="O335" s="5">
        <v>4887415496184</v>
      </c>
      <c r="P335" s="5">
        <v>609070749234126</v>
      </c>
      <c r="Q335" s="5">
        <v>62753741573021</v>
      </c>
      <c r="R335" s="5">
        <v>614365604277294</v>
      </c>
      <c r="S335" s="5">
        <v>673581749562088</v>
      </c>
      <c r="T335" s="5">
        <v>703271454271762</v>
      </c>
      <c r="U335" s="5">
        <v>813421902256854</v>
      </c>
      <c r="V335" s="5">
        <v>736266352559832</v>
      </c>
      <c r="W335" s="5">
        <v>740155212591608</v>
      </c>
      <c r="X335" s="5">
        <v>764611645202744</v>
      </c>
      <c r="Y335" s="5">
        <v>729865289403479</v>
      </c>
      <c r="Z335" s="5">
        <v>670940094072238</v>
      </c>
      <c r="AA335" s="5">
        <v>70267954427223</v>
      </c>
      <c r="AB335" s="5">
        <v>683764931191364</v>
      </c>
      <c r="AC335" s="5">
        <v>701935692470461</v>
      </c>
      <c r="AD335" s="5">
        <v>880542488592562</v>
      </c>
      <c r="AE335" s="5">
        <v>869348709918483</v>
      </c>
      <c r="AF335" s="5">
        <v>995761768861719</v>
      </c>
      <c r="AG335" s="5">
        <v>860348012183822</v>
      </c>
      <c r="AH335" s="5">
        <v>906816206211009</v>
      </c>
      <c r="AI335" s="5">
        <v>850182449838708</v>
      </c>
      <c r="AJ335" s="5">
        <v>976634999028197</v>
      </c>
      <c r="AK335" s="5">
        <v>101843347732415</v>
      </c>
      <c r="AL335" s="5">
        <v>10250469563733</v>
      </c>
      <c r="AM335" s="5">
        <v>104051097715062</v>
      </c>
      <c r="AN335" s="5">
        <v>106878589366199</v>
      </c>
      <c r="AO335" s="5">
        <v>107002866831229</v>
      </c>
      <c r="AP335" s="5">
        <v>129647968089127</v>
      </c>
      <c r="AQ335" s="5"/>
      <c r="AR335" s="5"/>
      <c r="AS335" s="5"/>
      <c r="AT335" s="5"/>
      <c r="AU335" s="5"/>
      <c r="AV335" s="5"/>
      <c r="AW335" s="5"/>
      <c r="AX335" s="5"/>
      <c r="AY335" s="5"/>
      <c r="AZ335" s="5"/>
      <c r="BA335" s="5"/>
    </row>
    <row r="336" spans="1:53" x14ac:dyDescent="0.45">
      <c r="A336" s="1"/>
      <c r="B336" s="2"/>
      <c r="C336" s="1" t="s">
        <v>330</v>
      </c>
      <c r="D336" s="2">
        <v>102771</v>
      </c>
      <c r="E336" s="3" t="s">
        <v>1232</v>
      </c>
      <c r="F336" s="3" t="s">
        <v>1233</v>
      </c>
      <c r="G336" s="3" t="s">
        <v>979</v>
      </c>
      <c r="H336" s="5">
        <v>107388893158718</v>
      </c>
      <c r="I336" s="5">
        <v>107066115227473</v>
      </c>
      <c r="J336" s="5">
        <v>105007838238</v>
      </c>
      <c r="K336" s="5">
        <v>1028818907847</v>
      </c>
      <c r="L336" s="5">
        <v>95098022289688</v>
      </c>
      <c r="M336" s="5">
        <v>101658986943</v>
      </c>
      <c r="N336" s="5">
        <v>101264537766</v>
      </c>
      <c r="O336" s="5">
        <v>9263409606</v>
      </c>
      <c r="P336" s="5">
        <v>982759938264</v>
      </c>
      <c r="Q336" s="5">
        <v>1024773399888</v>
      </c>
      <c r="R336" s="5">
        <v>10633565721122</v>
      </c>
      <c r="S336" s="5">
        <v>994971807959658</v>
      </c>
      <c r="T336" s="5">
        <v>931599629787</v>
      </c>
      <c r="U336" s="5">
        <v>96618024228</v>
      </c>
      <c r="V336" s="5">
        <v>777164217984</v>
      </c>
      <c r="W336" s="5">
        <v>733711494847439</v>
      </c>
      <c r="X336" s="5">
        <v>739306053948</v>
      </c>
      <c r="Y336" s="5">
        <v>695375881515</v>
      </c>
      <c r="Z336" s="5">
        <v>628282581560931</v>
      </c>
      <c r="AA336" s="5">
        <v>7130521788705</v>
      </c>
      <c r="AB336" s="5">
        <v>64350903626227</v>
      </c>
      <c r="AC336" s="5">
        <v>570115531547492</v>
      </c>
      <c r="AD336" s="5">
        <v>582767879018956</v>
      </c>
      <c r="AE336" s="5">
        <v>764068759276751</v>
      </c>
      <c r="AF336" s="5">
        <v>795776261025446</v>
      </c>
      <c r="AG336" s="5">
        <v>719611347383344</v>
      </c>
      <c r="AH336" s="5">
        <v>640337071192667</v>
      </c>
      <c r="AI336" s="5">
        <v>681170615251558</v>
      </c>
      <c r="AJ336" s="5">
        <v>768176982364255</v>
      </c>
      <c r="AK336" s="5">
        <v>769386636565911</v>
      </c>
      <c r="AL336" s="5">
        <v>761735524297145</v>
      </c>
      <c r="AM336" s="5">
        <v>720983728785498</v>
      </c>
      <c r="AN336" s="5">
        <v>754655164401169</v>
      </c>
      <c r="AO336" s="5">
        <v>727494131103087</v>
      </c>
      <c r="AP336" s="5">
        <v>663830794212477</v>
      </c>
      <c r="AQ336" s="5"/>
      <c r="AR336" s="5"/>
      <c r="AS336" s="5"/>
      <c r="AT336" s="5"/>
      <c r="AU336" s="5"/>
      <c r="AV336" s="5"/>
      <c r="AW336" s="5"/>
      <c r="AX336" s="5"/>
      <c r="AY336" s="5"/>
      <c r="AZ336" s="5"/>
      <c r="BA336" s="5"/>
    </row>
    <row r="337" spans="1:53" x14ac:dyDescent="0.45">
      <c r="A337" s="1"/>
      <c r="B337" s="2"/>
      <c r="C337" s="1" t="s">
        <v>331</v>
      </c>
      <c r="D337" s="2">
        <v>103118</v>
      </c>
      <c r="E337" s="3" t="s">
        <v>1234</v>
      </c>
      <c r="F337" s="3" t="s">
        <v>1235</v>
      </c>
      <c r="G337" s="3" t="s">
        <v>883</v>
      </c>
      <c r="H337" s="5">
        <v>1338093430627</v>
      </c>
      <c r="I337" s="5">
        <v>130848212311097</v>
      </c>
      <c r="J337" s="5">
        <v>129910205024974</v>
      </c>
      <c r="K337" s="5">
        <v>132620799169205</v>
      </c>
      <c r="L337" s="5">
        <v>132847780084732</v>
      </c>
      <c r="M337" s="5">
        <v>132694665194953</v>
      </c>
      <c r="N337" s="5">
        <v>132065856097445</v>
      </c>
      <c r="O337" s="5">
        <v>133492399673052</v>
      </c>
      <c r="P337" s="5">
        <v>146233154349719</v>
      </c>
      <c r="Q337" s="5">
        <v>15093120989686</v>
      </c>
      <c r="R337" s="5">
        <v>156497834387184</v>
      </c>
      <c r="S337" s="5">
        <v>142899645938214</v>
      </c>
      <c r="T337" s="5">
        <v>140809344626584</v>
      </c>
      <c r="U337" s="5">
        <v>135625558119005</v>
      </c>
      <c r="V337" s="5">
        <v>139774358212404</v>
      </c>
      <c r="W337" s="5">
        <v>153963257232049</v>
      </c>
      <c r="X337" s="5">
        <v>152460508921435</v>
      </c>
      <c r="Y337" s="5">
        <v>16538634016383</v>
      </c>
      <c r="Z337" s="5">
        <v>160904013458909</v>
      </c>
      <c r="AA337" s="5">
        <v>13910496860897</v>
      </c>
      <c r="AB337" s="5">
        <v>129790394352533</v>
      </c>
      <c r="AC337" s="5">
        <v>135012555954142</v>
      </c>
      <c r="AD337" s="5">
        <v>128748144276427</v>
      </c>
      <c r="AE337" s="5">
        <v>118709643659013</v>
      </c>
      <c r="AF337" s="5">
        <v>117231872777609</v>
      </c>
      <c r="AG337" s="5">
        <v>111952798067413</v>
      </c>
      <c r="AH337" s="5">
        <v>997343102968598</v>
      </c>
      <c r="AI337" s="5">
        <v>937056654932959</v>
      </c>
      <c r="AJ337" s="5">
        <v>102660505165219</v>
      </c>
      <c r="AK337" s="5">
        <v>926693511393494</v>
      </c>
      <c r="AL337" s="5">
        <v>96552710786841</v>
      </c>
      <c r="AM337" s="5">
        <v>975638990999153</v>
      </c>
      <c r="AN337" s="5">
        <v>109044051580212</v>
      </c>
      <c r="AO337" s="5">
        <v>100473164530239</v>
      </c>
      <c r="AP337" s="5">
        <v>107123384555572</v>
      </c>
      <c r="AQ337" s="5"/>
      <c r="AR337" s="5"/>
      <c r="AS337" s="5"/>
      <c r="AT337" s="5"/>
      <c r="AU337" s="5"/>
      <c r="AV337" s="5"/>
      <c r="AW337" s="5"/>
      <c r="AX337" s="5"/>
      <c r="AY337" s="5"/>
      <c r="AZ337" s="5"/>
      <c r="BA337" s="5"/>
    </row>
    <row r="338" spans="1:53" x14ac:dyDescent="0.45">
      <c r="A338" s="1"/>
      <c r="B338" s="2"/>
      <c r="C338" s="1" t="s">
        <v>332</v>
      </c>
      <c r="D338" s="2">
        <v>103091</v>
      </c>
      <c r="E338" s="3" t="s">
        <v>1236</v>
      </c>
      <c r="F338" s="3" t="s">
        <v>1237</v>
      </c>
      <c r="G338" s="3" t="s">
        <v>883</v>
      </c>
      <c r="H338" s="5">
        <v>985168154138055</v>
      </c>
      <c r="I338" s="5">
        <v>96653628017979</v>
      </c>
      <c r="J338" s="5">
        <v>897463958928285</v>
      </c>
      <c r="K338" s="5">
        <v>891023749499545</v>
      </c>
      <c r="L338" s="5">
        <v>919393828738761</v>
      </c>
      <c r="M338" s="5">
        <v>95367523329078</v>
      </c>
      <c r="N338" s="5">
        <v>93188677981464</v>
      </c>
      <c r="O338" s="5">
        <v>9193511758236</v>
      </c>
      <c r="P338" s="5">
        <v>984223202263423</v>
      </c>
      <c r="Q338" s="5">
        <v>105383614667382</v>
      </c>
      <c r="R338" s="5">
        <v>69021282225609</v>
      </c>
      <c r="S338" s="5">
        <v>673019971223434</v>
      </c>
      <c r="T338" s="5">
        <v>680252509613597</v>
      </c>
      <c r="U338" s="5">
        <v>658530542849256</v>
      </c>
      <c r="V338" s="5">
        <v>684573147393271</v>
      </c>
      <c r="W338" s="5">
        <v>717703237180783</v>
      </c>
      <c r="X338" s="5">
        <v>752156714724962</v>
      </c>
      <c r="Y338" s="5">
        <v>794201353891133</v>
      </c>
      <c r="Z338" s="5">
        <v>733043731017361</v>
      </c>
      <c r="AA338" s="5">
        <v>669206589283788</v>
      </c>
      <c r="AB338" s="5">
        <v>645394612802956</v>
      </c>
      <c r="AC338" s="5">
        <v>628899074328314</v>
      </c>
      <c r="AD338" s="5">
        <v>627161575454757</v>
      </c>
      <c r="AE338" s="5">
        <v>58799653217578</v>
      </c>
      <c r="AF338" s="5">
        <v>597906072691158</v>
      </c>
      <c r="AG338" s="5">
        <v>578916071178778</v>
      </c>
      <c r="AH338" s="5">
        <v>523118592341293</v>
      </c>
      <c r="AI338" s="5">
        <v>497375697813014</v>
      </c>
      <c r="AJ338" s="5">
        <v>5461590269342</v>
      </c>
      <c r="AK338" s="5">
        <v>499438930158</v>
      </c>
      <c r="AL338" s="5">
        <v>5426460757564</v>
      </c>
      <c r="AM338" s="5">
        <v>52551385075674</v>
      </c>
      <c r="AN338" s="5">
        <v>593517923756856</v>
      </c>
      <c r="AO338" s="5">
        <v>560134305737003</v>
      </c>
      <c r="AP338" s="5">
        <v>578862543351246</v>
      </c>
      <c r="AQ338" s="5"/>
      <c r="AR338" s="5"/>
      <c r="AS338" s="5"/>
      <c r="AT338" s="5"/>
      <c r="AU338" s="5"/>
      <c r="AV338" s="5"/>
      <c r="AW338" s="5"/>
      <c r="AX338" s="5"/>
      <c r="AY338" s="5"/>
      <c r="AZ338" s="5"/>
      <c r="BA338" s="5"/>
    </row>
    <row r="339" spans="1:53" x14ac:dyDescent="0.45">
      <c r="A339" s="1"/>
      <c r="B339" s="2"/>
      <c r="C339" s="1" t="s">
        <v>333</v>
      </c>
      <c r="D339" s="2">
        <v>4094029</v>
      </c>
      <c r="E339" s="3" t="s">
        <v>1238</v>
      </c>
      <c r="F339" s="3" t="s">
        <v>1239</v>
      </c>
      <c r="G339" s="3" t="s">
        <v>472</v>
      </c>
      <c r="H339" s="5">
        <v>333757435284824</v>
      </c>
      <c r="I339" s="5">
        <v>32390177210178</v>
      </c>
      <c r="J339" s="5">
        <v>368669406998739</v>
      </c>
      <c r="K339" s="5">
        <v>403268577875976</v>
      </c>
      <c r="L339" s="5">
        <v>446047650529181</v>
      </c>
      <c r="M339" s="5">
        <v>44107456298749</v>
      </c>
      <c r="N339" s="5">
        <v>455184903217801</v>
      </c>
      <c r="O339" s="5">
        <v>432006302129724</v>
      </c>
      <c r="P339" s="5">
        <v>377014905806381</v>
      </c>
      <c r="Q339" s="5">
        <v>382456836999559</v>
      </c>
      <c r="R339" s="5">
        <v>37130989726332</v>
      </c>
      <c r="S339" s="5">
        <v>357307094135642</v>
      </c>
      <c r="T339" s="5">
        <v>37317920690255</v>
      </c>
      <c r="U339" s="5">
        <v>385001676316875</v>
      </c>
      <c r="V339" s="5">
        <v>337836755172329</v>
      </c>
      <c r="W339" s="5">
        <v>383834662996008</v>
      </c>
      <c r="X339" s="5">
        <v>377910520251154</v>
      </c>
      <c r="Y339" s="5">
        <v>397739543359628</v>
      </c>
      <c r="Z339" s="5">
        <v>328745341774144</v>
      </c>
      <c r="AA339" s="5">
        <v>3747377172029</v>
      </c>
      <c r="AB339" s="5">
        <v>343847281697965</v>
      </c>
      <c r="AC339" s="5">
        <v>368521202200829</v>
      </c>
      <c r="AD339" s="5">
        <v>409543051525007</v>
      </c>
      <c r="AE339" s="5">
        <v>527293381851691</v>
      </c>
      <c r="AF339" s="5">
        <v>54369607080789</v>
      </c>
      <c r="AG339" s="5">
        <v>531319873858665</v>
      </c>
      <c r="AH339" s="5">
        <v>438104146220844</v>
      </c>
      <c r="AI339" s="5">
        <v>481872050869463</v>
      </c>
      <c r="AJ339" s="5">
        <v>524715713188064</v>
      </c>
      <c r="AK339" s="5">
        <v>479508868656655</v>
      </c>
      <c r="AL339" s="5">
        <v>47977534694372</v>
      </c>
      <c r="AM339" s="5">
        <v>419787486198635</v>
      </c>
      <c r="AN339" s="5">
        <v>428963334017225</v>
      </c>
      <c r="AO339" s="5">
        <v>3767265554533</v>
      </c>
      <c r="AP339" s="5">
        <v>373214744584167</v>
      </c>
      <c r="AQ339" s="5"/>
      <c r="AR339" s="5"/>
      <c r="AS339" s="5"/>
      <c r="AT339" s="5"/>
      <c r="AU339" s="5"/>
      <c r="AV339" s="5"/>
      <c r="AW339" s="5"/>
      <c r="AX339" s="5"/>
      <c r="AY339" s="5"/>
      <c r="AZ339" s="5"/>
      <c r="BA339" s="5"/>
    </row>
    <row r="340" spans="1:53" x14ac:dyDescent="0.45">
      <c r="A340" s="1"/>
      <c r="B340" s="2"/>
      <c r="C340" s="1" t="s">
        <v>334</v>
      </c>
      <c r="D340" s="2">
        <v>100233</v>
      </c>
      <c r="E340" s="3" t="s">
        <v>1240</v>
      </c>
      <c r="F340" s="3" t="s">
        <v>1241</v>
      </c>
      <c r="G340" s="3" t="s">
        <v>607</v>
      </c>
      <c r="H340" s="5">
        <v>166928992019205</v>
      </c>
      <c r="I340" s="5">
        <v>161591255597301</v>
      </c>
      <c r="J340" s="5">
        <v>154913778</v>
      </c>
      <c r="K340" s="5">
        <v>153999264602579</v>
      </c>
      <c r="L340" s="5">
        <v>14199979900712</v>
      </c>
      <c r="M340" s="5">
        <v>148533319</v>
      </c>
      <c r="N340" s="5">
        <v>154247858376</v>
      </c>
      <c r="O340" s="5">
        <v>14806494256</v>
      </c>
      <c r="P340" s="5">
        <v>1520679875</v>
      </c>
      <c r="Q340" s="5">
        <v>1637762247856</v>
      </c>
      <c r="R340" s="5">
        <v>173368508280676</v>
      </c>
      <c r="S340" s="5">
        <v>1643806194459</v>
      </c>
      <c r="T340" s="5">
        <v>1674516557116</v>
      </c>
      <c r="U340" s="5">
        <v>157672977748</v>
      </c>
      <c r="V340" s="5">
        <v>12077949744</v>
      </c>
      <c r="W340" s="5">
        <v>110217172716</v>
      </c>
      <c r="X340" s="5">
        <v>112259922852</v>
      </c>
      <c r="Y340" s="5">
        <v>10395498189965</v>
      </c>
      <c r="Z340" s="5">
        <v>9706582755945</v>
      </c>
      <c r="AA340" s="5">
        <v>11188528319015</v>
      </c>
      <c r="AB340" s="5">
        <v>10442437425</v>
      </c>
      <c r="AC340" s="5">
        <v>891503044452571</v>
      </c>
      <c r="AD340" s="5">
        <v>9732815106</v>
      </c>
      <c r="AE340" s="5">
        <v>115392988800048</v>
      </c>
      <c r="AF340" s="5">
        <v>125299107179798</v>
      </c>
      <c r="AG340" s="5">
        <v>1105667794</v>
      </c>
      <c r="AH340" s="5">
        <v>106965192882617</v>
      </c>
      <c r="AI340" s="5">
        <v>113431561212169</v>
      </c>
      <c r="AJ340" s="5">
        <v>125174008135</v>
      </c>
      <c r="AK340" s="5">
        <v>124662286794232</v>
      </c>
      <c r="AL340" s="5">
        <v>123225606913119</v>
      </c>
      <c r="AM340" s="5">
        <v>117924095925</v>
      </c>
      <c r="AN340" s="5">
        <v>11812036620195</v>
      </c>
      <c r="AO340" s="5">
        <v>11509512733579</v>
      </c>
      <c r="AP340" s="5">
        <v>1043395785</v>
      </c>
      <c r="AQ340" s="5"/>
      <c r="AR340" s="5"/>
      <c r="AS340" s="5"/>
      <c r="AT340" s="5"/>
      <c r="AU340" s="5"/>
      <c r="AV340" s="5"/>
      <c r="AW340" s="5"/>
      <c r="AX340" s="5"/>
      <c r="AY340" s="5"/>
      <c r="AZ340" s="5"/>
      <c r="BA340" s="5"/>
    </row>
    <row r="341" spans="1:53" x14ac:dyDescent="0.45">
      <c r="A341" s="1"/>
      <c r="B341" s="2"/>
      <c r="C341" s="1" t="s">
        <v>335</v>
      </c>
      <c r="D341" s="2">
        <v>4102003</v>
      </c>
      <c r="E341" s="3" t="s">
        <v>1242</v>
      </c>
      <c r="F341" s="3" t="s">
        <v>1243</v>
      </c>
      <c r="G341" s="3" t="s">
        <v>1244</v>
      </c>
      <c r="H341" s="5">
        <v>188187146944969</v>
      </c>
      <c r="I341" s="5">
        <v>182253024050331</v>
      </c>
      <c r="J341" s="5">
        <v>188233775681607</v>
      </c>
      <c r="K341" s="5">
        <v>188227835193047</v>
      </c>
      <c r="L341" s="5">
        <v>185012555863036</v>
      </c>
      <c r="M341" s="5">
        <v>183504082619013</v>
      </c>
      <c r="N341" s="5">
        <v>188849273576</v>
      </c>
      <c r="O341" s="5">
        <v>19139689232</v>
      </c>
      <c r="P341" s="5">
        <v>195452541211007</v>
      </c>
      <c r="Q341" s="5">
        <v>199311622483962</v>
      </c>
      <c r="R341" s="5">
        <v>19790575497</v>
      </c>
      <c r="S341" s="5">
        <v>1807704867816</v>
      </c>
      <c r="T341" s="5">
        <v>183726163614</v>
      </c>
      <c r="U341" s="5">
        <v>178457038584</v>
      </c>
      <c r="V341" s="5">
        <v>163248373322925</v>
      </c>
      <c r="W341" s="5">
        <v>15388082551125</v>
      </c>
      <c r="X341" s="5">
        <v>155376074931</v>
      </c>
      <c r="Y341" s="5">
        <v>157280759789337</v>
      </c>
      <c r="Z341" s="5">
        <v>1588889857905</v>
      </c>
      <c r="AA341" s="5">
        <v>149190677366</v>
      </c>
      <c r="AB341" s="5">
        <v>141339247559642</v>
      </c>
      <c r="AC341" s="5">
        <v>145083696301564</v>
      </c>
      <c r="AD341" s="5">
        <v>140233437920521</v>
      </c>
      <c r="AE341" s="5">
        <v>140644698334196</v>
      </c>
      <c r="AF341" s="5">
        <v>144388445067649</v>
      </c>
      <c r="AG341" s="5">
        <v>137734238552949</v>
      </c>
      <c r="AH341" s="5">
        <v>128810503411877</v>
      </c>
      <c r="AI341" s="5">
        <v>127650826259064</v>
      </c>
      <c r="AJ341" s="5">
        <v>134319094625481</v>
      </c>
      <c r="AK341" s="5">
        <v>123550835015343</v>
      </c>
      <c r="AL341" s="5">
        <v>128980304095245</v>
      </c>
      <c r="AM341" s="5">
        <v>127513611664426</v>
      </c>
      <c r="AN341" s="5">
        <v>13329839989284</v>
      </c>
      <c r="AO341" s="5">
        <v>128847205198919</v>
      </c>
      <c r="AP341" s="5">
        <v>124959703004342</v>
      </c>
      <c r="AQ341" s="5"/>
      <c r="AR341" s="5"/>
      <c r="AS341" s="5"/>
      <c r="AT341" s="5"/>
      <c r="AU341" s="5"/>
      <c r="AV341" s="5"/>
      <c r="AW341" s="5"/>
      <c r="AX341" s="5"/>
      <c r="AY341" s="5"/>
      <c r="AZ341" s="5"/>
      <c r="BA341" s="5"/>
    </row>
    <row r="342" spans="1:53" x14ac:dyDescent="0.45">
      <c r="A342" s="1"/>
      <c r="B342" s="2"/>
      <c r="C342" s="1" t="s">
        <v>336</v>
      </c>
      <c r="D342" s="2">
        <v>4811222</v>
      </c>
      <c r="E342" s="3" t="s">
        <v>1245</v>
      </c>
      <c r="F342" s="3" t="s">
        <v>1246</v>
      </c>
      <c r="G342" s="3" t="s">
        <v>469</v>
      </c>
      <c r="H342" s="5">
        <v>100084587913835</v>
      </c>
      <c r="I342" s="5">
        <v>10175983166165</v>
      </c>
      <c r="J342" s="5">
        <v>10261159567903</v>
      </c>
      <c r="K342" s="5">
        <v>926601567605105</v>
      </c>
      <c r="L342" s="5">
        <v>929053826362557</v>
      </c>
      <c r="M342" s="5">
        <v>92801789024</v>
      </c>
      <c r="N342" s="5">
        <v>96796482601</v>
      </c>
      <c r="O342" s="5">
        <v>897422778</v>
      </c>
      <c r="P342" s="5">
        <v>884969406631495</v>
      </c>
      <c r="Q342" s="5">
        <v>953461669104</v>
      </c>
      <c r="R342" s="5">
        <v>96119511516</v>
      </c>
      <c r="S342" s="5">
        <v>886640278788</v>
      </c>
      <c r="T342" s="5">
        <v>828621166605</v>
      </c>
      <c r="U342" s="5">
        <v>81988264776</v>
      </c>
      <c r="V342" s="5">
        <v>7687433439894</v>
      </c>
      <c r="W342" s="5">
        <v>8120959266915</v>
      </c>
      <c r="X342" s="5">
        <v>841727401515</v>
      </c>
      <c r="Y342" s="5">
        <v>865545594396</v>
      </c>
      <c r="Z342" s="5">
        <v>7994307025935</v>
      </c>
      <c r="AA342" s="5">
        <v>745132884883</v>
      </c>
      <c r="AB342" s="5">
        <v>684101432239839</v>
      </c>
      <c r="AC342" s="5">
        <v>733653359788646</v>
      </c>
      <c r="AD342" s="5">
        <v>733804666996338</v>
      </c>
      <c r="AE342" s="5">
        <v>690360070038116</v>
      </c>
      <c r="AF342" s="5">
        <v>787429520921116</v>
      </c>
      <c r="AG342" s="5">
        <v>729581587610967</v>
      </c>
      <c r="AH342" s="5">
        <v>641635947939932</v>
      </c>
      <c r="AI342" s="5">
        <v>651566621534231</v>
      </c>
      <c r="AJ342" s="5">
        <v>739182755360405</v>
      </c>
      <c r="AK342" s="5">
        <v>71315064460984</v>
      </c>
      <c r="AL342" s="5">
        <v>75525347147793</v>
      </c>
      <c r="AM342" s="5">
        <v>804865824748683</v>
      </c>
      <c r="AN342" s="5">
        <v>9391380929215</v>
      </c>
      <c r="AO342" s="5">
        <v>806778194363</v>
      </c>
      <c r="AP342" s="5">
        <v>777727599363752</v>
      </c>
      <c r="AQ342" s="5"/>
      <c r="AR342" s="5"/>
      <c r="AS342" s="5"/>
      <c r="AT342" s="5"/>
      <c r="AU342" s="5"/>
      <c r="AV342" s="5"/>
      <c r="AW342" s="5"/>
      <c r="AX342" s="5"/>
      <c r="AY342" s="5"/>
      <c r="AZ342" s="5"/>
      <c r="BA342" s="5"/>
    </row>
    <row r="343" spans="1:53" x14ac:dyDescent="0.45">
      <c r="A343" s="1"/>
      <c r="B343" s="2"/>
      <c r="C343" s="1" t="s">
        <v>337</v>
      </c>
      <c r="D343" s="2">
        <v>4812263</v>
      </c>
      <c r="E343" s="3" t="s">
        <v>1247</v>
      </c>
      <c r="F343" s="3" t="s">
        <v>1248</v>
      </c>
      <c r="G343" s="3" t="s">
        <v>487</v>
      </c>
      <c r="H343" s="5">
        <v>671209347007834</v>
      </c>
      <c r="I343" s="5">
        <v>68195366357431</v>
      </c>
      <c r="J343" s="5">
        <v>6846848370048</v>
      </c>
      <c r="K343" s="5">
        <v>64316299639482</v>
      </c>
      <c r="L343" s="5">
        <v>62174567650734</v>
      </c>
      <c r="M343" s="5">
        <v>61464773202</v>
      </c>
      <c r="N343" s="5">
        <v>65721070884</v>
      </c>
      <c r="O343" s="5">
        <v>6175818936</v>
      </c>
      <c r="P343" s="5">
        <v>598646421542</v>
      </c>
      <c r="Q343" s="5">
        <v>596134580048</v>
      </c>
      <c r="R343" s="5">
        <v>561153445471752</v>
      </c>
      <c r="S343" s="5">
        <v>539984800215</v>
      </c>
      <c r="T343" s="5">
        <v>541195568725</v>
      </c>
      <c r="U343" s="5">
        <v>5256331696</v>
      </c>
      <c r="V343" s="5">
        <v>50796647384</v>
      </c>
      <c r="W343" s="5">
        <v>54610578081</v>
      </c>
      <c r="X343" s="5">
        <v>522590330037641</v>
      </c>
      <c r="Y343" s="5">
        <v>555404860262</v>
      </c>
      <c r="Z343" s="5">
        <v>514638924867</v>
      </c>
      <c r="AA343" s="5">
        <v>5363797630875</v>
      </c>
      <c r="AB343" s="5">
        <v>479850801420989</v>
      </c>
      <c r="AC343" s="5">
        <v>486971849574348</v>
      </c>
      <c r="AD343" s="5">
        <v>499841315053339</v>
      </c>
      <c r="AE343" s="5">
        <v>552110658023015</v>
      </c>
      <c r="AF343" s="5">
        <v>563237145874702</v>
      </c>
      <c r="AG343" s="5">
        <v>530971488348321</v>
      </c>
      <c r="AH343" s="5">
        <v>466940747903932</v>
      </c>
      <c r="AI343" s="5">
        <v>492753750856963</v>
      </c>
      <c r="AJ343" s="5">
        <v>542203946351437</v>
      </c>
      <c r="AK343" s="5">
        <v>534925840017492</v>
      </c>
      <c r="AL343" s="5">
        <v>5438398881763</v>
      </c>
      <c r="AM343" s="5">
        <v>517908011445</v>
      </c>
      <c r="AN343" s="5">
        <v>538445100059</v>
      </c>
      <c r="AO343" s="5">
        <v>473771831070535</v>
      </c>
      <c r="AP343" s="5">
        <v>457358629163814</v>
      </c>
      <c r="AQ343" s="5"/>
      <c r="AR343" s="5"/>
      <c r="AS343" s="5"/>
      <c r="AT343" s="5"/>
      <c r="AU343" s="5"/>
      <c r="AV343" s="5"/>
      <c r="AW343" s="5"/>
      <c r="AX343" s="5"/>
      <c r="AY343" s="5"/>
      <c r="AZ343" s="5"/>
      <c r="BA343" s="5"/>
    </row>
    <row r="344" spans="1:53" x14ac:dyDescent="0.45">
      <c r="A344" s="1"/>
      <c r="B344" s="2"/>
      <c r="C344" s="1" t="s">
        <v>338</v>
      </c>
      <c r="D344" s="2">
        <v>4095448</v>
      </c>
      <c r="E344" s="3" t="s">
        <v>1249</v>
      </c>
      <c r="F344" s="3" t="s">
        <v>1250</v>
      </c>
      <c r="G344" s="3" t="s">
        <v>539</v>
      </c>
      <c r="H344" s="5">
        <v>209947085443418</v>
      </c>
      <c r="I344" s="5">
        <v>208340845728395</v>
      </c>
      <c r="J344" s="5">
        <v>221425221432434</v>
      </c>
      <c r="K344" s="5">
        <v>193544451849734</v>
      </c>
      <c r="L344" s="5">
        <v>177334541195601</v>
      </c>
      <c r="M344" s="5">
        <v>180412017222</v>
      </c>
      <c r="N344" s="5">
        <v>182898609896</v>
      </c>
      <c r="O344" s="5">
        <v>18200041472</v>
      </c>
      <c r="P344" s="5">
        <v>18571875738</v>
      </c>
      <c r="Q344" s="5">
        <v>187267309712</v>
      </c>
      <c r="R344" s="5">
        <v>1830443532</v>
      </c>
      <c r="S344" s="5">
        <v>1765296110376</v>
      </c>
      <c r="T344" s="5">
        <v>163882596864</v>
      </c>
      <c r="U344" s="5">
        <v>162197691018</v>
      </c>
      <c r="V344" s="5">
        <v>141346891232</v>
      </c>
      <c r="W344" s="5">
        <v>140838676614</v>
      </c>
      <c r="X344" s="5">
        <v>134569614327355</v>
      </c>
      <c r="Y344" s="5">
        <v>133363157928</v>
      </c>
      <c r="Z344" s="5">
        <v>1346753828394</v>
      </c>
      <c r="AA344" s="5">
        <v>1358308652415</v>
      </c>
      <c r="AB344" s="5">
        <v>130209161131026</v>
      </c>
      <c r="AC344" s="5">
        <v>125929656477623</v>
      </c>
      <c r="AD344" s="5">
        <v>116397363686672</v>
      </c>
      <c r="AE344" s="5">
        <v>12451179820248</v>
      </c>
      <c r="AF344" s="5">
        <v>133006488417467</v>
      </c>
      <c r="AG344" s="5">
        <v>132753480863281</v>
      </c>
      <c r="AH344" s="5">
        <v>121931758581668</v>
      </c>
      <c r="AI344" s="5">
        <v>133885984601694</v>
      </c>
      <c r="AJ344" s="5">
        <v>142250274066538</v>
      </c>
      <c r="AK344" s="5">
        <v>150583344688174</v>
      </c>
      <c r="AL344" s="5">
        <v>150713266831</v>
      </c>
      <c r="AM344" s="5">
        <v>143488628658</v>
      </c>
      <c r="AN344" s="5">
        <v>14623792717926</v>
      </c>
      <c r="AO344" s="5">
        <v>14143777802</v>
      </c>
      <c r="AP344" s="5">
        <v>130860763549492</v>
      </c>
      <c r="AQ344" s="5"/>
      <c r="AR344" s="5"/>
      <c r="AS344" s="5"/>
      <c r="AT344" s="5"/>
      <c r="AU344" s="5"/>
      <c r="AV344" s="5"/>
      <c r="AW344" s="5"/>
      <c r="AX344" s="5"/>
      <c r="AY344" s="5"/>
      <c r="AZ344" s="5"/>
      <c r="BA344" s="5"/>
    </row>
    <row r="345" spans="1:53" x14ac:dyDescent="0.45">
      <c r="A345" s="1"/>
      <c r="B345" s="2"/>
      <c r="C345" s="1" t="s">
        <v>339</v>
      </c>
      <c r="D345" s="2">
        <v>4004396</v>
      </c>
      <c r="E345" s="3" t="s">
        <v>1251</v>
      </c>
      <c r="F345" s="3" t="s">
        <v>1252</v>
      </c>
      <c r="G345" s="3" t="s">
        <v>1244</v>
      </c>
      <c r="H345" s="5">
        <v>844657731631718</v>
      </c>
      <c r="I345" s="5">
        <v>848361369267072</v>
      </c>
      <c r="J345" s="5">
        <v>822173659770403</v>
      </c>
      <c r="K345" s="5">
        <v>851016767872087</v>
      </c>
      <c r="L345" s="5">
        <v>815235808692691</v>
      </c>
      <c r="M345" s="5">
        <v>802935109679402</v>
      </c>
      <c r="N345" s="5">
        <v>777906433362842</v>
      </c>
      <c r="O345" s="5">
        <v>835678532260107</v>
      </c>
      <c r="P345" s="5">
        <v>776944097237771</v>
      </c>
      <c r="Q345" s="5">
        <v>757077091127163</v>
      </c>
      <c r="R345" s="5">
        <v>750892468240041</v>
      </c>
      <c r="S345" s="5">
        <v>71177072913101</v>
      </c>
      <c r="T345" s="5">
        <v>697053043675385</v>
      </c>
      <c r="U345" s="5">
        <v>66209536233456</v>
      </c>
      <c r="V345" s="5">
        <v>612542939804055</v>
      </c>
      <c r="W345" s="5">
        <v>568648982995473</v>
      </c>
      <c r="X345" s="5">
        <v>558104524703403</v>
      </c>
      <c r="Y345" s="5">
        <v>550546240750033</v>
      </c>
      <c r="Z345" s="5">
        <v>576405134677963</v>
      </c>
      <c r="AA345" s="5">
        <v>558485406977728</v>
      </c>
      <c r="AB345" s="5">
        <v>513100056434707</v>
      </c>
      <c r="AC345" s="5">
        <v>554515479301489</v>
      </c>
      <c r="AD345" s="5">
        <v>556538235462654</v>
      </c>
      <c r="AE345" s="5">
        <v>521281606612519</v>
      </c>
      <c r="AF345" s="5">
        <v>561751604067078</v>
      </c>
      <c r="AG345" s="5">
        <v>531649221545935</v>
      </c>
      <c r="AH345" s="5">
        <v>526309078193539</v>
      </c>
      <c r="AI345" s="5">
        <v>544861598672355</v>
      </c>
      <c r="AJ345" s="5">
        <v>573798597395311</v>
      </c>
      <c r="AK345" s="5">
        <v>559999980438696</v>
      </c>
      <c r="AL345" s="5">
        <v>494450066124777</v>
      </c>
      <c r="AM345" s="5">
        <v>484345783513044</v>
      </c>
      <c r="AN345" s="5">
        <v>503388060645344</v>
      </c>
      <c r="AO345" s="5">
        <v>436075648009356</v>
      </c>
      <c r="AP345" s="5">
        <v>426013258615368</v>
      </c>
      <c r="AQ345" s="5"/>
      <c r="AR345" s="5"/>
      <c r="AS345" s="5"/>
      <c r="AT345" s="5"/>
      <c r="AU345" s="5"/>
      <c r="AV345" s="5"/>
      <c r="AW345" s="5"/>
      <c r="AX345" s="5"/>
      <c r="AY345" s="5"/>
      <c r="AZ345" s="5"/>
      <c r="BA345" s="5"/>
    </row>
    <row r="346" spans="1:53" x14ac:dyDescent="0.45">
      <c r="A346" s="1"/>
      <c r="B346" s="2"/>
      <c r="C346" s="1" t="s">
        <v>340</v>
      </c>
      <c r="D346" s="2">
        <v>4677071</v>
      </c>
      <c r="E346" s="3" t="s">
        <v>1253</v>
      </c>
      <c r="F346" s="3" t="s">
        <v>1254</v>
      </c>
      <c r="G346" s="3" t="s">
        <v>478</v>
      </c>
      <c r="H346" s="5">
        <v>220790317503168</v>
      </c>
      <c r="I346" s="5">
        <v>229676416570216</v>
      </c>
      <c r="J346" s="5">
        <v>226690532907739</v>
      </c>
      <c r="K346" s="5">
        <v>210511930407706</v>
      </c>
      <c r="L346" s="5">
        <v>198550232464491</v>
      </c>
      <c r="M346" s="5">
        <v>201246328893</v>
      </c>
      <c r="N346" s="5">
        <v>2070556467135</v>
      </c>
      <c r="O346" s="5">
        <v>2063128224</v>
      </c>
      <c r="P346" s="5">
        <v>20480073157316</v>
      </c>
      <c r="Q346" s="5">
        <v>1967205946776</v>
      </c>
      <c r="R346" s="5">
        <v>200759881530048</v>
      </c>
      <c r="S346" s="5">
        <v>1803297547485</v>
      </c>
      <c r="T346" s="5">
        <v>1759117570812</v>
      </c>
      <c r="U346" s="5">
        <v>173780079858</v>
      </c>
      <c r="V346" s="5">
        <v>1602469597896</v>
      </c>
      <c r="W346" s="5">
        <v>1645097169357</v>
      </c>
      <c r="X346" s="5">
        <v>1614054619485</v>
      </c>
      <c r="Y346" s="5">
        <v>154293246184</v>
      </c>
      <c r="Z346" s="5">
        <v>155423721024</v>
      </c>
      <c r="AA346" s="5">
        <v>155568621208</v>
      </c>
      <c r="AB346" s="5">
        <v>155576698375778</v>
      </c>
      <c r="AC346" s="5">
        <v>15623374203924</v>
      </c>
      <c r="AD346" s="5">
        <v>163652618048389</v>
      </c>
      <c r="AE346" s="5">
        <v>176156203373004</v>
      </c>
      <c r="AF346" s="5">
        <v>184622646723618</v>
      </c>
      <c r="AG346" s="5">
        <v>170116778083553</v>
      </c>
      <c r="AH346" s="5">
        <v>141346003999858</v>
      </c>
      <c r="AI346" s="5">
        <v>145669414797333</v>
      </c>
      <c r="AJ346" s="5">
        <v>15219357558433</v>
      </c>
      <c r="AK346" s="5">
        <v>155632933412177</v>
      </c>
      <c r="AL346" s="5">
        <v>16024535512884</v>
      </c>
      <c r="AM346" s="5">
        <v>15088566549161</v>
      </c>
      <c r="AN346" s="5">
        <v>160677779134</v>
      </c>
      <c r="AO346" s="5">
        <v>149980831377065</v>
      </c>
      <c r="AP346" s="5">
        <v>139585084708486</v>
      </c>
      <c r="AQ346" s="5"/>
      <c r="AR346" s="5"/>
      <c r="AS346" s="5"/>
      <c r="AT346" s="5"/>
      <c r="AU346" s="5"/>
      <c r="AV346" s="5"/>
      <c r="AW346" s="5"/>
      <c r="AX346" s="5"/>
      <c r="AY346" s="5"/>
      <c r="AZ346" s="5"/>
      <c r="BA346" s="5"/>
    </row>
    <row r="347" spans="1:53" x14ac:dyDescent="0.45">
      <c r="A347" s="1"/>
      <c r="B347" s="2"/>
      <c r="C347" s="1" t="s">
        <v>341</v>
      </c>
      <c r="D347" s="2">
        <v>4070608</v>
      </c>
      <c r="E347" s="3" t="s">
        <v>1255</v>
      </c>
      <c r="F347" s="3" t="s">
        <v>1256</v>
      </c>
      <c r="G347" s="3" t="s">
        <v>1257</v>
      </c>
      <c r="H347" s="5">
        <v>255396577007034</v>
      </c>
      <c r="I347" s="5">
        <v>246171204655481</v>
      </c>
      <c r="J347" s="5">
        <v>210293862648286</v>
      </c>
      <c r="K347" s="5">
        <v>210659276696635</v>
      </c>
      <c r="L347" s="5">
        <v>191558342808454</v>
      </c>
      <c r="M347" s="5">
        <v>182678276898346</v>
      </c>
      <c r="N347" s="5">
        <v>196927499446342</v>
      </c>
      <c r="O347" s="5">
        <v>223004096</v>
      </c>
      <c r="P347" s="5">
        <v>23385544</v>
      </c>
      <c r="Q347" s="5">
        <v>241416764456</v>
      </c>
      <c r="R347" s="5">
        <v>254610821232</v>
      </c>
      <c r="S347" s="5">
        <v>2414542167444</v>
      </c>
      <c r="T347" s="5">
        <v>244917518656</v>
      </c>
      <c r="U347" s="5">
        <v>253573807212</v>
      </c>
      <c r="V347" s="5">
        <v>2262944808368</v>
      </c>
      <c r="W347" s="5">
        <v>226861586271</v>
      </c>
      <c r="X347" s="5">
        <v>2230559892792</v>
      </c>
      <c r="Y347" s="5">
        <v>22106789368335</v>
      </c>
      <c r="Z347" s="5">
        <v>20393591409855</v>
      </c>
      <c r="AA347" s="5">
        <v>19279396626</v>
      </c>
      <c r="AB347" s="5">
        <v>199202222226</v>
      </c>
      <c r="AC347" s="5">
        <v>204980499798922</v>
      </c>
      <c r="AD347" s="5">
        <v>210572971420875</v>
      </c>
      <c r="AE347" s="5">
        <v>200662005962009</v>
      </c>
      <c r="AF347" s="5">
        <v>200894343283867</v>
      </c>
      <c r="AG347" s="5">
        <v>187176609805014</v>
      </c>
      <c r="AH347" s="5">
        <v>177232171450944</v>
      </c>
      <c r="AI347" s="5">
        <v>1796076391395</v>
      </c>
      <c r="AJ347" s="5">
        <v>1991065370346</v>
      </c>
      <c r="AK347" s="5">
        <v>18057641463225</v>
      </c>
      <c r="AL347" s="5">
        <v>18363628367063</v>
      </c>
      <c r="AM347" s="5">
        <v>1841443421616</v>
      </c>
      <c r="AN347" s="5">
        <v>203493771206063</v>
      </c>
      <c r="AO347" s="5">
        <v>19674162920197</v>
      </c>
      <c r="AP347" s="5">
        <v>169357949504801</v>
      </c>
      <c r="AQ347" s="5"/>
      <c r="AR347" s="5"/>
      <c r="AS347" s="5"/>
      <c r="AT347" s="5"/>
      <c r="AU347" s="5"/>
      <c r="AV347" s="5"/>
      <c r="AW347" s="5"/>
      <c r="AX347" s="5"/>
      <c r="AY347" s="5"/>
      <c r="AZ347" s="5"/>
      <c r="BA347" s="5"/>
    </row>
    <row r="348" spans="1:53" x14ac:dyDescent="0.45">
      <c r="A348" s="1"/>
      <c r="B348" s="2"/>
      <c r="C348" s="1" t="s">
        <v>342</v>
      </c>
      <c r="D348" s="2">
        <v>4980858</v>
      </c>
      <c r="E348" s="3" t="s">
        <v>1258</v>
      </c>
      <c r="F348" s="3" t="s">
        <v>1259</v>
      </c>
      <c r="G348" s="3" t="s">
        <v>628</v>
      </c>
      <c r="H348" s="5">
        <v>212668221473568</v>
      </c>
      <c r="I348" s="5">
        <v>222699684641022</v>
      </c>
      <c r="J348" s="5">
        <v>228702625199088</v>
      </c>
      <c r="K348" s="5">
        <v>215749209394737</v>
      </c>
      <c r="L348" s="5">
        <v>225453020943328</v>
      </c>
      <c r="M348" s="5">
        <v>206342727252452</v>
      </c>
      <c r="N348" s="5">
        <v>205913007406448</v>
      </c>
      <c r="O348" s="5">
        <v>210902973188796</v>
      </c>
      <c r="P348" s="5">
        <v>21042395815325</v>
      </c>
      <c r="Q348" s="5">
        <v>197087830398351</v>
      </c>
      <c r="R348" s="5">
        <v>194453751090294</v>
      </c>
      <c r="S348" s="5">
        <v>186196822500373</v>
      </c>
      <c r="T348" s="5">
        <v>166765621515398</v>
      </c>
      <c r="U348" s="5">
        <v>164364723331829</v>
      </c>
      <c r="V348" s="5">
        <v>150499651766845</v>
      </c>
      <c r="W348" s="5">
        <v>143537064505742</v>
      </c>
      <c r="X348" s="5">
        <v>13731581822438</v>
      </c>
      <c r="Y348" s="5">
        <v>139541382749692</v>
      </c>
      <c r="Z348" s="5">
        <v>130146180660045</v>
      </c>
      <c r="AA348" s="5">
        <v>149676253300783</v>
      </c>
      <c r="AB348" s="5">
        <v>14546403398934</v>
      </c>
      <c r="AC348" s="5">
        <v>14813918510432</v>
      </c>
      <c r="AD348" s="5">
        <v>165115409980155</v>
      </c>
      <c r="AE348" s="5">
        <v>203146031181401</v>
      </c>
      <c r="AF348" s="5">
        <v>191082192646452</v>
      </c>
      <c r="AG348" s="5">
        <v>194830760023823</v>
      </c>
      <c r="AH348" s="5">
        <v>175613702762191</v>
      </c>
      <c r="AI348" s="5">
        <v>173107361912097</v>
      </c>
      <c r="AJ348" s="5">
        <v>178875182084881</v>
      </c>
      <c r="AK348" s="5">
        <v>15535677843252</v>
      </c>
      <c r="AL348" s="5">
        <v>1522418831407</v>
      </c>
      <c r="AM348" s="5">
        <v>1336933938645</v>
      </c>
      <c r="AN348" s="5">
        <v>167329399125225</v>
      </c>
      <c r="AO348" s="5">
        <v>149682844099154</v>
      </c>
      <c r="AP348" s="5">
        <v>146750295905991</v>
      </c>
      <c r="AQ348" s="5"/>
      <c r="AR348" s="5"/>
      <c r="AS348" s="5"/>
      <c r="AT348" s="5"/>
      <c r="AU348" s="5"/>
      <c r="AV348" s="5"/>
      <c r="AW348" s="5"/>
      <c r="AX348" s="5"/>
      <c r="AY348" s="5"/>
      <c r="AZ348" s="5"/>
      <c r="BA348" s="5"/>
    </row>
    <row r="349" spans="1:53" x14ac:dyDescent="0.45">
      <c r="A349" s="1"/>
      <c r="B349" s="2"/>
      <c r="C349" s="1" t="s">
        <v>343</v>
      </c>
      <c r="D349" s="2">
        <v>4001600</v>
      </c>
      <c r="E349" s="3" t="s">
        <v>1260</v>
      </c>
      <c r="F349" s="3" t="s">
        <v>1261</v>
      </c>
      <c r="G349" s="3" t="s">
        <v>600</v>
      </c>
      <c r="H349" s="5">
        <v>83819450172456</v>
      </c>
      <c r="I349" s="5">
        <v>80459477503965</v>
      </c>
      <c r="J349" s="5">
        <v>8116344768024</v>
      </c>
      <c r="K349" s="5">
        <v>772809499099997</v>
      </c>
      <c r="L349" s="5">
        <v>7959137488764</v>
      </c>
      <c r="M349" s="5">
        <v>7942592802815</v>
      </c>
      <c r="N349" s="5">
        <v>8450293402495</v>
      </c>
      <c r="O349" s="5">
        <v>85221236576</v>
      </c>
      <c r="P349" s="5">
        <v>8627403528978</v>
      </c>
      <c r="Q349" s="5">
        <v>8290059629208</v>
      </c>
      <c r="R349" s="5">
        <v>84198510936</v>
      </c>
      <c r="S349" s="5">
        <v>8237309499639</v>
      </c>
      <c r="T349" s="5">
        <v>8416581100326</v>
      </c>
      <c r="U349" s="5">
        <v>825934977912</v>
      </c>
      <c r="V349" s="5">
        <v>768385561384</v>
      </c>
      <c r="W349" s="5">
        <v>744827862132</v>
      </c>
      <c r="X349" s="5">
        <v>7866023065285</v>
      </c>
      <c r="Y349" s="5">
        <v>7937565268325</v>
      </c>
      <c r="Z349" s="5">
        <v>76086335305575</v>
      </c>
      <c r="AA349" s="5">
        <v>7446724373123</v>
      </c>
      <c r="AB349" s="5">
        <v>750885411320827</v>
      </c>
      <c r="AC349" s="5">
        <v>7324767431973</v>
      </c>
      <c r="AD349" s="5">
        <v>707322858503445</v>
      </c>
      <c r="AE349" s="5">
        <v>77206643754746</v>
      </c>
      <c r="AF349" s="5">
        <v>793534995929615</v>
      </c>
      <c r="AG349" s="5">
        <v>777148394731943</v>
      </c>
      <c r="AH349" s="5">
        <v>698835087852512</v>
      </c>
      <c r="AI349" s="5">
        <v>71676038396214</v>
      </c>
      <c r="AJ349" s="5">
        <v>795371054213001</v>
      </c>
      <c r="AK349" s="5">
        <v>872387476298091</v>
      </c>
      <c r="AL349" s="5">
        <v>93521487776891</v>
      </c>
      <c r="AM349" s="5">
        <v>90862227421875</v>
      </c>
      <c r="AN349" s="5">
        <v>955319006623155</v>
      </c>
      <c r="AO349" s="5">
        <v>970871369218595</v>
      </c>
      <c r="AP349" s="5">
        <v>911091772904051</v>
      </c>
      <c r="AQ349" s="5"/>
      <c r="AR349" s="5"/>
      <c r="AS349" s="5"/>
      <c r="AT349" s="5"/>
      <c r="AU349" s="5"/>
      <c r="AV349" s="5"/>
      <c r="AW349" s="5"/>
      <c r="AX349" s="5"/>
      <c r="AY349" s="5"/>
      <c r="AZ349" s="5"/>
      <c r="BA349" s="5"/>
    </row>
    <row r="350" spans="1:53" x14ac:dyDescent="0.45">
      <c r="A350" s="1"/>
      <c r="B350" s="2"/>
      <c r="C350" s="1" t="s">
        <v>344</v>
      </c>
      <c r="D350" s="2">
        <v>4023623</v>
      </c>
      <c r="E350" s="3" t="s">
        <v>1262</v>
      </c>
      <c r="F350" s="3" t="s">
        <v>1263</v>
      </c>
      <c r="G350" s="3" t="s">
        <v>875</v>
      </c>
      <c r="H350" s="5">
        <v>359744616</v>
      </c>
      <c r="I350" s="5">
        <v>3543315678</v>
      </c>
      <c r="J350" s="5">
        <v>3427397115</v>
      </c>
      <c r="K350" s="5">
        <v>33989249987</v>
      </c>
      <c r="L350" s="5">
        <v>33400052301</v>
      </c>
      <c r="M350" s="5">
        <v>33492526555</v>
      </c>
      <c r="N350" s="5">
        <v>32988148583</v>
      </c>
      <c r="O350" s="5">
        <v>3276661202</v>
      </c>
      <c r="P350" s="5">
        <v>317505402396</v>
      </c>
      <c r="Q350" s="5">
        <v>316139420647119</v>
      </c>
      <c r="R350" s="5">
        <v>31514655216</v>
      </c>
      <c r="S350" s="5">
        <v>288561758346</v>
      </c>
      <c r="T350" s="5">
        <v>263952015422</v>
      </c>
      <c r="U350" s="5">
        <v>29165472314</v>
      </c>
      <c r="V350" s="5">
        <v>2935044816</v>
      </c>
      <c r="W350" s="5">
        <v>29724843456</v>
      </c>
      <c r="X350" s="5">
        <v>29256891048</v>
      </c>
      <c r="Y350" s="5">
        <v>2887180296</v>
      </c>
      <c r="Z350" s="5">
        <v>255749843016</v>
      </c>
      <c r="AA350" s="5">
        <v>265835352573</v>
      </c>
      <c r="AB350" s="5">
        <v>246861421065</v>
      </c>
      <c r="AC350" s="5">
        <v>219164746521</v>
      </c>
      <c r="AD350" s="5">
        <v>212378042799</v>
      </c>
      <c r="AE350" s="5">
        <v>245344647105</v>
      </c>
      <c r="AF350" s="5">
        <v>2468208729855</v>
      </c>
      <c r="AG350" s="5">
        <v>2289288414</v>
      </c>
      <c r="AH350" s="5">
        <v>211210185625</v>
      </c>
      <c r="AI350" s="5">
        <v>2359518163125</v>
      </c>
      <c r="AJ350" s="5">
        <v>2509698090625</v>
      </c>
      <c r="AK350" s="5">
        <v>2468198887875</v>
      </c>
      <c r="AL350" s="5">
        <v>2587335708125</v>
      </c>
      <c r="AM350" s="5">
        <v>254995273575</v>
      </c>
      <c r="AN350" s="5">
        <v>263753573567</v>
      </c>
      <c r="AO350" s="5">
        <v>251482525225</v>
      </c>
      <c r="AP350" s="5">
        <v>2150863182</v>
      </c>
      <c r="AQ350" s="5"/>
      <c r="AR350" s="5"/>
      <c r="AS350" s="5"/>
      <c r="AT350" s="5"/>
      <c r="AU350" s="5"/>
      <c r="AV350" s="5"/>
      <c r="AW350" s="5"/>
      <c r="AX350" s="5"/>
      <c r="AY350" s="5"/>
      <c r="AZ350" s="5"/>
      <c r="BA350" s="5"/>
    </row>
    <row r="351" spans="1:53" x14ac:dyDescent="0.45">
      <c r="A351" s="1"/>
      <c r="B351" s="2"/>
      <c r="C351" s="1" t="s">
        <v>345</v>
      </c>
      <c r="D351" s="2">
        <v>4205848</v>
      </c>
      <c r="E351" s="3" t="s">
        <v>1264</v>
      </c>
      <c r="F351" s="3" t="s">
        <v>1265</v>
      </c>
      <c r="G351" s="3" t="s">
        <v>478</v>
      </c>
      <c r="H351" s="5">
        <v>614945591112</v>
      </c>
      <c r="I351" s="5">
        <v>632716771392</v>
      </c>
      <c r="J351" s="5">
        <v>63180960122</v>
      </c>
      <c r="K351" s="5">
        <v>568079611794</v>
      </c>
      <c r="L351" s="5">
        <v>577921971123</v>
      </c>
      <c r="M351" s="5">
        <v>5487059436</v>
      </c>
      <c r="N351" s="5">
        <v>5405946978</v>
      </c>
      <c r="O351" s="5">
        <v>5681903112</v>
      </c>
      <c r="P351" s="5">
        <v>562248538972336</v>
      </c>
      <c r="Q351" s="5">
        <v>5457983846</v>
      </c>
      <c r="R351" s="5">
        <v>5338930539</v>
      </c>
      <c r="S351" s="5">
        <v>51069482499</v>
      </c>
      <c r="T351" s="5">
        <v>451824984786</v>
      </c>
      <c r="U351" s="5">
        <v>474536304</v>
      </c>
      <c r="V351" s="5">
        <v>470854018438321</v>
      </c>
      <c r="W351" s="5">
        <v>43470633286018</v>
      </c>
      <c r="X351" s="5">
        <v>483847028140662</v>
      </c>
      <c r="Y351" s="5">
        <v>49597681525</v>
      </c>
      <c r="Z351" s="5">
        <v>4844445762375</v>
      </c>
      <c r="AA351" s="5">
        <v>5095993788875</v>
      </c>
      <c r="AB351" s="5">
        <v>449020035449616</v>
      </c>
      <c r="AC351" s="5">
        <v>414118623</v>
      </c>
      <c r="AD351" s="5">
        <v>41764038936</v>
      </c>
      <c r="AE351" s="5">
        <v>479320352</v>
      </c>
      <c r="AF351" s="5">
        <v>50085898148</v>
      </c>
      <c r="AG351" s="5">
        <v>4651106691</v>
      </c>
      <c r="AH351" s="5">
        <v>4106041599</v>
      </c>
      <c r="AI351" s="5">
        <v>408679524</v>
      </c>
      <c r="AJ351" s="5">
        <v>4352395672</v>
      </c>
      <c r="AK351" s="5">
        <v>4100677812</v>
      </c>
      <c r="AL351" s="5">
        <v>434837226</v>
      </c>
      <c r="AM351" s="5">
        <v>426415999542147</v>
      </c>
      <c r="AN351" s="5">
        <v>40460622817746</v>
      </c>
      <c r="AO351" s="5">
        <v>39044104943</v>
      </c>
      <c r="AP351" s="5">
        <v>315503707125</v>
      </c>
      <c r="AQ351" s="5"/>
      <c r="AR351" s="5"/>
      <c r="AS351" s="5"/>
      <c r="AT351" s="5"/>
      <c r="AU351" s="5"/>
      <c r="AV351" s="5"/>
      <c r="AW351" s="5"/>
      <c r="AX351" s="5"/>
      <c r="AY351" s="5"/>
      <c r="AZ351" s="5"/>
      <c r="BA351" s="5"/>
    </row>
    <row r="352" spans="1:53" x14ac:dyDescent="0.45">
      <c r="A352" s="1"/>
      <c r="B352" s="2"/>
      <c r="C352" s="1" t="s">
        <v>346</v>
      </c>
      <c r="D352" s="2">
        <v>4829067</v>
      </c>
      <c r="E352" s="3" t="s">
        <v>1266</v>
      </c>
      <c r="F352" s="3" t="s">
        <v>1267</v>
      </c>
      <c r="G352" s="3" t="s">
        <v>530</v>
      </c>
      <c r="H352" s="5">
        <v>15991235620065</v>
      </c>
      <c r="I352" s="5">
        <v>167544245951428</v>
      </c>
      <c r="J352" s="5">
        <v>1598986670136</v>
      </c>
      <c r="K352" s="5">
        <v>146692838876733</v>
      </c>
      <c r="L352" s="5">
        <v>155627895189471</v>
      </c>
      <c r="M352" s="5">
        <v>14119834662675</v>
      </c>
      <c r="N352" s="5">
        <v>143426328550636</v>
      </c>
      <c r="O352" s="5">
        <v>149176428847152</v>
      </c>
      <c r="P352" s="5">
        <v>140745708235203</v>
      </c>
      <c r="Q352" s="5">
        <v>136184093468434</v>
      </c>
      <c r="R352" s="5">
        <v>132282006293637</v>
      </c>
      <c r="S352" s="5">
        <v>118319510906603</v>
      </c>
      <c r="T352" s="5">
        <v>121365819229969</v>
      </c>
      <c r="U352" s="5">
        <v>116152231219429</v>
      </c>
      <c r="V352" s="5">
        <v>128798332306621</v>
      </c>
      <c r="W352" s="5">
        <v>124345166023839</v>
      </c>
      <c r="X352" s="5">
        <v>12760400022462</v>
      </c>
      <c r="Y352" s="5">
        <v>128202392955</v>
      </c>
      <c r="Z352" s="5">
        <v>122002612035147</v>
      </c>
      <c r="AA352" s="5">
        <v>112112941081511</v>
      </c>
      <c r="AB352" s="5">
        <v>112693316468618</v>
      </c>
      <c r="AC352" s="5">
        <v>109413593171641</v>
      </c>
      <c r="AD352" s="5">
        <v>115743170473623</v>
      </c>
      <c r="AE352" s="5">
        <v>122042641217074</v>
      </c>
      <c r="AF352" s="5">
        <v>125569821079153</v>
      </c>
      <c r="AG352" s="5">
        <v>137838438382391</v>
      </c>
      <c r="AH352" s="5">
        <v>119855993084984</v>
      </c>
      <c r="AI352" s="5">
        <v>134760395329635</v>
      </c>
      <c r="AJ352" s="5">
        <v>14011436117424</v>
      </c>
      <c r="AK352" s="5">
        <v>133615565230176</v>
      </c>
      <c r="AL352" s="5">
        <v>131882640863579</v>
      </c>
      <c r="AM352" s="5">
        <v>1339013099502</v>
      </c>
      <c r="AN352" s="5">
        <v>140805102621321</v>
      </c>
      <c r="AO352" s="5">
        <v>14362620971709</v>
      </c>
      <c r="AP352" s="5">
        <v>133443452274293</v>
      </c>
      <c r="AQ352" s="5"/>
      <c r="AR352" s="5"/>
      <c r="AS352" s="5"/>
      <c r="AT352" s="5"/>
      <c r="AU352" s="5"/>
      <c r="AV352" s="5"/>
      <c r="AW352" s="5"/>
      <c r="AX352" s="5"/>
      <c r="AY352" s="5"/>
      <c r="AZ352" s="5"/>
      <c r="BA352" s="5"/>
    </row>
    <row r="353" spans="1:53" x14ac:dyDescent="0.45">
      <c r="A353" s="1"/>
      <c r="B353" s="2"/>
      <c r="C353" s="1" t="s">
        <v>347</v>
      </c>
      <c r="D353" s="2">
        <v>4794937</v>
      </c>
      <c r="E353" s="3" t="s">
        <v>1268</v>
      </c>
      <c r="F353" s="3" t="s">
        <v>1269</v>
      </c>
      <c r="G353" s="3" t="s">
        <v>557</v>
      </c>
      <c r="H353" s="5">
        <v>100811184416602</v>
      </c>
      <c r="I353" s="5">
        <v>936779769629856</v>
      </c>
      <c r="J353" s="5">
        <v>91879566883334</v>
      </c>
      <c r="K353" s="5">
        <v>807799767227035</v>
      </c>
      <c r="L353" s="5">
        <v>76423019923077</v>
      </c>
      <c r="M353" s="5">
        <v>816623552</v>
      </c>
      <c r="N353" s="5">
        <v>100747657093431</v>
      </c>
      <c r="O353" s="5">
        <v>115024113454439</v>
      </c>
      <c r="P353" s="5">
        <v>114696678285209</v>
      </c>
      <c r="Q353" s="5">
        <v>126789495191013</v>
      </c>
      <c r="R353" s="5">
        <v>133995482916925</v>
      </c>
      <c r="S353" s="5">
        <v>123503494724814</v>
      </c>
      <c r="T353" s="5">
        <v>106494845276275</v>
      </c>
      <c r="U353" s="5">
        <v>111726038122534</v>
      </c>
      <c r="V353" s="5">
        <v>921987184192988</v>
      </c>
      <c r="W353" s="5">
        <v>102925343415362</v>
      </c>
      <c r="X353" s="5">
        <v>903784643595688</v>
      </c>
      <c r="Y353" s="5">
        <v>855611026499166</v>
      </c>
      <c r="Z353" s="5">
        <v>65472292532333</v>
      </c>
      <c r="AA353" s="5">
        <v>605064963387295</v>
      </c>
      <c r="AB353" s="5">
        <v>567372064984514</v>
      </c>
      <c r="AC353" s="5">
        <v>855724222700256</v>
      </c>
      <c r="AD353" s="5">
        <v>795790946186828</v>
      </c>
      <c r="AE353" s="5">
        <v>100937294321109</v>
      </c>
      <c r="AF353" s="5">
        <v>101727671426771</v>
      </c>
      <c r="AG353" s="5">
        <v>103209984347807</v>
      </c>
      <c r="AH353" s="5">
        <v>119148083336128</v>
      </c>
      <c r="AI353" s="5">
        <v>138595370707717</v>
      </c>
      <c r="AJ353" s="5">
        <v>1442718585</v>
      </c>
      <c r="AK353" s="5">
        <v>135341402991244</v>
      </c>
      <c r="AL353" s="5">
        <v>16090096604847</v>
      </c>
      <c r="AM353" s="5">
        <v>166471818066608</v>
      </c>
      <c r="AN353" s="5">
        <v>159021074645796</v>
      </c>
      <c r="AO353" s="5">
        <v>178976626252854</v>
      </c>
      <c r="AP353" s="5">
        <v>164141848946987</v>
      </c>
      <c r="AQ353" s="5"/>
      <c r="AR353" s="5"/>
      <c r="AS353" s="5"/>
      <c r="AT353" s="5"/>
      <c r="AU353" s="5"/>
      <c r="AV353" s="5"/>
      <c r="AW353" s="5"/>
      <c r="AX353" s="5"/>
      <c r="AY353" s="5"/>
      <c r="AZ353" s="5"/>
      <c r="BA353" s="5"/>
    </row>
    <row r="354" spans="1:53" x14ac:dyDescent="0.45">
      <c r="A354" s="1"/>
      <c r="B354" s="2"/>
      <c r="C354" s="1" t="s">
        <v>348</v>
      </c>
      <c r="D354" s="2">
        <v>4057062</v>
      </c>
      <c r="E354" s="3" t="s">
        <v>1270</v>
      </c>
      <c r="F354" s="3" t="s">
        <v>1271</v>
      </c>
      <c r="G354" s="3" t="s">
        <v>519</v>
      </c>
      <c r="H354" s="5">
        <v>223744868742416</v>
      </c>
      <c r="I354" s="5">
        <v>255286028788851</v>
      </c>
      <c r="J354" s="5">
        <v>253620554689725</v>
      </c>
      <c r="K354" s="5">
        <v>24245409628197</v>
      </c>
      <c r="L354" s="5">
        <v>24934231052023</v>
      </c>
      <c r="M354" s="5">
        <v>2405183410755</v>
      </c>
      <c r="N354" s="5">
        <v>2478836881125</v>
      </c>
      <c r="O354" s="5">
        <v>26005076163</v>
      </c>
      <c r="P354" s="5">
        <v>2599571415116</v>
      </c>
      <c r="Q354" s="5">
        <v>25897937156</v>
      </c>
      <c r="R354" s="5">
        <v>260297804752478</v>
      </c>
      <c r="S354" s="5">
        <v>237267505008224</v>
      </c>
      <c r="T354" s="5">
        <v>238396416444699</v>
      </c>
      <c r="U354" s="5">
        <v>236082195386004</v>
      </c>
      <c r="V354" s="5">
        <v>244098161993725</v>
      </c>
      <c r="W354" s="5">
        <v>238211769875462</v>
      </c>
      <c r="X354" s="5">
        <v>234456694464291</v>
      </c>
      <c r="Y354" s="5">
        <v>249815341017918</v>
      </c>
      <c r="Z354" s="5">
        <v>256158347927721</v>
      </c>
      <c r="AA354" s="5">
        <v>24014894721637</v>
      </c>
      <c r="AB354" s="5">
        <v>224967063892893</v>
      </c>
      <c r="AC354" s="5">
        <v>220514058923199</v>
      </c>
      <c r="AD354" s="5">
        <v>217332953815503</v>
      </c>
      <c r="AE354" s="5">
        <v>214842242253058</v>
      </c>
      <c r="AF354" s="5">
        <v>233125857878755</v>
      </c>
      <c r="AG354" s="5">
        <v>230231988148939</v>
      </c>
      <c r="AH354" s="5">
        <v>214850501811438</v>
      </c>
      <c r="AI354" s="5">
        <v>209920588124956</v>
      </c>
      <c r="AJ354" s="5">
        <v>228077538399366</v>
      </c>
      <c r="AK354" s="5">
        <v>219900812796208</v>
      </c>
      <c r="AL354" s="5">
        <v>242424485051084</v>
      </c>
      <c r="AM354" s="5">
        <v>234558524927731</v>
      </c>
      <c r="AN354" s="5">
        <v>250993368027183</v>
      </c>
      <c r="AO354" s="5">
        <v>238634556037754</v>
      </c>
      <c r="AP354" s="5">
        <v>244066317076973</v>
      </c>
      <c r="AQ354" s="5"/>
      <c r="AR354" s="5"/>
      <c r="AS354" s="5"/>
      <c r="AT354" s="5"/>
      <c r="AU354" s="5"/>
      <c r="AV354" s="5"/>
      <c r="AW354" s="5"/>
      <c r="AX354" s="5"/>
      <c r="AY354" s="5"/>
      <c r="AZ354" s="5"/>
      <c r="BA354" s="5"/>
    </row>
    <row r="355" spans="1:53" x14ac:dyDescent="0.45">
      <c r="A355" s="1"/>
      <c r="B355" s="2"/>
      <c r="C355" s="1" t="s">
        <v>349</v>
      </c>
      <c r="D355" s="2">
        <v>4587650</v>
      </c>
      <c r="E355" s="3" t="s">
        <v>1272</v>
      </c>
      <c r="F355" s="3" t="s">
        <v>1273</v>
      </c>
      <c r="G355" s="3" t="s">
        <v>902</v>
      </c>
      <c r="H355" s="5">
        <v>187540374416725</v>
      </c>
      <c r="I355" s="5">
        <v>178377076382985</v>
      </c>
      <c r="J355" s="5">
        <v>185311100982802</v>
      </c>
      <c r="K355" s="5">
        <v>169759746568144</v>
      </c>
      <c r="L355" s="5">
        <v>167030855719427</v>
      </c>
      <c r="M355" s="5">
        <v>159205828358636</v>
      </c>
      <c r="N355" s="5">
        <v>15783349795485</v>
      </c>
      <c r="O355" s="5">
        <v>158223371786025</v>
      </c>
      <c r="P355" s="5">
        <v>147309017816158</v>
      </c>
      <c r="Q355" s="5">
        <v>13742726592</v>
      </c>
      <c r="R355" s="5">
        <v>1375561152</v>
      </c>
      <c r="S355" s="5">
        <v>139412061148494</v>
      </c>
      <c r="T355" s="5">
        <v>116908804993302</v>
      </c>
      <c r="U355" s="5">
        <v>1305841652489</v>
      </c>
      <c r="V355" s="5">
        <v>131941287457229</v>
      </c>
      <c r="W355" s="5">
        <v>115831655420445</v>
      </c>
      <c r="X355" s="5">
        <v>107233127262176</v>
      </c>
      <c r="Y355" s="5">
        <v>10925270028431</v>
      </c>
      <c r="Z355" s="5">
        <v>974234086230312</v>
      </c>
      <c r="AA355" s="5">
        <v>10487520877278</v>
      </c>
      <c r="AB355" s="5">
        <v>101697210558342</v>
      </c>
      <c r="AC355" s="5">
        <v>81702365823</v>
      </c>
      <c r="AD355" s="5">
        <v>91411280685</v>
      </c>
      <c r="AE355" s="5">
        <v>1267231908</v>
      </c>
      <c r="AF355" s="5">
        <v>130951311645</v>
      </c>
      <c r="AG355" s="5">
        <v>1155831562025</v>
      </c>
      <c r="AH355" s="5">
        <v>971420797725</v>
      </c>
      <c r="AI355" s="5">
        <v>9888863194</v>
      </c>
      <c r="AJ355" s="5">
        <v>11206571635</v>
      </c>
      <c r="AK355" s="5">
        <v>102602752245</v>
      </c>
      <c r="AL355" s="5">
        <v>107357323907</v>
      </c>
      <c r="AM355" s="5">
        <v>102686787769664</v>
      </c>
      <c r="AN355" s="5">
        <v>110365206315</v>
      </c>
      <c r="AO355" s="5">
        <v>102358783905</v>
      </c>
      <c r="AP355" s="5">
        <v>95759052525</v>
      </c>
      <c r="AQ355" s="5"/>
      <c r="AR355" s="5"/>
      <c r="AS355" s="5"/>
      <c r="AT355" s="5"/>
      <c r="AU355" s="5"/>
      <c r="AV355" s="5"/>
      <c r="AW355" s="5"/>
      <c r="AX355" s="5"/>
      <c r="AY355" s="5"/>
      <c r="AZ355" s="5"/>
      <c r="BA355" s="5"/>
    </row>
    <row r="356" spans="1:53" x14ac:dyDescent="0.45">
      <c r="A356" s="1"/>
      <c r="B356" s="2"/>
      <c r="C356" s="1" t="s">
        <v>350</v>
      </c>
      <c r="D356" s="2">
        <v>103117</v>
      </c>
      <c r="E356" s="3" t="s">
        <v>1274</v>
      </c>
      <c r="F356" s="3" t="s">
        <v>1275</v>
      </c>
      <c r="G356" s="3" t="s">
        <v>883</v>
      </c>
      <c r="H356" s="5">
        <v>444608292326229</v>
      </c>
      <c r="I356" s="5">
        <v>422215162814108</v>
      </c>
      <c r="J356" s="5">
        <v>414776258210179</v>
      </c>
      <c r="K356" s="5">
        <v>423462860297385</v>
      </c>
      <c r="L356" s="5">
        <v>410571663210435</v>
      </c>
      <c r="M356" s="5">
        <v>419866504755</v>
      </c>
      <c r="N356" s="5">
        <v>4426425664272</v>
      </c>
      <c r="O356" s="5">
        <v>42859321935</v>
      </c>
      <c r="P356" s="5">
        <v>473534662647379</v>
      </c>
      <c r="Q356" s="5">
        <v>502502518642433</v>
      </c>
      <c r="R356" s="5">
        <v>543825562617552</v>
      </c>
      <c r="S356" s="5">
        <v>533164931937703</v>
      </c>
      <c r="T356" s="5">
        <v>52888389390258</v>
      </c>
      <c r="U356" s="5">
        <v>534044024382</v>
      </c>
      <c r="V356" s="5">
        <v>533166493425884</v>
      </c>
      <c r="W356" s="5">
        <v>57870254150802</v>
      </c>
      <c r="X356" s="5">
        <v>60736301657878</v>
      </c>
      <c r="Y356" s="5">
        <v>638485500215141</v>
      </c>
      <c r="Z356" s="5">
        <v>6043168852389</v>
      </c>
      <c r="AA356" s="5">
        <v>54949363776396</v>
      </c>
      <c r="AB356" s="5">
        <v>54349762282239</v>
      </c>
      <c r="AC356" s="5">
        <v>540421438923664</v>
      </c>
      <c r="AD356" s="5">
        <v>532669557897667</v>
      </c>
      <c r="AE356" s="5">
        <v>553953137957904</v>
      </c>
      <c r="AF356" s="5">
        <v>545459122781338</v>
      </c>
      <c r="AG356" s="5">
        <v>565288270169381</v>
      </c>
      <c r="AH356" s="5">
        <v>509383618984589</v>
      </c>
      <c r="AI356" s="5">
        <v>495353097162614</v>
      </c>
      <c r="AJ356" s="5">
        <v>524359439221856</v>
      </c>
      <c r="AK356" s="5">
        <v>483489757276864</v>
      </c>
      <c r="AL356" s="5">
        <v>514473155435028</v>
      </c>
      <c r="AM356" s="5">
        <v>504616308299454</v>
      </c>
      <c r="AN356" s="5">
        <v>565980506072375</v>
      </c>
      <c r="AO356" s="5">
        <v>527632609624771</v>
      </c>
      <c r="AP356" s="5">
        <v>546872025321815</v>
      </c>
      <c r="AQ356" s="5"/>
      <c r="AR356" s="5"/>
      <c r="AS356" s="5"/>
      <c r="AT356" s="5"/>
      <c r="AU356" s="5"/>
      <c r="AV356" s="5"/>
      <c r="AW356" s="5"/>
      <c r="AX356" s="5"/>
      <c r="AY356" s="5"/>
      <c r="AZ356" s="5"/>
      <c r="BA356" s="5"/>
    </row>
    <row r="357" spans="1:53" x14ac:dyDescent="0.45">
      <c r="A357" s="1"/>
      <c r="B357" s="2"/>
      <c r="C357" s="1" t="s">
        <v>351</v>
      </c>
      <c r="D357" s="2">
        <v>4967090</v>
      </c>
      <c r="E357" s="3" t="s">
        <v>1276</v>
      </c>
      <c r="F357" s="3" t="s">
        <v>1277</v>
      </c>
      <c r="G357" s="3" t="s">
        <v>481</v>
      </c>
      <c r="H357" s="5">
        <v>144855995879124</v>
      </c>
      <c r="I357" s="5">
        <v>16111557048247</v>
      </c>
      <c r="J357" s="5">
        <v>179708399691806</v>
      </c>
      <c r="K357" s="5">
        <v>158416317121922</v>
      </c>
      <c r="L357" s="5">
        <v>163020966198572</v>
      </c>
      <c r="M357" s="5">
        <v>163496006108785</v>
      </c>
      <c r="N357" s="5">
        <v>15518164291</v>
      </c>
      <c r="O357" s="5">
        <v>17478232604</v>
      </c>
      <c r="P357" s="5">
        <v>168886134541442</v>
      </c>
      <c r="Q357" s="5">
        <v>1694438528832</v>
      </c>
      <c r="R357" s="5">
        <v>165153938184</v>
      </c>
      <c r="S357" s="5">
        <v>1579672225098</v>
      </c>
      <c r="T357" s="5">
        <v>1314148991858</v>
      </c>
      <c r="U357" s="5">
        <v>13508405581</v>
      </c>
      <c r="V357" s="5">
        <v>131622339117794</v>
      </c>
      <c r="W357" s="5">
        <v>127005989249731</v>
      </c>
      <c r="X357" s="5">
        <v>125909534790378</v>
      </c>
      <c r="Y357" s="5">
        <v>1124025411376</v>
      </c>
      <c r="Z357" s="5">
        <v>1083996575424</v>
      </c>
      <c r="AA357" s="5">
        <v>1141196454752</v>
      </c>
      <c r="AB357" s="5">
        <v>1109233903596</v>
      </c>
      <c r="AC357" s="5">
        <v>11724558839325</v>
      </c>
      <c r="AD357" s="5">
        <v>121748750617432</v>
      </c>
      <c r="AE357" s="5">
        <v>135222617180663</v>
      </c>
      <c r="AF357" s="5">
        <v>150211459345807</v>
      </c>
      <c r="AG357" s="5">
        <v>133602584076133</v>
      </c>
      <c r="AH357" s="5">
        <v>143923942536306</v>
      </c>
      <c r="AI357" s="5">
        <v>148740728375382</v>
      </c>
      <c r="AJ357" s="5">
        <v>16548301024769</v>
      </c>
      <c r="AK357" s="5">
        <v>178592503816408</v>
      </c>
      <c r="AL357" s="5">
        <v>190416888260247</v>
      </c>
      <c r="AM357" s="5">
        <v>1572400927125</v>
      </c>
      <c r="AN357" s="5">
        <v>174587292200215</v>
      </c>
      <c r="AO357" s="5">
        <v>149335318614514</v>
      </c>
      <c r="AP357" s="5">
        <v>140247737113869</v>
      </c>
      <c r="AQ357" s="5"/>
      <c r="AR357" s="5"/>
      <c r="AS357" s="5"/>
      <c r="AT357" s="5"/>
      <c r="AU357" s="5"/>
      <c r="AV357" s="5"/>
      <c r="AW357" s="5"/>
      <c r="AX357" s="5"/>
      <c r="AY357" s="5"/>
      <c r="AZ357" s="5"/>
      <c r="BA357" s="5"/>
    </row>
    <row r="358" spans="1:53" x14ac:dyDescent="0.45">
      <c r="A358" s="1"/>
      <c r="B358" s="2"/>
      <c r="C358" s="1" t="s">
        <v>352</v>
      </c>
      <c r="D358" s="2">
        <v>4011047</v>
      </c>
      <c r="E358" s="3" t="s">
        <v>1278</v>
      </c>
      <c r="F358" s="3" t="s">
        <v>1279</v>
      </c>
      <c r="G358" s="3" t="s">
        <v>601</v>
      </c>
      <c r="H358" s="5">
        <v>777441995887625</v>
      </c>
      <c r="I358" s="5">
        <v>731073865526951</v>
      </c>
      <c r="J358" s="5">
        <v>7615614666944</v>
      </c>
      <c r="K358" s="5">
        <v>817200660005331</v>
      </c>
      <c r="L358" s="5">
        <v>740468046039051</v>
      </c>
      <c r="M358" s="5">
        <v>80589136815607</v>
      </c>
      <c r="N358" s="5">
        <v>80184986293041</v>
      </c>
      <c r="O358" s="5">
        <v>860573879001754</v>
      </c>
      <c r="P358" s="5">
        <v>925712581706811</v>
      </c>
      <c r="Q358" s="5">
        <v>101825314043006</v>
      </c>
      <c r="R358" s="5">
        <v>105533673828206</v>
      </c>
      <c r="S358" s="5">
        <v>107942400526844</v>
      </c>
      <c r="T358" s="5">
        <v>110644962172988</v>
      </c>
      <c r="U358" s="5">
        <v>110624739505409</v>
      </c>
      <c r="V358" s="5">
        <v>993074919434597</v>
      </c>
      <c r="W358" s="5">
        <v>972958064385683</v>
      </c>
      <c r="X358" s="5">
        <v>985542088558335</v>
      </c>
      <c r="Y358" s="5">
        <v>10021528658471</v>
      </c>
      <c r="Z358" s="5">
        <v>999315145241166</v>
      </c>
      <c r="AA358" s="5">
        <v>962150462348452</v>
      </c>
      <c r="AB358" s="5">
        <v>975303722680732</v>
      </c>
      <c r="AC358" s="5">
        <v>835427776293937</v>
      </c>
      <c r="AD358" s="5">
        <v>839107073141776</v>
      </c>
      <c r="AE358" s="5">
        <v>809909964300847</v>
      </c>
      <c r="AF358" s="5">
        <v>920937786973909</v>
      </c>
      <c r="AG358" s="5">
        <v>893862691164004</v>
      </c>
      <c r="AH358" s="5">
        <v>782013877814264</v>
      </c>
      <c r="AI358" s="5">
        <v>874026188841994</v>
      </c>
      <c r="AJ358" s="5">
        <v>948637841891596</v>
      </c>
      <c r="AK358" s="5">
        <v>982477445158428</v>
      </c>
      <c r="AL358" s="5">
        <v>105012880096658</v>
      </c>
      <c r="AM358" s="5">
        <v>107305114440577</v>
      </c>
      <c r="AN358" s="5">
        <v>99256826223072</v>
      </c>
      <c r="AO358" s="5">
        <v>95918842505088</v>
      </c>
      <c r="AP358" s="5">
        <v>930683999762448</v>
      </c>
      <c r="AQ358" s="5"/>
      <c r="AR358" s="5"/>
      <c r="AS358" s="5"/>
      <c r="AT358" s="5"/>
      <c r="AU358" s="5"/>
      <c r="AV358" s="5"/>
      <c r="AW358" s="5"/>
      <c r="AX358" s="5"/>
      <c r="AY358" s="5"/>
      <c r="AZ358" s="5"/>
      <c r="BA358" s="5"/>
    </row>
    <row r="359" spans="1:53" x14ac:dyDescent="0.45">
      <c r="A359" s="1"/>
      <c r="B359" s="2"/>
      <c r="C359" s="1" t="s">
        <v>353</v>
      </c>
      <c r="D359" s="2">
        <v>4217596</v>
      </c>
      <c r="E359" s="3" t="s">
        <v>1280</v>
      </c>
      <c r="F359" s="3" t="s">
        <v>1281</v>
      </c>
      <c r="G359" s="3" t="s">
        <v>597</v>
      </c>
      <c r="H359" s="5">
        <v>649653118660728</v>
      </c>
      <c r="I359" s="5">
        <v>623222494857925</v>
      </c>
      <c r="J359" s="5">
        <v>604472881203389</v>
      </c>
      <c r="K359" s="5">
        <v>653059598734032</v>
      </c>
      <c r="L359" s="5">
        <v>587749261924364</v>
      </c>
      <c r="M359" s="5">
        <v>599603911413507</v>
      </c>
      <c r="N359" s="5">
        <v>617121657535152</v>
      </c>
      <c r="O359" s="5">
        <v>5853432860327</v>
      </c>
      <c r="P359" s="5">
        <v>577254567345628</v>
      </c>
      <c r="Q359" s="5">
        <v>582892362158299</v>
      </c>
      <c r="R359" s="5">
        <v>590158322174952</v>
      </c>
      <c r="S359" s="5">
        <v>567965267492839</v>
      </c>
      <c r="T359" s="5">
        <v>504967631890085</v>
      </c>
      <c r="U359" s="5">
        <v>48055742492142</v>
      </c>
      <c r="V359" s="5">
        <v>467912266153342</v>
      </c>
      <c r="W359" s="5">
        <v>5462757163377</v>
      </c>
      <c r="X359" s="5">
        <v>48507009362785</v>
      </c>
      <c r="Y359" s="5">
        <v>48393454132127</v>
      </c>
      <c r="Z359" s="5">
        <v>480585118485006</v>
      </c>
      <c r="AA359" s="5">
        <v>582191218306458</v>
      </c>
      <c r="AB359" s="5">
        <v>548337936110495</v>
      </c>
      <c r="AC359" s="5">
        <v>495482201212818</v>
      </c>
      <c r="AD359" s="5">
        <v>48471226181409</v>
      </c>
      <c r="AE359" s="5">
        <v>538780764207589</v>
      </c>
      <c r="AF359" s="5">
        <v>562080141920312</v>
      </c>
      <c r="AG359" s="5">
        <v>565182610988312</v>
      </c>
      <c r="AH359" s="5">
        <v>591349825970517</v>
      </c>
      <c r="AI359" s="5">
        <v>568406420886316</v>
      </c>
      <c r="AJ359" s="5">
        <v>640289015912971</v>
      </c>
      <c r="AK359" s="5">
        <v>602707952492352</v>
      </c>
      <c r="AL359" s="5">
        <v>650351160343099</v>
      </c>
      <c r="AM359" s="5">
        <v>609500417693682</v>
      </c>
      <c r="AN359" s="5">
        <v>609806847917145</v>
      </c>
      <c r="AO359" s="5">
        <v>577188819772561</v>
      </c>
      <c r="AP359" s="5">
        <v>491388133120934</v>
      </c>
      <c r="AQ359" s="5"/>
      <c r="AR359" s="5"/>
      <c r="AS359" s="5"/>
      <c r="AT359" s="5"/>
      <c r="AU359" s="5"/>
      <c r="AV359" s="5"/>
      <c r="AW359" s="5"/>
      <c r="AX359" s="5"/>
      <c r="AY359" s="5"/>
      <c r="AZ359" s="5"/>
      <c r="BA359" s="5"/>
    </row>
    <row r="360" spans="1:53" x14ac:dyDescent="0.45">
      <c r="A360" s="1"/>
      <c r="B360" s="2"/>
      <c r="C360" s="1" t="s">
        <v>354</v>
      </c>
      <c r="D360" s="2">
        <v>4007403</v>
      </c>
      <c r="E360" s="3" t="s">
        <v>1282</v>
      </c>
      <c r="F360" s="3" t="s">
        <v>1283</v>
      </c>
      <c r="G360" s="3" t="s">
        <v>804</v>
      </c>
      <c r="H360" s="5">
        <v>827499466880352</v>
      </c>
      <c r="I360" s="5">
        <v>811043378642675</v>
      </c>
      <c r="J360" s="5">
        <v>772635635134776</v>
      </c>
      <c r="K360" s="5">
        <v>726009624710062</v>
      </c>
      <c r="L360" s="5">
        <v>715594531457383</v>
      </c>
      <c r="M360" s="5">
        <v>75342753632472</v>
      </c>
      <c r="N360" s="5">
        <v>802519839657</v>
      </c>
      <c r="O360" s="5">
        <v>8337567279114</v>
      </c>
      <c r="P360" s="5">
        <v>891019917475974</v>
      </c>
      <c r="Q360" s="5">
        <v>91439075935807</v>
      </c>
      <c r="R360" s="5">
        <v>926534607146652</v>
      </c>
      <c r="S360" s="5">
        <v>976120594488395</v>
      </c>
      <c r="T360" s="5">
        <v>941422860642617</v>
      </c>
      <c r="U360" s="5">
        <v>91778998552912</v>
      </c>
      <c r="V360" s="5">
        <v>815837794168484</v>
      </c>
      <c r="W360" s="5">
        <v>78527893188947</v>
      </c>
      <c r="X360" s="5">
        <v>798740954204085</v>
      </c>
      <c r="Y360" s="5">
        <v>817041099944924</v>
      </c>
      <c r="Z360" s="5">
        <v>826312274645692</v>
      </c>
      <c r="AA360" s="5">
        <v>84546767555294</v>
      </c>
      <c r="AB360" s="5">
        <v>808672487789285</v>
      </c>
      <c r="AC360" s="5">
        <v>773646169150121</v>
      </c>
      <c r="AD360" s="5">
        <v>866661327801679</v>
      </c>
      <c r="AE360" s="5">
        <v>916223988410563</v>
      </c>
      <c r="AF360" s="5">
        <v>946362470180371</v>
      </c>
      <c r="AG360" s="5">
        <v>873649755801692</v>
      </c>
      <c r="AH360" s="5">
        <v>7867750609364</v>
      </c>
      <c r="AI360" s="5">
        <v>829734387781</v>
      </c>
      <c r="AJ360" s="5">
        <v>867744277984</v>
      </c>
      <c r="AK360" s="5">
        <v>8338103148375</v>
      </c>
      <c r="AL360" s="5">
        <v>825797003262</v>
      </c>
      <c r="AM360" s="5">
        <v>7760518215525</v>
      </c>
      <c r="AN360" s="5">
        <v>7983745295922</v>
      </c>
      <c r="AO360" s="5">
        <v>7632092456362</v>
      </c>
      <c r="AP360" s="5">
        <v>683047235631</v>
      </c>
      <c r="AQ360" s="5"/>
      <c r="AR360" s="5"/>
      <c r="AS360" s="5"/>
      <c r="AT360" s="5"/>
      <c r="AU360" s="5"/>
      <c r="AV360" s="5"/>
      <c r="AW360" s="5"/>
      <c r="AX360" s="5"/>
      <c r="AY360" s="5"/>
      <c r="AZ360" s="5"/>
      <c r="BA360" s="5"/>
    </row>
    <row r="361" spans="1:53" x14ac:dyDescent="0.45">
      <c r="A361" s="1"/>
      <c r="B361" s="2"/>
      <c r="C361" s="1" t="s">
        <v>355</v>
      </c>
      <c r="D361" s="2">
        <v>4121199</v>
      </c>
      <c r="E361" s="3" t="s">
        <v>1284</v>
      </c>
      <c r="F361" s="3" t="s">
        <v>1285</v>
      </c>
      <c r="G361" s="3" t="s">
        <v>784</v>
      </c>
      <c r="H361" s="5">
        <v>323436387705816</v>
      </c>
      <c r="I361" s="5">
        <v>302298963902483</v>
      </c>
      <c r="J361" s="5">
        <v>276932839918</v>
      </c>
      <c r="K361" s="5">
        <v>2835107531046</v>
      </c>
      <c r="L361" s="5">
        <v>2628146925558</v>
      </c>
      <c r="M361" s="5">
        <v>284796280951</v>
      </c>
      <c r="N361" s="5">
        <v>329332362086</v>
      </c>
      <c r="O361" s="5">
        <v>32337277266</v>
      </c>
      <c r="P361" s="5">
        <v>3119709968076</v>
      </c>
      <c r="Q361" s="5">
        <v>30932525568</v>
      </c>
      <c r="R361" s="5">
        <v>334988859</v>
      </c>
      <c r="S361" s="5">
        <v>298416267612</v>
      </c>
      <c r="T361" s="5">
        <v>290645887392</v>
      </c>
      <c r="U361" s="5">
        <v>27143687736</v>
      </c>
      <c r="V361" s="5">
        <v>224949386148556</v>
      </c>
      <c r="W361" s="5">
        <v>214591126235314</v>
      </c>
      <c r="X361" s="5">
        <v>20519283684409</v>
      </c>
      <c r="Y361" s="5">
        <v>205434079439139</v>
      </c>
      <c r="Z361" s="5">
        <v>22550000775705</v>
      </c>
      <c r="AA361" s="5">
        <v>2437905533076</v>
      </c>
      <c r="AB361" s="5">
        <v>248776311327799</v>
      </c>
      <c r="AC361" s="5">
        <v>24640395450075</v>
      </c>
      <c r="AD361" s="5">
        <v>226105858204495</v>
      </c>
      <c r="AE361" s="5">
        <v>257849508926545</v>
      </c>
      <c r="AF361" s="5">
        <v>282434356286631</v>
      </c>
      <c r="AG361" s="5">
        <v>273006629793408</v>
      </c>
      <c r="AH361" s="5">
        <v>224746229931394</v>
      </c>
      <c r="AI361" s="5">
        <v>216030756247141</v>
      </c>
      <c r="AJ361" s="5">
        <v>216047273103544</v>
      </c>
      <c r="AK361" s="5">
        <v>198527854346522</v>
      </c>
      <c r="AL361" s="5">
        <v>225604293086372</v>
      </c>
      <c r="AM361" s="5">
        <v>242125337490075</v>
      </c>
      <c r="AN361" s="5">
        <v>2787573136007</v>
      </c>
      <c r="AO361" s="5">
        <v>26068758162436</v>
      </c>
      <c r="AP361" s="5">
        <v>271621174862412</v>
      </c>
      <c r="AQ361" s="5"/>
      <c r="AR361" s="5"/>
      <c r="AS361" s="5"/>
      <c r="AT361" s="5"/>
      <c r="AU361" s="5"/>
      <c r="AV361" s="5"/>
      <c r="AW361" s="5"/>
      <c r="AX361" s="5"/>
      <c r="AY361" s="5"/>
      <c r="AZ361" s="5"/>
      <c r="BA361" s="5"/>
    </row>
    <row r="362" spans="1:53" x14ac:dyDescent="0.45">
      <c r="A362" s="1"/>
      <c r="B362" s="2"/>
      <c r="C362" s="1" t="s">
        <v>356</v>
      </c>
      <c r="D362" s="2">
        <v>4102347</v>
      </c>
      <c r="E362" s="3" t="s">
        <v>1286</v>
      </c>
      <c r="F362" s="3" t="s">
        <v>1287</v>
      </c>
      <c r="G362" s="3" t="s">
        <v>804</v>
      </c>
      <c r="H362" s="5">
        <v>216713289296074</v>
      </c>
      <c r="I362" s="5">
        <v>218431562823488</v>
      </c>
      <c r="J362" s="5">
        <v>212808369363363</v>
      </c>
      <c r="K362" s="5">
        <v>19563045547464</v>
      </c>
      <c r="L362" s="5">
        <v>185716408073616</v>
      </c>
      <c r="M362" s="5">
        <v>182826519777917</v>
      </c>
      <c r="N362" s="5">
        <v>1887869377725</v>
      </c>
      <c r="O362" s="5">
        <v>1874856378</v>
      </c>
      <c r="P362" s="5">
        <v>191148971559</v>
      </c>
      <c r="Q362" s="5">
        <v>1896580746312</v>
      </c>
      <c r="R362" s="5">
        <v>182758541430747</v>
      </c>
      <c r="S362" s="5">
        <v>17315908452</v>
      </c>
      <c r="T362" s="5">
        <v>1637184117753</v>
      </c>
      <c r="U362" s="5">
        <v>169110315462</v>
      </c>
      <c r="V362" s="5">
        <v>15651672287905</v>
      </c>
      <c r="W362" s="5">
        <v>164579764898333</v>
      </c>
      <c r="X362" s="5">
        <v>166987754188881</v>
      </c>
      <c r="Y362" s="5">
        <v>163837048799347</v>
      </c>
      <c r="Z362" s="5">
        <v>1503422511588</v>
      </c>
      <c r="AA362" s="5">
        <v>1526688709668</v>
      </c>
      <c r="AB362" s="5">
        <v>1467016895376</v>
      </c>
      <c r="AC362" s="5">
        <v>131832354939414</v>
      </c>
      <c r="AD362" s="5">
        <v>13053785611844</v>
      </c>
      <c r="AE362" s="5">
        <v>14713851649154</v>
      </c>
      <c r="AF362" s="5">
        <v>154705310884484</v>
      </c>
      <c r="AG362" s="5">
        <v>143898911421463</v>
      </c>
      <c r="AH362" s="5">
        <v>133162723939326</v>
      </c>
      <c r="AI362" s="5">
        <v>138883199962275</v>
      </c>
      <c r="AJ362" s="5">
        <v>146318787802639</v>
      </c>
      <c r="AK362" s="5">
        <v>145238934633269</v>
      </c>
      <c r="AL362" s="5">
        <v>14348509055556</v>
      </c>
      <c r="AM362" s="5">
        <v>135530480771879</v>
      </c>
      <c r="AN362" s="5">
        <v>13972278329536</v>
      </c>
      <c r="AO362" s="5">
        <v>13805219091774</v>
      </c>
      <c r="AP362" s="5">
        <v>129943745330368</v>
      </c>
      <c r="AQ362" s="5"/>
      <c r="AR362" s="5"/>
      <c r="AS362" s="5"/>
      <c r="AT362" s="5"/>
      <c r="AU362" s="5"/>
      <c r="AV362" s="5"/>
      <c r="AW362" s="5"/>
      <c r="AX362" s="5"/>
      <c r="AY362" s="5"/>
      <c r="AZ362" s="5"/>
      <c r="BA362" s="5"/>
    </row>
    <row r="363" spans="1:53" x14ac:dyDescent="0.45">
      <c r="A363" s="1"/>
      <c r="B363" s="2"/>
      <c r="C363" s="1" t="s">
        <v>357</v>
      </c>
      <c r="D363" s="2">
        <v>4071032</v>
      </c>
      <c r="E363" s="3" t="s">
        <v>1288</v>
      </c>
      <c r="F363" s="3" t="s">
        <v>1289</v>
      </c>
      <c r="G363" s="3" t="s">
        <v>698</v>
      </c>
      <c r="H363" s="5">
        <v>680492572512</v>
      </c>
      <c r="I363" s="5">
        <v>690790087512</v>
      </c>
      <c r="J363" s="5">
        <v>68018605884</v>
      </c>
      <c r="K363" s="5">
        <v>656166363609</v>
      </c>
      <c r="L363" s="5">
        <v>667047233034</v>
      </c>
      <c r="M363" s="5">
        <v>66325919643</v>
      </c>
      <c r="N363" s="5">
        <v>740105301915</v>
      </c>
      <c r="O363" s="5">
        <v>8198114049</v>
      </c>
      <c r="P363" s="5">
        <v>803363593032</v>
      </c>
      <c r="Q363" s="5">
        <v>795832624272</v>
      </c>
      <c r="R363" s="5">
        <v>78075162396</v>
      </c>
      <c r="S363" s="5">
        <v>745786178676</v>
      </c>
      <c r="T363" s="5">
        <v>765454473184</v>
      </c>
      <c r="U363" s="5">
        <v>79813582948</v>
      </c>
      <c r="V363" s="5">
        <v>710143383288</v>
      </c>
      <c r="W363" s="5">
        <v>706397437566</v>
      </c>
      <c r="X363" s="5">
        <v>739769487919</v>
      </c>
      <c r="Y363" s="5">
        <v>761925795435</v>
      </c>
      <c r="Z363" s="5">
        <v>753452329896</v>
      </c>
      <c r="AA363" s="5">
        <v>7225093277655</v>
      </c>
      <c r="AB363" s="5">
        <v>7192252417005</v>
      </c>
      <c r="AC363" s="5">
        <v>7920430703055</v>
      </c>
      <c r="AD363" s="5">
        <v>8301097620855</v>
      </c>
      <c r="AE363" s="5">
        <v>82068789888</v>
      </c>
      <c r="AF363" s="5">
        <v>862798044416</v>
      </c>
      <c r="AG363" s="5">
        <v>8426695684295</v>
      </c>
      <c r="AH363" s="5">
        <v>755925055844</v>
      </c>
      <c r="AI363" s="5">
        <v>724918195805</v>
      </c>
      <c r="AJ363" s="5">
        <v>778245308859</v>
      </c>
      <c r="AK363" s="5">
        <v>72223365808125</v>
      </c>
      <c r="AL363" s="5">
        <v>71038702677</v>
      </c>
      <c r="AM363" s="5">
        <v>664531461675</v>
      </c>
      <c r="AN363" s="5">
        <v>66095990951</v>
      </c>
      <c r="AO363" s="5">
        <v>6251427301805</v>
      </c>
      <c r="AP363" s="5">
        <v>581317671855</v>
      </c>
      <c r="AQ363" s="5"/>
      <c r="AR363" s="5"/>
      <c r="AS363" s="5"/>
      <c r="AT363" s="5"/>
      <c r="AU363" s="5"/>
      <c r="AV363" s="5"/>
      <c r="AW363" s="5"/>
      <c r="AX363" s="5"/>
      <c r="AY363" s="5"/>
      <c r="AZ363" s="5"/>
      <c r="BA363" s="5"/>
    </row>
    <row r="364" spans="1:53" x14ac:dyDescent="0.45">
      <c r="A364" s="1"/>
      <c r="B364" s="2"/>
      <c r="C364" s="1" t="s">
        <v>358</v>
      </c>
      <c r="D364" s="2">
        <v>100447</v>
      </c>
      <c r="E364" s="3" t="s">
        <v>1290</v>
      </c>
      <c r="F364" s="3" t="s">
        <v>1291</v>
      </c>
      <c r="G364" s="3" t="s">
        <v>536</v>
      </c>
      <c r="H364" s="5">
        <v>301451683492214</v>
      </c>
      <c r="I364" s="5">
        <v>296911852646886</v>
      </c>
      <c r="J364" s="5">
        <v>29306797812236</v>
      </c>
      <c r="K364" s="5">
        <v>302292072653735</v>
      </c>
      <c r="L364" s="5">
        <v>29125827506314</v>
      </c>
      <c r="M364" s="5">
        <v>295939507179435</v>
      </c>
      <c r="N364" s="5">
        <v>295906533228</v>
      </c>
      <c r="O364" s="5">
        <v>27277174256</v>
      </c>
      <c r="P364" s="5">
        <v>289809592550728</v>
      </c>
      <c r="Q364" s="5">
        <v>284359110847477</v>
      </c>
      <c r="R364" s="5">
        <v>286786522217707</v>
      </c>
      <c r="S364" s="5">
        <v>269705174076</v>
      </c>
      <c r="T364" s="5">
        <v>2839904569388</v>
      </c>
      <c r="U364" s="5">
        <v>28754165704</v>
      </c>
      <c r="V364" s="5">
        <v>2498452675208</v>
      </c>
      <c r="W364" s="5">
        <v>2416030743159</v>
      </c>
      <c r="X364" s="5">
        <v>245743876217791</v>
      </c>
      <c r="Y364" s="5">
        <v>229386281552198</v>
      </c>
      <c r="Z364" s="5">
        <v>1922378340816</v>
      </c>
      <c r="AA364" s="5">
        <v>2243497519422</v>
      </c>
      <c r="AB364" s="5">
        <v>2176052991735</v>
      </c>
      <c r="AC364" s="5">
        <v>2017210015458</v>
      </c>
      <c r="AD364" s="5">
        <v>205832285404196</v>
      </c>
      <c r="AE364" s="5">
        <v>246533928247286</v>
      </c>
      <c r="AF364" s="5">
        <v>277197375825811</v>
      </c>
      <c r="AG364" s="5">
        <v>252663775376208</v>
      </c>
      <c r="AH364" s="5">
        <v>245780053556748</v>
      </c>
      <c r="AI364" s="5">
        <v>26203543964348</v>
      </c>
      <c r="AJ364" s="5">
        <v>282566606713335</v>
      </c>
      <c r="AK364" s="5">
        <v>284580685034415</v>
      </c>
      <c r="AL364" s="5">
        <v>2923171693976</v>
      </c>
      <c r="AM364" s="5">
        <v>2840112042552</v>
      </c>
      <c r="AN364" s="5">
        <v>282187381635405</v>
      </c>
      <c r="AO364" s="5">
        <v>273747296933325</v>
      </c>
      <c r="AP364" s="5">
        <v>262984535984249</v>
      </c>
      <c r="AQ364" s="5"/>
      <c r="AR364" s="5"/>
      <c r="AS364" s="5"/>
      <c r="AT364" s="5"/>
      <c r="AU364" s="5"/>
      <c r="AV364" s="5"/>
      <c r="AW364" s="5"/>
      <c r="AX364" s="5"/>
      <c r="AY364" s="5"/>
      <c r="AZ364" s="5"/>
      <c r="BA364" s="5"/>
    </row>
    <row r="365" spans="1:53" x14ac:dyDescent="0.45">
      <c r="A365" s="1"/>
      <c r="B365" s="2"/>
      <c r="C365" s="1" t="s">
        <v>359</v>
      </c>
      <c r="D365" s="2">
        <v>4120616</v>
      </c>
      <c r="E365" s="3" t="s">
        <v>1292</v>
      </c>
      <c r="F365" s="3" t="s">
        <v>1293</v>
      </c>
      <c r="G365" s="3" t="s">
        <v>1154</v>
      </c>
      <c r="H365" s="5">
        <v>851099151369658</v>
      </c>
      <c r="I365" s="5">
        <v>76602839014548</v>
      </c>
      <c r="J365" s="5">
        <v>766715022208286</v>
      </c>
      <c r="K365" s="5">
        <v>699590844169256</v>
      </c>
      <c r="L365" s="5">
        <v>695879483088153</v>
      </c>
      <c r="M365" s="5">
        <v>726467363915</v>
      </c>
      <c r="N365" s="5">
        <v>758917516235</v>
      </c>
      <c r="O365" s="5">
        <v>7314413469</v>
      </c>
      <c r="P365" s="5">
        <v>803957299496</v>
      </c>
      <c r="Q365" s="5">
        <v>787918045376</v>
      </c>
      <c r="R365" s="5">
        <v>83555410420404</v>
      </c>
      <c r="S365" s="5">
        <v>763930167714</v>
      </c>
      <c r="T365" s="5">
        <v>821793700788</v>
      </c>
      <c r="U365" s="5">
        <v>81835939856</v>
      </c>
      <c r="V365" s="5">
        <v>610728589504</v>
      </c>
      <c r="W365" s="5">
        <v>541935848916</v>
      </c>
      <c r="X365" s="5">
        <v>538355876802767</v>
      </c>
      <c r="Y365" s="5">
        <v>584630329563</v>
      </c>
      <c r="Z365" s="5">
        <v>537340385925</v>
      </c>
      <c r="AA365" s="5">
        <v>5403649042215</v>
      </c>
      <c r="AB365" s="5">
        <v>5358408302445</v>
      </c>
      <c r="AC365" s="5">
        <v>407211306196317</v>
      </c>
      <c r="AD365" s="5">
        <v>410597074717132</v>
      </c>
      <c r="AE365" s="5">
        <v>398385565554587</v>
      </c>
      <c r="AF365" s="5">
        <v>398547836863018</v>
      </c>
      <c r="AG365" s="5">
        <v>405443999394823</v>
      </c>
      <c r="AH365" s="5">
        <v>372635243858776</v>
      </c>
      <c r="AI365" s="5">
        <v>420966305412851</v>
      </c>
      <c r="AJ365" s="5">
        <v>438817897402827</v>
      </c>
      <c r="AK365" s="5">
        <v>450114681402965</v>
      </c>
      <c r="AL365" s="5">
        <v>480517861912555</v>
      </c>
      <c r="AM365" s="5">
        <v>477695863280563</v>
      </c>
      <c r="AN365" s="5">
        <v>452139866902442</v>
      </c>
      <c r="AO365" s="5">
        <v>390663877749384</v>
      </c>
      <c r="AP365" s="5">
        <v>362863945741212</v>
      </c>
      <c r="AQ365" s="5"/>
      <c r="AR365" s="5"/>
      <c r="AS365" s="5"/>
      <c r="AT365" s="5"/>
      <c r="AU365" s="5"/>
      <c r="AV365" s="5"/>
      <c r="AW365" s="5"/>
      <c r="AX365" s="5"/>
      <c r="AY365" s="5"/>
      <c r="AZ365" s="5"/>
      <c r="BA365" s="5"/>
    </row>
    <row r="366" spans="1:53" x14ac:dyDescent="0.45">
      <c r="A366" s="1"/>
      <c r="B366" s="2"/>
      <c r="C366" s="1" t="s">
        <v>360</v>
      </c>
      <c r="D366" s="2">
        <v>4810920</v>
      </c>
      <c r="E366" s="3" t="s">
        <v>1294</v>
      </c>
      <c r="F366" s="3" t="s">
        <v>1295</v>
      </c>
      <c r="G366" s="3" t="s">
        <v>469</v>
      </c>
      <c r="H366" s="5">
        <v>619564074357281</v>
      </c>
      <c r="I366" s="5">
        <v>642480549023056</v>
      </c>
      <c r="J366" s="5">
        <v>681635078677917</v>
      </c>
      <c r="K366" s="5">
        <v>635933147231564</v>
      </c>
      <c r="L366" s="5">
        <v>6240485687887</v>
      </c>
      <c r="M366" s="5">
        <v>590483862256697</v>
      </c>
      <c r="N366" s="5">
        <v>607361182198225</v>
      </c>
      <c r="O366" s="5">
        <v>58689817039924</v>
      </c>
      <c r="P366" s="5">
        <v>575281934957808</v>
      </c>
      <c r="Q366" s="5">
        <v>551716024868422</v>
      </c>
      <c r="R366" s="5">
        <v>561088106543112</v>
      </c>
      <c r="S366" s="5">
        <v>559231040498659</v>
      </c>
      <c r="T366" s="5">
        <v>543898496222838</v>
      </c>
      <c r="U366" s="5">
        <v>528805591376832</v>
      </c>
      <c r="V366" s="5">
        <v>524313996770886</v>
      </c>
      <c r="W366" s="5">
        <v>559288981828692</v>
      </c>
      <c r="X366" s="5">
        <v>545271620806651</v>
      </c>
      <c r="Y366" s="5">
        <v>546073851185247</v>
      </c>
      <c r="Z366" s="5">
        <v>532393216826625</v>
      </c>
      <c r="AA366" s="5">
        <v>536524578944162</v>
      </c>
      <c r="AB366" s="5">
        <v>530040980639608</v>
      </c>
      <c r="AC366" s="5">
        <v>508602999637958</v>
      </c>
      <c r="AD366" s="5">
        <v>549251644650833</v>
      </c>
      <c r="AE366" s="5">
        <v>595441612881474</v>
      </c>
      <c r="AF366" s="5">
        <v>620576110102885</v>
      </c>
      <c r="AG366" s="5">
        <v>407511268460707</v>
      </c>
      <c r="AH366" s="5">
        <v>348357783783251</v>
      </c>
      <c r="AI366" s="5">
        <v>342160128981825</v>
      </c>
      <c r="AJ366" s="5">
        <v>37444320598995</v>
      </c>
      <c r="AK366" s="5">
        <v>345509372124</v>
      </c>
      <c r="AL366" s="5">
        <v>3636723035358</v>
      </c>
      <c r="AM366" s="5">
        <v>3538822021875</v>
      </c>
      <c r="AN366" s="5">
        <v>38968501674625</v>
      </c>
      <c r="AO366" s="5">
        <v>342807430115</v>
      </c>
      <c r="AP366" s="5">
        <v>343272664053</v>
      </c>
      <c r="AQ366" s="5"/>
      <c r="AR366" s="5"/>
      <c r="AS366" s="5"/>
      <c r="AT366" s="5"/>
      <c r="AU366" s="5"/>
      <c r="AV366" s="5"/>
      <c r="AW366" s="5"/>
      <c r="AX366" s="5"/>
      <c r="AY366" s="5"/>
      <c r="AZ366" s="5"/>
      <c r="BA366" s="5"/>
    </row>
    <row r="367" spans="1:53" x14ac:dyDescent="0.45">
      <c r="A367" s="1"/>
      <c r="B367" s="2"/>
      <c r="C367" s="1" t="s">
        <v>361</v>
      </c>
      <c r="D367" s="2">
        <v>4321488</v>
      </c>
      <c r="E367" s="3" t="s">
        <v>1296</v>
      </c>
      <c r="F367" s="3" t="s">
        <v>1297</v>
      </c>
      <c r="G367" s="3" t="s">
        <v>469</v>
      </c>
      <c r="H367" s="5">
        <v>482582239441485</v>
      </c>
      <c r="I367" s="5">
        <v>490225848451092</v>
      </c>
      <c r="J367" s="5">
        <v>497860782632412</v>
      </c>
      <c r="K367" s="5">
        <v>449486132326439</v>
      </c>
      <c r="L367" s="5">
        <v>44531366201668</v>
      </c>
      <c r="M367" s="5">
        <v>466884668994689</v>
      </c>
      <c r="N367" s="5">
        <v>454650284284888</v>
      </c>
      <c r="O367" s="5">
        <v>475557690785632</v>
      </c>
      <c r="P367" s="5">
        <v>467805751777808</v>
      </c>
      <c r="Q367" s="5">
        <v>459084330017258</v>
      </c>
      <c r="R367" s="5">
        <v>45156874419409</v>
      </c>
      <c r="S367" s="5">
        <v>42813743874</v>
      </c>
      <c r="T367" s="5">
        <v>424987770540003</v>
      </c>
      <c r="U367" s="5">
        <v>402619324254145</v>
      </c>
      <c r="V367" s="5">
        <v>394092983744941</v>
      </c>
      <c r="W367" s="5">
        <v>387642776379332</v>
      </c>
      <c r="X367" s="5">
        <v>388348884124382</v>
      </c>
      <c r="Y367" s="5">
        <v>389516642935831</v>
      </c>
      <c r="Z367" s="5">
        <v>403529057378431</v>
      </c>
      <c r="AA367" s="5">
        <v>373542858470913</v>
      </c>
      <c r="AB367" s="5">
        <v>355962992541134</v>
      </c>
      <c r="AC367" s="5">
        <v>342936757645737</v>
      </c>
      <c r="AD367" s="5">
        <v>3445268166</v>
      </c>
      <c r="AE367" s="5">
        <v>3217601388</v>
      </c>
      <c r="AF367" s="5">
        <v>34330384088</v>
      </c>
      <c r="AG367" s="5">
        <v>32604086872</v>
      </c>
      <c r="AH367" s="5">
        <v>317507503383073</v>
      </c>
      <c r="AI367" s="5">
        <v>331634018883595</v>
      </c>
      <c r="AJ367" s="5">
        <v>34857857515299</v>
      </c>
      <c r="AK367" s="5">
        <v>324667230837075</v>
      </c>
      <c r="AL367" s="5">
        <v>331444089504455</v>
      </c>
      <c r="AM367" s="5">
        <v>3122519597226</v>
      </c>
      <c r="AN367" s="5">
        <v>325431008065125</v>
      </c>
      <c r="AO367" s="5">
        <v>32005430765625</v>
      </c>
      <c r="AP367" s="5">
        <v>305106570345375</v>
      </c>
      <c r="AQ367" s="5"/>
      <c r="AR367" s="5"/>
      <c r="AS367" s="5"/>
      <c r="AT367" s="5"/>
      <c r="AU367" s="5"/>
      <c r="AV367" s="5"/>
      <c r="AW367" s="5"/>
      <c r="AX367" s="5"/>
      <c r="AY367" s="5"/>
      <c r="AZ367" s="5"/>
      <c r="BA367" s="5"/>
    </row>
    <row r="368" spans="1:53" x14ac:dyDescent="0.45">
      <c r="A368" s="1"/>
      <c r="B368" s="2"/>
      <c r="C368" s="1" t="s">
        <v>362</v>
      </c>
      <c r="D368" s="2">
        <v>4276821</v>
      </c>
      <c r="E368" s="3" t="s">
        <v>1298</v>
      </c>
      <c r="F368" s="3" t="s">
        <v>1299</v>
      </c>
      <c r="G368" s="3" t="s">
        <v>557</v>
      </c>
      <c r="H368" s="5">
        <v>84854063420928</v>
      </c>
      <c r="I368" s="5">
        <v>90156949368192</v>
      </c>
      <c r="J368" s="5">
        <v>8323628745472</v>
      </c>
      <c r="K368" s="5">
        <v>91050100573952</v>
      </c>
      <c r="L368" s="5">
        <v>10917413129952</v>
      </c>
      <c r="M368" s="5">
        <v>11093346996672</v>
      </c>
      <c r="N368" s="5">
        <v>10520473945792</v>
      </c>
      <c r="O368" s="5">
        <v>1066084366848</v>
      </c>
      <c r="P368" s="5">
        <v>108155374971072</v>
      </c>
      <c r="Q368" s="5">
        <v>114496626115872</v>
      </c>
      <c r="R368" s="5">
        <v>1182863084832</v>
      </c>
      <c r="S368" s="5">
        <v>118374655359599</v>
      </c>
      <c r="T368" s="5">
        <v>127491721732122</v>
      </c>
      <c r="U368" s="5">
        <v>12413951672188</v>
      </c>
      <c r="V368" s="5">
        <v>105214078192452</v>
      </c>
      <c r="W368" s="5">
        <v>101162167843869</v>
      </c>
      <c r="X368" s="5">
        <v>944090009593154</v>
      </c>
      <c r="Y368" s="5">
        <v>9373079835</v>
      </c>
      <c r="Z368" s="5">
        <v>108290510810307</v>
      </c>
      <c r="AA368" s="5">
        <v>114106526702707</v>
      </c>
      <c r="AB368" s="5">
        <v>112531312155799</v>
      </c>
      <c r="AC368" s="5">
        <v>143153014504586</v>
      </c>
      <c r="AD368" s="5">
        <v>130971928104582</v>
      </c>
      <c r="AE368" s="5">
        <v>107397976427551</v>
      </c>
      <c r="AF368" s="5">
        <v>110632565126059</v>
      </c>
      <c r="AG368" s="5">
        <v>1215695218604</v>
      </c>
      <c r="AH368" s="5">
        <v>1160764882994</v>
      </c>
      <c r="AI368" s="5">
        <v>115406541441366</v>
      </c>
      <c r="AJ368" s="5">
        <v>114100305697884</v>
      </c>
      <c r="AK368" s="5">
        <v>125515343799311</v>
      </c>
      <c r="AL368" s="5">
        <v>144098364840873</v>
      </c>
      <c r="AM368" s="5">
        <v>11960479671525</v>
      </c>
      <c r="AN368" s="5">
        <v>143873836874698</v>
      </c>
      <c r="AO368" s="5">
        <v>166776554003629</v>
      </c>
      <c r="AP368" s="5">
        <v>150477607120338</v>
      </c>
      <c r="AQ368" s="5"/>
      <c r="AR368" s="5"/>
      <c r="AS368" s="5"/>
      <c r="AT368" s="5"/>
      <c r="AU368" s="5"/>
      <c r="AV368" s="5"/>
      <c r="AW368" s="5"/>
      <c r="AX368" s="5"/>
      <c r="AY368" s="5"/>
      <c r="AZ368" s="5"/>
      <c r="BA368" s="5"/>
    </row>
    <row r="369" spans="1:53" x14ac:dyDescent="0.45">
      <c r="A369" s="1"/>
      <c r="B369" s="2"/>
      <c r="C369" s="1" t="s">
        <v>363</v>
      </c>
      <c r="D369" s="2">
        <v>4389036</v>
      </c>
      <c r="E369" s="3" t="s">
        <v>1300</v>
      </c>
      <c r="F369" s="3" t="s">
        <v>1301</v>
      </c>
      <c r="G369" s="3" t="s">
        <v>660</v>
      </c>
      <c r="H369" s="5">
        <v>251637686069862</v>
      </c>
      <c r="I369" s="5">
        <v>23584831422161</v>
      </c>
      <c r="J369" s="5">
        <v>2192866966649</v>
      </c>
      <c r="K369" s="5">
        <v>20894573990641</v>
      </c>
      <c r="L369" s="5">
        <v>206216578871211</v>
      </c>
      <c r="M369" s="5">
        <v>204612077527526</v>
      </c>
      <c r="N369" s="5">
        <v>211976400312581</v>
      </c>
      <c r="O369" s="5">
        <v>193803782959005</v>
      </c>
      <c r="P369" s="5">
        <v>20687432272</v>
      </c>
      <c r="Q369" s="5">
        <v>260078949665478</v>
      </c>
      <c r="R369" s="5">
        <v>276786992133893</v>
      </c>
      <c r="S369" s="5">
        <v>271330976556</v>
      </c>
      <c r="T369" s="5">
        <v>283618249881447</v>
      </c>
      <c r="U369" s="5">
        <v>269875804591642</v>
      </c>
      <c r="V369" s="5">
        <v>215327010985832</v>
      </c>
      <c r="W369" s="5">
        <v>207241745083128</v>
      </c>
      <c r="X369" s="5">
        <v>208188645706116</v>
      </c>
      <c r="Y369" s="5">
        <v>20807443545789</v>
      </c>
      <c r="Z369" s="5">
        <v>189828436875605</v>
      </c>
      <c r="AA369" s="5">
        <v>233787583572083</v>
      </c>
      <c r="AB369" s="5">
        <v>222591664283148</v>
      </c>
      <c r="AC369" s="5">
        <v>206863121583085</v>
      </c>
      <c r="AD369" s="5">
        <v>218992091934</v>
      </c>
      <c r="AE369" s="5">
        <v>233471307536941</v>
      </c>
      <c r="AF369" s="5">
        <v>251220783834632</v>
      </c>
      <c r="AG369" s="5">
        <v>232593276383178</v>
      </c>
      <c r="AH369" s="5">
        <v>233840764765095</v>
      </c>
      <c r="AI369" s="5">
        <v>245261239501663</v>
      </c>
      <c r="AJ369" s="5">
        <v>259308857610747</v>
      </c>
      <c r="AK369" s="5">
        <v>246485054213825</v>
      </c>
      <c r="AL369" s="5">
        <v>245302159040827</v>
      </c>
      <c r="AM369" s="5">
        <v>232002661275</v>
      </c>
      <c r="AN369" s="5">
        <v>235549314488042</v>
      </c>
      <c r="AO369" s="5">
        <v>237577947109538</v>
      </c>
      <c r="AP369" s="5">
        <v>22791293481</v>
      </c>
      <c r="AQ369" s="5"/>
      <c r="AR369" s="5"/>
      <c r="AS369" s="5"/>
      <c r="AT369" s="5"/>
      <c r="AU369" s="5"/>
      <c r="AV369" s="5"/>
      <c r="AW369" s="5"/>
      <c r="AX369" s="5"/>
      <c r="AY369" s="5"/>
      <c r="AZ369" s="5"/>
      <c r="BA369" s="5"/>
    </row>
    <row r="370" spans="1:53" x14ac:dyDescent="0.45">
      <c r="A370" s="1"/>
      <c r="B370" s="2"/>
      <c r="C370" s="1" t="s">
        <v>364</v>
      </c>
      <c r="D370" s="2">
        <v>4089979</v>
      </c>
      <c r="E370" s="3" t="s">
        <v>1302</v>
      </c>
      <c r="F370" s="3" t="s">
        <v>1303</v>
      </c>
      <c r="G370" s="3" t="s">
        <v>478</v>
      </c>
      <c r="H370" s="5">
        <v>105568664027073</v>
      </c>
      <c r="I370" s="5">
        <v>1141758487827</v>
      </c>
      <c r="J370" s="5">
        <v>111665084825708</v>
      </c>
      <c r="K370" s="5">
        <v>102373398234061</v>
      </c>
      <c r="L370" s="5">
        <v>101750244549292</v>
      </c>
      <c r="M370" s="5">
        <v>976558733995</v>
      </c>
      <c r="N370" s="5">
        <v>960828792495</v>
      </c>
      <c r="O370" s="5">
        <v>10015801633</v>
      </c>
      <c r="P370" s="5">
        <v>101625130464</v>
      </c>
      <c r="Q370" s="5">
        <v>1013458583424</v>
      </c>
      <c r="R370" s="5">
        <v>1012812024</v>
      </c>
      <c r="S370" s="5">
        <v>87478524663</v>
      </c>
      <c r="T370" s="5">
        <v>83692875078</v>
      </c>
      <c r="U370" s="5">
        <v>866530127232</v>
      </c>
      <c r="V370" s="5">
        <v>818967995496</v>
      </c>
      <c r="W370" s="5">
        <v>799086209985</v>
      </c>
      <c r="X370" s="5">
        <v>804918354163</v>
      </c>
      <c r="Y370" s="5">
        <v>735927480036</v>
      </c>
      <c r="Z370" s="5">
        <v>739356469488</v>
      </c>
      <c r="AA370" s="5">
        <v>7049175158655</v>
      </c>
      <c r="AB370" s="5">
        <v>628729609464</v>
      </c>
      <c r="AC370" s="5">
        <v>6242219632125</v>
      </c>
      <c r="AD370" s="5">
        <v>600450554699424</v>
      </c>
      <c r="AE370" s="5">
        <v>636032474072208</v>
      </c>
      <c r="AF370" s="5">
        <v>739240986624017</v>
      </c>
      <c r="AG370" s="5">
        <v>706821688377674</v>
      </c>
      <c r="AH370" s="5">
        <v>645303960727572</v>
      </c>
      <c r="AI370" s="5">
        <v>65336906938328</v>
      </c>
      <c r="AJ370" s="5">
        <v>713675829765332</v>
      </c>
      <c r="AK370" s="5">
        <v>705195860797575</v>
      </c>
      <c r="AL370" s="5">
        <v>704982399298527</v>
      </c>
      <c r="AM370" s="5">
        <v>643572918972</v>
      </c>
      <c r="AN370" s="5">
        <v>662649794013808</v>
      </c>
      <c r="AO370" s="5">
        <v>636120217210528</v>
      </c>
      <c r="AP370" s="5">
        <v>582992857856185</v>
      </c>
      <c r="AQ370" s="5"/>
      <c r="AR370" s="5"/>
      <c r="AS370" s="5"/>
      <c r="AT370" s="5"/>
      <c r="AU370" s="5"/>
      <c r="AV370" s="5"/>
      <c r="AW370" s="5"/>
      <c r="AX370" s="5"/>
      <c r="AY370" s="5"/>
      <c r="AZ370" s="5"/>
      <c r="BA370" s="5"/>
    </row>
    <row r="371" spans="1:53" x14ac:dyDescent="0.45">
      <c r="A371" s="1"/>
      <c r="B371" s="2"/>
      <c r="C371" s="1" t="s">
        <v>365</v>
      </c>
      <c r="D371" s="2">
        <v>4064204</v>
      </c>
      <c r="E371" s="3" t="s">
        <v>1304</v>
      </c>
      <c r="F371" s="3" t="s">
        <v>1305</v>
      </c>
      <c r="G371" s="3" t="s">
        <v>1306</v>
      </c>
      <c r="H371" s="5">
        <v>263529152611661</v>
      </c>
      <c r="I371" s="5">
        <v>252586641626179</v>
      </c>
      <c r="J371" s="5">
        <v>249763828734083</v>
      </c>
      <c r="K371" s="5">
        <v>240962691213698</v>
      </c>
      <c r="L371" s="5">
        <v>234133548152768</v>
      </c>
      <c r="M371" s="5">
        <v>23895647064</v>
      </c>
      <c r="N371" s="5">
        <v>23609943924</v>
      </c>
      <c r="O371" s="5">
        <v>2598845568</v>
      </c>
      <c r="P371" s="5">
        <v>2621319649806</v>
      </c>
      <c r="Q371" s="5">
        <v>2623021203264</v>
      </c>
      <c r="R371" s="5">
        <v>268280386704</v>
      </c>
      <c r="S371" s="5">
        <v>2658882802626</v>
      </c>
      <c r="T371" s="5">
        <v>2868757290693</v>
      </c>
      <c r="U371" s="5">
        <v>27551325285</v>
      </c>
      <c r="V371" s="5">
        <v>2420114211936</v>
      </c>
      <c r="W371" s="5">
        <v>242047754032674</v>
      </c>
      <c r="X371" s="5">
        <v>258253570461331</v>
      </c>
      <c r="Y371" s="5">
        <v>2611884798096</v>
      </c>
      <c r="Z371" s="5">
        <v>2574657117216</v>
      </c>
      <c r="AA371" s="5">
        <v>2436054160656</v>
      </c>
      <c r="AB371" s="5">
        <v>227117428742911</v>
      </c>
      <c r="AC371" s="5">
        <v>229363708514553</v>
      </c>
      <c r="AD371" s="5">
        <v>207687440410472</v>
      </c>
      <c r="AE371" s="5">
        <v>213108696570997</v>
      </c>
      <c r="AF371" s="5">
        <v>219614479447013</v>
      </c>
      <c r="AG371" s="5">
        <v>210898748076122</v>
      </c>
      <c r="AH371" s="5">
        <v>193607569193624</v>
      </c>
      <c r="AI371" s="5">
        <v>208853130581306</v>
      </c>
      <c r="AJ371" s="5">
        <v>195145962139653</v>
      </c>
      <c r="AK371" s="5">
        <v>192431152335287</v>
      </c>
      <c r="AL371" s="5">
        <v>20103792112508</v>
      </c>
      <c r="AM371" s="5">
        <v>195929575472925</v>
      </c>
      <c r="AN371" s="5">
        <v>208036610288815</v>
      </c>
      <c r="AO371" s="5">
        <v>205976802664045</v>
      </c>
      <c r="AP371" s="5">
        <v>203965277943307</v>
      </c>
      <c r="AQ371" s="5"/>
      <c r="AR371" s="5"/>
      <c r="AS371" s="5"/>
      <c r="AT371" s="5"/>
      <c r="AU371" s="5"/>
      <c r="AV371" s="5"/>
      <c r="AW371" s="5"/>
      <c r="AX371" s="5"/>
      <c r="AY371" s="5"/>
      <c r="AZ371" s="5"/>
      <c r="BA371" s="5"/>
    </row>
    <row r="372" spans="1:53" x14ac:dyDescent="0.45">
      <c r="A372" s="1"/>
      <c r="B372" s="2"/>
      <c r="C372" s="1" t="s">
        <v>366</v>
      </c>
      <c r="D372" s="2">
        <v>4091145</v>
      </c>
      <c r="E372" s="3" t="s">
        <v>1307</v>
      </c>
      <c r="F372" s="3" t="s">
        <v>1308</v>
      </c>
      <c r="G372" s="3" t="s">
        <v>1309</v>
      </c>
      <c r="H372" s="5">
        <v>457086228840374</v>
      </c>
      <c r="I372" s="5">
        <v>426635174562429</v>
      </c>
      <c r="J372" s="5">
        <v>427150584640781</v>
      </c>
      <c r="K372" s="5">
        <v>433562411849594</v>
      </c>
      <c r="L372" s="5">
        <v>452857406750507</v>
      </c>
      <c r="M372" s="5">
        <v>434792230769862</v>
      </c>
      <c r="N372" s="5">
        <v>441451604434024</v>
      </c>
      <c r="O372" s="5">
        <v>498533103963706</v>
      </c>
      <c r="P372" s="5">
        <v>512961449827501</v>
      </c>
      <c r="Q372" s="5">
        <v>499259351583503</v>
      </c>
      <c r="R372" s="5">
        <v>486850653310765</v>
      </c>
      <c r="S372" s="5">
        <v>475503121558413</v>
      </c>
      <c r="T372" s="5">
        <v>448917203119317</v>
      </c>
      <c r="U372" s="5">
        <v>422577030801611</v>
      </c>
      <c r="V372" s="5">
        <v>373885893180767</v>
      </c>
      <c r="W372" s="5">
        <v>341967389352538</v>
      </c>
      <c r="X372" s="5">
        <v>342007284020956</v>
      </c>
      <c r="Y372" s="5">
        <v>34120664270058</v>
      </c>
      <c r="Z372" s="5">
        <v>320343824622358</v>
      </c>
      <c r="AA372" s="5">
        <v>315900129409208</v>
      </c>
      <c r="AB372" s="5">
        <v>281987720086566</v>
      </c>
      <c r="AC372" s="5">
        <v>279510361630508</v>
      </c>
      <c r="AD372" s="5">
        <v>302787590792075</v>
      </c>
      <c r="AE372" s="5">
        <v>293934544019602</v>
      </c>
      <c r="AF372" s="5">
        <v>274209165967946</v>
      </c>
      <c r="AG372" s="5">
        <v>280394904786704</v>
      </c>
      <c r="AH372" s="5">
        <v>290680052749183</v>
      </c>
      <c r="AI372" s="5">
        <v>288154568781465</v>
      </c>
      <c r="AJ372" s="5">
        <v>299901569525421</v>
      </c>
      <c r="AK372" s="5">
        <v>282071280068908</v>
      </c>
      <c r="AL372" s="5">
        <v>287050265051324</v>
      </c>
      <c r="AM372" s="5">
        <v>246379399702438</v>
      </c>
      <c r="AN372" s="5">
        <v>238283790933335</v>
      </c>
      <c r="AO372" s="5">
        <v>237953966689845</v>
      </c>
      <c r="AP372" s="5">
        <v>2158202772225</v>
      </c>
      <c r="AQ372" s="5"/>
      <c r="AR372" s="5"/>
      <c r="AS372" s="5"/>
      <c r="AT372" s="5"/>
      <c r="AU372" s="5"/>
      <c r="AV372" s="5"/>
      <c r="AW372" s="5"/>
      <c r="AX372" s="5"/>
      <c r="AY372" s="5"/>
      <c r="AZ372" s="5"/>
      <c r="BA372" s="5"/>
    </row>
    <row r="373" spans="1:53" x14ac:dyDescent="0.45">
      <c r="A373" s="1"/>
      <c r="B373" s="2"/>
      <c r="C373" s="1" t="s">
        <v>367</v>
      </c>
      <c r="D373" s="2">
        <v>4055767</v>
      </c>
      <c r="E373" s="3" t="s">
        <v>1310</v>
      </c>
      <c r="F373" s="3" t="s">
        <v>1311</v>
      </c>
      <c r="G373" s="3" t="s">
        <v>536</v>
      </c>
      <c r="H373" s="5">
        <v>211744330821253</v>
      </c>
      <c r="I373" s="5">
        <v>209408995156293</v>
      </c>
      <c r="J373" s="5">
        <v>193366074138396</v>
      </c>
      <c r="K373" s="5">
        <v>184352068382104</v>
      </c>
      <c r="L373" s="5">
        <v>170749228305053</v>
      </c>
      <c r="M373" s="5">
        <v>168702253380311</v>
      </c>
      <c r="N373" s="5">
        <v>1569342283255</v>
      </c>
      <c r="O373" s="5">
        <v>15125602332</v>
      </c>
      <c r="P373" s="5">
        <v>1569771188934</v>
      </c>
      <c r="Q373" s="5">
        <v>154089401676</v>
      </c>
      <c r="R373" s="5">
        <v>163285697844</v>
      </c>
      <c r="S373" s="5">
        <v>152991794304</v>
      </c>
      <c r="T373" s="5">
        <v>17454789270542</v>
      </c>
      <c r="U373" s="5">
        <v>1715290581004</v>
      </c>
      <c r="V373" s="5">
        <v>14298680514196</v>
      </c>
      <c r="W373" s="5">
        <v>147047737689736</v>
      </c>
      <c r="X373" s="5">
        <v>1550489593905</v>
      </c>
      <c r="Y373" s="5">
        <v>157244068803663</v>
      </c>
      <c r="Z373" s="5">
        <v>163081886193</v>
      </c>
      <c r="AA373" s="5">
        <v>171859296766</v>
      </c>
      <c r="AB373" s="5">
        <v>163167412626154</v>
      </c>
      <c r="AC373" s="5">
        <v>157889661661442</v>
      </c>
      <c r="AD373" s="5">
        <v>1642489484625</v>
      </c>
      <c r="AE373" s="5">
        <v>165282062697237</v>
      </c>
      <c r="AF373" s="5">
        <v>180988994401177</v>
      </c>
      <c r="AG373" s="5">
        <v>172191151341059</v>
      </c>
      <c r="AH373" s="5">
        <v>159557746306612</v>
      </c>
      <c r="AI373" s="5">
        <v>164413991153573</v>
      </c>
      <c r="AJ373" s="5">
        <v>178872975654945</v>
      </c>
      <c r="AK373" s="5">
        <v>181841607831746</v>
      </c>
      <c r="AL373" s="5">
        <v>191583796963211</v>
      </c>
      <c r="AM373" s="5">
        <v>188960597310241</v>
      </c>
      <c r="AN373" s="5">
        <v>196422624075149</v>
      </c>
      <c r="AO373" s="5">
        <v>192069155418489</v>
      </c>
      <c r="AP373" s="5">
        <v>18205521264</v>
      </c>
      <c r="AQ373" s="5"/>
      <c r="AR373" s="5"/>
      <c r="AS373" s="5"/>
      <c r="AT373" s="5"/>
      <c r="AU373" s="5"/>
      <c r="AV373" s="5"/>
      <c r="AW373" s="5"/>
      <c r="AX373" s="5"/>
      <c r="AY373" s="5"/>
      <c r="AZ373" s="5"/>
      <c r="BA373" s="5"/>
    </row>
    <row r="374" spans="1:53" x14ac:dyDescent="0.45">
      <c r="A374" s="1"/>
      <c r="B374" s="2"/>
      <c r="C374" s="1" t="s">
        <v>368</v>
      </c>
      <c r="D374" s="2">
        <v>4965854</v>
      </c>
      <c r="E374" s="3" t="s">
        <v>1312</v>
      </c>
      <c r="F374" s="3" t="s">
        <v>1313</v>
      </c>
      <c r="G374" s="3" t="s">
        <v>825</v>
      </c>
      <c r="H374" s="5">
        <v>104269966152</v>
      </c>
      <c r="I374" s="5">
        <v>1068289641675</v>
      </c>
      <c r="J374" s="5">
        <v>972068980285</v>
      </c>
      <c r="K374" s="5">
        <v>8846114539613</v>
      </c>
      <c r="L374" s="5">
        <v>8421910385889</v>
      </c>
      <c r="M374" s="5">
        <v>714022906293844</v>
      </c>
      <c r="N374" s="5">
        <v>66787364688</v>
      </c>
      <c r="O374" s="5">
        <v>7092126624</v>
      </c>
      <c r="P374" s="5">
        <v>556637599891854</v>
      </c>
      <c r="Q374" s="5">
        <v>534882795239419</v>
      </c>
      <c r="R374" s="5">
        <v>517955621736168</v>
      </c>
      <c r="S374" s="5">
        <v>43035429048</v>
      </c>
      <c r="T374" s="5">
        <v>404169561552</v>
      </c>
      <c r="U374" s="5">
        <v>40312359648</v>
      </c>
      <c r="V374" s="5">
        <v>3264091730112</v>
      </c>
      <c r="W374" s="5">
        <v>3232176169824</v>
      </c>
      <c r="X374" s="5">
        <v>3142665979992</v>
      </c>
      <c r="Y374" s="5">
        <v>289784648565339</v>
      </c>
      <c r="Z374" s="5">
        <v>268406743998247</v>
      </c>
      <c r="AA374" s="5">
        <v>274833059143823</v>
      </c>
      <c r="AB374" s="5">
        <v>226271935470718</v>
      </c>
      <c r="AC374" s="5">
        <v>251188067068645</v>
      </c>
      <c r="AD374" s="5">
        <v>271367164251602</v>
      </c>
      <c r="AE374" s="5">
        <v>271459614226879</v>
      </c>
      <c r="AF374" s="5">
        <v>283311349874482</v>
      </c>
      <c r="AG374" s="5">
        <v>230046246988838</v>
      </c>
      <c r="AH374" s="5">
        <v>196702319731157</v>
      </c>
      <c r="AI374" s="5">
        <v>198706445629987</v>
      </c>
      <c r="AJ374" s="5">
        <v>218422448947088</v>
      </c>
      <c r="AK374" s="5">
        <v>187153084398231</v>
      </c>
      <c r="AL374" s="5">
        <v>188568647431233</v>
      </c>
      <c r="AM374" s="5">
        <v>154994221035</v>
      </c>
      <c r="AN374" s="5">
        <v>173478177654956</v>
      </c>
      <c r="AO374" s="5">
        <v>172968023125351</v>
      </c>
      <c r="AP374" s="5">
        <v>192086668283241</v>
      </c>
      <c r="AQ374" s="5"/>
      <c r="AR374" s="5"/>
      <c r="AS374" s="5"/>
      <c r="AT374" s="5"/>
      <c r="AU374" s="5"/>
      <c r="AV374" s="5"/>
      <c r="AW374" s="5"/>
      <c r="AX374" s="5"/>
      <c r="AY374" s="5"/>
      <c r="AZ374" s="5"/>
      <c r="BA374" s="5"/>
    </row>
    <row r="375" spans="1:53" x14ac:dyDescent="0.45">
      <c r="A375" s="1"/>
      <c r="B375" s="2"/>
      <c r="C375" s="1" t="s">
        <v>369</v>
      </c>
      <c r="D375" s="2">
        <v>4112718</v>
      </c>
      <c r="E375" s="3" t="s">
        <v>1314</v>
      </c>
      <c r="F375" s="3" t="s">
        <v>1315</v>
      </c>
      <c r="G375" s="3" t="s">
        <v>1060</v>
      </c>
      <c r="H375" s="5">
        <v>104748890548343</v>
      </c>
      <c r="I375" s="5">
        <v>995515036855604</v>
      </c>
      <c r="J375" s="5">
        <v>999468459961335</v>
      </c>
      <c r="K375" s="5">
        <v>968351836913012</v>
      </c>
      <c r="L375" s="5">
        <v>992312295424128</v>
      </c>
      <c r="M375" s="5">
        <v>112447192677</v>
      </c>
      <c r="N375" s="5">
        <v>116650704663</v>
      </c>
      <c r="O375" s="5">
        <v>11562005397</v>
      </c>
      <c r="P375" s="5">
        <v>1014501408804</v>
      </c>
      <c r="Q375" s="5">
        <v>1084647260592</v>
      </c>
      <c r="R375" s="5">
        <v>100688644836</v>
      </c>
      <c r="S375" s="5">
        <v>970423513065</v>
      </c>
      <c r="T375" s="5">
        <v>930111942502</v>
      </c>
      <c r="U375" s="5">
        <v>96517204278</v>
      </c>
      <c r="V375" s="5">
        <v>917904135116</v>
      </c>
      <c r="W375" s="5">
        <v>911732436165769</v>
      </c>
      <c r="X375" s="5">
        <v>955351898886</v>
      </c>
      <c r="Y375" s="5">
        <v>10726757309835</v>
      </c>
      <c r="Z375" s="5">
        <v>1019934510399</v>
      </c>
      <c r="AA375" s="5">
        <v>984805642323</v>
      </c>
      <c r="AB375" s="5">
        <v>976428372563959</v>
      </c>
      <c r="AC375" s="5">
        <v>995435745665862</v>
      </c>
      <c r="AD375" s="5">
        <v>950214956972112</v>
      </c>
      <c r="AE375" s="5">
        <v>836332386408336</v>
      </c>
      <c r="AF375" s="5">
        <v>83454922214833</v>
      </c>
      <c r="AG375" s="5">
        <v>785139757695384</v>
      </c>
      <c r="AH375" s="5">
        <v>719345607541663</v>
      </c>
      <c r="AI375" s="5">
        <v>747050372035825</v>
      </c>
      <c r="AJ375" s="5">
        <v>78025422157878</v>
      </c>
      <c r="AK375" s="5">
        <v>858455901242021</v>
      </c>
      <c r="AL375" s="5">
        <v>890401569093929</v>
      </c>
      <c r="AM375" s="5">
        <v>94144106170575</v>
      </c>
      <c r="AN375" s="5">
        <v>106374543734805</v>
      </c>
      <c r="AO375" s="5">
        <v>107132946585925</v>
      </c>
      <c r="AP375" s="5">
        <v>907823214723922</v>
      </c>
      <c r="AQ375" s="5"/>
      <c r="AR375" s="5"/>
      <c r="AS375" s="5"/>
      <c r="AT375" s="5"/>
      <c r="AU375" s="5"/>
      <c r="AV375" s="5"/>
      <c r="AW375" s="5"/>
      <c r="AX375" s="5"/>
      <c r="AY375" s="5"/>
      <c r="AZ375" s="5"/>
      <c r="BA375" s="5"/>
    </row>
    <row r="376" spans="1:53" x14ac:dyDescent="0.45">
      <c r="A376" s="1"/>
      <c r="B376" s="2"/>
      <c r="C376" s="1" t="s">
        <v>370</v>
      </c>
      <c r="D376" s="2">
        <v>4276678</v>
      </c>
      <c r="E376" s="3" t="s">
        <v>1316</v>
      </c>
      <c r="F376" s="3" t="s">
        <v>1317</v>
      </c>
      <c r="G376" s="3" t="s">
        <v>1026</v>
      </c>
      <c r="H376" s="5">
        <v>869521828515523</v>
      </c>
      <c r="I376" s="5">
        <v>785830480606836</v>
      </c>
      <c r="J376" s="5">
        <v>7685997052707</v>
      </c>
      <c r="K376" s="5">
        <v>862862885192286</v>
      </c>
      <c r="L376" s="5">
        <v>809217478219361</v>
      </c>
      <c r="M376" s="5">
        <v>848520560873213</v>
      </c>
      <c r="N376" s="5">
        <v>8536686063245</v>
      </c>
      <c r="O376" s="5">
        <v>88081643071425</v>
      </c>
      <c r="P376" s="5">
        <v>987020425727505</v>
      </c>
      <c r="Q376" s="5">
        <v>10927515090366</v>
      </c>
      <c r="R376" s="5">
        <v>1032257157735</v>
      </c>
      <c r="S376" s="5">
        <v>102913993082489</v>
      </c>
      <c r="T376" s="5">
        <v>960467055663295</v>
      </c>
      <c r="U376" s="5">
        <v>911593534444406</v>
      </c>
      <c r="V376" s="5">
        <v>667427667213176</v>
      </c>
      <c r="W376" s="5">
        <v>728020361711656</v>
      </c>
      <c r="X376" s="5">
        <v>651415795811257</v>
      </c>
      <c r="Y376" s="5">
        <v>53552320145088</v>
      </c>
      <c r="Z376" s="5">
        <v>60938365603764</v>
      </c>
      <c r="AA376" s="5">
        <v>618054810895458</v>
      </c>
      <c r="AB376" s="5">
        <v>567250195603266</v>
      </c>
      <c r="AC376" s="5">
        <v>397304400958618</v>
      </c>
      <c r="AD376" s="5">
        <v>116326374891313</v>
      </c>
      <c r="AE376" s="5">
        <v>139573244381274</v>
      </c>
      <c r="AF376" s="5">
        <v>208386108348858</v>
      </c>
      <c r="AG376" s="5">
        <v>290392455098072</v>
      </c>
      <c r="AH376" s="5">
        <v>258667422106878</v>
      </c>
      <c r="AI376" s="5">
        <v>330447191108414</v>
      </c>
      <c r="AJ376" s="5">
        <v>448515439447139</v>
      </c>
      <c r="AK376" s="5">
        <v>448721250457</v>
      </c>
      <c r="AL376" s="5">
        <v>469354101812737</v>
      </c>
      <c r="AM376" s="5">
        <v>52514656911675</v>
      </c>
      <c r="AN376" s="5">
        <v>499396575411335</v>
      </c>
      <c r="AO376" s="5">
        <v>3744869106641</v>
      </c>
      <c r="AP376" s="5">
        <v>324123993734587</v>
      </c>
      <c r="AQ376" s="5"/>
      <c r="AR376" s="5"/>
      <c r="AS376" s="5"/>
      <c r="AT376" s="5"/>
      <c r="AU376" s="5"/>
      <c r="AV376" s="5"/>
      <c r="AW376" s="5"/>
      <c r="AX376" s="5"/>
      <c r="AY376" s="5"/>
      <c r="AZ376" s="5"/>
      <c r="BA376" s="5"/>
    </row>
    <row r="377" spans="1:53" x14ac:dyDescent="0.45">
      <c r="A377" s="1"/>
      <c r="B377" s="2"/>
      <c r="C377" s="1" t="s">
        <v>371</v>
      </c>
      <c r="D377" s="2">
        <v>4094305</v>
      </c>
      <c r="E377" s="3" t="s">
        <v>1318</v>
      </c>
      <c r="F377" s="3" t="s">
        <v>1319</v>
      </c>
      <c r="G377" s="3" t="s">
        <v>751</v>
      </c>
      <c r="H377" s="5">
        <v>295378464611898</v>
      </c>
      <c r="I377" s="5">
        <v>273406334065815</v>
      </c>
      <c r="J377" s="5">
        <v>277023422790173</v>
      </c>
      <c r="K377" s="5">
        <v>272724584002231</v>
      </c>
      <c r="L377" s="5">
        <v>25082807395634</v>
      </c>
      <c r="M377" s="5">
        <v>2652869673645</v>
      </c>
      <c r="N377" s="5">
        <v>2528607478635</v>
      </c>
      <c r="O377" s="5">
        <v>27079857785</v>
      </c>
      <c r="P377" s="5">
        <v>283298959684</v>
      </c>
      <c r="Q377" s="5">
        <v>2852585308384</v>
      </c>
      <c r="R377" s="5">
        <v>307895540314255</v>
      </c>
      <c r="S377" s="5">
        <v>3368191826688</v>
      </c>
      <c r="T377" s="5">
        <v>3856894664272</v>
      </c>
      <c r="U377" s="5">
        <v>411875564672</v>
      </c>
      <c r="V377" s="5">
        <v>3604904060472</v>
      </c>
      <c r="W377" s="5">
        <v>3512461398732</v>
      </c>
      <c r="X377" s="5">
        <v>361957473248366</v>
      </c>
      <c r="Y377" s="5">
        <v>39726570159045</v>
      </c>
      <c r="Z377" s="5">
        <v>3704706253413</v>
      </c>
      <c r="AA377" s="5">
        <v>3641822305363</v>
      </c>
      <c r="AB377" s="5">
        <v>413694287882176</v>
      </c>
      <c r="AC377" s="5">
        <v>434910812066003</v>
      </c>
      <c r="AD377" s="5">
        <v>412304509875282</v>
      </c>
      <c r="AE377" s="5">
        <v>411865354404836</v>
      </c>
      <c r="AF377" s="5">
        <v>422764647297987</v>
      </c>
      <c r="AG377" s="5">
        <v>439842622053887</v>
      </c>
      <c r="AH377" s="5">
        <v>442938332293634</v>
      </c>
      <c r="AI377" s="5">
        <v>435977270148488</v>
      </c>
      <c r="AJ377" s="5">
        <v>473036337055236</v>
      </c>
      <c r="AK377" s="5">
        <v>467908003557069</v>
      </c>
      <c r="AL377" s="5">
        <v>461453398269272</v>
      </c>
      <c r="AM377" s="5">
        <v>450036896996747</v>
      </c>
      <c r="AN377" s="5">
        <v>48909058579933</v>
      </c>
      <c r="AO377" s="5">
        <v>438679972880261</v>
      </c>
      <c r="AP377" s="5">
        <v>415301145274521</v>
      </c>
      <c r="AQ377" s="5"/>
      <c r="AR377" s="5"/>
      <c r="AS377" s="5"/>
      <c r="AT377" s="5"/>
      <c r="AU377" s="5"/>
      <c r="AV377" s="5"/>
      <c r="AW377" s="5"/>
      <c r="AX377" s="5"/>
      <c r="AY377" s="5"/>
      <c r="AZ377" s="5"/>
      <c r="BA377" s="5"/>
    </row>
    <row r="378" spans="1:53" x14ac:dyDescent="0.45">
      <c r="A378" s="1"/>
      <c r="B378" s="2"/>
      <c r="C378" s="1" t="s">
        <v>372</v>
      </c>
      <c r="D378" s="2">
        <v>4558889</v>
      </c>
      <c r="E378" s="3" t="s">
        <v>1320</v>
      </c>
      <c r="F378" s="3" t="s">
        <v>1321</v>
      </c>
      <c r="G378" s="3" t="s">
        <v>1004</v>
      </c>
      <c r="H378" s="5">
        <v>278318427702036</v>
      </c>
      <c r="I378" s="5">
        <v>278852761531747</v>
      </c>
      <c r="J378" s="5">
        <v>276145748483565</v>
      </c>
      <c r="K378" s="5">
        <v>248347975784965</v>
      </c>
      <c r="L378" s="5">
        <v>236877460144937</v>
      </c>
      <c r="M378" s="5">
        <v>241046526710297</v>
      </c>
      <c r="N378" s="5">
        <v>246246255514</v>
      </c>
      <c r="O378" s="5">
        <v>25057922855</v>
      </c>
      <c r="P378" s="5">
        <v>252105551051491</v>
      </c>
      <c r="Q378" s="5">
        <v>248124343998854</v>
      </c>
      <c r="R378" s="5">
        <v>24924060132349</v>
      </c>
      <c r="S378" s="5">
        <v>244797326030711</v>
      </c>
      <c r="T378" s="5">
        <v>233167415297469</v>
      </c>
      <c r="U378" s="5">
        <v>227374902356562</v>
      </c>
      <c r="V378" s="5">
        <v>203952644348318</v>
      </c>
      <c r="W378" s="5">
        <v>203643596789316</v>
      </c>
      <c r="X378" s="5">
        <v>202754016185196</v>
      </c>
      <c r="Y378" s="5">
        <v>191810606957069</v>
      </c>
      <c r="Z378" s="5">
        <v>183846141927147</v>
      </c>
      <c r="AA378" s="5">
        <v>19274195369325</v>
      </c>
      <c r="AB378" s="5">
        <v>185727836537145</v>
      </c>
      <c r="AC378" s="5">
        <v>19370260085903</v>
      </c>
      <c r="AD378" s="5">
        <v>195280044906053</v>
      </c>
      <c r="AE378" s="5">
        <v>234385259983775</v>
      </c>
      <c r="AF378" s="5">
        <v>245319846881548</v>
      </c>
      <c r="AG378" s="5">
        <v>230239491178269</v>
      </c>
      <c r="AH378" s="5">
        <v>215937363757431</v>
      </c>
      <c r="AI378" s="5">
        <v>21298673056558</v>
      </c>
      <c r="AJ378" s="5">
        <v>221881803985523</v>
      </c>
      <c r="AK378" s="5">
        <v>239020009641488</v>
      </c>
      <c r="AL378" s="5">
        <v>260319584916224</v>
      </c>
      <c r="AM378" s="5">
        <v>241701221854125</v>
      </c>
      <c r="AN378" s="5">
        <v>271794736958205</v>
      </c>
      <c r="AO378" s="5">
        <v>261318477830505</v>
      </c>
      <c r="AP378" s="5">
        <v>239157936999225</v>
      </c>
      <c r="AQ378" s="5"/>
      <c r="AR378" s="5"/>
      <c r="AS378" s="5"/>
      <c r="AT378" s="5"/>
      <c r="AU378" s="5"/>
      <c r="AV378" s="5"/>
      <c r="AW378" s="5"/>
      <c r="AX378" s="5"/>
      <c r="AY378" s="5"/>
      <c r="AZ378" s="5"/>
      <c r="BA378" s="5"/>
    </row>
    <row r="379" spans="1:53" x14ac:dyDescent="0.45">
      <c r="A379" s="1"/>
      <c r="B379" s="2"/>
      <c r="C379" s="1" t="s">
        <v>373</v>
      </c>
      <c r="D379" s="2">
        <v>4987124</v>
      </c>
      <c r="E379" s="3" t="s">
        <v>1322</v>
      </c>
      <c r="F379" s="3" t="s">
        <v>1323</v>
      </c>
      <c r="G379" s="3" t="s">
        <v>1019</v>
      </c>
      <c r="H379" s="5">
        <v>534600937957764</v>
      </c>
      <c r="I379" s="5">
        <v>554176081725754</v>
      </c>
      <c r="J379" s="5">
        <v>515855256747348</v>
      </c>
      <c r="K379" s="5">
        <v>475880785402819</v>
      </c>
      <c r="L379" s="5">
        <v>446494983403228</v>
      </c>
      <c r="M379" s="5">
        <v>408210989545971</v>
      </c>
      <c r="N379" s="5">
        <v>394804683089527</v>
      </c>
      <c r="O379" s="5">
        <v>41300788238181</v>
      </c>
      <c r="P379" s="5">
        <v>435874498632188</v>
      </c>
      <c r="Q379" s="5">
        <v>416566698782786</v>
      </c>
      <c r="R379" s="5">
        <v>432532826362632</v>
      </c>
      <c r="S379" s="5">
        <v>397854959634092</v>
      </c>
      <c r="T379" s="5">
        <v>40712934242724</v>
      </c>
      <c r="U379" s="5">
        <v>412751825903912</v>
      </c>
      <c r="V379" s="5">
        <v>340492956112154</v>
      </c>
      <c r="W379" s="5">
        <v>332773832637553</v>
      </c>
      <c r="X379" s="5">
        <v>333085786690488</v>
      </c>
      <c r="Y379" s="5">
        <v>324163528036425</v>
      </c>
      <c r="Z379" s="5">
        <v>307673549048077</v>
      </c>
      <c r="AA379" s="5">
        <v>30417262537608</v>
      </c>
      <c r="AB379" s="5">
        <v>279746869667801</v>
      </c>
      <c r="AC379" s="5">
        <v>277907488482044</v>
      </c>
      <c r="AD379" s="5">
        <v>266122177810125</v>
      </c>
      <c r="AE379" s="5">
        <v>28945468194419</v>
      </c>
      <c r="AF379" s="5">
        <v>310346943205792</v>
      </c>
      <c r="AG379" s="5">
        <v>286389821509052</v>
      </c>
      <c r="AH379" s="5">
        <v>286372442022418</v>
      </c>
      <c r="AI379" s="5">
        <v>30936283424471</v>
      </c>
      <c r="AJ379" s="5">
        <v>331579153279194</v>
      </c>
      <c r="AK379" s="5">
        <v>334705308752162</v>
      </c>
      <c r="AL379" s="5">
        <v>326243213356803</v>
      </c>
      <c r="AM379" s="5">
        <v>3306697181865</v>
      </c>
      <c r="AN379" s="5">
        <v>3503663716553</v>
      </c>
      <c r="AO379" s="5">
        <v>317131594467597</v>
      </c>
      <c r="AP379" s="5">
        <v>30772667842092</v>
      </c>
      <c r="AQ379" s="5"/>
      <c r="AR379" s="5"/>
      <c r="AS379" s="5"/>
      <c r="AT379" s="5"/>
      <c r="AU379" s="5"/>
      <c r="AV379" s="5"/>
      <c r="AW379" s="5"/>
      <c r="AX379" s="5"/>
      <c r="AY379" s="5"/>
      <c r="AZ379" s="5"/>
      <c r="BA379" s="5"/>
    </row>
    <row r="380" spans="1:53" x14ac:dyDescent="0.45">
      <c r="A380" s="1"/>
      <c r="B380" s="2"/>
      <c r="C380" s="1" t="s">
        <v>374</v>
      </c>
      <c r="D380" s="2">
        <v>4071231</v>
      </c>
      <c r="E380" s="3" t="s">
        <v>1324</v>
      </c>
      <c r="F380" s="3" t="s">
        <v>1325</v>
      </c>
      <c r="G380" s="3" t="s">
        <v>560</v>
      </c>
      <c r="H380" s="5">
        <v>683988979636728</v>
      </c>
      <c r="I380" s="5">
        <v>666596124880407</v>
      </c>
      <c r="J380" s="5">
        <v>728862729094996</v>
      </c>
      <c r="K380" s="5">
        <v>624181095620372</v>
      </c>
      <c r="L380" s="5">
        <v>593242387164328</v>
      </c>
      <c r="M380" s="5">
        <v>58391272414201</v>
      </c>
      <c r="N380" s="5">
        <v>523664077583146</v>
      </c>
      <c r="O380" s="5">
        <v>62947015269165</v>
      </c>
      <c r="P380" s="5">
        <v>647998794508</v>
      </c>
      <c r="Q380" s="5">
        <v>582221069018232</v>
      </c>
      <c r="R380" s="5">
        <v>53907803856</v>
      </c>
      <c r="S380" s="5">
        <v>529203489012</v>
      </c>
      <c r="T380" s="5">
        <v>48416389324</v>
      </c>
      <c r="U380" s="5">
        <v>46408334456</v>
      </c>
      <c r="V380" s="5">
        <v>429947122468</v>
      </c>
      <c r="W380" s="5">
        <v>388446224751</v>
      </c>
      <c r="X380" s="5">
        <v>382239266409</v>
      </c>
      <c r="Y380" s="5">
        <v>359125983475</v>
      </c>
      <c r="Z380" s="5">
        <v>360235305639</v>
      </c>
      <c r="AA380" s="5">
        <v>361665997609</v>
      </c>
      <c r="AB380" s="5">
        <v>3368133253335</v>
      </c>
      <c r="AC380" s="5">
        <v>358898537068234</v>
      </c>
      <c r="AD380" s="5">
        <v>36903175329</v>
      </c>
      <c r="AE380" s="5">
        <v>391138595790745</v>
      </c>
      <c r="AF380" s="5">
        <v>404238404564875</v>
      </c>
      <c r="AG380" s="5">
        <v>373214025480117</v>
      </c>
      <c r="AH380" s="5">
        <v>340242564100103</v>
      </c>
      <c r="AI380" s="5">
        <v>339554177319269</v>
      </c>
      <c r="AJ380" s="5">
        <v>374013123857022</v>
      </c>
      <c r="AK380" s="5">
        <v>371533213956067</v>
      </c>
      <c r="AL380" s="5">
        <v>41343815299725</v>
      </c>
      <c r="AM380" s="5">
        <v>3534135139125</v>
      </c>
      <c r="AN380" s="5">
        <v>382135185614</v>
      </c>
      <c r="AO380" s="5">
        <v>375253306789448</v>
      </c>
      <c r="AP380" s="5">
        <v>34708520851329</v>
      </c>
      <c r="AQ380" s="5"/>
      <c r="AR380" s="5"/>
      <c r="AS380" s="5"/>
      <c r="AT380" s="5"/>
      <c r="AU380" s="5"/>
      <c r="AV380" s="5"/>
      <c r="AW380" s="5"/>
      <c r="AX380" s="5"/>
      <c r="AY380" s="5"/>
      <c r="AZ380" s="5"/>
      <c r="BA380" s="5"/>
    </row>
    <row r="381" spans="1:53" x14ac:dyDescent="0.45">
      <c r="A381" s="1"/>
      <c r="B381" s="2"/>
      <c r="C381" s="1" t="s">
        <v>375</v>
      </c>
      <c r="D381" s="2">
        <v>4574287</v>
      </c>
      <c r="E381" s="3" t="s">
        <v>1326</v>
      </c>
      <c r="F381" s="3" t="s">
        <v>1327</v>
      </c>
      <c r="G381" s="3" t="s">
        <v>899</v>
      </c>
      <c r="H381" s="5">
        <v>435785766435453</v>
      </c>
      <c r="I381" s="5">
        <v>435868242699463</v>
      </c>
      <c r="J381" s="5">
        <v>475267990175282</v>
      </c>
      <c r="K381" s="5">
        <v>481643808756783</v>
      </c>
      <c r="L381" s="5">
        <v>500166051347523</v>
      </c>
      <c r="M381" s="5">
        <v>454018822753113</v>
      </c>
      <c r="N381" s="5">
        <v>524300609893468</v>
      </c>
      <c r="O381" s="5">
        <v>49852729314</v>
      </c>
      <c r="P381" s="5">
        <v>4732833329874</v>
      </c>
      <c r="Q381" s="5">
        <v>4247803921043</v>
      </c>
      <c r="R381" s="5">
        <v>379351775322</v>
      </c>
      <c r="S381" s="5">
        <v>376086394623795</v>
      </c>
      <c r="T381" s="5">
        <v>3260921302533</v>
      </c>
      <c r="U381" s="5">
        <v>288628803920886</v>
      </c>
      <c r="V381" s="5">
        <v>2682499220388</v>
      </c>
      <c r="W381" s="5">
        <v>26989508395755</v>
      </c>
      <c r="X381" s="5">
        <v>28278395097645</v>
      </c>
      <c r="Y381" s="5">
        <v>306533546745826</v>
      </c>
      <c r="Z381" s="5">
        <v>278848518784341</v>
      </c>
      <c r="AA381" s="5">
        <v>292613573763312</v>
      </c>
      <c r="AB381" s="5">
        <v>281484024674521</v>
      </c>
      <c r="AC381" s="5">
        <v>233325135798508</v>
      </c>
      <c r="AD381" s="5">
        <v>231387668597895</v>
      </c>
      <c r="AE381" s="5">
        <v>289388270011554</v>
      </c>
      <c r="AF381" s="5">
        <v>285411796028136</v>
      </c>
      <c r="AG381" s="5">
        <v>244403653512744</v>
      </c>
      <c r="AH381" s="5">
        <v>289889593208424</v>
      </c>
      <c r="AI381" s="5">
        <v>289589380453758</v>
      </c>
      <c r="AJ381" s="5">
        <v>304513901871438</v>
      </c>
      <c r="AK381" s="5">
        <v>304418779257641</v>
      </c>
      <c r="AL381" s="5">
        <v>288853422507811</v>
      </c>
      <c r="AM381" s="5">
        <v>255215046993489</v>
      </c>
      <c r="AN381" s="5">
        <v>220986108796887</v>
      </c>
      <c r="AO381" s="5">
        <v>228069365708285</v>
      </c>
      <c r="AP381" s="5">
        <v>22611189899698</v>
      </c>
      <c r="AQ381" s="5"/>
      <c r="AR381" s="5"/>
      <c r="AS381" s="5"/>
      <c r="AT381" s="5"/>
      <c r="AU381" s="5"/>
      <c r="AV381" s="5"/>
      <c r="AW381" s="5"/>
      <c r="AX381" s="5"/>
      <c r="AY381" s="5"/>
      <c r="AZ381" s="5"/>
      <c r="BA381" s="5"/>
    </row>
    <row r="382" spans="1:53" x14ac:dyDescent="0.45">
      <c r="A382" s="1"/>
      <c r="B382" s="2"/>
      <c r="C382" s="1" t="s">
        <v>376</v>
      </c>
      <c r="D382" s="2">
        <v>4112734</v>
      </c>
      <c r="E382" s="3" t="s">
        <v>1328</v>
      </c>
      <c r="F382" s="3" t="s">
        <v>1329</v>
      </c>
      <c r="G382" s="3" t="s">
        <v>481</v>
      </c>
      <c r="H382" s="5">
        <v>857217263977005</v>
      </c>
      <c r="I382" s="5">
        <v>805147939576781</v>
      </c>
      <c r="J382" s="5">
        <v>819235502788445</v>
      </c>
      <c r="K382" s="5">
        <v>750888897534821</v>
      </c>
      <c r="L382" s="5">
        <v>690479888716081</v>
      </c>
      <c r="M382" s="5">
        <v>684789872923428</v>
      </c>
      <c r="N382" s="5">
        <v>671810057464</v>
      </c>
      <c r="O382" s="5">
        <v>73145928752</v>
      </c>
      <c r="P382" s="5">
        <v>725064372240781</v>
      </c>
      <c r="Q382" s="5">
        <v>7531258970368</v>
      </c>
      <c r="R382" s="5">
        <v>721500566256</v>
      </c>
      <c r="S382" s="5">
        <v>6972150626964</v>
      </c>
      <c r="T382" s="5">
        <v>6908922751469</v>
      </c>
      <c r="U382" s="5">
        <v>699021117322</v>
      </c>
      <c r="V382" s="5">
        <v>647160997232649</v>
      </c>
      <c r="W382" s="5">
        <v>6263605539477</v>
      </c>
      <c r="X382" s="5">
        <v>6258109955097</v>
      </c>
      <c r="Y382" s="5">
        <v>626317707629959</v>
      </c>
      <c r="Z382" s="5">
        <v>56651820304275</v>
      </c>
      <c r="AA382" s="5">
        <v>546824625099</v>
      </c>
      <c r="AB382" s="5">
        <v>501317790631978</v>
      </c>
      <c r="AC382" s="5">
        <v>4906428877086</v>
      </c>
      <c r="AD382" s="5">
        <v>494664567971329</v>
      </c>
      <c r="AE382" s="5">
        <v>511936315067978</v>
      </c>
      <c r="AF382" s="5">
        <v>558063442661895</v>
      </c>
      <c r="AG382" s="5">
        <v>524462098798723</v>
      </c>
      <c r="AH382" s="5">
        <v>455431969001424</v>
      </c>
      <c r="AI382" s="5">
        <v>43836075097673</v>
      </c>
      <c r="AJ382" s="5">
        <v>467821411447842</v>
      </c>
      <c r="AK382" s="5">
        <v>481096302798571</v>
      </c>
      <c r="AL382" s="5">
        <v>530080829261225</v>
      </c>
      <c r="AM382" s="5">
        <v>50705843455215</v>
      </c>
      <c r="AN382" s="5">
        <v>557400729165073</v>
      </c>
      <c r="AO382" s="5">
        <v>549129590354348</v>
      </c>
      <c r="AP382" s="5">
        <v>495508063970651</v>
      </c>
      <c r="AQ382" s="5"/>
      <c r="AR382" s="5"/>
      <c r="AS382" s="5"/>
      <c r="AT382" s="5"/>
      <c r="AU382" s="5"/>
      <c r="AV382" s="5"/>
      <c r="AW382" s="5"/>
      <c r="AX382" s="5"/>
      <c r="AY382" s="5"/>
      <c r="AZ382" s="5"/>
      <c r="BA382" s="5"/>
    </row>
    <row r="383" spans="1:53" x14ac:dyDescent="0.45">
      <c r="A383" s="1"/>
      <c r="B383" s="2"/>
      <c r="C383" s="1" t="s">
        <v>377</v>
      </c>
      <c r="D383" s="2">
        <v>4783703</v>
      </c>
      <c r="E383" s="3" t="s">
        <v>1330</v>
      </c>
      <c r="F383" s="3" t="s">
        <v>1331</v>
      </c>
      <c r="G383" s="3" t="s">
        <v>552</v>
      </c>
      <c r="H383" s="5">
        <v>291575879369972</v>
      </c>
      <c r="I383" s="5">
        <v>268405714954836</v>
      </c>
      <c r="J383" s="5">
        <v>274893770863393</v>
      </c>
      <c r="K383" s="5">
        <v>268691041817154</v>
      </c>
      <c r="L383" s="5">
        <v>267354602971209</v>
      </c>
      <c r="M383" s="5">
        <v>222489813922173</v>
      </c>
      <c r="N383" s="5">
        <v>203367366814819</v>
      </c>
      <c r="O383" s="5">
        <v>199168356887983</v>
      </c>
      <c r="P383" s="5">
        <v>223443676222415</v>
      </c>
      <c r="Q383" s="5">
        <v>207396130652993</v>
      </c>
      <c r="R383" s="5">
        <v>222913226474317</v>
      </c>
      <c r="S383" s="5">
        <v>233330433304752</v>
      </c>
      <c r="T383" s="5">
        <v>222930077383386</v>
      </c>
      <c r="U383" s="5">
        <v>223624957321842</v>
      </c>
      <c r="V383" s="5">
        <v>193987353229702</v>
      </c>
      <c r="W383" s="5">
        <v>17064751191411</v>
      </c>
      <c r="X383" s="5">
        <v>127038931675068</v>
      </c>
      <c r="Y383" s="5">
        <v>115501239602821</v>
      </c>
      <c r="Z383" s="5">
        <v>122493723576012</v>
      </c>
      <c r="AA383" s="5">
        <v>123213716864707</v>
      </c>
      <c r="AB383" s="5">
        <v>107388262854683</v>
      </c>
      <c r="AC383" s="5">
        <v>101633939139412</v>
      </c>
      <c r="AD383" s="5">
        <v>920918047269471</v>
      </c>
      <c r="AE383" s="5">
        <v>985341800337002</v>
      </c>
      <c r="AF383" s="5">
        <v>116212453981821</v>
      </c>
      <c r="AG383" s="5">
        <v>111543535549686</v>
      </c>
      <c r="AH383" s="5">
        <v>103202503608306</v>
      </c>
      <c r="AI383" s="5">
        <v>870746468256143</v>
      </c>
      <c r="AJ383" s="5">
        <v>978792910915772</v>
      </c>
      <c r="AK383" s="5">
        <v>111719651036994</v>
      </c>
      <c r="AL383" s="5">
        <v>113341988915458</v>
      </c>
      <c r="AM383" s="5">
        <v>112074725558765</v>
      </c>
      <c r="AN383" s="5">
        <v>112213917407276</v>
      </c>
      <c r="AO383" s="5">
        <v>103222363355656</v>
      </c>
      <c r="AP383" s="5">
        <v>867218713450716</v>
      </c>
      <c r="AQ383" s="5"/>
      <c r="AR383" s="5"/>
      <c r="AS383" s="5"/>
      <c r="AT383" s="5"/>
      <c r="AU383" s="5"/>
      <c r="AV383" s="5"/>
      <c r="AW383" s="5"/>
      <c r="AX383" s="5"/>
      <c r="AY383" s="5"/>
      <c r="AZ383" s="5"/>
      <c r="BA383" s="5"/>
    </row>
    <row r="384" spans="1:53" x14ac:dyDescent="0.45">
      <c r="A384" s="1"/>
      <c r="B384" s="2"/>
      <c r="C384" s="1" t="s">
        <v>378</v>
      </c>
      <c r="D384" s="2">
        <v>3002287</v>
      </c>
      <c r="E384" s="3" t="s">
        <v>1332</v>
      </c>
      <c r="F384" s="3" t="s">
        <v>1333</v>
      </c>
      <c r="G384" s="3" t="s">
        <v>600</v>
      </c>
      <c r="H384" s="5">
        <v>124145142004369</v>
      </c>
      <c r="I384" s="5">
        <v>123227214288711</v>
      </c>
      <c r="J384" s="5">
        <v>119339058828737</v>
      </c>
      <c r="K384" s="5">
        <v>120677343986762</v>
      </c>
      <c r="L384" s="5">
        <v>109429183931452</v>
      </c>
      <c r="M384" s="5">
        <v>110350694765854</v>
      </c>
      <c r="N384" s="5">
        <v>110510864235</v>
      </c>
      <c r="O384" s="5">
        <v>1138806798</v>
      </c>
      <c r="P384" s="5">
        <v>114636728915155</v>
      </c>
      <c r="Q384" s="5">
        <v>1201844560672</v>
      </c>
      <c r="R384" s="5">
        <v>12034292094</v>
      </c>
      <c r="S384" s="5">
        <v>1186161886359</v>
      </c>
      <c r="T384" s="5">
        <v>1242989994648</v>
      </c>
      <c r="U384" s="5">
        <v>117661269198</v>
      </c>
      <c r="V384" s="5">
        <v>98812382860631</v>
      </c>
      <c r="W384" s="5">
        <v>952907228775</v>
      </c>
      <c r="X384" s="5">
        <v>987435763875734</v>
      </c>
      <c r="Y384" s="5">
        <v>940510223694405</v>
      </c>
      <c r="Z384" s="5">
        <v>885000511116</v>
      </c>
      <c r="AA384" s="5">
        <v>919366689879</v>
      </c>
      <c r="AB384" s="5">
        <v>907937304355531</v>
      </c>
      <c r="AC384" s="5">
        <v>852476213782526</v>
      </c>
      <c r="AD384" s="5">
        <v>865466569222638</v>
      </c>
      <c r="AE384" s="5">
        <v>105857646164466</v>
      </c>
      <c r="AF384" s="5">
        <v>110533526587318</v>
      </c>
      <c r="AG384" s="5">
        <v>104656662779771</v>
      </c>
      <c r="AH384" s="5">
        <v>932296938360482</v>
      </c>
      <c r="AI384" s="5">
        <v>95748941937303</v>
      </c>
      <c r="AJ384" s="5">
        <v>109338822314978</v>
      </c>
      <c r="AK384" s="5">
        <v>111242630195281</v>
      </c>
      <c r="AL384" s="5">
        <v>11439544449732</v>
      </c>
      <c r="AM384" s="5">
        <v>109072984824116</v>
      </c>
      <c r="AN384" s="5">
        <v>114306601797245</v>
      </c>
      <c r="AO384" s="5">
        <v>109399158887593</v>
      </c>
      <c r="AP384" s="5">
        <v>104063577978024</v>
      </c>
      <c r="AQ384" s="5"/>
      <c r="AR384" s="5"/>
      <c r="AS384" s="5"/>
      <c r="AT384" s="5"/>
      <c r="AU384" s="5"/>
      <c r="AV384" s="5"/>
      <c r="AW384" s="5"/>
      <c r="AX384" s="5"/>
      <c r="AY384" s="5"/>
      <c r="AZ384" s="5"/>
      <c r="BA384" s="5"/>
    </row>
    <row r="385" spans="1:53" x14ac:dyDescent="0.45">
      <c r="A385" s="1"/>
      <c r="B385" s="2"/>
      <c r="C385" s="1" t="s">
        <v>379</v>
      </c>
      <c r="D385" s="2">
        <v>4055465</v>
      </c>
      <c r="E385" s="3" t="s">
        <v>1334</v>
      </c>
      <c r="F385" s="3" t="s">
        <v>1335</v>
      </c>
      <c r="G385" s="3" t="s">
        <v>1336</v>
      </c>
      <c r="H385" s="5">
        <v>595617436534478</v>
      </c>
      <c r="I385" s="5">
        <v>586689142239472</v>
      </c>
      <c r="J385" s="5">
        <v>602891660963516</v>
      </c>
      <c r="K385" s="5">
        <v>615624844400046</v>
      </c>
      <c r="L385" s="5">
        <v>613826437069843</v>
      </c>
      <c r="M385" s="5">
        <v>62622398722</v>
      </c>
      <c r="N385" s="5">
        <v>64283872081</v>
      </c>
      <c r="O385" s="5">
        <v>6862287328</v>
      </c>
      <c r="P385" s="5">
        <v>684384746058</v>
      </c>
      <c r="Q385" s="5">
        <v>689343944016</v>
      </c>
      <c r="R385" s="5">
        <v>715335070390272</v>
      </c>
      <c r="S385" s="5">
        <v>698826249264</v>
      </c>
      <c r="T385" s="5">
        <v>725600690668</v>
      </c>
      <c r="U385" s="5">
        <v>7140040006</v>
      </c>
      <c r="V385" s="5">
        <v>707793323732</v>
      </c>
      <c r="W385" s="5">
        <v>7534718527725</v>
      </c>
      <c r="X385" s="5">
        <v>7136226781915</v>
      </c>
      <c r="Y385" s="5">
        <v>72836848175</v>
      </c>
      <c r="Z385" s="5">
        <v>7405588944</v>
      </c>
      <c r="AA385" s="5">
        <v>65668819505</v>
      </c>
      <c r="AB385" s="5">
        <v>642864266442</v>
      </c>
      <c r="AC385" s="5">
        <v>59516816247</v>
      </c>
      <c r="AD385" s="5">
        <v>590734287783742</v>
      </c>
      <c r="AE385" s="5">
        <v>592897707846898</v>
      </c>
      <c r="AF385" s="5">
        <v>636260780816055</v>
      </c>
      <c r="AG385" s="5">
        <v>678047578142141</v>
      </c>
      <c r="AH385" s="5">
        <v>598998215473639</v>
      </c>
      <c r="AI385" s="5">
        <v>7315124086902</v>
      </c>
      <c r="AJ385" s="5">
        <v>790670870763904</v>
      </c>
      <c r="AK385" s="5">
        <v>812389219523973</v>
      </c>
      <c r="AL385" s="5">
        <v>845656520068568</v>
      </c>
      <c r="AM385" s="5">
        <v>832281489225</v>
      </c>
      <c r="AN385" s="5">
        <v>8404502136865</v>
      </c>
      <c r="AO385" s="5">
        <v>812757730710392</v>
      </c>
      <c r="AP385" s="5">
        <v>771791749608594</v>
      </c>
      <c r="AQ385" s="5"/>
      <c r="AR385" s="5"/>
      <c r="AS385" s="5"/>
      <c r="AT385" s="5"/>
      <c r="AU385" s="5"/>
      <c r="AV385" s="5"/>
      <c r="AW385" s="5"/>
      <c r="AX385" s="5"/>
      <c r="AY385" s="5"/>
      <c r="AZ385" s="5"/>
      <c r="BA385" s="5"/>
    </row>
    <row r="386" spans="1:53" x14ac:dyDescent="0.45">
      <c r="A386" s="1"/>
      <c r="B386" s="2"/>
      <c r="C386" s="1" t="s">
        <v>380</v>
      </c>
      <c r="D386" s="2">
        <v>103247</v>
      </c>
      <c r="E386" s="3" t="s">
        <v>1337</v>
      </c>
      <c r="F386" s="3" t="s">
        <v>1338</v>
      </c>
      <c r="G386" s="3" t="s">
        <v>527</v>
      </c>
      <c r="H386" s="5">
        <v>312905148141412</v>
      </c>
      <c r="I386" s="5">
        <v>309320886052395</v>
      </c>
      <c r="J386" s="5">
        <v>291348824148288</v>
      </c>
      <c r="K386" s="5">
        <v>281011450793279</v>
      </c>
      <c r="L386" s="5">
        <v>275392305928383</v>
      </c>
      <c r="M386" s="5">
        <v>281983702</v>
      </c>
      <c r="N386" s="5">
        <v>28309449432</v>
      </c>
      <c r="O386" s="5">
        <v>2806291752</v>
      </c>
      <c r="P386" s="5">
        <v>272468277224</v>
      </c>
      <c r="Q386" s="5">
        <v>2782635574824</v>
      </c>
      <c r="R386" s="5">
        <v>282591341136</v>
      </c>
      <c r="S386" s="5">
        <v>2566595965275</v>
      </c>
      <c r="T386" s="5">
        <v>25856259837</v>
      </c>
      <c r="U386" s="5">
        <v>2435764584</v>
      </c>
      <c r="V386" s="5">
        <v>230127319954512</v>
      </c>
      <c r="W386" s="5">
        <v>228619288917821</v>
      </c>
      <c r="X386" s="5">
        <v>22978783439142</v>
      </c>
      <c r="Y386" s="5">
        <v>22893449344395</v>
      </c>
      <c r="Z386" s="5">
        <v>23580247581675</v>
      </c>
      <c r="AA386" s="5">
        <v>22709699937885</v>
      </c>
      <c r="AB386" s="5">
        <v>21327234032175</v>
      </c>
      <c r="AC386" s="5">
        <v>220995683649</v>
      </c>
      <c r="AD386" s="5">
        <v>216904975545542</v>
      </c>
      <c r="AE386" s="5">
        <v>221420491107637</v>
      </c>
      <c r="AF386" s="5">
        <v>230081085176321</v>
      </c>
      <c r="AG386" s="5">
        <v>224682307808322</v>
      </c>
      <c r="AH386" s="5">
        <v>208947281026848</v>
      </c>
      <c r="AI386" s="5">
        <v>20832074290353</v>
      </c>
      <c r="AJ386" s="5">
        <v>255265391637025</v>
      </c>
      <c r="AK386" s="5">
        <v>238197074640525</v>
      </c>
      <c r="AL386" s="5">
        <v>25088292164034</v>
      </c>
      <c r="AM386" s="5">
        <v>25442003075805</v>
      </c>
      <c r="AN386" s="5">
        <v>275877034618515</v>
      </c>
      <c r="AO386" s="5">
        <v>2622016364847</v>
      </c>
      <c r="AP386" s="5">
        <v>259278944546364</v>
      </c>
      <c r="AQ386" s="5"/>
      <c r="AR386" s="5"/>
      <c r="AS386" s="5"/>
      <c r="AT386" s="5"/>
      <c r="AU386" s="5"/>
      <c r="AV386" s="5"/>
      <c r="AW386" s="5"/>
      <c r="AX386" s="5"/>
      <c r="AY386" s="5"/>
      <c r="AZ386" s="5"/>
      <c r="BA386" s="5"/>
    </row>
    <row r="387" spans="1:53" x14ac:dyDescent="0.45">
      <c r="A387" s="1"/>
      <c r="B387" s="2"/>
      <c r="C387" s="1" t="s">
        <v>381</v>
      </c>
      <c r="D387" s="2">
        <v>100144</v>
      </c>
      <c r="E387" s="3" t="s">
        <v>1339</v>
      </c>
      <c r="F387" s="3" t="s">
        <v>1340</v>
      </c>
      <c r="G387" s="3" t="s">
        <v>536</v>
      </c>
      <c r="H387" s="5">
        <v>459321212270526</v>
      </c>
      <c r="I387" s="5">
        <v>470693697316238</v>
      </c>
      <c r="J387" s="5">
        <v>452572311031292</v>
      </c>
      <c r="K387" s="5">
        <v>463476165375366</v>
      </c>
      <c r="L387" s="5">
        <v>454846893511506</v>
      </c>
      <c r="M387" s="5">
        <v>46487849928167</v>
      </c>
      <c r="N387" s="5">
        <v>465024249164</v>
      </c>
      <c r="O387" s="5">
        <v>43609239584</v>
      </c>
      <c r="P387" s="5">
        <v>4491415171984</v>
      </c>
      <c r="Q387" s="5">
        <v>4574369683744</v>
      </c>
      <c r="R387" s="5">
        <v>46069145175886</v>
      </c>
      <c r="S387" s="5">
        <v>4341981280959</v>
      </c>
      <c r="T387" s="5">
        <v>4745666946316</v>
      </c>
      <c r="U387" s="5">
        <v>474315534088</v>
      </c>
      <c r="V387" s="5">
        <v>417431718809273</v>
      </c>
      <c r="W387" s="5">
        <v>3788012230614</v>
      </c>
      <c r="X387" s="5">
        <v>39909583073745</v>
      </c>
      <c r="Y387" s="5">
        <v>376472997185916</v>
      </c>
      <c r="Z387" s="5">
        <v>376789322511</v>
      </c>
      <c r="AA387" s="5">
        <v>4070609844204</v>
      </c>
      <c r="AB387" s="5">
        <v>378438971332634</v>
      </c>
      <c r="AC387" s="5">
        <v>350477276052469</v>
      </c>
      <c r="AD387" s="5">
        <v>36329374745559</v>
      </c>
      <c r="AE387" s="5">
        <v>414811740042425</v>
      </c>
      <c r="AF387" s="5">
        <v>453539826579812</v>
      </c>
      <c r="AG387" s="5">
        <v>412811654282825</v>
      </c>
      <c r="AH387" s="5">
        <v>388170350227027</v>
      </c>
      <c r="AI387" s="5">
        <v>393161768393441</v>
      </c>
      <c r="AJ387" s="5">
        <v>4346791091818</v>
      </c>
      <c r="AK387" s="5">
        <v>422569532354899</v>
      </c>
      <c r="AL387" s="5">
        <v>443080820071198</v>
      </c>
      <c r="AM387" s="5">
        <v>4241581374996</v>
      </c>
      <c r="AN387" s="5">
        <v>41751483337156</v>
      </c>
      <c r="AO387" s="5">
        <v>388826510544354</v>
      </c>
      <c r="AP387" s="5">
        <v>35656936236</v>
      </c>
      <c r="AQ387" s="5"/>
      <c r="AR387" s="5"/>
      <c r="AS387" s="5"/>
      <c r="AT387" s="5"/>
      <c r="AU387" s="5"/>
      <c r="AV387" s="5"/>
      <c r="AW387" s="5"/>
      <c r="AX387" s="5"/>
      <c r="AY387" s="5"/>
      <c r="AZ387" s="5"/>
      <c r="BA387" s="5"/>
    </row>
    <row r="388" spans="1:53" x14ac:dyDescent="0.45">
      <c r="A388" s="1"/>
      <c r="B388" s="2"/>
      <c r="C388" s="1" t="s">
        <v>382</v>
      </c>
      <c r="D388" s="2">
        <v>4004086</v>
      </c>
      <c r="E388" s="3" t="s">
        <v>1341</v>
      </c>
      <c r="F388" s="3" t="s">
        <v>1342</v>
      </c>
      <c r="G388" s="3" t="s">
        <v>600</v>
      </c>
      <c r="H388" s="5">
        <v>146274709415092</v>
      </c>
      <c r="I388" s="5">
        <v>138429696699226</v>
      </c>
      <c r="J388" s="5">
        <v>131983071385281</v>
      </c>
      <c r="K388" s="5">
        <v>127134400122336</v>
      </c>
      <c r="L388" s="5">
        <v>119291081195565</v>
      </c>
      <c r="M388" s="5">
        <v>121601994987472</v>
      </c>
      <c r="N388" s="5">
        <v>1046172387925</v>
      </c>
      <c r="O388" s="5">
        <v>100792246706</v>
      </c>
      <c r="P388" s="5">
        <v>102389653046798</v>
      </c>
      <c r="Q388" s="5">
        <v>10057611093376</v>
      </c>
      <c r="R388" s="5">
        <v>1039848087168</v>
      </c>
      <c r="S388" s="5">
        <v>934620069351</v>
      </c>
      <c r="T388" s="5">
        <v>9101755555088</v>
      </c>
      <c r="U388" s="5">
        <v>879033749792</v>
      </c>
      <c r="V388" s="5">
        <v>8020317447644</v>
      </c>
      <c r="W388" s="5">
        <v>7311442996053</v>
      </c>
      <c r="X388" s="5">
        <v>72440615468682</v>
      </c>
      <c r="Y388" s="5">
        <v>746214451238059</v>
      </c>
      <c r="Z388" s="5">
        <v>74492867649915</v>
      </c>
      <c r="AA388" s="5">
        <v>72206410073325</v>
      </c>
      <c r="AB388" s="5">
        <v>749766064780087</v>
      </c>
      <c r="AC388" s="5">
        <v>720737718375</v>
      </c>
      <c r="AD388" s="5">
        <v>743803362090745</v>
      </c>
      <c r="AE388" s="5">
        <v>891957532496915</v>
      </c>
      <c r="AF388" s="5">
        <v>922404637115076</v>
      </c>
      <c r="AG388" s="5">
        <v>899635792802119</v>
      </c>
      <c r="AH388" s="5">
        <v>797304267007045</v>
      </c>
      <c r="AI388" s="5">
        <v>792730058752338</v>
      </c>
      <c r="AJ388" s="5">
        <v>886710386538341</v>
      </c>
      <c r="AK388" s="5">
        <v>861187156152599</v>
      </c>
      <c r="AL388" s="5">
        <v>88538239408566</v>
      </c>
      <c r="AM388" s="5">
        <v>88540768286235</v>
      </c>
      <c r="AN388" s="5">
        <v>977692657122069</v>
      </c>
      <c r="AO388" s="5">
        <v>9476524284213</v>
      </c>
      <c r="AP388" s="5">
        <v>909992839142396</v>
      </c>
      <c r="AQ388" s="5"/>
      <c r="AR388" s="5"/>
      <c r="AS388" s="5"/>
      <c r="AT388" s="5"/>
      <c r="AU388" s="5"/>
      <c r="AV388" s="5"/>
      <c r="AW388" s="5"/>
      <c r="AX388" s="5"/>
      <c r="AY388" s="5"/>
      <c r="AZ388" s="5"/>
      <c r="BA388" s="5"/>
    </row>
    <row r="389" spans="1:53" x14ac:dyDescent="0.45">
      <c r="A389" s="1"/>
      <c r="B389" s="2"/>
      <c r="C389" s="1" t="s">
        <v>383</v>
      </c>
      <c r="D389" s="2">
        <v>4133211</v>
      </c>
      <c r="E389" s="3" t="s">
        <v>1343</v>
      </c>
      <c r="F389" s="3" t="s">
        <v>1344</v>
      </c>
      <c r="G389" s="3" t="s">
        <v>734</v>
      </c>
      <c r="H389" s="5">
        <v>12044122266526</v>
      </c>
      <c r="I389" s="5">
        <v>124410414668822</v>
      </c>
      <c r="J389" s="5">
        <v>122287541443458</v>
      </c>
      <c r="K389" s="5">
        <v>119052568510714</v>
      </c>
      <c r="L389" s="5">
        <v>117907664987435</v>
      </c>
      <c r="M389" s="5">
        <v>135852881123859</v>
      </c>
      <c r="N389" s="5">
        <v>138529615588208</v>
      </c>
      <c r="O389" s="5">
        <v>1561728123</v>
      </c>
      <c r="P389" s="5">
        <v>1607437232856</v>
      </c>
      <c r="Q389" s="5">
        <v>1629371951424</v>
      </c>
      <c r="R389" s="5">
        <v>17166459285</v>
      </c>
      <c r="S389" s="5">
        <v>1770712551405</v>
      </c>
      <c r="T389" s="5">
        <v>1758881607855</v>
      </c>
      <c r="U389" s="5">
        <v>16551707447</v>
      </c>
      <c r="V389" s="5">
        <v>152482724108</v>
      </c>
      <c r="W389" s="5">
        <v>149826276774</v>
      </c>
      <c r="X389" s="5">
        <v>168118185774</v>
      </c>
      <c r="Y389" s="5">
        <v>17200612790725</v>
      </c>
      <c r="Z389" s="5">
        <v>18490276568025</v>
      </c>
      <c r="AA389" s="5">
        <v>16825542387525</v>
      </c>
      <c r="AB389" s="5">
        <v>16657647041475</v>
      </c>
      <c r="AC389" s="5">
        <v>176233643327708</v>
      </c>
      <c r="AD389" s="5">
        <v>161622955028165</v>
      </c>
      <c r="AE389" s="5">
        <v>150009555171123</v>
      </c>
      <c r="AF389" s="5">
        <v>153178144595525</v>
      </c>
      <c r="AG389" s="5">
        <v>142680212278512</v>
      </c>
      <c r="AH389" s="5">
        <v>140675648869217</v>
      </c>
      <c r="AI389" s="5">
        <v>133036600916754</v>
      </c>
      <c r="AJ389" s="5">
        <v>138594529868495</v>
      </c>
      <c r="AK389" s="5">
        <v>132833877489511</v>
      </c>
      <c r="AL389" s="5">
        <v>1373278774389</v>
      </c>
      <c r="AM389" s="5">
        <v>12452021926425</v>
      </c>
      <c r="AN389" s="5">
        <v>13510214724717</v>
      </c>
      <c r="AO389" s="5">
        <v>130197929529686</v>
      </c>
      <c r="AP389" s="5">
        <v>12694829491741</v>
      </c>
      <c r="AQ389" s="5"/>
      <c r="AR389" s="5"/>
      <c r="AS389" s="5"/>
      <c r="AT389" s="5"/>
      <c r="AU389" s="5"/>
      <c r="AV389" s="5"/>
      <c r="AW389" s="5"/>
      <c r="AX389" s="5"/>
      <c r="AY389" s="5"/>
      <c r="AZ389" s="5"/>
      <c r="BA389" s="5"/>
    </row>
    <row r="390" spans="1:53" x14ac:dyDescent="0.45">
      <c r="A390" s="1"/>
      <c r="B390" s="2"/>
      <c r="C390" s="1" t="s">
        <v>384</v>
      </c>
      <c r="D390" s="2">
        <v>102775</v>
      </c>
      <c r="E390" s="3" t="s">
        <v>1345</v>
      </c>
      <c r="F390" s="3" t="s">
        <v>1346</v>
      </c>
      <c r="G390" s="3" t="s">
        <v>979</v>
      </c>
      <c r="H390" s="5">
        <v>573511121447679</v>
      </c>
      <c r="I390" s="5">
        <v>549220239470181</v>
      </c>
      <c r="J390" s="5">
        <v>515796147639986</v>
      </c>
      <c r="K390" s="5">
        <v>495586879632711</v>
      </c>
      <c r="L390" s="5">
        <v>4499413317851</v>
      </c>
      <c r="M390" s="5">
        <v>486724011345</v>
      </c>
      <c r="N390" s="5">
        <v>503488813572</v>
      </c>
      <c r="O390" s="5">
        <v>46114270875</v>
      </c>
      <c r="P390" s="5">
        <v>476652927387</v>
      </c>
      <c r="Q390" s="5">
        <v>510193531402761</v>
      </c>
      <c r="R390" s="5">
        <v>508172617134</v>
      </c>
      <c r="S390" s="5">
        <v>5066327356236</v>
      </c>
      <c r="T390" s="5">
        <v>4956670982877</v>
      </c>
      <c r="U390" s="5">
        <v>484828804812</v>
      </c>
      <c r="V390" s="5">
        <v>382653492307814</v>
      </c>
      <c r="W390" s="5">
        <v>371582204926207</v>
      </c>
      <c r="X390" s="5">
        <v>373367499538183</v>
      </c>
      <c r="Y390" s="5">
        <v>3361649654951</v>
      </c>
      <c r="Z390" s="5">
        <v>30121829898255</v>
      </c>
      <c r="AA390" s="5">
        <v>3631694712371</v>
      </c>
      <c r="AB390" s="5">
        <v>327789014481</v>
      </c>
      <c r="AC390" s="5">
        <v>304508973843</v>
      </c>
      <c r="AD390" s="5">
        <v>31061459132847</v>
      </c>
      <c r="AE390" s="5">
        <v>399173800318605</v>
      </c>
      <c r="AF390" s="5">
        <v>420078914295383</v>
      </c>
      <c r="AG390" s="5">
        <v>364126057988973</v>
      </c>
      <c r="AH390" s="5">
        <v>336683799952997</v>
      </c>
      <c r="AI390" s="5">
        <v>356820174505232</v>
      </c>
      <c r="AJ390" s="5">
        <v>414699480276409</v>
      </c>
      <c r="AK390" s="5">
        <v>385012702775468</v>
      </c>
      <c r="AL390" s="5">
        <v>378791349953475</v>
      </c>
      <c r="AM390" s="5">
        <v>3577159061325</v>
      </c>
      <c r="AN390" s="5">
        <v>372039957696789</v>
      </c>
      <c r="AO390" s="5">
        <v>34306194625159</v>
      </c>
      <c r="AP390" s="5">
        <v>300480736927458</v>
      </c>
      <c r="AQ390" s="5"/>
      <c r="AR390" s="5"/>
      <c r="AS390" s="5"/>
      <c r="AT390" s="5"/>
      <c r="AU390" s="5"/>
      <c r="AV390" s="5"/>
      <c r="AW390" s="5"/>
      <c r="AX390" s="5"/>
      <c r="AY390" s="5"/>
      <c r="AZ390" s="5"/>
      <c r="BA390" s="5"/>
    </row>
    <row r="391" spans="1:53" x14ac:dyDescent="0.45">
      <c r="A391" s="1"/>
      <c r="B391" s="2"/>
      <c r="C391" s="1" t="s">
        <v>385</v>
      </c>
      <c r="D391" s="2">
        <v>103339</v>
      </c>
      <c r="E391" s="3" t="s">
        <v>1347</v>
      </c>
      <c r="F391" s="3" t="s">
        <v>1348</v>
      </c>
      <c r="G391" s="3" t="s">
        <v>682</v>
      </c>
      <c r="H391" s="5">
        <v>416997782103945</v>
      </c>
      <c r="I391" s="5">
        <v>438339935803838</v>
      </c>
      <c r="J391" s="5">
        <v>426542299992896</v>
      </c>
      <c r="K391" s="5">
        <v>39823728781214</v>
      </c>
      <c r="L391" s="5">
        <v>386007900776678</v>
      </c>
      <c r="M391" s="5">
        <v>377014816166</v>
      </c>
      <c r="N391" s="5">
        <v>3756110493335</v>
      </c>
      <c r="O391" s="5">
        <v>36736078147</v>
      </c>
      <c r="P391" s="5">
        <v>368406562862</v>
      </c>
      <c r="Q391" s="5">
        <v>351672449016</v>
      </c>
      <c r="R391" s="5">
        <v>360551469841752</v>
      </c>
      <c r="S391" s="5">
        <v>3478880247876</v>
      </c>
      <c r="T391" s="5">
        <v>3244175548878</v>
      </c>
      <c r="U391" s="5">
        <v>327251176296</v>
      </c>
      <c r="V391" s="5">
        <v>2781744563244</v>
      </c>
      <c r="W391" s="5">
        <v>2974651746516</v>
      </c>
      <c r="X391" s="5">
        <v>2951982375881</v>
      </c>
      <c r="Y391" s="5">
        <v>296114672079656</v>
      </c>
      <c r="Z391" s="5">
        <v>29562417231705</v>
      </c>
      <c r="AA391" s="5">
        <v>29527697320655</v>
      </c>
      <c r="AB391" s="5">
        <v>3093952522977</v>
      </c>
      <c r="AC391" s="5">
        <v>328705709199685</v>
      </c>
      <c r="AD391" s="5">
        <v>318049460544163</v>
      </c>
      <c r="AE391" s="5">
        <v>34707300615199</v>
      </c>
      <c r="AF391" s="5">
        <v>32912336975297</v>
      </c>
      <c r="AG391" s="5">
        <v>312997285394674</v>
      </c>
      <c r="AH391" s="5">
        <v>311530837249305</v>
      </c>
      <c r="AI391" s="5">
        <v>323647578675635</v>
      </c>
      <c r="AJ391" s="5">
        <v>335764410225608</v>
      </c>
      <c r="AK391" s="5">
        <v>37430308218114</v>
      </c>
      <c r="AL391" s="5">
        <v>330246355644748</v>
      </c>
      <c r="AM391" s="5">
        <v>286538801583182</v>
      </c>
      <c r="AN391" s="5">
        <v>31139596518232</v>
      </c>
      <c r="AO391" s="5">
        <v>280347587508147</v>
      </c>
      <c r="AP391" s="5">
        <v>247517936161188</v>
      </c>
      <c r="AQ391" s="5"/>
      <c r="AR391" s="5"/>
      <c r="AS391" s="5"/>
      <c r="AT391" s="5"/>
      <c r="AU391" s="5"/>
      <c r="AV391" s="5"/>
      <c r="AW391" s="5"/>
      <c r="AX391" s="5"/>
      <c r="AY391" s="5"/>
      <c r="AZ391" s="5"/>
      <c r="BA391" s="5"/>
    </row>
    <row r="392" spans="1:53" x14ac:dyDescent="0.45">
      <c r="A392" s="1"/>
      <c r="B392" s="2"/>
      <c r="C392" s="1" t="s">
        <v>386</v>
      </c>
      <c r="D392" s="2">
        <v>4091914</v>
      </c>
      <c r="E392" s="3" t="s">
        <v>1349</v>
      </c>
      <c r="F392" s="3" t="s">
        <v>1350</v>
      </c>
      <c r="G392" s="3" t="s">
        <v>703</v>
      </c>
      <c r="H392" s="5">
        <v>159717049590763</v>
      </c>
      <c r="I392" s="5">
        <v>15080886690553</v>
      </c>
      <c r="J392" s="5">
        <v>14028362240577</v>
      </c>
      <c r="K392" s="5">
        <v>144052140266931</v>
      </c>
      <c r="L392" s="5">
        <v>150566308039577</v>
      </c>
      <c r="M392" s="5">
        <v>14588694932</v>
      </c>
      <c r="N392" s="5">
        <v>15041889968</v>
      </c>
      <c r="O392" s="5">
        <v>1555900136</v>
      </c>
      <c r="P392" s="5">
        <v>1573881648014</v>
      </c>
      <c r="Q392" s="5">
        <v>1617395116232</v>
      </c>
      <c r="R392" s="5">
        <v>165307988154</v>
      </c>
      <c r="S392" s="5">
        <v>1431640296</v>
      </c>
      <c r="T392" s="5">
        <v>1463708734804</v>
      </c>
      <c r="U392" s="5">
        <v>140738259024</v>
      </c>
      <c r="V392" s="5">
        <v>1418981961584</v>
      </c>
      <c r="W392" s="5">
        <v>1443085642746</v>
      </c>
      <c r="X392" s="5">
        <v>1521912496104</v>
      </c>
      <c r="Y392" s="5">
        <v>1517172382131</v>
      </c>
      <c r="Z392" s="5">
        <v>1611748105317</v>
      </c>
      <c r="AA392" s="5">
        <v>1493872046278</v>
      </c>
      <c r="AB392" s="5">
        <v>141541697884588</v>
      </c>
      <c r="AC392" s="5">
        <v>150643476751923</v>
      </c>
      <c r="AD392" s="5">
        <v>153956038564649</v>
      </c>
      <c r="AE392" s="5">
        <v>150750919924389</v>
      </c>
      <c r="AF392" s="5">
        <v>15188361996789</v>
      </c>
      <c r="AG392" s="5">
        <v>14225600985622</v>
      </c>
      <c r="AH392" s="5">
        <v>13317294150357</v>
      </c>
      <c r="AI392" s="5">
        <v>127675168442651</v>
      </c>
      <c r="AJ392" s="5">
        <v>132913032047661</v>
      </c>
      <c r="AK392" s="5">
        <v>122499402463885</v>
      </c>
      <c r="AL392" s="5">
        <v>128678491798167</v>
      </c>
      <c r="AM392" s="5">
        <v>1243224081585</v>
      </c>
      <c r="AN392" s="5">
        <v>13479396289107</v>
      </c>
      <c r="AO392" s="5">
        <v>12709913027952</v>
      </c>
      <c r="AP392" s="5">
        <v>122308529873973</v>
      </c>
      <c r="AQ392" s="5"/>
      <c r="AR392" s="5"/>
      <c r="AS392" s="5"/>
      <c r="AT392" s="5"/>
      <c r="AU392" s="5"/>
      <c r="AV392" s="5"/>
      <c r="AW392" s="5"/>
      <c r="AX392" s="5"/>
      <c r="AY392" s="5"/>
      <c r="AZ392" s="5"/>
      <c r="BA392" s="5"/>
    </row>
    <row r="393" spans="1:53" x14ac:dyDescent="0.45">
      <c r="A393" s="1"/>
      <c r="B393" s="2"/>
      <c r="C393" s="1" t="s">
        <v>387</v>
      </c>
      <c r="D393" s="2">
        <v>4202062</v>
      </c>
      <c r="E393" s="3" t="s">
        <v>1351</v>
      </c>
      <c r="F393" s="3" t="s">
        <v>1352</v>
      </c>
      <c r="G393" s="3" t="s">
        <v>1113</v>
      </c>
      <c r="H393" s="5">
        <v>162795258026289</v>
      </c>
      <c r="I393" s="5">
        <v>163750520941873</v>
      </c>
      <c r="J393" s="5">
        <v>168282810059935</v>
      </c>
      <c r="K393" s="5">
        <v>16243541277816</v>
      </c>
      <c r="L393" s="5">
        <v>163607066244856</v>
      </c>
      <c r="M393" s="5">
        <v>165900029792998</v>
      </c>
      <c r="N393" s="5">
        <v>167958712974</v>
      </c>
      <c r="O393" s="5">
        <v>172903239848</v>
      </c>
      <c r="P393" s="5">
        <v>169206463888562</v>
      </c>
      <c r="Q393" s="5">
        <v>17034939619488</v>
      </c>
      <c r="R393" s="5">
        <v>169704741140997</v>
      </c>
      <c r="S393" s="5">
        <v>16614780873024</v>
      </c>
      <c r="T393" s="5">
        <v>16939175415168</v>
      </c>
      <c r="U393" s="5">
        <v>164630427456</v>
      </c>
      <c r="V393" s="5">
        <v>166850112857116</v>
      </c>
      <c r="W393" s="5">
        <v>16249847770764</v>
      </c>
      <c r="X393" s="5">
        <v>16814767989306</v>
      </c>
      <c r="Y393" s="5">
        <v>168526571170387</v>
      </c>
      <c r="Z393" s="5">
        <v>1765842293907</v>
      </c>
      <c r="AA393" s="5">
        <v>173373892646</v>
      </c>
      <c r="AB393" s="5">
        <v>169228434591438</v>
      </c>
      <c r="AC393" s="5">
        <v>17189544221347</v>
      </c>
      <c r="AD393" s="5">
        <v>172500400001895</v>
      </c>
      <c r="AE393" s="5">
        <v>172025934419346</v>
      </c>
      <c r="AF393" s="5">
        <v>175446589552931</v>
      </c>
      <c r="AG393" s="5">
        <v>167023198942233</v>
      </c>
      <c r="AH393" s="5">
        <v>156380569531467</v>
      </c>
      <c r="AI393" s="5">
        <v>152697873836312</v>
      </c>
      <c r="AJ393" s="5">
        <v>161748630643103</v>
      </c>
      <c r="AK393" s="5">
        <v>153507918262329</v>
      </c>
      <c r="AL393" s="5">
        <v>162669789845504</v>
      </c>
      <c r="AM393" s="5">
        <v>157916689659011</v>
      </c>
      <c r="AN393" s="5">
        <v>16480810412107</v>
      </c>
      <c r="AO393" s="5">
        <v>168611688174652</v>
      </c>
      <c r="AP393" s="5">
        <v>159726629711525</v>
      </c>
      <c r="AQ393" s="5"/>
      <c r="AR393" s="5"/>
      <c r="AS393" s="5"/>
      <c r="AT393" s="5"/>
      <c r="AU393" s="5"/>
      <c r="AV393" s="5"/>
      <c r="AW393" s="5"/>
      <c r="AX393" s="5"/>
      <c r="AY393" s="5"/>
      <c r="AZ393" s="5"/>
      <c r="BA393" s="5"/>
    </row>
    <row r="394" spans="1:53" x14ac:dyDescent="0.45">
      <c r="A394" s="1"/>
      <c r="B394" s="2"/>
      <c r="C394" s="1" t="s">
        <v>388</v>
      </c>
      <c r="D394" s="2">
        <v>4578418</v>
      </c>
      <c r="E394" s="3" t="s">
        <v>1353</v>
      </c>
      <c r="F394" s="3" t="s">
        <v>1354</v>
      </c>
      <c r="G394" s="3" t="s">
        <v>502</v>
      </c>
      <c r="H394" s="5">
        <v>886585221020678</v>
      </c>
      <c r="I394" s="5">
        <v>991314359737704</v>
      </c>
      <c r="J394" s="5">
        <v>101023076416616</v>
      </c>
      <c r="K394" s="5">
        <v>982013637018404</v>
      </c>
      <c r="L394" s="5">
        <v>1032040185498</v>
      </c>
      <c r="M394" s="5">
        <v>101102917377</v>
      </c>
      <c r="N394" s="5">
        <v>102533506418</v>
      </c>
      <c r="O394" s="5">
        <v>952800625</v>
      </c>
      <c r="P394" s="5">
        <v>899824905356</v>
      </c>
      <c r="Q394" s="5">
        <v>914870304432</v>
      </c>
      <c r="R394" s="5">
        <v>917751672656352</v>
      </c>
      <c r="S394" s="5">
        <v>836970525803945</v>
      </c>
      <c r="T394" s="5">
        <v>808504891131</v>
      </c>
      <c r="U394" s="5">
        <v>75843114996</v>
      </c>
      <c r="V394" s="5">
        <v>782856499104</v>
      </c>
      <c r="W394" s="5">
        <v>777298983966</v>
      </c>
      <c r="X394" s="5">
        <v>80804685192</v>
      </c>
      <c r="Y394" s="5">
        <v>7911958958925</v>
      </c>
      <c r="Z394" s="5">
        <v>7485050504925</v>
      </c>
      <c r="AA394" s="5">
        <v>7079114664945</v>
      </c>
      <c r="AB394" s="5">
        <v>646803200311246</v>
      </c>
      <c r="AC394" s="5">
        <v>636823561884173</v>
      </c>
      <c r="AD394" s="5">
        <v>586499929787496</v>
      </c>
      <c r="AE394" s="5">
        <v>59650743349659</v>
      </c>
      <c r="AF394" s="5">
        <v>672976428816656</v>
      </c>
      <c r="AG394" s="5">
        <v>671686840731907</v>
      </c>
      <c r="AH394" s="5">
        <v>648441314431168</v>
      </c>
      <c r="AI394" s="5">
        <v>704553890334581</v>
      </c>
      <c r="AJ394" s="5">
        <v>778464252605505</v>
      </c>
      <c r="AK394" s="5">
        <v>776331246690704</v>
      </c>
      <c r="AL394" s="5">
        <v>79976114075595</v>
      </c>
      <c r="AM394" s="5">
        <v>76808979569475</v>
      </c>
      <c r="AN394" s="5">
        <v>8424494449123</v>
      </c>
      <c r="AO394" s="5">
        <v>706322992935</v>
      </c>
      <c r="AP394" s="5">
        <v>674452498240125</v>
      </c>
      <c r="AQ394" s="5"/>
      <c r="AR394" s="5"/>
      <c r="AS394" s="5"/>
      <c r="AT394" s="5"/>
      <c r="AU394" s="5"/>
      <c r="AV394" s="5"/>
      <c r="AW394" s="5"/>
      <c r="AX394" s="5"/>
      <c r="AY394" s="5"/>
      <c r="AZ394" s="5"/>
      <c r="BA394" s="5"/>
    </row>
    <row r="395" spans="1:53" x14ac:dyDescent="0.45">
      <c r="A395" s="1"/>
      <c r="B395" s="2"/>
      <c r="C395" s="1" t="s">
        <v>389</v>
      </c>
      <c r="D395" s="2">
        <v>4913043</v>
      </c>
      <c r="E395" s="3" t="s">
        <v>1355</v>
      </c>
      <c r="F395" s="3" t="s">
        <v>1356</v>
      </c>
      <c r="G395" s="3" t="s">
        <v>1357</v>
      </c>
      <c r="H395" s="5">
        <v>390204204406516</v>
      </c>
      <c r="I395" s="5">
        <v>385985234369966</v>
      </c>
      <c r="J395" s="5">
        <v>35395847953916</v>
      </c>
      <c r="K395" s="5">
        <v>336263774713723</v>
      </c>
      <c r="L395" s="5">
        <v>331514799501658</v>
      </c>
      <c r="M395" s="5">
        <v>308952966033171</v>
      </c>
      <c r="N395" s="5">
        <v>309443855877784</v>
      </c>
      <c r="O395" s="5">
        <v>308186349518502</v>
      </c>
      <c r="P395" s="5">
        <v>293037454290088</v>
      </c>
      <c r="Q395" s="5">
        <v>290540485076711</v>
      </c>
      <c r="R395" s="5">
        <v>285957136436439</v>
      </c>
      <c r="S395" s="5">
        <v>275774182990223</v>
      </c>
      <c r="T395" s="5">
        <v>265519933931231</v>
      </c>
      <c r="U395" s="5">
        <v>269350067247954</v>
      </c>
      <c r="V395" s="5">
        <v>291184501543646</v>
      </c>
      <c r="W395" s="5">
        <v>288583871908407</v>
      </c>
      <c r="X395" s="5">
        <v>292730646958153</v>
      </c>
      <c r="Y395" s="5">
        <v>306988242933001</v>
      </c>
      <c r="Z395" s="5">
        <v>302624225069948</v>
      </c>
      <c r="AA395" s="5">
        <v>304507194933153</v>
      </c>
      <c r="AB395" s="5">
        <v>308531012509327</v>
      </c>
      <c r="AC395" s="5">
        <v>309876098026094</v>
      </c>
      <c r="AD395" s="5">
        <v>290898912359484</v>
      </c>
      <c r="AE395" s="5">
        <v>299381976060149</v>
      </c>
      <c r="AF395" s="5">
        <v>294000497822529</v>
      </c>
      <c r="AG395" s="5">
        <v>270462025878397</v>
      </c>
      <c r="AH395" s="5">
        <v>26797170832831</v>
      </c>
      <c r="AI395" s="5">
        <v>265564401798091</v>
      </c>
      <c r="AJ395" s="5">
        <v>305208250184332</v>
      </c>
      <c r="AK395" s="5">
        <v>294390213193947</v>
      </c>
      <c r="AL395" s="5">
        <v>301439129862738</v>
      </c>
      <c r="AM395" s="5">
        <v>274526119856516</v>
      </c>
      <c r="AN395" s="5">
        <v>292662923866056</v>
      </c>
      <c r="AO395" s="5">
        <v>278748974079103</v>
      </c>
      <c r="AP395" s="5">
        <v>237354026526732</v>
      </c>
      <c r="AQ395" s="5"/>
      <c r="AR395" s="5"/>
      <c r="AS395" s="5"/>
      <c r="AT395" s="5"/>
      <c r="AU395" s="5"/>
      <c r="AV395" s="5"/>
      <c r="AW395" s="5"/>
      <c r="AX395" s="5"/>
      <c r="AY395" s="5"/>
      <c r="AZ395" s="5"/>
      <c r="BA395" s="5"/>
    </row>
    <row r="396" spans="1:53" x14ac:dyDescent="0.45">
      <c r="A396" s="1"/>
      <c r="B396" s="2"/>
      <c r="C396" s="1" t="s">
        <v>390</v>
      </c>
      <c r="D396" s="2">
        <v>4039450</v>
      </c>
      <c r="E396" s="3" t="s">
        <v>1358</v>
      </c>
      <c r="F396" s="3" t="s">
        <v>1359</v>
      </c>
      <c r="G396" s="3" t="s">
        <v>979</v>
      </c>
      <c r="H396" s="5">
        <v>847391822849405</v>
      </c>
      <c r="I396" s="5">
        <v>830533702735343</v>
      </c>
      <c r="J396" s="5">
        <v>852068960855095</v>
      </c>
      <c r="K396" s="5">
        <v>820963271734465</v>
      </c>
      <c r="L396" s="5">
        <v>770748980667837</v>
      </c>
      <c r="M396" s="5">
        <v>795042034064863</v>
      </c>
      <c r="N396" s="5">
        <v>808776362233224</v>
      </c>
      <c r="O396" s="5">
        <v>781855524638496</v>
      </c>
      <c r="P396" s="5">
        <v>862680642720468</v>
      </c>
      <c r="Q396" s="5">
        <v>902288087125533</v>
      </c>
      <c r="R396" s="5">
        <v>982780457113674</v>
      </c>
      <c r="S396" s="5">
        <v>891975633218561</v>
      </c>
      <c r="T396" s="5">
        <v>952081821664427</v>
      </c>
      <c r="U396" s="5">
        <v>870726693041788</v>
      </c>
      <c r="V396" s="5">
        <v>695298857977833</v>
      </c>
      <c r="W396" s="5">
        <v>613414213704604</v>
      </c>
      <c r="X396" s="5">
        <v>649927507730589</v>
      </c>
      <c r="Y396" s="5">
        <v>62177245716546</v>
      </c>
      <c r="Z396" s="5">
        <v>585295005769739</v>
      </c>
      <c r="AA396" s="5">
        <v>62690731509582</v>
      </c>
      <c r="AB396" s="5">
        <v>631692189812082</v>
      </c>
      <c r="AC396" s="5">
        <v>611760141791052</v>
      </c>
      <c r="AD396" s="5">
        <v>668629639591694</v>
      </c>
      <c r="AE396" s="5">
        <v>743152806691592</v>
      </c>
      <c r="AF396" s="5">
        <v>805475222899135</v>
      </c>
      <c r="AG396" s="5">
        <v>772229552590125</v>
      </c>
      <c r="AH396" s="5">
        <v>707117752244949</v>
      </c>
      <c r="AI396" s="5">
        <v>764682648305166</v>
      </c>
      <c r="AJ396" s="5">
        <v>841422071296296</v>
      </c>
      <c r="AK396" s="5">
        <v>849681809472198</v>
      </c>
      <c r="AL396" s="5">
        <v>851625566327361</v>
      </c>
      <c r="AM396" s="5">
        <v>801660245132193</v>
      </c>
      <c r="AN396" s="5">
        <v>799465744996133</v>
      </c>
      <c r="AO396" s="5">
        <v>773386804792049</v>
      </c>
      <c r="AP396" s="5">
        <v>697204835315651</v>
      </c>
      <c r="AQ396" s="5"/>
      <c r="AR396" s="5"/>
      <c r="AS396" s="5"/>
      <c r="AT396" s="5"/>
      <c r="AU396" s="5"/>
      <c r="AV396" s="5"/>
      <c r="AW396" s="5"/>
      <c r="AX396" s="5"/>
      <c r="AY396" s="5"/>
      <c r="AZ396" s="5"/>
      <c r="BA396" s="5"/>
    </row>
    <row r="397" spans="1:53" x14ac:dyDescent="0.45">
      <c r="A397" s="1"/>
      <c r="B397" s="2"/>
      <c r="C397" s="1" t="s">
        <v>391</v>
      </c>
      <c r="D397" s="2">
        <v>103647</v>
      </c>
      <c r="E397" s="3" t="s">
        <v>1360</v>
      </c>
      <c r="F397" s="3" t="s">
        <v>1361</v>
      </c>
      <c r="G397" s="3" t="s">
        <v>527</v>
      </c>
      <c r="H397" s="5">
        <v>167193989647111</v>
      </c>
      <c r="I397" s="5">
        <v>172053867909313</v>
      </c>
      <c r="J397" s="5">
        <v>168684952457698</v>
      </c>
      <c r="K397" s="5">
        <v>170854284809262</v>
      </c>
      <c r="L397" s="5">
        <v>165874389751258</v>
      </c>
      <c r="M397" s="5">
        <v>170009753367575</v>
      </c>
      <c r="N397" s="5">
        <v>169270689728</v>
      </c>
      <c r="O397" s="5">
        <v>16148080256</v>
      </c>
      <c r="P397" s="5">
        <v>163052431907464</v>
      </c>
      <c r="Q397" s="5">
        <v>1664191514216</v>
      </c>
      <c r="R397" s="5">
        <v>170488372664482</v>
      </c>
      <c r="S397" s="5">
        <v>1705056486561</v>
      </c>
      <c r="T397" s="5">
        <v>1705029592185</v>
      </c>
      <c r="U397" s="5">
        <v>168375111696</v>
      </c>
      <c r="V397" s="5">
        <v>152022837358448</v>
      </c>
      <c r="W397" s="5">
        <v>1470345497361</v>
      </c>
      <c r="X397" s="5">
        <v>14219846335695</v>
      </c>
      <c r="Y397" s="5">
        <v>137650531060691</v>
      </c>
      <c r="Z397" s="5">
        <v>1572024015198</v>
      </c>
      <c r="AA397" s="5">
        <v>1596631212683</v>
      </c>
      <c r="AB397" s="5">
        <v>152438207388021</v>
      </c>
      <c r="AC397" s="5">
        <v>153805385688823</v>
      </c>
      <c r="AD397" s="5">
        <v>152097771642294</v>
      </c>
      <c r="AE397" s="5">
        <v>163908660284653</v>
      </c>
      <c r="AF397" s="5">
        <v>176953699477691</v>
      </c>
      <c r="AG397" s="5">
        <v>171834964230272</v>
      </c>
      <c r="AH397" s="5">
        <v>170174452312887</v>
      </c>
      <c r="AI397" s="5">
        <v>170177329266069</v>
      </c>
      <c r="AJ397" s="5">
        <v>178548993375799</v>
      </c>
      <c r="AK397" s="5">
        <v>156715198756644</v>
      </c>
      <c r="AL397" s="5">
        <v>157294386562685</v>
      </c>
      <c r="AM397" s="5">
        <v>152928847579824</v>
      </c>
      <c r="AN397" s="5">
        <v>16386842407797</v>
      </c>
      <c r="AO397" s="5">
        <v>15377419523842</v>
      </c>
      <c r="AP397" s="5">
        <v>148669785455299</v>
      </c>
      <c r="AQ397" s="5"/>
      <c r="AR397" s="5"/>
      <c r="AS397" s="5"/>
      <c r="AT397" s="5"/>
      <c r="AU397" s="5"/>
      <c r="AV397" s="5"/>
      <c r="AW397" s="5"/>
      <c r="AX397" s="5"/>
      <c r="AY397" s="5"/>
      <c r="AZ397" s="5"/>
      <c r="BA397" s="5"/>
    </row>
    <row r="398" spans="1:53" x14ac:dyDescent="0.45">
      <c r="A398" s="1"/>
      <c r="B398" s="2"/>
      <c r="C398" s="1" t="s">
        <v>392</v>
      </c>
      <c r="D398" s="2">
        <v>4914369</v>
      </c>
      <c r="E398" s="3" t="s">
        <v>1362</v>
      </c>
      <c r="F398" s="3" t="s">
        <v>1363</v>
      </c>
      <c r="G398" s="3" t="s">
        <v>734</v>
      </c>
      <c r="H398" s="5">
        <v>160547311099354</v>
      </c>
      <c r="I398" s="5">
        <v>158626216922734</v>
      </c>
      <c r="J398" s="5">
        <v>156148684770268</v>
      </c>
      <c r="K398" s="5">
        <v>159218157411275</v>
      </c>
      <c r="L398" s="5">
        <v>153031666252971</v>
      </c>
      <c r="M398" s="5">
        <v>154697132608486</v>
      </c>
      <c r="N398" s="5">
        <v>162866187048485</v>
      </c>
      <c r="O398" s="5">
        <v>1760737520761</v>
      </c>
      <c r="P398" s="5">
        <v>171696449293814</v>
      </c>
      <c r="Q398" s="5">
        <v>176346729136648</v>
      </c>
      <c r="R398" s="5">
        <v>17605394310558</v>
      </c>
      <c r="S398" s="5">
        <v>168967420706883</v>
      </c>
      <c r="T398" s="5">
        <v>169793616706177</v>
      </c>
      <c r="U398" s="5">
        <v>15982217952954</v>
      </c>
      <c r="V398" s="5">
        <v>162196037661667</v>
      </c>
      <c r="W398" s="5">
        <v>149715851182978</v>
      </c>
      <c r="X398" s="5">
        <v>156832588544055</v>
      </c>
      <c r="Y398" s="5">
        <v>171307343890748</v>
      </c>
      <c r="Z398" s="5">
        <v>176294866622621</v>
      </c>
      <c r="AA398" s="5">
        <v>147593749586889</v>
      </c>
      <c r="AB398" s="5">
        <v>143770900866975</v>
      </c>
      <c r="AC398" s="5">
        <v>151086887457639</v>
      </c>
      <c r="AD398" s="5">
        <v>147895231194291</v>
      </c>
      <c r="AE398" s="5">
        <v>14901915866918</v>
      </c>
      <c r="AF398" s="5">
        <v>148819119596348</v>
      </c>
      <c r="AG398" s="5">
        <v>145948077029281</v>
      </c>
      <c r="AH398" s="5">
        <v>150807545919596</v>
      </c>
      <c r="AI398" s="5">
        <v>146907143384577</v>
      </c>
      <c r="AJ398" s="5">
        <v>153505500829783</v>
      </c>
      <c r="AK398" s="5">
        <v>146476111911098</v>
      </c>
      <c r="AL398" s="5">
        <v>154479743248153</v>
      </c>
      <c r="AM398" s="5">
        <v>150349506732742</v>
      </c>
      <c r="AN398" s="5">
        <v>169959412860781</v>
      </c>
      <c r="AO398" s="5">
        <v>168286012484896</v>
      </c>
      <c r="AP398" s="5">
        <v>164944868608397</v>
      </c>
      <c r="AQ398" s="5"/>
      <c r="AR398" s="5"/>
      <c r="AS398" s="5"/>
      <c r="AT398" s="5"/>
      <c r="AU398" s="5"/>
      <c r="AV398" s="5"/>
      <c r="AW398" s="5"/>
      <c r="AX398" s="5"/>
      <c r="AY398" s="5"/>
      <c r="AZ398" s="5"/>
      <c r="BA398" s="5"/>
    </row>
    <row r="399" spans="1:53" x14ac:dyDescent="0.45">
      <c r="A399" s="1"/>
      <c r="B399" s="2"/>
      <c r="C399" s="1" t="s">
        <v>393</v>
      </c>
      <c r="D399" s="2">
        <v>4004135</v>
      </c>
      <c r="E399" s="3" t="s">
        <v>1364</v>
      </c>
      <c r="F399" s="3" t="s">
        <v>1365</v>
      </c>
      <c r="G399" s="3" t="s">
        <v>1057</v>
      </c>
      <c r="H399" s="5">
        <v>184318123988154</v>
      </c>
      <c r="I399" s="5">
        <v>176324032234607</v>
      </c>
      <c r="J399" s="5">
        <v>167869541625872</v>
      </c>
      <c r="K399" s="5">
        <v>163134344557432</v>
      </c>
      <c r="L399" s="5">
        <v>148773294425587</v>
      </c>
      <c r="M399" s="5">
        <v>15175785658</v>
      </c>
      <c r="N399" s="5">
        <v>160747794805</v>
      </c>
      <c r="O399" s="5">
        <v>163340703645</v>
      </c>
      <c r="P399" s="5">
        <v>1723406402536</v>
      </c>
      <c r="Q399" s="5">
        <v>16517946021472</v>
      </c>
      <c r="R399" s="5">
        <v>1662851987952</v>
      </c>
      <c r="S399" s="5">
        <v>15530977940976</v>
      </c>
      <c r="T399" s="5">
        <v>15472335474944</v>
      </c>
      <c r="U399" s="5">
        <v>149117889184</v>
      </c>
      <c r="V399" s="5">
        <v>13754602963668</v>
      </c>
      <c r="W399" s="5">
        <v>14144825376234</v>
      </c>
      <c r="X399" s="5">
        <v>148654768818527</v>
      </c>
      <c r="Y399" s="5">
        <v>15390628985088</v>
      </c>
      <c r="Z399" s="5">
        <v>143034354646605</v>
      </c>
      <c r="AA399" s="5">
        <v>14768442110826</v>
      </c>
      <c r="AB399" s="5">
        <v>146306756894715</v>
      </c>
      <c r="AC399" s="5">
        <v>14486627744808</v>
      </c>
      <c r="AD399" s="5">
        <v>147354560126774</v>
      </c>
      <c r="AE399" s="5">
        <v>154388871241984</v>
      </c>
      <c r="AF399" s="5">
        <v>160671129710876</v>
      </c>
      <c r="AG399" s="5">
        <v>143977430339943</v>
      </c>
      <c r="AH399" s="5">
        <v>132885192523732</v>
      </c>
      <c r="AI399" s="5">
        <v>133507790654182</v>
      </c>
      <c r="AJ399" s="5">
        <v>137600148599429</v>
      </c>
      <c r="AK399" s="5">
        <v>129594887875033</v>
      </c>
      <c r="AL399" s="5">
        <v>131872480647423</v>
      </c>
      <c r="AM399" s="5">
        <v>124071036728715</v>
      </c>
      <c r="AN399" s="5">
        <v>138261983094553</v>
      </c>
      <c r="AO399" s="5">
        <v>134866170960688</v>
      </c>
      <c r="AP399" s="5">
        <v>12188587136891</v>
      </c>
      <c r="AQ399" s="5"/>
      <c r="AR399" s="5"/>
      <c r="AS399" s="5"/>
      <c r="AT399" s="5"/>
      <c r="AU399" s="5"/>
      <c r="AV399" s="5"/>
      <c r="AW399" s="5"/>
      <c r="AX399" s="5"/>
      <c r="AY399" s="5"/>
      <c r="AZ399" s="5"/>
      <c r="BA399" s="5"/>
    </row>
    <row r="400" spans="1:53" x14ac:dyDescent="0.45">
      <c r="A400" s="1"/>
      <c r="B400" s="2"/>
      <c r="C400" s="1" t="s">
        <v>394</v>
      </c>
      <c r="D400" s="2">
        <v>4912995</v>
      </c>
      <c r="E400" s="3" t="s">
        <v>1366</v>
      </c>
      <c r="F400" s="3" t="s">
        <v>1367</v>
      </c>
      <c r="G400" s="3" t="s">
        <v>734</v>
      </c>
      <c r="H400" s="5">
        <v>117536062987419</v>
      </c>
      <c r="I400" s="5">
        <v>111289023371636</v>
      </c>
      <c r="J400" s="5">
        <v>10347212448909</v>
      </c>
      <c r="K400" s="5">
        <v>100841871568213</v>
      </c>
      <c r="L400" s="5">
        <v>100202529866695</v>
      </c>
      <c r="M400" s="5">
        <v>11733343096</v>
      </c>
      <c r="N400" s="5">
        <v>117655708328</v>
      </c>
      <c r="O400" s="5">
        <v>1324930006</v>
      </c>
      <c r="P400" s="5">
        <v>1354239304704</v>
      </c>
      <c r="Q400" s="5">
        <v>1427391570304</v>
      </c>
      <c r="R400" s="5">
        <v>155460178124704</v>
      </c>
      <c r="S400" s="5">
        <v>1465762826385</v>
      </c>
      <c r="T400" s="5">
        <v>1412426744034</v>
      </c>
      <c r="U400" s="5">
        <v>13872483141</v>
      </c>
      <c r="V400" s="5">
        <v>1394795934648</v>
      </c>
      <c r="W400" s="5">
        <v>1403829160362</v>
      </c>
      <c r="X400" s="5">
        <v>148075192205112</v>
      </c>
      <c r="Y400" s="5">
        <v>1606332223356</v>
      </c>
      <c r="Z400" s="5">
        <v>15978571963335</v>
      </c>
      <c r="AA400" s="5">
        <v>138885926256</v>
      </c>
      <c r="AB400" s="5">
        <v>1326923121216</v>
      </c>
      <c r="AC400" s="5">
        <v>14053394214045</v>
      </c>
      <c r="AD400" s="5">
        <v>141918796984026</v>
      </c>
      <c r="AE400" s="5">
        <v>135909174278669</v>
      </c>
      <c r="AF400" s="5">
        <v>137284553112455</v>
      </c>
      <c r="AG400" s="5">
        <v>127389598855214</v>
      </c>
      <c r="AH400" s="5">
        <v>122334016374076</v>
      </c>
      <c r="AI400" s="5">
        <v>125763035072801</v>
      </c>
      <c r="AJ400" s="5">
        <v>1209783742931</v>
      </c>
      <c r="AK400" s="5">
        <v>116465596592853</v>
      </c>
      <c r="AL400" s="5">
        <v>129248036725136</v>
      </c>
      <c r="AM400" s="5">
        <v>123897891161029</v>
      </c>
      <c r="AN400" s="5">
        <v>128909683698415</v>
      </c>
      <c r="AO400" s="5">
        <v>104688153983351</v>
      </c>
      <c r="AP400" s="5">
        <v>930252695858903</v>
      </c>
      <c r="AQ400" s="5"/>
      <c r="AR400" s="5"/>
      <c r="AS400" s="5"/>
      <c r="AT400" s="5"/>
      <c r="AU400" s="5"/>
      <c r="AV400" s="5"/>
      <c r="AW400" s="5"/>
      <c r="AX400" s="5"/>
      <c r="AY400" s="5"/>
      <c r="AZ400" s="5"/>
      <c r="BA400" s="5"/>
    </row>
    <row r="401" spans="1:53" x14ac:dyDescent="0.45">
      <c r="A401" s="1"/>
      <c r="B401" s="2"/>
      <c r="C401" s="1" t="s">
        <v>395</v>
      </c>
      <c r="D401" s="2">
        <v>4004136</v>
      </c>
      <c r="E401" s="3" t="s">
        <v>1368</v>
      </c>
      <c r="F401" s="3" t="s">
        <v>1369</v>
      </c>
      <c r="G401" s="3" t="s">
        <v>1370</v>
      </c>
      <c r="H401" s="5">
        <v>2013997716</v>
      </c>
      <c r="I401" s="5">
        <v>19130599602</v>
      </c>
      <c r="J401" s="5">
        <v>158168606503275</v>
      </c>
      <c r="K401" s="5">
        <v>15097651728086</v>
      </c>
      <c r="L401" s="5">
        <v>1652624997345</v>
      </c>
      <c r="M401" s="5">
        <v>18669564167</v>
      </c>
      <c r="N401" s="5">
        <v>18341816053</v>
      </c>
      <c r="O401" s="5">
        <v>2418773292</v>
      </c>
      <c r="P401" s="5">
        <v>248790028448</v>
      </c>
      <c r="Q401" s="5">
        <v>2521386884352</v>
      </c>
      <c r="R401" s="5">
        <v>28101947472</v>
      </c>
      <c r="S401" s="5">
        <v>2952332310384</v>
      </c>
      <c r="T401" s="5">
        <v>3066838393276</v>
      </c>
      <c r="U401" s="5">
        <v>28849869686</v>
      </c>
      <c r="V401" s="5">
        <v>2668805273384</v>
      </c>
      <c r="W401" s="5">
        <v>2493063134604</v>
      </c>
      <c r="X401" s="5">
        <v>27370558250805</v>
      </c>
      <c r="Y401" s="5">
        <v>29184391185495</v>
      </c>
      <c r="Z401" s="5">
        <v>31596731160345</v>
      </c>
      <c r="AA401" s="5">
        <v>3064732144092</v>
      </c>
      <c r="AB401" s="5">
        <v>2974138129068</v>
      </c>
      <c r="AC401" s="5">
        <v>358104863591111</v>
      </c>
      <c r="AD401" s="5">
        <v>34959661579493</v>
      </c>
      <c r="AE401" s="5">
        <v>37541420489099</v>
      </c>
      <c r="AF401" s="5">
        <v>347000877235114</v>
      </c>
      <c r="AG401" s="5">
        <v>333682902399338</v>
      </c>
      <c r="AH401" s="5">
        <v>314619099503573</v>
      </c>
      <c r="AI401" s="5">
        <v>299197139944965</v>
      </c>
      <c r="AJ401" s="5">
        <v>345030937545016</v>
      </c>
      <c r="AK401" s="5">
        <v>316178115824809</v>
      </c>
      <c r="AL401" s="5">
        <v>3257597201404</v>
      </c>
      <c r="AM401" s="5">
        <v>302295302952525</v>
      </c>
      <c r="AN401" s="5">
        <v>34680455046</v>
      </c>
      <c r="AO401" s="5">
        <v>311770521920405</v>
      </c>
      <c r="AP401" s="5">
        <v>300499098084209</v>
      </c>
      <c r="AQ401" s="5"/>
      <c r="AR401" s="5"/>
      <c r="AS401" s="5"/>
      <c r="AT401" s="5"/>
      <c r="AU401" s="5"/>
      <c r="AV401" s="5"/>
      <c r="AW401" s="5"/>
      <c r="AX401" s="5"/>
      <c r="AY401" s="5"/>
      <c r="AZ401" s="5"/>
      <c r="BA401" s="5"/>
    </row>
    <row r="402" spans="1:53" x14ac:dyDescent="0.45">
      <c r="A402" s="1"/>
      <c r="B402" s="2"/>
      <c r="C402" s="1" t="s">
        <v>396</v>
      </c>
      <c r="D402" s="2">
        <v>4097833</v>
      </c>
      <c r="E402" s="3" t="s">
        <v>1371</v>
      </c>
      <c r="F402" s="3" t="s">
        <v>1372</v>
      </c>
      <c r="G402" s="3" t="s">
        <v>687</v>
      </c>
      <c r="H402" s="5">
        <v>750180742965355</v>
      </c>
      <c r="I402" s="5">
        <v>716011851954414</v>
      </c>
      <c r="J402" s="5">
        <v>673666382728894</v>
      </c>
      <c r="K402" s="5">
        <v>641272890212805</v>
      </c>
      <c r="L402" s="5">
        <v>590646581026954</v>
      </c>
      <c r="M402" s="5">
        <v>71898109795043</v>
      </c>
      <c r="N402" s="5">
        <v>702402732519915</v>
      </c>
      <c r="O402" s="5">
        <v>7069731515819</v>
      </c>
      <c r="P402" s="5">
        <v>867558439977653</v>
      </c>
      <c r="Q402" s="5">
        <v>955770739610366</v>
      </c>
      <c r="R402" s="5">
        <v>10290351803398</v>
      </c>
      <c r="S402" s="5">
        <v>101816374075499</v>
      </c>
      <c r="T402" s="5">
        <v>973113606912764</v>
      </c>
      <c r="U402" s="5">
        <v>94096489528536</v>
      </c>
      <c r="V402" s="5">
        <v>751825665347754</v>
      </c>
      <c r="W402" s="5">
        <v>762053705712668</v>
      </c>
      <c r="X402" s="5">
        <v>944626276618109</v>
      </c>
      <c r="Y402" s="5">
        <v>845284015980495</v>
      </c>
      <c r="Z402" s="5">
        <v>82464943315785</v>
      </c>
      <c r="AA402" s="5">
        <v>793048264772519</v>
      </c>
      <c r="AB402" s="5">
        <v>855386830393848</v>
      </c>
      <c r="AC402" s="5">
        <v>864815750504813</v>
      </c>
      <c r="AD402" s="5">
        <v>746867572806933</v>
      </c>
      <c r="AE402" s="5">
        <v>851878233033434</v>
      </c>
      <c r="AF402" s="5">
        <v>100430153863125</v>
      </c>
      <c r="AG402" s="5">
        <v>113840022603031</v>
      </c>
      <c r="AH402" s="5">
        <v>103562751269336</v>
      </c>
      <c r="AI402" s="5">
        <v>135419299513608</v>
      </c>
      <c r="AJ402" s="5">
        <v>141913277783725</v>
      </c>
      <c r="AK402" s="5">
        <v>15356966761091</v>
      </c>
      <c r="AL402" s="5">
        <v>152535052114165</v>
      </c>
      <c r="AM402" s="5">
        <v>14350482406656</v>
      </c>
      <c r="AN402" s="5">
        <v>156855448170176</v>
      </c>
      <c r="AO402" s="5">
        <v>17377566134262</v>
      </c>
      <c r="AP402" s="5">
        <v>160138697324414</v>
      </c>
      <c r="AQ402" s="5"/>
      <c r="AR402" s="5"/>
      <c r="AS402" s="5"/>
      <c r="AT402" s="5"/>
      <c r="AU402" s="5"/>
      <c r="AV402" s="5"/>
      <c r="AW402" s="5"/>
      <c r="AX402" s="5"/>
      <c r="AY402" s="5"/>
      <c r="AZ402" s="5"/>
      <c r="BA402" s="5"/>
    </row>
    <row r="403" spans="1:53" x14ac:dyDescent="0.45">
      <c r="A403" s="1"/>
      <c r="B403" s="2"/>
      <c r="C403" s="1" t="s">
        <v>397</v>
      </c>
      <c r="D403" s="2">
        <v>100406</v>
      </c>
      <c r="E403" s="3" t="s">
        <v>1373</v>
      </c>
      <c r="F403" s="3" t="s">
        <v>1374</v>
      </c>
      <c r="G403" s="3" t="s">
        <v>607</v>
      </c>
      <c r="H403" s="5">
        <v>571744998676537</v>
      </c>
      <c r="I403" s="5">
        <v>561579603741188</v>
      </c>
      <c r="J403" s="5">
        <v>559078688583214</v>
      </c>
      <c r="K403" s="5">
        <v>546433938755598</v>
      </c>
      <c r="L403" s="5">
        <v>506079303796035</v>
      </c>
      <c r="M403" s="5">
        <v>52457664</v>
      </c>
      <c r="N403" s="5">
        <v>529621557645</v>
      </c>
      <c r="O403" s="5">
        <v>511206477</v>
      </c>
      <c r="P403" s="5">
        <v>5330467675</v>
      </c>
      <c r="Q403" s="5">
        <v>5466793747968</v>
      </c>
      <c r="R403" s="5">
        <v>582661497027875</v>
      </c>
      <c r="S403" s="5">
        <v>5414068677</v>
      </c>
      <c r="T403" s="5">
        <v>53902355192</v>
      </c>
      <c r="U403" s="5">
        <v>5087371366</v>
      </c>
      <c r="V403" s="5">
        <v>4256601472</v>
      </c>
      <c r="W403" s="5">
        <v>39385808046585</v>
      </c>
      <c r="X403" s="5">
        <v>3971782257905</v>
      </c>
      <c r="Y403" s="5">
        <v>364660354275</v>
      </c>
      <c r="Z403" s="5">
        <v>3659397716466</v>
      </c>
      <c r="AA403" s="5">
        <v>4026310610364</v>
      </c>
      <c r="AB403" s="5">
        <v>38245908393</v>
      </c>
      <c r="AC403" s="5">
        <v>375076832593878</v>
      </c>
      <c r="AD403" s="5">
        <v>4035910914</v>
      </c>
      <c r="AE403" s="5">
        <v>44563351396935</v>
      </c>
      <c r="AF403" s="5">
        <v>4590817753039</v>
      </c>
      <c r="AG403" s="5">
        <v>4174466331</v>
      </c>
      <c r="AH403" s="5">
        <v>410508321087318</v>
      </c>
      <c r="AI403" s="5">
        <v>417800000508611</v>
      </c>
      <c r="AJ403" s="5">
        <v>45855695532</v>
      </c>
      <c r="AK403" s="5">
        <v>444737108257746</v>
      </c>
      <c r="AL403" s="5">
        <v>4515637969752</v>
      </c>
      <c r="AM403" s="5">
        <v>426076677</v>
      </c>
      <c r="AN403" s="5">
        <v>4519196287326</v>
      </c>
      <c r="AO403" s="5">
        <v>42893597098</v>
      </c>
      <c r="AP403" s="5">
        <v>39162922515</v>
      </c>
      <c r="AQ403" s="5"/>
      <c r="AR403" s="5"/>
      <c r="AS403" s="5"/>
      <c r="AT403" s="5"/>
      <c r="AU403" s="5"/>
      <c r="AV403" s="5"/>
      <c r="AW403" s="5"/>
      <c r="AX403" s="5"/>
      <c r="AY403" s="5"/>
      <c r="AZ403" s="5"/>
      <c r="BA403" s="5"/>
    </row>
    <row r="404" spans="1:53" x14ac:dyDescent="0.45">
      <c r="A404" s="1"/>
      <c r="B404" s="2"/>
      <c r="C404" s="1" t="s">
        <v>398</v>
      </c>
      <c r="D404" s="2">
        <v>4004124</v>
      </c>
      <c r="E404" s="3" t="s">
        <v>1375</v>
      </c>
      <c r="F404" s="3" t="s">
        <v>1376</v>
      </c>
      <c r="G404" s="3" t="s">
        <v>703</v>
      </c>
      <c r="H404" s="5">
        <v>19497542481504</v>
      </c>
      <c r="I404" s="5">
        <v>19254692055033</v>
      </c>
      <c r="J404" s="5">
        <v>1889832791466</v>
      </c>
      <c r="K404" s="5">
        <v>196295449299473</v>
      </c>
      <c r="L404" s="5">
        <v>198137551529068</v>
      </c>
      <c r="M404" s="5">
        <v>196759004346205</v>
      </c>
      <c r="N404" s="5">
        <v>19536809112975</v>
      </c>
      <c r="O404" s="5">
        <v>200516879761</v>
      </c>
      <c r="P404" s="5">
        <v>204996563121808</v>
      </c>
      <c r="Q404" s="5">
        <v>2148151856256</v>
      </c>
      <c r="R404" s="5">
        <v>2193151528512</v>
      </c>
      <c r="S404" s="5">
        <v>2075322854016</v>
      </c>
      <c r="T404" s="5">
        <v>21313988469416</v>
      </c>
      <c r="U404" s="5">
        <v>2087463800884</v>
      </c>
      <c r="V404" s="5">
        <v>2119285603568</v>
      </c>
      <c r="W404" s="5">
        <v>213140347511625</v>
      </c>
      <c r="X404" s="5">
        <v>209070139742496</v>
      </c>
      <c r="Y404" s="5">
        <v>203894437255425</v>
      </c>
      <c r="Z404" s="5">
        <v>202942376027775</v>
      </c>
      <c r="AA404" s="5">
        <v>1938319029302</v>
      </c>
      <c r="AB404" s="5">
        <v>186214579988691</v>
      </c>
      <c r="AC404" s="5">
        <v>199897363734915</v>
      </c>
      <c r="AD404" s="5">
        <v>204177967985163</v>
      </c>
      <c r="AE404" s="5">
        <v>198919457511041</v>
      </c>
      <c r="AF404" s="5">
        <v>192724834440717</v>
      </c>
      <c r="AG404" s="5">
        <v>188441023320162</v>
      </c>
      <c r="AH404" s="5">
        <v>174856712285084</v>
      </c>
      <c r="AI404" s="5">
        <v>171137262555883</v>
      </c>
      <c r="AJ404" s="5">
        <v>188349732400728</v>
      </c>
      <c r="AK404" s="5">
        <v>190560701721776</v>
      </c>
      <c r="AL404" s="5">
        <v>1936190214738</v>
      </c>
      <c r="AM404" s="5">
        <v>192527271171</v>
      </c>
      <c r="AN404" s="5">
        <v>20597829196299</v>
      </c>
      <c r="AO404" s="5">
        <v>205031335177155</v>
      </c>
      <c r="AP404" s="5">
        <v>201619709375282</v>
      </c>
      <c r="AQ404" s="5"/>
      <c r="AR404" s="5"/>
      <c r="AS404" s="5"/>
      <c r="AT404" s="5"/>
      <c r="AU404" s="5"/>
      <c r="AV404" s="5"/>
      <c r="AW404" s="5"/>
      <c r="AX404" s="5"/>
      <c r="AY404" s="5"/>
      <c r="AZ404" s="5"/>
      <c r="BA404" s="5"/>
    </row>
    <row r="405" spans="1:53" x14ac:dyDescent="0.45">
      <c r="A405" s="1"/>
      <c r="B405" s="2"/>
      <c r="C405" s="1" t="s">
        <v>399</v>
      </c>
      <c r="D405" s="2">
        <v>103383</v>
      </c>
      <c r="E405" s="3" t="s">
        <v>1377</v>
      </c>
      <c r="F405" s="3" t="s">
        <v>1378</v>
      </c>
      <c r="G405" s="3" t="s">
        <v>527</v>
      </c>
      <c r="H405" s="5">
        <v>272805520877937</v>
      </c>
      <c r="I405" s="5">
        <v>259730097538612</v>
      </c>
      <c r="J405" s="5">
        <v>2430526756</v>
      </c>
      <c r="K405" s="5">
        <v>237798993725022</v>
      </c>
      <c r="L405" s="5">
        <v>227192148771143</v>
      </c>
      <c r="M405" s="5">
        <v>23234076705</v>
      </c>
      <c r="N405" s="5">
        <v>22452678185</v>
      </c>
      <c r="O405" s="5">
        <v>2193635243</v>
      </c>
      <c r="P405" s="5">
        <v>211767187944</v>
      </c>
      <c r="Q405" s="5">
        <v>21284909990777</v>
      </c>
      <c r="R405" s="5">
        <v>21435910848</v>
      </c>
      <c r="S405" s="5">
        <v>201200062752</v>
      </c>
      <c r="T405" s="5">
        <v>19501544085</v>
      </c>
      <c r="U405" s="5">
        <v>1828049454</v>
      </c>
      <c r="V405" s="5">
        <v>166978396992</v>
      </c>
      <c r="W405" s="5">
        <v>163183606425</v>
      </c>
      <c r="X405" s="5">
        <v>170077881204</v>
      </c>
      <c r="Y405" s="5">
        <v>1693027837655</v>
      </c>
      <c r="Z405" s="5">
        <v>175771892025</v>
      </c>
      <c r="AA405" s="5">
        <v>17444359845</v>
      </c>
      <c r="AB405" s="5">
        <v>1659491427</v>
      </c>
      <c r="AC405" s="5">
        <v>171698699164535</v>
      </c>
      <c r="AD405" s="5">
        <v>16854185625</v>
      </c>
      <c r="AE405" s="5">
        <v>1710528837</v>
      </c>
      <c r="AF405" s="5">
        <v>170527169443284</v>
      </c>
      <c r="AG405" s="5">
        <v>175636876163</v>
      </c>
      <c r="AH405" s="5">
        <v>1606115862</v>
      </c>
      <c r="AI405" s="5">
        <v>15686992335</v>
      </c>
      <c r="AJ405" s="5">
        <v>161749852425</v>
      </c>
      <c r="AK405" s="5">
        <v>146458450215</v>
      </c>
      <c r="AL405" s="5">
        <v>14615763364043</v>
      </c>
      <c r="AM405" s="5">
        <v>139859886285</v>
      </c>
      <c r="AN405" s="5">
        <v>14910429768</v>
      </c>
      <c r="AO405" s="5">
        <v>1399685889225</v>
      </c>
      <c r="AP405" s="5">
        <v>135107079075</v>
      </c>
      <c r="AQ405" s="5"/>
      <c r="AR405" s="5"/>
      <c r="AS405" s="5"/>
      <c r="AT405" s="5"/>
      <c r="AU405" s="5"/>
      <c r="AV405" s="5"/>
      <c r="AW405" s="5"/>
      <c r="AX405" s="5"/>
      <c r="AY405" s="5"/>
      <c r="AZ405" s="5"/>
      <c r="BA405" s="5"/>
    </row>
    <row r="406" spans="1:53" x14ac:dyDescent="0.45">
      <c r="A406" s="1"/>
      <c r="B406" s="2"/>
      <c r="C406" s="1" t="s">
        <v>400</v>
      </c>
      <c r="D406" s="2">
        <v>4191577</v>
      </c>
      <c r="E406" s="3" t="s">
        <v>1379</v>
      </c>
      <c r="F406" s="3" t="s">
        <v>1380</v>
      </c>
      <c r="G406" s="3" t="s">
        <v>496</v>
      </c>
      <c r="H406" s="5">
        <v>317650307872072</v>
      </c>
      <c r="I406" s="5">
        <v>311986857568446</v>
      </c>
      <c r="J406" s="5">
        <v>315745730791205</v>
      </c>
      <c r="K406" s="5">
        <v>281493553010488</v>
      </c>
      <c r="L406" s="5">
        <v>265475432988974</v>
      </c>
      <c r="M406" s="5">
        <v>265916183877995</v>
      </c>
      <c r="N406" s="5">
        <v>284979824339417</v>
      </c>
      <c r="O406" s="5">
        <v>273546835160358</v>
      </c>
      <c r="P406" s="5">
        <v>284565593422849</v>
      </c>
      <c r="Q406" s="5">
        <v>268771824752438</v>
      </c>
      <c r="R406" s="5">
        <v>269780127917832</v>
      </c>
      <c r="S406" s="5">
        <v>260205852248667</v>
      </c>
      <c r="T406" s="5">
        <v>235285781053842</v>
      </c>
      <c r="U406" s="5">
        <v>234901689693594</v>
      </c>
      <c r="V406" s="5">
        <v>206480457604344</v>
      </c>
      <c r="W406" s="5">
        <v>225780739685649</v>
      </c>
      <c r="X406" s="5">
        <v>234169766670139</v>
      </c>
      <c r="Y406" s="5">
        <v>246813275115604</v>
      </c>
      <c r="Z406" s="5">
        <v>243312336033331</v>
      </c>
      <c r="AA406" s="5">
        <v>240665854569259</v>
      </c>
      <c r="AB406" s="5">
        <v>230073308832407</v>
      </c>
      <c r="AC406" s="5">
        <v>228545481189475</v>
      </c>
      <c r="AD406" s="5">
        <v>219975503763879</v>
      </c>
      <c r="AE406" s="5">
        <v>222535087830282</v>
      </c>
      <c r="AF406" s="5">
        <v>243284733349658</v>
      </c>
      <c r="AG406" s="5">
        <v>224759839406708</v>
      </c>
      <c r="AH406" s="5">
        <v>186068971471923</v>
      </c>
      <c r="AI406" s="5">
        <v>212869230282485</v>
      </c>
      <c r="AJ406" s="5">
        <v>234345041830301</v>
      </c>
      <c r="AK406" s="5">
        <v>230076220687375</v>
      </c>
      <c r="AL406" s="5">
        <v>243404394205525</v>
      </c>
      <c r="AM406" s="5">
        <v>230193213366309</v>
      </c>
      <c r="AN406" s="5">
        <v>250017509447085</v>
      </c>
      <c r="AO406" s="5">
        <v>239646482083357</v>
      </c>
      <c r="AP406" s="5">
        <v>229492682595365</v>
      </c>
      <c r="AQ406" s="5"/>
      <c r="AR406" s="5"/>
      <c r="AS406" s="5"/>
      <c r="AT406" s="5"/>
      <c r="AU406" s="5"/>
      <c r="AV406" s="5"/>
      <c r="AW406" s="5"/>
      <c r="AX406" s="5"/>
      <c r="AY406" s="5"/>
      <c r="AZ406" s="5"/>
      <c r="BA406" s="5"/>
    </row>
    <row r="407" spans="1:53" x14ac:dyDescent="0.45">
      <c r="A407" s="1"/>
      <c r="B407" s="2"/>
      <c r="C407" s="1" t="s">
        <v>401</v>
      </c>
      <c r="D407" s="2">
        <v>4004298</v>
      </c>
      <c r="E407" s="3" t="s">
        <v>1381</v>
      </c>
      <c r="F407" s="3" t="s">
        <v>1382</v>
      </c>
      <c r="G407" s="3" t="s">
        <v>507</v>
      </c>
      <c r="H407" s="5">
        <v>401946386738062</v>
      </c>
      <c r="I407" s="5">
        <v>431486040131942</v>
      </c>
      <c r="J407" s="5">
        <v>448162155207144</v>
      </c>
      <c r="K407" s="5">
        <v>415554854759619</v>
      </c>
      <c r="L407" s="5">
        <v>406183706315169</v>
      </c>
      <c r="M407" s="5">
        <v>4047461575415</v>
      </c>
      <c r="N407" s="5">
        <v>417666382686</v>
      </c>
      <c r="O407" s="5">
        <v>44828045367</v>
      </c>
      <c r="P407" s="5">
        <v>454884202812</v>
      </c>
      <c r="Q407" s="5">
        <v>461375954088</v>
      </c>
      <c r="R407" s="5">
        <v>47443981662</v>
      </c>
      <c r="S407" s="5">
        <v>4489064538</v>
      </c>
      <c r="T407" s="5">
        <v>4566573326</v>
      </c>
      <c r="U407" s="5">
        <v>434058856</v>
      </c>
      <c r="V407" s="5">
        <v>4611141864</v>
      </c>
      <c r="W407" s="5">
        <v>446351678815943</v>
      </c>
      <c r="X407" s="5">
        <v>450327573086224</v>
      </c>
      <c r="Y407" s="5">
        <v>4510279515</v>
      </c>
      <c r="Z407" s="5">
        <v>444400274456402</v>
      </c>
      <c r="AA407" s="5">
        <v>408815760047066</v>
      </c>
      <c r="AB407" s="5">
        <v>4019579815905</v>
      </c>
      <c r="AC407" s="5">
        <v>404866802940925</v>
      </c>
      <c r="AD407" s="5">
        <v>410925995255391</v>
      </c>
      <c r="AE407" s="5">
        <v>391588087974242</v>
      </c>
      <c r="AF407" s="5">
        <v>383202621985367</v>
      </c>
      <c r="AG407" s="5">
        <v>37177131915</v>
      </c>
      <c r="AH407" s="5">
        <v>363855339996155</v>
      </c>
      <c r="AI407" s="5">
        <v>352053470971162</v>
      </c>
      <c r="AJ407" s="5">
        <v>36762522426</v>
      </c>
      <c r="AK407" s="5">
        <v>34164909959659</v>
      </c>
      <c r="AL407" s="5">
        <v>3617365999845</v>
      </c>
      <c r="AM407" s="5">
        <v>359304453</v>
      </c>
      <c r="AN407" s="5">
        <v>37467196542</v>
      </c>
      <c r="AO407" s="5">
        <v>371215706535</v>
      </c>
      <c r="AP407" s="5">
        <v>404243022213518</v>
      </c>
      <c r="AQ407" s="5"/>
      <c r="AR407" s="5"/>
      <c r="AS407" s="5"/>
      <c r="AT407" s="5"/>
      <c r="AU407" s="5"/>
      <c r="AV407" s="5"/>
      <c r="AW407" s="5"/>
      <c r="AX407" s="5"/>
      <c r="AY407" s="5"/>
      <c r="AZ407" s="5"/>
      <c r="BA407" s="5"/>
    </row>
    <row r="408" spans="1:53" x14ac:dyDescent="0.45">
      <c r="A408" s="1"/>
      <c r="B408" s="2"/>
      <c r="C408" s="1" t="s">
        <v>402</v>
      </c>
      <c r="D408" s="2">
        <v>4074192</v>
      </c>
      <c r="E408" s="3" t="s">
        <v>1383</v>
      </c>
      <c r="F408" s="3" t="s">
        <v>1384</v>
      </c>
      <c r="G408" s="3" t="s">
        <v>1257</v>
      </c>
      <c r="H408" s="5">
        <v>402624234904994</v>
      </c>
      <c r="I408" s="5">
        <v>401128504360342</v>
      </c>
      <c r="J408" s="5">
        <v>381498581967262</v>
      </c>
      <c r="K408" s="5">
        <v>396926660714137</v>
      </c>
      <c r="L408" s="5">
        <v>38738812722423</v>
      </c>
      <c r="M408" s="5">
        <v>383768207548</v>
      </c>
      <c r="N408" s="5">
        <v>406919661764</v>
      </c>
      <c r="O408" s="5">
        <v>43059169032</v>
      </c>
      <c r="P408" s="5">
        <v>465211212400538</v>
      </c>
      <c r="Q408" s="5">
        <v>4774500613344</v>
      </c>
      <c r="R408" s="5">
        <v>4817534481</v>
      </c>
      <c r="S408" s="5">
        <v>452603504916</v>
      </c>
      <c r="T408" s="5">
        <v>463961460831</v>
      </c>
      <c r="U408" s="5">
        <v>48312129083024</v>
      </c>
      <c r="V408" s="5">
        <v>4418497728</v>
      </c>
      <c r="W408" s="5">
        <v>4368496364928</v>
      </c>
      <c r="X408" s="5">
        <v>456155150561683</v>
      </c>
      <c r="Y408" s="5">
        <v>484411752279</v>
      </c>
      <c r="Z408" s="5">
        <v>46060980430725</v>
      </c>
      <c r="AA408" s="5">
        <v>453031675811</v>
      </c>
      <c r="AB408" s="5">
        <v>438487877273363</v>
      </c>
      <c r="AC408" s="5">
        <v>456704264418404</v>
      </c>
      <c r="AD408" s="5">
        <v>440794183468355</v>
      </c>
      <c r="AE408" s="5">
        <v>437138129273018</v>
      </c>
      <c r="AF408" s="5">
        <v>450657949982105</v>
      </c>
      <c r="AG408" s="5">
        <v>447595777037344</v>
      </c>
      <c r="AH408" s="5">
        <v>431569620662636</v>
      </c>
      <c r="AI408" s="5">
        <v>423357732897112</v>
      </c>
      <c r="AJ408" s="5">
        <v>429986816535686</v>
      </c>
      <c r="AK408" s="5">
        <v>404176713762993</v>
      </c>
      <c r="AL408" s="5">
        <v>4002126039162</v>
      </c>
      <c r="AM408" s="5">
        <v>393325398498532</v>
      </c>
      <c r="AN408" s="5">
        <v>445666064574286</v>
      </c>
      <c r="AO408" s="5">
        <v>417925827716552</v>
      </c>
      <c r="AP408" s="5">
        <v>402361578760671</v>
      </c>
      <c r="AQ408" s="5"/>
      <c r="AR408" s="5"/>
      <c r="AS408" s="5"/>
      <c r="AT408" s="5"/>
      <c r="AU408" s="5"/>
      <c r="AV408" s="5"/>
      <c r="AW408" s="5"/>
      <c r="AX408" s="5"/>
      <c r="AY408" s="5"/>
      <c r="AZ408" s="5"/>
      <c r="BA408" s="5"/>
    </row>
    <row r="409" spans="1:53" x14ac:dyDescent="0.45">
      <c r="A409" s="1"/>
      <c r="B409" s="2"/>
      <c r="C409" s="1" t="s">
        <v>403</v>
      </c>
      <c r="D409" s="2">
        <v>4055530</v>
      </c>
      <c r="E409" s="3" t="s">
        <v>1385</v>
      </c>
      <c r="F409" s="3" t="s">
        <v>1386</v>
      </c>
      <c r="G409" s="3" t="s">
        <v>527</v>
      </c>
      <c r="H409" s="5">
        <v>30916957659269</v>
      </c>
      <c r="I409" s="5">
        <v>31157026438856</v>
      </c>
      <c r="J409" s="5">
        <v>311396251287558</v>
      </c>
      <c r="K409" s="5">
        <v>286058210027942</v>
      </c>
      <c r="L409" s="5">
        <v>281592023807104</v>
      </c>
      <c r="M409" s="5">
        <v>299911283812921</v>
      </c>
      <c r="N409" s="5">
        <v>309882059652138</v>
      </c>
      <c r="O409" s="5">
        <v>310477089630785</v>
      </c>
      <c r="P409" s="5">
        <v>311994451701853</v>
      </c>
      <c r="Q409" s="5">
        <v>315058847435321</v>
      </c>
      <c r="R409" s="5">
        <v>322058064331891</v>
      </c>
      <c r="S409" s="5">
        <v>305174245896</v>
      </c>
      <c r="T409" s="5">
        <v>32941859114936</v>
      </c>
      <c r="U409" s="5">
        <v>304593656108324</v>
      </c>
      <c r="V409" s="5">
        <v>280375748964781</v>
      </c>
      <c r="W409" s="5">
        <v>293785782087897</v>
      </c>
      <c r="X409" s="5">
        <v>306987330952968</v>
      </c>
      <c r="Y409" s="5">
        <v>299844537195242</v>
      </c>
      <c r="Z409" s="5">
        <v>309877925844476</v>
      </c>
      <c r="AA409" s="5">
        <v>299881386754916</v>
      </c>
      <c r="AB409" s="5">
        <v>280579504891357</v>
      </c>
      <c r="AC409" s="5">
        <v>291961311798321</v>
      </c>
      <c r="AD409" s="5">
        <v>292707286344</v>
      </c>
      <c r="AE409" s="5">
        <v>316131532512226</v>
      </c>
      <c r="AF409" s="5">
        <v>329913825861049</v>
      </c>
      <c r="AG409" s="5">
        <v>31144185222577</v>
      </c>
      <c r="AH409" s="5">
        <v>27754517712809</v>
      </c>
      <c r="AI409" s="5">
        <v>276578591132283</v>
      </c>
      <c r="AJ409" s="5">
        <v>298927062122092</v>
      </c>
      <c r="AK409" s="5">
        <v>276555289385192</v>
      </c>
      <c r="AL409" s="5">
        <v>29363395754624</v>
      </c>
      <c r="AM409" s="5">
        <v>28783690307235</v>
      </c>
      <c r="AN409" s="5">
        <v>323466930575745</v>
      </c>
      <c r="AO409" s="5">
        <v>30793694558316</v>
      </c>
      <c r="AP409" s="5">
        <v>29343660993</v>
      </c>
      <c r="AQ409" s="5"/>
      <c r="AR409" s="5"/>
      <c r="AS409" s="5"/>
      <c r="AT409" s="5"/>
      <c r="AU409" s="5"/>
      <c r="AV409" s="5"/>
      <c r="AW409" s="5"/>
      <c r="AX409" s="5"/>
      <c r="AY409" s="5"/>
      <c r="AZ409" s="5"/>
      <c r="BA409" s="5"/>
    </row>
    <row r="410" spans="1:53" x14ac:dyDescent="0.45">
      <c r="A410" s="1"/>
      <c r="B410" s="2"/>
      <c r="C410" s="1" t="s">
        <v>404</v>
      </c>
      <c r="D410" s="2">
        <v>4097175</v>
      </c>
      <c r="E410" s="3" t="s">
        <v>1387</v>
      </c>
      <c r="F410" s="3" t="s">
        <v>1388</v>
      </c>
      <c r="G410" s="3" t="s">
        <v>1050</v>
      </c>
      <c r="H410" s="5">
        <v>134953472739338</v>
      </c>
      <c r="I410" s="5">
        <v>132933683029815</v>
      </c>
      <c r="J410" s="5">
        <v>129681402731257</v>
      </c>
      <c r="K410" s="5">
        <v>128726430995434</v>
      </c>
      <c r="L410" s="5">
        <v>13153625010652</v>
      </c>
      <c r="M410" s="5">
        <v>1459651287524</v>
      </c>
      <c r="N410" s="5">
        <v>14573434025</v>
      </c>
      <c r="O410" s="5">
        <v>150332701008</v>
      </c>
      <c r="P410" s="5">
        <v>167556983886396</v>
      </c>
      <c r="Q410" s="5">
        <v>167469568080772</v>
      </c>
      <c r="R410" s="5">
        <v>163777946430141</v>
      </c>
      <c r="S410" s="5">
        <v>16240490662965</v>
      </c>
      <c r="T410" s="5">
        <v>15712103584476</v>
      </c>
      <c r="U410" s="5">
        <v>1492272573792</v>
      </c>
      <c r="V410" s="5">
        <v>1359130191276</v>
      </c>
      <c r="W410" s="5">
        <v>1327671899829</v>
      </c>
      <c r="X410" s="5">
        <v>1361781697353</v>
      </c>
      <c r="Y410" s="5">
        <v>1393196569541</v>
      </c>
      <c r="Z410" s="5">
        <v>14290779090636</v>
      </c>
      <c r="AA410" s="5">
        <v>14464722829964</v>
      </c>
      <c r="AB410" s="5">
        <v>14710474797633</v>
      </c>
      <c r="AC410" s="5">
        <v>14346547724952</v>
      </c>
      <c r="AD410" s="5">
        <v>14537031237388</v>
      </c>
      <c r="AE410" s="5">
        <v>159948944725958</v>
      </c>
      <c r="AF410" s="5">
        <v>177559618068805</v>
      </c>
      <c r="AG410" s="5">
        <v>174094307354379</v>
      </c>
      <c r="AH410" s="5">
        <v>154567801308367</v>
      </c>
      <c r="AI410" s="5">
        <v>153516367087584</v>
      </c>
      <c r="AJ410" s="5">
        <v>1842988134525</v>
      </c>
      <c r="AK410" s="5">
        <v>173865742427081</v>
      </c>
      <c r="AL410" s="5">
        <v>170632437767005</v>
      </c>
      <c r="AM410" s="5">
        <v>16505159912082</v>
      </c>
      <c r="AN410" s="5">
        <v>165939988743709</v>
      </c>
      <c r="AO410" s="5">
        <v>157759807622124</v>
      </c>
      <c r="AP410" s="5">
        <v>1365604407045</v>
      </c>
      <c r="AQ410" s="5"/>
      <c r="AR410" s="5"/>
      <c r="AS410" s="5"/>
      <c r="AT410" s="5"/>
      <c r="AU410" s="5"/>
      <c r="AV410" s="5"/>
      <c r="AW410" s="5"/>
      <c r="AX410" s="5"/>
      <c r="AY410" s="5"/>
      <c r="AZ410" s="5"/>
      <c r="BA410" s="5"/>
    </row>
    <row r="411" spans="1:53" x14ac:dyDescent="0.45">
      <c r="A411" s="1"/>
      <c r="B411" s="2"/>
      <c r="C411" s="1" t="s">
        <v>405</v>
      </c>
      <c r="D411" s="2">
        <v>4011165</v>
      </c>
      <c r="E411" s="3" t="s">
        <v>1389</v>
      </c>
      <c r="F411" s="3" t="s">
        <v>1390</v>
      </c>
      <c r="G411" s="3" t="s">
        <v>1026</v>
      </c>
      <c r="H411" s="5">
        <v>209928078979595</v>
      </c>
      <c r="I411" s="5">
        <v>201670641925235</v>
      </c>
      <c r="J411" s="5">
        <v>20237653371831</v>
      </c>
      <c r="K411" s="5">
        <v>209898734277869</v>
      </c>
      <c r="L411" s="5">
        <v>206957279005932</v>
      </c>
      <c r="M411" s="5">
        <v>222806432191</v>
      </c>
      <c r="N411" s="5">
        <v>219295528334</v>
      </c>
      <c r="O411" s="5">
        <v>2103187658</v>
      </c>
      <c r="P411" s="5">
        <v>2322687345108</v>
      </c>
      <c r="Q411" s="5">
        <v>2285256010576</v>
      </c>
      <c r="R411" s="5">
        <v>220463219496</v>
      </c>
      <c r="S411" s="5">
        <v>2207008666212</v>
      </c>
      <c r="T411" s="5">
        <v>2214897059448</v>
      </c>
      <c r="U411" s="5">
        <v>21806045448</v>
      </c>
      <c r="V411" s="5">
        <v>200038690387509</v>
      </c>
      <c r="W411" s="5">
        <v>2052225207837</v>
      </c>
      <c r="X411" s="5">
        <v>188141639065822</v>
      </c>
      <c r="Y411" s="5">
        <v>1610054767881</v>
      </c>
      <c r="Z411" s="5">
        <v>1461806756109</v>
      </c>
      <c r="AA411" s="5">
        <v>1494465340872</v>
      </c>
      <c r="AB411" s="5">
        <v>12698969001495</v>
      </c>
      <c r="AC411" s="5">
        <v>110406624371728</v>
      </c>
      <c r="AD411" s="5">
        <v>13372875076782</v>
      </c>
      <c r="AE411" s="5">
        <v>177418891569337</v>
      </c>
      <c r="AF411" s="5">
        <v>259462595196767</v>
      </c>
      <c r="AG411" s="5">
        <v>268162085449589</v>
      </c>
      <c r="AH411" s="5">
        <v>247559909755087</v>
      </c>
      <c r="AI411" s="5">
        <v>322604884614207</v>
      </c>
      <c r="AJ411" s="5">
        <v>356129888590145</v>
      </c>
      <c r="AK411" s="5">
        <v>385906181317956</v>
      </c>
      <c r="AL411" s="5">
        <v>348739287653247</v>
      </c>
      <c r="AM411" s="5">
        <v>342466139039428</v>
      </c>
      <c r="AN411" s="5">
        <v>35219695185044</v>
      </c>
      <c r="AO411" s="5">
        <v>327102426365305</v>
      </c>
      <c r="AP411" s="5">
        <v>290381721309528</v>
      </c>
      <c r="AQ411" s="5"/>
      <c r="AR411" s="5"/>
      <c r="AS411" s="5"/>
      <c r="AT411" s="5"/>
      <c r="AU411" s="5"/>
      <c r="AV411" s="5"/>
      <c r="AW411" s="5"/>
      <c r="AX411" s="5"/>
      <c r="AY411" s="5"/>
      <c r="AZ411" s="5"/>
      <c r="BA411" s="5"/>
    </row>
    <row r="412" spans="1:53" x14ac:dyDescent="0.45">
      <c r="A412" s="1"/>
      <c r="B412" s="2"/>
      <c r="C412" s="1" t="s">
        <v>406</v>
      </c>
      <c r="D412" s="2">
        <v>4072879</v>
      </c>
      <c r="E412" s="3" t="s">
        <v>1391</v>
      </c>
      <c r="F412" s="3" t="s">
        <v>1392</v>
      </c>
      <c r="G412" s="3" t="s">
        <v>487</v>
      </c>
      <c r="H412" s="5">
        <v>634102234568268</v>
      </c>
      <c r="I412" s="5">
        <v>649053378533642</v>
      </c>
      <c r="J412" s="5">
        <v>66415411627757</v>
      </c>
      <c r="K412" s="5">
        <v>63855386244478</v>
      </c>
      <c r="L412" s="5">
        <v>628615378679812</v>
      </c>
      <c r="M412" s="5">
        <v>582672133401</v>
      </c>
      <c r="N412" s="5">
        <v>598265184551</v>
      </c>
      <c r="O412" s="5">
        <v>601630117717858</v>
      </c>
      <c r="P412" s="5">
        <v>593629427270468</v>
      </c>
      <c r="Q412" s="5">
        <v>560783954299699</v>
      </c>
      <c r="R412" s="5">
        <v>579865644735682</v>
      </c>
      <c r="S412" s="5">
        <v>5578606272939</v>
      </c>
      <c r="T412" s="5">
        <v>528013017709</v>
      </c>
      <c r="U412" s="5">
        <v>523588800218</v>
      </c>
      <c r="V412" s="5">
        <v>5289004681272</v>
      </c>
      <c r="W412" s="5">
        <v>5579083723554</v>
      </c>
      <c r="X412" s="5">
        <v>538255705654352</v>
      </c>
      <c r="Y412" s="5">
        <v>5593896466158</v>
      </c>
      <c r="Z412" s="5">
        <v>5235669910692</v>
      </c>
      <c r="AA412" s="5">
        <v>53664113061585</v>
      </c>
      <c r="AB412" s="5">
        <v>495586126190721</v>
      </c>
      <c r="AC412" s="5">
        <v>471257883932175</v>
      </c>
      <c r="AD412" s="5">
        <v>48707179854384</v>
      </c>
      <c r="AE412" s="5">
        <v>521255069213504</v>
      </c>
      <c r="AF412" s="5">
        <v>522828042952015</v>
      </c>
      <c r="AG412" s="5">
        <v>473321262476633</v>
      </c>
      <c r="AH412" s="5">
        <v>436618915893381</v>
      </c>
      <c r="AI412" s="5">
        <v>446003593080608</v>
      </c>
      <c r="AJ412" s="5">
        <v>503272294381167</v>
      </c>
      <c r="AK412" s="5">
        <v>463704649767576</v>
      </c>
      <c r="AL412" s="5">
        <v>470154574563465</v>
      </c>
      <c r="AM412" s="5">
        <v>4468733570862</v>
      </c>
      <c r="AN412" s="5">
        <v>49617868498587</v>
      </c>
      <c r="AO412" s="5">
        <v>460031912379585</v>
      </c>
      <c r="AP412" s="5">
        <v>443647282986973</v>
      </c>
      <c r="AQ412" s="5"/>
      <c r="AR412" s="5"/>
      <c r="AS412" s="5"/>
      <c r="AT412" s="5"/>
      <c r="AU412" s="5"/>
      <c r="AV412" s="5"/>
      <c r="AW412" s="5"/>
      <c r="AX412" s="5"/>
      <c r="AY412" s="5"/>
      <c r="AZ412" s="5"/>
      <c r="BA412" s="5"/>
    </row>
    <row r="413" spans="1:53" x14ac:dyDescent="0.45">
      <c r="A413" s="1"/>
      <c r="B413" s="2"/>
      <c r="C413" s="1" t="s">
        <v>407</v>
      </c>
      <c r="D413" s="2">
        <v>4071364</v>
      </c>
      <c r="E413" s="3" t="s">
        <v>1393</v>
      </c>
      <c r="F413" s="3" t="s">
        <v>1394</v>
      </c>
      <c r="G413" s="3" t="s">
        <v>1395</v>
      </c>
      <c r="H413" s="5">
        <v>78166076748552</v>
      </c>
      <c r="I413" s="5">
        <v>719497969380259</v>
      </c>
      <c r="J413" s="5">
        <v>655820569176302</v>
      </c>
      <c r="K413" s="5">
        <v>678452634678956</v>
      </c>
      <c r="L413" s="5">
        <v>634916129688756</v>
      </c>
      <c r="M413" s="5">
        <v>61217469392</v>
      </c>
      <c r="N413" s="5">
        <v>61085367564</v>
      </c>
      <c r="O413" s="5">
        <v>631017476</v>
      </c>
      <c r="P413" s="5">
        <v>738161585018</v>
      </c>
      <c r="Q413" s="5">
        <v>837929165304</v>
      </c>
      <c r="R413" s="5">
        <v>873212509886472</v>
      </c>
      <c r="S413" s="5">
        <v>896043605625</v>
      </c>
      <c r="T413" s="5">
        <v>942569420625</v>
      </c>
      <c r="U413" s="5">
        <v>9320878875</v>
      </c>
      <c r="V413" s="5">
        <v>763781517992</v>
      </c>
      <c r="W413" s="5">
        <v>800863018965</v>
      </c>
      <c r="X413" s="5">
        <v>1006558006685</v>
      </c>
      <c r="Y413" s="5">
        <v>10944217809525</v>
      </c>
      <c r="Z413" s="5">
        <v>1095500742633</v>
      </c>
      <c r="AA413" s="5">
        <v>1152176789665</v>
      </c>
      <c r="AB413" s="5">
        <v>1101921516828</v>
      </c>
      <c r="AC413" s="5">
        <v>1041178117149</v>
      </c>
      <c r="AD413" s="5">
        <v>10963217520521</v>
      </c>
      <c r="AE413" s="5">
        <v>105753200736476</v>
      </c>
      <c r="AF413" s="5">
        <v>113611892723329</v>
      </c>
      <c r="AG413" s="5">
        <v>113794458324521</v>
      </c>
      <c r="AH413" s="5">
        <v>102617996303308</v>
      </c>
      <c r="AI413" s="5">
        <v>103440470970726</v>
      </c>
      <c r="AJ413" s="5">
        <v>114249878851758</v>
      </c>
      <c r="AK413" s="5">
        <v>110155925944162</v>
      </c>
      <c r="AL413" s="5">
        <v>10831958899868</v>
      </c>
      <c r="AM413" s="5">
        <v>1046965430043</v>
      </c>
      <c r="AN413" s="5">
        <v>108062347463996</v>
      </c>
      <c r="AO413" s="5">
        <v>107034773853036</v>
      </c>
      <c r="AP413" s="5">
        <v>97735054456036</v>
      </c>
      <c r="AQ413" s="5"/>
      <c r="AR413" s="5"/>
      <c r="AS413" s="5"/>
      <c r="AT413" s="5"/>
      <c r="AU413" s="5"/>
      <c r="AV413" s="5"/>
      <c r="AW413" s="5"/>
      <c r="AX413" s="5"/>
      <c r="AY413" s="5"/>
      <c r="AZ413" s="5"/>
      <c r="BA413" s="5"/>
    </row>
    <row r="414" spans="1:53" x14ac:dyDescent="0.45">
      <c r="A414" s="1"/>
      <c r="B414" s="2"/>
      <c r="C414" s="1" t="s">
        <v>408</v>
      </c>
      <c r="D414" s="2">
        <v>4402486</v>
      </c>
      <c r="E414" s="3" t="s">
        <v>1396</v>
      </c>
      <c r="F414" s="3" t="s">
        <v>1397</v>
      </c>
      <c r="G414" s="3" t="s">
        <v>466</v>
      </c>
      <c r="H414" s="5">
        <v>185595433515227</v>
      </c>
      <c r="I414" s="5">
        <v>183839067315926</v>
      </c>
      <c r="J414" s="5">
        <v>19016793548701</v>
      </c>
      <c r="K414" s="5">
        <v>19138414280388</v>
      </c>
      <c r="L414" s="5">
        <v>182404761315032</v>
      </c>
      <c r="M414" s="5">
        <v>189150452476955</v>
      </c>
      <c r="N414" s="5">
        <v>205082423873672</v>
      </c>
      <c r="O414" s="5">
        <v>20416244603776</v>
      </c>
      <c r="P414" s="5">
        <v>208542348031128</v>
      </c>
      <c r="Q414" s="5">
        <v>19735777732763</v>
      </c>
      <c r="R414" s="5">
        <v>194001433608806</v>
      </c>
      <c r="S414" s="5">
        <v>189960087223137</v>
      </c>
      <c r="T414" s="5">
        <v>183635494536016</v>
      </c>
      <c r="U414" s="5">
        <v>182161582727546</v>
      </c>
      <c r="V414" s="5">
        <v>15860324589185</v>
      </c>
      <c r="W414" s="5">
        <v>155941515325861</v>
      </c>
      <c r="X414" s="5">
        <v>157354336532458</v>
      </c>
      <c r="Y414" s="5">
        <v>152991473820765</v>
      </c>
      <c r="Z414" s="5">
        <v>147631403785607</v>
      </c>
      <c r="AA414" s="5">
        <v>154560962117328</v>
      </c>
      <c r="AB414" s="5">
        <v>147336852381275</v>
      </c>
      <c r="AC414" s="5">
        <v>131366829912046</v>
      </c>
      <c r="AD414" s="5">
        <v>124170566266945</v>
      </c>
      <c r="AE414" s="5">
        <v>132895520680662</v>
      </c>
      <c r="AF414" s="5">
        <v>144971179911661</v>
      </c>
      <c r="AG414" s="5">
        <v>140287549789193</v>
      </c>
      <c r="AH414" s="5">
        <v>120715591575466</v>
      </c>
      <c r="AI414" s="5">
        <v>130978619362037</v>
      </c>
      <c r="AJ414" s="5">
        <v>147473126071485</v>
      </c>
      <c r="AK414" s="5">
        <v>16022478609608</v>
      </c>
      <c r="AL414" s="5">
        <v>16589647744943</v>
      </c>
      <c r="AM414" s="5">
        <v>1556854264602</v>
      </c>
      <c r="AN414" s="5">
        <v>16687312354296</v>
      </c>
      <c r="AO414" s="5">
        <v>15779149929783</v>
      </c>
      <c r="AP414" s="5">
        <v>156134099383164</v>
      </c>
      <c r="AQ414" s="5"/>
      <c r="AR414" s="5"/>
      <c r="AS414" s="5"/>
      <c r="AT414" s="5"/>
      <c r="AU414" s="5"/>
      <c r="AV414" s="5"/>
      <c r="AW414" s="5"/>
      <c r="AX414" s="5"/>
      <c r="AY414" s="5"/>
      <c r="AZ414" s="5"/>
      <c r="BA414" s="5"/>
    </row>
    <row r="415" spans="1:53" x14ac:dyDescent="0.45">
      <c r="A415" s="1"/>
      <c r="B415" s="2"/>
      <c r="C415" s="1" t="s">
        <v>409</v>
      </c>
      <c r="D415" s="2">
        <v>4421633</v>
      </c>
      <c r="E415" s="3" t="s">
        <v>1398</v>
      </c>
      <c r="F415" s="3" t="s">
        <v>1399</v>
      </c>
      <c r="G415" s="3" t="s">
        <v>600</v>
      </c>
      <c r="H415" s="5">
        <v>118833675769063</v>
      </c>
      <c r="I415" s="5">
        <v>12381917124538</v>
      </c>
      <c r="J415" s="5">
        <v>12374043765915</v>
      </c>
      <c r="K415" s="5">
        <v>112285321952683</v>
      </c>
      <c r="L415" s="5">
        <v>113944549252137</v>
      </c>
      <c r="M415" s="5">
        <v>124542820513431</v>
      </c>
      <c r="N415" s="5">
        <v>122601689757128</v>
      </c>
      <c r="O415" s="5">
        <v>124124242108368</v>
      </c>
      <c r="P415" s="5">
        <v>119665766912649</v>
      </c>
      <c r="Q415" s="5">
        <v>108803491246285</v>
      </c>
      <c r="R415" s="5">
        <v>12653957321646</v>
      </c>
      <c r="S415" s="5">
        <v>107122452398622</v>
      </c>
      <c r="T415" s="5">
        <v>125815188721155</v>
      </c>
      <c r="U415" s="5">
        <v>12688906362895</v>
      </c>
      <c r="V415" s="5">
        <v>132413883604842</v>
      </c>
      <c r="W415" s="5">
        <v>137007017633407</v>
      </c>
      <c r="X415" s="5">
        <v>136268802087918</v>
      </c>
      <c r="Y415" s="5">
        <v>132531472559226</v>
      </c>
      <c r="Z415" s="5">
        <v>125794202470801</v>
      </c>
      <c r="AA415" s="5">
        <v>125457362634945</v>
      </c>
      <c r="AB415" s="5">
        <v>106379505987355</v>
      </c>
      <c r="AC415" s="5">
        <v>105121106359652</v>
      </c>
      <c r="AD415" s="5">
        <v>111302767787382</v>
      </c>
      <c r="AE415" s="5">
        <v>112929043690737</v>
      </c>
      <c r="AF415" s="5">
        <v>119233930615894</v>
      </c>
      <c r="AG415" s="5">
        <v>106731796713485</v>
      </c>
      <c r="AH415" s="5">
        <v>101891767555117</v>
      </c>
      <c r="AI415" s="5">
        <v>109842009376335</v>
      </c>
      <c r="AJ415" s="5">
        <v>109140278420088</v>
      </c>
      <c r="AK415" s="5">
        <v>107468316765605</v>
      </c>
      <c r="AL415" s="5">
        <v>10973766027572</v>
      </c>
      <c r="AM415" s="5">
        <v>99875713218525</v>
      </c>
      <c r="AN415" s="5">
        <v>10731315842008</v>
      </c>
      <c r="AO415" s="5">
        <v>10194268005019</v>
      </c>
      <c r="AP415" s="5">
        <v>95802863934375</v>
      </c>
      <c r="AQ415" s="5"/>
      <c r="AR415" s="5"/>
      <c r="AS415" s="5"/>
      <c r="AT415" s="5"/>
      <c r="AU415" s="5"/>
      <c r="AV415" s="5"/>
      <c r="AW415" s="5"/>
      <c r="AX415" s="5"/>
      <c r="AY415" s="5"/>
      <c r="AZ415" s="5"/>
      <c r="BA415" s="5"/>
    </row>
    <row r="416" spans="1:53" x14ac:dyDescent="0.45">
      <c r="A416" s="1"/>
      <c r="B416" s="2"/>
      <c r="C416" s="1" t="s">
        <v>410</v>
      </c>
      <c r="D416" s="2">
        <v>4104139</v>
      </c>
      <c r="E416" s="3" t="s">
        <v>1400</v>
      </c>
      <c r="F416" s="3" t="s">
        <v>1401</v>
      </c>
      <c r="G416" s="3" t="s">
        <v>478</v>
      </c>
      <c r="H416" s="5">
        <v>85208591844096</v>
      </c>
      <c r="I416" s="5">
        <v>88768524319839</v>
      </c>
      <c r="J416" s="5">
        <v>888960852716552</v>
      </c>
      <c r="K416" s="5">
        <v>840697859154092</v>
      </c>
      <c r="L416" s="5">
        <v>824572255829507</v>
      </c>
      <c r="M416" s="5">
        <v>80318478563492</v>
      </c>
      <c r="N416" s="5">
        <v>79067649650326</v>
      </c>
      <c r="O416" s="5">
        <v>81118252905676</v>
      </c>
      <c r="P416" s="5">
        <v>82189248461658</v>
      </c>
      <c r="Q416" s="5">
        <v>75663421445304</v>
      </c>
      <c r="R416" s="5">
        <v>73743177063081</v>
      </c>
      <c r="S416" s="5">
        <v>687823822331176</v>
      </c>
      <c r="T416" s="5">
        <v>715694780294429</v>
      </c>
      <c r="U416" s="5">
        <v>668250370661522</v>
      </c>
      <c r="V416" s="5">
        <v>628387639920744</v>
      </c>
      <c r="W416" s="5">
        <v>633113690698566</v>
      </c>
      <c r="X416" s="5">
        <v>612451259552055</v>
      </c>
      <c r="Y416" s="5">
        <v>594102169070752</v>
      </c>
      <c r="Z416" s="5">
        <v>550728816427616</v>
      </c>
      <c r="AA416" s="5">
        <v>57709020554795</v>
      </c>
      <c r="AB416" s="5">
        <v>526354161529836</v>
      </c>
      <c r="AC416" s="5">
        <v>537227679484147</v>
      </c>
      <c r="AD416" s="5">
        <v>446529912635582</v>
      </c>
      <c r="AE416" s="5">
        <v>494703389239166</v>
      </c>
      <c r="AF416" s="5">
        <v>542943832103591</v>
      </c>
      <c r="AG416" s="5">
        <v>53031275661091</v>
      </c>
      <c r="AH416" s="5">
        <v>378199206024234</v>
      </c>
      <c r="AI416" s="5">
        <v>43371743316174</v>
      </c>
      <c r="AJ416" s="5">
        <v>542500434638778</v>
      </c>
      <c r="AK416" s="5">
        <v>546450687134478</v>
      </c>
      <c r="AL416" s="5">
        <v>554134310939595</v>
      </c>
      <c r="AM416" s="5">
        <v>58872956190075</v>
      </c>
      <c r="AN416" s="5">
        <v>608691311314758</v>
      </c>
      <c r="AO416" s="5">
        <v>604217944098986</v>
      </c>
      <c r="AP416" s="5">
        <v>546924321768</v>
      </c>
      <c r="AQ416" s="5"/>
      <c r="AR416" s="5"/>
      <c r="AS416" s="5"/>
      <c r="AT416" s="5"/>
      <c r="AU416" s="5"/>
      <c r="AV416" s="5"/>
      <c r="AW416" s="5"/>
      <c r="AX416" s="5"/>
      <c r="AY416" s="5"/>
      <c r="AZ416" s="5"/>
      <c r="BA416" s="5"/>
    </row>
    <row r="417" spans="1:53" x14ac:dyDescent="0.45">
      <c r="A417" s="1"/>
      <c r="B417" s="2"/>
      <c r="C417" s="1" t="s">
        <v>411</v>
      </c>
      <c r="D417" s="2">
        <v>100438</v>
      </c>
      <c r="E417" s="3" t="s">
        <v>1402</v>
      </c>
      <c r="F417" s="3" t="s">
        <v>1403</v>
      </c>
      <c r="G417" s="3" t="s">
        <v>607</v>
      </c>
      <c r="H417" s="5">
        <v>326667088386904</v>
      </c>
      <c r="I417" s="5">
        <v>327386253039486</v>
      </c>
      <c r="J417" s="5">
        <v>333691199638123</v>
      </c>
      <c r="K417" s="5">
        <v>320941485150428</v>
      </c>
      <c r="L417" s="5">
        <v>313640005744197</v>
      </c>
      <c r="M417" s="5">
        <v>324457382498031</v>
      </c>
      <c r="N417" s="5">
        <v>3229403920505</v>
      </c>
      <c r="O417" s="5">
        <v>30076268845</v>
      </c>
      <c r="P417" s="5">
        <v>3215508316748</v>
      </c>
      <c r="Q417" s="5">
        <v>337989173088</v>
      </c>
      <c r="R417" s="5">
        <v>367198832615524</v>
      </c>
      <c r="S417" s="5">
        <v>3464920290804</v>
      </c>
      <c r="T417" s="5">
        <v>3614230696532</v>
      </c>
      <c r="U417" s="5">
        <v>3473405023</v>
      </c>
      <c r="V417" s="5">
        <v>290213126336</v>
      </c>
      <c r="W417" s="5">
        <v>27332663571</v>
      </c>
      <c r="X417" s="5">
        <v>281299181625</v>
      </c>
      <c r="Y417" s="5">
        <v>268759059885634</v>
      </c>
      <c r="Z417" s="5">
        <v>2508703386831</v>
      </c>
      <c r="AA417" s="5">
        <v>2556838455713</v>
      </c>
      <c r="AB417" s="5">
        <v>241692887162448</v>
      </c>
      <c r="AC417" s="5">
        <v>231051771745898</v>
      </c>
      <c r="AD417" s="5">
        <v>23552708003043</v>
      </c>
      <c r="AE417" s="5">
        <v>271598068054889</v>
      </c>
      <c r="AF417" s="5">
        <v>285189873625419</v>
      </c>
      <c r="AG417" s="5">
        <v>262828554731261</v>
      </c>
      <c r="AH417" s="5">
        <v>233975759354367</v>
      </c>
      <c r="AI417" s="5">
        <v>241757621631534</v>
      </c>
      <c r="AJ417" s="5">
        <v>267356537838688</v>
      </c>
      <c r="AK417" s="5">
        <v>264537076801734</v>
      </c>
      <c r="AL417" s="5">
        <v>260070325628895</v>
      </c>
      <c r="AM417" s="5">
        <v>246550082759686</v>
      </c>
      <c r="AN417" s="5">
        <v>261606372470415</v>
      </c>
      <c r="AO417" s="5">
        <v>24460311880634</v>
      </c>
      <c r="AP417" s="5">
        <v>22527662766015</v>
      </c>
      <c r="AQ417" s="5"/>
      <c r="AR417" s="5"/>
      <c r="AS417" s="5"/>
      <c r="AT417" s="5"/>
      <c r="AU417" s="5"/>
      <c r="AV417" s="5"/>
      <c r="AW417" s="5"/>
      <c r="AX417" s="5"/>
      <c r="AY417" s="5"/>
      <c r="AZ417" s="5"/>
      <c r="BA417" s="5"/>
    </row>
    <row r="418" spans="1:53" x14ac:dyDescent="0.45">
      <c r="A418" s="1"/>
      <c r="B418" s="2"/>
      <c r="C418" s="1" t="s">
        <v>412</v>
      </c>
      <c r="D418" s="2">
        <v>4964207</v>
      </c>
      <c r="E418" s="3" t="s">
        <v>1404</v>
      </c>
      <c r="F418" s="3" t="s">
        <v>1405</v>
      </c>
      <c r="G418" s="3" t="s">
        <v>478</v>
      </c>
      <c r="H418" s="5">
        <v>553931840748636</v>
      </c>
      <c r="I418" s="5">
        <v>577038815894344</v>
      </c>
      <c r="J418" s="5">
        <v>572133115708329</v>
      </c>
      <c r="K418" s="5">
        <v>550191951000437</v>
      </c>
      <c r="L418" s="5">
        <v>542816106763392</v>
      </c>
      <c r="M418" s="5">
        <v>543808015748019</v>
      </c>
      <c r="N418" s="5">
        <v>570983675515446</v>
      </c>
      <c r="O418" s="5">
        <v>56396923326912</v>
      </c>
      <c r="P418" s="5">
        <v>556774037643478</v>
      </c>
      <c r="Q418" s="5">
        <v>535593153323827</v>
      </c>
      <c r="R418" s="5">
        <v>52610381604</v>
      </c>
      <c r="S418" s="5">
        <v>49563001429116</v>
      </c>
      <c r="T418" s="5">
        <v>49537101095754</v>
      </c>
      <c r="U418" s="5">
        <v>515931358756</v>
      </c>
      <c r="V418" s="5">
        <v>5360381897504</v>
      </c>
      <c r="W418" s="5">
        <v>55359064575378</v>
      </c>
      <c r="X418" s="5">
        <v>5344631596689</v>
      </c>
      <c r="Y418" s="5">
        <v>53018735365596</v>
      </c>
      <c r="Z418" s="5">
        <v>542192323611465</v>
      </c>
      <c r="AA418" s="5">
        <v>497494384919165</v>
      </c>
      <c r="AB418" s="5">
        <v>461733845172105</v>
      </c>
      <c r="AC418" s="5">
        <v>4050735785472</v>
      </c>
      <c r="AD418" s="5">
        <v>4926143999061</v>
      </c>
      <c r="AE418" s="5">
        <v>544738394646</v>
      </c>
      <c r="AF418" s="5">
        <v>5732377942698</v>
      </c>
      <c r="AG418" s="5">
        <v>5243268895074</v>
      </c>
      <c r="AH418" s="5">
        <v>4530638332332</v>
      </c>
      <c r="AI418" s="5">
        <v>417323715144</v>
      </c>
      <c r="AJ418" s="5">
        <v>4277180024184</v>
      </c>
      <c r="AK418" s="5">
        <v>3911149087335</v>
      </c>
      <c r="AL418" s="5">
        <v>3727146581846</v>
      </c>
      <c r="AM418" s="5">
        <v>36680617641375</v>
      </c>
      <c r="AN418" s="5">
        <v>37761589117785</v>
      </c>
      <c r="AO418" s="5">
        <v>35750377766445</v>
      </c>
      <c r="AP418" s="5">
        <v>310388653224</v>
      </c>
      <c r="AQ418" s="5"/>
      <c r="AR418" s="5"/>
      <c r="AS418" s="5"/>
      <c r="AT418" s="5"/>
      <c r="AU418" s="5"/>
      <c r="AV418" s="5"/>
      <c r="AW418" s="5"/>
      <c r="AX418" s="5"/>
      <c r="AY418" s="5"/>
      <c r="AZ418" s="5"/>
      <c r="BA418" s="5"/>
    </row>
    <row r="419" spans="1:53" x14ac:dyDescent="0.45">
      <c r="A419" s="1"/>
      <c r="B419" s="2"/>
      <c r="C419" s="1" t="s">
        <v>413</v>
      </c>
      <c r="D419" s="2">
        <v>3009699</v>
      </c>
      <c r="E419" s="3" t="s">
        <v>1406</v>
      </c>
      <c r="F419" s="3" t="s">
        <v>1407</v>
      </c>
      <c r="G419" s="3" t="s">
        <v>734</v>
      </c>
      <c r="H419" s="5">
        <v>248029437152804</v>
      </c>
      <c r="I419" s="5">
        <v>253967534533204</v>
      </c>
      <c r="J419" s="5">
        <v>229786478144879</v>
      </c>
      <c r="K419" s="5">
        <v>218699051419671</v>
      </c>
      <c r="L419" s="5">
        <v>195574209811023</v>
      </c>
      <c r="M419" s="5">
        <v>197294021988624</v>
      </c>
      <c r="N419" s="5">
        <v>201456480862689</v>
      </c>
      <c r="O419" s="5">
        <v>18728138237369</v>
      </c>
      <c r="P419" s="5">
        <v>216519092520003</v>
      </c>
      <c r="Q419" s="5">
        <v>211869025086642</v>
      </c>
      <c r="R419" s="5">
        <v>21634908683352</v>
      </c>
      <c r="S419" s="5">
        <v>215722341901562</v>
      </c>
      <c r="T419" s="5">
        <v>216619416996244</v>
      </c>
      <c r="U419" s="5">
        <v>200768109978436</v>
      </c>
      <c r="V419" s="5">
        <v>246977201364262</v>
      </c>
      <c r="W419" s="5">
        <v>253803185304437</v>
      </c>
      <c r="X419" s="5">
        <v>258998832650898</v>
      </c>
      <c r="Y419" s="5">
        <v>253756837948958</v>
      </c>
      <c r="Z419" s="5">
        <v>231692626661691</v>
      </c>
      <c r="AA419" s="5">
        <v>220784169473516</v>
      </c>
      <c r="AB419" s="5">
        <v>224452150603188</v>
      </c>
      <c r="AC419" s="5">
        <v>232789930026562</v>
      </c>
      <c r="AD419" s="5">
        <v>195183073376346</v>
      </c>
      <c r="AE419" s="5">
        <v>194355651947704</v>
      </c>
      <c r="AF419" s="5">
        <v>1921994101335</v>
      </c>
      <c r="AG419" s="5">
        <v>163371778159234</v>
      </c>
      <c r="AH419" s="5">
        <v>156840982974935</v>
      </c>
      <c r="AI419" s="5">
        <v>153290372185192</v>
      </c>
      <c r="AJ419" s="5">
        <v>16288458740229</v>
      </c>
      <c r="AK419" s="5">
        <v>155287521590914</v>
      </c>
      <c r="AL419" s="5">
        <v>156939905315756</v>
      </c>
      <c r="AM419" s="5">
        <v>143517528846169</v>
      </c>
      <c r="AN419" s="5">
        <v>145015126050818</v>
      </c>
      <c r="AO419" s="5">
        <v>149858657956364</v>
      </c>
      <c r="AP419" s="5">
        <v>140507515191912</v>
      </c>
      <c r="AQ419" s="5"/>
      <c r="AR419" s="5"/>
      <c r="AS419" s="5"/>
      <c r="AT419" s="5"/>
      <c r="AU419" s="5"/>
      <c r="AV419" s="5"/>
      <c r="AW419" s="5"/>
      <c r="AX419" s="5"/>
      <c r="AY419" s="5"/>
      <c r="AZ419" s="5"/>
      <c r="BA419" s="5"/>
    </row>
    <row r="420" spans="1:53" x14ac:dyDescent="0.45">
      <c r="A420" s="1"/>
      <c r="B420" s="2"/>
      <c r="C420" s="1" t="s">
        <v>414</v>
      </c>
      <c r="D420" s="2">
        <v>4047176</v>
      </c>
      <c r="E420" s="3" t="s">
        <v>1408</v>
      </c>
      <c r="F420" s="3" t="s">
        <v>1409</v>
      </c>
      <c r="G420" s="3" t="s">
        <v>607</v>
      </c>
      <c r="H420" s="5">
        <v>740488589423404</v>
      </c>
      <c r="I420" s="5">
        <v>768501314747745</v>
      </c>
      <c r="J420" s="5">
        <v>7786960414</v>
      </c>
      <c r="K420" s="5">
        <v>758475774479874</v>
      </c>
      <c r="L420" s="5">
        <v>721927855070074</v>
      </c>
      <c r="M420" s="5">
        <v>7519205057</v>
      </c>
      <c r="N420" s="5">
        <v>766935200064</v>
      </c>
      <c r="O420" s="5">
        <v>76329870288</v>
      </c>
      <c r="P420" s="5">
        <v>79633614528</v>
      </c>
      <c r="Q420" s="5">
        <v>81550216216</v>
      </c>
      <c r="R420" s="5">
        <v>8776981286271</v>
      </c>
      <c r="S420" s="5">
        <v>82797911235</v>
      </c>
      <c r="T420" s="5">
        <v>8271118960368</v>
      </c>
      <c r="U420" s="5">
        <v>797838630336</v>
      </c>
      <c r="V420" s="5">
        <v>6963053592</v>
      </c>
      <c r="W420" s="5">
        <v>653071396945941</v>
      </c>
      <c r="X420" s="5">
        <v>677848738543829</v>
      </c>
      <c r="Y420" s="5">
        <v>648751313385</v>
      </c>
      <c r="Z420" s="5">
        <v>626944723704</v>
      </c>
      <c r="AA420" s="5">
        <v>664248127504</v>
      </c>
      <c r="AB420" s="5">
        <v>64559907702</v>
      </c>
      <c r="AC420" s="5">
        <v>616044949059468</v>
      </c>
      <c r="AD420" s="5">
        <v>64602428505</v>
      </c>
      <c r="AE420" s="5">
        <v>687223724556235</v>
      </c>
      <c r="AF420" s="5">
        <v>726679509233044</v>
      </c>
      <c r="AG420" s="5">
        <v>67092136482</v>
      </c>
      <c r="AH420" s="5">
        <v>647116376598705</v>
      </c>
      <c r="AI420" s="5">
        <v>665799785252727</v>
      </c>
      <c r="AJ420" s="5">
        <v>723088762605</v>
      </c>
      <c r="AK420" s="5">
        <v>690816095309277</v>
      </c>
      <c r="AL420" s="5">
        <v>696442412231775</v>
      </c>
      <c r="AM420" s="5">
        <v>682081880730975</v>
      </c>
      <c r="AN420" s="5">
        <v>724673495537475</v>
      </c>
      <c r="AO420" s="5">
        <v>708653827627348</v>
      </c>
      <c r="AP420" s="5">
        <v>66299503545</v>
      </c>
      <c r="AQ420" s="5"/>
      <c r="AR420" s="5"/>
      <c r="AS420" s="5"/>
      <c r="AT420" s="5"/>
      <c r="AU420" s="5"/>
      <c r="AV420" s="5"/>
      <c r="AW420" s="5"/>
      <c r="AX420" s="5"/>
      <c r="AY420" s="5"/>
      <c r="AZ420" s="5"/>
      <c r="BA420" s="5"/>
    </row>
    <row r="421" spans="1:53" x14ac:dyDescent="0.45">
      <c r="A421" s="1"/>
      <c r="B421" s="2"/>
      <c r="C421" s="1" t="s">
        <v>415</v>
      </c>
      <c r="D421" s="2">
        <v>103025</v>
      </c>
      <c r="E421" s="3" t="s">
        <v>1410</v>
      </c>
      <c r="F421" s="3" t="s">
        <v>1411</v>
      </c>
      <c r="G421" s="3" t="s">
        <v>594</v>
      </c>
      <c r="H421" s="5">
        <v>858946836054989</v>
      </c>
      <c r="I421" s="5">
        <v>884275085537525</v>
      </c>
      <c r="J421" s="5">
        <v>892179485054928</v>
      </c>
      <c r="K421" s="5">
        <v>860975227277616</v>
      </c>
      <c r="L421" s="5">
        <v>874705452423491</v>
      </c>
      <c r="M421" s="5">
        <v>887483223956811</v>
      </c>
      <c r="N421" s="5">
        <v>913329504495</v>
      </c>
      <c r="O421" s="5">
        <v>9188295831</v>
      </c>
      <c r="P421" s="5">
        <v>916362963828</v>
      </c>
      <c r="Q421" s="5">
        <v>90676281248</v>
      </c>
      <c r="R421" s="5">
        <v>9193006915632</v>
      </c>
      <c r="S421" s="5">
        <v>865604377978438</v>
      </c>
      <c r="T421" s="5">
        <v>923543758287859</v>
      </c>
      <c r="U421" s="5">
        <v>860589015265232</v>
      </c>
      <c r="V421" s="5">
        <v>852699521858194</v>
      </c>
      <c r="W421" s="5">
        <v>855078636526378</v>
      </c>
      <c r="X421" s="5">
        <v>866742793416839</v>
      </c>
      <c r="Y421" s="5">
        <v>8898090835825</v>
      </c>
      <c r="Z421" s="5">
        <v>888087602456683</v>
      </c>
      <c r="AA421" s="5">
        <v>864850465107037</v>
      </c>
      <c r="AB421" s="5">
        <v>814512223176062</v>
      </c>
      <c r="AC421" s="5">
        <v>828404655171094</v>
      </c>
      <c r="AD421" s="5">
        <v>861781175952564</v>
      </c>
      <c r="AE421" s="5">
        <v>906378239210337</v>
      </c>
      <c r="AF421" s="5">
        <v>915406838851454</v>
      </c>
      <c r="AG421" s="5">
        <v>818798951902709</v>
      </c>
      <c r="AH421" s="5">
        <v>809486634219685</v>
      </c>
      <c r="AI421" s="5">
        <v>755514079652948</v>
      </c>
      <c r="AJ421" s="5">
        <v>792932741623079</v>
      </c>
      <c r="AK421" s="5">
        <v>74471227343152</v>
      </c>
      <c r="AL421" s="5">
        <v>768334677302161</v>
      </c>
      <c r="AM421" s="5">
        <v>758098478833621</v>
      </c>
      <c r="AN421" s="5">
        <v>8196885427333</v>
      </c>
      <c r="AO421" s="5">
        <v>737111962438126</v>
      </c>
      <c r="AP421" s="5">
        <v>751873090718564</v>
      </c>
      <c r="AQ421" s="5"/>
      <c r="AR421" s="5"/>
      <c r="AS421" s="5"/>
      <c r="AT421" s="5"/>
      <c r="AU421" s="5"/>
      <c r="AV421" s="5"/>
      <c r="AW421" s="5"/>
      <c r="AX421" s="5"/>
      <c r="AY421" s="5"/>
      <c r="AZ421" s="5"/>
      <c r="BA421" s="5"/>
    </row>
    <row r="422" spans="1:53" x14ac:dyDescent="0.45">
      <c r="A422" s="1"/>
      <c r="B422" s="2"/>
      <c r="C422" s="1" t="s">
        <v>416</v>
      </c>
      <c r="D422" s="2">
        <v>4107935</v>
      </c>
      <c r="E422" s="3" t="s">
        <v>1412</v>
      </c>
      <c r="F422" s="3" t="s">
        <v>1413</v>
      </c>
      <c r="G422" s="3" t="s">
        <v>1395</v>
      </c>
      <c r="H422" s="5">
        <v>113606890860666</v>
      </c>
      <c r="I422" s="5">
        <v>113549459818202</v>
      </c>
      <c r="J422" s="5">
        <v>106482356382549</v>
      </c>
      <c r="K422" s="5">
        <v>117497944015014</v>
      </c>
      <c r="L422" s="5">
        <v>114330062520054</v>
      </c>
      <c r="M422" s="5">
        <v>132223323260659</v>
      </c>
      <c r="N422" s="5">
        <v>15623103362782</v>
      </c>
      <c r="O422" s="5">
        <v>168584571159724</v>
      </c>
      <c r="P422" s="5">
        <v>16050543441784</v>
      </c>
      <c r="Q422" s="5">
        <v>165736012566524</v>
      </c>
      <c r="R422" s="5">
        <v>160293651719153</v>
      </c>
      <c r="S422" s="5">
        <v>157026938168703</v>
      </c>
      <c r="T422" s="5">
        <v>150295084312577</v>
      </c>
      <c r="U422" s="5">
        <v>15310965027633</v>
      </c>
      <c r="V422" s="5">
        <v>138475469482767</v>
      </c>
      <c r="W422" s="5">
        <v>132048572053334</v>
      </c>
      <c r="X422" s="5">
        <v>138311009471899</v>
      </c>
      <c r="Y422" s="5">
        <v>146000112525537</v>
      </c>
      <c r="Z422" s="5">
        <v>13701648190447</v>
      </c>
      <c r="AA422" s="5">
        <v>131135350017818</v>
      </c>
      <c r="AB422" s="5">
        <v>113904110976171</v>
      </c>
      <c r="AC422" s="5">
        <v>96864892795351</v>
      </c>
      <c r="AD422" s="5">
        <v>106650775766859</v>
      </c>
      <c r="AE422" s="5">
        <v>108504742980237</v>
      </c>
      <c r="AF422" s="5">
        <v>10107102864012</v>
      </c>
      <c r="AG422" s="5">
        <v>100867559014891</v>
      </c>
      <c r="AH422" s="5">
        <v>93587541285546</v>
      </c>
      <c r="AI422" s="5">
        <v>906547768213745</v>
      </c>
      <c r="AJ422" s="5">
        <v>965302783280022</v>
      </c>
      <c r="AK422" s="5">
        <v>890635006632578</v>
      </c>
      <c r="AL422" s="5">
        <v>893368628766804</v>
      </c>
      <c r="AM422" s="5">
        <v>867037966718846</v>
      </c>
      <c r="AN422" s="5">
        <v>903814304797574</v>
      </c>
      <c r="AO422" s="5">
        <v>808025874479793</v>
      </c>
      <c r="AP422" s="5">
        <v>752214730421003</v>
      </c>
      <c r="AQ422" s="5"/>
      <c r="AR422" s="5"/>
      <c r="AS422" s="5"/>
      <c r="AT422" s="5"/>
      <c r="AU422" s="5"/>
      <c r="AV422" s="5"/>
      <c r="AW422" s="5"/>
      <c r="AX422" s="5"/>
      <c r="AY422" s="5"/>
      <c r="AZ422" s="5"/>
      <c r="BA422" s="5"/>
    </row>
    <row r="423" spans="1:53" x14ac:dyDescent="0.45">
      <c r="A423" s="1"/>
      <c r="B423" s="2"/>
      <c r="C423" s="1" t="s">
        <v>417</v>
      </c>
      <c r="D423" s="2">
        <v>4004099</v>
      </c>
      <c r="E423" s="3" t="s">
        <v>1414</v>
      </c>
      <c r="F423" s="3" t="s">
        <v>1415</v>
      </c>
      <c r="G423" s="3" t="s">
        <v>761</v>
      </c>
      <c r="H423" s="5">
        <v>879098167626012</v>
      </c>
      <c r="I423" s="5">
        <v>836146852253707</v>
      </c>
      <c r="J423" s="5">
        <v>782946520193221</v>
      </c>
      <c r="K423" s="5">
        <v>785355410375677</v>
      </c>
      <c r="L423" s="5">
        <v>709726344650833</v>
      </c>
      <c r="M423" s="5">
        <v>699228736391671</v>
      </c>
      <c r="N423" s="5">
        <v>770778382226157</v>
      </c>
      <c r="O423" s="5">
        <v>79263887087744</v>
      </c>
      <c r="P423" s="5">
        <v>8296994272943</v>
      </c>
      <c r="Q423" s="5">
        <v>803438180264725</v>
      </c>
      <c r="R423" s="5">
        <v>827462768296752</v>
      </c>
      <c r="S423" s="5">
        <v>813956779124723</v>
      </c>
      <c r="T423" s="5">
        <v>809410793645077</v>
      </c>
      <c r="U423" s="5">
        <v>789979178468937</v>
      </c>
      <c r="V423" s="5">
        <v>663043217331306</v>
      </c>
      <c r="W423" s="5">
        <v>722699041203968</v>
      </c>
      <c r="X423" s="5">
        <v>713767056574985</v>
      </c>
      <c r="Y423" s="5">
        <v>69360980069248</v>
      </c>
      <c r="Z423" s="5">
        <v>660752401452178</v>
      </c>
      <c r="AA423" s="5">
        <v>636233408678017</v>
      </c>
      <c r="AB423" s="5">
        <v>640572725190143</v>
      </c>
      <c r="AC423" s="5">
        <v>614450883193226</v>
      </c>
      <c r="AD423" s="5">
        <v>568321620415992</v>
      </c>
      <c r="AE423" s="5">
        <v>614989490676801</v>
      </c>
      <c r="AF423" s="5">
        <v>678708790391612</v>
      </c>
      <c r="AG423" s="5">
        <v>692068731818481</v>
      </c>
      <c r="AH423" s="5">
        <v>68738369781606</v>
      </c>
      <c r="AI423" s="5">
        <v>6641695050942</v>
      </c>
      <c r="AJ423" s="5">
        <v>76646348072742</v>
      </c>
      <c r="AK423" s="5">
        <v>752398385490675</v>
      </c>
      <c r="AL423" s="5">
        <v>807987690054165</v>
      </c>
      <c r="AM423" s="5">
        <v>830847840214725</v>
      </c>
      <c r="AN423" s="5">
        <v>88851373226734</v>
      </c>
      <c r="AO423" s="5">
        <v>94521129263204</v>
      </c>
      <c r="AP423" s="5">
        <v>923051534744925</v>
      </c>
      <c r="AQ423" s="5"/>
      <c r="AR423" s="5"/>
      <c r="AS423" s="5"/>
      <c r="AT423" s="5"/>
      <c r="AU423" s="5"/>
      <c r="AV423" s="5"/>
      <c r="AW423" s="5"/>
      <c r="AX423" s="5"/>
      <c r="AY423" s="5"/>
      <c r="AZ423" s="5"/>
      <c r="BA423" s="5"/>
    </row>
    <row r="424" spans="1:53" x14ac:dyDescent="0.45">
      <c r="A424" s="1"/>
      <c r="B424" s="2"/>
      <c r="C424" s="1" t="s">
        <v>418</v>
      </c>
      <c r="D424" s="2">
        <v>4994529</v>
      </c>
      <c r="E424" s="3" t="s">
        <v>1416</v>
      </c>
      <c r="F424" s="3" t="s">
        <v>1417</v>
      </c>
      <c r="G424" s="3" t="s">
        <v>784</v>
      </c>
      <c r="H424" s="5">
        <v>166288624783032</v>
      </c>
      <c r="I424" s="5">
        <v>157516839034727</v>
      </c>
      <c r="J424" s="5">
        <v>148820396205692</v>
      </c>
      <c r="K424" s="5">
        <v>156708226904321</v>
      </c>
      <c r="L424" s="5">
        <v>158734209811178</v>
      </c>
      <c r="M424" s="5">
        <v>174705933317537</v>
      </c>
      <c r="N424" s="5">
        <v>204241284975</v>
      </c>
      <c r="O424" s="5">
        <v>21956844858</v>
      </c>
      <c r="P424" s="5">
        <v>1995409960908</v>
      </c>
      <c r="Q424" s="5">
        <v>2078459255936</v>
      </c>
      <c r="R424" s="5">
        <v>219583894642598</v>
      </c>
      <c r="S424" s="5">
        <v>2072048035221</v>
      </c>
      <c r="T424" s="5">
        <v>2190545538296</v>
      </c>
      <c r="U424" s="5">
        <v>20695779643</v>
      </c>
      <c r="V424" s="5">
        <v>1627832611708</v>
      </c>
      <c r="W424" s="5">
        <v>15050078004555</v>
      </c>
      <c r="X424" s="5">
        <v>14579473860105</v>
      </c>
      <c r="Y424" s="5">
        <v>13529679495255</v>
      </c>
      <c r="Z424" s="5">
        <v>124056149076</v>
      </c>
      <c r="AA424" s="5">
        <v>1360109346615</v>
      </c>
      <c r="AB424" s="5">
        <v>1347246368523</v>
      </c>
      <c r="AC424" s="5">
        <v>189486933526519</v>
      </c>
      <c r="AD424" s="5">
        <v>166340342815979</v>
      </c>
      <c r="AE424" s="5">
        <v>196690875036373</v>
      </c>
      <c r="AF424" s="5">
        <v>196662006473426</v>
      </c>
      <c r="AG424" s="5">
        <v>203897851101399</v>
      </c>
      <c r="AH424" s="5">
        <v>179571012024444</v>
      </c>
      <c r="AI424" s="5">
        <v>192129775886857</v>
      </c>
      <c r="AJ424" s="5">
        <v>192815191556198</v>
      </c>
      <c r="AK424" s="5">
        <v>181793449101049</v>
      </c>
      <c r="AL424" s="5">
        <v>190006069266785</v>
      </c>
      <c r="AM424" s="5">
        <v>203846497859947</v>
      </c>
      <c r="AN424" s="5">
        <v>24052417923725</v>
      </c>
      <c r="AO424" s="5">
        <v>22335358228958</v>
      </c>
      <c r="AP424" s="5">
        <v>226773600701724</v>
      </c>
      <c r="AQ424" s="5"/>
      <c r="AR424" s="5"/>
      <c r="AS424" s="5"/>
      <c r="AT424" s="5"/>
      <c r="AU424" s="5"/>
      <c r="AV424" s="5"/>
      <c r="AW424" s="5"/>
      <c r="AX424" s="5"/>
      <c r="AY424" s="5"/>
      <c r="AZ424" s="5"/>
      <c r="BA424" s="5"/>
    </row>
    <row r="425" spans="1:53" x14ac:dyDescent="0.45">
      <c r="A425" s="1"/>
      <c r="B425" s="2"/>
      <c r="C425" s="1" t="s">
        <v>419</v>
      </c>
      <c r="D425" s="2">
        <v>4051574</v>
      </c>
      <c r="E425" s="3" t="s">
        <v>1418</v>
      </c>
      <c r="F425" s="3" t="s">
        <v>1419</v>
      </c>
      <c r="G425" s="3" t="s">
        <v>653</v>
      </c>
      <c r="H425" s="5">
        <v>855079830955276</v>
      </c>
      <c r="I425" s="5">
        <v>878807130083231</v>
      </c>
      <c r="J425" s="5">
        <v>8702602874</v>
      </c>
      <c r="K425" s="5">
        <v>879107817971847</v>
      </c>
      <c r="L425" s="5">
        <v>833204134741905</v>
      </c>
      <c r="M425" s="5">
        <v>80947621225</v>
      </c>
      <c r="N425" s="5">
        <v>841140997143924</v>
      </c>
      <c r="O425" s="5">
        <v>818415721534804</v>
      </c>
      <c r="P425" s="5">
        <v>85608051984</v>
      </c>
      <c r="Q425" s="5">
        <v>872316652108479</v>
      </c>
      <c r="R425" s="5">
        <v>866777798738227</v>
      </c>
      <c r="S425" s="5">
        <v>882158758002605</v>
      </c>
      <c r="T425" s="5">
        <v>947690507330403</v>
      </c>
      <c r="U425" s="5">
        <v>956956781996107</v>
      </c>
      <c r="V425" s="5">
        <v>85833737247774</v>
      </c>
      <c r="W425" s="5">
        <v>854288757970413</v>
      </c>
      <c r="X425" s="5">
        <v>860291891124161</v>
      </c>
      <c r="Y425" s="5">
        <v>853930247151259</v>
      </c>
      <c r="Z425" s="5">
        <v>856157918637005</v>
      </c>
      <c r="AA425" s="5">
        <v>817629813381702</v>
      </c>
      <c r="AB425" s="5">
        <v>810728197609916</v>
      </c>
      <c r="AC425" s="5">
        <v>786039330886046</v>
      </c>
      <c r="AD425" s="5">
        <v>766921149599971</v>
      </c>
      <c r="AE425" s="5">
        <v>788941039017576</v>
      </c>
      <c r="AF425" s="5">
        <v>86819100384309</v>
      </c>
      <c r="AG425" s="5">
        <v>837252380276417</v>
      </c>
      <c r="AH425" s="5">
        <v>792510055193649</v>
      </c>
      <c r="AI425" s="5">
        <v>781270623073584</v>
      </c>
      <c r="AJ425" s="5">
        <v>835782533326465</v>
      </c>
      <c r="AK425" s="5">
        <v>784813500350632</v>
      </c>
      <c r="AL425" s="5">
        <v>815514260998339</v>
      </c>
      <c r="AM425" s="5">
        <v>810222393006963</v>
      </c>
      <c r="AN425" s="5">
        <v>813917842492808</v>
      </c>
      <c r="AO425" s="5">
        <v>81885443548469</v>
      </c>
      <c r="AP425" s="5">
        <v>792503280567995</v>
      </c>
      <c r="AQ425" s="5"/>
      <c r="AR425" s="5"/>
      <c r="AS425" s="5"/>
      <c r="AT425" s="5"/>
      <c r="AU425" s="5"/>
      <c r="AV425" s="5"/>
      <c r="AW425" s="5"/>
      <c r="AX425" s="5"/>
      <c r="AY425" s="5"/>
      <c r="AZ425" s="5"/>
      <c r="BA425" s="5"/>
    </row>
    <row r="426" spans="1:53" x14ac:dyDescent="0.45">
      <c r="A426" s="1"/>
      <c r="B426" s="2"/>
      <c r="C426" s="1" t="s">
        <v>420</v>
      </c>
      <c r="D426" s="2">
        <v>4086110</v>
      </c>
      <c r="E426" s="3" t="s">
        <v>1420</v>
      </c>
      <c r="F426" s="3" t="s">
        <v>1421</v>
      </c>
      <c r="G426" s="3" t="s">
        <v>880</v>
      </c>
      <c r="H426" s="5">
        <v>121082604131077</v>
      </c>
      <c r="I426" s="5">
        <v>113258361944887</v>
      </c>
      <c r="J426" s="5">
        <v>102784614396275</v>
      </c>
      <c r="K426" s="5">
        <v>992398246671398</v>
      </c>
      <c r="L426" s="5">
        <v>840483223932282</v>
      </c>
      <c r="M426" s="5">
        <v>85332683880292</v>
      </c>
      <c r="N426" s="5">
        <v>834876952065</v>
      </c>
      <c r="O426" s="5">
        <v>8178007347</v>
      </c>
      <c r="P426" s="5">
        <v>850558906548</v>
      </c>
      <c r="Q426" s="5">
        <v>98773233496</v>
      </c>
      <c r="R426" s="5">
        <v>101681451606</v>
      </c>
      <c r="S426" s="5">
        <v>988423604127</v>
      </c>
      <c r="T426" s="5">
        <v>842334196148</v>
      </c>
      <c r="U426" s="5">
        <v>80556480532</v>
      </c>
      <c r="V426" s="5">
        <v>581389053648</v>
      </c>
      <c r="W426" s="5">
        <v>601643463156</v>
      </c>
      <c r="X426" s="5">
        <v>636172574268</v>
      </c>
      <c r="Y426" s="5">
        <v>614326542564</v>
      </c>
      <c r="Z426" s="5">
        <v>53471872575</v>
      </c>
      <c r="AA426" s="5">
        <v>554027509725</v>
      </c>
      <c r="AB426" s="5">
        <v>517193376075</v>
      </c>
      <c r="AC426" s="5">
        <v>431860816685784</v>
      </c>
      <c r="AD426" s="5">
        <v>402780026991507</v>
      </c>
      <c r="AE426" s="5">
        <v>620011808936501</v>
      </c>
      <c r="AF426" s="5">
        <v>691247211717495</v>
      </c>
      <c r="AG426" s="5">
        <v>630181954207955</v>
      </c>
      <c r="AH426" s="5">
        <v>513164867161433</v>
      </c>
      <c r="AI426" s="5">
        <v>590286320362735</v>
      </c>
      <c r="AJ426" s="5">
        <v>578285353977304</v>
      </c>
      <c r="AK426" s="5">
        <v>762774428926283</v>
      </c>
      <c r="AL426" s="5">
        <v>7855573300105</v>
      </c>
      <c r="AM426" s="5">
        <v>836561143650127</v>
      </c>
      <c r="AN426" s="5">
        <v>822441048828533</v>
      </c>
      <c r="AO426" s="5">
        <v>8010814543281</v>
      </c>
      <c r="AP426" s="5">
        <v>70831344658875</v>
      </c>
      <c r="AQ426" s="5"/>
      <c r="AR426" s="5"/>
      <c r="AS426" s="5"/>
      <c r="AT426" s="5"/>
      <c r="AU426" s="5"/>
      <c r="AV426" s="5"/>
      <c r="AW426" s="5"/>
      <c r="AX426" s="5"/>
      <c r="AY426" s="5"/>
      <c r="AZ426" s="5"/>
      <c r="BA426" s="5"/>
    </row>
    <row r="427" spans="1:53" x14ac:dyDescent="0.45">
      <c r="A427" s="1"/>
      <c r="B427" s="2"/>
      <c r="C427" s="1" t="s">
        <v>421</v>
      </c>
      <c r="D427" s="2">
        <v>111568</v>
      </c>
      <c r="E427" s="3" t="s">
        <v>1422</v>
      </c>
      <c r="F427" s="3" t="s">
        <v>1423</v>
      </c>
      <c r="G427" s="3" t="s">
        <v>682</v>
      </c>
      <c r="H427" s="5">
        <v>177919899846886</v>
      </c>
      <c r="I427" s="5">
        <v>185667847028246</v>
      </c>
      <c r="J427" s="5">
        <v>174594579239955</v>
      </c>
      <c r="K427" s="5">
        <v>160217086916657</v>
      </c>
      <c r="L427" s="5">
        <v>161942936718867</v>
      </c>
      <c r="M427" s="5">
        <v>1568364214731</v>
      </c>
      <c r="N427" s="5">
        <v>1566146303058</v>
      </c>
      <c r="O427" s="5">
        <v>150244423332</v>
      </c>
      <c r="P427" s="5">
        <v>15474434443104</v>
      </c>
      <c r="Q427" s="5">
        <v>14631583625736</v>
      </c>
      <c r="R427" s="5">
        <v>1483085800404</v>
      </c>
      <c r="S427" s="5">
        <v>1429805633874</v>
      </c>
      <c r="T427" s="5">
        <v>14430152012344</v>
      </c>
      <c r="U427" s="5">
        <v>1425547667104</v>
      </c>
      <c r="V427" s="5">
        <v>12281020668588</v>
      </c>
      <c r="W427" s="5">
        <v>11862112689</v>
      </c>
      <c r="X427" s="5">
        <v>116233154204475</v>
      </c>
      <c r="Y427" s="5">
        <v>121851523472</v>
      </c>
      <c r="Z427" s="5">
        <v>120888077832</v>
      </c>
      <c r="AA427" s="5">
        <v>1141998069178</v>
      </c>
      <c r="AB427" s="5">
        <v>10925171744232</v>
      </c>
      <c r="AC427" s="5">
        <v>10422908687835</v>
      </c>
      <c r="AD427" s="5">
        <v>101434673849237</v>
      </c>
      <c r="AE427" s="5">
        <v>103237874947148</v>
      </c>
      <c r="AF427" s="5">
        <v>101682993385012</v>
      </c>
      <c r="AG427" s="5">
        <v>101848868219766</v>
      </c>
      <c r="AH427" s="5">
        <v>991235553753421</v>
      </c>
      <c r="AI427" s="5">
        <v>984945993242315</v>
      </c>
      <c r="AJ427" s="5">
        <v>104782424351442</v>
      </c>
      <c r="AK427" s="5">
        <v>104257790138155</v>
      </c>
      <c r="AL427" s="5">
        <v>104261418291216</v>
      </c>
      <c r="AM427" s="5">
        <v>946943105667151</v>
      </c>
      <c r="AN427" s="5">
        <v>105011591535817</v>
      </c>
      <c r="AO427" s="5">
        <v>966483244077725</v>
      </c>
      <c r="AP427" s="5">
        <v>903268418250422</v>
      </c>
      <c r="AQ427" s="5"/>
      <c r="AR427" s="5"/>
      <c r="AS427" s="5"/>
      <c r="AT427" s="5"/>
      <c r="AU427" s="5"/>
      <c r="AV427" s="5"/>
      <c r="AW427" s="5"/>
      <c r="AX427" s="5"/>
      <c r="AY427" s="5"/>
      <c r="AZ427" s="5"/>
      <c r="BA427" s="5"/>
    </row>
    <row r="428" spans="1:53" x14ac:dyDescent="0.45">
      <c r="A428" s="1"/>
      <c r="B428" s="2"/>
      <c r="C428" s="1" t="s">
        <v>422</v>
      </c>
      <c r="D428" s="2">
        <v>4540311</v>
      </c>
      <c r="E428" s="3" t="s">
        <v>1424</v>
      </c>
      <c r="F428" s="3" t="s">
        <v>1425</v>
      </c>
      <c r="G428" s="3" t="s">
        <v>941</v>
      </c>
      <c r="H428" s="5">
        <v>895921105817148</v>
      </c>
      <c r="I428" s="5">
        <v>86350410658544</v>
      </c>
      <c r="J428" s="5">
        <v>84387541632529</v>
      </c>
      <c r="K428" s="5">
        <v>897924115282798</v>
      </c>
      <c r="L428" s="5">
        <v>871048888524316</v>
      </c>
      <c r="M428" s="5">
        <v>909302602006574</v>
      </c>
      <c r="N428" s="5">
        <v>103463097239933</v>
      </c>
      <c r="O428" s="5">
        <v>97812453109052</v>
      </c>
      <c r="P428" s="5">
        <v>107121995402719</v>
      </c>
      <c r="Q428" s="5">
        <v>112426372759243</v>
      </c>
      <c r="R428" s="5">
        <v>114284631726084</v>
      </c>
      <c r="S428" s="5">
        <v>101190944459659</v>
      </c>
      <c r="T428" s="5">
        <v>977015427911385</v>
      </c>
      <c r="U428" s="5">
        <v>112831597663242</v>
      </c>
      <c r="V428" s="5">
        <v>107255064796968</v>
      </c>
      <c r="W428" s="5">
        <v>106754794277893</v>
      </c>
      <c r="X428" s="5">
        <v>105293426162133</v>
      </c>
      <c r="Y428" s="5">
        <v>112495535052019</v>
      </c>
      <c r="Z428" s="5">
        <v>117179283890004</v>
      </c>
      <c r="AA428" s="5">
        <v>117589198789206</v>
      </c>
      <c r="AB428" s="5">
        <v>113557415907384</v>
      </c>
      <c r="AC428" s="5">
        <v>992310061303611</v>
      </c>
      <c r="AD428" s="5">
        <v>102505563663827</v>
      </c>
      <c r="AE428" s="5">
        <v>108343289085902</v>
      </c>
      <c r="AF428" s="5">
        <v>113267937044293</v>
      </c>
      <c r="AG428" s="5">
        <v>109640521423608</v>
      </c>
      <c r="AH428" s="5">
        <v>11074755151066</v>
      </c>
      <c r="AI428" s="5">
        <v>121236742979824</v>
      </c>
      <c r="AJ428" s="5">
        <v>130246238792866</v>
      </c>
      <c r="AK428" s="5">
        <v>126398049067804</v>
      </c>
      <c r="AL428" s="5">
        <v>116979426677233</v>
      </c>
      <c r="AM428" s="5">
        <v>103502306859892</v>
      </c>
      <c r="AN428" s="5">
        <v>10841299542634</v>
      </c>
      <c r="AO428" s="5">
        <v>100023399603532</v>
      </c>
      <c r="AP428" s="5">
        <v>898814075801353</v>
      </c>
      <c r="AQ428" s="5"/>
      <c r="AR428" s="5"/>
      <c r="AS428" s="5"/>
      <c r="AT428" s="5"/>
      <c r="AU428" s="5"/>
      <c r="AV428" s="5"/>
      <c r="AW428" s="5"/>
      <c r="AX428" s="5"/>
      <c r="AY428" s="5"/>
      <c r="AZ428" s="5"/>
      <c r="BA428" s="5"/>
    </row>
    <row r="429" spans="1:53" x14ac:dyDescent="0.45">
      <c r="A429" s="1"/>
      <c r="B429" s="2"/>
      <c r="C429" s="1" t="s">
        <v>423</v>
      </c>
      <c r="D429" s="2">
        <v>4011157</v>
      </c>
      <c r="E429" s="3" t="s">
        <v>1426</v>
      </c>
      <c r="F429" s="3" t="s">
        <v>1427</v>
      </c>
      <c r="G429" s="3" t="s">
        <v>1068</v>
      </c>
      <c r="H429" s="5">
        <v>334936357802133</v>
      </c>
      <c r="I429" s="5">
        <v>314599615457897</v>
      </c>
      <c r="J429" s="5">
        <v>299297568066</v>
      </c>
      <c r="K429" s="5">
        <v>2874785830518</v>
      </c>
      <c r="L429" s="5">
        <v>253278804366</v>
      </c>
      <c r="M429" s="5">
        <v>2617236695535</v>
      </c>
      <c r="N429" s="5">
        <v>264441240287</v>
      </c>
      <c r="O429" s="5">
        <v>24467193009</v>
      </c>
      <c r="P429" s="5">
        <v>2660926629634</v>
      </c>
      <c r="Q429" s="5">
        <v>2781875070184</v>
      </c>
      <c r="R429" s="5">
        <v>28801444644</v>
      </c>
      <c r="S429" s="5">
        <v>2758500624672</v>
      </c>
      <c r="T429" s="5">
        <v>2929594516576</v>
      </c>
      <c r="U429" s="5">
        <v>263609991216</v>
      </c>
      <c r="V429" s="5">
        <v>2493569273184</v>
      </c>
      <c r="W429" s="5">
        <v>21752849943</v>
      </c>
      <c r="X429" s="5">
        <v>229063683855578</v>
      </c>
      <c r="Y429" s="5">
        <v>219809958228</v>
      </c>
      <c r="Z429" s="5">
        <v>2157460191</v>
      </c>
      <c r="AA429" s="5">
        <v>23090991813</v>
      </c>
      <c r="AB429" s="5">
        <v>2414779152009</v>
      </c>
      <c r="AC429" s="5">
        <v>260158396633663</v>
      </c>
      <c r="AD429" s="5">
        <v>302008878946381</v>
      </c>
      <c r="AE429" s="5">
        <v>313488749141898</v>
      </c>
      <c r="AF429" s="5">
        <v>327514224501455</v>
      </c>
      <c r="AG429" s="5">
        <v>297171210565909</v>
      </c>
      <c r="AH429" s="5">
        <v>267707657293546</v>
      </c>
      <c r="AI429" s="5">
        <v>263348881556177</v>
      </c>
      <c r="AJ429" s="5">
        <v>302008415348442</v>
      </c>
      <c r="AK429" s="5">
        <v>285840917005896</v>
      </c>
      <c r="AL429" s="5">
        <v>27453594630646</v>
      </c>
      <c r="AM429" s="5">
        <v>26125999401825</v>
      </c>
      <c r="AN429" s="5">
        <v>304411271376645</v>
      </c>
      <c r="AO429" s="5">
        <v>283282437524748</v>
      </c>
      <c r="AP429" s="5">
        <v>24414314815723</v>
      </c>
      <c r="AQ429" s="5"/>
      <c r="AR429" s="5"/>
      <c r="AS429" s="5"/>
      <c r="AT429" s="5"/>
      <c r="AU429" s="5"/>
      <c r="AV429" s="5"/>
      <c r="AW429" s="5"/>
      <c r="AX429" s="5"/>
      <c r="AY429" s="5"/>
      <c r="AZ429" s="5"/>
      <c r="BA429" s="5"/>
    </row>
    <row r="430" spans="1:53" x14ac:dyDescent="0.45">
      <c r="A430" s="1"/>
      <c r="B430" s="2"/>
      <c r="C430" s="1" t="s">
        <v>424</v>
      </c>
      <c r="D430" s="2">
        <v>4046115</v>
      </c>
      <c r="E430" s="3" t="s">
        <v>1428</v>
      </c>
      <c r="F430" s="3" t="s">
        <v>1429</v>
      </c>
      <c r="G430" s="3" t="s">
        <v>499</v>
      </c>
      <c r="H430" s="5">
        <v>177997613393665</v>
      </c>
      <c r="I430" s="5">
        <v>191435208841793</v>
      </c>
      <c r="J430" s="5">
        <v>191980328297603</v>
      </c>
      <c r="K430" s="5">
        <v>196261870153733</v>
      </c>
      <c r="L430" s="5">
        <v>205261183131651</v>
      </c>
      <c r="M430" s="5">
        <v>203527269575902</v>
      </c>
      <c r="N430" s="5">
        <v>216113062014</v>
      </c>
      <c r="O430" s="5">
        <v>20999822607</v>
      </c>
      <c r="P430" s="5">
        <v>208482638458442</v>
      </c>
      <c r="Q430" s="5">
        <v>2156990618496</v>
      </c>
      <c r="R430" s="5">
        <v>21730085202</v>
      </c>
      <c r="S430" s="5">
        <v>2023724096079</v>
      </c>
      <c r="T430" s="5">
        <v>2097223415556</v>
      </c>
      <c r="U430" s="5">
        <v>202399785852</v>
      </c>
      <c r="V430" s="5">
        <v>218893229930093</v>
      </c>
      <c r="W430" s="5">
        <v>220774251046478</v>
      </c>
      <c r="X430" s="5">
        <v>229040267128538</v>
      </c>
      <c r="Y430" s="5">
        <v>239478064006041</v>
      </c>
      <c r="Z430" s="5">
        <v>2217144412197</v>
      </c>
      <c r="AA430" s="5">
        <v>20152825773795</v>
      </c>
      <c r="AB430" s="5">
        <v>183403103392622</v>
      </c>
      <c r="AC430" s="5">
        <v>172226035462455</v>
      </c>
      <c r="AD430" s="5">
        <v>170898010231626</v>
      </c>
      <c r="AE430" s="5">
        <v>173010932172849</v>
      </c>
      <c r="AF430" s="5">
        <v>168119596683712</v>
      </c>
      <c r="AG430" s="5">
        <v>162215828732101</v>
      </c>
      <c r="AH430" s="5">
        <v>167024427826275</v>
      </c>
      <c r="AI430" s="5">
        <v>163322154355606</v>
      </c>
      <c r="AJ430" s="5">
        <v>201917054704576</v>
      </c>
      <c r="AK430" s="5">
        <v>184438029246893</v>
      </c>
      <c r="AL430" s="5">
        <v>20054658093636</v>
      </c>
      <c r="AM430" s="5">
        <v>203641199366553</v>
      </c>
      <c r="AN430" s="5">
        <v>224880387612964</v>
      </c>
      <c r="AO430" s="5">
        <v>21971099951295</v>
      </c>
      <c r="AP430" s="5">
        <v>2337774767025</v>
      </c>
      <c r="AQ430" s="5"/>
      <c r="AR430" s="5"/>
      <c r="AS430" s="5"/>
      <c r="AT430" s="5"/>
      <c r="AU430" s="5"/>
      <c r="AV430" s="5"/>
      <c r="AW430" s="5"/>
      <c r="AX430" s="5"/>
      <c r="AY430" s="5"/>
      <c r="AZ430" s="5"/>
      <c r="BA430" s="5"/>
    </row>
    <row r="431" spans="1:53" x14ac:dyDescent="0.45">
      <c r="A431" s="1"/>
      <c r="B431" s="2"/>
      <c r="C431" s="1" t="s">
        <v>425</v>
      </c>
      <c r="D431" s="2">
        <v>4087927</v>
      </c>
      <c r="E431" s="3" t="s">
        <v>1430</v>
      </c>
      <c r="F431" s="3" t="s">
        <v>1431</v>
      </c>
      <c r="G431" s="3" t="s">
        <v>493</v>
      </c>
      <c r="H431" s="5">
        <v>939428586741446</v>
      </c>
      <c r="I431" s="5">
        <v>952674811614594</v>
      </c>
      <c r="J431" s="5">
        <v>910390307828736</v>
      </c>
      <c r="K431" s="5">
        <v>899451832505319</v>
      </c>
      <c r="L431" s="5">
        <v>872985800436225</v>
      </c>
      <c r="M431" s="5">
        <v>857746596852307</v>
      </c>
      <c r="N431" s="5">
        <v>82685335712</v>
      </c>
      <c r="O431" s="5">
        <v>8142998752</v>
      </c>
      <c r="P431" s="5">
        <v>828150360361646</v>
      </c>
      <c r="Q431" s="5">
        <v>833634128376</v>
      </c>
      <c r="R431" s="5">
        <v>79496841042</v>
      </c>
      <c r="S431" s="5">
        <v>777275157399</v>
      </c>
      <c r="T431" s="5">
        <v>753543037727</v>
      </c>
      <c r="U431" s="5">
        <v>7800095897</v>
      </c>
      <c r="V431" s="5">
        <v>801666259158132</v>
      </c>
      <c r="W431" s="5">
        <v>743161393993183</v>
      </c>
      <c r="X431" s="5">
        <v>713044227622631</v>
      </c>
      <c r="Y431" s="5">
        <v>827564641616048</v>
      </c>
      <c r="Z431" s="5">
        <v>844548335136</v>
      </c>
      <c r="AA431" s="5">
        <v>833018820384</v>
      </c>
      <c r="AB431" s="5">
        <v>818341088664384</v>
      </c>
      <c r="AC431" s="5">
        <v>8514277692165</v>
      </c>
      <c r="AD431" s="5">
        <v>779053038842988</v>
      </c>
      <c r="AE431" s="5">
        <v>896927036778864</v>
      </c>
      <c r="AF431" s="5">
        <v>944013299885198</v>
      </c>
      <c r="AG431" s="5">
        <v>815029375069182</v>
      </c>
      <c r="AH431" s="5">
        <v>71756228690874</v>
      </c>
      <c r="AI431" s="5">
        <v>698505655824113</v>
      </c>
      <c r="AJ431" s="5">
        <v>728753290826242</v>
      </c>
      <c r="AK431" s="5">
        <v>64515315765285</v>
      </c>
      <c r="AL431" s="5">
        <v>670377965173483</v>
      </c>
      <c r="AM431" s="5">
        <v>660536215209338</v>
      </c>
      <c r="AN431" s="5">
        <v>72864505607873</v>
      </c>
      <c r="AO431" s="5">
        <v>667365123924091</v>
      </c>
      <c r="AP431" s="5">
        <v>58432829362443</v>
      </c>
      <c r="AQ431" s="5"/>
      <c r="AR431" s="5"/>
      <c r="AS431" s="5"/>
      <c r="AT431" s="5"/>
      <c r="AU431" s="5"/>
      <c r="AV431" s="5"/>
      <c r="AW431" s="5"/>
      <c r="AX431" s="5"/>
      <c r="AY431" s="5"/>
      <c r="AZ431" s="5"/>
      <c r="BA431" s="5"/>
    </row>
    <row r="432" spans="1:53" x14ac:dyDescent="0.45">
      <c r="A432" s="1"/>
      <c r="B432" s="2"/>
      <c r="C432" s="1" t="s">
        <v>426</v>
      </c>
      <c r="D432" s="2">
        <v>4241337</v>
      </c>
      <c r="E432" s="3" t="s">
        <v>1432</v>
      </c>
      <c r="F432" s="3" t="s">
        <v>1433</v>
      </c>
      <c r="G432" s="3" t="s">
        <v>875</v>
      </c>
      <c r="H432" s="5">
        <v>131669207341056</v>
      </c>
      <c r="I432" s="5">
        <v>133340952119871</v>
      </c>
      <c r="J432" s="5">
        <v>120320534723004</v>
      </c>
      <c r="K432" s="5">
        <v>115826000703593</v>
      </c>
      <c r="L432" s="5">
        <v>112312974240787</v>
      </c>
      <c r="M432" s="5">
        <v>122417882334747</v>
      </c>
      <c r="N432" s="5">
        <v>122269398790854</v>
      </c>
      <c r="O432" s="5">
        <v>119031703583792</v>
      </c>
      <c r="P432" s="5">
        <v>126450752346533</v>
      </c>
      <c r="Q432" s="5">
        <v>126249620446071</v>
      </c>
      <c r="R432" s="5">
        <v>129930266512022</v>
      </c>
      <c r="S432" s="5">
        <v>128238115177009</v>
      </c>
      <c r="T432" s="5">
        <v>128756967015591</v>
      </c>
      <c r="U432" s="5">
        <v>131605875589012</v>
      </c>
      <c r="V432" s="5">
        <v>125724352883622</v>
      </c>
      <c r="W432" s="5">
        <v>122183636014947</v>
      </c>
      <c r="X432" s="5">
        <v>125882817379255</v>
      </c>
      <c r="Y432" s="5">
        <v>128346821049917</v>
      </c>
      <c r="Z432" s="5">
        <v>122775721428243</v>
      </c>
      <c r="AA432" s="5">
        <v>119962968184401</v>
      </c>
      <c r="AB432" s="5">
        <v>113690885287032</v>
      </c>
      <c r="AC432" s="5">
        <v>112671916587831</v>
      </c>
      <c r="AD432" s="5">
        <v>114301364395584</v>
      </c>
      <c r="AE432" s="5">
        <v>119933688043955</v>
      </c>
      <c r="AF432" s="5">
        <v>120199118735907</v>
      </c>
      <c r="AG432" s="5">
        <v>11002597293412</v>
      </c>
      <c r="AH432" s="5">
        <v>111583806809941</v>
      </c>
      <c r="AI432" s="5">
        <v>109924405338258</v>
      </c>
      <c r="AJ432" s="5">
        <v>119122259064562</v>
      </c>
      <c r="AK432" s="5">
        <v>11673213118359</v>
      </c>
      <c r="AL432" s="5">
        <v>11818140634068</v>
      </c>
      <c r="AM432" s="5">
        <v>106218865395846</v>
      </c>
      <c r="AN432" s="5">
        <v>10508313231044</v>
      </c>
      <c r="AO432" s="5">
        <v>101258581277436</v>
      </c>
      <c r="AP432" s="5">
        <v>940012709798126</v>
      </c>
      <c r="AQ432" s="5"/>
      <c r="AR432" s="5"/>
      <c r="AS432" s="5"/>
      <c r="AT432" s="5"/>
      <c r="AU432" s="5"/>
      <c r="AV432" s="5"/>
      <c r="AW432" s="5"/>
      <c r="AX432" s="5"/>
      <c r="AY432" s="5"/>
      <c r="AZ432" s="5"/>
      <c r="BA432" s="5"/>
    </row>
    <row r="433" spans="1:53" x14ac:dyDescent="0.45">
      <c r="A433" s="1"/>
      <c r="B433" s="2"/>
      <c r="C433" s="1" t="s">
        <v>427</v>
      </c>
      <c r="D433" s="2">
        <v>4057229</v>
      </c>
      <c r="E433" s="3" t="s">
        <v>1434</v>
      </c>
      <c r="F433" s="3" t="s">
        <v>1435</v>
      </c>
      <c r="G433" s="3" t="s">
        <v>580</v>
      </c>
      <c r="H433" s="5">
        <v>179822176312727</v>
      </c>
      <c r="I433" s="5">
        <v>17432402425775</v>
      </c>
      <c r="J433" s="5">
        <v>167747953391796</v>
      </c>
      <c r="K433" s="5">
        <v>170819044172078</v>
      </c>
      <c r="L433" s="5">
        <v>164789875024692</v>
      </c>
      <c r="M433" s="5">
        <v>167529093542336</v>
      </c>
      <c r="N433" s="5">
        <v>159684833392838</v>
      </c>
      <c r="O433" s="5">
        <v>169332990676423</v>
      </c>
      <c r="P433" s="5">
        <v>171889115363047</v>
      </c>
      <c r="Q433" s="5" t="s">
        <v>1495</v>
      </c>
      <c r="R433" s="5">
        <v>1905930795258</v>
      </c>
      <c r="S433" s="5">
        <v>18515061615921</v>
      </c>
      <c r="T433" s="5">
        <v>20614243555462</v>
      </c>
      <c r="U433" s="5">
        <v>192438949802</v>
      </c>
      <c r="V433" s="5">
        <v>1789087778972</v>
      </c>
      <c r="W433" s="5">
        <v>1885044457341</v>
      </c>
      <c r="X433" s="5">
        <v>191352314447784</v>
      </c>
      <c r="Y433" s="5">
        <v>202140463292816</v>
      </c>
      <c r="Z433" s="5">
        <v>20496045925512</v>
      </c>
      <c r="AA433" s="5">
        <v>18643399431655</v>
      </c>
      <c r="AB433" s="5">
        <v>181306204021472</v>
      </c>
      <c r="AC433" s="5">
        <v>19024629719076</v>
      </c>
      <c r="AD433" s="5">
        <v>1880902256115</v>
      </c>
      <c r="AE433" s="5">
        <v>173159298568063</v>
      </c>
      <c r="AF433" s="5">
        <v>175045760392753</v>
      </c>
      <c r="AG433" s="5">
        <v>172980524489043</v>
      </c>
      <c r="AH433" s="5">
        <v>15850966416411</v>
      </c>
      <c r="AI433" s="5">
        <v>167000015131203</v>
      </c>
      <c r="AJ433" s="5">
        <v>172190036983455</v>
      </c>
      <c r="AK433" s="5">
        <v>170660733173402</v>
      </c>
      <c r="AL433" s="5">
        <v>183445398420027</v>
      </c>
      <c r="AM433" s="5">
        <v>1838265624</v>
      </c>
      <c r="AN433" s="5">
        <v>18469032084</v>
      </c>
      <c r="AO433" s="5">
        <v>179595983063662</v>
      </c>
      <c r="AP433" s="5">
        <v>1682261130375</v>
      </c>
      <c r="AQ433" s="5"/>
      <c r="AR433" s="5"/>
      <c r="AS433" s="5"/>
      <c r="AT433" s="5"/>
      <c r="AU433" s="5"/>
      <c r="AV433" s="5"/>
      <c r="AW433" s="5"/>
      <c r="AX433" s="5"/>
      <c r="AY433" s="5"/>
      <c r="AZ433" s="5"/>
      <c r="BA433" s="5"/>
    </row>
    <row r="434" spans="1:53" x14ac:dyDescent="0.45">
      <c r="A434" s="1"/>
      <c r="B434" s="2"/>
      <c r="C434" s="1" t="s">
        <v>428</v>
      </c>
      <c r="D434" s="2">
        <v>4159057</v>
      </c>
      <c r="E434" s="3" t="s">
        <v>1436</v>
      </c>
      <c r="F434" s="3" t="s">
        <v>1437</v>
      </c>
      <c r="G434" s="3" t="s">
        <v>472</v>
      </c>
      <c r="H434" s="5">
        <v>31563137323306</v>
      </c>
      <c r="I434" s="5">
        <v>306417882222714</v>
      </c>
      <c r="J434" s="5">
        <v>317675237947514</v>
      </c>
      <c r="K434" s="5">
        <v>324328345202592</v>
      </c>
      <c r="L434" s="5">
        <v>340841349553598</v>
      </c>
      <c r="M434" s="5">
        <v>324777686578056</v>
      </c>
      <c r="N434" s="5">
        <v>2813359101385</v>
      </c>
      <c r="O434" s="5">
        <v>2739869628</v>
      </c>
      <c r="P434" s="5">
        <v>270428273165487</v>
      </c>
      <c r="Q434" s="5">
        <v>254064979728</v>
      </c>
      <c r="R434" s="5">
        <v>212076822107531</v>
      </c>
      <c r="S434" s="5">
        <v>19758733086429</v>
      </c>
      <c r="T434" s="5">
        <v>1730941619573</v>
      </c>
      <c r="U434" s="5">
        <v>191486749718</v>
      </c>
      <c r="V434" s="5">
        <v>171675476804163</v>
      </c>
      <c r="W434" s="5">
        <v>1922435236917</v>
      </c>
      <c r="X434" s="5">
        <v>210067264571755</v>
      </c>
      <c r="Y434" s="5">
        <v>215032213956</v>
      </c>
      <c r="Z434" s="5">
        <v>1915891697115</v>
      </c>
      <c r="AA434" s="5">
        <v>20703178303875</v>
      </c>
      <c r="AB434" s="5">
        <v>182152078366099</v>
      </c>
      <c r="AC434" s="5">
        <v>193905096008421</v>
      </c>
      <c r="AD434" s="5">
        <v>206569337250375</v>
      </c>
      <c r="AE434" s="5">
        <v>284683065641626</v>
      </c>
      <c r="AF434" s="5">
        <v>300870270521085</v>
      </c>
      <c r="AG434" s="5">
        <v>277956546337271</v>
      </c>
      <c r="AH434" s="5">
        <v>22829944138604</v>
      </c>
      <c r="AI434" s="5">
        <v>27852436594914</v>
      </c>
      <c r="AJ434" s="5">
        <v>298574317755</v>
      </c>
      <c r="AK434" s="5">
        <v>2702095302682</v>
      </c>
      <c r="AL434" s="5">
        <v>284925495706761</v>
      </c>
      <c r="AM434" s="5">
        <v>268266639216962</v>
      </c>
      <c r="AN434" s="5">
        <v>265843551920951</v>
      </c>
      <c r="AO434" s="5">
        <v>257857695698666</v>
      </c>
      <c r="AP434" s="5">
        <v>2358565087482</v>
      </c>
      <c r="AQ434" s="5"/>
      <c r="AR434" s="5"/>
      <c r="AS434" s="5"/>
      <c r="AT434" s="5"/>
      <c r="AU434" s="5"/>
      <c r="AV434" s="5"/>
      <c r="AW434" s="5"/>
      <c r="AX434" s="5"/>
      <c r="AY434" s="5"/>
      <c r="AZ434" s="5"/>
      <c r="BA434" s="5"/>
    </row>
    <row r="435" spans="1:53" x14ac:dyDescent="0.45">
      <c r="A435" s="1"/>
      <c r="B435" s="2"/>
      <c r="C435" s="1" t="s">
        <v>429</v>
      </c>
      <c r="D435" s="2">
        <v>4761964</v>
      </c>
      <c r="E435" s="3" t="s">
        <v>1438</v>
      </c>
      <c r="F435" s="3" t="s">
        <v>1439</v>
      </c>
      <c r="G435" s="3" t="s">
        <v>633</v>
      </c>
      <c r="H435" s="5">
        <v>189017458240011</v>
      </c>
      <c r="I435" s="5">
        <v>164547770528558</v>
      </c>
      <c r="J435" s="5">
        <v>164503526472688</v>
      </c>
      <c r="K435" s="5">
        <v>142340475440719</v>
      </c>
      <c r="L435" s="5">
        <v>142164312581093</v>
      </c>
      <c r="M435" s="5">
        <v>177325340193012</v>
      </c>
      <c r="N435" s="5">
        <v>18237830341538</v>
      </c>
      <c r="O435" s="5">
        <v>185943829797442</v>
      </c>
      <c r="P435" s="5">
        <v>18356848965</v>
      </c>
      <c r="Q435" s="5">
        <v>195260665760946</v>
      </c>
      <c r="R435" s="5">
        <v>210952938574431</v>
      </c>
      <c r="S435" s="5">
        <v>188683115441916</v>
      </c>
      <c r="T435" s="5">
        <v>193384336152672</v>
      </c>
      <c r="U435" s="5">
        <v>185323323334642</v>
      </c>
      <c r="V435" s="5">
        <v>178139436199922</v>
      </c>
      <c r="W435" s="5">
        <v>181406985872266</v>
      </c>
      <c r="X435" s="5">
        <v>203261223011399</v>
      </c>
      <c r="Y435" s="5">
        <v>212885785049498</v>
      </c>
      <c r="Z435" s="5">
        <v>197942993363304</v>
      </c>
      <c r="AA435" s="5">
        <v>197974430379994</v>
      </c>
      <c r="AB435" s="5">
        <v>178704038363544</v>
      </c>
      <c r="AC435" s="5">
        <v>203582413671367</v>
      </c>
      <c r="AD435" s="5">
        <v>239493873420113</v>
      </c>
      <c r="AE435" s="5">
        <v>244857179538795</v>
      </c>
      <c r="AF435" s="5">
        <v>238782589791332</v>
      </c>
      <c r="AG435" s="5">
        <v>196615290545538</v>
      </c>
      <c r="AH435" s="5">
        <v>177381134303632</v>
      </c>
      <c r="AI435" s="5">
        <v>217618361721531</v>
      </c>
      <c r="AJ435" s="5">
        <v>248345671710007</v>
      </c>
      <c r="AK435" s="5">
        <v>298534715676779</v>
      </c>
      <c r="AL435" s="5">
        <v>324288461050121</v>
      </c>
      <c r="AM435" s="5">
        <v>315893346842913</v>
      </c>
      <c r="AN435" s="5">
        <v>270377111097367</v>
      </c>
      <c r="AO435" s="5">
        <v>249690056107645</v>
      </c>
      <c r="AP435" s="5">
        <v>176199062386845</v>
      </c>
      <c r="AQ435" s="5"/>
      <c r="AR435" s="5"/>
      <c r="AS435" s="5"/>
      <c r="AT435" s="5"/>
      <c r="AU435" s="5"/>
      <c r="AV435" s="5"/>
      <c r="AW435" s="5"/>
      <c r="AX435" s="5"/>
      <c r="AY435" s="5"/>
      <c r="AZ435" s="5"/>
      <c r="BA435" s="5"/>
    </row>
    <row r="436" spans="1:53" x14ac:dyDescent="0.45">
      <c r="A436" s="1"/>
      <c r="B436" s="2"/>
      <c r="C436" s="1" t="s">
        <v>430</v>
      </c>
      <c r="D436" s="2">
        <v>4163620</v>
      </c>
      <c r="E436" s="3" t="s">
        <v>1440</v>
      </c>
      <c r="F436" s="3" t="s">
        <v>1441</v>
      </c>
      <c r="G436" s="3" t="s">
        <v>524</v>
      </c>
      <c r="H436" s="5">
        <v>212875977889177</v>
      </c>
      <c r="I436" s="5">
        <v>212194562538628</v>
      </c>
      <c r="J436" s="5">
        <v>212662141418444</v>
      </c>
      <c r="K436" s="5">
        <v>201453094863371</v>
      </c>
      <c r="L436" s="5">
        <v>19722380800721</v>
      </c>
      <c r="M436" s="5">
        <v>191120883264743</v>
      </c>
      <c r="N436" s="5">
        <v>18751967431158</v>
      </c>
      <c r="O436" s="5">
        <v>193351916963305</v>
      </c>
      <c r="P436" s="5">
        <v>190995358134209</v>
      </c>
      <c r="Q436" s="5">
        <v>190853652460243</v>
      </c>
      <c r="R436" s="5">
        <v>190229629224414</v>
      </c>
      <c r="S436" s="5">
        <v>176483940259083</v>
      </c>
      <c r="T436" s="5">
        <v>170177245904404</v>
      </c>
      <c r="U436" s="5">
        <v>169342049524482</v>
      </c>
      <c r="V436" s="5">
        <v>174543825316658</v>
      </c>
      <c r="W436" s="5">
        <v>171902194170226</v>
      </c>
      <c r="X436" s="5">
        <v>169559411118287</v>
      </c>
      <c r="Y436" s="5">
        <v>1632031012821</v>
      </c>
      <c r="Z436" s="5">
        <v>157652640153018</v>
      </c>
      <c r="AA436" s="5">
        <v>16743750243976</v>
      </c>
      <c r="AB436" s="5">
        <v>159200593616449</v>
      </c>
      <c r="AC436" s="5">
        <v>15840672123152</v>
      </c>
      <c r="AD436" s="5">
        <v>163639478962019</v>
      </c>
      <c r="AE436" s="5">
        <v>170966296784936</v>
      </c>
      <c r="AF436" s="5">
        <v>179871303983541</v>
      </c>
      <c r="AG436" s="5">
        <v>169449529353699</v>
      </c>
      <c r="AH436" s="5">
        <v>150338737899015</v>
      </c>
      <c r="AI436" s="5">
        <v>153311444092152</v>
      </c>
      <c r="AJ436" s="5">
        <v>164248479303343</v>
      </c>
      <c r="AK436" s="5">
        <v>146040761662931</v>
      </c>
      <c r="AL436" s="5">
        <v>151597774057165</v>
      </c>
      <c r="AM436" s="5">
        <v>142928379578965</v>
      </c>
      <c r="AN436" s="5">
        <v>148029679481295</v>
      </c>
      <c r="AO436" s="5">
        <v>147069485553988</v>
      </c>
      <c r="AP436" s="5">
        <v>137234400423467</v>
      </c>
      <c r="AQ436" s="5"/>
      <c r="AR436" s="5"/>
      <c r="AS436" s="5"/>
      <c r="AT436" s="5"/>
      <c r="AU436" s="5"/>
      <c r="AV436" s="5"/>
      <c r="AW436" s="5"/>
      <c r="AX436" s="5"/>
      <c r="AY436" s="5"/>
      <c r="AZ436" s="5"/>
      <c r="BA436" s="5"/>
    </row>
    <row r="437" spans="1:53" x14ac:dyDescent="0.45">
      <c r="A437" s="1"/>
      <c r="B437" s="2"/>
      <c r="C437" s="1" t="s">
        <v>431</v>
      </c>
      <c r="D437" s="2">
        <v>4063773</v>
      </c>
      <c r="E437" s="3" t="s">
        <v>1442</v>
      </c>
      <c r="F437" s="3" t="s">
        <v>1443</v>
      </c>
      <c r="G437" s="3" t="s">
        <v>756</v>
      </c>
      <c r="H437" s="5">
        <v>141420759509874</v>
      </c>
      <c r="I437" s="5">
        <v>139571116846396</v>
      </c>
      <c r="J437" s="5">
        <v>138337488708337</v>
      </c>
      <c r="K437" s="5">
        <v>133853776430322</v>
      </c>
      <c r="L437" s="5">
        <v>135070026490848</v>
      </c>
      <c r="M437" s="5">
        <v>138060120793676</v>
      </c>
      <c r="N437" s="5">
        <v>146739748598205</v>
      </c>
      <c r="O437" s="5">
        <v>146612191359645</v>
      </c>
      <c r="P437" s="5">
        <v>147152172328691</v>
      </c>
      <c r="Q437" s="5">
        <v>149445771044344</v>
      </c>
      <c r="R437" s="5">
        <v>150375429011779</v>
      </c>
      <c r="S437" s="5">
        <v>157346701710136</v>
      </c>
      <c r="T437" s="5">
        <v>15685872393814</v>
      </c>
      <c r="U437" s="5">
        <v>157269286230826</v>
      </c>
      <c r="V437" s="5">
        <v>137441275467147</v>
      </c>
      <c r="W437" s="5">
        <v>134641733831631</v>
      </c>
      <c r="X437" s="5">
        <v>13592878798944</v>
      </c>
      <c r="Y437" s="5">
        <v>147780120734204</v>
      </c>
      <c r="Z437" s="5">
        <v>144346877642056</v>
      </c>
      <c r="AA437" s="5">
        <v>139721986115526</v>
      </c>
      <c r="AB437" s="5">
        <v>125575766562587</v>
      </c>
      <c r="AC437" s="5">
        <v>120797604637636</v>
      </c>
      <c r="AD437" s="5">
        <v>1086683568957</v>
      </c>
      <c r="AE437" s="5">
        <v>116578969746725</v>
      </c>
      <c r="AF437" s="5">
        <v>129562455205315</v>
      </c>
      <c r="AG437" s="5">
        <v>116649382470836</v>
      </c>
      <c r="AH437" s="5">
        <v>106452749779219</v>
      </c>
      <c r="AI437" s="5">
        <v>111316176643336</v>
      </c>
      <c r="AJ437" s="5">
        <v>1092942665298</v>
      </c>
      <c r="AK437" s="5">
        <v>999568657395</v>
      </c>
      <c r="AL437" s="5">
        <v>1087012318887</v>
      </c>
      <c r="AM437" s="5">
        <v>101305579851</v>
      </c>
      <c r="AN437" s="5">
        <v>10406385912825</v>
      </c>
      <c r="AO437" s="5">
        <v>977888107275</v>
      </c>
      <c r="AP437" s="5">
        <v>82254097829475</v>
      </c>
      <c r="AQ437" s="5"/>
      <c r="AR437" s="5"/>
      <c r="AS437" s="5"/>
      <c r="AT437" s="5"/>
      <c r="AU437" s="5"/>
      <c r="AV437" s="5"/>
      <c r="AW437" s="5"/>
      <c r="AX437" s="5"/>
      <c r="AY437" s="5"/>
      <c r="AZ437" s="5"/>
      <c r="BA437" s="5"/>
    </row>
    <row r="438" spans="1:53" x14ac:dyDescent="0.45">
      <c r="A438" s="1"/>
      <c r="B438" s="2"/>
      <c r="C438" s="1" t="s">
        <v>432</v>
      </c>
      <c r="D438" s="2">
        <v>103336</v>
      </c>
      <c r="E438" s="3" t="s">
        <v>1444</v>
      </c>
      <c r="F438" s="3" t="s">
        <v>1445</v>
      </c>
      <c r="G438" s="3" t="s">
        <v>527</v>
      </c>
      <c r="H438" s="5">
        <v>726750760527077</v>
      </c>
      <c r="I438" s="5">
        <v>706897554488525</v>
      </c>
      <c r="J438" s="5">
        <v>717343857918</v>
      </c>
      <c r="K438" s="5">
        <v>6848358304731</v>
      </c>
      <c r="L438" s="5">
        <v>680576931964469</v>
      </c>
      <c r="M438" s="5">
        <v>709690545526042</v>
      </c>
      <c r="N438" s="5">
        <v>734987213894024</v>
      </c>
      <c r="O438" s="5">
        <v>744365517767111</v>
      </c>
      <c r="P438" s="5">
        <v>781834655922574</v>
      </c>
      <c r="Q438" s="5">
        <v>800630492452094</v>
      </c>
      <c r="R438" s="5">
        <v>81092631205984</v>
      </c>
      <c r="S438" s="5">
        <v>754838694023251</v>
      </c>
      <c r="T438" s="5">
        <v>764690724581895</v>
      </c>
      <c r="U438" s="5">
        <v>709448181839199</v>
      </c>
      <c r="V438" s="5">
        <v>633954942839486</v>
      </c>
      <c r="W438" s="5">
        <v>63081675519413</v>
      </c>
      <c r="X438" s="5">
        <v>653793429650303</v>
      </c>
      <c r="Y438" s="5">
        <v>638684448684351</v>
      </c>
      <c r="Z438" s="5">
        <v>661503367242436</v>
      </c>
      <c r="AA438" s="5">
        <v>628269936242106</v>
      </c>
      <c r="AB438" s="5">
        <v>599469842590362</v>
      </c>
      <c r="AC438" s="5">
        <v>581178608213655</v>
      </c>
      <c r="AD438" s="5">
        <v>571381653363693</v>
      </c>
      <c r="AE438" s="5">
        <v>621496577408879</v>
      </c>
      <c r="AF438" s="5">
        <v>649530669504526</v>
      </c>
      <c r="AG438" s="5">
        <v>624098879409846</v>
      </c>
      <c r="AH438" s="5">
        <v>601017849405438</v>
      </c>
      <c r="AI438" s="5">
        <v>59781317461554</v>
      </c>
      <c r="AJ438" s="5">
        <v>617737429016876</v>
      </c>
      <c r="AK438" s="5">
        <v>582007750448201</v>
      </c>
      <c r="AL438" s="5">
        <v>557364975104167</v>
      </c>
      <c r="AM438" s="5">
        <v>546630846713427</v>
      </c>
      <c r="AN438" s="5">
        <v>59152847978961</v>
      </c>
      <c r="AO438" s="5">
        <v>560011146006874</v>
      </c>
      <c r="AP438" s="5">
        <v>550697171924682</v>
      </c>
      <c r="AQ438" s="5"/>
      <c r="AR438" s="5"/>
      <c r="AS438" s="5"/>
      <c r="AT438" s="5"/>
      <c r="AU438" s="5"/>
      <c r="AV438" s="5"/>
      <c r="AW438" s="5"/>
      <c r="AX438" s="5"/>
      <c r="AY438" s="5"/>
      <c r="AZ438" s="5"/>
      <c r="BA438" s="5"/>
    </row>
    <row r="439" spans="1:53" x14ac:dyDescent="0.45">
      <c r="A439" s="1"/>
      <c r="B439" s="2"/>
      <c r="C439" s="1" t="s">
        <v>433</v>
      </c>
      <c r="D439" s="2">
        <v>4071818</v>
      </c>
      <c r="E439" s="3" t="s">
        <v>1446</v>
      </c>
      <c r="F439" s="3" t="s">
        <v>1447</v>
      </c>
      <c r="G439" s="3" t="s">
        <v>880</v>
      </c>
      <c r="H439" s="5">
        <v>11211385255812</v>
      </c>
      <c r="I439" s="5">
        <v>105894141576743</v>
      </c>
      <c r="J439" s="5">
        <v>96771300138684</v>
      </c>
      <c r="K439" s="5">
        <v>877397109694767</v>
      </c>
      <c r="L439" s="5">
        <v>789786449876258</v>
      </c>
      <c r="M439" s="5">
        <v>816201237939297</v>
      </c>
      <c r="N439" s="5">
        <v>924179904843741</v>
      </c>
      <c r="O439" s="5">
        <v>89552989497816</v>
      </c>
      <c r="P439" s="5">
        <v>103296352526219</v>
      </c>
      <c r="Q439" s="5">
        <v>127819268314683</v>
      </c>
      <c r="R439" s="5">
        <v>137354128728725</v>
      </c>
      <c r="S439" s="5">
        <v>137635389174544</v>
      </c>
      <c r="T439" s="5">
        <v>131059228926005</v>
      </c>
      <c r="U439" s="5">
        <v>129932646542279</v>
      </c>
      <c r="V439" s="5">
        <v>113115844538052</v>
      </c>
      <c r="W439" s="5">
        <v>120862577744037</v>
      </c>
      <c r="X439" s="5">
        <v>125022457433015</v>
      </c>
      <c r="Y439" s="5">
        <v>11834350186818</v>
      </c>
      <c r="Z439" s="5">
        <v>12548189619305</v>
      </c>
      <c r="AA439" s="5">
        <v>125823233838018</v>
      </c>
      <c r="AB439" s="5">
        <v>125570123784697</v>
      </c>
      <c r="AC439" s="5">
        <v>123251823864697</v>
      </c>
      <c r="AD439" s="5">
        <v>11275024220691</v>
      </c>
      <c r="AE439" s="5">
        <v>117123299468325</v>
      </c>
      <c r="AF439" s="5">
        <v>11918679371093</v>
      </c>
      <c r="AG439" s="5">
        <v>119574429765</v>
      </c>
      <c r="AH439" s="5">
        <v>127107507946178</v>
      </c>
      <c r="AI439" s="5">
        <v>131604603867202</v>
      </c>
      <c r="AJ439" s="5">
        <v>136579371075875</v>
      </c>
      <c r="AK439" s="5">
        <v>142175362620375</v>
      </c>
      <c r="AL439" s="5">
        <v>146541383688195</v>
      </c>
      <c r="AM439" s="5">
        <v>148504456347975</v>
      </c>
      <c r="AN439" s="5">
        <v>14740115047752</v>
      </c>
      <c r="AO439" s="5">
        <v>14249697671607</v>
      </c>
      <c r="AP439" s="5">
        <v>1408622652096</v>
      </c>
      <c r="AQ439" s="5"/>
      <c r="AR439" s="5"/>
      <c r="AS439" s="5"/>
      <c r="AT439" s="5"/>
      <c r="AU439" s="5"/>
      <c r="AV439" s="5"/>
      <c r="AW439" s="5"/>
      <c r="AX439" s="5"/>
      <c r="AY439" s="5"/>
      <c r="AZ439" s="5"/>
      <c r="BA439" s="5"/>
    </row>
    <row r="440" spans="1:53" x14ac:dyDescent="0.45">
      <c r="A440" s="1"/>
      <c r="B440" s="2"/>
      <c r="C440" s="1" t="s">
        <v>434</v>
      </c>
      <c r="D440" s="2">
        <v>3005566</v>
      </c>
      <c r="E440" s="3" t="s">
        <v>1448</v>
      </c>
      <c r="F440" s="3" t="s">
        <v>1449</v>
      </c>
      <c r="G440" s="3" t="s">
        <v>751</v>
      </c>
      <c r="H440" s="5">
        <v>243623282721212</v>
      </c>
      <c r="I440" s="5">
        <v>243887183544343</v>
      </c>
      <c r="J440" s="5">
        <v>224037999745827</v>
      </c>
      <c r="K440" s="5">
        <v>197496603119577</v>
      </c>
      <c r="L440" s="5">
        <v>196386839338211</v>
      </c>
      <c r="M440" s="5">
        <v>204598679409697</v>
      </c>
      <c r="N440" s="5">
        <v>199962390755581</v>
      </c>
      <c r="O440" s="5">
        <v>21206974824</v>
      </c>
      <c r="P440" s="5">
        <v>20917825843824</v>
      </c>
      <c r="Q440" s="5">
        <v>204452758463332</v>
      </c>
      <c r="R440" s="5">
        <v>205338444536455</v>
      </c>
      <c r="S440" s="5">
        <v>19007052035017</v>
      </c>
      <c r="T440" s="5">
        <v>20122441714944</v>
      </c>
      <c r="U440" s="5">
        <v>206093947650352</v>
      </c>
      <c r="V440" s="5">
        <v>19761677548848</v>
      </c>
      <c r="W440" s="5">
        <v>19846838089908</v>
      </c>
      <c r="X440" s="5">
        <v>198232185600226</v>
      </c>
      <c r="Y440" s="5">
        <v>203531057677272</v>
      </c>
      <c r="Z440" s="5">
        <v>204922199105283</v>
      </c>
      <c r="AA440" s="5">
        <v>199623788615788</v>
      </c>
      <c r="AB440" s="5">
        <v>183265060495185</v>
      </c>
      <c r="AC440" s="5">
        <v>19553713640493</v>
      </c>
      <c r="AD440" s="5">
        <v>196361206392865</v>
      </c>
      <c r="AE440" s="5">
        <v>180721174917954</v>
      </c>
      <c r="AF440" s="5">
        <v>178554932095384</v>
      </c>
      <c r="AG440" s="5">
        <v>166414328468653</v>
      </c>
      <c r="AH440" s="5">
        <v>186264837580483</v>
      </c>
      <c r="AI440" s="5">
        <v>186108117683218</v>
      </c>
      <c r="AJ440" s="5">
        <v>209827427517282</v>
      </c>
      <c r="AK440" s="5">
        <v>205076185932055</v>
      </c>
      <c r="AL440" s="5">
        <v>218273364053247</v>
      </c>
      <c r="AM440" s="5">
        <v>224915178705876</v>
      </c>
      <c r="AN440" s="5">
        <v>246775196345262</v>
      </c>
      <c r="AO440" s="5">
        <v>241265332377129</v>
      </c>
      <c r="AP440" s="5">
        <v>24261283368831</v>
      </c>
      <c r="AQ440" s="5"/>
      <c r="AR440" s="5"/>
      <c r="AS440" s="5"/>
      <c r="AT440" s="5"/>
      <c r="AU440" s="5"/>
      <c r="AV440" s="5"/>
      <c r="AW440" s="5"/>
      <c r="AX440" s="5"/>
      <c r="AY440" s="5"/>
      <c r="AZ440" s="5"/>
      <c r="BA440" s="5"/>
    </row>
    <row r="441" spans="1:53" x14ac:dyDescent="0.45">
      <c r="A441" s="1"/>
      <c r="B441" s="2"/>
      <c r="C441" s="1" t="s">
        <v>435</v>
      </c>
      <c r="D441" s="2">
        <v>4216584</v>
      </c>
      <c r="E441" s="3" t="s">
        <v>1450</v>
      </c>
      <c r="F441" s="3" t="s">
        <v>1451</v>
      </c>
      <c r="G441" s="3" t="s">
        <v>1050</v>
      </c>
      <c r="H441" s="5">
        <v>103058991917676</v>
      </c>
      <c r="I441" s="5">
        <v>884152372447926</v>
      </c>
      <c r="J441" s="5">
        <v>902659627583755</v>
      </c>
      <c r="K441" s="5">
        <v>100383018891979</v>
      </c>
      <c r="L441" s="5">
        <v>104057643524926</v>
      </c>
      <c r="M441" s="5">
        <v>11529358389218</v>
      </c>
      <c r="N441" s="5">
        <v>126776633504889</v>
      </c>
      <c r="O441" s="5">
        <v>131888410681561</v>
      </c>
      <c r="P441" s="5">
        <v>149153527276138</v>
      </c>
      <c r="Q441" s="5">
        <v>153478102987404</v>
      </c>
      <c r="R441" s="5">
        <v>153065901787671</v>
      </c>
      <c r="S441" s="5">
        <v>149804481817516</v>
      </c>
      <c r="T441" s="5">
        <v>148086921513435</v>
      </c>
      <c r="U441" s="5">
        <v>146059934771773</v>
      </c>
      <c r="V441" s="5">
        <v>137555554915857</v>
      </c>
      <c r="W441" s="5">
        <v>139217662772884</v>
      </c>
      <c r="X441" s="5">
        <v>132863238485317</v>
      </c>
      <c r="Y441" s="5">
        <v>133139971462497</v>
      </c>
      <c r="Z441" s="5">
        <v>13271363519338</v>
      </c>
      <c r="AA441" s="5">
        <v>147202837826552</v>
      </c>
      <c r="AB441" s="5">
        <v>144188589626625</v>
      </c>
      <c r="AC441" s="5">
        <v>139040576911162</v>
      </c>
      <c r="AD441" s="5">
        <v>157440777242486</v>
      </c>
      <c r="AE441" s="5">
        <v>148841352948077</v>
      </c>
      <c r="AF441" s="5">
        <v>178928581222669</v>
      </c>
      <c r="AG441" s="5">
        <v>161013451896693</v>
      </c>
      <c r="AH441" s="5">
        <v>140683526854079</v>
      </c>
      <c r="AI441" s="5">
        <v>144630907097053</v>
      </c>
      <c r="AJ441" s="5">
        <v>179292707987419</v>
      </c>
      <c r="AK441" s="5">
        <v>180669132095136</v>
      </c>
      <c r="AL441" s="5">
        <v>186309616410299</v>
      </c>
      <c r="AM441" s="5">
        <v>175319806203279</v>
      </c>
      <c r="AN441" s="5">
        <v>175966345023833</v>
      </c>
      <c r="AO441" s="5">
        <v>176041036938265</v>
      </c>
      <c r="AP441" s="5">
        <v>15992598292341</v>
      </c>
      <c r="AQ441" s="5"/>
      <c r="AR441" s="5"/>
      <c r="AS441" s="5"/>
      <c r="AT441" s="5"/>
      <c r="AU441" s="5"/>
      <c r="AV441" s="5"/>
      <c r="AW441" s="5"/>
      <c r="AX441" s="5"/>
      <c r="AY441" s="5"/>
      <c r="AZ441" s="5"/>
      <c r="BA441" s="5"/>
    </row>
    <row r="442" spans="1:53" x14ac:dyDescent="0.45">
      <c r="A442" s="1"/>
      <c r="B442" s="2"/>
      <c r="C442" s="1" t="s">
        <v>436</v>
      </c>
      <c r="D442" s="2">
        <v>4063852</v>
      </c>
      <c r="E442" s="3" t="s">
        <v>1452</v>
      </c>
      <c r="F442" s="3" t="s">
        <v>1453</v>
      </c>
      <c r="G442" s="3" t="s">
        <v>1244</v>
      </c>
      <c r="H442" s="5">
        <v>312073932456718</v>
      </c>
      <c r="I442" s="5">
        <v>299892801415867</v>
      </c>
      <c r="J442" s="5">
        <v>306487263933408</v>
      </c>
      <c r="K442" s="5">
        <v>291410401702851</v>
      </c>
      <c r="L442" s="5">
        <v>285734309383931</v>
      </c>
      <c r="M442" s="5">
        <v>280587844165928</v>
      </c>
      <c r="N442" s="5">
        <v>284038002376432</v>
      </c>
      <c r="O442" s="5">
        <v>286682719706623</v>
      </c>
      <c r="P442" s="5">
        <v>295205306446554</v>
      </c>
      <c r="Q442" s="5">
        <v>301284555712</v>
      </c>
      <c r="R442" s="5">
        <v>30368953368</v>
      </c>
      <c r="S442" s="5">
        <v>284672973</v>
      </c>
      <c r="T442" s="5">
        <v>29690485006</v>
      </c>
      <c r="U442" s="5">
        <v>2906853664</v>
      </c>
      <c r="V442" s="5">
        <v>26479417328</v>
      </c>
      <c r="W442" s="5">
        <v>2508849511236</v>
      </c>
      <c r="X442" s="5">
        <v>2536859427333</v>
      </c>
      <c r="Y442" s="5">
        <v>261720471923722</v>
      </c>
      <c r="Z442" s="5">
        <v>2651024767959</v>
      </c>
      <c r="AA442" s="5">
        <v>2433061971185</v>
      </c>
      <c r="AB442" s="5">
        <v>228050569636008</v>
      </c>
      <c r="AC442" s="5">
        <v>229121988364756</v>
      </c>
      <c r="AD442" s="5">
        <v>218486855483228</v>
      </c>
      <c r="AE442" s="5">
        <v>219409694273365</v>
      </c>
      <c r="AF442" s="5">
        <v>227248213776206</v>
      </c>
      <c r="AG442" s="5">
        <v>217676526808742</v>
      </c>
      <c r="AH442" s="5">
        <v>2018495363248</v>
      </c>
      <c r="AI442" s="5">
        <v>202115525142777</v>
      </c>
      <c r="AJ442" s="5">
        <v>209302935150863</v>
      </c>
      <c r="AK442" s="5">
        <v>190503056517283</v>
      </c>
      <c r="AL442" s="5">
        <v>20711225184645</v>
      </c>
      <c r="AM442" s="5">
        <v>202552752244825</v>
      </c>
      <c r="AN442" s="5">
        <v>230991320039658</v>
      </c>
      <c r="AO442" s="5">
        <v>22308105754464</v>
      </c>
      <c r="AP442" s="5">
        <v>208601880993612</v>
      </c>
      <c r="AQ442" s="5"/>
      <c r="AR442" s="5"/>
      <c r="AS442" s="5"/>
      <c r="AT442" s="5"/>
      <c r="AU442" s="5"/>
      <c r="AV442" s="5"/>
      <c r="AW442" s="5"/>
      <c r="AX442" s="5"/>
      <c r="AY442" s="5"/>
      <c r="AZ442" s="5"/>
      <c r="BA442" s="5"/>
    </row>
    <row r="443" spans="1:53" x14ac:dyDescent="0.45">
      <c r="A443" s="1"/>
      <c r="B443" s="2"/>
      <c r="C443" s="1" t="s">
        <v>437</v>
      </c>
      <c r="D443" s="2">
        <v>4337758</v>
      </c>
      <c r="E443" s="3" t="s">
        <v>1454</v>
      </c>
      <c r="F443" s="3" t="s">
        <v>1455</v>
      </c>
      <c r="G443" s="3" t="s">
        <v>487</v>
      </c>
      <c r="H443" s="5">
        <v>127959581430741</v>
      </c>
      <c r="I443" s="5">
        <v>131677763449354</v>
      </c>
      <c r="J443" s="5">
        <v>134428439618115</v>
      </c>
      <c r="K443" s="5">
        <v>12124551477023</v>
      </c>
      <c r="L443" s="5">
        <v>123334207039336</v>
      </c>
      <c r="M443" s="5">
        <v>117789937536</v>
      </c>
      <c r="N443" s="5">
        <v>128973062304</v>
      </c>
      <c r="O443" s="5">
        <v>12795338472</v>
      </c>
      <c r="P443" s="5">
        <v>1248647736336</v>
      </c>
      <c r="Q443" s="5">
        <v>117055266572238</v>
      </c>
      <c r="R443" s="5">
        <v>11692577775782</v>
      </c>
      <c r="S443" s="5">
        <v>105774992919</v>
      </c>
      <c r="T443" s="5">
        <v>1025845019526</v>
      </c>
      <c r="U443" s="5">
        <v>102580934676</v>
      </c>
      <c r="V443" s="5">
        <v>1022846914152</v>
      </c>
      <c r="W443" s="5">
        <v>11360420638245</v>
      </c>
      <c r="X443" s="5">
        <v>11369630353235</v>
      </c>
      <c r="Y443" s="5">
        <v>1151245261929</v>
      </c>
      <c r="Z443" s="5">
        <v>1025091279495</v>
      </c>
      <c r="AA443" s="5">
        <v>1000382401935</v>
      </c>
      <c r="AB443" s="5">
        <v>920444903196</v>
      </c>
      <c r="AC443" s="5">
        <v>899895519990336</v>
      </c>
      <c r="AD443" s="5">
        <v>914766918916949</v>
      </c>
      <c r="AE443" s="5">
        <v>101193305641877</v>
      </c>
      <c r="AF443" s="5">
        <v>102668346415821</v>
      </c>
      <c r="AG443" s="5">
        <v>953475793718679</v>
      </c>
      <c r="AH443" s="5">
        <v>871424613052589</v>
      </c>
      <c r="AI443" s="5">
        <v>891497958043423</v>
      </c>
      <c r="AJ443" s="5">
        <v>999163500633445</v>
      </c>
      <c r="AK443" s="5">
        <v>953059593335126</v>
      </c>
      <c r="AL443" s="5">
        <v>10067696035059</v>
      </c>
      <c r="AM443" s="5">
        <v>92454355149975</v>
      </c>
      <c r="AN443" s="5">
        <v>9608271827616</v>
      </c>
      <c r="AO443" s="5">
        <v>891400550169784</v>
      </c>
      <c r="AP443" s="5">
        <v>878138502767021</v>
      </c>
      <c r="AQ443" s="5"/>
      <c r="AR443" s="5"/>
      <c r="AS443" s="5"/>
      <c r="AT443" s="5"/>
      <c r="AU443" s="5"/>
      <c r="AV443" s="5"/>
      <c r="AW443" s="5"/>
      <c r="AX443" s="5"/>
      <c r="AY443" s="5"/>
      <c r="AZ443" s="5"/>
      <c r="BA443" s="5"/>
    </row>
    <row r="444" spans="1:53" x14ac:dyDescent="0.45">
      <c r="A444" s="1"/>
      <c r="B444" s="2"/>
      <c r="C444" s="1" t="s">
        <v>438</v>
      </c>
      <c r="D444" s="2">
        <v>4009725</v>
      </c>
      <c r="E444" s="3" t="s">
        <v>1456</v>
      </c>
      <c r="F444" s="3" t="s">
        <v>1457</v>
      </c>
      <c r="G444" s="3" t="s">
        <v>519</v>
      </c>
      <c r="H444" s="5">
        <v>17458556521272</v>
      </c>
      <c r="I444" s="5">
        <v>184140716710982</v>
      </c>
      <c r="J444" s="5">
        <v>182680412888116</v>
      </c>
      <c r="K444" s="5">
        <v>167628461594762</v>
      </c>
      <c r="L444" s="5">
        <v>173320213252381</v>
      </c>
      <c r="M444" s="5">
        <v>168612703894757</v>
      </c>
      <c r="N444" s="5">
        <v>169780264445345</v>
      </c>
      <c r="O444" s="5">
        <v>176271192557208</v>
      </c>
      <c r="P444" s="5">
        <v>175289843306173</v>
      </c>
      <c r="Q444" s="5">
        <v>178937698231434</v>
      </c>
      <c r="R444" s="5">
        <v>179172733305598</v>
      </c>
      <c r="S444" s="5">
        <v>172710946355639</v>
      </c>
      <c r="T444" s="5">
        <v>175354272796494</v>
      </c>
      <c r="U444" s="5">
        <v>167231277714725</v>
      </c>
      <c r="V444" s="5">
        <v>171975220338459</v>
      </c>
      <c r="W444" s="5">
        <v>168137833153283</v>
      </c>
      <c r="X444" s="5">
        <v>169536383105887</v>
      </c>
      <c r="Y444" s="5">
        <v>183347441053715</v>
      </c>
      <c r="Z444" s="5">
        <v>185598616485677</v>
      </c>
      <c r="AA444" s="5">
        <v>1705719534269</v>
      </c>
      <c r="AB444" s="5">
        <v>160433540128993</v>
      </c>
      <c r="AC444" s="5">
        <v>163738200014961</v>
      </c>
      <c r="AD444" s="5">
        <v>161127883471808</v>
      </c>
      <c r="AE444" s="5">
        <v>149140959732308</v>
      </c>
      <c r="AF444" s="5">
        <v>147373642950785</v>
      </c>
      <c r="AG444" s="5">
        <v>147605169200152</v>
      </c>
      <c r="AH444" s="5">
        <v>147714222396168</v>
      </c>
      <c r="AI444" s="5">
        <v>134290708392582</v>
      </c>
      <c r="AJ444" s="5">
        <v>140018125164614</v>
      </c>
      <c r="AK444" s="5">
        <v>127451785437253</v>
      </c>
      <c r="AL444" s="5">
        <v>9919685640034</v>
      </c>
      <c r="AM444" s="5">
        <v>989400559068</v>
      </c>
      <c r="AN444" s="5">
        <v>10390702952025</v>
      </c>
      <c r="AO444" s="5">
        <v>102530057623288</v>
      </c>
      <c r="AP444" s="5">
        <v>111401681917801</v>
      </c>
      <c r="AQ444" s="5"/>
      <c r="AR444" s="5"/>
      <c r="AS444" s="5"/>
      <c r="AT444" s="5"/>
      <c r="AU444" s="5"/>
      <c r="AV444" s="5"/>
      <c r="AW444" s="5"/>
      <c r="AX444" s="5"/>
      <c r="AY444" s="5"/>
      <c r="AZ444" s="5"/>
      <c r="BA444" s="5"/>
    </row>
    <row r="445" spans="1:53" x14ac:dyDescent="0.45">
      <c r="A445" s="1"/>
      <c r="B445" s="2"/>
      <c r="C445" s="1" t="s">
        <v>439</v>
      </c>
      <c r="D445" s="2">
        <v>100382</v>
      </c>
      <c r="E445" s="3" t="s">
        <v>1458</v>
      </c>
      <c r="F445" s="3" t="s">
        <v>1459</v>
      </c>
      <c r="G445" s="3" t="s">
        <v>607</v>
      </c>
      <c r="H445" s="5">
        <v>248803115789899</v>
      </c>
      <c r="I445" s="5">
        <v>233497935067818</v>
      </c>
      <c r="J445" s="5">
        <v>23764293948765</v>
      </c>
      <c r="K445" s="5">
        <v>231629644875368</v>
      </c>
      <c r="L445" s="5">
        <v>213479636536244</v>
      </c>
      <c r="M445" s="5">
        <v>227319578657705</v>
      </c>
      <c r="N445" s="5">
        <v>2427041658018</v>
      </c>
      <c r="O445" s="5">
        <v>227451020872</v>
      </c>
      <c r="P445" s="5">
        <v>24691017506896</v>
      </c>
      <c r="Q445" s="5">
        <v>26044157939184</v>
      </c>
      <c r="R445" s="5">
        <v>2734931648856</v>
      </c>
      <c r="S445" s="5">
        <v>26184601328721</v>
      </c>
      <c r="T445" s="5">
        <v>2621927021769</v>
      </c>
      <c r="U445" s="5">
        <v>251427989736</v>
      </c>
      <c r="V445" s="5">
        <v>21090047728672</v>
      </c>
      <c r="W445" s="5">
        <v>1987628931261</v>
      </c>
      <c r="X445" s="5">
        <v>229926419877</v>
      </c>
      <c r="Y445" s="5">
        <v>216735639431357</v>
      </c>
      <c r="Z445" s="5">
        <v>216375232399425</v>
      </c>
      <c r="AA445" s="5">
        <v>2313837918348</v>
      </c>
      <c r="AB445" s="5">
        <v>221512589928007</v>
      </c>
      <c r="AC445" s="5">
        <v>21927430412226</v>
      </c>
      <c r="AD445" s="5">
        <v>23637689688122</v>
      </c>
      <c r="AE445" s="5">
        <v>255656095433711</v>
      </c>
      <c r="AF445" s="5">
        <v>266397493845219</v>
      </c>
      <c r="AG445" s="5">
        <v>2508113042015</v>
      </c>
      <c r="AH445" s="5">
        <v>236196986476893</v>
      </c>
      <c r="AI445" s="5">
        <v>244401069925418</v>
      </c>
      <c r="AJ445" s="5">
        <v>2695108781286</v>
      </c>
      <c r="AK445" s="5">
        <v>259980578516085</v>
      </c>
      <c r="AL445" s="5">
        <v>26254742767657</v>
      </c>
      <c r="AM445" s="5">
        <v>2534189463675</v>
      </c>
      <c r="AN445" s="5">
        <v>260563385589955</v>
      </c>
      <c r="AO445" s="5">
        <v>251763430991133</v>
      </c>
      <c r="AP445" s="5">
        <v>237772480242</v>
      </c>
      <c r="AQ445" s="5"/>
      <c r="AR445" s="5"/>
      <c r="AS445" s="5"/>
      <c r="AT445" s="5"/>
      <c r="AU445" s="5"/>
      <c r="AV445" s="5"/>
      <c r="AW445" s="5"/>
      <c r="AX445" s="5"/>
      <c r="AY445" s="5"/>
      <c r="AZ445" s="5"/>
      <c r="BA445" s="5"/>
    </row>
    <row r="446" spans="1:53" x14ac:dyDescent="0.45">
      <c r="A446" s="1"/>
      <c r="B446" s="2"/>
      <c r="C446" s="1" t="s">
        <v>440</v>
      </c>
      <c r="D446" s="2">
        <v>102952</v>
      </c>
      <c r="E446" s="3" t="s">
        <v>1460</v>
      </c>
      <c r="F446" s="3" t="s">
        <v>1461</v>
      </c>
      <c r="G446" s="3" t="s">
        <v>499</v>
      </c>
      <c r="H446" s="5">
        <v>196687833904288</v>
      </c>
      <c r="I446" s="5">
        <v>209792932732173</v>
      </c>
      <c r="J446" s="5">
        <v>212174002861884</v>
      </c>
      <c r="K446" s="5">
        <v>21934968188001</v>
      </c>
      <c r="L446" s="5">
        <v>22744529269551</v>
      </c>
      <c r="M446" s="5">
        <v>229705976782893</v>
      </c>
      <c r="N446" s="5">
        <v>240227354417951</v>
      </c>
      <c r="O446" s="5">
        <v>23639935718763</v>
      </c>
      <c r="P446" s="5">
        <v>237720994870638</v>
      </c>
      <c r="Q446" s="5">
        <v>240125598576168</v>
      </c>
      <c r="R446" s="5">
        <v>240368860798477</v>
      </c>
      <c r="S446" s="5">
        <v>222740212606084</v>
      </c>
      <c r="T446" s="5">
        <v>22985518281397</v>
      </c>
      <c r="U446" s="5">
        <v>215307117242109</v>
      </c>
      <c r="V446" s="5">
        <v>2237927947961</v>
      </c>
      <c r="W446" s="5">
        <v>238082051029301</v>
      </c>
      <c r="X446" s="5">
        <v>246419530731393</v>
      </c>
      <c r="Y446" s="5">
        <v>253453598202823</v>
      </c>
      <c r="Z446" s="5">
        <v>244853204668614</v>
      </c>
      <c r="AA446" s="5">
        <v>221048072823812</v>
      </c>
      <c r="AB446" s="5">
        <v>215987697437672</v>
      </c>
      <c r="AC446" s="5">
        <v>208512757751275</v>
      </c>
      <c r="AD446" s="5">
        <v>203482887531396</v>
      </c>
      <c r="AE446" s="5">
        <v>22166525037375</v>
      </c>
      <c r="AF446" s="5">
        <v>211664162455377</v>
      </c>
      <c r="AG446" s="5">
        <v>208177971544538</v>
      </c>
      <c r="AH446" s="5">
        <v>213525534216764</v>
      </c>
      <c r="AI446" s="5">
        <v>19901100898157</v>
      </c>
      <c r="AJ446" s="5">
        <v>220159354944332</v>
      </c>
      <c r="AK446" s="5">
        <v>206586868195665</v>
      </c>
      <c r="AL446" s="5">
        <v>224462046806832</v>
      </c>
      <c r="AM446" s="5">
        <v>225228487321685</v>
      </c>
      <c r="AN446" s="5">
        <v>252111898187213</v>
      </c>
      <c r="AO446" s="5">
        <v>240327449570977</v>
      </c>
      <c r="AP446" s="5">
        <v>237849492370974</v>
      </c>
      <c r="AQ446" s="5"/>
      <c r="AR446" s="5"/>
      <c r="AS446" s="5"/>
      <c r="AT446" s="5"/>
      <c r="AU446" s="5"/>
      <c r="AV446" s="5"/>
      <c r="AW446" s="5"/>
      <c r="AX446" s="5"/>
      <c r="AY446" s="5"/>
      <c r="AZ446" s="5"/>
      <c r="BA446" s="5"/>
    </row>
    <row r="447" spans="1:53" x14ac:dyDescent="0.45">
      <c r="A447" s="1"/>
      <c r="B447" s="2"/>
      <c r="C447" s="1" t="s">
        <v>441</v>
      </c>
      <c r="D447" s="2">
        <v>4102413</v>
      </c>
      <c r="E447" s="3" t="s">
        <v>1462</v>
      </c>
      <c r="F447" s="3" t="s">
        <v>1463</v>
      </c>
      <c r="G447" s="3" t="s">
        <v>502</v>
      </c>
      <c r="H447" s="5">
        <v>610153910785505</v>
      </c>
      <c r="I447" s="5">
        <v>623065343174898</v>
      </c>
      <c r="J447" s="5">
        <v>64676226508998</v>
      </c>
      <c r="K447" s="5">
        <v>602717323146804</v>
      </c>
      <c r="L447" s="5">
        <v>542411228532634</v>
      </c>
      <c r="M447" s="5">
        <v>553579150492725</v>
      </c>
      <c r="N447" s="5">
        <v>60936834739809</v>
      </c>
      <c r="O447" s="5">
        <v>6351196291209</v>
      </c>
      <c r="P447" s="5">
        <v>619356136639656</v>
      </c>
      <c r="Q447" s="5">
        <v>559642703127648</v>
      </c>
      <c r="R447" s="5">
        <v>569136444381864</v>
      </c>
      <c r="S447" s="5">
        <v>573958292875204</v>
      </c>
      <c r="T447" s="5">
        <v>588103596915324</v>
      </c>
      <c r="U447" s="5">
        <v>56181908986764</v>
      </c>
      <c r="V447" s="5">
        <v>507676544094155</v>
      </c>
      <c r="W447" s="5">
        <v>485281019809215</v>
      </c>
      <c r="X447" s="5">
        <v>53746111838158</v>
      </c>
      <c r="Y447" s="5">
        <v>525037262443747</v>
      </c>
      <c r="Z447" s="5">
        <v>499310748727459</v>
      </c>
      <c r="AA447" s="5">
        <v>493004068296797</v>
      </c>
      <c r="AB447" s="5">
        <v>452040938095644</v>
      </c>
      <c r="AC447" s="5">
        <v>412970205789868</v>
      </c>
      <c r="AD447" s="5">
        <v>3812003563944</v>
      </c>
      <c r="AE447" s="5">
        <v>399710406572</v>
      </c>
      <c r="AF447" s="5">
        <v>430221021802</v>
      </c>
      <c r="AG447" s="5">
        <v>39184468848742</v>
      </c>
      <c r="AH447" s="5">
        <v>349176423407269</v>
      </c>
      <c r="AI447" s="5">
        <v>359011133078471</v>
      </c>
      <c r="AJ447" s="5">
        <v>3898957846814</v>
      </c>
      <c r="AK447" s="5">
        <v>375146369136</v>
      </c>
      <c r="AL447" s="5">
        <v>3549170449628</v>
      </c>
      <c r="AM447" s="5">
        <v>342417511728</v>
      </c>
      <c r="AN447" s="5">
        <v>4032432035118</v>
      </c>
      <c r="AO447" s="5">
        <v>348910127784</v>
      </c>
      <c r="AP447" s="5">
        <v>3104076950775</v>
      </c>
      <c r="AQ447" s="5"/>
      <c r="AR447" s="5"/>
      <c r="AS447" s="5"/>
      <c r="AT447" s="5"/>
      <c r="AU447" s="5"/>
      <c r="AV447" s="5"/>
      <c r="AW447" s="5"/>
      <c r="AX447" s="5"/>
      <c r="AY447" s="5"/>
      <c r="AZ447" s="5"/>
      <c r="BA447" s="5"/>
    </row>
    <row r="448" spans="1:53" x14ac:dyDescent="0.45">
      <c r="A448" s="1"/>
      <c r="B448" s="2"/>
      <c r="C448" s="1" t="s">
        <v>442</v>
      </c>
      <c r="D448" s="2">
        <v>4071659</v>
      </c>
      <c r="E448" s="3" t="s">
        <v>1464</v>
      </c>
      <c r="F448" s="3" t="s">
        <v>1465</v>
      </c>
      <c r="G448" s="3" t="s">
        <v>557</v>
      </c>
      <c r="H448" s="5">
        <v>195907120227609</v>
      </c>
      <c r="I448" s="5">
        <v>195866177443946</v>
      </c>
      <c r="J448" s="5">
        <v>22635122653394</v>
      </c>
      <c r="K448" s="5">
        <v>215784174748666</v>
      </c>
      <c r="L448" s="5">
        <v>219186988591075</v>
      </c>
      <c r="M448" s="5">
        <v>210346109568</v>
      </c>
      <c r="N448" s="5">
        <v>22617086796</v>
      </c>
      <c r="O448" s="5">
        <v>23343876216</v>
      </c>
      <c r="P448" s="5">
        <v>2354927483922</v>
      </c>
      <c r="Q448" s="5">
        <v>2223383487192</v>
      </c>
      <c r="R448" s="5">
        <v>208623059472</v>
      </c>
      <c r="S448" s="5">
        <v>2109217675677</v>
      </c>
      <c r="T448" s="5">
        <v>1837542842145</v>
      </c>
      <c r="U448" s="5">
        <v>171916771092</v>
      </c>
      <c r="V448" s="5">
        <v>1519425413376</v>
      </c>
      <c r="W448" s="5">
        <v>1482300240408</v>
      </c>
      <c r="X448" s="5">
        <v>119008309457497</v>
      </c>
      <c r="Y448" s="5">
        <v>99069443585</v>
      </c>
      <c r="Z448" s="5">
        <v>9915377211</v>
      </c>
      <c r="AA448" s="5">
        <v>9743714461</v>
      </c>
      <c r="AB448" s="5">
        <v>830553571142999</v>
      </c>
      <c r="AC448" s="5">
        <v>932745876575777</v>
      </c>
      <c r="AD448" s="5">
        <v>102744464415166</v>
      </c>
      <c r="AE448" s="5">
        <v>12811809143493</v>
      </c>
      <c r="AF448" s="5">
        <v>136884244563741</v>
      </c>
      <c r="AG448" s="5">
        <v>140371836295183</v>
      </c>
      <c r="AH448" s="5">
        <v>164603792805573</v>
      </c>
      <c r="AI448" s="5">
        <v>168585372961253</v>
      </c>
      <c r="AJ448" s="5">
        <v>179874049984405</v>
      </c>
      <c r="AK448" s="5">
        <v>162565680922533</v>
      </c>
      <c r="AL448" s="5">
        <v>204841081649418</v>
      </c>
      <c r="AM448" s="5">
        <v>2017053870516</v>
      </c>
      <c r="AN448" s="5">
        <v>195722194838925</v>
      </c>
      <c r="AO448" s="5">
        <v>220427446700932</v>
      </c>
      <c r="AP448" s="5">
        <v>200000127253511</v>
      </c>
      <c r="AQ448" s="5"/>
      <c r="AR448" s="5"/>
      <c r="AS448" s="5"/>
      <c r="AT448" s="5"/>
      <c r="AU448" s="5"/>
      <c r="AV448" s="5"/>
      <c r="AW448" s="5"/>
      <c r="AX448" s="5"/>
      <c r="AY448" s="5"/>
      <c r="AZ448" s="5"/>
      <c r="BA448" s="5"/>
    </row>
    <row r="449" spans="1:53" x14ac:dyDescent="0.45">
      <c r="A449" s="1"/>
      <c r="B449" s="2"/>
      <c r="C449" s="1" t="s">
        <v>443</v>
      </c>
      <c r="D449" s="2">
        <v>4994265</v>
      </c>
      <c r="E449" s="3" t="s">
        <v>1466</v>
      </c>
      <c r="F449" s="3" t="s">
        <v>1467</v>
      </c>
      <c r="G449" s="3" t="s">
        <v>668</v>
      </c>
      <c r="H449" s="5">
        <v>651017978719219</v>
      </c>
      <c r="I449" s="5">
        <v>619895272115664</v>
      </c>
      <c r="J449" s="5">
        <v>63074736950805</v>
      </c>
      <c r="K449" s="5">
        <v>615184211958923</v>
      </c>
      <c r="L449" s="5">
        <v>570406720620767</v>
      </c>
      <c r="M449" s="5">
        <v>61359664416</v>
      </c>
      <c r="N449" s="5">
        <v>769596801</v>
      </c>
      <c r="O449" s="5">
        <v>69818097</v>
      </c>
      <c r="P449" s="5">
        <v>73837478078</v>
      </c>
      <c r="Q449" s="5">
        <v>69952084727616</v>
      </c>
      <c r="R449" s="5">
        <v>722926189248168</v>
      </c>
      <c r="S449" s="5">
        <v>765718939656</v>
      </c>
      <c r="T449" s="5">
        <v>750035896302</v>
      </c>
      <c r="U449" s="5">
        <v>71343128274</v>
      </c>
      <c r="V449" s="5">
        <v>635685247728</v>
      </c>
      <c r="W449" s="5">
        <v>65463098157</v>
      </c>
      <c r="X449" s="5">
        <v>619331680506</v>
      </c>
      <c r="Y449" s="5">
        <v>552475548494345</v>
      </c>
      <c r="Z449" s="5">
        <v>5698430561385</v>
      </c>
      <c r="AA449" s="5">
        <v>626533018789</v>
      </c>
      <c r="AB449" s="5">
        <v>652457111707213</v>
      </c>
      <c r="AC449" s="5">
        <v>59746070019</v>
      </c>
      <c r="AD449" s="5">
        <v>570179556297005</v>
      </c>
      <c r="AE449" s="5">
        <v>631774511351676</v>
      </c>
      <c r="AF449" s="5">
        <v>731666423408936</v>
      </c>
      <c r="AG449" s="5">
        <v>72503908883898</v>
      </c>
      <c r="AH449" s="5">
        <v>762731470295281</v>
      </c>
      <c r="AI449" s="5">
        <v>826464222040842</v>
      </c>
      <c r="AJ449" s="5">
        <v>885458503275567</v>
      </c>
      <c r="AK449" s="5">
        <v>817398299926152</v>
      </c>
      <c r="AL449" s="5">
        <v>882945406291439</v>
      </c>
      <c r="AM449" s="5">
        <v>811661345450258</v>
      </c>
      <c r="AN449" s="5">
        <v>8520668996124</v>
      </c>
      <c r="AO449" s="5">
        <v>8153365974396</v>
      </c>
      <c r="AP449" s="5">
        <v>711475548588007</v>
      </c>
      <c r="AQ449" s="5"/>
      <c r="AR449" s="5"/>
      <c r="AS449" s="5"/>
      <c r="AT449" s="5"/>
      <c r="AU449" s="5"/>
      <c r="AV449" s="5"/>
      <c r="AW449" s="5"/>
      <c r="AX449" s="5"/>
      <c r="AY449" s="5"/>
      <c r="AZ449" s="5"/>
      <c r="BA449" s="5"/>
    </row>
    <row r="450" spans="1:53" x14ac:dyDescent="0.45">
      <c r="A450" s="1"/>
      <c r="B450" s="2"/>
      <c r="C450" s="1" t="s">
        <v>444</v>
      </c>
      <c r="D450" s="2">
        <v>4006248</v>
      </c>
      <c r="E450" s="3" t="s">
        <v>1468</v>
      </c>
      <c r="F450" s="3" t="s">
        <v>1469</v>
      </c>
      <c r="G450" s="3" t="s">
        <v>1470</v>
      </c>
      <c r="H450" s="5">
        <v>221652095507202</v>
      </c>
      <c r="I450" s="5">
        <v>224249146502744</v>
      </c>
      <c r="J450" s="5">
        <v>232839890290797</v>
      </c>
      <c r="K450" s="5">
        <v>216792565457795</v>
      </c>
      <c r="L450" s="5">
        <v>206764133974865</v>
      </c>
      <c r="M450" s="5">
        <v>210954918770332</v>
      </c>
      <c r="N450" s="5">
        <v>220787326075</v>
      </c>
      <c r="O450" s="5">
        <v>22057415392</v>
      </c>
      <c r="P450" s="5">
        <v>233744930727803</v>
      </c>
      <c r="Q450" s="5">
        <v>2378685819888</v>
      </c>
      <c r="R450" s="5">
        <v>237764865672</v>
      </c>
      <c r="S450" s="5">
        <v>2171880823866</v>
      </c>
      <c r="T450" s="5">
        <v>2132289449142</v>
      </c>
      <c r="U450" s="5">
        <v>218173045508</v>
      </c>
      <c r="V450" s="5">
        <v>204280755920314</v>
      </c>
      <c r="W450" s="5">
        <v>2127547816533</v>
      </c>
      <c r="X450" s="5">
        <v>21391996651025</v>
      </c>
      <c r="Y450" s="5">
        <v>2187627450148</v>
      </c>
      <c r="Z450" s="5">
        <v>20026254633255</v>
      </c>
      <c r="AA450" s="5">
        <v>2114531207775</v>
      </c>
      <c r="AB450" s="5">
        <v>2142934569402</v>
      </c>
      <c r="AC450" s="5">
        <v>188790345283209</v>
      </c>
      <c r="AD450" s="5">
        <v>120809477362724</v>
      </c>
      <c r="AE450" s="5">
        <v>140903673334495</v>
      </c>
      <c r="AF450" s="5">
        <v>155433125462106</v>
      </c>
      <c r="AG450" s="5">
        <v>135803077078878</v>
      </c>
      <c r="AH450" s="5">
        <v>125967181916731</v>
      </c>
      <c r="AI450" s="5">
        <v>128257544145251</v>
      </c>
      <c r="AJ450" s="5">
        <v>142838112737461</v>
      </c>
      <c r="AK450" s="5">
        <v>14641376251824</v>
      </c>
      <c r="AL450" s="5">
        <v>1535996369578</v>
      </c>
      <c r="AM450" s="5">
        <v>146002362529101</v>
      </c>
      <c r="AN450" s="5">
        <v>16200218972145</v>
      </c>
      <c r="AO450" s="5">
        <v>16439185461793</v>
      </c>
      <c r="AP450" s="5">
        <v>16654219511175</v>
      </c>
      <c r="AQ450" s="5"/>
      <c r="AR450" s="5"/>
      <c r="AS450" s="5"/>
      <c r="AT450" s="5"/>
      <c r="AU450" s="5"/>
      <c r="AV450" s="5"/>
      <c r="AW450" s="5"/>
      <c r="AX450" s="5"/>
      <c r="AY450" s="5"/>
      <c r="AZ450" s="5"/>
      <c r="BA450" s="5"/>
    </row>
    <row r="451" spans="1:53" x14ac:dyDescent="0.45">
      <c r="A451" s="1"/>
      <c r="B451" s="2"/>
      <c r="C451" s="1" t="s">
        <v>445</v>
      </c>
      <c r="D451" s="2">
        <v>4252151</v>
      </c>
      <c r="E451" s="3" t="s">
        <v>1471</v>
      </c>
      <c r="F451" s="3" t="s">
        <v>1472</v>
      </c>
      <c r="G451" s="3" t="s">
        <v>1473</v>
      </c>
      <c r="H451" s="5">
        <v>36242263480368</v>
      </c>
      <c r="I451" s="5">
        <v>3629094794856</v>
      </c>
      <c r="J451" s="5">
        <v>37721705732532</v>
      </c>
      <c r="K451" s="5">
        <v>359023128137984</v>
      </c>
      <c r="L451" s="5">
        <v>33218183964</v>
      </c>
      <c r="M451" s="5">
        <v>34132568772</v>
      </c>
      <c r="N451" s="5">
        <v>368308806</v>
      </c>
      <c r="O451" s="5">
        <v>3762546912</v>
      </c>
      <c r="P451" s="5">
        <v>43063914829</v>
      </c>
      <c r="Q451" s="5">
        <v>435464256058787</v>
      </c>
      <c r="R451" s="5">
        <v>4021050873</v>
      </c>
      <c r="S451" s="5">
        <v>392480478495</v>
      </c>
      <c r="T451" s="5">
        <v>402703055895</v>
      </c>
      <c r="U451" s="5">
        <v>45608436588</v>
      </c>
      <c r="V451" s="5">
        <v>373340996184</v>
      </c>
      <c r="W451" s="5">
        <v>402309729666</v>
      </c>
      <c r="X451" s="5">
        <v>4190271541456</v>
      </c>
      <c r="Y451" s="5">
        <v>43147615784</v>
      </c>
      <c r="Z451" s="5">
        <v>4184741875275</v>
      </c>
      <c r="AA451" s="5">
        <v>42583398702</v>
      </c>
      <c r="AB451" s="5">
        <v>458064531225</v>
      </c>
      <c r="AC451" s="5">
        <v>430979373730227</v>
      </c>
      <c r="AD451" s="5">
        <v>428928496219119</v>
      </c>
      <c r="AE451" s="5">
        <v>483188916735137</v>
      </c>
      <c r="AF451" s="5">
        <v>5395650485115</v>
      </c>
      <c r="AG451" s="5">
        <v>606890477462106</v>
      </c>
      <c r="AH451" s="5">
        <v>620803457098403</v>
      </c>
      <c r="AI451" s="5">
        <v>616719359795</v>
      </c>
      <c r="AJ451" s="5">
        <v>701576522691623</v>
      </c>
      <c r="AK451" s="5">
        <v>676196842877183</v>
      </c>
      <c r="AL451" s="5">
        <v>6564047459466</v>
      </c>
      <c r="AM451" s="5">
        <v>6019108189245</v>
      </c>
      <c r="AN451" s="5">
        <v>68181333341685</v>
      </c>
      <c r="AO451" s="5">
        <v>660733217301908</v>
      </c>
      <c r="AP451" s="5">
        <v>638269045853063</v>
      </c>
      <c r="AQ451" s="5"/>
      <c r="AR451" s="5"/>
      <c r="AS451" s="5"/>
      <c r="AT451" s="5"/>
      <c r="AU451" s="5"/>
      <c r="AV451" s="5"/>
      <c r="AW451" s="5"/>
      <c r="AX451" s="5"/>
      <c r="AY451" s="5"/>
      <c r="AZ451" s="5"/>
      <c r="BA451" s="5"/>
    </row>
    <row r="452" spans="1:53" x14ac:dyDescent="0.45">
      <c r="A452" s="1"/>
      <c r="B452" s="2"/>
      <c r="C452" s="1" t="s">
        <v>446</v>
      </c>
      <c r="D452" s="2">
        <v>4248534</v>
      </c>
      <c r="E452" s="3" t="s">
        <v>1474</v>
      </c>
      <c r="F452" s="3" t="s">
        <v>1475</v>
      </c>
      <c r="G452" s="3" t="s">
        <v>549</v>
      </c>
      <c r="H452" s="5">
        <v>165701630001196</v>
      </c>
      <c r="I452" s="5">
        <v>178283778073394</v>
      </c>
      <c r="J452" s="5">
        <v>185812414424511</v>
      </c>
      <c r="K452" s="5">
        <v>175238890727905</v>
      </c>
      <c r="L452" s="5">
        <v>167896760875486</v>
      </c>
      <c r="M452" s="5">
        <v>170781475323545</v>
      </c>
      <c r="N452" s="5">
        <v>172364592853853</v>
      </c>
      <c r="O452" s="5">
        <v>176427140577402</v>
      </c>
      <c r="P452" s="5">
        <v>16389190618547</v>
      </c>
      <c r="Q452" s="5">
        <v>165897339660933</v>
      </c>
      <c r="R452" s="5">
        <v>164872083629671</v>
      </c>
      <c r="S452" s="5">
        <v>158568361291761</v>
      </c>
      <c r="T452" s="5">
        <v>158401357004842</v>
      </c>
      <c r="U452" s="5">
        <v>160887647394142</v>
      </c>
      <c r="V452" s="5">
        <v>158580488724007</v>
      </c>
      <c r="W452" s="5">
        <v>163063921946972</v>
      </c>
      <c r="X452" s="5">
        <v>153572022299575</v>
      </c>
      <c r="Y452" s="5">
        <v>153162207866026</v>
      </c>
      <c r="Z452" s="5">
        <v>154963627962015</v>
      </c>
      <c r="AA452" s="5">
        <v>159251736972015</v>
      </c>
      <c r="AB452" s="5">
        <v>150964620030513</v>
      </c>
      <c r="AC452" s="5">
        <v>14413657132509</v>
      </c>
      <c r="AD452" s="5">
        <v>14542779283664</v>
      </c>
      <c r="AE452" s="5">
        <v>805933476459039</v>
      </c>
      <c r="AF452" s="5">
        <v>783994375817655</v>
      </c>
      <c r="AG452" s="5">
        <v>728166301932652</v>
      </c>
      <c r="AH452" s="5">
        <v>659564065413113</v>
      </c>
      <c r="AI452" s="5">
        <v>691138573867474</v>
      </c>
      <c r="AJ452" s="5">
        <v>756000125087535</v>
      </c>
      <c r="AK452" s="5">
        <v>756531289183346</v>
      </c>
      <c r="AL452" s="5">
        <v>775421030167668</v>
      </c>
      <c r="AM452" s="5">
        <v>779506689970427</v>
      </c>
      <c r="AN452" s="5">
        <v>804938311489787</v>
      </c>
      <c r="AO452" s="5">
        <v>76053716309486</v>
      </c>
      <c r="AP452" s="5">
        <v>679213056634809</v>
      </c>
      <c r="AQ452" s="5"/>
      <c r="AR452" s="5"/>
      <c r="AS452" s="5"/>
      <c r="AT452" s="5"/>
      <c r="AU452" s="5"/>
      <c r="AV452" s="5"/>
      <c r="AW452" s="5"/>
      <c r="AX452" s="5"/>
      <c r="AY452" s="5"/>
      <c r="AZ452" s="5"/>
      <c r="BA452" s="5"/>
    </row>
    <row r="453" spans="1:53" x14ac:dyDescent="0.45">
      <c r="A453" s="1"/>
      <c r="B453" s="2"/>
      <c r="C453" s="1" t="s">
        <v>447</v>
      </c>
      <c r="D453" s="2">
        <v>4334777</v>
      </c>
      <c r="E453" s="3" t="s">
        <v>1476</v>
      </c>
      <c r="F453" s="3" t="s">
        <v>1477</v>
      </c>
      <c r="G453" s="3" t="s">
        <v>478</v>
      </c>
      <c r="H453" s="5">
        <v>1779310512</v>
      </c>
      <c r="I453" s="5">
        <v>18162711</v>
      </c>
      <c r="J453" s="5">
        <v>1983080528</v>
      </c>
      <c r="K453" s="5">
        <v>18547459632</v>
      </c>
      <c r="L453" s="5">
        <v>19212949392</v>
      </c>
      <c r="M453" s="5">
        <v>178342086604668</v>
      </c>
      <c r="N453" s="5">
        <v>175007787933555</v>
      </c>
      <c r="O453" s="5">
        <v>183162625336962</v>
      </c>
      <c r="P453" s="5">
        <v>165117538884121</v>
      </c>
      <c r="Q453" s="5">
        <v>15810341568</v>
      </c>
      <c r="R453" s="5">
        <v>1570213206</v>
      </c>
      <c r="S453" s="5">
        <v>15476900103</v>
      </c>
      <c r="T453" s="5">
        <v>12584018457</v>
      </c>
      <c r="U453" s="5">
        <v>15953344</v>
      </c>
      <c r="V453" s="5">
        <v>158173664</v>
      </c>
      <c r="W453" s="5">
        <v>163144017</v>
      </c>
      <c r="X453" s="5">
        <v>149746094874907</v>
      </c>
      <c r="Y453" s="5">
        <v>14684071423185</v>
      </c>
      <c r="Z453" s="5">
        <v>132373171296514</v>
      </c>
      <c r="AA453" s="5">
        <v>133520968303069</v>
      </c>
      <c r="AB453" s="5">
        <v>128275346007929</v>
      </c>
      <c r="AC453" s="5">
        <v>10795566015</v>
      </c>
      <c r="AD453" s="5">
        <v>11296754151</v>
      </c>
      <c r="AE453" s="5">
        <v>1423287984</v>
      </c>
      <c r="AF453" s="5">
        <v>15213254496</v>
      </c>
      <c r="AG453" s="5">
        <v>13749877344</v>
      </c>
      <c r="AH453" s="5">
        <v>11846784576</v>
      </c>
      <c r="AI453" s="5">
        <v>11980401465</v>
      </c>
      <c r="AJ453" s="5">
        <v>145792782045</v>
      </c>
      <c r="AK453" s="5">
        <v>130986123975</v>
      </c>
      <c r="AL453" s="5">
        <v>136255053804028</v>
      </c>
      <c r="AM453" s="5">
        <v>154380038206355</v>
      </c>
      <c r="AN453" s="5">
        <v>148503061665</v>
      </c>
      <c r="AO453" s="5">
        <v>14259343725</v>
      </c>
      <c r="AP453" s="5">
        <v>13161376965</v>
      </c>
      <c r="AQ453" s="5"/>
      <c r="AR453" s="5"/>
      <c r="AS453" s="5"/>
      <c r="AT453" s="5"/>
      <c r="AU453" s="5"/>
      <c r="AV453" s="5"/>
      <c r="AW453" s="5"/>
      <c r="AX453" s="5"/>
      <c r="AY453" s="5"/>
      <c r="AZ453" s="5"/>
      <c r="BA453" s="5"/>
    </row>
    <row r="454" spans="1:53" x14ac:dyDescent="0.45">
      <c r="A454" s="1"/>
      <c r="B454" s="2"/>
      <c r="C454" s="1" t="s">
        <v>448</v>
      </c>
      <c r="D454" s="2">
        <v>4107971</v>
      </c>
      <c r="E454" s="3" t="s">
        <v>1478</v>
      </c>
      <c r="F454" s="3" t="s">
        <v>1479</v>
      </c>
      <c r="G454" s="3" t="s">
        <v>1039</v>
      </c>
      <c r="H454" s="5">
        <v>1440100770264</v>
      </c>
      <c r="I454" s="5">
        <v>1361511882432</v>
      </c>
      <c r="J454" s="5">
        <v>129949943487</v>
      </c>
      <c r="K454" s="5">
        <v>1292394431484</v>
      </c>
      <c r="L454" s="5">
        <v>1200514964103</v>
      </c>
      <c r="M454" s="5">
        <v>112334971764</v>
      </c>
      <c r="N454" s="5">
        <v>120330505848</v>
      </c>
      <c r="O454" s="5">
        <v>1172462148</v>
      </c>
      <c r="P454" s="5">
        <v>1150775205554</v>
      </c>
      <c r="Q454" s="5">
        <v>1092519091496</v>
      </c>
      <c r="R454" s="5">
        <v>92179586680578</v>
      </c>
      <c r="S454" s="5">
        <v>956306971494</v>
      </c>
      <c r="T454" s="5">
        <v>833768690602</v>
      </c>
      <c r="U454" s="5">
        <v>98161336196</v>
      </c>
      <c r="V454" s="5">
        <v>87811606818</v>
      </c>
      <c r="W454" s="5">
        <v>882210906837</v>
      </c>
      <c r="X454" s="5">
        <v>815587346574</v>
      </c>
      <c r="Y454" s="5">
        <v>8922947280975</v>
      </c>
      <c r="Z454" s="5">
        <v>830777285052</v>
      </c>
      <c r="AA454" s="5">
        <v>879695024481</v>
      </c>
      <c r="AB454" s="5">
        <v>784483800375</v>
      </c>
      <c r="AC454" s="5">
        <v>76986676636548</v>
      </c>
      <c r="AD454" s="5">
        <v>629656756637563</v>
      </c>
      <c r="AE454" s="5">
        <v>644574835159156</v>
      </c>
      <c r="AF454" s="5">
        <v>601151557389407</v>
      </c>
      <c r="AG454" s="5">
        <v>641616070970369</v>
      </c>
      <c r="AH454" s="5">
        <v>48144021886751</v>
      </c>
      <c r="AI454" s="5">
        <v>677692396076636</v>
      </c>
      <c r="AJ454" s="5">
        <v>945101691383327</v>
      </c>
      <c r="AK454" s="5">
        <v>895968207199816</v>
      </c>
      <c r="AL454" s="5">
        <v>927846082720816</v>
      </c>
      <c r="AM454" s="5">
        <v>100338941425187</v>
      </c>
      <c r="AN454" s="5">
        <v>118504858348168</v>
      </c>
      <c r="AO454" s="5">
        <v>129027538627564</v>
      </c>
      <c r="AP454" s="5">
        <v>132694254047491</v>
      </c>
      <c r="AQ454" s="5"/>
      <c r="AR454" s="5"/>
      <c r="AS454" s="5"/>
      <c r="AT454" s="5"/>
      <c r="AU454" s="5"/>
      <c r="AV454" s="5"/>
      <c r="AW454" s="5"/>
      <c r="AX454" s="5"/>
      <c r="AY454" s="5"/>
      <c r="AZ454" s="5"/>
      <c r="BA454" s="5"/>
    </row>
    <row r="455" spans="1:53" x14ac:dyDescent="0.45">
      <c r="A455" s="1"/>
      <c r="B455" s="2"/>
      <c r="C455" s="1" t="s">
        <v>449</v>
      </c>
      <c r="D455" s="2">
        <v>4025308</v>
      </c>
      <c r="E455" s="3" t="s">
        <v>1480</v>
      </c>
      <c r="F455" s="3" t="s">
        <v>1481</v>
      </c>
      <c r="G455" s="3" t="s">
        <v>507</v>
      </c>
      <c r="H455" s="5">
        <v>20344031652249</v>
      </c>
      <c r="I455" s="5">
        <v>220048778295779</v>
      </c>
      <c r="J455" s="5">
        <v>215990549478561</v>
      </c>
      <c r="K455" s="5">
        <v>203295319754192</v>
      </c>
      <c r="L455" s="5">
        <v>211655625434599</v>
      </c>
      <c r="M455" s="5">
        <v>203828892222433</v>
      </c>
      <c r="N455" s="5">
        <v>204189692432</v>
      </c>
      <c r="O455" s="5">
        <v>21650835624</v>
      </c>
      <c r="P455" s="5">
        <v>209942968664</v>
      </c>
      <c r="Q455" s="5">
        <v>210849528008</v>
      </c>
      <c r="R455" s="5">
        <v>208848072840219</v>
      </c>
      <c r="S455" s="5">
        <v>19450144413827</v>
      </c>
      <c r="T455" s="5">
        <v>195841758860325</v>
      </c>
      <c r="U455" s="5">
        <v>187452156521707</v>
      </c>
      <c r="V455" s="5">
        <v>192566022080649</v>
      </c>
      <c r="W455" s="5">
        <v>185911743955118</v>
      </c>
      <c r="X455" s="5">
        <v>188460585046565</v>
      </c>
      <c r="Y455" s="5">
        <v>199929717238733</v>
      </c>
      <c r="Z455" s="5">
        <v>20481749300862</v>
      </c>
      <c r="AA455" s="5">
        <v>188821361058977</v>
      </c>
      <c r="AB455" s="5">
        <v>17753967196275</v>
      </c>
      <c r="AC455" s="5">
        <v>1847408252985</v>
      </c>
      <c r="AD455" s="5">
        <v>179253073573987</v>
      </c>
      <c r="AE455" s="5">
        <v>167799473239416</v>
      </c>
      <c r="AF455" s="5">
        <v>171300392929936</v>
      </c>
      <c r="AG455" s="5">
        <v>163977680972101</v>
      </c>
      <c r="AH455" s="5">
        <v>160933748613981</v>
      </c>
      <c r="AI455" s="5">
        <v>15273379979493</v>
      </c>
      <c r="AJ455" s="5">
        <v>159170783431458</v>
      </c>
      <c r="AK455" s="5">
        <v>14644554286842</v>
      </c>
      <c r="AL455" s="5">
        <v>15726833231955</v>
      </c>
      <c r="AM455" s="5">
        <v>1534678586595</v>
      </c>
      <c r="AN455" s="5">
        <v>163953755376725</v>
      </c>
      <c r="AO455" s="5">
        <v>1592054884098</v>
      </c>
      <c r="AP455" s="5">
        <v>168101113253358</v>
      </c>
      <c r="AQ455" s="5"/>
      <c r="AR455" s="5"/>
      <c r="AS455" s="5"/>
      <c r="AT455" s="5"/>
      <c r="AU455" s="5"/>
      <c r="AV455" s="5"/>
      <c r="AW455" s="5"/>
      <c r="AX455" s="5"/>
      <c r="AY455" s="5"/>
      <c r="AZ455" s="5"/>
      <c r="BA455" s="5"/>
    </row>
    <row r="456" spans="1:53" x14ac:dyDescent="0.45">
      <c r="A456" s="1"/>
      <c r="B456" s="2"/>
      <c r="C456" s="1" t="s">
        <v>450</v>
      </c>
      <c r="D456" s="2">
        <v>4317520</v>
      </c>
      <c r="E456" s="3" t="s">
        <v>1482</v>
      </c>
      <c r="F456" s="3" t="s">
        <v>1483</v>
      </c>
      <c r="G456" s="3" t="s">
        <v>804</v>
      </c>
      <c r="H456" s="5">
        <v>102007339024061</v>
      </c>
      <c r="I456" s="5">
        <v>104571736043504</v>
      </c>
      <c r="J456" s="5">
        <v>102640087777015</v>
      </c>
      <c r="K456" s="5">
        <v>951555664087318</v>
      </c>
      <c r="L456" s="5">
        <v>938589096407168</v>
      </c>
      <c r="M456" s="5">
        <v>865072246930848</v>
      </c>
      <c r="N456" s="5">
        <v>873141334292832</v>
      </c>
      <c r="O456" s="5">
        <v>83396683979136</v>
      </c>
      <c r="P456" s="5">
        <v>847840152716952</v>
      </c>
      <c r="Q456" s="5">
        <v>843916600152562</v>
      </c>
      <c r="R456" s="5">
        <v>81352664961012</v>
      </c>
      <c r="S456" s="5">
        <v>819755054184037</v>
      </c>
      <c r="T456" s="5">
        <v>841546485763146</v>
      </c>
      <c r="U456" s="5">
        <v>875351361627248</v>
      </c>
      <c r="V456" s="5">
        <v>790124375776057</v>
      </c>
      <c r="W456" s="5">
        <v>836099693261872</v>
      </c>
      <c r="X456" s="5">
        <v>817497427806513</v>
      </c>
      <c r="Y456" s="5">
        <v>765458310410774</v>
      </c>
      <c r="Z456" s="5">
        <v>719258647480441</v>
      </c>
      <c r="AA456" s="5">
        <v>717901719653896</v>
      </c>
      <c r="AB456" s="5">
        <v>652197460002509</v>
      </c>
      <c r="AC456" s="5">
        <v>61466541858401</v>
      </c>
      <c r="AD456" s="5">
        <v>595911676067453</v>
      </c>
      <c r="AE456" s="5">
        <v>602802610389638</v>
      </c>
      <c r="AF456" s="5">
        <v>633615404400257</v>
      </c>
      <c r="AG456" s="5">
        <v>592238543912204</v>
      </c>
      <c r="AH456" s="5">
        <v>534247152322912</v>
      </c>
      <c r="AI456" s="5">
        <v>525798276094286</v>
      </c>
      <c r="AJ456" s="5">
        <v>567272501889976</v>
      </c>
      <c r="AK456" s="5">
        <v>603595902820334</v>
      </c>
      <c r="AL456" s="5">
        <v>60434187457905</v>
      </c>
      <c r="AM456" s="5">
        <v>599760310406193</v>
      </c>
      <c r="AN456" s="5">
        <v>592232974185212</v>
      </c>
      <c r="AO456" s="5">
        <v>580456741085645</v>
      </c>
      <c r="AP456" s="5">
        <v>549335155205678</v>
      </c>
      <c r="AQ456" s="5"/>
      <c r="AR456" s="5"/>
      <c r="AS456" s="5"/>
      <c r="AT456" s="5"/>
      <c r="AU456" s="5"/>
      <c r="AV456" s="5"/>
      <c r="AW456" s="5"/>
      <c r="AX456" s="5"/>
      <c r="AY456" s="5"/>
      <c r="AZ456" s="5"/>
      <c r="BA456" s="5"/>
    </row>
    <row r="457" spans="1:53" x14ac:dyDescent="0.45">
      <c r="A457" s="1"/>
      <c r="B457" s="2"/>
      <c r="C457" s="1" t="s">
        <v>451</v>
      </c>
      <c r="D457" s="2">
        <v>4025819</v>
      </c>
      <c r="E457" s="3" t="s">
        <v>1484</v>
      </c>
      <c r="F457" s="3" t="s">
        <v>1485</v>
      </c>
      <c r="G457" s="3" t="s">
        <v>698</v>
      </c>
      <c r="H457" s="5">
        <v>229037103506246</v>
      </c>
      <c r="I457" s="5">
        <v>236198053951846</v>
      </c>
      <c r="J457" s="5">
        <v>220491306197217</v>
      </c>
      <c r="K457" s="5">
        <v>214729699880751</v>
      </c>
      <c r="L457" s="5">
        <v>223034257396105</v>
      </c>
      <c r="M457" s="5">
        <v>223023137394</v>
      </c>
      <c r="N457" s="5">
        <v>225132923672</v>
      </c>
      <c r="O457" s="5">
        <v>22512930208</v>
      </c>
      <c r="P457" s="5">
        <v>2125784178058</v>
      </c>
      <c r="Q457" s="5">
        <v>211452236352</v>
      </c>
      <c r="R457" s="5">
        <v>217722847296</v>
      </c>
      <c r="S457" s="5">
        <v>2228728818351</v>
      </c>
      <c r="T457" s="5">
        <v>2201785072809</v>
      </c>
      <c r="U457" s="5">
        <v>220084666494</v>
      </c>
      <c r="V457" s="5">
        <v>2889171424272</v>
      </c>
      <c r="W457" s="5">
        <v>31498868632185</v>
      </c>
      <c r="X457" s="5">
        <v>317256600113766</v>
      </c>
      <c r="Y457" s="5">
        <v>31201271045743</v>
      </c>
      <c r="Z457" s="5">
        <v>3042163553616</v>
      </c>
      <c r="AA457" s="5">
        <v>3005357685308</v>
      </c>
      <c r="AB457" s="5">
        <v>283040201821193</v>
      </c>
      <c r="AC457" s="5">
        <v>27265967171535</v>
      </c>
      <c r="AD457" s="5">
        <v>288417571919767</v>
      </c>
      <c r="AE457" s="5">
        <v>290056514348013</v>
      </c>
      <c r="AF457" s="5">
        <v>29597984665292</v>
      </c>
      <c r="AG457" s="5">
        <v>277308778983414</v>
      </c>
      <c r="AH457" s="5">
        <v>308912203475773</v>
      </c>
      <c r="AI457" s="5">
        <v>30708160650766</v>
      </c>
      <c r="AJ457" s="5">
        <v>342532294201958</v>
      </c>
      <c r="AK457" s="5">
        <v>349679537304275</v>
      </c>
      <c r="AL457" s="5">
        <v>355017334423265</v>
      </c>
      <c r="AM457" s="5">
        <v>33201358891206</v>
      </c>
      <c r="AN457" s="5">
        <v>31757600641728</v>
      </c>
      <c r="AO457" s="5">
        <v>313306527301525</v>
      </c>
      <c r="AP457" s="5">
        <v>2800918122093</v>
      </c>
      <c r="AQ457" s="5"/>
      <c r="AR457" s="5"/>
      <c r="AS457" s="5"/>
      <c r="AT457" s="5"/>
      <c r="AU457" s="5"/>
      <c r="AV457" s="5"/>
      <c r="AW457" s="5"/>
      <c r="AX457" s="5"/>
      <c r="AY457" s="5"/>
      <c r="AZ457" s="5"/>
      <c r="BA457" s="5"/>
    </row>
    <row r="458" spans="1:53" x14ac:dyDescent="0.45">
      <c r="A458" s="1"/>
      <c r="B458" s="2"/>
      <c r="C458" s="1" t="s">
        <v>452</v>
      </c>
      <c r="D458" s="2">
        <v>4376897</v>
      </c>
      <c r="E458" s="3" t="s">
        <v>1486</v>
      </c>
      <c r="F458" s="3" t="s">
        <v>1487</v>
      </c>
      <c r="G458" s="3" t="s">
        <v>1019</v>
      </c>
      <c r="H458" s="5">
        <v>459791294720256</v>
      </c>
      <c r="I458" s="5">
        <v>492721009416922</v>
      </c>
      <c r="J458" s="5">
        <v>52916366251</v>
      </c>
      <c r="K458" s="5">
        <v>487919116318</v>
      </c>
      <c r="L458" s="5">
        <v>461059004679</v>
      </c>
      <c r="M458" s="5">
        <v>45536849992</v>
      </c>
      <c r="N458" s="5">
        <v>46484609528</v>
      </c>
      <c r="O458" s="5">
        <v>4899430776</v>
      </c>
      <c r="P458" s="5">
        <v>456225264638</v>
      </c>
      <c r="Q458" s="5">
        <v>451262056</v>
      </c>
      <c r="R458" s="5">
        <v>451829836099854</v>
      </c>
      <c r="S458" s="5">
        <v>409317764931</v>
      </c>
      <c r="T458" s="5">
        <v>428868324992</v>
      </c>
      <c r="U458" s="5">
        <v>3947704827</v>
      </c>
      <c r="V458" s="5">
        <v>317002139232</v>
      </c>
      <c r="W458" s="5">
        <v>3267968871105</v>
      </c>
      <c r="X458" s="5">
        <v>331171950186</v>
      </c>
      <c r="Y458" s="5">
        <v>247833348588</v>
      </c>
      <c r="Z458" s="5">
        <v>23566793508</v>
      </c>
      <c r="AA458" s="5">
        <v>249299678372</v>
      </c>
      <c r="AB458" s="5">
        <v>284883786726602</v>
      </c>
      <c r="AC458" s="5">
        <v>29658070632289</v>
      </c>
      <c r="AD458" s="5">
        <v>290816770358748</v>
      </c>
      <c r="AE458" s="5">
        <v>334120320195603</v>
      </c>
      <c r="AF458" s="5">
        <v>395510455490018</v>
      </c>
      <c r="AG458" s="5">
        <v>363146421114526</v>
      </c>
      <c r="AH458" s="5">
        <v>357188452769021</v>
      </c>
      <c r="AI458" s="5">
        <v>385300499991008</v>
      </c>
      <c r="AJ458" s="5">
        <v>503912366718829</v>
      </c>
      <c r="AK458" s="5">
        <v>515673836462768</v>
      </c>
      <c r="AL458" s="5">
        <v>516725658083796</v>
      </c>
      <c r="AM458" s="5">
        <v>426016685272392</v>
      </c>
      <c r="AN458" s="5">
        <v>43696526326674</v>
      </c>
      <c r="AO458" s="5">
        <v>413499666807586</v>
      </c>
      <c r="AP458" s="5">
        <v>376437550293851</v>
      </c>
      <c r="AQ458" s="5"/>
      <c r="AR458" s="5"/>
      <c r="AS458" s="5"/>
      <c r="AT458" s="5"/>
      <c r="AU458" s="5"/>
      <c r="AV458" s="5"/>
      <c r="AW458" s="5"/>
      <c r="AX458" s="5"/>
      <c r="AY458" s="5"/>
      <c r="AZ458" s="5"/>
      <c r="BA458" s="5"/>
    </row>
    <row r="459" spans="1:53" x14ac:dyDescent="0.45">
      <c r="A459" s="1"/>
      <c r="B459" s="2"/>
      <c r="C459" s="1" t="s">
        <v>453</v>
      </c>
      <c r="D459" s="2">
        <v>4812735</v>
      </c>
      <c r="E459" s="3" t="s">
        <v>1488</v>
      </c>
      <c r="F459" s="3" t="s">
        <v>1489</v>
      </c>
      <c r="G459" s="3" t="s">
        <v>469</v>
      </c>
      <c r="H459" s="5">
        <v>203473244401902</v>
      </c>
      <c r="I459" s="5">
        <v>199089487685041</v>
      </c>
      <c r="J459" s="5">
        <v>211237272319536</v>
      </c>
      <c r="K459" s="5">
        <v>200315192628161</v>
      </c>
      <c r="L459" s="5">
        <v>194566596821906</v>
      </c>
      <c r="M459" s="5">
        <v>207568256328</v>
      </c>
      <c r="N459" s="5">
        <v>22693089864</v>
      </c>
      <c r="O459" s="5">
        <v>21393378916</v>
      </c>
      <c r="P459" s="5">
        <v>220969280194</v>
      </c>
      <c r="Q459" s="5">
        <v>229791739629111</v>
      </c>
      <c r="R459" s="5">
        <v>22090958808</v>
      </c>
      <c r="S459" s="5">
        <v>219641791233</v>
      </c>
      <c r="T459" s="5">
        <v>19581600408</v>
      </c>
      <c r="U459" s="5">
        <v>19300819868</v>
      </c>
      <c r="V459" s="5">
        <v>192343536696</v>
      </c>
      <c r="W459" s="5">
        <v>2313561532293</v>
      </c>
      <c r="X459" s="5">
        <v>23254492766505</v>
      </c>
      <c r="Y459" s="5">
        <v>234350496052923</v>
      </c>
      <c r="Z459" s="5">
        <v>216444157239322</v>
      </c>
      <c r="AA459" s="5">
        <v>2186099942522</v>
      </c>
      <c r="AB459" s="5">
        <v>20100667838175</v>
      </c>
      <c r="AC459" s="5">
        <v>17719805599568</v>
      </c>
      <c r="AD459" s="5">
        <v>186929625877853</v>
      </c>
      <c r="AE459" s="5">
        <v>192489992421693</v>
      </c>
      <c r="AF459" s="5">
        <v>194836055677638</v>
      </c>
      <c r="AG459" s="5">
        <v>192849808548206</v>
      </c>
      <c r="AH459" s="5">
        <v>171164309807817</v>
      </c>
      <c r="AI459" s="5">
        <v>188017618448008</v>
      </c>
      <c r="AJ459" s="5">
        <v>191480347426951</v>
      </c>
      <c r="AK459" s="5">
        <v>199331274661094</v>
      </c>
      <c r="AL459" s="5">
        <v>177138310881353</v>
      </c>
      <c r="AM459" s="5">
        <v>1668006728748</v>
      </c>
      <c r="AN459" s="5">
        <v>18597550000952</v>
      </c>
      <c r="AO459" s="5">
        <v>182424538159861</v>
      </c>
      <c r="AP459" s="5">
        <v>168155779661048</v>
      </c>
      <c r="AQ459" s="5"/>
      <c r="AR459" s="5"/>
      <c r="AS459" s="5"/>
      <c r="AT459" s="5"/>
      <c r="AU459" s="5"/>
      <c r="AV459" s="5"/>
      <c r="AW459" s="5"/>
      <c r="AX459" s="5"/>
      <c r="AY459" s="5"/>
      <c r="AZ459" s="5"/>
      <c r="BA459" s="5"/>
    </row>
    <row r="460" spans="1:53" x14ac:dyDescent="0.45">
      <c r="A460" s="1"/>
      <c r="B460" s="2"/>
      <c r="C460" s="1" t="s">
        <v>454</v>
      </c>
      <c r="D460" s="2">
        <v>4810470</v>
      </c>
      <c r="E460" s="3" t="s">
        <v>1490</v>
      </c>
      <c r="F460" s="3" t="s">
        <v>1491</v>
      </c>
      <c r="G460" s="3" t="s">
        <v>633</v>
      </c>
      <c r="H460" s="5">
        <v>292348153774094</v>
      </c>
      <c r="I460" s="5">
        <v>295793286539127</v>
      </c>
      <c r="J460" s="5">
        <v>26813776778326</v>
      </c>
      <c r="K460" s="5">
        <v>263862716569585</v>
      </c>
      <c r="L460" s="5">
        <v>258249348219486</v>
      </c>
      <c r="M460" s="5">
        <v>26036066376</v>
      </c>
      <c r="N460" s="5">
        <v>26835015156</v>
      </c>
      <c r="O460" s="5">
        <v>2720465136</v>
      </c>
      <c r="P460" s="5">
        <v>2531784276554</v>
      </c>
      <c r="Q460" s="5">
        <v>245379482403235</v>
      </c>
      <c r="R460" s="5">
        <v>247052571192</v>
      </c>
      <c r="S460" s="5">
        <v>2514231641934</v>
      </c>
      <c r="T460" s="5">
        <v>2504161016127</v>
      </c>
      <c r="U460" s="5">
        <v>235356810084</v>
      </c>
      <c r="V460" s="5">
        <v>215900409088</v>
      </c>
      <c r="W460" s="5">
        <v>2290584559536</v>
      </c>
      <c r="X460" s="5">
        <v>226922647952</v>
      </c>
      <c r="Y460" s="5">
        <v>224124243693</v>
      </c>
      <c r="Z460" s="5">
        <v>212052841434</v>
      </c>
      <c r="AA460" s="5">
        <v>211427053842</v>
      </c>
      <c r="AB460" s="5">
        <v>203925038187</v>
      </c>
      <c r="AC460" s="5">
        <v>1879154579628</v>
      </c>
      <c r="AD460" s="5">
        <v>198095951224811</v>
      </c>
      <c r="AE460" s="5">
        <v>219694160055658</v>
      </c>
      <c r="AF460" s="5">
        <v>220100189298026</v>
      </c>
      <c r="AG460" s="5">
        <v>194606148372525</v>
      </c>
      <c r="AH460" s="5">
        <v>184106975620277</v>
      </c>
      <c r="AI460" s="5">
        <v>1998653855697</v>
      </c>
      <c r="AJ460" s="5">
        <v>221378361634291</v>
      </c>
      <c r="AK460" s="5">
        <v>216432077573036</v>
      </c>
      <c r="AL460" s="5">
        <v>22672335224322</v>
      </c>
      <c r="AM460" s="5">
        <v>1986907919274</v>
      </c>
      <c r="AN460" s="5">
        <v>21577098569154</v>
      </c>
      <c r="AO460" s="5">
        <v>205850667565199</v>
      </c>
      <c r="AP460" s="5">
        <v>189741915370362</v>
      </c>
      <c r="AQ460" s="5"/>
      <c r="AR460" s="5"/>
      <c r="AS460" s="5"/>
      <c r="AT460" s="5"/>
      <c r="AU460" s="5"/>
      <c r="AV460" s="5"/>
      <c r="AW460" s="5"/>
      <c r="AX460" s="5"/>
      <c r="AY460" s="5"/>
      <c r="AZ460" s="5"/>
      <c r="BA460" s="5"/>
    </row>
    <row r="461" spans="1:53" x14ac:dyDescent="0.45">
      <c r="A461" s="1"/>
      <c r="B461" s="2"/>
      <c r="C461" s="3"/>
      <c r="D461" s="3"/>
      <c r="E461" s="3"/>
      <c r="F461" s="1"/>
      <c r="G461" s="2"/>
      <c r="H461" s="3"/>
      <c r="I461" s="3"/>
      <c r="J461" s="3"/>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row>
    <row r="462" spans="1:53" x14ac:dyDescent="0.45">
      <c r="A462" s="1"/>
      <c r="B462" s="2"/>
      <c r="C462" s="3"/>
      <c r="D462" s="3"/>
      <c r="E462" s="3"/>
      <c r="F462" s="1"/>
      <c r="G462" s="2"/>
      <c r="H462" s="3"/>
      <c r="I462" s="3"/>
      <c r="J462" s="3"/>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row>
    <row r="463" spans="1:53" x14ac:dyDescent="0.45">
      <c r="A463" s="1"/>
      <c r="B463" s="2"/>
      <c r="C463" s="3"/>
      <c r="D463" s="3"/>
      <c r="E463" s="3"/>
      <c r="F463" s="1"/>
      <c r="G463" s="2"/>
      <c r="H463" s="3"/>
      <c r="I463" s="3"/>
      <c r="J463" s="3"/>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row>
    <row r="464" spans="1:53" x14ac:dyDescent="0.45">
      <c r="A464" s="1"/>
      <c r="B464" s="2"/>
      <c r="C464" s="3"/>
      <c r="D464" s="3"/>
      <c r="E464" s="3"/>
      <c r="F464" s="1"/>
      <c r="G464" s="2"/>
      <c r="H464" s="3"/>
      <c r="I464" s="3"/>
      <c r="J464" s="3"/>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row>
    <row r="465" spans="1:53" x14ac:dyDescent="0.45">
      <c r="A465" s="1"/>
      <c r="B465" s="2"/>
      <c r="C465" s="3"/>
      <c r="D465" s="3"/>
      <c r="E465" s="3"/>
      <c r="F465" s="1"/>
      <c r="G465" s="2"/>
      <c r="H465" s="3"/>
      <c r="I465" s="3"/>
      <c r="J465" s="3"/>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row>
    <row r="466" spans="1:53" x14ac:dyDescent="0.45">
      <c r="A466" s="1"/>
      <c r="B466" s="2"/>
      <c r="C466" s="3"/>
      <c r="D466" s="3"/>
      <c r="E466" s="3"/>
      <c r="F466" s="1"/>
      <c r="G466" s="2"/>
      <c r="H466" s="3"/>
      <c r="I466" s="3"/>
      <c r="J466" s="3"/>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row>
    <row r="467" spans="1:53" x14ac:dyDescent="0.45">
      <c r="A467" s="1"/>
      <c r="B467" s="2"/>
      <c r="C467" s="3"/>
      <c r="D467" s="3"/>
      <c r="E467" s="3"/>
      <c r="F467" s="1"/>
      <c r="G467" s="2"/>
      <c r="H467" s="3"/>
      <c r="I467" s="3"/>
      <c r="J467" s="3"/>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row>
    <row r="468" spans="1:53" x14ac:dyDescent="0.45">
      <c r="A468" s="1"/>
      <c r="B468" s="2"/>
      <c r="C468" s="3"/>
      <c r="D468" s="3"/>
      <c r="E468" s="3"/>
      <c r="F468" s="1"/>
      <c r="G468" s="2"/>
      <c r="H468" s="3"/>
      <c r="I468" s="3"/>
      <c r="J468" s="3"/>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row>
    <row r="469" spans="1:53" x14ac:dyDescent="0.45">
      <c r="A469" s="1"/>
      <c r="B469" s="2"/>
      <c r="C469" s="3"/>
      <c r="D469" s="3"/>
      <c r="E469" s="3"/>
      <c r="F469" s="1"/>
      <c r="G469" s="2"/>
      <c r="H469" s="3"/>
      <c r="I469" s="3"/>
      <c r="J469" s="3"/>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row>
    <row r="470" spans="1:53" x14ac:dyDescent="0.45">
      <c r="A470" s="1"/>
      <c r="B470" s="2"/>
      <c r="C470" s="3"/>
      <c r="D470" s="3"/>
      <c r="E470" s="3"/>
      <c r="F470" s="1"/>
      <c r="G470" s="2"/>
      <c r="H470" s="3"/>
      <c r="I470" s="3"/>
      <c r="J470" s="3"/>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row>
    <row r="471" spans="1:53" x14ac:dyDescent="0.45">
      <c r="A471" s="1"/>
      <c r="B471" s="2"/>
      <c r="C471" s="3"/>
      <c r="D471" s="3"/>
      <c r="E471" s="3"/>
      <c r="F471" s="1"/>
      <c r="G471" s="2"/>
      <c r="H471" s="3"/>
      <c r="I471" s="3"/>
      <c r="J471" s="3"/>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row>
    <row r="472" spans="1:53" x14ac:dyDescent="0.45">
      <c r="A472" s="1"/>
      <c r="B472" s="2"/>
      <c r="C472" s="3"/>
      <c r="D472" s="3"/>
      <c r="E472" s="3"/>
      <c r="F472" s="1"/>
      <c r="G472" s="2"/>
      <c r="H472" s="3"/>
      <c r="I472" s="3"/>
      <c r="J472" s="3"/>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row>
    <row r="473" spans="1:53" x14ac:dyDescent="0.45">
      <c r="A473" s="1"/>
      <c r="B473" s="2"/>
      <c r="C473" s="3"/>
      <c r="D473" s="3"/>
      <c r="E473" s="3"/>
      <c r="F473" s="1"/>
      <c r="G473" s="2"/>
      <c r="H473" s="3"/>
      <c r="I473" s="3"/>
      <c r="J473" s="3"/>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row>
    <row r="474" spans="1:53" x14ac:dyDescent="0.45">
      <c r="A474" s="1"/>
      <c r="B474" s="2"/>
      <c r="C474" s="3"/>
      <c r="D474" s="3"/>
      <c r="E474" s="3"/>
      <c r="F474" s="1"/>
      <c r="G474" s="2"/>
      <c r="H474" s="3"/>
      <c r="I474" s="3"/>
      <c r="J474" s="3"/>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row>
    <row r="475" spans="1:53" x14ac:dyDescent="0.45">
      <c r="A475" s="1"/>
      <c r="B475" s="2"/>
      <c r="C475" s="3"/>
      <c r="D475" s="3"/>
      <c r="E475" s="3"/>
      <c r="F475" s="1"/>
      <c r="G475" s="2"/>
      <c r="H475" s="3"/>
      <c r="I475" s="3"/>
      <c r="J475" s="3"/>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row>
    <row r="476" spans="1:53" x14ac:dyDescent="0.45">
      <c r="F476" s="1"/>
      <c r="G476" s="2"/>
      <c r="H476" s="3"/>
      <c r="I476" s="3"/>
      <c r="J476" s="3"/>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row>
    <row r="477" spans="1:53" x14ac:dyDescent="0.45">
      <c r="F477" s="1"/>
      <c r="G477" s="2"/>
      <c r="H477" s="3"/>
      <c r="I477" s="3"/>
      <c r="J477" s="3"/>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row>
    <row r="478" spans="1:53" x14ac:dyDescent="0.45">
      <c r="F478" s="1"/>
      <c r="G478" s="2"/>
      <c r="H478" s="3"/>
      <c r="I478" s="3"/>
      <c r="J478" s="3"/>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row>
    <row r="479" spans="1:53" x14ac:dyDescent="0.45">
      <c r="F479" s="1"/>
      <c r="G479" s="2"/>
      <c r="H479" s="3"/>
      <c r="I479" s="3"/>
      <c r="J479" s="3"/>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row>
    <row r="480" spans="1:53" x14ac:dyDescent="0.45">
      <c r="F480" s="1"/>
      <c r="G480" s="2"/>
      <c r="H480" s="3"/>
      <c r="I480" s="3"/>
      <c r="J480" s="3"/>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row>
    <row r="481" spans="6:45" x14ac:dyDescent="0.45">
      <c r="F481" s="1"/>
      <c r="G481" s="2"/>
      <c r="H481" s="3"/>
      <c r="I481" s="3"/>
      <c r="J481" s="3"/>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row>
    <row r="482" spans="6:45" x14ac:dyDescent="0.45">
      <c r="F482" s="1"/>
      <c r="G482" s="2"/>
      <c r="H482" s="3"/>
      <c r="I482" s="3"/>
      <c r="J482" s="3"/>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row>
    <row r="483" spans="6:45" x14ac:dyDescent="0.45">
      <c r="F483" s="1"/>
      <c r="G483" s="2"/>
      <c r="H483" s="3"/>
      <c r="I483" s="3"/>
      <c r="J483" s="3"/>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Dely</dc:creator>
  <cp:lastModifiedBy>Antoine Dely</cp:lastModifiedBy>
  <dcterms:created xsi:type="dcterms:W3CDTF">2026-04-08T10:12:59Z</dcterms:created>
  <dcterms:modified xsi:type="dcterms:W3CDTF">2026-04-08T10:37:19Z</dcterms:modified>
</cp:coreProperties>
</file>