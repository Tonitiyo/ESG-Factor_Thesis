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ton\OneDrive\Bureau\Edhec course\Master 2\Research Thesis\Data-Analysis\"/>
    </mc:Choice>
  </mc:AlternateContent>
  <xr:revisionPtr revIDLastSave="0" documentId="8_{43AEFF31-5019-4A72-A512-BC17B5494E94}" xr6:coauthVersionLast="47" xr6:coauthVersionMax="47" xr10:uidLastSave="{00000000-0000-0000-0000-000000000000}"/>
  <bookViews>
    <workbookView xWindow="-98" yWindow="-98" windowWidth="19396" windowHeight="11475" firstSheet="1" activeTab="1" xr2:uid="{7E2234CB-891A-43A6-BA65-8DC13E76C303}"/>
  </bookViews>
  <sheets>
    <sheet name="__snloffice" sheetId="2" state="veryHidden" r:id="rId1"/>
    <sheet name="Feuil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A2" i="1"/>
  <c r="B2" i="1"/>
  <c r="F5" i="1"/>
  <c r="H2" i="1"/>
  <c r="I2" i="1"/>
  <c r="G5" i="1"/>
  <c r="H5" i="1"/>
  <c r="J2" i="1"/>
  <c r="I5" i="1"/>
  <c r="K2" i="1"/>
  <c r="J5" i="1"/>
  <c r="L2" i="1"/>
  <c r="M2" i="1"/>
  <c r="K5" i="1"/>
  <c r="L5" i="1"/>
  <c r="N2" i="1"/>
  <c r="M5" i="1"/>
  <c r="O2" i="1"/>
  <c r="G2" i="1"/>
  <c r="N5" i="1"/>
  <c r="P2" i="1"/>
  <c r="O5" i="1"/>
  <c r="P5" i="1"/>
  <c r="A1" i="1" s="1"/>
  <c r="C2" i="1"/>
  <c r="F2" i="1"/>
  <c r="D2" i="1"/>
</calcChain>
</file>

<file path=xl/sharedStrings.xml><?xml version="1.0" encoding="utf-8"?>
<sst xmlns="http://schemas.openxmlformats.org/spreadsheetml/2006/main" count="5068" uniqueCount="4703">
  <si>
    <t>3M Company (NYSE:MMM)</t>
  </si>
  <si>
    <t>A. O. Smith Corporation (NYSE:AOS)</t>
  </si>
  <si>
    <t>Abbott Laboratories (NYSE:ABT)</t>
  </si>
  <si>
    <t>AbbVie Inc. (NYSE:ABBV)</t>
  </si>
  <si>
    <t>Accenture plc (NYSE:ACN)</t>
  </si>
  <si>
    <t>Adobe Inc. (NASDAQGS:ADBE)</t>
  </si>
  <si>
    <t>Advanced Micro Devices, Inc. (NASDAQGS:AMD)</t>
  </si>
  <si>
    <t>Aflac Incorporated (NYSE:AFL)</t>
  </si>
  <si>
    <t>Agilent Technologies, Inc. (NYSE:A)</t>
  </si>
  <si>
    <t>Air Products and Chemicals, Inc. (NYSE:APD)</t>
  </si>
  <si>
    <t>Akamai Technologies, Inc. (NASDAQGS:AKAM)</t>
  </si>
  <si>
    <t>Albemarle Corporation (NYSE:ALB)</t>
  </si>
  <si>
    <t>Alexandria Real Estate Equities, Inc. (NYSE:ARE)</t>
  </si>
  <si>
    <t>Align Technology, Inc. (NASDAQGS:ALGN)</t>
  </si>
  <si>
    <t>Allegion plc (NYSE:ALLE)</t>
  </si>
  <si>
    <t>Alliant Energy Corporation (NASDAQGS:LNT)</t>
  </si>
  <si>
    <t>Alphabet Inc. (NASDAQGS:GOOGL)</t>
  </si>
  <si>
    <t>Altria Group, Inc. (NYSE:MO)</t>
  </si>
  <si>
    <t>Amazon.com, Inc. (NASDAQGS:AMZN)</t>
  </si>
  <si>
    <t>Amcor plc (NYSE:AMCR)</t>
  </si>
  <si>
    <t>Ameren Corporation (NYSE:AEE)</t>
  </si>
  <si>
    <t>American Electric Power Company, Inc. (NASDAQGS:AEP)</t>
  </si>
  <si>
    <t>American Express Company (NYSE:AXP)</t>
  </si>
  <si>
    <t>American International Group, Inc. (NYSE:AIG)</t>
  </si>
  <si>
    <t>American Tower Corporation (NYSE:AMT)</t>
  </si>
  <si>
    <t>American Water Works Company, Inc. (NYSE:AWK)</t>
  </si>
  <si>
    <t>Ameriprise Financial, Inc. (NYSE:AMP)</t>
  </si>
  <si>
    <t>AMETEK, Inc. (NYSE:AME)</t>
  </si>
  <si>
    <t>Amgen Inc. (NASDAQGS:AMGN)</t>
  </si>
  <si>
    <t>Amphenol Corporation (NYSE:APH)</t>
  </si>
  <si>
    <t>Analog Devices, Inc. (NASDAQGS:ADI)</t>
  </si>
  <si>
    <t>Aon plc (NYSE:AON)</t>
  </si>
  <si>
    <t>APA Corporation (NASDAQGS:APA)</t>
  </si>
  <si>
    <t>Apollo Global Management, Inc. (NYSE:APO)</t>
  </si>
  <si>
    <t>Apple Inc. (NASDAQGS:AAPL)</t>
  </si>
  <si>
    <t>Applied Materials, Inc. (NASDAQGS:AMAT)</t>
  </si>
  <si>
    <t>Aptiv PLC (NYSE:APTV)</t>
  </si>
  <si>
    <t>Arch Capital Group Ltd. (NASDAQGS:ACGL)</t>
  </si>
  <si>
    <t>Archer-Daniels-Midland Company (NYSE:ADM)</t>
  </si>
  <si>
    <t>Ares Management Corporation (NYSE:ARES)</t>
  </si>
  <si>
    <t>Arista Networks, Inc. (NYSE:ANET)</t>
  </si>
  <si>
    <t>Arthur J. Gallagher &amp; Co. (NYSE:AJG)</t>
  </si>
  <si>
    <t>Assurant, Inc. (NYSE:AIZ)</t>
  </si>
  <si>
    <t>AT&amp;T Inc. (NYSE:T)</t>
  </si>
  <si>
    <t>Atmos Energy Corporation (NYSE:ATO)</t>
  </si>
  <si>
    <t>Autodesk, Inc. (NASDAQGS:ADSK)</t>
  </si>
  <si>
    <t>Automatic Data Processing, Inc. (NASDAQGS:ADP)</t>
  </si>
  <si>
    <t>AutoZone, Inc. (NYSE:AZO)</t>
  </si>
  <si>
    <t>AvalonBay Communities, Inc. (NYSE:AVB)</t>
  </si>
  <si>
    <t>Avery Dennison Corporation (NYSE:AVY)</t>
  </si>
  <si>
    <t>Axon Enterprise, Inc. (NASDAQGS:AXON)</t>
  </si>
  <si>
    <t>Baker Hughes Company (NASDAQGS:BKR)</t>
  </si>
  <si>
    <t>Ball Corporation (NYSE:BALL)</t>
  </si>
  <si>
    <t>Bank of America Corporation (NYSE:BAC)</t>
  </si>
  <si>
    <t>Baxter International Inc. (NYSE:BAX)</t>
  </si>
  <si>
    <t>Becton, Dickinson and Company (NYSE:BDX)</t>
  </si>
  <si>
    <t>Berkshire Hathaway Inc. (NYSE:BRK.A)</t>
  </si>
  <si>
    <t>Best Buy Co., Inc. (NYSE:BBY)</t>
  </si>
  <si>
    <t>Bio-Techne Corporation (NASDAQGS:TECH)</t>
  </si>
  <si>
    <t>Biogen Inc. (NASDAQGS:BIIB)</t>
  </si>
  <si>
    <t>BlackRock, Inc. (NYSE:BLK)</t>
  </si>
  <si>
    <t>Blackstone Inc. (NYSE:BX)</t>
  </si>
  <si>
    <t>Block, Inc. (NYSE:XYZ)</t>
  </si>
  <si>
    <t>Booking Holdings Inc. (NASDAQGS:BKNG)</t>
  </si>
  <si>
    <t>Boston Scientific Corporation (NYSE:BSX)</t>
  </si>
  <si>
    <t>Bristol-Myers Squibb Company (NYSE:BMY)</t>
  </si>
  <si>
    <t>Broadcom Inc. (NASDAQGS:AVGO)</t>
  </si>
  <si>
    <t>Broadridge Financial Solutions, Inc. (NYSE:BR)</t>
  </si>
  <si>
    <t>Brown &amp; Brown, Inc. (NYSE:BRO)</t>
  </si>
  <si>
    <t>Brown-Forman Corporation (NYSE:BF.B)</t>
  </si>
  <si>
    <t>Builders FirstSource, Inc. (NYSE:BLDR)</t>
  </si>
  <si>
    <t>Bunge Global SA (NYSE:BG)</t>
  </si>
  <si>
    <t>BXP, Inc. (NYSE:BXP)</t>
  </si>
  <si>
    <t>C.H. Robinson Worldwide, Inc. (NASDAQGS:CHRW)</t>
  </si>
  <si>
    <t>Cadence Design Systems, Inc. (NASDAQGS:CDNS)</t>
  </si>
  <si>
    <t>Camden Property Trust (NYSE:CPT)</t>
  </si>
  <si>
    <t>Capital One Financial Corporation (NYSE:COF)</t>
  </si>
  <si>
    <t>Cardinal Health, Inc. (NYSE:CAH)</t>
  </si>
  <si>
    <t>Carnival Corporation &amp; plc (NYSE:CCL)</t>
  </si>
  <si>
    <t>Carvana Co. (NYSE:CVNA)</t>
  </si>
  <si>
    <t>Caterpillar Inc. (NYSE:CAT)</t>
  </si>
  <si>
    <t>Cboe Global Markets, Inc. (BATS:CBOE)</t>
  </si>
  <si>
    <t>CBRE Group, Inc. (NYSE:CBRE)</t>
  </si>
  <si>
    <t>CDW Corporation (NASDAQGS:CDW)</t>
  </si>
  <si>
    <t>Cencora, Inc. (NYSE:COR)</t>
  </si>
  <si>
    <t>Centene Corporation (NYSE:CNC)</t>
  </si>
  <si>
    <t>CenterPoint Energy, Inc. (NYSE:CNP)</t>
  </si>
  <si>
    <t>CF Industries Holdings, Inc. (NYSE:CF)</t>
  </si>
  <si>
    <t>Charles River Laboratories International, Inc. (NYSE:CRL)</t>
  </si>
  <si>
    <t>Charter Communications, Inc. (NASDAQGS:CHTR)</t>
  </si>
  <si>
    <t>Chevron Corporation (NYSE:CVX)</t>
  </si>
  <si>
    <t>Chipotle Mexican Grill, Inc. (NYSE:CMG)</t>
  </si>
  <si>
    <t>Chubb Limited (NYSE:CB)</t>
  </si>
  <si>
    <t>Church &amp; Dwight Co., Inc. (NYSE:CHD)</t>
  </si>
  <si>
    <t>Ciena Corporation (NYSE:CIEN)</t>
  </si>
  <si>
    <t>Cincinnati Financial Corporation (NASDAQGS:CINF)</t>
  </si>
  <si>
    <t>Cintas Corporation (NASDAQGS:CTAS)</t>
  </si>
  <si>
    <t>Cisco Systems, Inc. (NASDAQGS:CSCO)</t>
  </si>
  <si>
    <t>Citigroup Inc. (NYSE:C)</t>
  </si>
  <si>
    <t>Citizens Financial Group, Inc. (NYSE:CFG)</t>
  </si>
  <si>
    <t>CME Group Inc. (NASDAQGS:CME)</t>
  </si>
  <si>
    <t>CMS Energy Corporation (NYSE:CMS)</t>
  </si>
  <si>
    <t>Cognizant Technology Solutions Corporation (NASDAQGS:CTSH)</t>
  </si>
  <si>
    <t>Coherent Corp. (NYSE:COHR)</t>
  </si>
  <si>
    <t>Colgate-Palmolive Company (NYSE:CL)</t>
  </si>
  <si>
    <t>Comcast Corporation (NASDAQGS:CMCSA)</t>
  </si>
  <si>
    <t>Comfort Systems USA, Inc. (NYSE:FIX)</t>
  </si>
  <si>
    <t>Conagra Brands, Inc. (NYSE:CAG)</t>
  </si>
  <si>
    <t>ConocoPhillips (NYSE:COP)</t>
  </si>
  <si>
    <t>Consolidated Edison, Inc. (NYSE:ED)</t>
  </si>
  <si>
    <t>Constellation Brands, Inc. (NYSE:STZ)</t>
  </si>
  <si>
    <t>Constellation Energy Corporation (NASDAQGS:CEG)</t>
  </si>
  <si>
    <t>Copart, Inc. (NASDAQGS:CPRT)</t>
  </si>
  <si>
    <t>Corning Incorporated (NYSE:GLW)</t>
  </si>
  <si>
    <t>Corpay, Inc. (NYSE:CPAY)</t>
  </si>
  <si>
    <t>CoStar Group, Inc. (NASDAQGS:CSGP)</t>
  </si>
  <si>
    <t>Costco Wholesale Corporation (NASDAQGS:COST)</t>
  </si>
  <si>
    <t>Coterra Energy Inc. (NYSE:CTRA)</t>
  </si>
  <si>
    <t>CRH plc (NYSE:CRH)</t>
  </si>
  <si>
    <t>Crown Castle Inc. (NYSE:CCI)</t>
  </si>
  <si>
    <t>CSX Corporation (NASDAQGS:CSX)</t>
  </si>
  <si>
    <t>Cummins Inc. (NYSE:CMI)</t>
  </si>
  <si>
    <t>CVS Health Corporation (NYSE:CVS)</t>
  </si>
  <si>
    <t>D.R. Horton, Inc. (NYSE:DHI)</t>
  </si>
  <si>
    <t>Danaher Corporation (NYSE:DHR)</t>
  </si>
  <si>
    <t>Darden Restaurants, Inc. (NYSE:DRI)</t>
  </si>
  <si>
    <t>DaVita Inc. (NYSE:DVA)</t>
  </si>
  <si>
    <t>Deckers Outdoor Corporation (NYSE:DECK)</t>
  </si>
  <si>
    <t>Deere &amp; Company (NYSE:DE)</t>
  </si>
  <si>
    <t>Dell Technologies Inc. (NYSE:DELL)</t>
  </si>
  <si>
    <t>Delta Air Lines, Inc. (NYSE:DAL)</t>
  </si>
  <si>
    <t>Devon Energy Corporation (NYSE:DVN)</t>
  </si>
  <si>
    <t>DexCom, Inc. (NASDAQGS:DXCM)</t>
  </si>
  <si>
    <t>Diamondback Energy, Inc. (NASDAQGS:FANG)</t>
  </si>
  <si>
    <t>Digital Realty Trust, Inc. (NYSE:DLR)</t>
  </si>
  <si>
    <t>Dollar General Corporation (NYSE:DG)</t>
  </si>
  <si>
    <t>Dollar Tree, Inc. (NASDAQGS:DLTR)</t>
  </si>
  <si>
    <t>Dominion Energy, Inc. (NYSE:D)</t>
  </si>
  <si>
    <t>Domino's Pizza, Inc. (NASDAQGS:DPZ)</t>
  </si>
  <si>
    <t>Dover Corporation (NYSE:DOV)</t>
  </si>
  <si>
    <t>DTE Energy Company (NYSE:DTE)</t>
  </si>
  <si>
    <t>Duke Energy Corporation (NYSE:DUK)</t>
  </si>
  <si>
    <t>DuPont de Nemours, Inc. (NYSE:DD)</t>
  </si>
  <si>
    <t>Eaton Corporation plc (NYSE:ETN)</t>
  </si>
  <si>
    <t>eBay Inc. (NASDAQGS:EBAY)</t>
  </si>
  <si>
    <t>EchoStar Corporation (NASDAQGS:SATS)</t>
  </si>
  <si>
    <t>Ecolab Inc. (NYSE:ECL)</t>
  </si>
  <si>
    <t>Edison International (NYSE:EIX)</t>
  </si>
  <si>
    <t>Edwards Lifesciences Corporation (NYSE:EW)</t>
  </si>
  <si>
    <t>Electronic Arts Inc. (NASDAQGS:EA)</t>
  </si>
  <si>
    <t>Elevance Health, Inc. (NYSE:ELV)</t>
  </si>
  <si>
    <t>Eli Lilly and Company (NYSE:LLY)</t>
  </si>
  <si>
    <t>EMCOR Group, Inc. (NYSE:EME)</t>
  </si>
  <si>
    <t>Emerson Electric Co. (NYSE:EMR)</t>
  </si>
  <si>
    <t>Entergy Corporation (NYSE:ETR)</t>
  </si>
  <si>
    <t>EOG Resources, Inc. (NYSE:EOG)</t>
  </si>
  <si>
    <t>EPAM Systems, Inc. (NYSE:EPAM)</t>
  </si>
  <si>
    <t>EQT Corporation (NYSE:EQT)</t>
  </si>
  <si>
    <t>Equifax Inc. (NYSE:EFX)</t>
  </si>
  <si>
    <t>Equinix, Inc. (NASDAQGS:EQIX)</t>
  </si>
  <si>
    <t>Equity Residential (NYSE:EQR)</t>
  </si>
  <si>
    <t>Erie Indemnity Company (NASDAQGS:ERIE)</t>
  </si>
  <si>
    <t>Essex Property Trust, Inc. (NYSE:ESS)</t>
  </si>
  <si>
    <t>Everest Group, Ltd. (NYSE:EG)</t>
  </si>
  <si>
    <t>Evergy, Inc. (NASDAQGS:EVRG)</t>
  </si>
  <si>
    <t>Eversource Energy (NYSE:ES)</t>
  </si>
  <si>
    <t>Exelon Corporation (NASDAQGS:EXC)</t>
  </si>
  <si>
    <t>Expand Energy Corporation (NASDAQGS:EXE)</t>
  </si>
  <si>
    <t>Expedia Group, Inc. (NASDAQGS:EXPE)</t>
  </si>
  <si>
    <t>Expeditors International of Washington, Inc. (NYSE:EXPD)</t>
  </si>
  <si>
    <t>Extra Space Storage Inc. (NYSE:EXR)</t>
  </si>
  <si>
    <t>Exxon Mobil Corporation (NYSE:XOM)</t>
  </si>
  <si>
    <t>F5, Inc. (NASDAQGS:FFIV)</t>
  </si>
  <si>
    <t>FactSet Research Systems Inc. (NYSE:FDS)</t>
  </si>
  <si>
    <t>Fair Isaac Corporation (NYSE:FICO)</t>
  </si>
  <si>
    <t>Fastenal Company (NASDAQGS:FAST)</t>
  </si>
  <si>
    <t>Federal Realty Investment Trust (NYSE:FRT)</t>
  </si>
  <si>
    <t>FedEx Corporation (NYSE:FDX)</t>
  </si>
  <si>
    <t>Fidelity National Information Services, Inc. (NYSE:FIS)</t>
  </si>
  <si>
    <t>Fifth Third Bancorp (NASDAQGS:FITB)</t>
  </si>
  <si>
    <t>First Solar, Inc. (NASDAQGS:FSLR)</t>
  </si>
  <si>
    <t>FirstEnergy Corp. (NYSE:FE)</t>
  </si>
  <si>
    <t>Fiserv, Inc. (NASDAQGS:FISV)</t>
  </si>
  <si>
    <t>Ford Motor Company (NYSE:F)</t>
  </si>
  <si>
    <t>Fortinet, Inc. (NASDAQGS:FTNT)</t>
  </si>
  <si>
    <t>Fortive Corporation (NYSE:FTV)</t>
  </si>
  <si>
    <t>Franklin Resources, Inc. (NYSE:BEN)</t>
  </si>
  <si>
    <t>Freeport-McMoRan Inc. (NYSE:FCX)</t>
  </si>
  <si>
    <t>Garmin Ltd. (NYSE:GRMN)</t>
  </si>
  <si>
    <t>Gartner, Inc. (NYSE:IT)</t>
  </si>
  <si>
    <t>Gen Digital Inc. (NASDAQGS:GEN)</t>
  </si>
  <si>
    <t>Generac Holdings Inc. (NYSE:GNRC)</t>
  </si>
  <si>
    <t>General Dynamics Corporation (NYSE:GD)</t>
  </si>
  <si>
    <t>General Electric Company (NYSE:GE)</t>
  </si>
  <si>
    <t>General Mills, Inc. (NYSE:GIS)</t>
  </si>
  <si>
    <t>General Motors Company (NYSE:GM)</t>
  </si>
  <si>
    <t>Genuine Parts Company (NYSE:GPC)</t>
  </si>
  <si>
    <t>Gilead Sciences, Inc. (NASDAQGS:GILD)</t>
  </si>
  <si>
    <t>Global Payments Inc. (NYSE:GPN)</t>
  </si>
  <si>
    <t>Globe Life Inc. (NYSE:GL)</t>
  </si>
  <si>
    <t>GoDaddy Inc. (NYSE:GDDY)</t>
  </si>
  <si>
    <t>Halliburton Company (NYSE:HAL)</t>
  </si>
  <si>
    <t>Hasbro, Inc. (NASDAQGS:HAS)</t>
  </si>
  <si>
    <t>HCA Healthcare, Inc. (NYSE:HCA)</t>
  </si>
  <si>
    <t>Healthpeak Properties, Inc. (NYSE:DOC)</t>
  </si>
  <si>
    <t>Henry Schein, Inc. (NASDAQGS:HSIC)</t>
  </si>
  <si>
    <t>Hewlett Packard Enterprise Company (NYSE:HPE)</t>
  </si>
  <si>
    <t>Hilton Worldwide Holdings Inc. (NYSE:HLT)</t>
  </si>
  <si>
    <t>Honeywell International Inc. (NASDAQGS:HON)</t>
  </si>
  <si>
    <t>Hormel Foods Corporation (NYSE:HRL)</t>
  </si>
  <si>
    <t>Host Hotels &amp; Resorts, Inc. (NASDAQGS:HST)</t>
  </si>
  <si>
    <t>Howmet Aerospace Inc. (NYSE:HWM)</t>
  </si>
  <si>
    <t>HP Inc. (NYSE:HPQ)</t>
  </si>
  <si>
    <t>Hubbell Incorporated (NYSE:HUBB)</t>
  </si>
  <si>
    <t>Humana Inc. (NYSE:HUM)</t>
  </si>
  <si>
    <t>Huntington Bancshares Incorporated (NASDAQGS:HBAN)</t>
  </si>
  <si>
    <t>Huntington Ingalls Industries, Inc. (NYSE:HII)</t>
  </si>
  <si>
    <t>IDEX Corporation (NYSE:IEX)</t>
  </si>
  <si>
    <t>IDEXX Laboratories, Inc. (NASDAQGS:IDXX)</t>
  </si>
  <si>
    <t>Illinois Tool Works Inc. (NYSE:ITW)</t>
  </si>
  <si>
    <t>Incyte Corporation (NASDAQGS:INCY)</t>
  </si>
  <si>
    <t>Ingersoll Rand Inc. (NYSE:IR)</t>
  </si>
  <si>
    <t>Insulet Corporation (NASDAQGS:PODD)</t>
  </si>
  <si>
    <t>Intel Corporation (NASDAQGS:INTC)</t>
  </si>
  <si>
    <t>Interactive Brokers Group, Inc. (NASDAQGS:IBKR)</t>
  </si>
  <si>
    <t>Intercontinental Exchange, Inc. (NYSE:ICE)</t>
  </si>
  <si>
    <t>International Business Machines Corporation (NYSE:IBM)</t>
  </si>
  <si>
    <t>International Flavors &amp; Fragrances Inc. (NYSE:IFF)</t>
  </si>
  <si>
    <t>International Paper Company (NYSE:IP)</t>
  </si>
  <si>
    <t>Intuit Inc. (NASDAQGS:INTU)</t>
  </si>
  <si>
    <t>Intuitive Surgical, Inc. (NASDAQGS:ISRG)</t>
  </si>
  <si>
    <t>Invesco Ltd. (NYSE:IVZ)</t>
  </si>
  <si>
    <t>Invitation Homes Inc. (NYSE:INVH)</t>
  </si>
  <si>
    <t>IQVIA Holdings Inc. (NYSE:IQV)</t>
  </si>
  <si>
    <t>Iron Mountain Incorporated (NYSE:IRM)</t>
  </si>
  <si>
    <t>J.B. Hunt Transport Services, Inc. (NASDAQGS:JBHT)</t>
  </si>
  <si>
    <t>Jabil Inc. (NYSE:JBL)</t>
  </si>
  <si>
    <t>Jack Henry &amp; Associates, Inc. (NASDAQGS:JKHY)</t>
  </si>
  <si>
    <t>Jacobs Solutions Inc. (NYSE:J)</t>
  </si>
  <si>
    <t>Johnson &amp; Johnson (NYSE:JNJ)</t>
  </si>
  <si>
    <t>Johnson Controls International plc (NYSE:JCI)</t>
  </si>
  <si>
    <t>JPMorgan Chase &amp; Co. (NYSE:JPM)</t>
  </si>
  <si>
    <t>Keurig Dr Pepper Inc. (NASDAQGS:KDP)</t>
  </si>
  <si>
    <t>KeyCorp (NYSE:KEY)</t>
  </si>
  <si>
    <t>Keysight Technologies, Inc. (NYSE:KEYS)</t>
  </si>
  <si>
    <t>Kimberly-Clark Corporation (NASDAQGS:KMB)</t>
  </si>
  <si>
    <t>Kimco Realty Corporation (NYSE:KIM)</t>
  </si>
  <si>
    <t>Kinder Morgan, Inc. (NYSE:KMI)</t>
  </si>
  <si>
    <t>KKR &amp; Co. Inc. (NYSE:KKR)</t>
  </si>
  <si>
    <t>KLA Corporation (NASDAQGS:KLAC)</t>
  </si>
  <si>
    <t>L3Harris Technologies, Inc. (NYSE:LHX)</t>
  </si>
  <si>
    <t>Labcorp Holdings Inc. (NYSE:LH)</t>
  </si>
  <si>
    <t>Lam Research Corporation (NASDAQGS:LRCX)</t>
  </si>
  <si>
    <t>Las Vegas Sands Corp. (NYSE:LVS)</t>
  </si>
  <si>
    <t>Leidos Holdings, Inc. (NYSE:LDOS)</t>
  </si>
  <si>
    <t>Lennar Corporation (NYSE:LEN)</t>
  </si>
  <si>
    <t>Lennox International Inc. (NYSE:LII)</t>
  </si>
  <si>
    <t>Linde plc (NASDAQGS:LIN)</t>
  </si>
  <si>
    <t>Live Nation Entertainment, Inc. (NYSE:LYV)</t>
  </si>
  <si>
    <t>Lockheed Martin Corporation (NYSE:LMT)</t>
  </si>
  <si>
    <t>Loews Corporation (NYSE:L)</t>
  </si>
  <si>
    <t>Lowe's Companies, Inc. (NYSE:LOW)</t>
  </si>
  <si>
    <t>lululemon athletica inc. (NASDAQGS:LULU)</t>
  </si>
  <si>
    <t>Lumentum Holdings Inc. (NASDAQGS:LITE)</t>
  </si>
  <si>
    <t>LyondellBasell Industries N.V. (NYSE:LYB)</t>
  </si>
  <si>
    <t>M&amp;T Bank Corporation (NYSE:MTB)</t>
  </si>
  <si>
    <t>Marathon Petroleum Corporation (NYSE:MPC)</t>
  </si>
  <si>
    <t>Marriott International, Inc. (NASDAQGS:MAR)</t>
  </si>
  <si>
    <t>Marsh &amp; McLennan Companies, Inc. (NYSE:MRSH)</t>
  </si>
  <si>
    <t>Martin Marietta Materials, Inc. (NYSE:MLM)</t>
  </si>
  <si>
    <t>Masco Corporation (NYSE:MAS)</t>
  </si>
  <si>
    <t>Mastercard Incorporated (NYSE:MA)</t>
  </si>
  <si>
    <t>McCormick &amp; Company, Incorporated (NYSE:MKC)</t>
  </si>
  <si>
    <t>McDonald's Corporation (NYSE:MCD)</t>
  </si>
  <si>
    <t>McKesson Corporation (NYSE:MCK)</t>
  </si>
  <si>
    <t>Medtronic plc (NYSE:MDT)</t>
  </si>
  <si>
    <t>Merck &amp; Co., Inc. (NYSE:MRK)</t>
  </si>
  <si>
    <t>Meta Platforms, Inc. (NASDAQGS:META)</t>
  </si>
  <si>
    <t>MetLife, Inc. (NYSE:MET)</t>
  </si>
  <si>
    <t>Mettler-Toledo International Inc. (NYSE:MTD)</t>
  </si>
  <si>
    <t>MGM Resorts International (NYSE:MGM)</t>
  </si>
  <si>
    <t>Microchip Technology Incorporated (NASDAQGS:MCHP)</t>
  </si>
  <si>
    <t>Micron Technology, Inc. (NASDAQGS:MU)</t>
  </si>
  <si>
    <t>Microsoft Corporation (NASDAQGS:MSFT)</t>
  </si>
  <si>
    <t>Mid-America Apartment Communities, Inc. (NYSE:MAA)</t>
  </si>
  <si>
    <t>Molson Coors Beverage Company (NYSE:TAP)</t>
  </si>
  <si>
    <t>Mondelez International, Inc. (NASDAQGS:MDLZ)</t>
  </si>
  <si>
    <t>Monolithic Power Systems, Inc. (NASDAQGS:MPWR)</t>
  </si>
  <si>
    <t>Monster Beverage Corporation (NASDAQGS:MNST)</t>
  </si>
  <si>
    <t>Moody's Corporation (NYSE:MCO)</t>
  </si>
  <si>
    <t>Morgan Stanley (NYSE:MS)</t>
  </si>
  <si>
    <t>Motorola Solutions, Inc. (NYSE:MSI)</t>
  </si>
  <si>
    <t>MSCI Inc. (NYSE:MSCI)</t>
  </si>
  <si>
    <t>Nasdaq, Inc. (NASDAQGS:NDAQ)</t>
  </si>
  <si>
    <t>NetApp, Inc. (NASDAQGS:NTAP)</t>
  </si>
  <si>
    <t>Netflix, Inc. (NASDAQGS:NFLX)</t>
  </si>
  <si>
    <t>Newmont Corporation (NYSE:NEM)</t>
  </si>
  <si>
    <t>News Corporation (NASDAQGS:NWSA)</t>
  </si>
  <si>
    <t>NextEra Energy, Inc. (NYSE:NEE)</t>
  </si>
  <si>
    <t>NIKE, Inc. (NYSE:NKE)</t>
  </si>
  <si>
    <t>NiSource Inc. (NYSE:NI)</t>
  </si>
  <si>
    <t>Nordson Corporation (NASDAQGS:NDSN)</t>
  </si>
  <si>
    <t>Norfolk Southern Corporation (NYSE:NSC)</t>
  </si>
  <si>
    <t>Northern Trust Corporation (NASDAQGS:NTRS)</t>
  </si>
  <si>
    <t>Northrop Grumman Corporation (NYSE:NOC)</t>
  </si>
  <si>
    <t>Norwegian Cruise Line Holdings Ltd. (NYSE:NCLH)</t>
  </si>
  <si>
    <t>NRG Energy, Inc. (NYSE:NRG)</t>
  </si>
  <si>
    <t>Nucor Corporation (NYSE:NUE)</t>
  </si>
  <si>
    <t>NVIDIA Corporation (NASDAQGS:NVDA)</t>
  </si>
  <si>
    <t>NVR, Inc. (NYSE:NVR)</t>
  </si>
  <si>
    <t>NXP Semiconductors N.V. (NASDAQGS:NXPI)</t>
  </si>
  <si>
    <t>O'Reilly Automotive, Inc. (NASDAQGS:ORLY)</t>
  </si>
  <si>
    <t>Occidental Petroleum Corporation (NYSE:OXY)</t>
  </si>
  <si>
    <t>Old Dominion Freight Line, Inc. (NASDAQGS:ODFL)</t>
  </si>
  <si>
    <t>Omnicom Group Inc. (NYSE:OMC)</t>
  </si>
  <si>
    <t>ON Semiconductor Corporation (NASDAQGS:ON)</t>
  </si>
  <si>
    <t>ONEOK, Inc. (NYSE:OKE)</t>
  </si>
  <si>
    <t>Oracle Corporation (NYSE:ORCL)</t>
  </si>
  <si>
    <t>PACCAR Inc (NASDAQGS:PCAR)</t>
  </si>
  <si>
    <t>Packaging Corporation of America (NYSE:PKG)</t>
  </si>
  <si>
    <t>Palo Alto Networks, Inc. (NASDAQGS:PANW)</t>
  </si>
  <si>
    <t>Paramount Skydance Corporation (NASDAQGS:PSKY)</t>
  </si>
  <si>
    <t>Parker-Hannifin Corporation (NYSE:PH)</t>
  </si>
  <si>
    <t>Paychex, Inc. (NASDAQGS:PAYX)</t>
  </si>
  <si>
    <t>PayPal Holdings, Inc. (NASDAQGS:PYPL)</t>
  </si>
  <si>
    <t>Pentair plc (NYSE:PNR)</t>
  </si>
  <si>
    <t>PepsiCo, Inc. (NASDAQGS:PEP)</t>
  </si>
  <si>
    <t>Pfizer Inc. (NYSE:PFE)</t>
  </si>
  <si>
    <t>PG&amp;E Corporation (NYSE:PCG)</t>
  </si>
  <si>
    <t>Philip Morris International Inc. (NYSE:PM)</t>
  </si>
  <si>
    <t>Phillips 66 (NYSE:PSX)</t>
  </si>
  <si>
    <t>Pinnacle West Capital Corporation (NYSE:PNW)</t>
  </si>
  <si>
    <t>Pool Corporation (NASDAQGS:POOL)</t>
  </si>
  <si>
    <t>PPG Industries, Inc. (NYSE:PPG)</t>
  </si>
  <si>
    <t>PPL Corporation (NYSE:PPL)</t>
  </si>
  <si>
    <t>Principal Financial Group, Inc. (NASDAQGS:PFG)</t>
  </si>
  <si>
    <t>Prologis, Inc. (NYSE:PLD)</t>
  </si>
  <si>
    <t>Prudential Financial, Inc. (NYSE:PRU)</t>
  </si>
  <si>
    <t>PTC Inc. (NASDAQGS:PTC)</t>
  </si>
  <si>
    <t>Public Service Enterprise Group Incorporated (NYSE:PEG)</t>
  </si>
  <si>
    <t>Public Storage (NYSE:PSA)</t>
  </si>
  <si>
    <t>PulteGroup, Inc. (NYSE:PHM)</t>
  </si>
  <si>
    <t>QUALCOMM Incorporated (NASDAQGS:QCOM)</t>
  </si>
  <si>
    <t>Quanta Services, Inc. (NYSE:PWR)</t>
  </si>
  <si>
    <t>Quest Diagnostics Incorporated (NYSE:DGX)</t>
  </si>
  <si>
    <t>Ralph Lauren Corporation (NYSE:RL)</t>
  </si>
  <si>
    <t>Raymond James Financial, Inc. (NYSE:RJF)</t>
  </si>
  <si>
    <t>Realty Income Corporation (NYSE:O)</t>
  </si>
  <si>
    <t>Regency Centers Corporation (NASDAQGS:REG)</t>
  </si>
  <si>
    <t>Regeneron Pharmaceuticals, Inc. (NASDAQGS:REGN)</t>
  </si>
  <si>
    <t>Regions Financial Corporation (NYSE:RF)</t>
  </si>
  <si>
    <t>Republic Services, Inc. (NYSE:RSG)</t>
  </si>
  <si>
    <t>ResMed Inc. (NYSE:RMD)</t>
  </si>
  <si>
    <t>Revvity, Inc. (NYSE:RVTY)</t>
  </si>
  <si>
    <t>Rockwell Automation, Inc. (NYSE:ROK)</t>
  </si>
  <si>
    <t>Rollins, Inc. (NYSE:ROL)</t>
  </si>
  <si>
    <t>Roper Technologies, Inc. (NASDAQGS:ROP)</t>
  </si>
  <si>
    <t>Ross Stores, Inc. (NASDAQGS:ROST)</t>
  </si>
  <si>
    <t>Royal Caribbean Cruises Ltd. (NYSE:RCL)</t>
  </si>
  <si>
    <t>RTX Corporation (NYSE:RTX)</t>
  </si>
  <si>
    <t>S&amp;P Global Inc. (NYSE:SPGI)</t>
  </si>
  <si>
    <t>Salesforce, Inc. (NYSE:CRM)</t>
  </si>
  <si>
    <t>SBA Communications Corporation (NASDAQGS:SBAC)</t>
  </si>
  <si>
    <t>Seagate Technology Holdings plc (NASDAQGS:STX)</t>
  </si>
  <si>
    <t>Sempra (NYSE:SRE)</t>
  </si>
  <si>
    <t>ServiceNow, Inc. (NYSE:NOW)</t>
  </si>
  <si>
    <t>Simon Property Group, Inc. (NYSE:SPG)</t>
  </si>
  <si>
    <t>Skyworks Solutions, Inc. (NASDAQGS:SWKS)</t>
  </si>
  <si>
    <t>SLB N.V. (NYSE:SLB)</t>
  </si>
  <si>
    <t>Smurfit Westrock Plc (NYSE:SW)</t>
  </si>
  <si>
    <t>Snap-on Incorporated (NYSE:SNA)</t>
  </si>
  <si>
    <t>Southwest Airlines Co. (NYSE:LUV)</t>
  </si>
  <si>
    <t>Stanley Black &amp; Decker, Inc. (NYSE:SWK)</t>
  </si>
  <si>
    <t>Starbucks Corporation (NASDAQGS:SBUX)</t>
  </si>
  <si>
    <t>State Street Corporation (NYSE:STT)</t>
  </si>
  <si>
    <t>Steel Dynamics, Inc. (NASDAQGS:STLD)</t>
  </si>
  <si>
    <t>STERIS plc (NYSE:STE)</t>
  </si>
  <si>
    <t>Stryker Corporation (NYSE:SYK)</t>
  </si>
  <si>
    <t>Super Micro Computer, Inc. (NASDAQGS:SMCI)</t>
  </si>
  <si>
    <t>Synchrony Financial (NYSE:SYF)</t>
  </si>
  <si>
    <t>Synopsys, Inc. (NASDAQGS:SNPS)</t>
  </si>
  <si>
    <t>Sysco Corporation (NYSE:SYY)</t>
  </si>
  <si>
    <t>T-Mobile US, Inc. (NASDAQGS:TMUS)</t>
  </si>
  <si>
    <t>T. Rowe Price Group, Inc. (NASDAQGS:TROW)</t>
  </si>
  <si>
    <t>Take-Two Interactive Software, Inc. (NASDAQGS:TTWO)</t>
  </si>
  <si>
    <t>Tapestry, Inc. (NYSE:TPR)</t>
  </si>
  <si>
    <t>Targa Resources Corp. (NYSE:TRGP)</t>
  </si>
  <si>
    <t>Target Corporation (NYSE:TGT)</t>
  </si>
  <si>
    <t>TE Connectivity plc (NYSE:TEL)</t>
  </si>
  <si>
    <t>Teledyne Technologies Incorporated (NYSE:TDY)</t>
  </si>
  <si>
    <t>Teradyne, Inc. (NASDAQGS:TER)</t>
  </si>
  <si>
    <t>Tesla, Inc. (NASDAQGS:TSLA)</t>
  </si>
  <si>
    <t>Texas Instruments Incorporated (NASDAQGS:TXN)</t>
  </si>
  <si>
    <t>Texas Pacific Land Corporation (NYSE:TPL)</t>
  </si>
  <si>
    <t>Textron Inc. (NYSE:TXT)</t>
  </si>
  <si>
    <t>The AES Corporation (NYSE:AES)</t>
  </si>
  <si>
    <t>The Allstate Corporation (NYSE:ALL)</t>
  </si>
  <si>
    <t>The Bank of New York Mellon Corporation (NYSE:BK)</t>
  </si>
  <si>
    <t>The Boeing Company (NYSE:BA)</t>
  </si>
  <si>
    <t>The Campbell's Company (NASDAQGS:CPB)</t>
  </si>
  <si>
    <t>The Charles Schwab Corporation (NYSE:SCHW)</t>
  </si>
  <si>
    <t>The Cigna Group (NYSE:CI)</t>
  </si>
  <si>
    <t>The Clorox Company (NYSE:CLX)</t>
  </si>
  <si>
    <t>The Coca-Cola Company (NYSE:KO)</t>
  </si>
  <si>
    <t>The Cooper Companies, Inc. (NASDAQGS:COO)</t>
  </si>
  <si>
    <t>The Estée Lauder Companies Inc. (NYSE:EL)</t>
  </si>
  <si>
    <t>The Goldman Sachs Group, Inc. (NYSE:GS)</t>
  </si>
  <si>
    <t>The Hartford Insurance Group, Inc. (NYSE:HIG)</t>
  </si>
  <si>
    <t>The Hershey Company (NYSE:HSY)</t>
  </si>
  <si>
    <t>The Home Depot, Inc. (NYSE:HD)</t>
  </si>
  <si>
    <t>The J. M. Smucker Company (NYSE:SJM)</t>
  </si>
  <si>
    <t>The Kraft Heinz Company (NASDAQGS:KHC)</t>
  </si>
  <si>
    <t>The Kroger Co. (NYSE:KR)</t>
  </si>
  <si>
    <t>The Mosaic Company (NYSE:MOS)</t>
  </si>
  <si>
    <t>The PNC Financial Services Group, Inc. (NYSE:PNC)</t>
  </si>
  <si>
    <t>The Procter &amp; Gamble Company (NYSE:PG)</t>
  </si>
  <si>
    <t>The Progressive Corporation (NYSE:PGR)</t>
  </si>
  <si>
    <t>The Sherwin-Williams Company (NYSE:SHW)</t>
  </si>
  <si>
    <t>The Southern Company (NYSE:SO)</t>
  </si>
  <si>
    <t>The TJX Companies, Inc. (NYSE:TJX)</t>
  </si>
  <si>
    <t>The Trade Desk, Inc. (NASDAQGM:TTD)</t>
  </si>
  <si>
    <t>The Travelers Companies, Inc. (NYSE:TRV)</t>
  </si>
  <si>
    <t>The Walt Disney Company (NYSE:DIS)</t>
  </si>
  <si>
    <t>The Williams Companies, Inc. (NYSE:WMB)</t>
  </si>
  <si>
    <t>Thermo Fisher Scientific Inc. (NYSE:TMO)</t>
  </si>
  <si>
    <t>Tractor Supply Company (NASDAQGS:TSCO)</t>
  </si>
  <si>
    <t>Trane Technologies plc (NYSE:TT)</t>
  </si>
  <si>
    <t>TransDigm Group Incorporated (NYSE:TDG)</t>
  </si>
  <si>
    <t>Trimble Inc. (NASDAQGS:TRMB)</t>
  </si>
  <si>
    <t>Truist Financial Corporation (NYSE:TFC)</t>
  </si>
  <si>
    <t>Tyler Technologies, Inc. (NYSE:TYL)</t>
  </si>
  <si>
    <t>Tyson Foods, Inc. (NYSE:TSN)</t>
  </si>
  <si>
    <t>U.S. Bancorp (NYSE:USB)</t>
  </si>
  <si>
    <t>UDR, Inc. (NYSE:UDR)</t>
  </si>
  <si>
    <t>Ulta Beauty, Inc. (NASDAQGS:ULTA)</t>
  </si>
  <si>
    <t>Union Pacific Corporation (NYSE:UNP)</t>
  </si>
  <si>
    <t>United Airlines Holdings, Inc. (NASDAQGS:UAL)</t>
  </si>
  <si>
    <t>United Parcel Service, Inc. (NYSE:UPS)</t>
  </si>
  <si>
    <t>United Rentals, Inc. (NYSE:URI)</t>
  </si>
  <si>
    <t>UnitedHealth Group Incorporated (NYSE:UNH)</t>
  </si>
  <si>
    <t>Universal Health Services, Inc. (NYSE:UHS)</t>
  </si>
  <si>
    <t>Valero Energy Corporation (NYSE:VLO)</t>
  </si>
  <si>
    <t>Ventas, Inc. (NYSE:VTR)</t>
  </si>
  <si>
    <t>VeriSign, Inc. (NASDAQGS:VRSN)</t>
  </si>
  <si>
    <t>Verisk Analytics, Inc. (NASDAQGS:VRSK)</t>
  </si>
  <si>
    <t>Verizon Communications Inc. (NYSE:VZ)</t>
  </si>
  <si>
    <t>Vertex Pharmaceuticals Incorporated (NASDAQGS:VRTX)</t>
  </si>
  <si>
    <t>Viatris Inc. (NASDAQGS:VTRS)</t>
  </si>
  <si>
    <t>VICI Properties Inc. (NYSE:VICI)</t>
  </si>
  <si>
    <t>Visa Inc. (NYSE:V)</t>
  </si>
  <si>
    <t>Vistra Corp. (NYSE:VST)</t>
  </si>
  <si>
    <t>Vulcan Materials Company (NYSE:VMC)</t>
  </si>
  <si>
    <t>W. R. Berkley Corporation (NYSE:WRB)</t>
  </si>
  <si>
    <t>W.W. Grainger, Inc. (NYSE:GWW)</t>
  </si>
  <si>
    <t>Walmart Inc. (NASDAQGS:WMT)</t>
  </si>
  <si>
    <t>Warner Bros. Discovery, Inc. (NASDAQGS:WBD)</t>
  </si>
  <si>
    <t>Waste Management, Inc. (NYSE:WM)</t>
  </si>
  <si>
    <t>Waters Corporation (NYSE:WAT)</t>
  </si>
  <si>
    <t>WEC Energy Group, Inc. (NYSE:WEC)</t>
  </si>
  <si>
    <t>Wells Fargo &amp; Company (NYSE:WFC)</t>
  </si>
  <si>
    <t>Welltower Inc. (NYSE:WELL)</t>
  </si>
  <si>
    <t>West Pharmaceutical Services, Inc. (NYSE:WST)</t>
  </si>
  <si>
    <t>Western Digital Corporation (NASDAQGS:WDC)</t>
  </si>
  <si>
    <t>Westinghouse Air Brake Technologies Corporation (NYSE:WAB)</t>
  </si>
  <si>
    <t>Weyerhaeuser Company (NYSE:WY)</t>
  </si>
  <si>
    <t>Williams-Sonoma, Inc. (NYSE:WSM)</t>
  </si>
  <si>
    <t>Willis Towers Watson Public Limited Company (NASDAQGS:WTW)</t>
  </si>
  <si>
    <t>Workday, Inc. (NASDAQGS:WDAY)</t>
  </si>
  <si>
    <t>Wynn Resorts, Limited (NASDAQGS:WYNN)</t>
  </si>
  <si>
    <t>Xcel Energy Inc. (NASDAQGS:XEL)</t>
  </si>
  <si>
    <t>Xylem Inc. (NYSE:XYL)</t>
  </si>
  <si>
    <t>Yum! Brands, Inc. (NYSE:YUM)</t>
  </si>
  <si>
    <t>Zebra Technologies Corporation (NASDAQGS:ZBRA)</t>
  </si>
  <si>
    <t>Zimmer Biomet Holdings, Inc. (NYSE:ZBH)</t>
  </si>
  <si>
    <t>Zoetis Inc. (NYSE:ZTS)</t>
  </si>
  <si>
    <t>FY2025</t>
  </si>
  <si>
    <t>FY2024</t>
  </si>
  <si>
    <t>FY2023</t>
  </si>
  <si>
    <t>FY2022</t>
  </si>
  <si>
    <t>FY2021</t>
  </si>
  <si>
    <t>FY2020</t>
  </si>
  <si>
    <t>FY2019</t>
  </si>
  <si>
    <t>FY2018</t>
  </si>
  <si>
    <t>FY2017</t>
  </si>
  <si>
    <t>FY2016</t>
  </si>
  <si>
    <t>FY2015</t>
  </si>
  <si>
    <t>SP_COMPANY_NAME_ABBR</t>
  </si>
  <si>
    <t>SP_TICKER</t>
  </si>
  <si>
    <t>MI_INDUSTRY_CLASSIFICATION</t>
  </si>
  <si>
    <t>IQ_TOTAL_EQUITY</t>
  </si>
  <si>
    <t>SP_ENTITY_NAME</t>
  </si>
  <si>
    <t>SP_ENTITY_ID</t>
  </si>
  <si>
    <t>3M Co.</t>
  </si>
  <si>
    <t>MMM</t>
  </si>
  <si>
    <t>Industrial Conglomerates</t>
  </si>
  <si>
    <t>4043019,9</t>
  </si>
  <si>
    <t>3761214,6</t>
  </si>
  <si>
    <t>4404079,6</t>
  </si>
  <si>
    <t>13292378,1</t>
  </si>
  <si>
    <t>10571092,5</t>
  </si>
  <si>
    <t>9023278,6</t>
  </si>
  <si>
    <t>8601243,2</t>
  </si>
  <si>
    <t>9678801,6</t>
  </si>
  <si>
    <t>9797923,9</t>
  </si>
  <si>
    <t>A. O. Smith Corp.</t>
  </si>
  <si>
    <t>AOS</t>
  </si>
  <si>
    <t>Building Products</t>
  </si>
  <si>
    <t>1582458,6</t>
  </si>
  <si>
    <t>1819272,65</t>
  </si>
  <si>
    <t>1668628,68</t>
  </si>
  <si>
    <t>1635322,89</t>
  </si>
  <si>
    <t>1611053,46</t>
  </si>
  <si>
    <t>1510985,25</t>
  </si>
  <si>
    <t>1485285,48</t>
  </si>
  <si>
    <t>1499627,8</t>
  </si>
  <si>
    <t>1369872,72</t>
  </si>
  <si>
    <t>1435443,69</t>
  </si>
  <si>
    <t>Abbott Laboratories</t>
  </si>
  <si>
    <t>ABT</t>
  </si>
  <si>
    <t>Health Care Equipment</t>
  </si>
  <si>
    <t>44945060,7</t>
  </si>
  <si>
    <t>46267575,9</t>
  </si>
  <si>
    <t>35126786,9</t>
  </si>
  <si>
    <t>34532008,5</t>
  </si>
  <si>
    <t>31675903,2</t>
  </si>
  <si>
    <t>26979952,5</t>
  </si>
  <si>
    <t>27892321,1</t>
  </si>
  <si>
    <t>26832594,8</t>
  </si>
  <si>
    <t>25898414,4</t>
  </si>
  <si>
    <t>19625214,1</t>
  </si>
  <si>
    <t>19635914,5</t>
  </si>
  <si>
    <t>AbbVie Inc.</t>
  </si>
  <si>
    <t>ABBV</t>
  </si>
  <si>
    <t>Biotechnology</t>
  </si>
  <si>
    <t>-2749287,6</t>
  </si>
  <si>
    <t>3249287,6</t>
  </si>
  <si>
    <t>9406165,9</t>
  </si>
  <si>
    <t>16175445,9</t>
  </si>
  <si>
    <t>13572874,8</t>
  </si>
  <si>
    <t>10706797,5</t>
  </si>
  <si>
    <t>-7282069,2</t>
  </si>
  <si>
    <t>-7376736,4</t>
  </si>
  <si>
    <t>4244781,6</t>
  </si>
  <si>
    <t>4391682,8</t>
  </si>
  <si>
    <t>3632358,75</t>
  </si>
  <si>
    <t>Accenture plc</t>
  </si>
  <si>
    <t>ACN</t>
  </si>
  <si>
    <t>IT Consulting and Other Services</t>
  </si>
  <si>
    <t>8176959,42</t>
  </si>
  <si>
    <t>Adobe Inc.</t>
  </si>
  <si>
    <t>ADBE</t>
  </si>
  <si>
    <t>Application Software</t>
  </si>
  <si>
    <t>10023675,2</t>
  </si>
  <si>
    <t>15208122,6</t>
  </si>
  <si>
    <t>13400438,7</t>
  </si>
  <si>
    <t>13108662,3</t>
  </si>
  <si>
    <t>11094009,6</t>
  </si>
  <si>
    <t>Advanced Micro Devices Inc.</t>
  </si>
  <si>
    <t>AMD</t>
  </si>
  <si>
    <t>Semiconductors</t>
  </si>
  <si>
    <t>55201955,2</t>
  </si>
  <si>
    <t>50565492,4</t>
  </si>
  <si>
    <t>6628097,7</t>
  </si>
  <si>
    <t>4789842,2</t>
  </si>
  <si>
    <t>2529882,3</t>
  </si>
  <si>
    <t>1105977,6</t>
  </si>
  <si>
    <t>496348,8</t>
  </si>
  <si>
    <t>394076,8</t>
  </si>
  <si>
    <t>Aflac Inc.</t>
  </si>
  <si>
    <t>AFL</t>
  </si>
  <si>
    <t>Life and Health</t>
  </si>
  <si>
    <t>25208058,2</t>
  </si>
  <si>
    <t>19889829,5</t>
  </si>
  <si>
    <t>29239362,9</t>
  </si>
  <si>
    <t>27434482,5</t>
  </si>
  <si>
    <t>25805364,9</t>
  </si>
  <si>
    <t>20491710,8</t>
  </si>
  <si>
    <t>20485214,4</t>
  </si>
  <si>
    <t>19402598,6</t>
  </si>
  <si>
    <t>Agilent Technologies Inc</t>
  </si>
  <si>
    <t>A</t>
  </si>
  <si>
    <t>Life Sciences Tools and Services</t>
  </si>
  <si>
    <t>5532292,5</t>
  </si>
  <si>
    <t>5364946,5</t>
  </si>
  <si>
    <t>4660407,2</t>
  </si>
  <si>
    <t>4181521,3</t>
  </si>
  <si>
    <t>4259430,8</t>
  </si>
  <si>
    <t>4038478,5</t>
  </si>
  <si>
    <t>3874050,4</t>
  </si>
  <si>
    <t>3781564,5</t>
  </si>
  <si>
    <t>Air Products &amp; Chemicals Inc.</t>
  </si>
  <si>
    <t>APD</t>
  </si>
  <si>
    <t>Industrial Gases</t>
  </si>
  <si>
    <t>14787234,54</t>
  </si>
  <si>
    <t>16742839,42</t>
  </si>
  <si>
    <t>14795851,44</t>
  </si>
  <si>
    <t>13973707,52</t>
  </si>
  <si>
    <t>12155126,4</t>
  </si>
  <si>
    <t>10596543,96</t>
  </si>
  <si>
    <t>10444209,93</t>
  </si>
  <si>
    <t>9619441,41</t>
  </si>
  <si>
    <t>8617951,55</t>
  </si>
  <si>
    <t>6417401,31</t>
  </si>
  <si>
    <t>Akamai Technologies Inc.</t>
  </si>
  <si>
    <t>AKAM</t>
  </si>
  <si>
    <t>Internet Services and Infrastructure</t>
  </si>
  <si>
    <t>3475434,48</t>
  </si>
  <si>
    <t>Albemarle Corp.</t>
  </si>
  <si>
    <t>ALB</t>
  </si>
  <si>
    <t>Specialty Chemicals</t>
  </si>
  <si>
    <t>Alexandria Real Estate</t>
  </si>
  <si>
    <t>ARE</t>
  </si>
  <si>
    <t>Health Care REIT</t>
  </si>
  <si>
    <t>Align Technology Inc.</t>
  </si>
  <si>
    <t>ALGN</t>
  </si>
  <si>
    <t>Health Care Supplies</t>
  </si>
  <si>
    <t>Allegion plc</t>
  </si>
  <si>
    <t>ALLE</t>
  </si>
  <si>
    <t>1760974,92</t>
  </si>
  <si>
    <t>1449526,13</t>
  </si>
  <si>
    <t>1192666,01</t>
  </si>
  <si>
    <t>883768,65</t>
  </si>
  <si>
    <t>670378,32</t>
  </si>
  <si>
    <t>680650,5</t>
  </si>
  <si>
    <t>677592,44</t>
  </si>
  <si>
    <t>571203,6</t>
  </si>
  <si>
    <t>337700,4</t>
  </si>
  <si>
    <t>110265,72</t>
  </si>
  <si>
    <t>Alliant Energy</t>
  </si>
  <si>
    <t>LNT</t>
  </si>
  <si>
    <t>Electric Utilities</t>
  </si>
  <si>
    <t>6246367,8</t>
  </si>
  <si>
    <t>6765163,6</t>
  </si>
  <si>
    <t>6131151,9</t>
  </si>
  <si>
    <t>5872453,2</t>
  </si>
  <si>
    <t>4816395,5</t>
  </si>
  <si>
    <t>4179830,38</t>
  </si>
  <si>
    <t>3649496,16</t>
  </si>
  <si>
    <t>3847932,6</t>
  </si>
  <si>
    <t>Alphabet Inc.</t>
  </si>
  <si>
    <t>GOOGL</t>
  </si>
  <si>
    <t>Interactive Media and Services</t>
  </si>
  <si>
    <t>353681200,5</t>
  </si>
  <si>
    <t>313998635,6</t>
  </si>
  <si>
    <t>256372981,3</t>
  </si>
  <si>
    <t>239673940,8</t>
  </si>
  <si>
    <t>221262655,5</t>
  </si>
  <si>
    <t>179504966,2</t>
  </si>
  <si>
    <t>155140295,2</t>
  </si>
  <si>
    <t>127003665,6</t>
  </si>
  <si>
    <t>131708802,8</t>
  </si>
  <si>
    <t>110794768,25</t>
  </si>
  <si>
    <t>Altria Group</t>
  </si>
  <si>
    <t>MO</t>
  </si>
  <si>
    <t>Tobacco Producers</t>
  </si>
  <si>
    <t>-2940068,4</t>
  </si>
  <si>
    <t>-2113389,2</t>
  </si>
  <si>
    <t>-3670751,1</t>
  </si>
  <si>
    <t>-1412155,8</t>
  </si>
  <si>
    <t>2423887,5</t>
  </si>
  <si>
    <t>5664722,7</t>
  </si>
  <si>
    <t>12950775,2</t>
  </si>
  <si>
    <t>12840110,4</t>
  </si>
  <si>
    <t>12135860,3</t>
  </si>
  <si>
    <t>2679382,5</t>
  </si>
  <si>
    <t>Amazon.com Inc.</t>
  </si>
  <si>
    <t>AMZN</t>
  </si>
  <si>
    <t>Broadline Retail</t>
  </si>
  <si>
    <t>350104060,5</t>
  </si>
  <si>
    <t>182636312,5</t>
  </si>
  <si>
    <t>136652435,1</t>
  </si>
  <si>
    <t>121558828,5</t>
  </si>
  <si>
    <t>38035696,6</t>
  </si>
  <si>
    <t>23076055,2</t>
  </si>
  <si>
    <t>18268680,5</t>
  </si>
  <si>
    <t>Amcor plc</t>
  </si>
  <si>
    <t>AMCR</t>
  </si>
  <si>
    <t>Packaging and Materials: Paper and Plastic</t>
  </si>
  <si>
    <t>3689334,9</t>
  </si>
  <si>
    <t>3961280,6</t>
  </si>
  <si>
    <t>4066031,4</t>
  </si>
  <si>
    <t>4164868,2</t>
  </si>
  <si>
    <t>4986926,36</t>
  </si>
  <si>
    <t>596027,34</t>
  </si>
  <si>
    <t>762292,05</t>
  </si>
  <si>
    <t>1424729,25</t>
  </si>
  <si>
    <t>Ameren Corp.</t>
  </si>
  <si>
    <t>AEE</t>
  </si>
  <si>
    <t>Multi-Utilities</t>
  </si>
  <si>
    <t>11825513,7</t>
  </si>
  <si>
    <t>10384146,6</t>
  </si>
  <si>
    <t>9953040,9</t>
  </si>
  <si>
    <t>8642639,7</t>
  </si>
  <si>
    <t>7307911,1</t>
  </si>
  <si>
    <t>6788938,2</t>
  </si>
  <si>
    <t>6101092,8</t>
  </si>
  <si>
    <t>6863188,5</t>
  </si>
  <si>
    <t>American Electric Power Co.</t>
  </si>
  <si>
    <t>AEP</t>
  </si>
  <si>
    <t>27440070,6</t>
  </si>
  <si>
    <t>26065777,4</t>
  </si>
  <si>
    <t>22876153,73</t>
  </si>
  <si>
    <t>22571329,68</t>
  </si>
  <si>
    <t>19942699,86</t>
  </si>
  <si>
    <t>16983153,75</t>
  </si>
  <si>
    <t>17803197,79</t>
  </si>
  <si>
    <t>16707093,92</t>
  </si>
  <si>
    <t>15251566,08</t>
  </si>
  <si>
    <t>16502060,73</t>
  </si>
  <si>
    <t>American Express Co.</t>
  </si>
  <si>
    <t>AXP</t>
  </si>
  <si>
    <t>Payment Processors</t>
  </si>
  <si>
    <t>28509805,8</t>
  </si>
  <si>
    <t>29231997,6</t>
  </si>
  <si>
    <t>25383167,9</t>
  </si>
  <si>
    <t>23122082,7</t>
  </si>
  <si>
    <t>19500236,1</t>
  </si>
  <si>
    <t>20558568,1</t>
  </si>
  <si>
    <t>15207760,8</t>
  </si>
  <si>
    <t>19420597,3</t>
  </si>
  <si>
    <t>19034664,75</t>
  </si>
  <si>
    <t>American International Group</t>
  </si>
  <si>
    <t>AIG</t>
  </si>
  <si>
    <t>Property and Casualty</t>
  </si>
  <si>
    <t>35057675,4</t>
  </si>
  <si>
    <t>46412014,7</t>
  </si>
  <si>
    <t>40659907,8</t>
  </si>
  <si>
    <t>60594321,6</t>
  </si>
  <si>
    <t>54935182,5</t>
  </si>
  <si>
    <t>60084199,7</t>
  </si>
  <si>
    <t>50053680,6</t>
  </si>
  <si>
    <t>54721622,4</t>
  </si>
  <si>
    <t>72807583,4</t>
  </si>
  <si>
    <t>83060857,5</t>
  </si>
  <si>
    <t>American Tower Corp.</t>
  </si>
  <si>
    <t>AMT</t>
  </si>
  <si>
    <t>Telecom Tower REIT</t>
  </si>
  <si>
    <t>8819609,01</t>
  </si>
  <si>
    <t>9319679,33</t>
  </si>
  <si>
    <t>9829927,38</t>
  </si>
  <si>
    <t>11610633,45</t>
  </si>
  <si>
    <t>7974899,28</t>
  </si>
  <si>
    <t>3908058,75</t>
  </si>
  <si>
    <t>5869586,59</t>
  </si>
  <si>
    <t>6030302,96</t>
  </si>
  <si>
    <t>6624341,04</t>
  </si>
  <si>
    <t>7642342,75</t>
  </si>
  <si>
    <t>American Water Works Co.</t>
  </si>
  <si>
    <t>AWK</t>
  </si>
  <si>
    <t>Water Utilities</t>
  </si>
  <si>
    <t>9229872,9</t>
  </si>
  <si>
    <t>9979678,8</t>
  </si>
  <si>
    <t>8863345,9</t>
  </si>
  <si>
    <t>7198340,1</t>
  </si>
  <si>
    <t>6417131,4</t>
  </si>
  <si>
    <t>5454423,1</t>
  </si>
  <si>
    <t>5121617,6</t>
  </si>
  <si>
    <t>4943011,4</t>
  </si>
  <si>
    <t>4648866,75</t>
  </si>
  <si>
    <t>Ameriprise Financial Inc.</t>
  </si>
  <si>
    <t>AMP</t>
  </si>
  <si>
    <t>Asset Management</t>
  </si>
  <si>
    <t>5577783,3</t>
  </si>
  <si>
    <t>5049725,2</t>
  </si>
  <si>
    <t>4278326,3</t>
  </si>
  <si>
    <t>3558467,1</t>
  </si>
  <si>
    <t>5223921,3</t>
  </si>
  <si>
    <t>4796272,5</t>
  </si>
  <si>
    <t>5105111,9</t>
  </si>
  <si>
    <t>4880559,2</t>
  </si>
  <si>
    <t>5960411,6</t>
  </si>
  <si>
    <t>7714964,25</t>
  </si>
  <si>
    <t>AMETEK Inc.</t>
  </si>
  <si>
    <t>AME</t>
  </si>
  <si>
    <t>Electrical Components and Equipment: Light</t>
  </si>
  <si>
    <t>Amgen Inc.</t>
  </si>
  <si>
    <t>AMGN</t>
  </si>
  <si>
    <t>7374018,6</t>
  </si>
  <si>
    <t>5676594,3</t>
  </si>
  <si>
    <t>5638090,4</t>
  </si>
  <si>
    <t>3425597,7</t>
  </si>
  <si>
    <t>7691857,5</t>
  </si>
  <si>
    <t>8619610,3</t>
  </si>
  <si>
    <t>21020704,8</t>
  </si>
  <si>
    <t>28300587,5</t>
  </si>
  <si>
    <t>25857422,25</t>
  </si>
  <si>
    <t>Amphenol Corp.</t>
  </si>
  <si>
    <t>APH</t>
  </si>
  <si>
    <t>Electronic Components</t>
  </si>
  <si>
    <t>11506211,49</t>
  </si>
  <si>
    <t>9520006,99</t>
  </si>
  <si>
    <t>7623454,55</t>
  </si>
  <si>
    <t>6637949,37</t>
  </si>
  <si>
    <t>5609142,63</t>
  </si>
  <si>
    <t>4456928,25</t>
  </si>
  <si>
    <t>4095673,82</t>
  </si>
  <si>
    <t>3549672,28</t>
  </si>
  <si>
    <t>3367343,52</t>
  </si>
  <si>
    <t>3526892,63</t>
  </si>
  <si>
    <t>3018586,8</t>
  </si>
  <si>
    <t>Analog Devices Inc.</t>
  </si>
  <si>
    <t>ADI</t>
  </si>
  <si>
    <t>Aon plc</t>
  </si>
  <si>
    <t>AON</t>
  </si>
  <si>
    <t>Insurance Broker</t>
  </si>
  <si>
    <t>8132031,6</t>
  </si>
  <si>
    <t>-671287,4</t>
  </si>
  <si>
    <t>-401415,3</t>
  </si>
  <si>
    <t>1018229,4</t>
  </si>
  <si>
    <t>2929102,5</t>
  </si>
  <si>
    <t>3073403,9</t>
  </si>
  <si>
    <t>3684874,6</t>
  </si>
  <si>
    <t>3870854,4</t>
  </si>
  <si>
    <t>5240463,6</t>
  </si>
  <si>
    <t>5578824,25</t>
  </si>
  <si>
    <t>APA Corp.</t>
  </si>
  <si>
    <t>APA</t>
  </si>
  <si>
    <t>Oil and Gas Exploration and Production</t>
  </si>
  <si>
    <t>5964455,1</t>
  </si>
  <si>
    <t>6145055,8</t>
  </si>
  <si>
    <t>3339247,7</t>
  </si>
  <si>
    <t>1258516,5</t>
  </si>
  <si>
    <t>-4396,5</t>
  </si>
  <si>
    <t>4565105,3</t>
  </si>
  <si>
    <t>7696400,8</t>
  </si>
  <si>
    <t>7321144,8</t>
  </si>
  <si>
    <t>7274316,7</t>
  </si>
  <si>
    <t>8737917,5</t>
  </si>
  <si>
    <t>Apollo Global Management Inc.</t>
  </si>
  <si>
    <t>APO</t>
  </si>
  <si>
    <t>36210025,5</t>
  </si>
  <si>
    <t>22839151,5</t>
  </si>
  <si>
    <t>14407908,6</t>
  </si>
  <si>
    <t>10519945,2</t>
  </si>
  <si>
    <t>Apple Inc.</t>
  </si>
  <si>
    <t>AAPL</t>
  </si>
  <si>
    <t>Technology Hardware, Storage and Peripherals</t>
  </si>
  <si>
    <t>63056461,6</t>
  </si>
  <si>
    <t>58715540,8</t>
  </si>
  <si>
    <t>56237277,3</t>
  </si>
  <si>
    <t>82651739,2</t>
  </si>
  <si>
    <t>92221422,9</t>
  </si>
  <si>
    <t>113417166,7</t>
  </si>
  <si>
    <t>114263446,55</t>
  </si>
  <si>
    <t>106518369,75</t>
  </si>
  <si>
    <t>Applied Materials Inc.</t>
  </si>
  <si>
    <t>AMAT</t>
  </si>
  <si>
    <t>Semiconductor Materials and Equipment</t>
  </si>
  <si>
    <t>17550775,5</t>
  </si>
  <si>
    <t>15435090,9</t>
  </si>
  <si>
    <t>12263505,8</t>
  </si>
  <si>
    <t>10591205,6</t>
  </si>
  <si>
    <t>8936294,4</t>
  </si>
  <si>
    <t>7407385,2</t>
  </si>
  <si>
    <t>6013332,5</t>
  </si>
  <si>
    <t>8071926,6</t>
  </si>
  <si>
    <t>6601389,9</t>
  </si>
  <si>
    <t>6912223,35</t>
  </si>
  <si>
    <t>Aptiv PLC</t>
  </si>
  <si>
    <t>APTV</t>
  </si>
  <si>
    <t>Automotive Parts and Equipment</t>
  </si>
  <si>
    <t>8090298,3</t>
  </si>
  <si>
    <t>8775201,5</t>
  </si>
  <si>
    <t>10715266,8</t>
  </si>
  <si>
    <t>8509255,8</t>
  </si>
  <si>
    <t>7527687,3</t>
  </si>
  <si>
    <t>3574202,1</t>
  </si>
  <si>
    <t>2928957,6</t>
  </si>
  <si>
    <t>2617389,9</t>
  </si>
  <si>
    <t>2516409,75</t>
  </si>
  <si>
    <t>Arch Capital Group Ltd.</t>
  </si>
  <si>
    <t>ACGL</t>
  </si>
  <si>
    <t>20616250,2</t>
  </si>
  <si>
    <t>16605768,5</t>
  </si>
  <si>
    <t>12090179,7</t>
  </si>
  <si>
    <t>Archer-Daniels-Midland Co.</t>
  </si>
  <si>
    <t>ADM</t>
  </si>
  <si>
    <t>Agricultural Products and Services</t>
  </si>
  <si>
    <t>19612095,9</t>
  </si>
  <si>
    <t>21666102,9</t>
  </si>
  <si>
    <t>22133485,5</t>
  </si>
  <si>
    <t>23033191,2</t>
  </si>
  <si>
    <t>20019023,1</t>
  </si>
  <si>
    <t>17183081,3</t>
  </si>
  <si>
    <t>16298296,5</t>
  </si>
  <si>
    <t>16495236,25</t>
  </si>
  <si>
    <t>Ares Management Corporation</t>
  </si>
  <si>
    <t>ARES</t>
  </si>
  <si>
    <t>2102724,45</t>
  </si>
  <si>
    <t>Arista Networks Inc.</t>
  </si>
  <si>
    <t>ANET</t>
  </si>
  <si>
    <t>Communications Equipment</t>
  </si>
  <si>
    <t>10535954,85</t>
  </si>
  <si>
    <t>9653977,32</t>
  </si>
  <si>
    <t>3498382,98</t>
  </si>
  <si>
    <t>Arthur J. Gallagher &amp; Co.</t>
  </si>
  <si>
    <t>AJG</t>
  </si>
  <si>
    <t>19884639,9</t>
  </si>
  <si>
    <t>9784601,91</t>
  </si>
  <si>
    <t>8599270,14</t>
  </si>
  <si>
    <t>7526895,93</t>
  </si>
  <si>
    <t>5095232,25</t>
  </si>
  <si>
    <t>4647532,05</t>
  </si>
  <si>
    <t>3991175,98</t>
  </si>
  <si>
    <t>3580790,16</t>
  </si>
  <si>
    <t>3463139,34</t>
  </si>
  <si>
    <t>3395910,15</t>
  </si>
  <si>
    <t>Assurant Inc.</t>
  </si>
  <si>
    <t>AIZ</t>
  </si>
  <si>
    <t>5000841,72</t>
  </si>
  <si>
    <t>4932561,53</t>
  </si>
  <si>
    <t>4351154,65</t>
  </si>
  <si>
    <t>3956794,59</t>
  </si>
  <si>
    <t>4804583,13</t>
  </si>
  <si>
    <t>5063319,31</t>
  </si>
  <si>
    <t>4483948,26</t>
  </si>
  <si>
    <t>3565633,2</t>
  </si>
  <si>
    <t>3882130,13</t>
  </si>
  <si>
    <t>AT&amp;T Inc.</t>
  </si>
  <si>
    <t>T</t>
  </si>
  <si>
    <t>Integrated Telecommunication Services</t>
  </si>
  <si>
    <t>109436636,4</t>
  </si>
  <si>
    <t>116125327,5</t>
  </si>
  <si>
    <t>108034750,5</t>
  </si>
  <si>
    <t>99611814,9</t>
  </si>
  <si>
    <t>161663701,5</t>
  </si>
  <si>
    <t>179943387,4</t>
  </si>
  <si>
    <t>169338285,6</t>
  </si>
  <si>
    <t>118263429,6</t>
  </si>
  <si>
    <t>Atmos Energy Corp.</t>
  </si>
  <si>
    <t>ATO</t>
  </si>
  <si>
    <t>Gas Utilities</t>
  </si>
  <si>
    <t>Autodesk Inc.</t>
  </si>
  <si>
    <t>ADSK</t>
  </si>
  <si>
    <t>2521664,1</t>
  </si>
  <si>
    <t>1709753,5</t>
  </si>
  <si>
    <t>1054201,5</t>
  </si>
  <si>
    <t>757987,2</t>
  </si>
  <si>
    <t>795378,9</t>
  </si>
  <si>
    <t>-125468,2</t>
  </si>
  <si>
    <t>-184115,7</t>
  </si>
  <si>
    <t>-205798,4</t>
  </si>
  <si>
    <t>679827,12</t>
  </si>
  <si>
    <t>1496753,34</t>
  </si>
  <si>
    <t>1965656,4</t>
  </si>
  <si>
    <t>Automatic Data Processing Inc.</t>
  </si>
  <si>
    <t>ADP</t>
  </si>
  <si>
    <t>Human Resource and Employment Services</t>
  </si>
  <si>
    <t>4244275,08</t>
  </si>
  <si>
    <t>3214335,6</t>
  </si>
  <si>
    <t>3085321,98</t>
  </si>
  <si>
    <t>4782162,34</t>
  </si>
  <si>
    <t>5111404,92</t>
  </si>
  <si>
    <t>4745432,12</t>
  </si>
  <si>
    <t>4059139,89</t>
  </si>
  <si>
    <t>3485840,5</t>
  </si>
  <si>
    <t>4035456,72</t>
  </si>
  <si>
    <t>AutoZone Inc.</t>
  </si>
  <si>
    <t>AZO</t>
  </si>
  <si>
    <t>Automotive Retail</t>
  </si>
  <si>
    <t>AvalonBay Communities Inc.</t>
  </si>
  <si>
    <t>AVB</t>
  </si>
  <si>
    <t>Multi-Family Residential REIT</t>
  </si>
  <si>
    <t>9289351,39</t>
  </si>
  <si>
    <t>Avery Dennison Corp.</t>
  </si>
  <si>
    <t>AVY</t>
  </si>
  <si>
    <t>1909596,57</t>
  </si>
  <si>
    <t>2217264,47</t>
  </si>
  <si>
    <t>1925111,13</t>
  </si>
  <si>
    <t>1901529,54</t>
  </si>
  <si>
    <t>1692124,92</t>
  </si>
  <si>
    <t>1215539,14</t>
  </si>
  <si>
    <t>1077459,6</t>
  </si>
  <si>
    <t>834375,36</t>
  </si>
  <si>
    <t>871275,36</t>
  </si>
  <si>
    <t>876726,15</t>
  </si>
  <si>
    <t>Axon Enterprise Inc.</t>
  </si>
  <si>
    <t>AXON</t>
  </si>
  <si>
    <t>Aerospace and Defense</t>
  </si>
  <si>
    <t>Baker Hughes Co.</t>
  </si>
  <si>
    <t>BKR</t>
  </si>
  <si>
    <t>Oil and Gas Equipment and Services</t>
  </si>
  <si>
    <t>16473424,5</t>
  </si>
  <si>
    <t>14040039,3</t>
  </si>
  <si>
    <t>13591042,5</t>
  </si>
  <si>
    <t>14724757,8</t>
  </si>
  <si>
    <t>30742058,9</t>
  </si>
  <si>
    <t>30580354,2</t>
  </si>
  <si>
    <t>14072141,5</t>
  </si>
  <si>
    <t>13392308,75</t>
  </si>
  <si>
    <t>Ball Corp.</t>
  </si>
  <si>
    <t>BALL</t>
  </si>
  <si>
    <t>Containers and Packaging: Metal, Glass, and Plastic</t>
  </si>
  <si>
    <t>4617065,7</t>
  </si>
  <si>
    <t>3471333,9</t>
  </si>
  <si>
    <t>3300213,9</t>
  </si>
  <si>
    <t>3240220,5</t>
  </si>
  <si>
    <t>2727997,5</t>
  </si>
  <si>
    <t>2690230,9</t>
  </si>
  <si>
    <t>3111050,8</t>
  </si>
  <si>
    <t>3369508,8</t>
  </si>
  <si>
    <t>3354389,3</t>
  </si>
  <si>
    <t>1161065,75</t>
  </si>
  <si>
    <t>Bank of America Corporation</t>
  </si>
  <si>
    <t>BAC</t>
  </si>
  <si>
    <t>Bank</t>
  </si>
  <si>
    <t>258272063,1</t>
  </si>
  <si>
    <t>283938861,7</t>
  </si>
  <si>
    <t>263852136,2</t>
  </si>
  <si>
    <t>255630432,9</t>
  </si>
  <si>
    <t>237469033,8</t>
  </si>
  <si>
    <t>222479188,8</t>
  </si>
  <si>
    <t>252166523,5</t>
  </si>
  <si>
    <t>Baxter International Inc.</t>
  </si>
  <si>
    <t>BAX</t>
  </si>
  <si>
    <t>5197073,4</t>
  </si>
  <si>
    <t>6784481,6</t>
  </si>
  <si>
    <t>7660999,6</t>
  </si>
  <si>
    <t>5515951,5</t>
  </si>
  <si>
    <t>8020095,3</t>
  </si>
  <si>
    <t>7050383,2</t>
  </si>
  <si>
    <t>6870164,4</t>
  </si>
  <si>
    <t>7591804,8</t>
  </si>
  <si>
    <t>8162448,75</t>
  </si>
  <si>
    <t>Becton Dickinson &amp; Co.</t>
  </si>
  <si>
    <t>BDX</t>
  </si>
  <si>
    <t>24372060,8</t>
  </si>
  <si>
    <t>25782583,6</t>
  </si>
  <si>
    <t>20428515,6</t>
  </si>
  <si>
    <t>19333385,1</t>
  </si>
  <si>
    <t>18069535,8</t>
  </si>
  <si>
    <t>10955302,8</t>
  </si>
  <si>
    <t>6790698,45</t>
  </si>
  <si>
    <t>6419302,2</t>
  </si>
  <si>
    <t>Berkshire Hathaway Inc.</t>
  </si>
  <si>
    <t>BRK.A</t>
  </si>
  <si>
    <t>Holding Companies, Patent Owners, and Trusts or Estates</t>
  </si>
  <si>
    <t>612971045,1</t>
  </si>
  <si>
    <t>629433564,5</t>
  </si>
  <si>
    <t>450708911,7</t>
  </si>
  <si>
    <t>381892489,3</t>
  </si>
  <si>
    <t>293107291,2</t>
  </si>
  <si>
    <t>270385944,4</t>
  </si>
  <si>
    <t>238130810,25</t>
  </si>
  <si>
    <t>Best Buy Co.</t>
  </si>
  <si>
    <t>BBY</t>
  </si>
  <si>
    <t>Computer and Electronics Retail</t>
  </si>
  <si>
    <t>2701576,8</t>
  </si>
  <si>
    <t>2829215,1</t>
  </si>
  <si>
    <t>3778770,6</t>
  </si>
  <si>
    <t>2879195,4</t>
  </si>
  <si>
    <t>2903325,6</t>
  </si>
  <si>
    <t>4403856,8</t>
  </si>
  <si>
    <t>4045928,7</t>
  </si>
  <si>
    <t>Bio-Techne Corp.</t>
  </si>
  <si>
    <t>TECH</t>
  </si>
  <si>
    <t>Biogen Inc.</t>
  </si>
  <si>
    <t>BIIB</t>
  </si>
  <si>
    <t>15549316,56</t>
  </si>
  <si>
    <t>16145984,4</t>
  </si>
  <si>
    <t>13389017,18</t>
  </si>
  <si>
    <t>12527525,88</t>
  </si>
  <si>
    <t>9636864,21</t>
  </si>
  <si>
    <t>8735886,75</t>
  </si>
  <si>
    <t>11886472,01</t>
  </si>
  <si>
    <t>11381799,44</t>
  </si>
  <si>
    <t>10491697,68</t>
  </si>
  <si>
    <t>11489422,78</t>
  </si>
  <si>
    <t>BlackRock Inc.</t>
  </si>
  <si>
    <t>BLK</t>
  </si>
  <si>
    <t>52415321,4</t>
  </si>
  <si>
    <t>47671994,5</t>
  </si>
  <si>
    <t>36291124,5</t>
  </si>
  <si>
    <t>34198614,9</t>
  </si>
  <si>
    <t>31125231,9</t>
  </si>
  <si>
    <t>26869459,2</t>
  </si>
  <si>
    <t>27797571,2</t>
  </si>
  <si>
    <t>Blackstone Inc.</t>
  </si>
  <si>
    <t>BX</t>
  </si>
  <si>
    <t>Block Inc.</t>
  </si>
  <si>
    <t>XYZ</t>
  </si>
  <si>
    <t>Booking Holdings</t>
  </si>
  <si>
    <t>BKNG</t>
  </si>
  <si>
    <t>Hotels, Resorts and Cruise Lines</t>
  </si>
  <si>
    <t>-4750782,6</t>
  </si>
  <si>
    <t>-2482496,8</t>
  </si>
  <si>
    <t>2603117,4</t>
  </si>
  <si>
    <t>5432315,4</t>
  </si>
  <si>
    <t>4000027,5</t>
  </si>
  <si>
    <t>5286896,3</t>
  </si>
  <si>
    <t>9378160,8</t>
  </si>
  <si>
    <t>Boston Scientific Corp.</t>
  </si>
  <si>
    <t>BSX</t>
  </si>
  <si>
    <t>20842802,4</t>
  </si>
  <si>
    <t>21252697,7</t>
  </si>
  <si>
    <t>16443056,1</t>
  </si>
  <si>
    <t>14615724,6</t>
  </si>
  <si>
    <t>12365794,7</t>
  </si>
  <si>
    <t>7621288,4</t>
  </si>
  <si>
    <t>5839593,6</t>
  </si>
  <si>
    <t>6378170,9</t>
  </si>
  <si>
    <t>Bristol-Myers Squibb Co.</t>
  </si>
  <si>
    <t>BMY</t>
  </si>
  <si>
    <t>Pharmaceuticals</t>
  </si>
  <si>
    <t>15761560,2</t>
  </si>
  <si>
    <t>15829169,2</t>
  </si>
  <si>
    <t>26675079,5</t>
  </si>
  <si>
    <t>29117112,6</t>
  </si>
  <si>
    <t>31660075,8</t>
  </si>
  <si>
    <t>46068087,8</t>
  </si>
  <si>
    <t>12338521,8</t>
  </si>
  <si>
    <t>9866181,6</t>
  </si>
  <si>
    <t>15485513,1</t>
  </si>
  <si>
    <t>Broadcom Inc.</t>
  </si>
  <si>
    <t>AVGO</t>
  </si>
  <si>
    <t>62385580,4</t>
  </si>
  <si>
    <t>22647070,8</t>
  </si>
  <si>
    <t>22838441,3</t>
  </si>
  <si>
    <t>21610487,2</t>
  </si>
  <si>
    <t>20509448,1</t>
  </si>
  <si>
    <t>23415508,8</t>
  </si>
  <si>
    <t>20018792,4</t>
  </si>
  <si>
    <t>20009977,2</t>
  </si>
  <si>
    <t>4274890,9</t>
  </si>
  <si>
    <t>Broadridge Finl Solutions Inc.</t>
  </si>
  <si>
    <t>BR</t>
  </si>
  <si>
    <t>Investment and Capital Markets Technology</t>
  </si>
  <si>
    <t>2260817,65</t>
  </si>
  <si>
    <t>2023581,06</t>
  </si>
  <si>
    <t>2052389,6</t>
  </si>
  <si>
    <t>1835811,06</t>
  </si>
  <si>
    <t>1525794,94</t>
  </si>
  <si>
    <t>1196588,76</t>
  </si>
  <si>
    <t>937924,53</t>
  </si>
  <si>
    <t>879830,7</t>
  </si>
  <si>
    <t>832932,45</t>
  </si>
  <si>
    <t>Brown &amp; Brown Inc.</t>
  </si>
  <si>
    <t>BRO</t>
  </si>
  <si>
    <t>10708424,1</t>
  </si>
  <si>
    <t>6217498,3</t>
  </si>
  <si>
    <t>5047321,3</t>
  </si>
  <si>
    <t>4310395,62</t>
  </si>
  <si>
    <t>3690334,17</t>
  </si>
  <si>
    <t>Brown-Forman Corp.</t>
  </si>
  <si>
    <t>BF.B</t>
  </si>
  <si>
    <t>Distillers and Vintners</t>
  </si>
  <si>
    <t>3519430,2</t>
  </si>
  <si>
    <t>3289098,4</t>
  </si>
  <si>
    <t>2961134,8</t>
  </si>
  <si>
    <t>2597139,3</t>
  </si>
  <si>
    <t>2207932,8</t>
  </si>
  <si>
    <t>1805347,5</t>
  </si>
  <si>
    <t>1469947,5</t>
  </si>
  <si>
    <t>1089911,2</t>
  </si>
  <si>
    <t>1363860,3</t>
  </si>
  <si>
    <t>1701641,25</t>
  </si>
  <si>
    <t>Builders FirstSource Inc.</t>
  </si>
  <si>
    <t>BLDR</t>
  </si>
  <si>
    <t>Bunge Global SA</t>
  </si>
  <si>
    <t>BG</t>
  </si>
  <si>
    <t>14838317,4</t>
  </si>
  <si>
    <t>10575639,1</t>
  </si>
  <si>
    <t>10689030,5</t>
  </si>
  <si>
    <t>7215535,8</t>
  </si>
  <si>
    <t>5727099,7</t>
  </si>
  <si>
    <t>5940866,8</t>
  </si>
  <si>
    <t>6126909,6</t>
  </si>
  <si>
    <t>6956023,9</t>
  </si>
  <si>
    <t>6158896,75</t>
  </si>
  <si>
    <t>BXP Inc.</t>
  </si>
  <si>
    <t>BXP</t>
  </si>
  <si>
    <t>Office REIT</t>
  </si>
  <si>
    <t>6817632,81</t>
  </si>
  <si>
    <t>C.H. Robinson Worldwide Inc.</t>
  </si>
  <si>
    <t>CHRW</t>
  </si>
  <si>
    <t>Air Freight and Logistics</t>
  </si>
  <si>
    <t>Cadence Design Systems Inc.</t>
  </si>
  <si>
    <t>CDNS</t>
  </si>
  <si>
    <t>Camden Property Trust</t>
  </si>
  <si>
    <t>CPT</t>
  </si>
  <si>
    <t>Capital One Financial Corp.</t>
  </si>
  <si>
    <t>COF</t>
  </si>
  <si>
    <t>Specialty Finance: Consumer Focused</t>
  </si>
  <si>
    <t>96766747,2</t>
  </si>
  <si>
    <t>58711265,6</t>
  </si>
  <si>
    <t>52553118,3</t>
  </si>
  <si>
    <t>49200977,4</t>
  </si>
  <si>
    <t>53662799,7</t>
  </si>
  <si>
    <t>51693602,1</t>
  </si>
  <si>
    <t>45126831,2</t>
  </si>
  <si>
    <t>45010012,2</t>
  </si>
  <si>
    <t>Cardinal Health Inc.</t>
  </si>
  <si>
    <t>CAH</t>
  </si>
  <si>
    <t>Health Care Distributors</t>
  </si>
  <si>
    <t>-2997759,6</t>
  </si>
  <si>
    <t>-675359,6</t>
  </si>
  <si>
    <t>1513059,6</t>
  </si>
  <si>
    <t>1592371,2</t>
  </si>
  <si>
    <t>5203454,1</t>
  </si>
  <si>
    <t>6022209,6</t>
  </si>
  <si>
    <t>Carnival Corp. &amp; plc</t>
  </si>
  <si>
    <t>CCL</t>
  </si>
  <si>
    <t>10593721,6</t>
  </si>
  <si>
    <t>8768097,8</t>
  </si>
  <si>
    <t>6310105,8</t>
  </si>
  <si>
    <t>6850930,5</t>
  </si>
  <si>
    <t>10774156,8</t>
  </si>
  <si>
    <t>17198368,5</t>
  </si>
  <si>
    <t>21588057,6</t>
  </si>
  <si>
    <t>20334175,2</t>
  </si>
  <si>
    <t>22500440,05</t>
  </si>
  <si>
    <t>Carvana Co.</t>
  </si>
  <si>
    <t>CVNA</t>
  </si>
  <si>
    <t>3579695,1</t>
  </si>
  <si>
    <t>1328112,5</t>
  </si>
  <si>
    <t>-347404,8</t>
  </si>
  <si>
    <t>-985292,1</t>
  </si>
  <si>
    <t>461632,5</t>
  </si>
  <si>
    <t>Caterpillar Inc.</t>
  </si>
  <si>
    <t>CAT</t>
  </si>
  <si>
    <t>Machinery and Equipment: Construction and Heavy Transportation</t>
  </si>
  <si>
    <t>18156540,6</t>
  </si>
  <si>
    <t>18829254,6</t>
  </si>
  <si>
    <t>17644364,1</t>
  </si>
  <si>
    <t>14869208,7</t>
  </si>
  <si>
    <t>14522518,8</t>
  </si>
  <si>
    <t>13035901,9</t>
  </si>
  <si>
    <t>11464324,8</t>
  </si>
  <si>
    <t>12516674,9</t>
  </si>
  <si>
    <t>13705363,75</t>
  </si>
  <si>
    <t>Cboe Global Markets Inc.</t>
  </si>
  <si>
    <t>CBOE</t>
  </si>
  <si>
    <t>Financial Exchanges</t>
  </si>
  <si>
    <t>4376290,11</t>
  </si>
  <si>
    <t>4133665,64</t>
  </si>
  <si>
    <t>3605229,5</t>
  </si>
  <si>
    <t>3242481,21</t>
  </si>
  <si>
    <t>3169700,64</t>
  </si>
  <si>
    <t>2737725,75</t>
  </si>
  <si>
    <t>2990175,16</t>
  </si>
  <si>
    <t>2838899,36</t>
  </si>
  <si>
    <t>313082,65</t>
  </si>
  <si>
    <t>CBRE Group Inc.</t>
  </si>
  <si>
    <t>CBRE</t>
  </si>
  <si>
    <t>Real Estate Services</t>
  </si>
  <si>
    <t>8198464,2</t>
  </si>
  <si>
    <t>8878552,8</t>
  </si>
  <si>
    <t>8202914,9</t>
  </si>
  <si>
    <t>8052634,2</t>
  </si>
  <si>
    <t>6135877,05</t>
  </si>
  <si>
    <t>CDW Corp.</t>
  </si>
  <si>
    <t>CDW</t>
  </si>
  <si>
    <t>Technology Distributors</t>
  </si>
  <si>
    <t>2219615,37</t>
  </si>
  <si>
    <t>2272472,93</t>
  </si>
  <si>
    <t>1847849,75</t>
  </si>
  <si>
    <t>1500207,81</t>
  </si>
  <si>
    <t>620522,01</t>
  </si>
  <si>
    <t>1060379,25</t>
  </si>
  <si>
    <t>855723,33</t>
  </si>
  <si>
    <t>851739,68</t>
  </si>
  <si>
    <t>820807,68</t>
  </si>
  <si>
    <t>990402,15</t>
  </si>
  <si>
    <t>Cencora Inc.</t>
  </si>
  <si>
    <t>COR</t>
  </si>
  <si>
    <t>Centene Corp.</t>
  </si>
  <si>
    <t>CNC</t>
  </si>
  <si>
    <t>Managed Care</t>
  </si>
  <si>
    <t>17081695,2</t>
  </si>
  <si>
    <t>23482393,2</t>
  </si>
  <si>
    <t>22678560,9</t>
  </si>
  <si>
    <t>23760444,6</t>
  </si>
  <si>
    <t>11309841,2</t>
  </si>
  <si>
    <t>9627488,2</t>
  </si>
  <si>
    <t>5726332,8</t>
  </si>
  <si>
    <t>5734954,2</t>
  </si>
  <si>
    <t>CenterPoint Energy Inc.</t>
  </si>
  <si>
    <t>CNP</t>
  </si>
  <si>
    <t>9499010,1</t>
  </si>
  <si>
    <t>10302289,4</t>
  </si>
  <si>
    <t>8745734,9</t>
  </si>
  <si>
    <t>9396299,4</t>
  </si>
  <si>
    <t>8278609,5</t>
  </si>
  <si>
    <t>7448704,9</t>
  </si>
  <si>
    <t>7037857,2</t>
  </si>
  <si>
    <t>3904166,4</t>
  </si>
  <si>
    <t>3186715,75</t>
  </si>
  <si>
    <t>CF Industries Holdings Inc.</t>
  </si>
  <si>
    <t>CF</t>
  </si>
  <si>
    <t>Fertilizers and Agricultural Chemicals</t>
  </si>
  <si>
    <t>6621967,5</t>
  </si>
  <si>
    <t>7333112,8</t>
  </si>
  <si>
    <t>7575053,1</t>
  </si>
  <si>
    <t>7348052,1</t>
  </si>
  <si>
    <t>5307454,8</t>
  </si>
  <si>
    <t>4580452,5</t>
  </si>
  <si>
    <t>5023130,7</t>
  </si>
  <si>
    <t>5005455,4</t>
  </si>
  <si>
    <t>5566435,2</t>
  </si>
  <si>
    <t>6149871,6</t>
  </si>
  <si>
    <t>4039330,25</t>
  </si>
  <si>
    <t>Charles River Laboratories Int</t>
  </si>
  <si>
    <t>CRL</t>
  </si>
  <si>
    <t>2729514,9</t>
  </si>
  <si>
    <t>Charter Communications Inc.</t>
  </si>
  <si>
    <t>CHTR</t>
  </si>
  <si>
    <t>Cable and Satellite</t>
  </si>
  <si>
    <t>17476032,3</t>
  </si>
  <si>
    <t>19034991,3</t>
  </si>
  <si>
    <t>13315374,6</t>
  </si>
  <si>
    <t>11742099,3</t>
  </si>
  <si>
    <t>15964570,8</t>
  </si>
  <si>
    <t>24754717,5</t>
  </si>
  <si>
    <t>34584482,1</t>
  </si>
  <si>
    <t>38667164,8</t>
  </si>
  <si>
    <t>39583816,8</t>
  </si>
  <si>
    <t>47711711,8</t>
  </si>
  <si>
    <t>-42354,5</t>
  </si>
  <si>
    <t>Chevron Corp.</t>
  </si>
  <si>
    <t>CVX</t>
  </si>
  <si>
    <t>Integrated Oil and Gas</t>
  </si>
  <si>
    <t>163676299,2</t>
  </si>
  <si>
    <t>147934346,3</t>
  </si>
  <si>
    <t>146497166,3</t>
  </si>
  <si>
    <t>149938439,4</t>
  </si>
  <si>
    <t>129394848,8</t>
  </si>
  <si>
    <t>135937722,8</t>
  </si>
  <si>
    <t>124352863,2</t>
  </si>
  <si>
    <t>138989750,6</t>
  </si>
  <si>
    <t>141690534,5</t>
  </si>
  <si>
    <t>Chipotle Mexican Grill Inc.</t>
  </si>
  <si>
    <t>CMG</t>
  </si>
  <si>
    <t>Restaurants</t>
  </si>
  <si>
    <t>Chubb Ltd.</t>
  </si>
  <si>
    <t>CB</t>
  </si>
  <si>
    <t>67947774,3</t>
  </si>
  <si>
    <t>66061764,6</t>
  </si>
  <si>
    <t>57621247,7</t>
  </si>
  <si>
    <t>47270628,3</t>
  </si>
  <si>
    <t>52506520,2</t>
  </si>
  <si>
    <t>48593017,5</t>
  </si>
  <si>
    <t>49305454,1</t>
  </si>
  <si>
    <t>43942500,8</t>
  </si>
  <si>
    <t>42616041,6</t>
  </si>
  <si>
    <t>45730907,5</t>
  </si>
  <si>
    <t>26826051,25</t>
  </si>
  <si>
    <t>Church &amp; Dwight Co.</t>
  </si>
  <si>
    <t>CHD</t>
  </si>
  <si>
    <t>Household Products Producers</t>
  </si>
  <si>
    <t>3408673,74</t>
  </si>
  <si>
    <t>4212096,72</t>
  </si>
  <si>
    <t>3487980,38</t>
  </si>
  <si>
    <t>3265499,43</t>
  </si>
  <si>
    <t>2842952,76</t>
  </si>
  <si>
    <t>2377276,58</t>
  </si>
  <si>
    <t>2143148,92</t>
  </si>
  <si>
    <t>1847150,4</t>
  </si>
  <si>
    <t>1873664,67</t>
  </si>
  <si>
    <t>1862861,4</t>
  </si>
  <si>
    <t>Ciena Corp.</t>
  </si>
  <si>
    <t>CIEN</t>
  </si>
  <si>
    <t>Cincinnati Financial Corp.</t>
  </si>
  <si>
    <t>CINF</t>
  </si>
  <si>
    <t>13551398,7</t>
  </si>
  <si>
    <t>13459816,5</t>
  </si>
  <si>
    <t>10945060,6</t>
  </si>
  <si>
    <t>9882863,4</t>
  </si>
  <si>
    <t>11523226,5</t>
  </si>
  <si>
    <t>8820007,5</t>
  </si>
  <si>
    <t>8789810,4</t>
  </si>
  <si>
    <t>6841342,2</t>
  </si>
  <si>
    <t>6864770,4</t>
  </si>
  <si>
    <t>5917660,25</t>
  </si>
  <si>
    <t>Cintas Corp.</t>
  </si>
  <si>
    <t>CTAS</t>
  </si>
  <si>
    <t>Diversified Support Services</t>
  </si>
  <si>
    <t>2049485,77</t>
  </si>
  <si>
    <t>Cisco Systems Inc.</t>
  </si>
  <si>
    <t>CSCO</t>
  </si>
  <si>
    <t>41870442,7</t>
  </si>
  <si>
    <t>40223735,7</t>
  </si>
  <si>
    <t>38993449,2</t>
  </si>
  <si>
    <t>30190400,3</t>
  </si>
  <si>
    <t>37077672,8</t>
  </si>
  <si>
    <t>56262745,9</t>
  </si>
  <si>
    <t>56905395,75</t>
  </si>
  <si>
    <t>54402033,05</t>
  </si>
  <si>
    <t>Citigroup Inc.</t>
  </si>
  <si>
    <t>C</t>
  </si>
  <si>
    <t>182112197,4</t>
  </si>
  <si>
    <t>202226619,4</t>
  </si>
  <si>
    <t>186595279,7</t>
  </si>
  <si>
    <t>188859816,6</t>
  </si>
  <si>
    <t>178209489,6</t>
  </si>
  <si>
    <t>172825280,6</t>
  </si>
  <si>
    <t>172124431,6</t>
  </si>
  <si>
    <t>167952441,6</t>
  </si>
  <si>
    <t>214225263,9</t>
  </si>
  <si>
    <t>Citizens Financial Group Inc.</t>
  </si>
  <si>
    <t>CFG</t>
  </si>
  <si>
    <t>22414188,9</t>
  </si>
  <si>
    <t>23426938,6</t>
  </si>
  <si>
    <t>22022207,4</t>
  </si>
  <si>
    <t>18535177,5</t>
  </si>
  <si>
    <t>19783311,1</t>
  </si>
  <si>
    <t>18181567,8</t>
  </si>
  <si>
    <t>18706333,1</t>
  </si>
  <si>
    <t>18089054,5</t>
  </si>
  <si>
    <t>CME Group Inc.</t>
  </si>
  <si>
    <t>CME</t>
  </si>
  <si>
    <t>24467807,94</t>
  </si>
  <si>
    <t>25583696,71</t>
  </si>
  <si>
    <t>24189778,13</t>
  </si>
  <si>
    <t>25150399,59</t>
  </si>
  <si>
    <t>24092204,49</t>
  </si>
  <si>
    <t>21542351,25</t>
  </si>
  <si>
    <t>23310552,23</t>
  </si>
  <si>
    <t>22678093,02</t>
  </si>
  <si>
    <t>18664547,04</t>
  </si>
  <si>
    <t>19268745,11</t>
  </si>
  <si>
    <t>18923069,85</t>
  </si>
  <si>
    <t>CMS Energy Corp.</t>
  </si>
  <si>
    <t>CMS</t>
  </si>
  <si>
    <t>8270858,7</t>
  </si>
  <si>
    <t>8449693,2</t>
  </si>
  <si>
    <t>7350687,5</t>
  </si>
  <si>
    <t>7106641,5</t>
  </si>
  <si>
    <t>6320408,4</t>
  </si>
  <si>
    <t>4967947,5</t>
  </si>
  <si>
    <t>4504510,5</t>
  </si>
  <si>
    <t>4185332,8</t>
  </si>
  <si>
    <t>3729278,4</t>
  </si>
  <si>
    <t>3659981,25</t>
  </si>
  <si>
    <t>Cognizant Technology Solutions</t>
  </si>
  <si>
    <t>CTSH</t>
  </si>
  <si>
    <t>12788275,5</t>
  </si>
  <si>
    <t>13916687,2</t>
  </si>
  <si>
    <t>11966466,9</t>
  </si>
  <si>
    <t>11517531,3</t>
  </si>
  <si>
    <t>10543686,3</t>
  </si>
  <si>
    <t>9821704,2</t>
  </si>
  <si>
    <t>9977721,6</t>
  </si>
  <si>
    <t>8885143,2</t>
  </si>
  <si>
    <t>10162634,4</t>
  </si>
  <si>
    <t>8542718,5</t>
  </si>
  <si>
    <t>Coherent Corp.</t>
  </si>
  <si>
    <t>COHR</t>
  </si>
  <si>
    <t>Colgate-Palmolive Co.</t>
  </si>
  <si>
    <t>CL</t>
  </si>
  <si>
    <t>310870,5</t>
  </si>
  <si>
    <t>525449,6</t>
  </si>
  <si>
    <t>865797,9</t>
  </si>
  <si>
    <t>754174,2</t>
  </si>
  <si>
    <t>853800,3</t>
  </si>
  <si>
    <t>900067,5</t>
  </si>
  <si>
    <t>497233,8</t>
  </si>
  <si>
    <t>172059,8</t>
  </si>
  <si>
    <t>202370,4</t>
  </si>
  <si>
    <t>16104,1</t>
  </si>
  <si>
    <t>Comcast Corp.</t>
  </si>
  <si>
    <t>CMCSA</t>
  </si>
  <si>
    <t>82935139,2</t>
  </si>
  <si>
    <t>83332056,6</t>
  </si>
  <si>
    <t>75512594,9</t>
  </si>
  <si>
    <t>76762956,6</t>
  </si>
  <si>
    <t>86179313,7</t>
  </si>
  <si>
    <t>75962710,6</t>
  </si>
  <si>
    <t>64472641,2</t>
  </si>
  <si>
    <t>58975564,8</t>
  </si>
  <si>
    <t>50824479,25</t>
  </si>
  <si>
    <t>Comfort Systems USA Inc.</t>
  </si>
  <si>
    <t>FIX</t>
  </si>
  <si>
    <t>Construction and Engineering</t>
  </si>
  <si>
    <t>Conagra Brands Inc.</t>
  </si>
  <si>
    <t>CAG</t>
  </si>
  <si>
    <t>Packaged Foods and Meats Producers</t>
  </si>
  <si>
    <t>7881321,21</t>
  </si>
  <si>
    <t>7841460,69</t>
  </si>
  <si>
    <t>8228660,39</t>
  </si>
  <si>
    <t>8271977,48</t>
  </si>
  <si>
    <t>7082063,7</t>
  </si>
  <si>
    <t>7151654,65</t>
  </si>
  <si>
    <t>6659113,14</t>
  </si>
  <si>
    <t>3222787,14</t>
  </si>
  <si>
    <t>3647592,1</t>
  </si>
  <si>
    <t>3408679,1</t>
  </si>
  <si>
    <t>4200401,5</t>
  </si>
  <si>
    <t>ConocoPhillips</t>
  </si>
  <si>
    <t>COP</t>
  </si>
  <si>
    <t>54923577,9</t>
  </si>
  <si>
    <t>62586456,4</t>
  </si>
  <si>
    <t>44582711,3</t>
  </si>
  <si>
    <t>44916407,1</t>
  </si>
  <si>
    <t>39925495,8</t>
  </si>
  <si>
    <t>24401557,5</t>
  </si>
  <si>
    <t>28004697,6</t>
  </si>
  <si>
    <t>25651072,8</t>
  </si>
  <si>
    <t>33369589,8</t>
  </si>
  <si>
    <t>36905501,5</t>
  </si>
  <si>
    <t>Consolidated Edison Inc.</t>
  </si>
  <si>
    <t>ED</t>
  </si>
  <si>
    <t>21213095,8</t>
  </si>
  <si>
    <t>19141642,6</t>
  </si>
  <si>
    <t>19545837,3</t>
  </si>
  <si>
    <t>17881444,8</t>
  </si>
  <si>
    <t>15585637,5</t>
  </si>
  <si>
    <t>16229604,3</t>
  </si>
  <si>
    <t>14707182,6</t>
  </si>
  <si>
    <t>13552073,8</t>
  </si>
  <si>
    <t>12025915,75</t>
  </si>
  <si>
    <t>Constellation Brands Inc.</t>
  </si>
  <si>
    <t>STZ</t>
  </si>
  <si>
    <t>6857256,28</t>
  </si>
  <si>
    <t>9310761,46</t>
  </si>
  <si>
    <t>8227333,8</t>
  </si>
  <si>
    <t>10728565,9</t>
  </si>
  <si>
    <t>11512401,15</t>
  </si>
  <si>
    <t>11342880,99</t>
  </si>
  <si>
    <t>11272345,32</t>
  </si>
  <si>
    <t>6545202,3</t>
  </si>
  <si>
    <t>6485481,6</t>
  </si>
  <si>
    <t>6160136,49</t>
  </si>
  <si>
    <t>Constellation Energy Corp.</t>
  </si>
  <si>
    <t>CEG</t>
  </si>
  <si>
    <t>12650300,1</t>
  </si>
  <si>
    <t>13077320,1</t>
  </si>
  <si>
    <t>10210444,2</t>
  </si>
  <si>
    <t>10640780,4</t>
  </si>
  <si>
    <t>10212190,2</t>
  </si>
  <si>
    <t>13544687,2</t>
  </si>
  <si>
    <t>13290655,2</t>
  </si>
  <si>
    <t>12557408,8</t>
  </si>
  <si>
    <t>11942127,5</t>
  </si>
  <si>
    <t>Copart Inc.</t>
  </si>
  <si>
    <t>CPRT</t>
  </si>
  <si>
    <t>6974864,82</t>
  </si>
  <si>
    <t>932162,1</t>
  </si>
  <si>
    <t>Corning Inc.</t>
  </si>
  <si>
    <t>GLW</t>
  </si>
  <si>
    <t>10481871,9</t>
  </si>
  <si>
    <t>10736979,6</t>
  </si>
  <si>
    <t>11485717,5</t>
  </si>
  <si>
    <t>11030818,5</t>
  </si>
  <si>
    <t>11581626,7</t>
  </si>
  <si>
    <t>12128032,4</t>
  </si>
  <si>
    <t>17368107,25</t>
  </si>
  <si>
    <t>Corpay Inc.</t>
  </si>
  <si>
    <t>CPAY</t>
  </si>
  <si>
    <t>CoStar Group Inc.</t>
  </si>
  <si>
    <t>CSGP</t>
  </si>
  <si>
    <t>7129580,7</t>
  </si>
  <si>
    <t>7295442,7</t>
  </si>
  <si>
    <t>6639231,42</t>
  </si>
  <si>
    <t>Costco Wholesale Corp.</t>
  </si>
  <si>
    <t>COST</t>
  </si>
  <si>
    <t>Consumer Staples Merchandise Retail</t>
  </si>
  <si>
    <t>24932303,6</t>
  </si>
  <si>
    <t>21356650,2</t>
  </si>
  <si>
    <t>23213731,2</t>
  </si>
  <si>
    <t>20657323,5</t>
  </si>
  <si>
    <t>15331951,8</t>
  </si>
  <si>
    <t>15725293,5</t>
  </si>
  <si>
    <t>14168972,8</t>
  </si>
  <si>
    <t>11288234,5</t>
  </si>
  <si>
    <t>9334057,5</t>
  </si>
  <si>
    <t>10955132,2</t>
  </si>
  <si>
    <t>9655149,35</t>
  </si>
  <si>
    <t>Coterra Energy Inc.</t>
  </si>
  <si>
    <t>CTRA</t>
  </si>
  <si>
    <t>12644338,2</t>
  </si>
  <si>
    <t>11803620,9</t>
  </si>
  <si>
    <t>10365188,4</t>
  </si>
  <si>
    <t>CRH plc</t>
  </si>
  <si>
    <t>CRH</t>
  </si>
  <si>
    <t>Construction Materials</t>
  </si>
  <si>
    <t>21699612,6</t>
  </si>
  <si>
    <t>19560518,7</t>
  </si>
  <si>
    <t>18389680,2</t>
  </si>
  <si>
    <t>17496748,5</t>
  </si>
  <si>
    <t>16552676,8</t>
  </si>
  <si>
    <t>Crown Castle Inc.</t>
  </si>
  <si>
    <t>CCI</t>
  </si>
  <si>
    <t>-1392529,5</t>
  </si>
  <si>
    <t>-128464,7</t>
  </si>
  <si>
    <t>5772890,7</t>
  </si>
  <si>
    <t>6970029,3</t>
  </si>
  <si>
    <t>7261259,4</t>
  </si>
  <si>
    <t>7734367,5</t>
  </si>
  <si>
    <t>9346747,9</t>
  </si>
  <si>
    <t>10106111,4</t>
  </si>
  <si>
    <t>10275919,2</t>
  </si>
  <si>
    <t>CSX Corp.</t>
  </si>
  <si>
    <t>CSX</t>
  </si>
  <si>
    <t>Rail Transportation</t>
  </si>
  <si>
    <t>12080511,3</t>
  </si>
  <si>
    <t>10842829,5</t>
  </si>
  <si>
    <t>11813212,5</t>
  </si>
  <si>
    <t>10571119,3</t>
  </si>
  <si>
    <t>12259648,8</t>
  </si>
  <si>
    <t>11077726,2</t>
  </si>
  <si>
    <t>Cummins Inc.</t>
  </si>
  <si>
    <t>CMI</t>
  </si>
  <si>
    <t>11419593,6</t>
  </si>
  <si>
    <t>10922397,2</t>
  </si>
  <si>
    <t>8960148,8</t>
  </si>
  <si>
    <t>9567532,5</t>
  </si>
  <si>
    <t>8266299,3</t>
  </si>
  <si>
    <t>7348507,5</t>
  </si>
  <si>
    <t>7543161,5</t>
  </si>
  <si>
    <t>7213410,6</t>
  </si>
  <si>
    <t>6798979,2</t>
  </si>
  <si>
    <t>6795930,2</t>
  </si>
  <si>
    <t>7135812,5</t>
  </si>
  <si>
    <t>CVS Health Corp.</t>
  </si>
  <si>
    <t>CVS</t>
  </si>
  <si>
    <t>Health Care Services</t>
  </si>
  <si>
    <t>64202849,4</t>
  </si>
  <si>
    <t>69332589,2</t>
  </si>
  <si>
    <t>67154253,3</t>
  </si>
  <si>
    <t>66282513,3</t>
  </si>
  <si>
    <t>56980567,5</t>
  </si>
  <si>
    <t>51131456,2</t>
  </si>
  <si>
    <t>34892848,2</t>
  </si>
  <si>
    <t>34290571,5</t>
  </si>
  <si>
    <t>D.R. Horton, Inc.</t>
  </si>
  <si>
    <t>DHI</t>
  </si>
  <si>
    <t>Homebuilding Producers</t>
  </si>
  <si>
    <t>21087777,06</t>
  </si>
  <si>
    <t>23154157,04</t>
  </si>
  <si>
    <t>21860687,92</t>
  </si>
  <si>
    <t>20177354,88</t>
  </si>
  <si>
    <t>13128537,36</t>
  </si>
  <si>
    <t>10322669,4</t>
  </si>
  <si>
    <t>9441636,21</t>
  </si>
  <si>
    <t>7883065,23</t>
  </si>
  <si>
    <t>6555244,36</t>
  </si>
  <si>
    <t>6043392,45</t>
  </si>
  <si>
    <t>5282573,17</t>
  </si>
  <si>
    <t>Danaher Corp.</t>
  </si>
  <si>
    <t>DHR</t>
  </si>
  <si>
    <t>44749169,7</t>
  </si>
  <si>
    <t>39724136,1</t>
  </si>
  <si>
    <t>32517697,5</t>
  </si>
  <si>
    <t>26984290,2</t>
  </si>
  <si>
    <t>24653199,78</t>
  </si>
  <si>
    <t>21959103,84</t>
  </si>
  <si>
    <t>21860652,64</t>
  </si>
  <si>
    <t>Darden Restaurants Inc.</t>
  </si>
  <si>
    <t>DRI</t>
  </si>
  <si>
    <t>2039259,99</t>
  </si>
  <si>
    <t>2066015,25</t>
  </si>
  <si>
    <t>2056861,45</t>
  </si>
  <si>
    <t>2051799,88</t>
  </si>
  <si>
    <t>2308148,55</t>
  </si>
  <si>
    <t>2096914,4</t>
  </si>
  <si>
    <t>2134677,72</t>
  </si>
  <si>
    <t>1882918,92</t>
  </si>
  <si>
    <t>1879970,65</t>
  </si>
  <si>
    <t>DaVita Inc.</t>
  </si>
  <si>
    <t>DVA</t>
  </si>
  <si>
    <t>2081745,36</t>
  </si>
  <si>
    <t>2368117,65</t>
  </si>
  <si>
    <t>Deckers Outdoor Corp.</t>
  </si>
  <si>
    <t>DECK</t>
  </si>
  <si>
    <t>Footwear Producers</t>
  </si>
  <si>
    <t>1230479,7</t>
  </si>
  <si>
    <t>1037509,2</t>
  </si>
  <si>
    <t>931210,83</t>
  </si>
  <si>
    <t>Deere &amp; Co.</t>
  </si>
  <si>
    <t>DE</t>
  </si>
  <si>
    <t>Machinery: Agricultural and Farm</t>
  </si>
  <si>
    <t>20662572,6</t>
  </si>
  <si>
    <t>20473034,9</t>
  </si>
  <si>
    <t>15941723,2</t>
  </si>
  <si>
    <t>11107246,4</t>
  </si>
  <si>
    <t>10237603,6</t>
  </si>
  <si>
    <t>9931442,5</t>
  </si>
  <si>
    <t>8266623,3</t>
  </si>
  <si>
    <t>5986528,56</t>
  </si>
  <si>
    <t>6128129,56</t>
  </si>
  <si>
    <t>Dell Technologies Inc.</t>
  </si>
  <si>
    <t>DELL</t>
  </si>
  <si>
    <t>-1334432,7</t>
  </si>
  <si>
    <t>-1975724,4</t>
  </si>
  <si>
    <t>-2787537,5</t>
  </si>
  <si>
    <t>6222161,4</t>
  </si>
  <si>
    <t>-820387,8</t>
  </si>
  <si>
    <t>17634649,3</t>
  </si>
  <si>
    <t>1354803,9</t>
  </si>
  <si>
    <t>Delta Air Lines Inc.</t>
  </si>
  <si>
    <t>DAL</t>
  </si>
  <si>
    <t>Passenger Airlines</t>
  </si>
  <si>
    <t>17760500,1</t>
  </si>
  <si>
    <t>14771508,7</t>
  </si>
  <si>
    <t>10046693,5</t>
  </si>
  <si>
    <t>6158777,4</t>
  </si>
  <si>
    <t>3417839,1</t>
  </si>
  <si>
    <t>13685513,8</t>
  </si>
  <si>
    <t>11954225,8</t>
  </si>
  <si>
    <t>11639475,1</t>
  </si>
  <si>
    <t>9990137,5</t>
  </si>
  <si>
    <t>Devon Energy Corp.</t>
  </si>
  <si>
    <t>DVN</t>
  </si>
  <si>
    <t>13225197,6</t>
  </si>
  <si>
    <t>14202593,6</t>
  </si>
  <si>
    <t>11052719,9</t>
  </si>
  <si>
    <t>10569667,2</t>
  </si>
  <si>
    <t>8264540,7</t>
  </si>
  <si>
    <t>2468032,5</t>
  </si>
  <si>
    <t>8023052,4</t>
  </si>
  <si>
    <t>11745811,2</t>
  </si>
  <si>
    <t>12051550,6</t>
  </si>
  <si>
    <t>10118121,75</t>
  </si>
  <si>
    <t>DexCom Inc.</t>
  </si>
  <si>
    <t>DXCM</t>
  </si>
  <si>
    <t>2338768,2</t>
  </si>
  <si>
    <t>2030901,34</t>
  </si>
  <si>
    <t>1871462,42</t>
  </si>
  <si>
    <t>1994725,26</t>
  </si>
  <si>
    <t>1795618,53</t>
  </si>
  <si>
    <t>1493163,75</t>
  </si>
  <si>
    <t>786484,86</t>
  </si>
  <si>
    <t>579326,22</t>
  </si>
  <si>
    <t>349276,32</t>
  </si>
  <si>
    <t>268843,74</t>
  </si>
  <si>
    <t>203669,9</t>
  </si>
  <si>
    <t>Diamondback Energy Inc.</t>
  </si>
  <si>
    <t>FANG</t>
  </si>
  <si>
    <t>36594993,9</t>
  </si>
  <si>
    <t>38502705,8</t>
  </si>
  <si>
    <t>11646328,5</t>
  </si>
  <si>
    <t>13282736,6</t>
  </si>
  <si>
    <t>12373457,8</t>
  </si>
  <si>
    <t>Digital Realty Trust Inc.</t>
  </si>
  <si>
    <t>DLR</t>
  </si>
  <si>
    <t>Data Center REIT</t>
  </si>
  <si>
    <t>Dollar General Corp.</t>
  </si>
  <si>
    <t>DG</t>
  </si>
  <si>
    <t>Dollar Tree Inc.</t>
  </si>
  <si>
    <t>DLTR</t>
  </si>
  <si>
    <t>3826656,54</t>
  </si>
  <si>
    <t>6777049,77</t>
  </si>
  <si>
    <t>8061881,8</t>
  </si>
  <si>
    <t>6915004,15</t>
  </si>
  <si>
    <t>6001630,14</t>
  </si>
  <si>
    <t>5641829,6</t>
  </si>
  <si>
    <t>4914401,61</t>
  </si>
  <si>
    <t>5773132,74</t>
  </si>
  <si>
    <t>5040260,4</t>
  </si>
  <si>
    <t>1581063,75</t>
  </si>
  <si>
    <t>Dominion Energy</t>
  </si>
  <si>
    <t>D</t>
  </si>
  <si>
    <t>28461258,9</t>
  </si>
  <si>
    <t>28785751,8</t>
  </si>
  <si>
    <t>24939864,9</t>
  </si>
  <si>
    <t>25880526,3</t>
  </si>
  <si>
    <t>25427597,4</t>
  </si>
  <si>
    <t>21631867,5</t>
  </si>
  <si>
    <t>30326806,3</t>
  </si>
  <si>
    <t>19256723,2</t>
  </si>
  <si>
    <t>12524041,5</t>
  </si>
  <si>
    <t>Domino's Pizza Inc.</t>
  </si>
  <si>
    <t>DPZ</t>
  </si>
  <si>
    <t>-3315970,7</t>
  </si>
  <si>
    <t>Dover Corp.</t>
  </si>
  <si>
    <t>DOV</t>
  </si>
  <si>
    <t>Machinery and Supplies and Components: Industrial</t>
  </si>
  <si>
    <t>DTE Energy Co.</t>
  </si>
  <si>
    <t>DTE</t>
  </si>
  <si>
    <t>10482723,6</t>
  </si>
  <si>
    <t>11304893,6</t>
  </si>
  <si>
    <t>10001458,5</t>
  </si>
  <si>
    <t>9732215,7</t>
  </si>
  <si>
    <t>7661340,9</t>
  </si>
  <si>
    <t>10291507,5</t>
  </si>
  <si>
    <t>10547059,6</t>
  </si>
  <si>
    <t>9360227,8</t>
  </si>
  <si>
    <t>8998402,7</t>
  </si>
  <si>
    <t>8097996,25</t>
  </si>
  <si>
    <t>Duke Energy Corp</t>
  </si>
  <si>
    <t>DUK</t>
  </si>
  <si>
    <t>45156282,3</t>
  </si>
  <si>
    <t>49508170,4</t>
  </si>
  <si>
    <t>45404178,9</t>
  </si>
  <si>
    <t>48518852,1</t>
  </si>
  <si>
    <t>44963884,8</t>
  </si>
  <si>
    <t>42729136,1</t>
  </si>
  <si>
    <t>38284615,6</t>
  </si>
  <si>
    <t>34758573,6</t>
  </si>
  <si>
    <t>38878139,3</t>
  </si>
  <si>
    <t>36619148,25</t>
  </si>
  <si>
    <t>DuPont de Nemours Inc.</t>
  </si>
  <si>
    <t>DD</t>
  </si>
  <si>
    <t>12011525,1</t>
  </si>
  <si>
    <t>22981658,7</t>
  </si>
  <si>
    <t>22368707,5</t>
  </si>
  <si>
    <t>25279806,9</t>
  </si>
  <si>
    <t>37030551,6</t>
  </si>
  <si>
    <t>84884805,6</t>
  </si>
  <si>
    <t>25794031,7</t>
  </si>
  <si>
    <t>24107997,25</t>
  </si>
  <si>
    <t>Eaton Corp. plc</t>
  </si>
  <si>
    <t>ETN</t>
  </si>
  <si>
    <t>16581747,3</t>
  </si>
  <si>
    <t>17899092,9</t>
  </si>
  <si>
    <t>17251724,3</t>
  </si>
  <si>
    <t>15978013,2</t>
  </si>
  <si>
    <t>14465364,3</t>
  </si>
  <si>
    <t>12240427,5</t>
  </si>
  <si>
    <t>14376116,3</t>
  </si>
  <si>
    <t>14098422,8</t>
  </si>
  <si>
    <t>14207605,4</t>
  </si>
  <si>
    <t>14023943,25</t>
  </si>
  <si>
    <t>eBay Inc.</t>
  </si>
  <si>
    <t>EBAY</t>
  </si>
  <si>
    <t>3930595,5</t>
  </si>
  <si>
    <t>4982112,2</t>
  </si>
  <si>
    <t>5786461,2</t>
  </si>
  <si>
    <t>4821662,1</t>
  </si>
  <si>
    <t>8597795,4</t>
  </si>
  <si>
    <t>2911117,5</t>
  </si>
  <si>
    <t>5485825,4</t>
  </si>
  <si>
    <t>6703207,2</t>
  </si>
  <si>
    <t>9983594,7</t>
  </si>
  <si>
    <t>EchoStar Corp.</t>
  </si>
  <si>
    <t>SATS</t>
  </si>
  <si>
    <t>Ecolab Inc.</t>
  </si>
  <si>
    <t>ECL</t>
  </si>
  <si>
    <t>8350492,65</t>
  </si>
  <si>
    <t>8489488,28</t>
  </si>
  <si>
    <t>7302919,34</t>
  </si>
  <si>
    <t>6791872,02</t>
  </si>
  <si>
    <t>6377650,83</t>
  </si>
  <si>
    <t>5069726,25</t>
  </si>
  <si>
    <t>7775560,38</t>
  </si>
  <si>
    <t>7034014,24</t>
  </si>
  <si>
    <t>6374084,64</t>
  </si>
  <si>
    <t>6603533,57</t>
  </si>
  <si>
    <t>6427203,3</t>
  </si>
  <si>
    <t>Edison International</t>
  </si>
  <si>
    <t>EIX</t>
  </si>
  <si>
    <t>16402890,3</t>
  </si>
  <si>
    <t>16233936,8</t>
  </si>
  <si>
    <t>16395335,4</t>
  </si>
  <si>
    <t>15641867,7</t>
  </si>
  <si>
    <t>13038307,5</t>
  </si>
  <si>
    <t>13808485,6</t>
  </si>
  <si>
    <t>11050256,8</t>
  </si>
  <si>
    <t>13444081,6</t>
  </si>
  <si>
    <t>12332525,5</t>
  </si>
  <si>
    <t>Edwards Lifesciences Corp.</t>
  </si>
  <si>
    <t>EW</t>
  </si>
  <si>
    <t>8804533,92</t>
  </si>
  <si>
    <t>9719755,11</t>
  </si>
  <si>
    <t>6079041,18</t>
  </si>
  <si>
    <t>5433329,19</t>
  </si>
  <si>
    <t>5131506,87</t>
  </si>
  <si>
    <t>3739490,25</t>
  </si>
  <si>
    <t>3696550,13</t>
  </si>
  <si>
    <t>2742825,36</t>
  </si>
  <si>
    <t>2461923,36</t>
  </si>
  <si>
    <t>2480978,7</t>
  </si>
  <si>
    <t>Electronic Arts Inc.</t>
  </si>
  <si>
    <t>EA</t>
  </si>
  <si>
    <t>Interactive Home Entertainment</t>
  </si>
  <si>
    <t>5908327,2</t>
  </si>
  <si>
    <t>6963799,7</t>
  </si>
  <si>
    <t>6712477,2</t>
  </si>
  <si>
    <t>3729761,5</t>
  </si>
  <si>
    <t>2981857,8</t>
  </si>
  <si>
    <t>2826060,6</t>
  </si>
  <si>
    <t>Elevance Health Inc.</t>
  </si>
  <si>
    <t>ELV</t>
  </si>
  <si>
    <t>37496944,2</t>
  </si>
  <si>
    <t>40013373,4</t>
  </si>
  <si>
    <t>35649703,5</t>
  </si>
  <si>
    <t>31767350,4</t>
  </si>
  <si>
    <t>27140182,5</t>
  </si>
  <si>
    <t>28272820,8</t>
  </si>
  <si>
    <t>24927709,4</t>
  </si>
  <si>
    <t>22071698,4</t>
  </si>
  <si>
    <t>23777608,92</t>
  </si>
  <si>
    <t>Eli Lilly &amp; Co.</t>
  </si>
  <si>
    <t>LLY</t>
  </si>
  <si>
    <t>22599859,5</t>
  </si>
  <si>
    <t>13785324,8</t>
  </si>
  <si>
    <t>9828389,39</t>
  </si>
  <si>
    <t>10082541,78</t>
  </si>
  <si>
    <t>8049815,64</t>
  </si>
  <si>
    <t>2405168,01</t>
  </si>
  <si>
    <t>9528007,94</t>
  </si>
  <si>
    <t>9717027,12</t>
  </si>
  <si>
    <t>13338457,65</t>
  </si>
  <si>
    <t>EMCOR Group</t>
  </si>
  <si>
    <t>EME</t>
  </si>
  <si>
    <t>1678526,97</t>
  </si>
  <si>
    <t>Emerson Electric Co.</t>
  </si>
  <si>
    <t>EMR</t>
  </si>
  <si>
    <t>17299985,4</t>
  </si>
  <si>
    <t>24664569,4</t>
  </si>
  <si>
    <t>25129790,4</t>
  </si>
  <si>
    <t>16639056,8</t>
  </si>
  <si>
    <t>8561564,4</t>
  </si>
  <si>
    <t>7193465,2</t>
  </si>
  <si>
    <t>7587168,3</t>
  </si>
  <si>
    <t>6777353,7</t>
  </si>
  <si>
    <t>7283094,4</t>
  </si>
  <si>
    <t>Entergy Corp.</t>
  </si>
  <si>
    <t>ETR</t>
  </si>
  <si>
    <t>9140101,26</t>
  </si>
  <si>
    <t>EOG Resources Inc.</t>
  </si>
  <si>
    <t>EOG</t>
  </si>
  <si>
    <t>25408766,1</t>
  </si>
  <si>
    <t>28350130,9</t>
  </si>
  <si>
    <t>23185710,3</t>
  </si>
  <si>
    <t>EPAM Systems Inc.</t>
  </si>
  <si>
    <t>EPAM</t>
  </si>
  <si>
    <t>EQT Corp.</t>
  </si>
  <si>
    <t>EQT</t>
  </si>
  <si>
    <t>Equifax Inc.</t>
  </si>
  <si>
    <t>EFX</t>
  </si>
  <si>
    <t>Research and Consulting Services</t>
  </si>
  <si>
    <t>4035524,94</t>
  </si>
  <si>
    <t>4751841,64</t>
  </si>
  <si>
    <t>4240781,25</t>
  </si>
  <si>
    <t>3717816,81</t>
  </si>
  <si>
    <t>3166535,16</t>
  </si>
  <si>
    <t>2624420,25</t>
  </si>
  <si>
    <t>2337266,19</t>
  </si>
  <si>
    <t>2756188,38</t>
  </si>
  <si>
    <t>2697439,2</t>
  </si>
  <si>
    <t>2577887,49</t>
  </si>
  <si>
    <t>2164130,8</t>
  </si>
  <si>
    <t>Equinix Inc.</t>
  </si>
  <si>
    <t>EQIX</t>
  </si>
  <si>
    <t>12075402,6</t>
  </si>
  <si>
    <t>13089876,8</t>
  </si>
  <si>
    <t>11321415,8</t>
  </si>
  <si>
    <t>Equity Residential</t>
  </si>
  <si>
    <t>EQR</t>
  </si>
  <si>
    <t>Erie Indemnity Co.</t>
  </si>
  <si>
    <t>ERIE</t>
  </si>
  <si>
    <t>971229,24</t>
  </si>
  <si>
    <t>Essex Property Trust Inc.</t>
  </si>
  <si>
    <t>ESS</t>
  </si>
  <si>
    <t>Everest Group</t>
  </si>
  <si>
    <t>EG</t>
  </si>
  <si>
    <t>Reinsurance</t>
  </si>
  <si>
    <t>13168133,7</t>
  </si>
  <si>
    <t>13401862,5</t>
  </si>
  <si>
    <t>11943849,4</t>
  </si>
  <si>
    <t>7898243,7</t>
  </si>
  <si>
    <t>8915222,7</t>
  </si>
  <si>
    <t>7951148,88</t>
  </si>
  <si>
    <t>Evergy, Inc.</t>
  </si>
  <si>
    <t>EVRG</t>
  </si>
  <si>
    <t>8745085,26</t>
  </si>
  <si>
    <t>9648568,28</t>
  </si>
  <si>
    <t>8762019,5</t>
  </si>
  <si>
    <t>8882880,81</t>
  </si>
  <si>
    <t>8126226,81</t>
  </si>
  <si>
    <t>7127373,75</t>
  </si>
  <si>
    <t>7614716,83</t>
  </si>
  <si>
    <t>8725877,38</t>
  </si>
  <si>
    <t>3214941,12</t>
  </si>
  <si>
    <t>Eversource Energy</t>
  </si>
  <si>
    <t>ES</t>
  </si>
  <si>
    <t>11624143,68</t>
  </si>
  <si>
    <t>Exelon Corp.</t>
  </si>
  <si>
    <t>EXC</t>
  </si>
  <si>
    <t>24527256,6</t>
  </si>
  <si>
    <t>26002993,9</t>
  </si>
  <si>
    <t>23300548,5</t>
  </si>
  <si>
    <t>23152960,8</t>
  </si>
  <si>
    <t>30595243,5</t>
  </si>
  <si>
    <t>30808000,3</t>
  </si>
  <si>
    <t>28863249,8</t>
  </si>
  <si>
    <t>26805333,6</t>
  </si>
  <si>
    <t>26156847,6</t>
  </si>
  <si>
    <t>25156731,5</t>
  </si>
  <si>
    <t>Expand Energy Corp.</t>
  </si>
  <si>
    <t>EXE</t>
  </si>
  <si>
    <t>15822882,6</t>
  </si>
  <si>
    <t>16966033,5</t>
  </si>
  <si>
    <t>9706526,3</t>
  </si>
  <si>
    <t>8537326,8</t>
  </si>
  <si>
    <t>4986510,3</t>
  </si>
  <si>
    <t>-4366267,5</t>
  </si>
  <si>
    <t>3921731,1</t>
  </si>
  <si>
    <t>1862962,2</t>
  </si>
  <si>
    <t>-309801,6</t>
  </si>
  <si>
    <t>-1139601,9</t>
  </si>
  <si>
    <t>2207037,75</t>
  </si>
  <si>
    <t>Expedia Group, Inc.</t>
  </si>
  <si>
    <t>EXPE</t>
  </si>
  <si>
    <t>2169279,9</t>
  </si>
  <si>
    <t>2703554,1</t>
  </si>
  <si>
    <t>2520494,2</t>
  </si>
  <si>
    <t>3488289,6</t>
  </si>
  <si>
    <t>3123273,6</t>
  </si>
  <si>
    <t>3301882,5</t>
  </si>
  <si>
    <t>4933129,6</t>
  </si>
  <si>
    <t>4961785,4</t>
  </si>
  <si>
    <t>5122552,8</t>
  </si>
  <si>
    <t>Expeditors Intl WA Inc</t>
  </si>
  <si>
    <t>EXPD</t>
  </si>
  <si>
    <t>Extra Space Storage Inc.</t>
  </si>
  <si>
    <t>EXR</t>
  </si>
  <si>
    <t>Self-Storage REIT</t>
  </si>
  <si>
    <t>2400281,37</t>
  </si>
  <si>
    <t>Exxon Mobil Corp.</t>
  </si>
  <si>
    <t>XOM</t>
  </si>
  <si>
    <t>227085364,2</t>
  </si>
  <si>
    <t>261378335,4</t>
  </si>
  <si>
    <t>192283128,6</t>
  </si>
  <si>
    <t>189453986,1</t>
  </si>
  <si>
    <t>154478061,9</t>
  </si>
  <si>
    <t>177273651,8</t>
  </si>
  <si>
    <t>173394355,2</t>
  </si>
  <si>
    <t>162797807,5</t>
  </si>
  <si>
    <t>F5 Inc.</t>
  </si>
  <si>
    <t>FFIV</t>
  </si>
  <si>
    <t>FactSet Research Systems Inc.</t>
  </si>
  <si>
    <t>FDS</t>
  </si>
  <si>
    <t>Financial Media and Data Solutions</t>
  </si>
  <si>
    <t>1493575,46</t>
  </si>
  <si>
    <t>453062,85</t>
  </si>
  <si>
    <t>Fair Isaac Corp.</t>
  </si>
  <si>
    <t>FICO</t>
  </si>
  <si>
    <t>Fastenal Co.</t>
  </si>
  <si>
    <t>FAST</t>
  </si>
  <si>
    <t>Trading Companies and Distributors</t>
  </si>
  <si>
    <t>3358764,12</t>
  </si>
  <si>
    <t>3492984,17</t>
  </si>
  <si>
    <t>3029659,36</t>
  </si>
  <si>
    <t>2959806,24</t>
  </si>
  <si>
    <t>2675006,46</t>
  </si>
  <si>
    <t>2375316,16</t>
  </si>
  <si>
    <t>2011178,18</t>
  </si>
  <si>
    <t>1746298,32</t>
  </si>
  <si>
    <t>1831225,63</t>
  </si>
  <si>
    <t>Federal Realty Investment</t>
  </si>
  <si>
    <t>FRT</t>
  </si>
  <si>
    <t>Retail REIT</t>
  </si>
  <si>
    <t>FedEx Corp.</t>
  </si>
  <si>
    <t>FDX</t>
  </si>
  <si>
    <t>24741616,2</t>
  </si>
  <si>
    <t>25433362,2</t>
  </si>
  <si>
    <t>24478370,4</t>
  </si>
  <si>
    <t>23245641,9</t>
  </si>
  <si>
    <t>19767007,2</t>
  </si>
  <si>
    <t>16456352,5</t>
  </si>
  <si>
    <t>15929804,7</t>
  </si>
  <si>
    <t>16653103,2</t>
  </si>
  <si>
    <t>12385613,2</t>
  </si>
  <si>
    <t>13660871,95</t>
  </si>
  <si>
    <t>Fidelity National Information</t>
  </si>
  <si>
    <t>FIS</t>
  </si>
  <si>
    <t>11840333,4</t>
  </si>
  <si>
    <t>17239963,2</t>
  </si>
  <si>
    <t>25643794,2</t>
  </si>
  <si>
    <t>41794887,6</t>
  </si>
  <si>
    <t>40455622,5</t>
  </si>
  <si>
    <t>44070241,6</t>
  </si>
  <si>
    <t>8927894,8</t>
  </si>
  <si>
    <t>9326168,5</t>
  </si>
  <si>
    <t>8661495,25</t>
  </si>
  <si>
    <t>Fifth Third Bancorp</t>
  </si>
  <si>
    <t>FITB</t>
  </si>
  <si>
    <t>18502330,8</t>
  </si>
  <si>
    <t>18975105,5</t>
  </si>
  <si>
    <t>17344908,4</t>
  </si>
  <si>
    <t>16212873,9</t>
  </si>
  <si>
    <t>18893242,5</t>
  </si>
  <si>
    <t>18893993,3</t>
  </si>
  <si>
    <t>15376573,6</t>
  </si>
  <si>
    <t>14612302,5</t>
  </si>
  <si>
    <t>First Solar Inc.</t>
  </si>
  <si>
    <t>FSLR</t>
  </si>
  <si>
    <t>4513358,64</t>
  </si>
  <si>
    <t>FirstEnergy Corp.</t>
  </si>
  <si>
    <t>FE</t>
  </si>
  <si>
    <t>11860774,2</t>
  </si>
  <si>
    <t>9875705,2</t>
  </si>
  <si>
    <t>9958655,1</t>
  </si>
  <si>
    <t>7627927,5</t>
  </si>
  <si>
    <t>5916247,5</t>
  </si>
  <si>
    <t>6215422,5</t>
  </si>
  <si>
    <t>5951347,6</t>
  </si>
  <si>
    <t>5912099,3</t>
  </si>
  <si>
    <t>11437556,5</t>
  </si>
  <si>
    <t>Fiserv Inc.</t>
  </si>
  <si>
    <t>FISV</t>
  </si>
  <si>
    <t>Banking Technology</t>
  </si>
  <si>
    <t>21981525,3</t>
  </si>
  <si>
    <t>26741907,4</t>
  </si>
  <si>
    <t>27746244,3</t>
  </si>
  <si>
    <t>29650461,6</t>
  </si>
  <si>
    <t>27246457,5</t>
  </si>
  <si>
    <t>31061072,7</t>
  </si>
  <si>
    <t>2002706,2</t>
  </si>
  <si>
    <t>2274376,8</t>
  </si>
  <si>
    <t>2407089,3</t>
  </si>
  <si>
    <t>Ford Motor Co.</t>
  </si>
  <si>
    <t>F</t>
  </si>
  <si>
    <t>Automobile Manufacturers</t>
  </si>
  <si>
    <t>43328342,2</t>
  </si>
  <si>
    <t>38719350,6</t>
  </si>
  <si>
    <t>40391361,9</t>
  </si>
  <si>
    <t>42753324,6</t>
  </si>
  <si>
    <t>25187992,5</t>
  </si>
  <si>
    <t>31500044,4</t>
  </si>
  <si>
    <t>29734291,2</t>
  </si>
  <si>
    <t>27739785,9</t>
  </si>
  <si>
    <t>26472483,25</t>
  </si>
  <si>
    <t>Fortinet Inc.</t>
  </si>
  <si>
    <t>FTNT</t>
  </si>
  <si>
    <t>Systems Software</t>
  </si>
  <si>
    <t>1053978,75</t>
  </si>
  <si>
    <t>1442861,42</t>
  </si>
  <si>
    <t>-419237,98</t>
  </si>
  <si>
    <t>-263493,12</t>
  </si>
  <si>
    <t>702033,12</t>
  </si>
  <si>
    <t>1196212,64</t>
  </si>
  <si>
    <t>882308,68</t>
  </si>
  <si>
    <t>490852,32</t>
  </si>
  <si>
    <t>Fortive Corp.</t>
  </si>
  <si>
    <t>FTV</t>
  </si>
  <si>
    <t>5502918,87</t>
  </si>
  <si>
    <t>9847930,04</t>
  </si>
  <si>
    <t>9341298,91</t>
  </si>
  <si>
    <t>9065623,02</t>
  </si>
  <si>
    <t>8368298,1</t>
  </si>
  <si>
    <t>7335182,25</t>
  </si>
  <si>
    <t>6594318,22</t>
  </si>
  <si>
    <t>5775706,86</t>
  </si>
  <si>
    <t>3171468,96</t>
  </si>
  <si>
    <t>2549184,3</t>
  </si>
  <si>
    <t>Franklin Resources Inc.</t>
  </si>
  <si>
    <t>BEN</t>
  </si>
  <si>
    <t>12093114,24</t>
  </si>
  <si>
    <t>13058799,68</t>
  </si>
  <si>
    <t>12824620,72</t>
  </si>
  <si>
    <t>14098429,06</t>
  </si>
  <si>
    <t>10995178,08</t>
  </si>
  <si>
    <t>9717607,6</t>
  </si>
  <si>
    <t>10428252,39</t>
  </si>
  <si>
    <t>9684166,05</t>
  </si>
  <si>
    <t>12588021,97</t>
  </si>
  <si>
    <t>11250266,17</t>
  </si>
  <si>
    <t>Freeport-McMoRan Inc.</t>
  </si>
  <si>
    <t>FCX</t>
  </si>
  <si>
    <t>Copper</t>
  </si>
  <si>
    <t>26203402,2</t>
  </si>
  <si>
    <t>27796670,2</t>
  </si>
  <si>
    <t>23271794,7</t>
  </si>
  <si>
    <t>20240606,7</t>
  </si>
  <si>
    <t>15547912,8</t>
  </si>
  <si>
    <t>15626872,8</t>
  </si>
  <si>
    <t>9407308,8</t>
  </si>
  <si>
    <t>8769156,1</t>
  </si>
  <si>
    <t>Garmin Ltd.</t>
  </si>
  <si>
    <t>GRMN</t>
  </si>
  <si>
    <t>Consumer Electronics Producers</t>
  </si>
  <si>
    <t>7626679,4</t>
  </si>
  <si>
    <t>Gartner Inc.</t>
  </si>
  <si>
    <t>IT</t>
  </si>
  <si>
    <t>891424,89</t>
  </si>
  <si>
    <t>-121907,3</t>
  </si>
  <si>
    <t>Gen Digital Inc.</t>
  </si>
  <si>
    <t>GEN</t>
  </si>
  <si>
    <t>2094740,8</t>
  </si>
  <si>
    <t>4077169,1</t>
  </si>
  <si>
    <t>3261042,4</t>
  </si>
  <si>
    <t>3235063,8</t>
  </si>
  <si>
    <t>5401146,75</t>
  </si>
  <si>
    <t>Generac Holdings Inc.</t>
  </si>
  <si>
    <t>GNRC</t>
  </si>
  <si>
    <t>General Dynamics Corp.</t>
  </si>
  <si>
    <t>GD</t>
  </si>
  <si>
    <t>21822257,4</t>
  </si>
  <si>
    <t>21310651,7</t>
  </si>
  <si>
    <t>19269205,3</t>
  </si>
  <si>
    <t>17374077,6</t>
  </si>
  <si>
    <t>15511731,3</t>
  </si>
  <si>
    <t>12802867,5</t>
  </si>
  <si>
    <t>12455795,8</t>
  </si>
  <si>
    <t>10246728,8</t>
  </si>
  <si>
    <t>9758137,3</t>
  </si>
  <si>
    <t>9887013,5</t>
  </si>
  <si>
    <t>General Electric Co.</t>
  </si>
  <si>
    <t>GE</t>
  </si>
  <si>
    <t>16095426,6</t>
  </si>
  <si>
    <t>18897833,5</t>
  </si>
  <si>
    <t>25878943,5</t>
  </si>
  <si>
    <t>32667158,4</t>
  </si>
  <si>
    <t>36589431,6</t>
  </si>
  <si>
    <t>26609137,1</t>
  </si>
  <si>
    <t>44963505,4</t>
  </si>
  <si>
    <t>64033159,2</t>
  </si>
  <si>
    <t>76272806,8</t>
  </si>
  <si>
    <t>94938532,5</t>
  </si>
  <si>
    <t>General Mills Inc.</t>
  </si>
  <si>
    <t>GIS</t>
  </si>
  <si>
    <t>8127041,76</t>
  </si>
  <si>
    <t>8889163,05</t>
  </si>
  <si>
    <t>10069519,2</t>
  </si>
  <si>
    <t>8515231,05</t>
  </si>
  <si>
    <t>8000242,95</t>
  </si>
  <si>
    <t>7065688,68</t>
  </si>
  <si>
    <t>6235731,94</t>
  </si>
  <si>
    <t>5005979,8</t>
  </si>
  <si>
    <t>5623253,34</t>
  </si>
  <si>
    <t>General Motors Co.</t>
  </si>
  <si>
    <t>GM</t>
  </si>
  <si>
    <t>53800185,6</t>
  </si>
  <si>
    <t>61797342,9</t>
  </si>
  <si>
    <t>67636138,8</t>
  </si>
  <si>
    <t>57871129,5</t>
  </si>
  <si>
    <t>40610947,5</t>
  </si>
  <si>
    <t>40952282,7</t>
  </si>
  <si>
    <t>37361431,8</t>
  </si>
  <si>
    <t>41752247,5</t>
  </si>
  <si>
    <t>37127402,25</t>
  </si>
  <si>
    <t>Genuine Parts Co.</t>
  </si>
  <si>
    <t>GPC</t>
  </si>
  <si>
    <t>Other Distributors</t>
  </si>
  <si>
    <t>3293060,05</t>
  </si>
  <si>
    <t>Gilead Sciences Inc.</t>
  </si>
  <si>
    <t>GILD</t>
  </si>
  <si>
    <t>19263750,6</t>
  </si>
  <si>
    <t>18589711,4</t>
  </si>
  <si>
    <t>20581020,3</t>
  </si>
  <si>
    <t>19845261,3</t>
  </si>
  <si>
    <t>18521575,2</t>
  </si>
  <si>
    <t>14895667,5</t>
  </si>
  <si>
    <t>18807795,6</t>
  </si>
  <si>
    <t>17073232,8</t>
  </si>
  <si>
    <t>18342569,9</t>
  </si>
  <si>
    <t>17600136,25</t>
  </si>
  <si>
    <t>Global Payments Inc.</t>
  </si>
  <si>
    <t>GPN</t>
  </si>
  <si>
    <t>22470658,47</t>
  </si>
  <si>
    <t>Globe Life Inc.</t>
  </si>
  <si>
    <t>GL</t>
  </si>
  <si>
    <t>7170367,71</t>
  </si>
  <si>
    <t>GoDaddy Inc.</t>
  </si>
  <si>
    <t>GDDY</t>
  </si>
  <si>
    <t>183200,67</t>
  </si>
  <si>
    <t>668499,39</t>
  </si>
  <si>
    <t>56272,34</t>
  </si>
  <si>
    <t>-308126,01</t>
  </si>
  <si>
    <t>73157,76</t>
  </si>
  <si>
    <t>-9646,5</t>
  </si>
  <si>
    <t>696929,31</t>
  </si>
  <si>
    <t>720118,3</t>
  </si>
  <si>
    <t>455125,2</t>
  </si>
  <si>
    <t>676561,66</t>
  </si>
  <si>
    <t>627030,75</t>
  </si>
  <si>
    <t>Halliburton Co.</t>
  </si>
  <si>
    <t>HAL</t>
  </si>
  <si>
    <t>8947108,5</t>
  </si>
  <si>
    <t>10188313,2</t>
  </si>
  <si>
    <t>8534035,1</t>
  </si>
  <si>
    <t>7464078,9</t>
  </si>
  <si>
    <t>5915930,4</t>
  </si>
  <si>
    <t>4073602,5</t>
  </si>
  <si>
    <t>7151077,5</t>
  </si>
  <si>
    <t>8335729,6</t>
  </si>
  <si>
    <t>6953047,2</t>
  </si>
  <si>
    <t>8950090,4</t>
  </si>
  <si>
    <t>14267021,25</t>
  </si>
  <si>
    <t>Hasbro Inc.</t>
  </si>
  <si>
    <t>HAS</t>
  </si>
  <si>
    <t>Leisure Products Producers</t>
  </si>
  <si>
    <t>1136296,5</t>
  </si>
  <si>
    <t>983408,9</t>
  </si>
  <si>
    <t>2694478,85</t>
  </si>
  <si>
    <t>2729216,7</t>
  </si>
  <si>
    <t>2429878,66</t>
  </si>
  <si>
    <t>1804366,08</t>
  </si>
  <si>
    <t>HCA Healthcare Inc.</t>
  </si>
  <si>
    <t>HCA</t>
  </si>
  <si>
    <t>Health Care Facilities</t>
  </si>
  <si>
    <t>-2360060,7</t>
  </si>
  <si>
    <t>536074,5</t>
  </si>
  <si>
    <t>-68306,1</t>
  </si>
  <si>
    <t>1309277,7</t>
  </si>
  <si>
    <t>-503471,5</t>
  </si>
  <si>
    <t>-2548581,2</t>
  </si>
  <si>
    <t>-5336140,9</t>
  </si>
  <si>
    <t>-5566854,5</t>
  </si>
  <si>
    <t>Healthpeak Properties</t>
  </si>
  <si>
    <t>DOC</t>
  </si>
  <si>
    <t>Henry Schein Inc.</t>
  </si>
  <si>
    <t>HSIC</t>
  </si>
  <si>
    <t>4638199,3</t>
  </si>
  <si>
    <t>4661919,1</t>
  </si>
  <si>
    <t>4370654,7</t>
  </si>
  <si>
    <t>4134051,6</t>
  </si>
  <si>
    <t>Hewlett Packard Entpr Co.</t>
  </si>
  <si>
    <t>HPE</t>
  </si>
  <si>
    <t>20133971,7</t>
  </si>
  <si>
    <t>17310701,6</t>
  </si>
  <si>
    <t>13811977,6</t>
  </si>
  <si>
    <t>15384367,9</t>
  </si>
  <si>
    <t>28757023,2</t>
  </si>
  <si>
    <t>30758538,3</t>
  </si>
  <si>
    <t>Hilton Worldwide Holdings Inc</t>
  </si>
  <si>
    <t>HLT</t>
  </si>
  <si>
    <t>-4553188,2</t>
  </si>
  <si>
    <t>-3563205,1</t>
  </si>
  <si>
    <t>-2123330,9</t>
  </si>
  <si>
    <t>-1027398,6</t>
  </si>
  <si>
    <t>-720146,7</t>
  </si>
  <si>
    <t>-420599,2</t>
  </si>
  <si>
    <t>487357,2</t>
  </si>
  <si>
    <t>1408264,8</t>
  </si>
  <si>
    <t>5540757,7</t>
  </si>
  <si>
    <t>5479383,25</t>
  </si>
  <si>
    <t>Honeywell International Inc.</t>
  </si>
  <si>
    <t>HON</t>
  </si>
  <si>
    <t>18507609,9</t>
  </si>
  <si>
    <t>14874172,7</t>
  </si>
  <si>
    <t>16211938,2</t>
  </si>
  <si>
    <t>16925645,7</t>
  </si>
  <si>
    <t>14549047,5</t>
  </si>
  <si>
    <t>16675154,3</t>
  </si>
  <si>
    <t>Hormel Foods Corp.</t>
  </si>
  <si>
    <t>HRL</t>
  </si>
  <si>
    <t>7395705,24</t>
  </si>
  <si>
    <t>Host Hotels &amp; Resorts</t>
  </si>
  <si>
    <t>HST</t>
  </si>
  <si>
    <t>Hotel and Resort REIT</t>
  </si>
  <si>
    <t>5733644,4</t>
  </si>
  <si>
    <t>6545904,3</t>
  </si>
  <si>
    <t>6175482,2</t>
  </si>
  <si>
    <t>6436680,3</t>
  </si>
  <si>
    <t>5778759,6</t>
  </si>
  <si>
    <t>6653843,7</t>
  </si>
  <si>
    <t>6719939,6</t>
  </si>
  <si>
    <t>5970343,2</t>
  </si>
  <si>
    <t>6818665,4</t>
  </si>
  <si>
    <t>6672675,25</t>
  </si>
  <si>
    <t>Howmet Aerospace Inc.</t>
  </si>
  <si>
    <t>HWM</t>
  </si>
  <si>
    <t>4559150,1</t>
  </si>
  <si>
    <t>4398708,6</t>
  </si>
  <si>
    <t>3652273,9</t>
  </si>
  <si>
    <t>3369455,7</t>
  </si>
  <si>
    <t>3084584,4</t>
  </si>
  <si>
    <t>2924197,5</t>
  </si>
  <si>
    <t>4103515,5</t>
  </si>
  <si>
    <t>4100707,2</t>
  </si>
  <si>
    <t>4870069,3</t>
  </si>
  <si>
    <t>13011118,25</t>
  </si>
  <si>
    <t>HP Inc.</t>
  </si>
  <si>
    <t>HPQ</t>
  </si>
  <si>
    <t>-1011808,5</t>
  </si>
  <si>
    <t>-3059182,5</t>
  </si>
  <si>
    <t>-1911846,8</t>
  </si>
  <si>
    <t>-1070240,3</t>
  </si>
  <si>
    <t>-564556,5</t>
  </si>
  <si>
    <t>-3548323,6</t>
  </si>
  <si>
    <t>25528734,35</t>
  </si>
  <si>
    <t>Hubbell Inc.</t>
  </si>
  <si>
    <t>HUBB</t>
  </si>
  <si>
    <t>3285773,43</t>
  </si>
  <si>
    <t>3294298,54</t>
  </si>
  <si>
    <t>2613949,71</t>
  </si>
  <si>
    <t>2218170,42</t>
  </si>
  <si>
    <t>1970247,51</t>
  </si>
  <si>
    <t>1704814,5</t>
  </si>
  <si>
    <t>1747001,55</t>
  </si>
  <si>
    <t>1571159,26</t>
  </si>
  <si>
    <t>1372371,12</t>
  </si>
  <si>
    <t>1518711,36</t>
  </si>
  <si>
    <t>1610391,75</t>
  </si>
  <si>
    <t>Humana Inc.</t>
  </si>
  <si>
    <t>HUM</t>
  </si>
  <si>
    <t>15106602,9</t>
  </si>
  <si>
    <t>15884225,5</t>
  </si>
  <si>
    <t>14762894,6</t>
  </si>
  <si>
    <t>14159367,9</t>
  </si>
  <si>
    <t>10726170,7</t>
  </si>
  <si>
    <t>8874617,4</t>
  </si>
  <si>
    <t>8196417,6</t>
  </si>
  <si>
    <t>10121900,5</t>
  </si>
  <si>
    <t>9526079,5</t>
  </si>
  <si>
    <t>Huntington Bancshares Inc.</t>
  </si>
  <si>
    <t>HBAN</t>
  </si>
  <si>
    <t>20763594,3</t>
  </si>
  <si>
    <t>19107433,8</t>
  </si>
  <si>
    <t>17549370,6</t>
  </si>
  <si>
    <t>16626453,3</t>
  </si>
  <si>
    <t>16986317,4</t>
  </si>
  <si>
    <t>10621777,5</t>
  </si>
  <si>
    <t>10510524,5</t>
  </si>
  <si>
    <t>9696486,8</t>
  </si>
  <si>
    <t>9005899,2</t>
  </si>
  <si>
    <t>9764768,4</t>
  </si>
  <si>
    <t>Huntington Ingalls Indstrs Inc</t>
  </si>
  <si>
    <t>HII</t>
  </si>
  <si>
    <t>4320674,1</t>
  </si>
  <si>
    <t>4506889,4</t>
  </si>
  <si>
    <t>3702937,1</t>
  </si>
  <si>
    <t>3264657,3</t>
  </si>
  <si>
    <t>2469074,4</t>
  </si>
  <si>
    <t>1554067,5</t>
  </si>
  <si>
    <t>1415066,8</t>
  </si>
  <si>
    <t>1324074,4</t>
  </si>
  <si>
    <t>1464062,4</t>
  </si>
  <si>
    <t>1565886,9</t>
  </si>
  <si>
    <t>1371917,5</t>
  </si>
  <si>
    <t>IDEX Corp.</t>
  </si>
  <si>
    <t>IEX</t>
  </si>
  <si>
    <t>3429114,54</t>
  </si>
  <si>
    <t>3664721,19</t>
  </si>
  <si>
    <t>3203723,64</t>
  </si>
  <si>
    <t>2844153,72</t>
  </si>
  <si>
    <t>2464765,83</t>
  </si>
  <si>
    <t>2076695,25</t>
  </si>
  <si>
    <t>IDEXX Laboratories Inc.</t>
  </si>
  <si>
    <t>IDXX</t>
  </si>
  <si>
    <t>Illinois Tool Works Inc.</t>
  </si>
  <si>
    <t>ITW</t>
  </si>
  <si>
    <t>2747584,2</t>
  </si>
  <si>
    <t>3203890,3</t>
  </si>
  <si>
    <t>2725861,1</t>
  </si>
  <si>
    <t>2890377,3</t>
  </si>
  <si>
    <t>3188341,8</t>
  </si>
  <si>
    <t>2845537,2</t>
  </si>
  <si>
    <t>3821719,2</t>
  </si>
  <si>
    <t>4034550,7</t>
  </si>
  <si>
    <t>Incyte Corp.</t>
  </si>
  <si>
    <t>INCY</t>
  </si>
  <si>
    <t>2134711,59</t>
  </si>
  <si>
    <t>Ingersoll Rand Inc.</t>
  </si>
  <si>
    <t>IR</t>
  </si>
  <si>
    <t>8648161,8</t>
  </si>
  <si>
    <t>9895935,27</t>
  </si>
  <si>
    <t>8908309,49</t>
  </si>
  <si>
    <t>8661962,04</t>
  </si>
  <si>
    <t>7976306,16</t>
  </si>
  <si>
    <t>7512416,25</t>
  </si>
  <si>
    <t>1666267,89</t>
  </si>
  <si>
    <t>1463818,4</t>
  </si>
  <si>
    <t>1229879,04</t>
  </si>
  <si>
    <t>257476,14</t>
  </si>
  <si>
    <t>Insulet Corp.</t>
  </si>
  <si>
    <t>PODD</t>
  </si>
  <si>
    <t>1290495,84</t>
  </si>
  <si>
    <t>1170284,44</t>
  </si>
  <si>
    <t>662873,69</t>
  </si>
  <si>
    <t>445767,48</t>
  </si>
  <si>
    <t>489154,59</t>
  </si>
  <si>
    <t>67634,49</t>
  </si>
  <si>
    <t>185248,14</t>
  </si>
  <si>
    <t>Intel Corp.</t>
  </si>
  <si>
    <t>INTC</t>
  </si>
  <si>
    <t>100715184,8</t>
  </si>
  <si>
    <t>99485335,5</t>
  </si>
  <si>
    <t>96644710,2</t>
  </si>
  <si>
    <t>84335183,1</t>
  </si>
  <si>
    <t>66499782,8</t>
  </si>
  <si>
    <t>69358329,6</t>
  </si>
  <si>
    <t>65138236,8</t>
  </si>
  <si>
    <t>57479023,2</t>
  </si>
  <si>
    <t>62735889,8</t>
  </si>
  <si>
    <t>55785876,25</t>
  </si>
  <si>
    <t>Interactive Brokers Group Inc.</t>
  </si>
  <si>
    <t>IBKR</t>
  </si>
  <si>
    <t>Investment Banks, Brokers and Capital Markets</t>
  </si>
  <si>
    <t>17436002,4</t>
  </si>
  <si>
    <t>16031042,3</t>
  </si>
  <si>
    <t>12726414,9</t>
  </si>
  <si>
    <t>10868155,5</t>
  </si>
  <si>
    <t>8988204,6</t>
  </si>
  <si>
    <t>7359952,5</t>
  </si>
  <si>
    <t>6250050,4</t>
  </si>
  <si>
    <t>5357402,4</t>
  </si>
  <si>
    <t>Intercontinental Exchange Inc.</t>
  </si>
  <si>
    <t>ICE</t>
  </si>
  <si>
    <t>24691634,7</t>
  </si>
  <si>
    <t>23328594,2</t>
  </si>
  <si>
    <t>21297467,7</t>
  </si>
  <si>
    <t>20002316,4</t>
  </si>
  <si>
    <t>16045072,5</t>
  </si>
  <si>
    <t>15473060,4</t>
  </si>
  <si>
    <t>15111566,8</t>
  </si>
  <si>
    <t>13696156,25</t>
  </si>
  <si>
    <t>Intl Bus Machines Corp</t>
  </si>
  <si>
    <t>IBM</t>
  </si>
  <si>
    <t>27885509,7</t>
  </si>
  <si>
    <t>26458898,7</t>
  </si>
  <si>
    <t>20457981,1</t>
  </si>
  <si>
    <t>20605049,7</t>
  </si>
  <si>
    <t>16703182,8</t>
  </si>
  <si>
    <t>18699733,5</t>
  </si>
  <si>
    <t>17422741,6</t>
  </si>
  <si>
    <t>Intl Flavors &amp; Fragrances Inc</t>
  </si>
  <si>
    <t>IFF</t>
  </si>
  <si>
    <t>12082216,2</t>
  </si>
  <si>
    <t>13396067,1</t>
  </si>
  <si>
    <t>13246617,4</t>
  </si>
  <si>
    <t>16603060,8</t>
  </si>
  <si>
    <t>18660504,6</t>
  </si>
  <si>
    <t>International Paper Company</t>
  </si>
  <si>
    <t>IP</t>
  </si>
  <si>
    <t>12628155,9</t>
  </si>
  <si>
    <t>7894300,7</t>
  </si>
  <si>
    <t>7558768,5</t>
  </si>
  <si>
    <t>7950642,9</t>
  </si>
  <si>
    <t>7985802,6</t>
  </si>
  <si>
    <t>6877509,8</t>
  </si>
  <si>
    <t>6448312,2</t>
  </si>
  <si>
    <t>5447344,8</t>
  </si>
  <si>
    <t>4129280,7</t>
  </si>
  <si>
    <t>3599211,75</t>
  </si>
  <si>
    <t>Intuit Inc.</t>
  </si>
  <si>
    <t>INTU</t>
  </si>
  <si>
    <t>15669890,6</t>
  </si>
  <si>
    <t>16118756,4</t>
  </si>
  <si>
    <t>4316101,8</t>
  </si>
  <si>
    <t>3368476,5</t>
  </si>
  <si>
    <t>1039036,95</t>
  </si>
  <si>
    <t>2110809,8</t>
  </si>
  <si>
    <t>Intuitive Surgical Inc.</t>
  </si>
  <si>
    <t>ISRG</t>
  </si>
  <si>
    <t>15280945,89</t>
  </si>
  <si>
    <t>15965940,64</t>
  </si>
  <si>
    <t>12120537,31</t>
  </si>
  <si>
    <t>10398059,82</t>
  </si>
  <si>
    <t>10508953,95</t>
  </si>
  <si>
    <t>7978064,25</t>
  </si>
  <si>
    <t>7382496,17</t>
  </si>
  <si>
    <t>5840862,5</t>
  </si>
  <si>
    <t>3981117,12</t>
  </si>
  <si>
    <t>5473309,94</t>
  </si>
  <si>
    <t>Invesco Ltd.</t>
  </si>
  <si>
    <t>IVZ</t>
  </si>
  <si>
    <t>11076273,33</t>
  </si>
  <si>
    <t>15134493,92</t>
  </si>
  <si>
    <t>14399205,2</t>
  </si>
  <si>
    <t>15759246,54</t>
  </si>
  <si>
    <t>14665668,84</t>
  </si>
  <si>
    <t>12279422,25</t>
  </si>
  <si>
    <t>13100773,98</t>
  </si>
  <si>
    <t>8150918,16</t>
  </si>
  <si>
    <t>7660760,64</t>
  </si>
  <si>
    <t>7479407,15</t>
  </si>
  <si>
    <t>8160607,25</t>
  </si>
  <si>
    <t>Invitation Homes Inc.</t>
  </si>
  <si>
    <t>INVH</t>
  </si>
  <si>
    <t>Single-Family Residential REIT</t>
  </si>
  <si>
    <t>7203615,9</t>
  </si>
  <si>
    <t>IQVIA Holdings Inc.</t>
  </si>
  <si>
    <t>IQV</t>
  </si>
  <si>
    <t>5860115,3</t>
  </si>
  <si>
    <t>5529526,4</t>
  </si>
  <si>
    <t>5394310,5</t>
  </si>
  <si>
    <t>5312730,6</t>
  </si>
  <si>
    <t>5580959,3</t>
  </si>
  <si>
    <t>6073623,6</t>
  </si>
  <si>
    <t>6865603,2</t>
  </si>
  <si>
    <t>Iron Mountain Inc.</t>
  </si>
  <si>
    <t>IRM</t>
  </si>
  <si>
    <t>Other Specialized REIT</t>
  </si>
  <si>
    <t>J.B. Hunt Transport Svcs Inc</t>
  </si>
  <si>
    <t>JBHT</t>
  </si>
  <si>
    <t>Cargo Ground Transportation</t>
  </si>
  <si>
    <t>1531789,86</t>
  </si>
  <si>
    <t>Jabil Inc.</t>
  </si>
  <si>
    <t>JBL</t>
  </si>
  <si>
    <t>Electronic Manufacturing Services</t>
  </si>
  <si>
    <t>1296883,3</t>
  </si>
  <si>
    <t>1570421,7</t>
  </si>
  <si>
    <t>2434590,8</t>
  </si>
  <si>
    <t>1810466,4</t>
  </si>
  <si>
    <t>1526612,5</t>
  </si>
  <si>
    <t>1691451,87</t>
  </si>
  <si>
    <t>Jack Henry &amp; Assoc. Inc.</t>
  </si>
  <si>
    <t>JKHY</t>
  </si>
  <si>
    <t>1473395,16</t>
  </si>
  <si>
    <t>Jacobs Solutions Inc.</t>
  </si>
  <si>
    <t>J</t>
  </si>
  <si>
    <t>Johnson &amp; Johnson</t>
  </si>
  <si>
    <t>JNJ</t>
  </si>
  <si>
    <t>62219837,8</t>
  </si>
  <si>
    <t>71865502,8</t>
  </si>
  <si>
    <t>65088423,9</t>
  </si>
  <si>
    <t>51799370,8</t>
  </si>
  <si>
    <t>53220597,9</t>
  </si>
  <si>
    <t>52199347,2</t>
  </si>
  <si>
    <t>66706971,4</t>
  </si>
  <si>
    <t>65497132,5</t>
  </si>
  <si>
    <t>Johnson Controls Intl plc</t>
  </si>
  <si>
    <t>JCI</t>
  </si>
  <si>
    <t>11040694,2</t>
  </si>
  <si>
    <t>15565872,6</t>
  </si>
  <si>
    <t>16717291,2</t>
  </si>
  <si>
    <t>17746559,6</t>
  </si>
  <si>
    <t>16180088,4</t>
  </si>
  <si>
    <t>15782702,8</t>
  </si>
  <si>
    <t>19102275,9</t>
  </si>
  <si>
    <t>19329600,6</t>
  </si>
  <si>
    <t>18257145,8</t>
  </si>
  <si>
    <t>22529496,6</t>
  </si>
  <si>
    <t>9596695,5</t>
  </si>
  <si>
    <t>JPMorgan Chase &amp; Co.</t>
  </si>
  <si>
    <t>JPM</t>
  </si>
  <si>
    <t>308688444,6</t>
  </si>
  <si>
    <t>333001752,2</t>
  </si>
  <si>
    <t>296631226,6</t>
  </si>
  <si>
    <t>273535052,4</t>
  </si>
  <si>
    <t>258625871,1</t>
  </si>
  <si>
    <t>212941130,4</t>
  </si>
  <si>
    <t>227952839,75</t>
  </si>
  <si>
    <t>Keurig Dr Pepper Inc.</t>
  </si>
  <si>
    <t>KDP</t>
  </si>
  <si>
    <t>Soft Drinks and Non-alcoholic Beverages</t>
  </si>
  <si>
    <t>21731977,2</t>
  </si>
  <si>
    <t>23416313,7</t>
  </si>
  <si>
    <t>23229077,2</t>
  </si>
  <si>
    <t>23509462,5</t>
  </si>
  <si>
    <t>21957879,6</t>
  </si>
  <si>
    <t>20724312,7</t>
  </si>
  <si>
    <t>19680322,2</t>
  </si>
  <si>
    <t>6381746,4</t>
  </si>
  <si>
    <t>KeyCorp</t>
  </si>
  <si>
    <t>KEY</t>
  </si>
  <si>
    <t>17358497,7</t>
  </si>
  <si>
    <t>17556198,4</t>
  </si>
  <si>
    <t>13242093,9</t>
  </si>
  <si>
    <t>12588907,8</t>
  </si>
  <si>
    <t>15320043,9</t>
  </si>
  <si>
    <t>14699467,5</t>
  </si>
  <si>
    <t>15182561,8</t>
  </si>
  <si>
    <t>13621546,4</t>
  </si>
  <si>
    <t>9906349,25</t>
  </si>
  <si>
    <t>Keysight Technologies Inc.</t>
  </si>
  <si>
    <t>KEYS</t>
  </si>
  <si>
    <t>Electronic Equipment and Instruments</t>
  </si>
  <si>
    <t>4208019,3</t>
  </si>
  <si>
    <t>3272403,2</t>
  </si>
  <si>
    <t>2829155,7</t>
  </si>
  <si>
    <t>2694888,4</t>
  </si>
  <si>
    <t>2149555,5</t>
  </si>
  <si>
    <t>1380461,2</t>
  </si>
  <si>
    <t>1180718,7</t>
  </si>
  <si>
    <t>Kimberly-Clark Corp.</t>
  </si>
  <si>
    <t>KMB</t>
  </si>
  <si>
    <t>941752,5</t>
  </si>
  <si>
    <t>966219,6</t>
  </si>
  <si>
    <t>648044,1</t>
  </si>
  <si>
    <t>710407,5</t>
  </si>
  <si>
    <t>172873,4</t>
  </si>
  <si>
    <t>-40176,4</t>
  </si>
  <si>
    <t>734529,6</t>
  </si>
  <si>
    <t>110834,1</t>
  </si>
  <si>
    <t>Kimco Realty Corp.</t>
  </si>
  <si>
    <t>KIM</t>
  </si>
  <si>
    <t>Kinder Morgan Inc.</t>
  </si>
  <si>
    <t>KMI</t>
  </si>
  <si>
    <t>Oil and Gas Storage and Transportation</t>
  </si>
  <si>
    <t>27636813,3</t>
  </si>
  <si>
    <t>30780335,3</t>
  </si>
  <si>
    <t>28705226,3</t>
  </si>
  <si>
    <t>30049069,8</t>
  </si>
  <si>
    <t>28068135,3</t>
  </si>
  <si>
    <t>31089587,9</t>
  </si>
  <si>
    <t>30741059,8</t>
  </si>
  <si>
    <t>29251267,2</t>
  </si>
  <si>
    <t>32967934,6</t>
  </si>
  <si>
    <t>32597312,25</t>
  </si>
  <si>
    <t>KKR &amp; Co.</t>
  </si>
  <si>
    <t>KKR</t>
  </si>
  <si>
    <t>33353931,33</t>
  </si>
  <si>
    <t>17207979,84</t>
  </si>
  <si>
    <t>KLA Corp.</t>
  </si>
  <si>
    <t>KLAC</t>
  </si>
  <si>
    <t>L3Harris Technologies Inc.</t>
  </si>
  <si>
    <t>LHX</t>
  </si>
  <si>
    <t>19022956,4</t>
  </si>
  <si>
    <t>17034596,3</t>
  </si>
  <si>
    <t>17426476,8</t>
  </si>
  <si>
    <t>16987196,7</t>
  </si>
  <si>
    <t>17060442,6</t>
  </si>
  <si>
    <t>2809573,8</t>
  </si>
  <si>
    <t>2743198,95</t>
  </si>
  <si>
    <t>3064691,7</t>
  </si>
  <si>
    <t>Labcorp Holdings Inc.</t>
  </si>
  <si>
    <t>LH</t>
  </si>
  <si>
    <t>7355877,39</t>
  </si>
  <si>
    <t>7791432,35</t>
  </si>
  <si>
    <t>7138535,35</t>
  </si>
  <si>
    <t>9465073,35</t>
  </si>
  <si>
    <t>9051514,2</t>
  </si>
  <si>
    <t>7731342,75</t>
  </si>
  <si>
    <t>6760864,81</t>
  </si>
  <si>
    <t>6105502,7</t>
  </si>
  <si>
    <t>5683776,72</t>
  </si>
  <si>
    <t>5230043,3</t>
  </si>
  <si>
    <t>Lam Research Corp.</t>
  </si>
  <si>
    <t>LRCX</t>
  </si>
  <si>
    <t>Las Vegas Sands Corp.</t>
  </si>
  <si>
    <t>LVS</t>
  </si>
  <si>
    <t>Casinos and Gaming</t>
  </si>
  <si>
    <t>1647187,8</t>
  </si>
  <si>
    <t>3712888,8</t>
  </si>
  <si>
    <t>3420919,2</t>
  </si>
  <si>
    <t>1976666,4</t>
  </si>
  <si>
    <t>5798387,7</t>
  </si>
  <si>
    <t>6351765,6</t>
  </si>
  <si>
    <t>7100960,8</t>
  </si>
  <si>
    <t>7750873,5</t>
  </si>
  <si>
    <t>Leidos Holdings Inc.</t>
  </si>
  <si>
    <t>LDOS</t>
  </si>
  <si>
    <t>4224646,8</t>
  </si>
  <si>
    <t>3852212,6</t>
  </si>
  <si>
    <t>4073102,1</t>
  </si>
  <si>
    <t>3819679,2</t>
  </si>
  <si>
    <t>3168800,6</t>
  </si>
  <si>
    <t>2892489,6</t>
  </si>
  <si>
    <t>2817362,4</t>
  </si>
  <si>
    <t>2981153,1</t>
  </si>
  <si>
    <t>883978,5</t>
  </si>
  <si>
    <t>Lennar Corp.</t>
  </si>
  <si>
    <t>LEN</t>
  </si>
  <si>
    <t>Lennox International Inc.</t>
  </si>
  <si>
    <t>LII</t>
  </si>
  <si>
    <t>990612,27</t>
  </si>
  <si>
    <t>929292,39</t>
  </si>
  <si>
    <t>258110,91</t>
  </si>
  <si>
    <t>-190040,67</t>
  </si>
  <si>
    <t>-236531,7</t>
  </si>
  <si>
    <t>-13979,25</t>
  </si>
  <si>
    <t>-151665,22</t>
  </si>
  <si>
    <t>-130660,64</t>
  </si>
  <si>
    <t>41723,28</t>
  </si>
  <si>
    <t>35997,4</t>
  </si>
  <si>
    <t>93548,2</t>
  </si>
  <si>
    <t>Linde plc</t>
  </si>
  <si>
    <t>LIN</t>
  </si>
  <si>
    <t>33847409,7</t>
  </si>
  <si>
    <t>38141459,2</t>
  </si>
  <si>
    <t>37178646,5</t>
  </si>
  <si>
    <t>38725815,9</t>
  </si>
  <si>
    <t>39956271,3</t>
  </si>
  <si>
    <t>46011948,5</t>
  </si>
  <si>
    <t>49867646,4</t>
  </si>
  <si>
    <t>5431521,6</t>
  </si>
  <si>
    <t>5164679,6</t>
  </si>
  <si>
    <t>4517199,5</t>
  </si>
  <si>
    <t>Live Nation Entertainment Inc.</t>
  </si>
  <si>
    <t>LYV</t>
  </si>
  <si>
    <t>Movies and Entertainment</t>
  </si>
  <si>
    <t>Lockheed Martin Corp.</t>
  </si>
  <si>
    <t>LMT</t>
  </si>
  <si>
    <t>5724275,7</t>
  </si>
  <si>
    <t>6117044,7</t>
  </si>
  <si>
    <t>6183624,5</t>
  </si>
  <si>
    <t>8670196,2</t>
  </si>
  <si>
    <t>9636248,7</t>
  </si>
  <si>
    <t>2825678,1</t>
  </si>
  <si>
    <t>1265556,6</t>
  </si>
  <si>
    <t>-646252,8</t>
  </si>
  <si>
    <t>1521363,8</t>
  </si>
  <si>
    <t>2851562,75</t>
  </si>
  <si>
    <t>Loews Corp.</t>
  </si>
  <si>
    <t>L</t>
  </si>
  <si>
    <t>16728239,7</t>
  </si>
  <si>
    <t>17325348,3</t>
  </si>
  <si>
    <t>14950167,5</t>
  </si>
  <si>
    <t>14223575,7</t>
  </si>
  <si>
    <t>16860577,5</t>
  </si>
  <si>
    <t>15680467,5</t>
  </si>
  <si>
    <t>18678532,4</t>
  </si>
  <si>
    <t>20458564,8</t>
  </si>
  <si>
    <t>22129875,3</t>
  </si>
  <si>
    <t>21002307,5</t>
  </si>
  <si>
    <t>Lowe's Companies Inc.</t>
  </si>
  <si>
    <t>LOW</t>
  </si>
  <si>
    <t>Home Improvement Retail</t>
  </si>
  <si>
    <t>-13691645,1</t>
  </si>
  <si>
    <t>-4314654,4</t>
  </si>
  <si>
    <t>1183800,6</t>
  </si>
  <si>
    <t>3173559,6</t>
  </si>
  <si>
    <t>4720717,4</t>
  </si>
  <si>
    <t>5968821,8</t>
  </si>
  <si>
    <t>7073444,1</t>
  </si>
  <si>
    <t>lululemon athletica inc.</t>
  </si>
  <si>
    <t>LULU</t>
  </si>
  <si>
    <t>Apparel, Accessories and Luxury Goods</t>
  </si>
  <si>
    <t>Lumentum Holdings Inc.</t>
  </si>
  <si>
    <t>LITE</t>
  </si>
  <si>
    <t>968466,45</t>
  </si>
  <si>
    <t>893448,09</t>
  </si>
  <si>
    <t>1241912,8</t>
  </si>
  <si>
    <t>1665832,32</t>
  </si>
  <si>
    <t>1560461,32</t>
  </si>
  <si>
    <t>1315651,48</t>
  </si>
  <si>
    <t>869356,53</t>
  </si>
  <si>
    <t>618984,3</t>
  </si>
  <si>
    <t>341188,87</t>
  </si>
  <si>
    <t>LyondellBasell Industries N.V.</t>
  </si>
  <si>
    <t>LYB</t>
  </si>
  <si>
    <t>Commodity Chemicals</t>
  </si>
  <si>
    <t>8693301,9</t>
  </si>
  <si>
    <t>12158749,2</t>
  </si>
  <si>
    <t>11813572,6</t>
  </si>
  <si>
    <t>11923625,1</t>
  </si>
  <si>
    <t>10541048,4</t>
  </si>
  <si>
    <t>7288306,9</t>
  </si>
  <si>
    <t>9079866,4</t>
  </si>
  <si>
    <t>5752952,9</t>
  </si>
  <si>
    <t>6053010,5</t>
  </si>
  <si>
    <t>M&amp;T Bank Corp.</t>
  </si>
  <si>
    <t>MTB</t>
  </si>
  <si>
    <t>24850050,9</t>
  </si>
  <si>
    <t>28037179,3</t>
  </si>
  <si>
    <t>24387997,9</t>
  </si>
  <si>
    <t>23690052,6</t>
  </si>
  <si>
    <t>Marathon Petroleum Corp.</t>
  </si>
  <si>
    <t>MPC</t>
  </si>
  <si>
    <t>Oil and Gas Refining and Marketing</t>
  </si>
  <si>
    <t>20514046,2</t>
  </si>
  <si>
    <t>23670345,4</t>
  </si>
  <si>
    <t>28406675,3</t>
  </si>
  <si>
    <t>32830905,9</t>
  </si>
  <si>
    <t>29527773,3</t>
  </si>
  <si>
    <t>38412647,7</t>
  </si>
  <si>
    <t>39349290,2</t>
  </si>
  <si>
    <t>18178358,4</t>
  </si>
  <si>
    <t>20085601,9</t>
  </si>
  <si>
    <t>18115756,25</t>
  </si>
  <si>
    <t>Marriott International Inc.</t>
  </si>
  <si>
    <t>MAR</t>
  </si>
  <si>
    <t>-3211760,7</t>
  </si>
  <si>
    <t>-2889972,8</t>
  </si>
  <si>
    <t>-617005,4</t>
  </si>
  <si>
    <t>531477,6</t>
  </si>
  <si>
    <t>1243330,2</t>
  </si>
  <si>
    <t>626443,3</t>
  </si>
  <si>
    <t>2983089,6</t>
  </si>
  <si>
    <t>5074686,1</t>
  </si>
  <si>
    <t>-3305492,5</t>
  </si>
  <si>
    <t>Marsh &amp; McLennan Cos Inc</t>
  </si>
  <si>
    <t>MRSH</t>
  </si>
  <si>
    <t>13043785,5</t>
  </si>
  <si>
    <t>13073456,5</t>
  </si>
  <si>
    <t>10057839,3</t>
  </si>
  <si>
    <t>9867504,6</t>
  </si>
  <si>
    <t>7078007,3</t>
  </si>
  <si>
    <t>6623865,6</t>
  </si>
  <si>
    <t>6197697,6</t>
  </si>
  <si>
    <t>5941465,6</t>
  </si>
  <si>
    <t>6078791,5</t>
  </si>
  <si>
    <t>Martin Marietta Materials Inc.</t>
  </si>
  <si>
    <t>MLM</t>
  </si>
  <si>
    <t>8545957,8</t>
  </si>
  <si>
    <t>9133550,4</t>
  </si>
  <si>
    <t>7270169,2</t>
  </si>
  <si>
    <t>6711588,96</t>
  </si>
  <si>
    <t>5748511,68</t>
  </si>
  <si>
    <t>4817772,75</t>
  </si>
  <si>
    <t>4770325,63</t>
  </si>
  <si>
    <t>4322805,96</t>
  </si>
  <si>
    <t>Masco Corp.</t>
  </si>
  <si>
    <t>MAS</t>
  </si>
  <si>
    <t>64729,2</t>
  </si>
  <si>
    <t>-50226,8</t>
  </si>
  <si>
    <t>104945,2</t>
  </si>
  <si>
    <t>-226439,4</t>
  </si>
  <si>
    <t>68585,4</t>
  </si>
  <si>
    <t>344167,5</t>
  </si>
  <si>
    <t>-49901,6</t>
  </si>
  <si>
    <t>60264,6</t>
  </si>
  <si>
    <t>152402,4</t>
  </si>
  <si>
    <t>-97571,9</t>
  </si>
  <si>
    <t>53403,5</t>
  </si>
  <si>
    <t>Mastercard Inc.</t>
  </si>
  <si>
    <t>MA</t>
  </si>
  <si>
    <t>6597268,2</t>
  </si>
  <si>
    <t>6292838,5</t>
  </si>
  <si>
    <t>6330185,9</t>
  </si>
  <si>
    <t>5966958,9</t>
  </si>
  <si>
    <t>6517371,6</t>
  </si>
  <si>
    <t>5327647,5</t>
  </si>
  <si>
    <t>5338580,1</t>
  </si>
  <si>
    <t>4794092,6</t>
  </si>
  <si>
    <t>4637030,4</t>
  </si>
  <si>
    <t>5384453,2</t>
  </si>
  <si>
    <t>5581586,5</t>
  </si>
  <si>
    <t>McCormick &amp; Co.</t>
  </si>
  <si>
    <t>MKC</t>
  </si>
  <si>
    <t>4974409,44</t>
  </si>
  <si>
    <t>5039263,04</t>
  </si>
  <si>
    <t>4661061,15</t>
  </si>
  <si>
    <t>4556814,24</t>
  </si>
  <si>
    <t>3926303,6</t>
  </si>
  <si>
    <t>3137300,92</t>
  </si>
  <si>
    <t>2810519,04</t>
  </si>
  <si>
    <t>2158784,73</t>
  </si>
  <si>
    <t>1549642,6</t>
  </si>
  <si>
    <t>McDonald's Corp.</t>
  </si>
  <si>
    <t>MCD</t>
  </si>
  <si>
    <t>-1525394,7</t>
  </si>
  <si>
    <t>-3667522,3</t>
  </si>
  <si>
    <t>-4258422,9</t>
  </si>
  <si>
    <t>-5617381,38</t>
  </si>
  <si>
    <t>-4045659,3</t>
  </si>
  <si>
    <t>-6396855,75</t>
  </si>
  <si>
    <t>-7316198,33</t>
  </si>
  <si>
    <t>-5466086,56</t>
  </si>
  <si>
    <t>-2721590,4</t>
  </si>
  <si>
    <t>-2088133,39</t>
  </si>
  <si>
    <t>McKesson Corp.</t>
  </si>
  <si>
    <t>MCK</t>
  </si>
  <si>
    <t>-1567288,8</t>
  </si>
  <si>
    <t>-1482113,1</t>
  </si>
  <si>
    <t>-1613158,4</t>
  </si>
  <si>
    <t>9347537,2</t>
  </si>
  <si>
    <t>9144012,7</t>
  </si>
  <si>
    <t>8816080,35</t>
  </si>
  <si>
    <t>Medtronic plc</t>
  </si>
  <si>
    <t>MDT</t>
  </si>
  <si>
    <t>46813656,5</t>
  </si>
  <si>
    <t>50027905,8</t>
  </si>
  <si>
    <t>42896742,6</t>
  </si>
  <si>
    <t>47117646,4</t>
  </si>
  <si>
    <t>44979909,6</t>
  </si>
  <si>
    <t>41907226,9</t>
  </si>
  <si>
    <t>45458808,45</t>
  </si>
  <si>
    <t>49011522,5</t>
  </si>
  <si>
    <t>Merck &amp; Co.</t>
  </si>
  <si>
    <t>MRK</t>
  </si>
  <si>
    <t>44852225,4</t>
  </si>
  <si>
    <t>44790714,8</t>
  </si>
  <si>
    <t>34048384,5</t>
  </si>
  <si>
    <t>43096470,6</t>
  </si>
  <si>
    <t>33639380,1</t>
  </si>
  <si>
    <t>23169491,1</t>
  </si>
  <si>
    <t>23478738,8</t>
  </si>
  <si>
    <t>28789063,2</t>
  </si>
  <si>
    <t>38183768,4</t>
  </si>
  <si>
    <t>41219215,25</t>
  </si>
  <si>
    <t>Meta Platforms Inc.</t>
  </si>
  <si>
    <t>META</t>
  </si>
  <si>
    <t>185025863,1</t>
  </si>
  <si>
    <t>176409078,3</t>
  </si>
  <si>
    <t>138571089,6</t>
  </si>
  <si>
    <t>117629654,1</t>
  </si>
  <si>
    <t>109806104,7</t>
  </si>
  <si>
    <t>90049219,4</t>
  </si>
  <si>
    <t>73476521,8</t>
  </si>
  <si>
    <t>61916181,6</t>
  </si>
  <si>
    <t>56074476,2</t>
  </si>
  <si>
    <t>40713723,5</t>
  </si>
  <si>
    <t>MetLife Inc.</t>
  </si>
  <si>
    <t>MET</t>
  </si>
  <si>
    <t>24632015,7</t>
  </si>
  <si>
    <t>26758327,7</t>
  </si>
  <si>
    <t>27369889,1</t>
  </si>
  <si>
    <t>28187962,5</t>
  </si>
  <si>
    <t>59571695,7</t>
  </si>
  <si>
    <t>61162897,5</t>
  </si>
  <si>
    <t>59153000,2</t>
  </si>
  <si>
    <t>46253517,2</t>
  </si>
  <si>
    <t>64134104,6</t>
  </si>
  <si>
    <t>Mettler-Toledo Intl Inc.</t>
  </si>
  <si>
    <t>MTD</t>
  </si>
  <si>
    <t>MGM Resorts International</t>
  </si>
  <si>
    <t>MGM</t>
  </si>
  <si>
    <t>Microchip Technology Inc.</t>
  </si>
  <si>
    <t>MCHP</t>
  </si>
  <si>
    <t>6548843,16</t>
  </si>
  <si>
    <t>6171114,82</t>
  </si>
  <si>
    <t>5995117,44</t>
  </si>
  <si>
    <t>5306498,96</t>
  </si>
  <si>
    <t>4547209,2</t>
  </si>
  <si>
    <t>4711162,5</t>
  </si>
  <si>
    <t>2662213,66</t>
  </si>
  <si>
    <t>3058758,64</t>
  </si>
  <si>
    <t>Micron Technology Inc.</t>
  </si>
  <si>
    <t>MU</t>
  </si>
  <si>
    <t>46446487,5</t>
  </si>
  <si>
    <t>40744266,8</t>
  </si>
  <si>
    <t>50216423,4</t>
  </si>
  <si>
    <t>32978917,2</t>
  </si>
  <si>
    <t>33332358,8</t>
  </si>
  <si>
    <t>28557894,6</t>
  </si>
  <si>
    <t>11550521,6</t>
  </si>
  <si>
    <t>11917085,85</t>
  </si>
  <si>
    <t>Microsoft Corp.</t>
  </si>
  <si>
    <t>MSFT</t>
  </si>
  <si>
    <t>292472368,5</t>
  </si>
  <si>
    <t>250569584,1</t>
  </si>
  <si>
    <t>159314077,2</t>
  </si>
  <si>
    <t>119752679,2</t>
  </si>
  <si>
    <t>105124934,4</t>
  </si>
  <si>
    <t>70897597,8</t>
  </si>
  <si>
    <t>76878691,5</t>
  </si>
  <si>
    <t>64829698,65</t>
  </si>
  <si>
    <t>71894513,25</t>
  </si>
  <si>
    <t>MAA</t>
  </si>
  <si>
    <t>4977273,54</t>
  </si>
  <si>
    <t>Molson Coors Beverage Co.</t>
  </si>
  <si>
    <t>TAP</t>
  </si>
  <si>
    <t>Brewer: Beer and Malt Liquor</t>
  </si>
  <si>
    <t>8979217,59</t>
  </si>
  <si>
    <t>12993962,93</t>
  </si>
  <si>
    <t>12154734,97</t>
  </si>
  <si>
    <t>12084752,64</t>
  </si>
  <si>
    <t>12014843,13</t>
  </si>
  <si>
    <t>10317912,75</t>
  </si>
  <si>
    <t>12184099,41</t>
  </si>
  <si>
    <t>11996847,72</t>
  </si>
  <si>
    <t>10982383,44</t>
  </si>
  <si>
    <t>11009236,41</t>
  </si>
  <si>
    <t>Mondelez International</t>
  </si>
  <si>
    <t>MDLZ</t>
  </si>
  <si>
    <t>22051364,7</t>
  </si>
  <si>
    <t>26038732,2</t>
  </si>
  <si>
    <t>25662720,2</t>
  </si>
  <si>
    <t>24904413,9</t>
  </si>
  <si>
    <t>24342178,7</t>
  </si>
  <si>
    <t>22457734,2</t>
  </si>
  <si>
    <t>21714427,2</t>
  </si>
  <si>
    <t>23886169,5</t>
  </si>
  <si>
    <t>Monolithic Power Systems Inc.</t>
  </si>
  <si>
    <t>MPWR</t>
  </si>
  <si>
    <t>Monster Beverage Corp.</t>
  </si>
  <si>
    <t>MNST</t>
  </si>
  <si>
    <t>4219003,05</t>
  </si>
  <si>
    <t>Moody's Corp.</t>
  </si>
  <si>
    <t>MCO</t>
  </si>
  <si>
    <t>3581398,5</t>
  </si>
  <si>
    <t>3599909,3</t>
  </si>
  <si>
    <t>3144737,2</t>
  </si>
  <si>
    <t>2516097,3</t>
  </si>
  <si>
    <t>2564038,8</t>
  </si>
  <si>
    <t>1441252,5</t>
  </si>
  <si>
    <t>745850,7</t>
  </si>
  <si>
    <t>572950,4</t>
  </si>
  <si>
    <t>-95688,72</t>
  </si>
  <si>
    <t>-973161,29</t>
  </si>
  <si>
    <t>-306609,75</t>
  </si>
  <si>
    <t>Morgan Stanley</t>
  </si>
  <si>
    <t>MS</t>
  </si>
  <si>
    <t>95945708,4</t>
  </si>
  <si>
    <t>101832905,2</t>
  </si>
  <si>
    <t>90453715,4</t>
  </si>
  <si>
    <t>94721846,7</t>
  </si>
  <si>
    <t>93731621,4</t>
  </si>
  <si>
    <t>84324307,5</t>
  </si>
  <si>
    <t>73691296,7</t>
  </si>
  <si>
    <t>71100000,4</t>
  </si>
  <si>
    <t>65346484,8</t>
  </si>
  <si>
    <t>73109772,1</t>
  </si>
  <si>
    <t>Motorola Solutions Inc.</t>
  </si>
  <si>
    <t>MSI</t>
  </si>
  <si>
    <t>2067075,9</t>
  </si>
  <si>
    <t>1660382,1</t>
  </si>
  <si>
    <t>668573,3</t>
  </si>
  <si>
    <t>122576,7</t>
  </si>
  <si>
    <t>-20223,9</t>
  </si>
  <si>
    <t>-442267,5</t>
  </si>
  <si>
    <t>-608621,3</t>
  </si>
  <si>
    <t>-1114458,4</t>
  </si>
  <si>
    <t>-1438245,6</t>
  </si>
  <si>
    <t>-901829,6</t>
  </si>
  <si>
    <t>MSCI Inc.</t>
  </si>
  <si>
    <t>MSCI</t>
  </si>
  <si>
    <t>Nasdaq Inc.</t>
  </si>
  <si>
    <t>NDAQ</t>
  </si>
  <si>
    <t>10417994,4</t>
  </si>
  <si>
    <t>9795186,9</t>
  </si>
  <si>
    <t>5767654,8</t>
  </si>
  <si>
    <t>5631916,5</t>
  </si>
  <si>
    <t>5024912,9</t>
  </si>
  <si>
    <t>4759156,6</t>
  </si>
  <si>
    <t>5164486,75</t>
  </si>
  <si>
    <t>NetApp Inc.</t>
  </si>
  <si>
    <t>NTAP</t>
  </si>
  <si>
    <t>1073458,2</t>
  </si>
  <si>
    <t>1050169,9</t>
  </si>
  <si>
    <t>795178,2</t>
  </si>
  <si>
    <t>569440,5</t>
  </si>
  <si>
    <t>224140,4</t>
  </si>
  <si>
    <t>1880203,6</t>
  </si>
  <si>
    <t>2515545,15</t>
  </si>
  <si>
    <t>3143440,5</t>
  </si>
  <si>
    <t>Netflix Inc.</t>
  </si>
  <si>
    <t>NFLX</t>
  </si>
  <si>
    <t>9045833,7</t>
  </si>
  <si>
    <t>2538574,54</t>
  </si>
  <si>
    <t>Newmont Corp.</t>
  </si>
  <si>
    <t>NEM</t>
  </si>
  <si>
    <t>Gold</t>
  </si>
  <si>
    <t>28993571,4</t>
  </si>
  <si>
    <t>29082283,1</t>
  </si>
  <si>
    <t>26421763,5</t>
  </si>
  <si>
    <t>18277028,1</t>
  </si>
  <si>
    <t>19222377,3</t>
  </si>
  <si>
    <t>19521082,5</t>
  </si>
  <si>
    <t>19975788,7</t>
  </si>
  <si>
    <t>10054580,8</t>
  </si>
  <si>
    <t>9593023,2</t>
  </si>
  <si>
    <t>11248240,2</t>
  </si>
  <si>
    <t>News Corp.</t>
  </si>
  <si>
    <t>NWSA</t>
  </si>
  <si>
    <t>Publishing</t>
  </si>
  <si>
    <t>7994733,5</t>
  </si>
  <si>
    <t>8409966,3</t>
  </si>
  <si>
    <t>8746193,8</t>
  </si>
  <si>
    <t>7713736,4</t>
  </si>
  <si>
    <t>7454465,4</t>
  </si>
  <si>
    <t>9061306,8</t>
  </si>
  <si>
    <t>8996978,7</t>
  </si>
  <si>
    <t>9723014,5</t>
  </si>
  <si>
    <t>10627110,9</t>
  </si>
  <si>
    <t>NextEra Energy Inc.</t>
  </si>
  <si>
    <t>NEE</t>
  </si>
  <si>
    <t>56620164,3</t>
  </si>
  <si>
    <t>58785639,9</t>
  </si>
  <si>
    <t>53399012,8</t>
  </si>
  <si>
    <t>46257265,2</t>
  </si>
  <si>
    <t>40156751,7</t>
  </si>
  <si>
    <t>36729457,5</t>
  </si>
  <si>
    <t>37289861,7</t>
  </si>
  <si>
    <t>33085265,4</t>
  </si>
  <si>
    <t>24593416,8</t>
  </si>
  <si>
    <t>23996056,3</t>
  </si>
  <si>
    <t>NIKE Inc.</t>
  </si>
  <si>
    <t>NKE</t>
  </si>
  <si>
    <t>11644616,9</t>
  </si>
  <si>
    <t>13139953,2</t>
  </si>
  <si>
    <t>14243420,1</t>
  </si>
  <si>
    <t>10442129,3</t>
  </si>
  <si>
    <t>7245472,5</t>
  </si>
  <si>
    <t>8415752,4</t>
  </si>
  <si>
    <t>11014425,9</t>
  </si>
  <si>
    <t>11577983,05</t>
  </si>
  <si>
    <t>NiSource Inc.</t>
  </si>
  <si>
    <t>NI</t>
  </si>
  <si>
    <t>9930736,83</t>
  </si>
  <si>
    <t>10304510,97</t>
  </si>
  <si>
    <t>9170310,61</t>
  </si>
  <si>
    <t>7393714,26</t>
  </si>
  <si>
    <t>6395060,97</t>
  </si>
  <si>
    <t>4772401,5</t>
  </si>
  <si>
    <t>5334748,37</t>
  </si>
  <si>
    <t>5022836,06</t>
  </si>
  <si>
    <t>3597779,28</t>
  </si>
  <si>
    <t>3856647,76</t>
  </si>
  <si>
    <t>Nordson Corp.</t>
  </si>
  <si>
    <t>NDSN</t>
  </si>
  <si>
    <t>2459063,79</t>
  </si>
  <si>
    <t>Norfolk Southern Corporation</t>
  </si>
  <si>
    <t>NSC</t>
  </si>
  <si>
    <t>13241379,9</t>
  </si>
  <si>
    <t>13818165,4</t>
  </si>
  <si>
    <t>11562970,7</t>
  </si>
  <si>
    <t>11914268,1</t>
  </si>
  <si>
    <t>11994531,3</t>
  </si>
  <si>
    <t>12091642,5</t>
  </si>
  <si>
    <t>13530462,4</t>
  </si>
  <si>
    <t>13417170,8</t>
  </si>
  <si>
    <t>13623775,2</t>
  </si>
  <si>
    <t>11755045,7</t>
  </si>
  <si>
    <t>Northern Trust Corp.</t>
  </si>
  <si>
    <t>NTRS</t>
  </si>
  <si>
    <t>11036243,43</t>
  </si>
  <si>
    <t>12352315,56</t>
  </si>
  <si>
    <t>10764030,13</t>
  </si>
  <si>
    <t>10535514,15</t>
  </si>
  <si>
    <t>10566372,24</t>
  </si>
  <si>
    <t>9555185,25</t>
  </si>
  <si>
    <t>9883190,1</t>
  </si>
  <si>
    <t>9177949,22</t>
  </si>
  <si>
    <t>8508051,36</t>
  </si>
  <si>
    <t>9255499,92</t>
  </si>
  <si>
    <t>Northrop Grumman Corp.</t>
  </si>
  <si>
    <t>NOC</t>
  </si>
  <si>
    <t>14201245,8</t>
  </si>
  <si>
    <t>13385036,5</t>
  </si>
  <si>
    <t>14327438,4</t>
  </si>
  <si>
    <t>11365831,8</t>
  </si>
  <si>
    <t>8648332,5</t>
  </si>
  <si>
    <t>7858610,9</t>
  </si>
  <si>
    <t>7150525,8</t>
  </si>
  <si>
    <t>5939529,6</t>
  </si>
  <si>
    <t>4981850,7</t>
  </si>
  <si>
    <t>5084381,5</t>
  </si>
  <si>
    <t>Norwegian Cruise Line Hldgs Lt</t>
  </si>
  <si>
    <t>NCLH</t>
  </si>
  <si>
    <t>3481245,26</t>
  </si>
  <si>
    <t>NRG Energy Inc.</t>
  </si>
  <si>
    <t>NRG</t>
  </si>
  <si>
    <t>1431707,7</t>
  </si>
  <si>
    <t>2393500,2</t>
  </si>
  <si>
    <t>2629058,2</t>
  </si>
  <si>
    <t>3581859,6</t>
  </si>
  <si>
    <t>1495265,8</t>
  </si>
  <si>
    <t>1703908,8</t>
  </si>
  <si>
    <t>4255271,6</t>
  </si>
  <si>
    <t>5308123,75</t>
  </si>
  <si>
    <t>Nucor Corp.</t>
  </si>
  <si>
    <t>NUE</t>
  </si>
  <si>
    <t>Steel</t>
  </si>
  <si>
    <t>18843010,8</t>
  </si>
  <si>
    <t>20686680,3</t>
  </si>
  <si>
    <t>20014678,1</t>
  </si>
  <si>
    <t>NVIDIA Corp.</t>
  </si>
  <si>
    <t>NVDA</t>
  </si>
  <si>
    <t>75447909,7</t>
  </si>
  <si>
    <t>39556951,2</t>
  </si>
  <si>
    <t>20359441,2</t>
  </si>
  <si>
    <t>23841690,8</t>
  </si>
  <si>
    <t>13916453,4</t>
  </si>
  <si>
    <t>11067807,6</t>
  </si>
  <si>
    <t>6012660,8</t>
  </si>
  <si>
    <t>5388622,4</t>
  </si>
  <si>
    <t>4130026,35</t>
  </si>
  <si>
    <t>3916777,9</t>
  </si>
  <si>
    <t>NVR Inc.</t>
  </si>
  <si>
    <t>NVR</t>
  </si>
  <si>
    <t>NXP Semiconductors N.V.</t>
  </si>
  <si>
    <t>NXPI</t>
  </si>
  <si>
    <t>8901116,7</t>
  </si>
  <si>
    <t>9205992,9</t>
  </si>
  <si>
    <t>7480942,5</t>
  </si>
  <si>
    <t>8603570,5</t>
  </si>
  <si>
    <t>11422684,8</t>
  </si>
  <si>
    <t>10568078,8</t>
  </si>
  <si>
    <t>10867612,25</t>
  </si>
  <si>
    <t>O'Reilly Automotive Inc.</t>
  </si>
  <si>
    <t>ORLY</t>
  </si>
  <si>
    <t>Occidental Petroleum Corp.</t>
  </si>
  <si>
    <t>OXY</t>
  </si>
  <si>
    <t>31170516,6</t>
  </si>
  <si>
    <t>27456740,3</t>
  </si>
  <si>
    <t>28150534,5</t>
  </si>
  <si>
    <t>17873531,1</t>
  </si>
  <si>
    <t>15183427,5</t>
  </si>
  <si>
    <t>30504135,2</t>
  </si>
  <si>
    <t>17132361,6</t>
  </si>
  <si>
    <t>20364108,1</t>
  </si>
  <si>
    <t>22420262,5</t>
  </si>
  <si>
    <t>Old Dominion Freight Line Inc.</t>
  </si>
  <si>
    <t>ODFL</t>
  </si>
  <si>
    <t>2719240,44</t>
  </si>
  <si>
    <t>Omnicom Group Inc.</t>
  </si>
  <si>
    <t>OMC</t>
  </si>
  <si>
    <t>Advertising</t>
  </si>
  <si>
    <t>11119965,54</t>
  </si>
  <si>
    <t>4998435,91</t>
  </si>
  <si>
    <t>4197536,59</t>
  </si>
  <si>
    <t>3891857,01</t>
  </si>
  <si>
    <t>3621836,7</t>
  </si>
  <si>
    <t>3095545,5</t>
  </si>
  <si>
    <t>3191029,1</t>
  </si>
  <si>
    <t>2926938,08</t>
  </si>
  <si>
    <t>2777054,88</t>
  </si>
  <si>
    <t>2710414,76</t>
  </si>
  <si>
    <t>ON Semiconductor Corp.</t>
  </si>
  <si>
    <t>ON</t>
  </si>
  <si>
    <t>6551191,23</t>
  </si>
  <si>
    <t>8513925,55</t>
  </si>
  <si>
    <t>7057202,82</t>
  </si>
  <si>
    <t>5807889,9</t>
  </si>
  <si>
    <t>4048648,92</t>
  </si>
  <si>
    <t>2908746,75</t>
  </si>
  <si>
    <t>2962105,51</t>
  </si>
  <si>
    <t>2789726,94</t>
  </si>
  <si>
    <t>2332672,8</t>
  </si>
  <si>
    <t>1747768,5</t>
  </si>
  <si>
    <t>ONEOK Inc.</t>
  </si>
  <si>
    <t>OKE</t>
  </si>
  <si>
    <t>19222017,3</t>
  </si>
  <si>
    <t>21378264,7</t>
  </si>
  <si>
    <t>14913074,8</t>
  </si>
  <si>
    <t>6076435,8</t>
  </si>
  <si>
    <t>Oracle Corporation</t>
  </si>
  <si>
    <t>ORCL</t>
  </si>
  <si>
    <t>18479979,7</t>
  </si>
  <si>
    <t>8519281,9</t>
  </si>
  <si>
    <t>1459994,8</t>
  </si>
  <si>
    <t>-5376352,8</t>
  </si>
  <si>
    <t>4868140,8</t>
  </si>
  <si>
    <t>11438941,5</t>
  </si>
  <si>
    <t>20061847,3</t>
  </si>
  <si>
    <t>40202972,1</t>
  </si>
  <si>
    <t>42941704,5</t>
  </si>
  <si>
    <t>44735642,7</t>
  </si>
  <si>
    <t>PACCAR Inc</t>
  </si>
  <si>
    <t>PCAR</t>
  </si>
  <si>
    <t>16407148,8</t>
  </si>
  <si>
    <t>16909914,71</t>
  </si>
  <si>
    <t>14365550,36</t>
  </si>
  <si>
    <t>12320455,47</t>
  </si>
  <si>
    <t>10194604,2</t>
  </si>
  <si>
    <t>8649105,71</t>
  </si>
  <si>
    <t>7505038,86</t>
  </si>
  <si>
    <t>6704456,4</t>
  </si>
  <si>
    <t>6420420,48</t>
  </si>
  <si>
    <t>6390373,3</t>
  </si>
  <si>
    <t>Packaging Corp. America</t>
  </si>
  <si>
    <t>PKG</t>
  </si>
  <si>
    <t>3916116,6</t>
  </si>
  <si>
    <t>4253823,6</t>
  </si>
  <si>
    <t>3616357,31</t>
  </si>
  <si>
    <t>3431305,47</t>
  </si>
  <si>
    <t>3171810,96</t>
  </si>
  <si>
    <t>2653850,25</t>
  </si>
  <si>
    <t>2736568,1</t>
  </si>
  <si>
    <t>2334074,16</t>
  </si>
  <si>
    <t>1817669,28</t>
  </si>
  <si>
    <t>1667058,54</t>
  </si>
  <si>
    <t>Palo Alto Networks Inc.</t>
  </si>
  <si>
    <t>PANW</t>
  </si>
  <si>
    <t>6840090,48</t>
  </si>
  <si>
    <t>4776802,8</t>
  </si>
  <si>
    <t>1586498,16</t>
  </si>
  <si>
    <t>534883,5</t>
  </si>
  <si>
    <t>931351,54</t>
  </si>
  <si>
    <t>1425290,55</t>
  </si>
  <si>
    <t>991476,35</t>
  </si>
  <si>
    <t>644520,6</t>
  </si>
  <si>
    <t>Paramount Skydance Corp.</t>
  </si>
  <si>
    <t>PSKY</t>
  </si>
  <si>
    <t>Broadcasting</t>
  </si>
  <si>
    <t>10975857,9</t>
  </si>
  <si>
    <t>16209733,8</t>
  </si>
  <si>
    <t>22088134,2</t>
  </si>
  <si>
    <t>20291606,1</t>
  </si>
  <si>
    <t>13286827,5</t>
  </si>
  <si>
    <t>12068167,3</t>
  </si>
  <si>
    <t>9382062,8</t>
  </si>
  <si>
    <t>1647278,4</t>
  </si>
  <si>
    <t>3494589,7</t>
  </si>
  <si>
    <t>5122132,25</t>
  </si>
  <si>
    <t>Parker-Hannifin Corp.</t>
  </si>
  <si>
    <t>PH</t>
  </si>
  <si>
    <t>11657886,5</t>
  </si>
  <si>
    <t>11275197,3</t>
  </si>
  <si>
    <t>Paychex Inc.</t>
  </si>
  <si>
    <t>PAYX</t>
  </si>
  <si>
    <t>3638006,4</t>
  </si>
  <si>
    <t>3504902,1</t>
  </si>
  <si>
    <t>3277669,56</t>
  </si>
  <si>
    <t>2875714,92</t>
  </si>
  <si>
    <t>2411169,2</t>
  </si>
  <si>
    <t>2501869,3</t>
  </si>
  <si>
    <t>2349953,45</t>
  </si>
  <si>
    <t>2021427,36</t>
  </si>
  <si>
    <t>PayPal Holdings Inc.</t>
  </si>
  <si>
    <t>PYPL</t>
  </si>
  <si>
    <t>17252035,2</t>
  </si>
  <si>
    <t>19720780,3</t>
  </si>
  <si>
    <t>19044839,7</t>
  </si>
  <si>
    <t>18970381,8</t>
  </si>
  <si>
    <t>19104551,1</t>
  </si>
  <si>
    <t>16401502,5</t>
  </si>
  <si>
    <t>15085431,9</t>
  </si>
  <si>
    <t>13438132,4</t>
  </si>
  <si>
    <t>13319803,2</t>
  </si>
  <si>
    <t>13936677,6</t>
  </si>
  <si>
    <t>12668599,25</t>
  </si>
  <si>
    <t>Pentair plc</t>
  </si>
  <si>
    <t>PNR</t>
  </si>
  <si>
    <t>3295397,64</t>
  </si>
  <si>
    <t>3441405,11</t>
  </si>
  <si>
    <t>2910510,37</t>
  </si>
  <si>
    <t>2533969,17</t>
  </si>
  <si>
    <t>2129576,67</t>
  </si>
  <si>
    <t>1721900,25</t>
  </si>
  <si>
    <t>1741120,29</t>
  </si>
  <si>
    <t>1603649,74</t>
  </si>
  <si>
    <t>4195479,84</t>
  </si>
  <si>
    <t>4030193,12</t>
  </si>
  <si>
    <t>3691102,6</t>
  </si>
  <si>
    <t>PepsiCo Inc.</t>
  </si>
  <si>
    <t>PEP</t>
  </si>
  <si>
    <t>17424171,9</t>
  </si>
  <si>
    <t>16860893,9</t>
  </si>
  <si>
    <t>16162346,1</t>
  </si>
  <si>
    <t>14279099,1</t>
  </si>
  <si>
    <t>11120771,2</t>
  </si>
  <si>
    <t>13305373,2</t>
  </si>
  <si>
    <t>12756307,2</t>
  </si>
  <si>
    <t>9144976,8</t>
  </si>
  <si>
    <t>10608812,7</t>
  </si>
  <si>
    <t>10986397,5</t>
  </si>
  <si>
    <t>Pfizer Inc.</t>
  </si>
  <si>
    <t>PFE</t>
  </si>
  <si>
    <t>73906267,5</t>
  </si>
  <si>
    <t>85479252,3</t>
  </si>
  <si>
    <t>80778853,6</t>
  </si>
  <si>
    <t>89749536,9</t>
  </si>
  <si>
    <t>68113215,9</t>
  </si>
  <si>
    <t>51889177,5</t>
  </si>
  <si>
    <t>56536730,6</t>
  </si>
  <si>
    <t>55686237,2</t>
  </si>
  <si>
    <t>59675116,8</t>
  </si>
  <si>
    <t>59846908,5</t>
  </si>
  <si>
    <t>PG&amp;E Corp.</t>
  </si>
  <si>
    <t>PCG</t>
  </si>
  <si>
    <t>27928946,4</t>
  </si>
  <si>
    <t>29364325,9</t>
  </si>
  <si>
    <t>22881672,4</t>
  </si>
  <si>
    <t>21591277,5</t>
  </si>
  <si>
    <t>18661383,9</t>
  </si>
  <si>
    <t>17374327,5</t>
  </si>
  <si>
    <t>4801246,8</t>
  </si>
  <si>
    <t>11269480,2</t>
  </si>
  <si>
    <t>16216281,6</t>
  </si>
  <si>
    <t>17233281,6</t>
  </si>
  <si>
    <t>Philip Morris Intl Inc</t>
  </si>
  <si>
    <t>PM</t>
  </si>
  <si>
    <t>-6837447,6</t>
  </si>
  <si>
    <t>-8545796,2</t>
  </si>
  <si>
    <t>-5905202,7</t>
  </si>
  <si>
    <t>-7217294,4</t>
  </si>
  <si>
    <t>-8690842,5</t>
  </si>
  <si>
    <t>-8553668,9</t>
  </si>
  <si>
    <t>-9379442,6</t>
  </si>
  <si>
    <t>Phillips 66</t>
  </si>
  <si>
    <t>PSX</t>
  </si>
  <si>
    <t>25756259,7</t>
  </si>
  <si>
    <t>27492411,7</t>
  </si>
  <si>
    <t>31912984,2</t>
  </si>
  <si>
    <t>19025414,1</t>
  </si>
  <si>
    <t>17595052,5</t>
  </si>
  <si>
    <t>24210295,9</t>
  </si>
  <si>
    <t>23715430,2</t>
  </si>
  <si>
    <t>22842038,4</t>
  </si>
  <si>
    <t>22474692,5</t>
  </si>
  <si>
    <t>22040913,5</t>
  </si>
  <si>
    <t>Pinnacle West Capital Corp.</t>
  </si>
  <si>
    <t>PNW</t>
  </si>
  <si>
    <t>Pool Corp.</t>
  </si>
  <si>
    <t>POOL</t>
  </si>
  <si>
    <t>PPG Industries Inc.</t>
  </si>
  <si>
    <t>PPG</t>
  </si>
  <si>
    <t>6896214,9</t>
  </si>
  <si>
    <t>6724595,8</t>
  </si>
  <si>
    <t>7258408,1</t>
  </si>
  <si>
    <t>6277611,3</t>
  </si>
  <si>
    <t>5637192,3</t>
  </si>
  <si>
    <t>4753762,5</t>
  </si>
  <si>
    <t>4814613,3</t>
  </si>
  <si>
    <t>4132928,8</t>
  </si>
  <si>
    <t>4723641,6</t>
  </si>
  <si>
    <t>4655979,5</t>
  </si>
  <si>
    <t>4667281,75</t>
  </si>
  <si>
    <t>PPL Corp.</t>
  </si>
  <si>
    <t>PPL</t>
  </si>
  <si>
    <t>12674147,7</t>
  </si>
  <si>
    <t>13596974,3</t>
  </si>
  <si>
    <t>12605185,1</t>
  </si>
  <si>
    <t>13023072,6</t>
  </si>
  <si>
    <t>12066633,9</t>
  </si>
  <si>
    <t>10932427,5</t>
  </si>
  <si>
    <t>11576280,1</t>
  </si>
  <si>
    <t>10181223,8</t>
  </si>
  <si>
    <t>8961760,8</t>
  </si>
  <si>
    <t>9377322,7</t>
  </si>
  <si>
    <t>9132919,25</t>
  </si>
  <si>
    <t>Principal Financial Group Inc.</t>
  </si>
  <si>
    <t>PFG</t>
  </si>
  <si>
    <t>10553670,21</t>
  </si>
  <si>
    <t>11077907,1</t>
  </si>
  <si>
    <t>10142229,82</t>
  </si>
  <si>
    <t>9618808,86</t>
  </si>
  <si>
    <t>14471783,19</t>
  </si>
  <si>
    <t>13793595,75</t>
  </si>
  <si>
    <t>13322568,77</t>
  </si>
  <si>
    <t>10347344,48</t>
  </si>
  <si>
    <t>10845720,96</t>
  </si>
  <si>
    <t>9843678,49</t>
  </si>
  <si>
    <t>Prologis Inc.</t>
  </si>
  <si>
    <t>PLD</t>
  </si>
  <si>
    <t>Industrial REIT</t>
  </si>
  <si>
    <t>29695344,15</t>
  </si>
  <si>
    <t>Prudential Financial Inc.</t>
  </si>
  <si>
    <t>PRU</t>
  </si>
  <si>
    <t>30304337,7</t>
  </si>
  <si>
    <t>29098703,4</t>
  </si>
  <si>
    <t>27028817,2</t>
  </si>
  <si>
    <t>29866608,3</t>
  </si>
  <si>
    <t>55051214,4</t>
  </si>
  <si>
    <t>56780000,9</t>
  </si>
  <si>
    <t>42823675,4</t>
  </si>
  <si>
    <t>45396760,8</t>
  </si>
  <si>
    <t>43659162,4</t>
  </si>
  <si>
    <t>38600602,25</t>
  </si>
  <si>
    <t>PTC Inc.</t>
  </si>
  <si>
    <t>PTC</t>
  </si>
  <si>
    <t>Public Svc Entpr Group Inc.</t>
  </si>
  <si>
    <t>PEG</t>
  </si>
  <si>
    <t>14463569,4</t>
  </si>
  <si>
    <t>15564512,6</t>
  </si>
  <si>
    <t>14002041,9</t>
  </si>
  <si>
    <t>12846225,3</t>
  </si>
  <si>
    <t>12695333,4</t>
  </si>
  <si>
    <t>13445807,9</t>
  </si>
  <si>
    <t>12556871,8</t>
  </si>
  <si>
    <t>11531781,6</t>
  </si>
  <si>
    <t>12031440,25</t>
  </si>
  <si>
    <t>Public Storage</t>
  </si>
  <si>
    <t>PSA</t>
  </si>
  <si>
    <t>PulteGroup Inc.</t>
  </si>
  <si>
    <t>PHM</t>
  </si>
  <si>
    <t>QUALCOMM Inc.</t>
  </si>
  <si>
    <t>QCOM</t>
  </si>
  <si>
    <t>18135371,2</t>
  </si>
  <si>
    <t>23533621,8</t>
  </si>
  <si>
    <t>20251610,4</t>
  </si>
  <si>
    <t>18526370,5</t>
  </si>
  <si>
    <t>5230473,9</t>
  </si>
  <si>
    <t>4483880,6</t>
  </si>
  <si>
    <t>694584,9</t>
  </si>
  <si>
    <t>25691357,6</t>
  </si>
  <si>
    <t>28303699,6</t>
  </si>
  <si>
    <t>28035424,3</t>
  </si>
  <si>
    <t>Quanta Services Inc.</t>
  </si>
  <si>
    <t>PWR</t>
  </si>
  <si>
    <t>3555284,61</t>
  </si>
  <si>
    <t>Quest Diagnostics Inc.</t>
  </si>
  <si>
    <t>DGX</t>
  </si>
  <si>
    <t>6205486,2</t>
  </si>
  <si>
    <t>6660846,4</t>
  </si>
  <si>
    <t>5806364,6</t>
  </si>
  <si>
    <t>5620749,9</t>
  </si>
  <si>
    <t>5769966,6</t>
  </si>
  <si>
    <t>5633392,5</t>
  </si>
  <si>
    <t>5135409,3</t>
  </si>
  <si>
    <t>4667449,6</t>
  </si>
  <si>
    <t>4487360,1</t>
  </si>
  <si>
    <t>4403947,25</t>
  </si>
  <si>
    <t>Ralph Lauren Corp.</t>
  </si>
  <si>
    <t>RL</t>
  </si>
  <si>
    <t>2389703,2</t>
  </si>
  <si>
    <t>2271183,07</t>
  </si>
  <si>
    <t>2237032,2</t>
  </si>
  <si>
    <t>2208270,76</t>
  </si>
  <si>
    <t>2428906,89</t>
  </si>
  <si>
    <t>2928895,2</t>
  </si>
  <si>
    <t>2806371,58</t>
  </si>
  <si>
    <t>3085785,92</t>
  </si>
  <si>
    <t>3568630,65</t>
  </si>
  <si>
    <t>Raymond James Financial Inc.</t>
  </si>
  <si>
    <t>RJF</t>
  </si>
  <si>
    <t>10657159,2</t>
  </si>
  <si>
    <t>10460632,2</t>
  </si>
  <si>
    <t>9624677,6</t>
  </si>
  <si>
    <t>9618753,6</t>
  </si>
  <si>
    <t>7163828,4</t>
  </si>
  <si>
    <t>6111081,6</t>
  </si>
  <si>
    <t>6092295,3</t>
  </si>
  <si>
    <t>5553236,4</t>
  </si>
  <si>
    <t>Realty Income Corp.</t>
  </si>
  <si>
    <t>O</t>
  </si>
  <si>
    <t>22096281,42</t>
  </si>
  <si>
    <t>Regency Centers Corp.</t>
  </si>
  <si>
    <t>REG</t>
  </si>
  <si>
    <t>Regeneron Pharmaceuticals Inc.</t>
  </si>
  <si>
    <t>REGN</t>
  </si>
  <si>
    <t>26621501,73</t>
  </si>
  <si>
    <t>28352642,24</t>
  </si>
  <si>
    <t>23497863,57</t>
  </si>
  <si>
    <t>21206704,8</t>
  </si>
  <si>
    <t>16503405,84</t>
  </si>
  <si>
    <t>9013182,75</t>
  </si>
  <si>
    <t>9882031,67</t>
  </si>
  <si>
    <t>7648625,82</t>
  </si>
  <si>
    <t>5116806,48</t>
  </si>
  <si>
    <t>Regions Financial Corp.</t>
  </si>
  <si>
    <t>RF</t>
  </si>
  <si>
    <t>16270025,1</t>
  </si>
  <si>
    <t>15825917,1</t>
  </si>
  <si>
    <t>14925350,7</t>
  </si>
  <si>
    <t>16114051,8</t>
  </si>
  <si>
    <t>14805742,5</t>
  </si>
  <si>
    <t>14520474,5</t>
  </si>
  <si>
    <t>13484697,6</t>
  </si>
  <si>
    <t>15785807,2</t>
  </si>
  <si>
    <t>Repub Services Inc.</t>
  </si>
  <si>
    <t>RSG</t>
  </si>
  <si>
    <t>Environmental and Facilities Services</t>
  </si>
  <si>
    <t>10193997,3</t>
  </si>
  <si>
    <t>11018021,3</t>
  </si>
  <si>
    <t>9538252,1</t>
  </si>
  <si>
    <t>9063938,76</t>
  </si>
  <si>
    <t>7895850,21</t>
  </si>
  <si>
    <t>7236533,99</t>
  </si>
  <si>
    <t>6925625,3</t>
  </si>
  <si>
    <t>6630004,08</t>
  </si>
  <si>
    <t>7288242,01</t>
  </si>
  <si>
    <t>7160304,45</t>
  </si>
  <si>
    <t>ResMed Inc.</t>
  </si>
  <si>
    <t>RMD</t>
  </si>
  <si>
    <t>Revvity Inc.</t>
  </si>
  <si>
    <t>RVTY</t>
  </si>
  <si>
    <t>Rockwell Automation Inc.</t>
  </si>
  <si>
    <t>ROK</t>
  </si>
  <si>
    <t>3162885,3</t>
  </si>
  <si>
    <t>3536764,32</t>
  </si>
  <si>
    <t>3076430,66</t>
  </si>
  <si>
    <t>2324469,48</t>
  </si>
  <si>
    <t>1146934,88</t>
  </si>
  <si>
    <t>370691,82</t>
  </si>
  <si>
    <t>1392182,25</t>
  </si>
  <si>
    <t>2253671,96</t>
  </si>
  <si>
    <t>2022205,64</t>
  </si>
  <si>
    <t>Rollins Inc.</t>
  </si>
  <si>
    <t>ROL</t>
  </si>
  <si>
    <t>769561,8</t>
  </si>
  <si>
    <t>Roper Technologies Inc.</t>
  </si>
  <si>
    <t>ROP</t>
  </si>
  <si>
    <t>16933073,55</t>
  </si>
  <si>
    <t>18224214,84</t>
  </si>
  <si>
    <t>15782310,56</t>
  </si>
  <si>
    <t>15006569,46</t>
  </si>
  <si>
    <t>10168049,34</t>
  </si>
  <si>
    <t>8567236,5</t>
  </si>
  <si>
    <t>8458232,09</t>
  </si>
  <si>
    <t>6758805,9</t>
  </si>
  <si>
    <t>5716006,08</t>
  </si>
  <si>
    <t>Ross Stores Inc.</t>
  </si>
  <si>
    <t>ROST</t>
  </si>
  <si>
    <t>Apparel Retail</t>
  </si>
  <si>
    <t>Royal Caribbean Cruises Ltd.</t>
  </si>
  <si>
    <t>RCL</t>
  </si>
  <si>
    <t>8725666,5</t>
  </si>
  <si>
    <t>7471236,5</t>
  </si>
  <si>
    <t>4432125,3</t>
  </si>
  <si>
    <t>2684523,3</t>
  </si>
  <si>
    <t>RTX Corp.</t>
  </si>
  <si>
    <t>RTX</t>
  </si>
  <si>
    <t>57181434,6</t>
  </si>
  <si>
    <t>59845232,2</t>
  </si>
  <si>
    <t>55589291,5</t>
  </si>
  <si>
    <t>69442039,8</t>
  </si>
  <si>
    <t>65682830,7</t>
  </si>
  <si>
    <t>39498898,6</t>
  </si>
  <si>
    <t>35563974,6</t>
  </si>
  <si>
    <t>26276505,6</t>
  </si>
  <si>
    <t>27912194,5</t>
  </si>
  <si>
    <t>26670444,5</t>
  </si>
  <si>
    <t>S&amp;P Global Inc.</t>
  </si>
  <si>
    <t>SPGI</t>
  </si>
  <si>
    <t>30790658,4</t>
  </si>
  <si>
    <t>36228977,2</t>
  </si>
  <si>
    <t>37188460,8</t>
  </si>
  <si>
    <t>4867804,8</t>
  </si>
  <si>
    <t>2498644,4</t>
  </si>
  <si>
    <t>2012313,6</t>
  </si>
  <si>
    <t>1763870,4</t>
  </si>
  <si>
    <t>1687141,3</t>
  </si>
  <si>
    <t>1070832,25</t>
  </si>
  <si>
    <t>Salesforce Inc.</t>
  </si>
  <si>
    <t>CRM</t>
  </si>
  <si>
    <t>58854543,3</t>
  </si>
  <si>
    <t>54975718,2</t>
  </si>
  <si>
    <t>53731131,3</t>
  </si>
  <si>
    <t>51899356,8</t>
  </si>
  <si>
    <t>34181933,4</t>
  </si>
  <si>
    <t>8341266,4</t>
  </si>
  <si>
    <t>SBA Communications Corp</t>
  </si>
  <si>
    <t>SBAC</t>
  </si>
  <si>
    <t>-3931511,19</t>
  </si>
  <si>
    <t>Seagate Technology Hldgs plc</t>
  </si>
  <si>
    <t>STX</t>
  </si>
  <si>
    <t>-386635,5</t>
  </si>
  <si>
    <t>-1391550,3</t>
  </si>
  <si>
    <t>104792,6</t>
  </si>
  <si>
    <t>532816,4</t>
  </si>
  <si>
    <t>1589536,5</t>
  </si>
  <si>
    <t>1899965,6</t>
  </si>
  <si>
    <t>1427071,5</t>
  </si>
  <si>
    <t>1429478,55</t>
  </si>
  <si>
    <t>2718765,3</t>
  </si>
  <si>
    <t>Sempra</t>
  </si>
  <si>
    <t>SRE</t>
  </si>
  <si>
    <t>35770548,3</t>
  </si>
  <si>
    <t>36499429,2</t>
  </si>
  <si>
    <t>30446773,8</t>
  </si>
  <si>
    <t>27374839,2</t>
  </si>
  <si>
    <t>24109526,7</t>
  </si>
  <si>
    <t>19430435,5</t>
  </si>
  <si>
    <t>16811203,2</t>
  </si>
  <si>
    <t>14437799,3</t>
  </si>
  <si>
    <t>11582114,25</t>
  </si>
  <si>
    <t>ServiceNow Inc.</t>
  </si>
  <si>
    <t>NOW</t>
  </si>
  <si>
    <t>11041438,8</t>
  </si>
  <si>
    <t>9281333,1</t>
  </si>
  <si>
    <t>6901051,6</t>
  </si>
  <si>
    <t>4708442,4</t>
  </si>
  <si>
    <t>3249013,5</t>
  </si>
  <si>
    <t>Simon Property Group</t>
  </si>
  <si>
    <t>SPG</t>
  </si>
  <si>
    <t>Skyworks Solutions Inc.</t>
  </si>
  <si>
    <t>SWKS</t>
  </si>
  <si>
    <t>4902170,65</t>
  </si>
  <si>
    <t>5675782,19</t>
  </si>
  <si>
    <t>5746934,96</t>
  </si>
  <si>
    <t>5577286,2</t>
  </si>
  <si>
    <t>4569278,46</t>
  </si>
  <si>
    <t>3554977,54</t>
  </si>
  <si>
    <t>3765308,82</t>
  </si>
  <si>
    <t>3526287,9</t>
  </si>
  <si>
    <t>3439988,77</t>
  </si>
  <si>
    <t>3150606,51</t>
  </si>
  <si>
    <t>2802368,36</t>
  </si>
  <si>
    <t>SLB N.V.</t>
  </si>
  <si>
    <t>SLB</t>
  </si>
  <si>
    <t>23243744,7</t>
  </si>
  <si>
    <t>19323487,3</t>
  </si>
  <si>
    <t>16832307,3</t>
  </si>
  <si>
    <t>13440979,8</t>
  </si>
  <si>
    <t>10209757,5</t>
  </si>
  <si>
    <t>21543233,6</t>
  </si>
  <si>
    <t>31954212,4</t>
  </si>
  <si>
    <t>31030960,8</t>
  </si>
  <si>
    <t>39340421,7</t>
  </si>
  <si>
    <t>33059528,75</t>
  </si>
  <si>
    <t>Smurfit Westrock Plc</t>
  </si>
  <si>
    <t>SW</t>
  </si>
  <si>
    <t>15632101,8</t>
  </si>
  <si>
    <t>16794103,3</t>
  </si>
  <si>
    <t>5585617,8</t>
  </si>
  <si>
    <t>4999445,1</t>
  </si>
  <si>
    <t>Snap-on Inc.</t>
  </si>
  <si>
    <t>SNA</t>
  </si>
  <si>
    <t>5071619,52</t>
  </si>
  <si>
    <t>5194361,3</t>
  </si>
  <si>
    <t>4607998,98</t>
  </si>
  <si>
    <t>4213924,95</t>
  </si>
  <si>
    <t>3696401,34</t>
  </si>
  <si>
    <t>3148826,76</t>
  </si>
  <si>
    <t>3070222,92</t>
  </si>
  <si>
    <t>2724408,96</t>
  </si>
  <si>
    <t>2475331,44</t>
  </si>
  <si>
    <t>2496324,96</t>
  </si>
  <si>
    <t>Southwest Airlines Co.</t>
  </si>
  <si>
    <t>LUV</t>
  </si>
  <si>
    <t>6797417,7</t>
  </si>
  <si>
    <t>9512920,5</t>
  </si>
  <si>
    <t>9999825,9</t>
  </si>
  <si>
    <t>9157030,2</t>
  </si>
  <si>
    <t>8761295,2</t>
  </si>
  <si>
    <t>8605610,2</t>
  </si>
  <si>
    <t>8029024,8</t>
  </si>
  <si>
    <t>7996159,3</t>
  </si>
  <si>
    <t>6774878,5</t>
  </si>
  <si>
    <t>Stanley Black &amp; Decker Inc.</t>
  </si>
  <si>
    <t>SWK</t>
  </si>
  <si>
    <t>7709086,44</t>
  </si>
  <si>
    <t>8361512,11</t>
  </si>
  <si>
    <t>8193053,67</t>
  </si>
  <si>
    <t>9089576,94</t>
  </si>
  <si>
    <t>10193197,32</t>
  </si>
  <si>
    <t>9058955,04</t>
  </si>
  <si>
    <t>8181354,78</t>
  </si>
  <si>
    <t>6848936,64</t>
  </si>
  <si>
    <t>6037711,28</t>
  </si>
  <si>
    <t>5393686,56</t>
  </si>
  <si>
    <t>Starbucks Corp.</t>
  </si>
  <si>
    <t>SBUX</t>
  </si>
  <si>
    <t>-6917883,84</t>
  </si>
  <si>
    <t>-6665441,12</t>
  </si>
  <si>
    <t>-7546873,44</t>
  </si>
  <si>
    <t>-8870934,26</t>
  </si>
  <si>
    <t>-4584287,7</t>
  </si>
  <si>
    <t>-6712943,58</t>
  </si>
  <si>
    <t>-5691395,4</t>
  </si>
  <si>
    <t>1012011,06</t>
  </si>
  <si>
    <t>4617167,7</t>
  </si>
  <si>
    <t>5193880,51</t>
  </si>
  <si>
    <t>State Street Corp.</t>
  </si>
  <si>
    <t>STT</t>
  </si>
  <si>
    <t>23712179,7</t>
  </si>
  <si>
    <t>24462383,4</t>
  </si>
  <si>
    <t>21530955,3</t>
  </si>
  <si>
    <t>23571218,7</t>
  </si>
  <si>
    <t>24060285,9</t>
  </si>
  <si>
    <t>21770464,1</t>
  </si>
  <si>
    <t>21605295,8</t>
  </si>
  <si>
    <t>18585597,6</t>
  </si>
  <si>
    <t>20100758,7</t>
  </si>
  <si>
    <t>19460051,25</t>
  </si>
  <si>
    <t>Steel Dynamics Inc.</t>
  </si>
  <si>
    <t>STLD</t>
  </si>
  <si>
    <t>STERIS plc</t>
  </si>
  <si>
    <t>STE</t>
  </si>
  <si>
    <t>3110571,1</t>
  </si>
  <si>
    <t>2611482,41</t>
  </si>
  <si>
    <t>Stryker Corp.</t>
  </si>
  <si>
    <t>SYK</t>
  </si>
  <si>
    <t>19930380,6</t>
  </si>
  <si>
    <t>16821087,1</t>
  </si>
  <si>
    <t>15547591,2</t>
  </si>
  <si>
    <t>13081346,1</t>
  </si>
  <si>
    <t>11412317,7</t>
  </si>
  <si>
    <t>7836503,25</t>
  </si>
  <si>
    <t>Super Micro Computer Inc.</t>
  </si>
  <si>
    <t>SMCI</t>
  </si>
  <si>
    <t>1806507,72</t>
  </si>
  <si>
    <t>Synchrony Financial</t>
  </si>
  <si>
    <t>SYF</t>
  </si>
  <si>
    <t>14279602,2</t>
  </si>
  <si>
    <t>12578044,1</t>
  </si>
  <si>
    <t>12045266,1</t>
  </si>
  <si>
    <t>12006841,5</t>
  </si>
  <si>
    <t>10383067,5</t>
  </si>
  <si>
    <t>13444916,8</t>
  </si>
  <si>
    <t>12819765,2</t>
  </si>
  <si>
    <t>11854075,2</t>
  </si>
  <si>
    <t>13447870,8</t>
  </si>
  <si>
    <t>Synopsys Inc.</t>
  </si>
  <si>
    <t>SNPS</t>
  </si>
  <si>
    <t>Sysco Corp.</t>
  </si>
  <si>
    <t>SYY</t>
  </si>
  <si>
    <t>Food Distributors</t>
  </si>
  <si>
    <t>1584949,5</t>
  </si>
  <si>
    <t>1764870,3</t>
  </si>
  <si>
    <t>T-Mobile US Inc.</t>
  </si>
  <si>
    <t>TMUS</t>
  </si>
  <si>
    <t>Wireless Telecommunication Services</t>
  </si>
  <si>
    <t>50423195,1</t>
  </si>
  <si>
    <t>59635631,9</t>
  </si>
  <si>
    <t>58547660,5</t>
  </si>
  <si>
    <t>65177119,2</t>
  </si>
  <si>
    <t>60761388,6</t>
  </si>
  <si>
    <t>25653877,9</t>
  </si>
  <si>
    <t>21588701,2</t>
  </si>
  <si>
    <t>18787135,2</t>
  </si>
  <si>
    <t>17274962,8</t>
  </si>
  <si>
    <t>15244857,75</t>
  </si>
  <si>
    <t>T. Rowe Price Group Inc.</t>
  </si>
  <si>
    <t>TROW</t>
  </si>
  <si>
    <t>10265710,44</t>
  </si>
  <si>
    <t>11059651,59</t>
  </si>
  <si>
    <t>9310448,64</t>
  </si>
  <si>
    <t>9064032,33</t>
  </si>
  <si>
    <t>9016078,41</t>
  </si>
  <si>
    <t>7577162,25</t>
  </si>
  <si>
    <t>7327604,41</t>
  </si>
  <si>
    <t>5995541,64</t>
  </si>
  <si>
    <t>5677364,16</t>
  </si>
  <si>
    <t>5395631,34</t>
  </si>
  <si>
    <t>4384611,5</t>
  </si>
  <si>
    <t>Take-Two Interactive Software</t>
  </si>
  <si>
    <t>TTWO</t>
  </si>
  <si>
    <t>1977800,04</t>
  </si>
  <si>
    <t>5253576,51</t>
  </si>
  <si>
    <t>3429491,94</t>
  </si>
  <si>
    <t>2310712,04</t>
  </si>
  <si>
    <t>1818156,78</t>
  </si>
  <si>
    <t>Tapestry Inc.</t>
  </si>
  <si>
    <t>TPR</t>
  </si>
  <si>
    <t>732132,3</t>
  </si>
  <si>
    <t>2703676,77</t>
  </si>
  <si>
    <t>2086464,8</t>
  </si>
  <si>
    <t>2197279,7</t>
  </si>
  <si>
    <t>2752152,92</t>
  </si>
  <si>
    <t>2030776,44</t>
  </si>
  <si>
    <t>3087575,92</t>
  </si>
  <si>
    <t>2780946,66</t>
  </si>
  <si>
    <t>2631165,35</t>
  </si>
  <si>
    <t>Targa Resources Corp.</t>
  </si>
  <si>
    <t>TRGP</t>
  </si>
  <si>
    <t>2723906,94</t>
  </si>
  <si>
    <t>4267539,38</t>
  </si>
  <si>
    <t>4661844,54</t>
  </si>
  <si>
    <t>5212842,12</t>
  </si>
  <si>
    <t>5072260,5</t>
  </si>
  <si>
    <t>7771906,87</t>
  </si>
  <si>
    <t>6739591,1</t>
  </si>
  <si>
    <t>5603468,96</t>
  </si>
  <si>
    <t>5754871,65</t>
  </si>
  <si>
    <t>Target Corp.</t>
  </si>
  <si>
    <t>TGT</t>
  </si>
  <si>
    <t>14110158,6</t>
  </si>
  <si>
    <t>12447434,4</t>
  </si>
  <si>
    <t>10346918,4</t>
  </si>
  <si>
    <t>11491709,3</t>
  </si>
  <si>
    <t>9838557,3</t>
  </si>
  <si>
    <t>9365073,8</t>
  </si>
  <si>
    <t>10243245,6</t>
  </si>
  <si>
    <t>11974211,55</t>
  </si>
  <si>
    <t>12397842,75</t>
  </si>
  <si>
    <t>TE Connectivity plc</t>
  </si>
  <si>
    <t>TEL</t>
  </si>
  <si>
    <t>11183710,2</t>
  </si>
  <si>
    <t>11112760,6</t>
  </si>
  <si>
    <t>8172346,5</t>
  </si>
  <si>
    <t>9322241,7</t>
  </si>
  <si>
    <t>8250321,1</t>
  </si>
  <si>
    <t>7548680,25</t>
  </si>
  <si>
    <t>8554133,25</t>
  </si>
  <si>
    <t>Teledyne Technologies Inc.</t>
  </si>
  <si>
    <t>TDY</t>
  </si>
  <si>
    <t>9162673,06</t>
  </si>
  <si>
    <t>8346581,26</t>
  </si>
  <si>
    <t>7647382,53</t>
  </si>
  <si>
    <t>6702024,6</t>
  </si>
  <si>
    <t>2642931,96</t>
  </si>
  <si>
    <t>2429385,03</t>
  </si>
  <si>
    <t>1947865,92</t>
  </si>
  <si>
    <t>1621711,44</t>
  </si>
  <si>
    <t>1472483,12</t>
  </si>
  <si>
    <t>Teradyne Inc.</t>
  </si>
  <si>
    <t>TER</t>
  </si>
  <si>
    <t>Tesla Inc.</t>
  </si>
  <si>
    <t>TSLA</t>
  </si>
  <si>
    <t>70576120,5</t>
  </si>
  <si>
    <t>57547062,3</t>
  </si>
  <si>
    <t>42946758,6</t>
  </si>
  <si>
    <t>27770931,9</t>
  </si>
  <si>
    <t>19357582,5</t>
  </si>
  <si>
    <t>5513774,2</t>
  </si>
  <si>
    <t>Texas Instruments Inc.</t>
  </si>
  <si>
    <t>TXN</t>
  </si>
  <si>
    <t>13859714,1</t>
  </si>
  <si>
    <t>16326607,7</t>
  </si>
  <si>
    <t>15286715,9</t>
  </si>
  <si>
    <t>13639698,9</t>
  </si>
  <si>
    <t>11723706,9</t>
  </si>
  <si>
    <t>7510372,5</t>
  </si>
  <si>
    <t>7937027,7</t>
  </si>
  <si>
    <t>7855359,6</t>
  </si>
  <si>
    <t>8608653,6</t>
  </si>
  <si>
    <t>9921072,9</t>
  </si>
  <si>
    <t>9157779,5</t>
  </si>
  <si>
    <t>Texas Pacific Land Corp.</t>
  </si>
  <si>
    <t>TPL</t>
  </si>
  <si>
    <t>396637,92</t>
  </si>
  <si>
    <t>Textron Inc.</t>
  </si>
  <si>
    <t>TXT</t>
  </si>
  <si>
    <t>6907915,6</t>
  </si>
  <si>
    <t>6321138,9</t>
  </si>
  <si>
    <t>6655634,1</t>
  </si>
  <si>
    <t>5992429,5</t>
  </si>
  <si>
    <t>4535731,2</t>
  </si>
  <si>
    <t>4702821,6</t>
  </si>
  <si>
    <t>5280250,2</t>
  </si>
  <si>
    <t>4569610,2</t>
  </si>
  <si>
    <t>The AES Corp.</t>
  </si>
  <si>
    <t>AES</t>
  </si>
  <si>
    <t>Independent Power Producers and Energy Traders</t>
  </si>
  <si>
    <t>10159929,3</t>
  </si>
  <si>
    <t>8347307,8</t>
  </si>
  <si>
    <t>6739110,3</t>
  </si>
  <si>
    <t>5450452,5</t>
  </si>
  <si>
    <t>5121043,2</t>
  </si>
  <si>
    <t>5450858,7</t>
  </si>
  <si>
    <t>5662252,2</t>
  </si>
  <si>
    <t>4731969,6</t>
  </si>
  <si>
    <t>6140398,6</t>
  </si>
  <si>
    <t>6177311,75</t>
  </si>
  <si>
    <t>The Allstate Corp.</t>
  </si>
  <si>
    <t>ALL</t>
  </si>
  <si>
    <t>26052651,3</t>
  </si>
  <si>
    <t>20638385,3</t>
  </si>
  <si>
    <t>16246559,1</t>
  </si>
  <si>
    <t>22094171,1</t>
  </si>
  <si>
    <t>24702397,5</t>
  </si>
  <si>
    <t>23166817,8</t>
  </si>
  <si>
    <t>18613900,8</t>
  </si>
  <si>
    <t>18780472,8</t>
  </si>
  <si>
    <t>19488802,9</t>
  </si>
  <si>
    <t>18438018,75</t>
  </si>
  <si>
    <t>The Bank New York Mellon</t>
  </si>
  <si>
    <t>BK</t>
  </si>
  <si>
    <t>38162973,6</t>
  </si>
  <si>
    <t>40339847,6</t>
  </si>
  <si>
    <t>37006753,5</t>
  </si>
  <si>
    <t>38153706,3</t>
  </si>
  <si>
    <t>37183820,8</t>
  </si>
  <si>
    <t>35694111,2</t>
  </si>
  <si>
    <t>34766068,8</t>
  </si>
  <si>
    <t>35886231,25</t>
  </si>
  <si>
    <t>The Boeing Co.</t>
  </si>
  <si>
    <t>BA</t>
  </si>
  <si>
    <t>4647726,9</t>
  </si>
  <si>
    <t>-3780532,6</t>
  </si>
  <si>
    <t>-15586171,6</t>
  </si>
  <si>
    <t>-14828973,6</t>
  </si>
  <si>
    <t>-13054087,8</t>
  </si>
  <si>
    <t>-14776312,5</t>
  </si>
  <si>
    <t>1426586,4</t>
  </si>
  <si>
    <t>830782,1</t>
  </si>
  <si>
    <t>5890037,75</t>
  </si>
  <si>
    <t>The Campbell's Co.</t>
  </si>
  <si>
    <t>CPB</t>
  </si>
  <si>
    <t>3381254,4</t>
  </si>
  <si>
    <t>3496495,6</t>
  </si>
  <si>
    <t>3321974,7</t>
  </si>
  <si>
    <t>3267673,2</t>
  </si>
  <si>
    <t>2171575,7</t>
  </si>
  <si>
    <t>1000021,6</t>
  </si>
  <si>
    <t>1178308,6</t>
  </si>
  <si>
    <t>1399401,5</t>
  </si>
  <si>
    <t>1371958,35</t>
  </si>
  <si>
    <t>1246391,55</t>
  </si>
  <si>
    <t>The Charles Schwab Corp.</t>
  </si>
  <si>
    <t>SCHW</t>
  </si>
  <si>
    <t>42095272,5</t>
  </si>
  <si>
    <t>46725412,5</t>
  </si>
  <si>
    <t>37054702,6</t>
  </si>
  <si>
    <t>34254105,6</t>
  </si>
  <si>
    <t>49470297,3</t>
  </si>
  <si>
    <t>19376969,5</t>
  </si>
  <si>
    <t>15555613,3</t>
  </si>
  <si>
    <t>12339891,5</t>
  </si>
  <si>
    <t>The Cigna Group</t>
  </si>
  <si>
    <t>CI</t>
  </si>
  <si>
    <t>35664085,8</t>
  </si>
  <si>
    <t>39836613,7</t>
  </si>
  <si>
    <t>41933749,7</t>
  </si>
  <si>
    <t>41876317,8</t>
  </si>
  <si>
    <t>41488891,2</t>
  </si>
  <si>
    <t>40437226,9</t>
  </si>
  <si>
    <t>35872284,8</t>
  </si>
  <si>
    <t>13058530,5</t>
  </si>
  <si>
    <t>11153044,75</t>
  </si>
  <si>
    <t>The Clorox Co.</t>
  </si>
  <si>
    <t>CLX</t>
  </si>
  <si>
    <t>459183,6</t>
  </si>
  <si>
    <t>697361,4</t>
  </si>
  <si>
    <t>499292,8</t>
  </si>
  <si>
    <t>806848,8</t>
  </si>
  <si>
    <t>491249,2</t>
  </si>
  <si>
    <t>622254,6</t>
  </si>
  <si>
    <t>267433,65</t>
  </si>
  <si>
    <t>105934,5</t>
  </si>
  <si>
    <t>The Coca-Cola Co.</t>
  </si>
  <si>
    <t>KO</t>
  </si>
  <si>
    <t>29192017,5</t>
  </si>
  <si>
    <t>25472714,8</t>
  </si>
  <si>
    <t>24165388,2</t>
  </si>
  <si>
    <t>18800427,8</t>
  </si>
  <si>
    <t>16645257,2</t>
  </si>
  <si>
    <t>15804045,6</t>
  </si>
  <si>
    <t>The Cooper Companies Inc.</t>
  </si>
  <si>
    <t>COO</t>
  </si>
  <si>
    <t>7143299,7</t>
  </si>
  <si>
    <t>7444995,6</t>
  </si>
  <si>
    <t>7147021,5</t>
  </si>
  <si>
    <t>7255774,11</t>
  </si>
  <si>
    <t>6003441,6</t>
  </si>
  <si>
    <t>3282060,88</t>
  </si>
  <si>
    <t>3255217,06</t>
  </si>
  <si>
    <t>2922441,3</t>
  </si>
  <si>
    <t>2728012,2</t>
  </si>
  <si>
    <t>2459739,16</t>
  </si>
  <si>
    <t>The Estée Lauder Cos Inc</t>
  </si>
  <si>
    <t>EL</t>
  </si>
  <si>
    <t>Personal Care and Beauty Products: Producers</t>
  </si>
  <si>
    <t>3291047,5</t>
  </si>
  <si>
    <t>4959556,2</t>
  </si>
  <si>
    <t>6152851,2</t>
  </si>
  <si>
    <t>5859943,2</t>
  </si>
  <si>
    <t>3520633,2</t>
  </si>
  <si>
    <t>3876386,8</t>
  </si>
  <si>
    <t>3229914,15</t>
  </si>
  <si>
    <t>The Goldman Sachs Group</t>
  </si>
  <si>
    <t>GS</t>
  </si>
  <si>
    <t>106818510,6</t>
  </si>
  <si>
    <t>118238716,7</t>
  </si>
  <si>
    <t>106092359,6</t>
  </si>
  <si>
    <t>110261016,6</t>
  </si>
  <si>
    <t>97396543,8</t>
  </si>
  <si>
    <t>81961595,8</t>
  </si>
  <si>
    <t>80137070,2</t>
  </si>
  <si>
    <t>68952508,8</t>
  </si>
  <si>
    <t>82793072,7</t>
  </si>
  <si>
    <t>80277430,25</t>
  </si>
  <si>
    <t>The Hartford Insurance Group</t>
  </si>
  <si>
    <t>HIG</t>
  </si>
  <si>
    <t>16164414,3</t>
  </si>
  <si>
    <t>15886157,3</t>
  </si>
  <si>
    <t>13866336,9</t>
  </si>
  <si>
    <t>12796633,2</t>
  </si>
  <si>
    <t>15689349,9</t>
  </si>
  <si>
    <t>11442413,4</t>
  </si>
  <si>
    <t>11237803,2</t>
  </si>
  <si>
    <t>16012211,9</t>
  </si>
  <si>
    <t>16243871,5</t>
  </si>
  <si>
    <t>The Hershey Co.</t>
  </si>
  <si>
    <t>HSY</t>
  </si>
  <si>
    <t>The Home Depot Inc.</t>
  </si>
  <si>
    <t>HD</t>
  </si>
  <si>
    <t>960897,6</t>
  </si>
  <si>
    <t>1438914,4</t>
  </si>
  <si>
    <t>-1519446,4</t>
  </si>
  <si>
    <t>2717716,2</t>
  </si>
  <si>
    <t>-1635550,2</t>
  </si>
  <si>
    <t>1170179,2</t>
  </si>
  <si>
    <t>4052221,6</t>
  </si>
  <si>
    <t>5836931,4</t>
  </si>
  <si>
    <t>8256961,5</t>
  </si>
  <si>
    <t>The J. M. Smucker Co.</t>
  </si>
  <si>
    <t>SJM</t>
  </si>
  <si>
    <t>5361203,64</t>
  </si>
  <si>
    <t>7195335,28</t>
  </si>
  <si>
    <t>6606193,88</t>
  </si>
  <si>
    <t>7724140,89</t>
  </si>
  <si>
    <t>6754146,24</t>
  </si>
  <si>
    <t>7487301,69</t>
  </si>
  <si>
    <t>7113671,25</t>
  </si>
  <si>
    <t>6535409,02</t>
  </si>
  <si>
    <t>6287113,56</t>
  </si>
  <si>
    <t>The Kraft Heinz Co.</t>
  </si>
  <si>
    <t>KHC</t>
  </si>
  <si>
    <t>47297742,5</t>
  </si>
  <si>
    <t>44983493,4</t>
  </si>
  <si>
    <t>43720513,2</t>
  </si>
  <si>
    <t>41229405,8</t>
  </si>
  <si>
    <t>46310180,1</t>
  </si>
  <si>
    <t>45233260,8</t>
  </si>
  <si>
    <t>55028092,8</t>
  </si>
  <si>
    <t>54539850,2</t>
  </si>
  <si>
    <t>60973549,8</t>
  </si>
  <si>
    <t>The Kroger Co.</t>
  </si>
  <si>
    <t>KR</t>
  </si>
  <si>
    <t>Food Retail</t>
  </si>
  <si>
    <t>7967150,1</t>
  </si>
  <si>
    <t>10750646,7</t>
  </si>
  <si>
    <t>9224896,8</t>
  </si>
  <si>
    <t>8447441,1</t>
  </si>
  <si>
    <t>6823501,5</t>
  </si>
  <si>
    <t>6282371,7</t>
  </si>
  <si>
    <t>4820251,5</t>
  </si>
  <si>
    <t>The Mosaic Co.</t>
  </si>
  <si>
    <t>MOS</t>
  </si>
  <si>
    <t>10419868,14</t>
  </si>
  <si>
    <t>11218638,73</t>
  </si>
  <si>
    <t>11247954,16</t>
  </si>
  <si>
    <t>11410112,94</t>
  </si>
  <si>
    <t>9451156,05</t>
  </si>
  <si>
    <t>8347468,36</t>
  </si>
  <si>
    <t>9262144,98</t>
  </si>
  <si>
    <t>8027442,48</t>
  </si>
  <si>
    <t>9115394,25</t>
  </si>
  <si>
    <t>8806973,75</t>
  </si>
  <si>
    <t>The PNC Finl Svcs Grp</t>
  </si>
  <si>
    <t>PNC</t>
  </si>
  <si>
    <t>51643681,2</t>
  </si>
  <si>
    <t>52611607,1</t>
  </si>
  <si>
    <t>46267262,7</t>
  </si>
  <si>
    <t>42866288,4</t>
  </si>
  <si>
    <t>48999871,8</t>
  </si>
  <si>
    <t>44178517,5</t>
  </si>
  <si>
    <t>43969547,3</t>
  </si>
  <si>
    <t>44384794,2</t>
  </si>
  <si>
    <t>The Procter &amp; Gamble Co.</t>
  </si>
  <si>
    <t>PG</t>
  </si>
  <si>
    <t>47185781,4</t>
  </si>
  <si>
    <t>44820536,4</t>
  </si>
  <si>
    <t>39347983,6</t>
  </si>
  <si>
    <t>41655790,8</t>
  </si>
  <si>
    <t>41812425,2</t>
  </si>
  <si>
    <t>45326019,3</t>
  </si>
  <si>
    <t>52210792,35</t>
  </si>
  <si>
    <t>56603137,5</t>
  </si>
  <si>
    <t>The Progressive Corp.</t>
  </si>
  <si>
    <t>PGR</t>
  </si>
  <si>
    <t>25826099,1</t>
  </si>
  <si>
    <t>24718346,9</t>
  </si>
  <si>
    <t>18344601,9</t>
  </si>
  <si>
    <t>16031045,88</t>
  </si>
  <si>
    <t>13929055,5</t>
  </si>
  <si>
    <t>12385220,68</t>
  </si>
  <si>
    <t>9639104,42</t>
  </si>
  <si>
    <t>8151862,8</t>
  </si>
  <si>
    <t>7995969,84</t>
  </si>
  <si>
    <t>The Sherwin-Williams Co.</t>
  </si>
  <si>
    <t>SHW</t>
  </si>
  <si>
    <t>3916372,11</t>
  </si>
  <si>
    <t>3913054,08</t>
  </si>
  <si>
    <t>3361684,26</t>
  </si>
  <si>
    <t>2902634,97</t>
  </si>
  <si>
    <t>2143029,96</t>
  </si>
  <si>
    <t>3674272,63</t>
  </si>
  <si>
    <t>3258393,38</t>
  </si>
  <si>
    <t>3037971,12</t>
  </si>
  <si>
    <t>The Southern Co.</t>
  </si>
  <si>
    <t>SO</t>
  </si>
  <si>
    <t>33103023,9</t>
  </si>
  <si>
    <t>35423416,6</t>
  </si>
  <si>
    <t>31868057,5</t>
  </si>
  <si>
    <t>32311592,4</t>
  </si>
  <si>
    <t>28636163,1</t>
  </si>
  <si>
    <t>26589187,5</t>
  </si>
  <si>
    <t>21529545,6</t>
  </si>
  <si>
    <t>25476686,2</t>
  </si>
  <si>
    <t>20388167,25</t>
  </si>
  <si>
    <t>The TJX Companies Inc.</t>
  </si>
  <si>
    <t>TJX</t>
  </si>
  <si>
    <t>8074905,3</t>
  </si>
  <si>
    <t>6766763,4</t>
  </si>
  <si>
    <t>5862516,8</t>
  </si>
  <si>
    <t>5378087,7</t>
  </si>
  <si>
    <t>The Trade Desk Inc.</t>
  </si>
  <si>
    <t>TTD</t>
  </si>
  <si>
    <t>The Travelers Companies Inc.</t>
  </si>
  <si>
    <t>TRV</t>
  </si>
  <si>
    <t>28015819,8</t>
  </si>
  <si>
    <t>26913837,6</t>
  </si>
  <si>
    <t>22546028,7</t>
  </si>
  <si>
    <t>25400339,1</t>
  </si>
  <si>
    <t>23871817,5</t>
  </si>
  <si>
    <t>23117807,3</t>
  </si>
  <si>
    <t>19995619,6</t>
  </si>
  <si>
    <t>19763176,8</t>
  </si>
  <si>
    <t>21997253,3</t>
  </si>
  <si>
    <t>21727858,5</t>
  </si>
  <si>
    <t>The Walt Disney Co.</t>
  </si>
  <si>
    <t>DIS</t>
  </si>
  <si>
    <t>98016182,4</t>
  </si>
  <si>
    <t>94516055,4</t>
  </si>
  <si>
    <t>106773737,6</t>
  </si>
  <si>
    <t>110523884,4</t>
  </si>
  <si>
    <t>88178422,4</t>
  </si>
  <si>
    <t>83245994,4</t>
  </si>
  <si>
    <t>93945016,8</t>
  </si>
  <si>
    <t>46439068,5</t>
  </si>
  <si>
    <t>39049207,2</t>
  </si>
  <si>
    <t>42100906,95</t>
  </si>
  <si>
    <t>43159417,75</t>
  </si>
  <si>
    <t>The Williams Companies Inc.</t>
  </si>
  <si>
    <t>WMB</t>
  </si>
  <si>
    <t>12771241,5</t>
  </si>
  <si>
    <t>13471887,7</t>
  </si>
  <si>
    <t>13141906,5</t>
  </si>
  <si>
    <t>12399009,3</t>
  </si>
  <si>
    <t>11921602,5</t>
  </si>
  <si>
    <t>14581960,4</t>
  </si>
  <si>
    <t>13971779,8</t>
  </si>
  <si>
    <t>13305775,8</t>
  </si>
  <si>
    <t>14939168,75</t>
  </si>
  <si>
    <t>Thermo Fisher Scientific Inc.</t>
  </si>
  <si>
    <t>TMO</t>
  </si>
  <si>
    <t>45596611,2</t>
  </si>
  <si>
    <t>47977218,9</t>
  </si>
  <si>
    <t>42377957,4</t>
  </si>
  <si>
    <t>41309283,6</t>
  </si>
  <si>
    <t>36031076,1</t>
  </si>
  <si>
    <t>28217647,5</t>
  </si>
  <si>
    <t>26443392,5</t>
  </si>
  <si>
    <t>24093612,4</t>
  </si>
  <si>
    <t>21163946,4</t>
  </si>
  <si>
    <t>19658196,65</t>
  </si>
  <si>
    <t>Tractor Supply Co.</t>
  </si>
  <si>
    <t>TSCO</t>
  </si>
  <si>
    <t>Other Specialty Retail</t>
  </si>
  <si>
    <t>2194099,05</t>
  </si>
  <si>
    <t>Trane Technologies plc</t>
  </si>
  <si>
    <t>TT</t>
  </si>
  <si>
    <t>7325386,53</t>
  </si>
  <si>
    <t>7231596,71</t>
  </si>
  <si>
    <t>6348279,9</t>
  </si>
  <si>
    <t>5712635,64</t>
  </si>
  <si>
    <t>5515936,83</t>
  </si>
  <si>
    <t>5254154,25</t>
  </si>
  <si>
    <t>6516079,64</t>
  </si>
  <si>
    <t>6170396,32</t>
  </si>
  <si>
    <t>6001906,32</t>
  </si>
  <si>
    <t>6364245,59</t>
  </si>
  <si>
    <t>5413273,4</t>
  </si>
  <si>
    <t>TransDigm Group Inc</t>
  </si>
  <si>
    <t>TDG</t>
  </si>
  <si>
    <t>-8249411,7</t>
  </si>
  <si>
    <t>-5633337,8</t>
  </si>
  <si>
    <t>-1868814,4</t>
  </si>
  <si>
    <t>-3840566,8</t>
  </si>
  <si>
    <t>-3379148,8</t>
  </si>
  <si>
    <t>-2644916,4</t>
  </si>
  <si>
    <t>Trimble Inc.</t>
  </si>
  <si>
    <t>TRMB</t>
  </si>
  <si>
    <t>4968940,68</t>
  </si>
  <si>
    <t>5582133,48</t>
  </si>
  <si>
    <t>4071240,47</t>
  </si>
  <si>
    <t>3789772,14</t>
  </si>
  <si>
    <t>3468574,71</t>
  </si>
  <si>
    <t>2945813,96</t>
  </si>
  <si>
    <t>2336705,28</t>
  </si>
  <si>
    <t>2010795,6</t>
  </si>
  <si>
    <t>2184189,61</t>
  </si>
  <si>
    <t>2044173,33</t>
  </si>
  <si>
    <t>Truist Financial Corp.</t>
  </si>
  <si>
    <t>TFC</t>
  </si>
  <si>
    <t>55521471,3</t>
  </si>
  <si>
    <t>61507546,1</t>
  </si>
  <si>
    <t>53606189,1</t>
  </si>
  <si>
    <t>56644470,9</t>
  </si>
  <si>
    <t>60909990,3</t>
  </si>
  <si>
    <t>59309833,8</t>
  </si>
  <si>
    <t>26357465,2</t>
  </si>
  <si>
    <t>28348899,8</t>
  </si>
  <si>
    <t>Tyler Technologies Inc.</t>
  </si>
  <si>
    <t>TYL</t>
  </si>
  <si>
    <t>Tyson Foods Inc.</t>
  </si>
  <si>
    <t>TSN</t>
  </si>
  <si>
    <t>15587730,4</t>
  </si>
  <si>
    <t>16582989,8</t>
  </si>
  <si>
    <t>20203257,8</t>
  </si>
  <si>
    <t>15400860,4</t>
  </si>
  <si>
    <t>13135028,2</t>
  </si>
  <si>
    <t>12873459,6</t>
  </si>
  <si>
    <t>11026427,7</t>
  </si>
  <si>
    <t>8933969,9</t>
  </si>
  <si>
    <t>8561991,6</t>
  </si>
  <si>
    <t>8609707,3</t>
  </si>
  <si>
    <t>U.S. Bancorp</t>
  </si>
  <si>
    <t>USB</t>
  </si>
  <si>
    <t>55914956,7</t>
  </si>
  <si>
    <t>50456023,7</t>
  </si>
  <si>
    <t>47937782,4</t>
  </si>
  <si>
    <t>48701789,1</t>
  </si>
  <si>
    <t>43920187,5</t>
  </si>
  <si>
    <t>46767601,3</t>
  </si>
  <si>
    <t>45117223,8</t>
  </si>
  <si>
    <t>41361844,8</t>
  </si>
  <si>
    <t>45406930,9</t>
  </si>
  <si>
    <t>43106752,75</t>
  </si>
  <si>
    <t>UDR Inc.</t>
  </si>
  <si>
    <t>UDR</t>
  </si>
  <si>
    <t>Ulta Beauty Inc.</t>
  </si>
  <si>
    <t>ULTA</t>
  </si>
  <si>
    <t>Union Pacific Corp.</t>
  </si>
  <si>
    <t>UNP</t>
  </si>
  <si>
    <t>15728343,9</t>
  </si>
  <si>
    <t>13378703,6</t>
  </si>
  <si>
    <t>11380919,1</t>
  </si>
  <si>
    <t>12451767,3</t>
  </si>
  <si>
    <t>16153860,8</t>
  </si>
  <si>
    <t>17837448,2</t>
  </si>
  <si>
    <t>20700076,8</t>
  </si>
  <si>
    <t>18881583,6</t>
  </si>
  <si>
    <t>19061366,5</t>
  </si>
  <si>
    <t>United Airlines Holdings Inc.</t>
  </si>
  <si>
    <t>UAL</t>
  </si>
  <si>
    <t>13015679,4</t>
  </si>
  <si>
    <t>12242782,5</t>
  </si>
  <si>
    <t>8435422,8</t>
  </si>
  <si>
    <t>6452587,2</t>
  </si>
  <si>
    <t>4421999,7</t>
  </si>
  <si>
    <t>10275274,1</t>
  </si>
  <si>
    <t>8770682,8</t>
  </si>
  <si>
    <t>7273675,2</t>
  </si>
  <si>
    <t>8202670,7</t>
  </si>
  <si>
    <t>8255444,5</t>
  </si>
  <si>
    <t>United Parcel Service Inc.</t>
  </si>
  <si>
    <t>UPS</t>
  </si>
  <si>
    <t>13844383,5</t>
  </si>
  <si>
    <t>16172063,7</t>
  </si>
  <si>
    <t>15663975,8</t>
  </si>
  <si>
    <t>18529667,1</t>
  </si>
  <si>
    <t>12546731,7</t>
  </si>
  <si>
    <t>546907,5</t>
  </si>
  <si>
    <t>2925481,3</t>
  </si>
  <si>
    <t>2652515,8</t>
  </si>
  <si>
    <t>852787,2</t>
  </si>
  <si>
    <t>406391,7</t>
  </si>
  <si>
    <t>2293588,25</t>
  </si>
  <si>
    <t>United Rentals Inc.</t>
  </si>
  <si>
    <t>URI</t>
  </si>
  <si>
    <t>7638045,6</t>
  </si>
  <si>
    <t>8327989,8</t>
  </si>
  <si>
    <t>6607913,4</t>
  </si>
  <si>
    <t>5267886,3</t>
  </si>
  <si>
    <t>3715537,5</t>
  </si>
  <si>
    <t>2972180,2</t>
  </si>
  <si>
    <t>2586676,8</t>
  </si>
  <si>
    <t>1561150,4</t>
  </si>
  <si>
    <t>UnitedHealth Group Inc.</t>
  </si>
  <si>
    <t>UNH</t>
  </si>
  <si>
    <t>86616186,6</t>
  </si>
  <si>
    <t>99092646,9</t>
  </si>
  <si>
    <t>89492019,3</t>
  </si>
  <si>
    <t>80794887,9</t>
  </si>
  <si>
    <t>67247984,7</t>
  </si>
  <si>
    <t>57665632,5</t>
  </si>
  <si>
    <t>55392558,2</t>
  </si>
  <si>
    <t>49108661,8</t>
  </si>
  <si>
    <t>43323921,6</t>
  </si>
  <si>
    <t>38071039,7</t>
  </si>
  <si>
    <t>32650715,75</t>
  </si>
  <si>
    <t>Universal Health Services Inc.</t>
  </si>
  <si>
    <t>UHS</t>
  </si>
  <si>
    <t>5237343,18</t>
  </si>
  <si>
    <t>Valero Energy Corp.</t>
  </si>
  <si>
    <t>VLO</t>
  </si>
  <si>
    <t>22659478,5</t>
  </si>
  <si>
    <t>26582533,9</t>
  </si>
  <si>
    <t>25805662,8</t>
  </si>
  <si>
    <t>23830407,6</t>
  </si>
  <si>
    <t>17425088,1</t>
  </si>
  <si>
    <t>20081829,6</t>
  </si>
  <si>
    <t>19853255,4</t>
  </si>
  <si>
    <t>19754994,2</t>
  </si>
  <si>
    <t>19661695,5</t>
  </si>
  <si>
    <t>Ventas Inc.</t>
  </si>
  <si>
    <t>VTR</t>
  </si>
  <si>
    <t>9236314,14</t>
  </si>
  <si>
    <t>VeriSign Inc.</t>
  </si>
  <si>
    <t>VRSN</t>
  </si>
  <si>
    <t>-1834732,14</t>
  </si>
  <si>
    <t>-1891135,61</t>
  </si>
  <si>
    <t>-1430330,7</t>
  </si>
  <si>
    <t>-1461750,54</t>
  </si>
  <si>
    <t>-1108357,65</t>
  </si>
  <si>
    <t>-1327828,11</t>
  </si>
  <si>
    <t>Verisk Analytics Inc.</t>
  </si>
  <si>
    <t>VRSK</t>
  </si>
  <si>
    <t>263856,66</t>
  </si>
  <si>
    <t>101419,5</t>
  </si>
  <si>
    <t>291494,34</t>
  </si>
  <si>
    <t>1654036,89</t>
  </si>
  <si>
    <t>2499410,25</t>
  </si>
  <si>
    <t>2205778,5</t>
  </si>
  <si>
    <t>2014598,88</t>
  </si>
  <si>
    <t>1808462,04</t>
  </si>
  <si>
    <t>1603473,12</t>
  </si>
  <si>
    <t>1262182,52</t>
  </si>
  <si>
    <t>Verizon Communications Inc.</t>
  </si>
  <si>
    <t>VZ</t>
  </si>
  <si>
    <t>90059609,7</t>
  </si>
  <si>
    <t>97145392,5</t>
  </si>
  <si>
    <t>84859955,3</t>
  </si>
  <si>
    <t>86517629,1</t>
  </si>
  <si>
    <t>55992268,5</t>
  </si>
  <si>
    <t>37215333,6</t>
  </si>
  <si>
    <t>22765513,6</t>
  </si>
  <si>
    <t>16428021,5</t>
  </si>
  <si>
    <t>Vertex Pharmaceuticals Inc.</t>
  </si>
  <si>
    <t>VRTX</t>
  </si>
  <si>
    <t>15897661,86</t>
  </si>
  <si>
    <t>15850032,64</t>
  </si>
  <si>
    <t>15904987,88</t>
  </si>
  <si>
    <t>13018113,39</t>
  </si>
  <si>
    <t>Viatris Inc.</t>
  </si>
  <si>
    <t>VTRS</t>
  </si>
  <si>
    <t>12529614,21</t>
  </si>
  <si>
    <t>18000029,45</t>
  </si>
  <si>
    <t>18516856,78</t>
  </si>
  <si>
    <t>19717351,11</t>
  </si>
  <si>
    <t>18019231,11</t>
  </si>
  <si>
    <t>18764976,75</t>
  </si>
  <si>
    <t>10589654,18</t>
  </si>
  <si>
    <t>10626745,14</t>
  </si>
  <si>
    <t>11082569,28</t>
  </si>
  <si>
    <t>10531702,48</t>
  </si>
  <si>
    <t>8991860,35</t>
  </si>
  <si>
    <t>VICI Properties Inc.</t>
  </si>
  <si>
    <t>VICI</t>
  </si>
  <si>
    <t>Visa Inc.</t>
  </si>
  <si>
    <t>V</t>
  </si>
  <si>
    <t>32309840,7</t>
  </si>
  <si>
    <t>35090234,2</t>
  </si>
  <si>
    <t>36594938,4</t>
  </si>
  <si>
    <t>36285503,8</t>
  </si>
  <si>
    <t>32431789,2</t>
  </si>
  <si>
    <t>31808696,4</t>
  </si>
  <si>
    <t>29268964,2</t>
  </si>
  <si>
    <t>29280160,8</t>
  </si>
  <si>
    <t>26739924,1</t>
  </si>
  <si>
    <t>Vistra Corp.</t>
  </si>
  <si>
    <t>VST</t>
  </si>
  <si>
    <t>5392619,7</t>
  </si>
  <si>
    <t>4814813,4</t>
  </si>
  <si>
    <t>4601772,6</t>
  </si>
  <si>
    <t>7291155,6</t>
  </si>
  <si>
    <t>6835117,5</t>
  </si>
  <si>
    <t>6871037,8</t>
  </si>
  <si>
    <t>5281617,6</t>
  </si>
  <si>
    <t>6249338,1</t>
  </si>
  <si>
    <t>Vulcan Materials Co.</t>
  </si>
  <si>
    <t>VMC</t>
  </si>
  <si>
    <t>7281098,13</t>
  </si>
  <si>
    <t>7864840,75</t>
  </si>
  <si>
    <t>6792397,13</t>
  </si>
  <si>
    <t>6505173,54</t>
  </si>
  <si>
    <t>5774978,61</t>
  </si>
  <si>
    <t>4927317,75</t>
  </si>
  <si>
    <t>W. R. Berkley Corp.</t>
  </si>
  <si>
    <t>WRB</t>
  </si>
  <si>
    <t>W.W. Grainger Inc.</t>
  </si>
  <si>
    <t>GWW</t>
  </si>
  <si>
    <t>3526889,7</t>
  </si>
  <si>
    <t>3576727,7</t>
  </si>
  <si>
    <t>3113072,7</t>
  </si>
  <si>
    <t>2559139,5</t>
  </si>
  <si>
    <t>1711027,5</t>
  </si>
  <si>
    <t>1828026,2</t>
  </si>
  <si>
    <t>1522358,4</t>
  </si>
  <si>
    <t>Walmart Inc.</t>
  </si>
  <si>
    <t>WMT</t>
  </si>
  <si>
    <t>93989473,2</t>
  </si>
  <si>
    <t>83479290,7</t>
  </si>
  <si>
    <t>77330513,7</t>
  </si>
  <si>
    <t>82040284,8</t>
  </si>
  <si>
    <t>72108037,8</t>
  </si>
  <si>
    <t>64972805,8</t>
  </si>
  <si>
    <t>74631784,5</t>
  </si>
  <si>
    <t>77269105,65</t>
  </si>
  <si>
    <t>76118697,75</t>
  </si>
  <si>
    <t>Warner Bros. Discovery Inc.</t>
  </si>
  <si>
    <t>WBD</t>
  </si>
  <si>
    <t>31654282,2</t>
  </si>
  <si>
    <t>33746614,2</t>
  </si>
  <si>
    <t>42043218,4</t>
  </si>
  <si>
    <t>45537711,9</t>
  </si>
  <si>
    <t>11779102,8</t>
  </si>
  <si>
    <t>10123102,5</t>
  </si>
  <si>
    <t>10662902,6</t>
  </si>
  <si>
    <t>9185547,8</t>
  </si>
  <si>
    <t>4183154,4</t>
  </si>
  <si>
    <t>Waste Mgmt Inc.</t>
  </si>
  <si>
    <t>WM</t>
  </si>
  <si>
    <t>8509334,7</t>
  </si>
  <si>
    <t>7972538,6</t>
  </si>
  <si>
    <t>6238811,2</t>
  </si>
  <si>
    <t>6422644,8</t>
  </si>
  <si>
    <t>6265891,8</t>
  </si>
  <si>
    <t>5481458,4</t>
  </si>
  <si>
    <t>5031777,6</t>
  </si>
  <si>
    <t>4941665,25</t>
  </si>
  <si>
    <t>Waters Corp.</t>
  </si>
  <si>
    <t>WAT</t>
  </si>
  <si>
    <t>189777,72</t>
  </si>
  <si>
    <t>WEC Energy Group Inc.</t>
  </si>
  <si>
    <t>WEC</t>
  </si>
  <si>
    <t>11968769,76</t>
  </si>
  <si>
    <t>12365355,21</t>
  </si>
  <si>
    <t>10921086,05</t>
  </si>
  <si>
    <t>10869652,62</t>
  </si>
  <si>
    <t>9771924,69</t>
  </si>
  <si>
    <t>8716593,75</t>
  </si>
  <si>
    <t>9137874,06</t>
  </si>
  <si>
    <t>8596614,18</t>
  </si>
  <si>
    <t>7904771,04</t>
  </si>
  <si>
    <t>8487997,46</t>
  </si>
  <si>
    <t>7996897,9</t>
  </si>
  <si>
    <t>Wells Fargo &amp; Co.</t>
  </si>
  <si>
    <t>WFC</t>
  </si>
  <si>
    <t>155893464,6</t>
  </si>
  <si>
    <t>174891649,4</t>
  </si>
  <si>
    <t>169579682,1</t>
  </si>
  <si>
    <t>170496704,1</t>
  </si>
  <si>
    <t>167512542,4</t>
  </si>
  <si>
    <t>172117444,4</t>
  </si>
  <si>
    <t>173288191,2</t>
  </si>
  <si>
    <t>189930808,1</t>
  </si>
  <si>
    <t>178525138,25</t>
  </si>
  <si>
    <t>Welltower Inc.</t>
  </si>
  <si>
    <t>WELL</t>
  </si>
  <si>
    <t>W Pharmaceutical Svcs Inc</t>
  </si>
  <si>
    <t>WST</t>
  </si>
  <si>
    <t>2704999,2</t>
  </si>
  <si>
    <t>2590833,57</t>
  </si>
  <si>
    <t>2606440,7</t>
  </si>
  <si>
    <t>2512260,93</t>
  </si>
  <si>
    <t>2053517,22</t>
  </si>
  <si>
    <t>1516053,75</t>
  </si>
  <si>
    <t>1401878,52</t>
  </si>
  <si>
    <t>1219528,42</t>
  </si>
  <si>
    <t>1065900,72</t>
  </si>
  <si>
    <t>1058607,75</t>
  </si>
  <si>
    <t>Western Digital Corp.</t>
  </si>
  <si>
    <t>WDC</t>
  </si>
  <si>
    <t>10310165,1</t>
  </si>
  <si>
    <t>11749269,4</t>
  </si>
  <si>
    <t>9052812,4</t>
  </si>
  <si>
    <t>8495614,5</t>
  </si>
  <si>
    <t>8758999,6</t>
  </si>
  <si>
    <t>9883220,1</t>
  </si>
  <si>
    <t>10000965,75</t>
  </si>
  <si>
    <t>8304936,15</t>
  </si>
  <si>
    <t>Westinghouse Air Brake Technol</t>
  </si>
  <si>
    <t>WAB</t>
  </si>
  <si>
    <t>9787464,7</t>
  </si>
  <si>
    <t>9521062,8</t>
  </si>
  <si>
    <t>9494547,9</t>
  </si>
  <si>
    <t>9003152,7</t>
  </si>
  <si>
    <t>8300077,5</t>
  </si>
  <si>
    <t>8905296,96</t>
  </si>
  <si>
    <t>2505871,94</t>
  </si>
  <si>
    <t>Weyerhaeuser Co.</t>
  </si>
  <si>
    <t>WY</t>
  </si>
  <si>
    <t>Timber REIT</t>
  </si>
  <si>
    <t>8028124,2</t>
  </si>
  <si>
    <t>9389513,9</t>
  </si>
  <si>
    <t>9260509,2</t>
  </si>
  <si>
    <t>9467423,1</t>
  </si>
  <si>
    <t>7137592,5</t>
  </si>
  <si>
    <t>7286524,7</t>
  </si>
  <si>
    <t>7900776,4</t>
  </si>
  <si>
    <t>7411087,2</t>
  </si>
  <si>
    <t>4483131,75</t>
  </si>
  <si>
    <t>Williams-Sonoma Inc.</t>
  </si>
  <si>
    <t>WSM</t>
  </si>
  <si>
    <t>Homefurnishing Retail</t>
  </si>
  <si>
    <t>1114745,72</t>
  </si>
  <si>
    <t>Willis Towers Watson Plc</t>
  </si>
  <si>
    <t>WTW</t>
  </si>
  <si>
    <t>6857888,4</t>
  </si>
  <si>
    <t>7743620,3</t>
  </si>
  <si>
    <t>8678787,1</t>
  </si>
  <si>
    <t>9444020,1</t>
  </si>
  <si>
    <t>11701724,4</t>
  </si>
  <si>
    <t>9239815,9</t>
  </si>
  <si>
    <t>8731379,8</t>
  </si>
  <si>
    <t>8558685,6</t>
  </si>
  <si>
    <t>9694668,2</t>
  </si>
  <si>
    <t>2194147,25</t>
  </si>
  <si>
    <t>Workday Inc.</t>
  </si>
  <si>
    <t>WDAY</t>
  </si>
  <si>
    <t>8691611,4</t>
  </si>
  <si>
    <t>7449179,4</t>
  </si>
  <si>
    <t>5142109,5</t>
  </si>
  <si>
    <t>Wynn Resorts Ltd.</t>
  </si>
  <si>
    <t>WYNN</t>
  </si>
  <si>
    <t>898049,88</t>
  </si>
  <si>
    <t>Xcel Energy Inc.</t>
  </si>
  <si>
    <t>XEL</t>
  </si>
  <si>
    <t>20107785,3</t>
  </si>
  <si>
    <t>18856299,8</t>
  </si>
  <si>
    <t>15937195,2</t>
  </si>
  <si>
    <t>15602797,5</t>
  </si>
  <si>
    <t>13727631,6</t>
  </si>
  <si>
    <t>11915062,5</t>
  </si>
  <si>
    <t>11797272,9</t>
  </si>
  <si>
    <t>10674694,8</t>
  </si>
  <si>
    <t>10440193,3</t>
  </si>
  <si>
    <t>9760797,09</t>
  </si>
  <si>
    <t>Xylem Inc.</t>
  </si>
  <si>
    <t>XYL</t>
  </si>
  <si>
    <t>10006623,3</t>
  </si>
  <si>
    <t>10510923,8</t>
  </si>
  <si>
    <t>9206227,2</t>
  </si>
  <si>
    <t>3277757,1</t>
  </si>
  <si>
    <t>2836621,8</t>
  </si>
  <si>
    <t>2643893,7</t>
  </si>
  <si>
    <t>2429798,8</t>
  </si>
  <si>
    <t>2097823,2</t>
  </si>
  <si>
    <t>2090691,1</t>
  </si>
  <si>
    <t>Yum! Brands Inc.</t>
  </si>
  <si>
    <t>YUM</t>
  </si>
  <si>
    <t>-6238702,5</t>
  </si>
  <si>
    <t>-7387203,2</t>
  </si>
  <si>
    <t>-7109132,6</t>
  </si>
  <si>
    <t>-8305273,2</t>
  </si>
  <si>
    <t>-7362378,9</t>
  </si>
  <si>
    <t>-6450892,5</t>
  </si>
  <si>
    <t>-7143057,6</t>
  </si>
  <si>
    <t>-6922568,4</t>
  </si>
  <si>
    <t>-5274955,2</t>
  </si>
  <si>
    <t>-5319089,5</t>
  </si>
  <si>
    <t>897731,25</t>
  </si>
  <si>
    <t>Zebra Technologies Corp.</t>
  </si>
  <si>
    <t>ZBRA</t>
  </si>
  <si>
    <t>3055899,6</t>
  </si>
  <si>
    <t>3463717,4</t>
  </si>
  <si>
    <t>2746669,2</t>
  </si>
  <si>
    <t>2557268,1</t>
  </si>
  <si>
    <t>2623831,2</t>
  </si>
  <si>
    <t>1638732,9</t>
  </si>
  <si>
    <t>694555,2</t>
  </si>
  <si>
    <t>750261,6</t>
  </si>
  <si>
    <t>822229,75</t>
  </si>
  <si>
    <t>Zimmer Biomet Holdings Inc.</t>
  </si>
  <si>
    <t>ZBH</t>
  </si>
  <si>
    <t>10821529,86</t>
  </si>
  <si>
    <t>12050761,58</t>
  </si>
  <si>
    <t>11298074,54</t>
  </si>
  <si>
    <t>11253663,9</t>
  </si>
  <si>
    <t>11137565,52</t>
  </si>
  <si>
    <t>9973009,5</t>
  </si>
  <si>
    <t>11043224,08</t>
  </si>
  <si>
    <t>9848545,74</t>
  </si>
  <si>
    <t>9773324,4</t>
  </si>
  <si>
    <t>9160296,27</t>
  </si>
  <si>
    <t>9105665,05</t>
  </si>
  <si>
    <t>Zoetis Inc.</t>
  </si>
  <si>
    <t>ZTS</t>
  </si>
  <si>
    <t>2837012,7</t>
  </si>
  <si>
    <t>4515357,7</t>
  </si>
  <si>
    <t>4119887,1</t>
  </si>
  <si>
    <t>3995539,2</t>
  </si>
  <si>
    <t>3084427,5</t>
  </si>
  <si>
    <t>2413098,8</t>
  </si>
  <si>
    <t>1487380,8</t>
  </si>
  <si>
    <t>1420002,7</t>
  </si>
  <si>
    <t>1004538,25</t>
  </si>
  <si>
    <t>允䅁䉁䅳䅁煁䅁䅁睕兂䙁䄸睑偂䕁䄰䅕䉂䕁䄴兗時䕁䄴兑乂䕁䅕睘䉂䕁䅉村卂䅁䅁杂䅁䍁䅁䅁䩂䙁䅅睘啂䕁䄸䅖䉂䕁䅷睘䙂䙁䅅兖䩂䙁䅑兗䅁䅁䅁䅁佁䅁䅁杒婂䑁䅉䅍祁䑁䅅䅁䉁䅁䅁䅅䅁䕁䅍兤祂䡁䅉党畂䡁䅑䅁䍁䅁䅁杄䅁䕁䅙兗祁䑁䅁免㍁䅁䅁睅䅁䥁䅷䅁偂䡁䅁䅤灂䝁䄸杢穂䑁䅯睑ㅂ䡁䅉杣㥁䕁䅕兖卂䍁䅷兔桂䝁䅣児呂䡁䅑兙畂䝁䅑兙祂䝁䅑䅌䑂䝁䄸杢㉂䕁䄰党あ䝁䅧睢歂䑁䄰杕獁䕁䅙兡獂䝁䅫杢湂䙁䅙党祂䑁䄰睑ㅂ䡁䅉杣求䝁䄴䅤癁䙁䅉党穂䡁䅑兙あ䝁䅕䅚䅁䅁䅍䅁佁䅁䅁杒婂䑁䅉䅍祁䑁䅕䅁佁䅁䅁䅋䅁䙁䅑睢あ䝁䅅䅢杁䕁䅕兣ㅂ䝁䅫䅤㕂䍁䅁䅋獃䑉䅁䅍睁䍁䅫䅁䕁䅁䅁䅍䅁䕁䅫杢歂䡁䅕督あ䡁䅉入杁䕁䅍䅢桂䡁䅍督灂䝁䅙兡橂䝁䅅䅤灂䝁䄸杢䅁䅁䄰䅁佁䅁䅁杒婂䑁䅉䅍祁䑁䅍䅁䙁䅁䅁杁䅁䅁䅁睂䅁䑁䅑䅁䑂䝁䄸兢睂䝁䅅杢㕂䍁䅁杔桂䝁䄰党獁䍁䅁兑楂䝁䅉杣求䡁䅙兡桂䡁䅑党歂䅁䅁䅃䅁䉁䅑䅁呂䙁䅁睘啂䕁䅫睑䱂䕁䅕杕䅁䅁䅫䅁佁䅁䅁杒婂䑁䅉䅍硁䑁䅙䅁啁䅁䅁杄䅁䙁䅑兡橂䝁䅳党祂䅁䅁权䅁䉁䅑䅁㡁䑁䄴睑ㅂ䡁䅉杣求䝁䄴䅤䅁䉁䅙䅁佁䅁䅁杒婂䑁䅉䅍祁䑁䅑䅁䱁䅁䅁李䅁䕁䄰兓時䕁䅫杔䕂䙁䅕睕啂䙁䅉兗時䕁䅍䅔䉂䙁䅍睕䩂䕁䅙兓䑂䕁䅅䅖䩂䕁䄸杔䅁䅁䅷䅁佁䅁䅁杒婂䑁䅉䅍祁䑁䅉䅁偁䅁䅁杄䅁䕁䅙兗祁䑁䅁杍睁䅁䅁䅅䅁䅁䄴䅁䝂䙁䅫杍睁䑁䅅兏䅁䉁䅅䅁佁䅁䅁杒婂䑁䅉䅍硁䑁䅧䅁十䅁䅁杄䅁䕁䅙兗祁䑁䅁免ㅁ䅁䅁兆䅁䉁䅯䅁呂䙁䅁睘䙂䕁䄴䅖䩂䙁䅑兗時䕁䅫䅒䅁䉁䅣䅁啁䅁䅁兒畂䡁䅑兡あ䡁䅫䅉䩂䕁䅑䅁奁䅁䅁杈䅁䙁䅍䅕時䕁䅕杔啂䕁䅫䅖婂䙁䄸杔䉂䕁䄰兒䅁䉁䅫䅁奁䅁䅁兒畂䡁䅑兡あ䡁䅫䅉佂䝁䅅兢求䅁䅁杇䅁䉁䅅䅁䵁䅉䅅䅁䝁䅁䅁睁偁䅁䅁兂䅁䅁䅁䕎兙兑䅯䅁䅁䅁䅯允䅁䅁䅯杁䅁䅁䅯睁䅁䅁䅅䅁䉁䅁䅁权䕁䅁䅁䍄䉁䅁䅁杂䅁䅁䅍睄䅁䅁䅕䅁䅁䑁䝒䕅䭅䅁䅁䅁䭁䅁䄴䅁䭁䅁䅉䅁䭁䅁䅍䅁䉁䅁䅁允䅁䅁䅯䅂䅁䅁杷允䅁䅁䅙䅁䑁䅁䄸䅁䙁䅁䅁䅁ぁ桒䉂权䅁䅁䅁权䙁䅁䅁权䍁䅁䅁权䑁䅁䅁允䅁䅁䅅䅁䭁䅁䅑䅁䵁䅉䅅䅁䝁䅁䅁睁偁䅁䅁兂䅁䅁䅁䕎兙兑䅯䅁䅁䅁䅯睃䅁䅁䅯杁䅁䅁䅯睁䅁䅁䅅䅁䉁䅁䅁权䕁䅁䅁䍄䉁䅁䅁杂䅁䅁䅍睄䅁䅁䅕䅁䅁䑁䝒䕅䭅䅁䅁䅁䭁䉁䅅䅁䭁䅁䅉䅁䭁䅁䅍䅁䉁䅁䅁允䅁䅁䅯䅂䅁䅁杷允䅁䅁䅙䅁䑁䅁䄸䅁䙁䅁䅁䅁ぁ桒䉂权䅁䅁䅁权啁䅁䅁权䍁䅁䅁权䑁䅁䅁允䅁䅁䅅䅁䭁䅁䅑䅁䵁䅉䅅䅁䝁䅁䅁睁偁䅁䅁兂䅁䅁䅁䕎兙兑䅯杂䅁䅁䅯睂䅁䅁䅯睂䅁䅁䅯睁䅁䅁䅅䅁䉁䅁䅁权䥁䅁䅁䍄䉁䅁䅁杂䅁䅁䅍睄䅁䅁䅕䅁䅁䑁䝒䕅䭅䅁䅫䅁䭁䅁䅣䅁䭁䅁䅣䅁䭁䅁䅍䅁䉁䅁䅁允䅁䅁䅯权䅁䅁杷允䅁䅁䅙䅁䑁䅁䄸䅁䙁䅁䅁䅁ぁ桒䉂权䅁䅁䅁权偁䅁䅁权䍁䅁䅁权䑁䅁䅁允䅁䅁䅅䅁䭁䅁䅑䅁䵁䅉䅅䅁䝁䅁䅁睁偁䅁䅁兂䅁䅁䅁䕎兙兑䅯䅄䅁䅁䅯睂䅁䅁䅯睂䅁䅁䅯睁䅁䅁䅅䅁䉁䅁䅁权乁䅁䅁䍄䉁䅁䅁杂䅁䅁䅍睄䅁䅁䅕䅁䅁䑁䝒䕅䭅䅁䅁䅁䭁䉁䅁䅁䭁䅁䅉䅁䭁䅁䅍䅁䉁䅁䅁允䅁䅁䅯䅂䅁䅁杷允䅁䅁䅙䅁䑁䅁䄸䅁䙁䅁䅁䅁ぁ桒䉂权䅁䅁䅁权十䅁䅁权䍁䅁䅁权䑁䅁䅁允䅁䅁䅅䅁䭁䅁䅑䅁䵁䅉䅅䅁䝁䅁䅁睁偁䅁䅁兂䅁䅁䅁䕎兙兑䅯䅁䅁䅁䅯睅䅁䅁䅯杁䅁䅁䅯睁䅁䅁䅅䅁䉁䅁䅁权䕁䅁䅁䍄䉁䅁䅁杂䅁䅁䅍睄䅁䅁䅕䅁䅁䑁䝒䕅䭅䅁䅁䅁䭁䉁䅕䅁䭁䅁䅉䅁䭁䅁䅍䅁䉁䅁䅁允䅁䅁䅯䅂䅁䅁杷允䅁䅁䅕䅁䑁䅁䄸䅁䙁䅁䅁䅁ぁ桒䉂权䅁䅁䅁权䕁䅁䅋权坁䅁䅁允䅁䅁䅅䅁䭁䅁䅉䅁䵁䅉䅅䅁䝁䅁䅁睁偁䅁䅁兂䅁䅁䅁䕎兙兑䅯睆䅁䅁䅯睂䅁䅁䅯睂䅁䅁䅯睁䅁䅁䅅䅁䉁䅁䅁权奁䅁䅁䍄䉁䅁䅁杂䅁䅁䅍睄䅁䅁䅕䅁䅁䑁䝒䕅䭅䉁䅫䅁䭁䅁䅣䅁䭁䅁䅣䅁䭁䅁䅍䅁䉁䅁䅁允䅁䅁䅯杇䅁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</si>
</sst>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 fontId="0" fillId="0" borderId="0" xfId="0" applyNumberFormat="1" applyAlignment="1">
      <alignment horizontal="left"/>
    </xf>
    <xf numFmtId="1" fontId="0" fillId="0" borderId="0" xfId="0" applyNumberFormat="1" applyAlignment="1">
      <alignment horizontal="right"/>
    </xf>
    <xf numFmtId="0" fontId="0" fillId="0" borderId="0" xfId="0" applyNumberFormat="1" applyAlignment="1">
      <alignment horizontal="left"/>
    </xf>
    <xf numFmtId="0" fontId="0" fillId="0" borderId="0" xfId="0" applyNumberFormat="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6573F-F9CE-46F1-A5BA-33A16578F7AD}">
  <dimension ref="A1"/>
  <sheetViews>
    <sheetView workbookViewId="0"/>
  </sheetViews>
  <sheetFormatPr baseColWidth="10" defaultRowHeight="14.25" x14ac:dyDescent="0.45"/>
  <sheetData>
    <row r="1" spans="1:1" x14ac:dyDescent="0.45">
      <c r="A1" t="s">
        <v>4702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38C74-B64B-4C3C-9FAB-3D2101032FE4}">
  <dimension ref="A1:P480"/>
  <sheetViews>
    <sheetView tabSelected="1" workbookViewId="0"/>
  </sheetViews>
  <sheetFormatPr baseColWidth="10" defaultRowHeight="14.25" x14ac:dyDescent="0.45"/>
  <sheetData>
    <row r="1" spans="1:16" x14ac:dyDescent="0.45">
      <c r="A1" t="str">
        <f>_xll.SNL.Clients.Office.Excel.Functions.SPGTable($B$6:$B$480,$C$3:$P$3,,"Options:Curr=EUR,Mag=Standard,ConvMethod=R,FilingVer=Current/Restated")</f>
        <v>SPGTable</v>
      </c>
    </row>
    <row r="2" spans="1:16" x14ac:dyDescent="0.45">
      <c r="A2" s="3" t="str">
        <f>_xll.SNL.Clients.Office.Excel.Functions.SPGLabel(266637,"SP_ENTITY_NAME","","","Options:Curr=EUR,Mag=Standard,ConvMethod=R,FilingVer=Current/Restated")</f>
        <v>Entity Name</v>
      </c>
      <c r="B2" s="3" t="str">
        <f>_xll.SNL.Clients.Office.Excel.Functions.SPGLabel(266637,"SP_ENTITY_ID","","","Options:Curr=EUR,Mag=Standard,ConvMethod=R,FilingVer=Current/Restated")</f>
        <v>Entity ID</v>
      </c>
      <c r="C2" s="3" t="str">
        <f>_xll.SNL.Clients.Office.Excel.Functions.SPGLabel(266637,"SP_COMPANY_NAME_ABBR","","","Options:Curr=EUR,Mag=Standard,ConvMethod=R,FilingVer=Current/Restated")</f>
        <v>Company Name, Abbreviated</v>
      </c>
      <c r="D2" s="3" t="str">
        <f>_xll.SNL.Clients.Office.Excel.Functions.SPGLabel(266637,"SP_TICKER","","","Options:Curr=EUR,Mag=Standard,ConvMethod=R,FilingVer=Current/Restated")</f>
        <v>Ticker</v>
      </c>
      <c r="E2" s="3" t="str">
        <f>_xll.SNL.Clients.Office.Excel.Functions.SPGLabel(266637,"MI_INDUSTRY_CLASSIFICATION","","","Options:Curr=EUR,Mag=Standard,ConvMethod=R,FilingVer=Current/Restated")</f>
        <v>Industry Classification</v>
      </c>
      <c r="F2" s="3" t="str">
        <f>_xll.SNL.Clients.Office.Excel.Functions.SPGLabel(266637,"IQ_TOTAL_EQUITY","FY2025","Current","Options:Curr=EUR,Mag=Standard,ConvMethod=R,FilingVer=Current/Restated")</f>
        <v>Total Equity (€000)</v>
      </c>
      <c r="G2" s="3" t="str">
        <f>_xll.SNL.Clients.Office.Excel.Functions.SPGLabel(266637,"IQ_TOTAL_EQUITY","FY2024","Current","Options:Curr=EUR,Mag=Standard,ConvMethod=R,FilingVer=Current/Restated")</f>
        <v>Total Equity (€000)</v>
      </c>
      <c r="H2" s="3" t="str">
        <f>_xll.SNL.Clients.Office.Excel.Functions.SPGLabel(266637,"IQ_TOTAL_EQUITY","FY2023","Current","Options:Curr=EUR,Mag=Standard,ConvMethod=R,FilingVer=Current/Restated")</f>
        <v>Total Equity (€000)</v>
      </c>
      <c r="I2" s="3" t="str">
        <f>_xll.SNL.Clients.Office.Excel.Functions.SPGLabel(266637,"IQ_TOTAL_EQUITY","FY2022","Current","Options:Curr=EUR,Mag=Standard,ConvMethod=R,FilingVer=Current/Restated")</f>
        <v>Total Equity (€000)</v>
      </c>
      <c r="J2" s="3" t="str">
        <f>_xll.SNL.Clients.Office.Excel.Functions.SPGLabel(266637,"IQ_TOTAL_EQUITY","FY2021","Current","Options:Curr=EUR,Mag=Standard,ConvMethod=R,FilingVer=Current/Restated")</f>
        <v>Total Equity (€000)</v>
      </c>
      <c r="K2" s="3" t="str">
        <f>_xll.SNL.Clients.Office.Excel.Functions.SPGLabel(266637,"IQ_TOTAL_EQUITY","FY2020","Current","Options:Curr=EUR,Mag=Standard,ConvMethod=R,FilingVer=Current/Restated")</f>
        <v>Total Equity (€000)</v>
      </c>
      <c r="L2" s="3" t="str">
        <f>_xll.SNL.Clients.Office.Excel.Functions.SPGLabel(266637,"IQ_TOTAL_EQUITY","FY2019","Current","Options:Curr=EUR,Mag=Standard,ConvMethod=R,FilingVer=Current/Restated")</f>
        <v>Total Equity (€000)</v>
      </c>
      <c r="M2" s="3" t="str">
        <f>_xll.SNL.Clients.Office.Excel.Functions.SPGLabel(266637,"IQ_TOTAL_EQUITY","FY2018","Current","Options:Curr=EUR,Mag=Standard,ConvMethod=R,FilingVer=Current/Restated")</f>
        <v>Total Equity (€000)</v>
      </c>
      <c r="N2" s="3" t="str">
        <f>_xll.SNL.Clients.Office.Excel.Functions.SPGLabel(266637,"IQ_TOTAL_EQUITY","FY2017","Current","Options:Curr=EUR,Mag=Standard,ConvMethod=R,FilingVer=Current/Restated")</f>
        <v>Total Equity (€000)</v>
      </c>
      <c r="O2" s="3" t="str">
        <f>_xll.SNL.Clients.Office.Excel.Functions.SPGLabel(266637,"IQ_TOTAL_EQUITY","FY2016","Current","Options:Curr=EUR,Mag=Standard,ConvMethod=R,FilingVer=Current/Restated")</f>
        <v>Total Equity (€000)</v>
      </c>
      <c r="P2" s="3" t="str">
        <f>_xll.SNL.Clients.Office.Excel.Functions.SPGLabel(266637,"IQ_TOTAL_EQUITY","FY2015","Current","Options:Curr=EUR,Mag=Standard,ConvMethod=R,FilingVer=Current/Restated")</f>
        <v>Total Equity (€000)</v>
      </c>
    </row>
    <row r="3" spans="1:16" x14ac:dyDescent="0.45">
      <c r="A3" s="2" t="s">
        <v>490</v>
      </c>
      <c r="B3" s="2" t="s">
        <v>491</v>
      </c>
      <c r="C3" s="2" t="s">
        <v>486</v>
      </c>
      <c r="D3" s="2" t="s">
        <v>487</v>
      </c>
      <c r="E3" s="2" t="s">
        <v>488</v>
      </c>
      <c r="F3" s="2" t="s">
        <v>489</v>
      </c>
      <c r="G3" s="2" t="s">
        <v>489</v>
      </c>
      <c r="H3" s="2" t="s">
        <v>489</v>
      </c>
      <c r="I3" s="2" t="s">
        <v>489</v>
      </c>
      <c r="J3" s="2" t="s">
        <v>489</v>
      </c>
      <c r="K3" s="2" t="s">
        <v>489</v>
      </c>
      <c r="L3" s="2" t="s">
        <v>489</v>
      </c>
      <c r="M3" s="2" t="s">
        <v>489</v>
      </c>
      <c r="N3" s="2" t="s">
        <v>489</v>
      </c>
      <c r="O3" s="2" t="s">
        <v>489</v>
      </c>
      <c r="P3" s="2" t="s">
        <v>489</v>
      </c>
    </row>
    <row r="4" spans="1:16" x14ac:dyDescent="0.45">
      <c r="A4" s="4"/>
      <c r="B4" s="4"/>
      <c r="C4" s="4"/>
      <c r="D4" s="4"/>
      <c r="E4" s="4"/>
      <c r="F4" s="4" t="s">
        <v>475</v>
      </c>
      <c r="G4" s="4" t="s">
        <v>476</v>
      </c>
      <c r="H4" s="4" t="s">
        <v>477</v>
      </c>
      <c r="I4" s="4" t="s">
        <v>478</v>
      </c>
      <c r="J4" s="4" t="s">
        <v>479</v>
      </c>
      <c r="K4" s="4" t="s">
        <v>480</v>
      </c>
      <c r="L4" s="4" t="s">
        <v>481</v>
      </c>
      <c r="M4" s="4" t="s">
        <v>482</v>
      </c>
      <c r="N4" s="4" t="s">
        <v>483</v>
      </c>
      <c r="O4" s="4" t="s">
        <v>484</v>
      </c>
      <c r="P4" s="4" t="s">
        <v>485</v>
      </c>
    </row>
    <row r="5" spans="1:16" x14ac:dyDescent="0.45">
      <c r="A5" s="4"/>
      <c r="B5" s="4"/>
      <c r="C5" s="4"/>
      <c r="D5" s="4"/>
      <c r="E5" s="4"/>
      <c r="F5" s="4" t="str">
        <f>_xll.SNL.Clients.Office.Excel.Functions.SPGLabel(266637,"IQ_TOTAL_EQUITY",,"&lt;&gt;Current")</f>
        <v>Current</v>
      </c>
      <c r="G5" s="4" t="str">
        <f>_xll.SNL.Clients.Office.Excel.Functions.SPGLabel(266637,"IQ_TOTAL_EQUITY",,"&lt;&gt;Current")</f>
        <v>Current</v>
      </c>
      <c r="H5" s="4" t="str">
        <f>_xll.SNL.Clients.Office.Excel.Functions.SPGLabel(266637,"IQ_TOTAL_EQUITY",,"&lt;&gt;Current")</f>
        <v>Current</v>
      </c>
      <c r="I5" s="4" t="str">
        <f>_xll.SNL.Clients.Office.Excel.Functions.SPGLabel(266637,"IQ_TOTAL_EQUITY",,"&lt;&gt;Current")</f>
        <v>Current</v>
      </c>
      <c r="J5" s="4" t="str">
        <f>_xll.SNL.Clients.Office.Excel.Functions.SPGLabel(266637,"IQ_TOTAL_EQUITY",,"&lt;&gt;Current")</f>
        <v>Current</v>
      </c>
      <c r="K5" s="4" t="str">
        <f>_xll.SNL.Clients.Office.Excel.Functions.SPGLabel(266637,"IQ_TOTAL_EQUITY",,"&lt;&gt;Current")</f>
        <v>Current</v>
      </c>
      <c r="L5" s="4" t="str">
        <f>_xll.SNL.Clients.Office.Excel.Functions.SPGLabel(266637,"IQ_TOTAL_EQUITY",,"&lt;&gt;Current")</f>
        <v>Current</v>
      </c>
      <c r="M5" s="4" t="str">
        <f>_xll.SNL.Clients.Office.Excel.Functions.SPGLabel(266637,"IQ_TOTAL_EQUITY",,"&lt;&gt;Current")</f>
        <v>Current</v>
      </c>
      <c r="N5" s="4" t="str">
        <f>_xll.SNL.Clients.Office.Excel.Functions.SPGLabel(266637,"IQ_TOTAL_EQUITY",,"&lt;&gt;Current")</f>
        <v>Current</v>
      </c>
      <c r="O5" s="4" t="str">
        <f>_xll.SNL.Clients.Office.Excel.Functions.SPGLabel(266637,"IQ_TOTAL_EQUITY",,"&lt;&gt;Current")</f>
        <v>Current</v>
      </c>
      <c r="P5" s="4" t="str">
        <f>_xll.SNL.Clients.Office.Excel.Functions.SPGLabel(266637,"IQ_TOTAL_EQUITY",,"&lt;&gt;Current")</f>
        <v>Current</v>
      </c>
    </row>
    <row r="6" spans="1:16" x14ac:dyDescent="0.45">
      <c r="A6" s="1" t="s">
        <v>0</v>
      </c>
      <c r="B6" s="2">
        <v>105135</v>
      </c>
      <c r="C6" s="3" t="s">
        <v>492</v>
      </c>
      <c r="D6" s="3" t="s">
        <v>493</v>
      </c>
      <c r="E6" s="3" t="s">
        <v>494</v>
      </c>
      <c r="F6" s="5" t="s">
        <v>495</v>
      </c>
      <c r="G6" s="5" t="s">
        <v>496</v>
      </c>
      <c r="H6" s="5" t="s">
        <v>497</v>
      </c>
      <c r="I6" s="5">
        <v>13820289</v>
      </c>
      <c r="J6" s="5" t="s">
        <v>498</v>
      </c>
      <c r="K6" s="5" t="s">
        <v>499</v>
      </c>
      <c r="L6" s="5" t="s">
        <v>500</v>
      </c>
      <c r="M6" s="5" t="s">
        <v>501</v>
      </c>
      <c r="N6" s="5" t="s">
        <v>502</v>
      </c>
      <c r="O6" s="5" t="s">
        <v>503</v>
      </c>
      <c r="P6" s="5">
        <v>10559161</v>
      </c>
    </row>
    <row r="7" spans="1:16" x14ac:dyDescent="0.45">
      <c r="A7" s="1" t="s">
        <v>1</v>
      </c>
      <c r="B7" s="2">
        <v>4020605</v>
      </c>
      <c r="C7" s="3" t="s">
        <v>504</v>
      </c>
      <c r="D7" s="3" t="s">
        <v>505</v>
      </c>
      <c r="E7" s="3" t="s">
        <v>506</v>
      </c>
      <c r="F7" s="5" t="s">
        <v>507</v>
      </c>
      <c r="G7" s="5" t="s">
        <v>508</v>
      </c>
      <c r="H7" s="5" t="s">
        <v>509</v>
      </c>
      <c r="I7" s="5" t="s">
        <v>510</v>
      </c>
      <c r="J7" s="5" t="s">
        <v>511</v>
      </c>
      <c r="K7" s="5" t="s">
        <v>512</v>
      </c>
      <c r="L7" s="5" t="s">
        <v>513</v>
      </c>
      <c r="M7" s="5" t="s">
        <v>514</v>
      </c>
      <c r="N7" s="5" t="s">
        <v>515</v>
      </c>
      <c r="O7" s="5" t="s">
        <v>516</v>
      </c>
      <c r="P7" s="5">
        <v>1327997725</v>
      </c>
    </row>
    <row r="8" spans="1:16" x14ac:dyDescent="0.45">
      <c r="A8" s="1" t="s">
        <v>2</v>
      </c>
      <c r="B8" s="2">
        <v>4004092</v>
      </c>
      <c r="C8" s="3" t="s">
        <v>517</v>
      </c>
      <c r="D8" s="3" t="s">
        <v>518</v>
      </c>
      <c r="E8" s="3" t="s">
        <v>519</v>
      </c>
      <c r="F8" s="5" t="s">
        <v>520</v>
      </c>
      <c r="G8" s="5" t="s">
        <v>521</v>
      </c>
      <c r="H8" s="5" t="s">
        <v>522</v>
      </c>
      <c r="I8" s="5" t="s">
        <v>523</v>
      </c>
      <c r="J8" s="5" t="s">
        <v>524</v>
      </c>
      <c r="K8" s="5" t="s">
        <v>525</v>
      </c>
      <c r="L8" s="5" t="s">
        <v>526</v>
      </c>
      <c r="M8" s="5" t="s">
        <v>527</v>
      </c>
      <c r="N8" s="5" t="s">
        <v>528</v>
      </c>
      <c r="O8" s="5" t="s">
        <v>529</v>
      </c>
      <c r="P8" s="5" t="s">
        <v>530</v>
      </c>
    </row>
    <row r="9" spans="1:16" x14ac:dyDescent="0.45">
      <c r="A9" s="1" t="s">
        <v>3</v>
      </c>
      <c r="B9" s="2">
        <v>4558282</v>
      </c>
      <c r="C9" s="3" t="s">
        <v>531</v>
      </c>
      <c r="D9" s="3" t="s">
        <v>532</v>
      </c>
      <c r="E9" s="3" t="s">
        <v>533</v>
      </c>
      <c r="F9" s="5" t="s">
        <v>534</v>
      </c>
      <c r="G9" s="5" t="s">
        <v>535</v>
      </c>
      <c r="H9" s="5" t="s">
        <v>536</v>
      </c>
      <c r="I9" s="5" t="s">
        <v>537</v>
      </c>
      <c r="J9" s="5" t="s">
        <v>538</v>
      </c>
      <c r="K9" s="5" t="s">
        <v>539</v>
      </c>
      <c r="L9" s="5" t="s">
        <v>540</v>
      </c>
      <c r="M9" s="5" t="s">
        <v>541</v>
      </c>
      <c r="N9" s="5" t="s">
        <v>542</v>
      </c>
      <c r="O9" s="5" t="s">
        <v>543</v>
      </c>
      <c r="P9" s="5" t="s">
        <v>544</v>
      </c>
    </row>
    <row r="10" spans="1:16" x14ac:dyDescent="0.45">
      <c r="A10" s="1" t="s">
        <v>4</v>
      </c>
      <c r="B10" s="2">
        <v>4142760</v>
      </c>
      <c r="C10" s="3" t="s">
        <v>545</v>
      </c>
      <c r="D10" s="3" t="s">
        <v>546</v>
      </c>
      <c r="E10" s="3" t="s">
        <v>547</v>
      </c>
      <c r="F10" s="5">
        <v>275628026883</v>
      </c>
      <c r="G10" s="5">
        <v>263710130168</v>
      </c>
      <c r="H10" s="5">
        <v>24394822746</v>
      </c>
      <c r="I10" s="5">
        <v>225855836752</v>
      </c>
      <c r="J10" s="5">
        <v>170262749808</v>
      </c>
      <c r="K10" s="5">
        <v>146380582145</v>
      </c>
      <c r="L10" s="5">
        <v>134813366572</v>
      </c>
      <c r="M10" s="5">
        <v>9239232562</v>
      </c>
      <c r="N10" s="5" t="s">
        <v>548</v>
      </c>
      <c r="O10" s="5">
        <v>73462797408</v>
      </c>
      <c r="P10" s="5">
        <v>593461901025</v>
      </c>
    </row>
    <row r="11" spans="1:16" x14ac:dyDescent="0.45">
      <c r="A11" s="1" t="s">
        <v>5</v>
      </c>
      <c r="B11" s="2">
        <v>4047847</v>
      </c>
      <c r="C11" s="3" t="s">
        <v>549</v>
      </c>
      <c r="D11" s="3" t="s">
        <v>550</v>
      </c>
      <c r="E11" s="3" t="s">
        <v>551</v>
      </c>
      <c r="F11" s="5" t="s">
        <v>552</v>
      </c>
      <c r="G11" s="5">
        <v>13368719</v>
      </c>
      <c r="H11" s="5" t="s">
        <v>553</v>
      </c>
      <c r="I11" s="5" t="s">
        <v>554</v>
      </c>
      <c r="J11" s="5" t="s">
        <v>555</v>
      </c>
      <c r="K11" s="5" t="s">
        <v>556</v>
      </c>
      <c r="L11" s="5">
        <v>9557028</v>
      </c>
      <c r="M11" s="5">
        <v>82686190848</v>
      </c>
      <c r="N11" s="5">
        <v>70902162089</v>
      </c>
      <c r="O11" s="5">
        <v>6957070395</v>
      </c>
      <c r="P11" s="5">
        <v>6609141441</v>
      </c>
    </row>
    <row r="12" spans="1:16" x14ac:dyDescent="0.45">
      <c r="A12" s="1" t="s">
        <v>6</v>
      </c>
      <c r="B12" s="2">
        <v>4066743</v>
      </c>
      <c r="C12" s="3" t="s">
        <v>557</v>
      </c>
      <c r="D12" s="3" t="s">
        <v>558</v>
      </c>
      <c r="E12" s="3" t="s">
        <v>559</v>
      </c>
      <c r="F12" s="5">
        <v>53549150</v>
      </c>
      <c r="G12" s="5" t="s">
        <v>560</v>
      </c>
      <c r="H12" s="5" t="s">
        <v>561</v>
      </c>
      <c r="I12" s="5">
        <v>51229575</v>
      </c>
      <c r="J12" s="5" t="s">
        <v>562</v>
      </c>
      <c r="K12" s="5" t="s">
        <v>563</v>
      </c>
      <c r="L12" s="5" t="s">
        <v>564</v>
      </c>
      <c r="M12" s="5" t="s">
        <v>565</v>
      </c>
      <c r="N12" s="5" t="s">
        <v>566</v>
      </c>
      <c r="O12" s="5" t="s">
        <v>567</v>
      </c>
      <c r="P12" s="5">
        <v>-376259</v>
      </c>
    </row>
    <row r="13" spans="1:16" x14ac:dyDescent="0.45">
      <c r="A13" s="1" t="s">
        <v>7</v>
      </c>
      <c r="B13" s="2">
        <v>103316</v>
      </c>
      <c r="C13" s="3" t="s">
        <v>568</v>
      </c>
      <c r="D13" s="3" t="s">
        <v>569</v>
      </c>
      <c r="E13" s="3" t="s">
        <v>570</v>
      </c>
      <c r="F13" s="5">
        <v>25116633</v>
      </c>
      <c r="G13" s="5" t="s">
        <v>571</v>
      </c>
      <c r="H13" s="5" t="s">
        <v>572</v>
      </c>
      <c r="I13" s="5">
        <v>18844998</v>
      </c>
      <c r="J13" s="5" t="s">
        <v>573</v>
      </c>
      <c r="K13" s="5" t="s">
        <v>574</v>
      </c>
      <c r="L13" s="5" t="s">
        <v>575</v>
      </c>
      <c r="M13" s="5" t="s">
        <v>576</v>
      </c>
      <c r="N13" s="5" t="s">
        <v>577</v>
      </c>
      <c r="O13" s="5" t="s">
        <v>578</v>
      </c>
      <c r="P13" s="5">
        <v>16304641</v>
      </c>
    </row>
    <row r="14" spans="1:16" x14ac:dyDescent="0.45">
      <c r="A14" s="1" t="s">
        <v>8</v>
      </c>
      <c r="B14" s="2">
        <v>4075849</v>
      </c>
      <c r="C14" s="3" t="s">
        <v>579</v>
      </c>
      <c r="D14" s="3" t="s">
        <v>580</v>
      </c>
      <c r="E14" s="3" t="s">
        <v>581</v>
      </c>
      <c r="F14" s="5">
        <v>5844447</v>
      </c>
      <c r="G14" s="5">
        <v>5432058</v>
      </c>
      <c r="H14" s="5" t="s">
        <v>582</v>
      </c>
      <c r="I14" s="5" t="s">
        <v>583</v>
      </c>
      <c r="J14" s="5" t="s">
        <v>584</v>
      </c>
      <c r="K14" s="5" t="s">
        <v>585</v>
      </c>
      <c r="L14" s="5" t="s">
        <v>586</v>
      </c>
      <c r="M14" s="5" t="s">
        <v>587</v>
      </c>
      <c r="N14" s="5">
        <v>4153265</v>
      </c>
      <c r="O14" s="5" t="s">
        <v>588</v>
      </c>
      <c r="P14" s="5" t="s">
        <v>589</v>
      </c>
    </row>
    <row r="15" spans="1:16" x14ac:dyDescent="0.45">
      <c r="A15" s="1" t="s">
        <v>9</v>
      </c>
      <c r="B15" s="2">
        <v>4014726</v>
      </c>
      <c r="C15" s="3" t="s">
        <v>590</v>
      </c>
      <c r="D15" s="3" t="s">
        <v>591</v>
      </c>
      <c r="E15" s="3" t="s">
        <v>592</v>
      </c>
      <c r="F15" s="5" t="s">
        <v>593</v>
      </c>
      <c r="G15" s="5" t="s">
        <v>594</v>
      </c>
      <c r="H15" s="5" t="s">
        <v>595</v>
      </c>
      <c r="I15" s="5" t="s">
        <v>596</v>
      </c>
      <c r="J15" s="5" t="s">
        <v>597</v>
      </c>
      <c r="K15" s="5" t="s">
        <v>598</v>
      </c>
      <c r="L15" s="5" t="s">
        <v>599</v>
      </c>
      <c r="M15" s="5" t="s">
        <v>600</v>
      </c>
      <c r="N15" s="5" t="s">
        <v>601</v>
      </c>
      <c r="O15" s="5" t="s">
        <v>602</v>
      </c>
      <c r="P15" s="5">
        <v>6613834655</v>
      </c>
    </row>
    <row r="16" spans="1:16" x14ac:dyDescent="0.45">
      <c r="A16" s="1" t="s">
        <v>10</v>
      </c>
      <c r="B16" s="2">
        <v>4186103</v>
      </c>
      <c r="C16" s="3" t="s">
        <v>603</v>
      </c>
      <c r="D16" s="3" t="s">
        <v>604</v>
      </c>
      <c r="E16" s="3" t="s">
        <v>605</v>
      </c>
      <c r="F16" s="5">
        <v>42392268807</v>
      </c>
      <c r="G16" s="5">
        <v>47120050263</v>
      </c>
      <c r="H16" s="5">
        <v>41590461285</v>
      </c>
      <c r="I16" s="5">
        <v>40798269759</v>
      </c>
      <c r="J16" s="5">
        <v>39832413102</v>
      </c>
      <c r="K16" s="5" t="s">
        <v>606</v>
      </c>
      <c r="L16" s="5">
        <v>32596063738</v>
      </c>
      <c r="M16" s="5">
        <v>2787770524</v>
      </c>
      <c r="N16" s="5">
        <v>28002641832</v>
      </c>
      <c r="O16" s="5">
        <v>3054445701</v>
      </c>
      <c r="P16" s="5">
        <v>28735484185</v>
      </c>
    </row>
    <row r="17" spans="1:16" x14ac:dyDescent="0.45">
      <c r="A17" s="1" t="s">
        <v>11</v>
      </c>
      <c r="B17" s="2">
        <v>4121019</v>
      </c>
      <c r="C17" s="3" t="s">
        <v>607</v>
      </c>
      <c r="D17" s="3" t="s">
        <v>608</v>
      </c>
      <c r="E17" s="3" t="s">
        <v>609</v>
      </c>
      <c r="F17" s="5">
        <v>83308703337</v>
      </c>
      <c r="G17" s="5">
        <v>98518786392</v>
      </c>
      <c r="H17" s="5">
        <v>87440150653</v>
      </c>
      <c r="I17" s="5">
        <v>76641755379</v>
      </c>
      <c r="J17" s="5">
        <v>51048702351</v>
      </c>
      <c r="K17" s="5">
        <v>3653075595</v>
      </c>
      <c r="L17" s="5">
        <v>3647789138</v>
      </c>
      <c r="M17" s="5">
        <v>32832049272</v>
      </c>
      <c r="N17" s="5">
        <v>31793772288</v>
      </c>
      <c r="O17" s="5">
        <v>37348287692</v>
      </c>
      <c r="P17" s="5">
        <v>313175894475</v>
      </c>
    </row>
    <row r="18" spans="1:16" x14ac:dyDescent="0.45">
      <c r="A18" s="1" t="s">
        <v>12</v>
      </c>
      <c r="B18" s="2">
        <v>111908</v>
      </c>
      <c r="C18" s="3" t="s">
        <v>610</v>
      </c>
      <c r="D18" s="3" t="s">
        <v>611</v>
      </c>
      <c r="E18" s="3" t="s">
        <v>612</v>
      </c>
      <c r="F18" s="5">
        <v>163155365412</v>
      </c>
      <c r="G18" s="5">
        <v>216346734799</v>
      </c>
      <c r="H18" s="5">
        <v>204670217671</v>
      </c>
      <c r="I18" s="5">
        <v>212247142179</v>
      </c>
      <c r="J18" s="5">
        <v>16735936725</v>
      </c>
      <c r="K18" s="5">
        <v>10990288515</v>
      </c>
      <c r="L18" s="5">
        <v>90593485458</v>
      </c>
      <c r="M18" s="5">
        <v>68952432076</v>
      </c>
      <c r="N18" s="5">
        <v>53991831432</v>
      </c>
      <c r="O18" s="5">
        <v>50986319494</v>
      </c>
      <c r="P18" s="5">
        <v>3953667353</v>
      </c>
    </row>
    <row r="19" spans="1:16" x14ac:dyDescent="0.45">
      <c r="A19" s="1" t="s">
        <v>13</v>
      </c>
      <c r="B19" s="2">
        <v>4811737</v>
      </c>
      <c r="C19" s="3" t="s">
        <v>613</v>
      </c>
      <c r="D19" s="3" t="s">
        <v>614</v>
      </c>
      <c r="E19" s="3" t="s">
        <v>615</v>
      </c>
      <c r="F19" s="5">
        <v>34486584999</v>
      </c>
      <c r="G19" s="5">
        <v>37206323115</v>
      </c>
      <c r="H19" s="5">
        <v>32845033983</v>
      </c>
      <c r="I19" s="5">
        <v>33697906806</v>
      </c>
      <c r="J19" s="5">
        <v>31854524202</v>
      </c>
      <c r="K19" s="5">
        <v>26436846375</v>
      </c>
      <c r="L19" s="5">
        <v>11995711959</v>
      </c>
      <c r="M19" s="5">
        <v>10942749994</v>
      </c>
      <c r="N19" s="5">
        <v>9612910464</v>
      </c>
      <c r="O19" s="5">
        <v>9429319997</v>
      </c>
      <c r="P19" s="5">
        <v>7807278645</v>
      </c>
    </row>
    <row r="20" spans="1:16" x14ac:dyDescent="0.45">
      <c r="A20" s="1" t="s">
        <v>14</v>
      </c>
      <c r="B20" s="2">
        <v>4987299</v>
      </c>
      <c r="C20" s="3" t="s">
        <v>616</v>
      </c>
      <c r="D20" s="3" t="s">
        <v>617</v>
      </c>
      <c r="E20" s="3" t="s">
        <v>506</v>
      </c>
      <c r="F20" s="5" t="s">
        <v>618</v>
      </c>
      <c r="G20" s="5" t="s">
        <v>619</v>
      </c>
      <c r="H20" s="5" t="s">
        <v>620</v>
      </c>
      <c r="I20" s="5" t="s">
        <v>621</v>
      </c>
      <c r="J20" s="5" t="s">
        <v>622</v>
      </c>
      <c r="K20" s="5" t="s">
        <v>623</v>
      </c>
      <c r="L20" s="5" t="s">
        <v>624</v>
      </c>
      <c r="M20" s="5" t="s">
        <v>625</v>
      </c>
      <c r="N20" s="5" t="s">
        <v>626</v>
      </c>
      <c r="O20" s="5" t="s">
        <v>627</v>
      </c>
      <c r="P20" s="5">
        <v>27346275</v>
      </c>
    </row>
    <row r="21" spans="1:16" x14ac:dyDescent="0.45">
      <c r="A21" s="1" t="s">
        <v>15</v>
      </c>
      <c r="B21" s="2">
        <v>4057038</v>
      </c>
      <c r="C21" s="3" t="s">
        <v>628</v>
      </c>
      <c r="D21" s="3" t="s">
        <v>629</v>
      </c>
      <c r="E21" s="3" t="s">
        <v>630</v>
      </c>
      <c r="F21" s="5" t="s">
        <v>631</v>
      </c>
      <c r="G21" s="5" t="s">
        <v>632</v>
      </c>
      <c r="H21" s="5" t="s">
        <v>633</v>
      </c>
      <c r="I21" s="5" t="s">
        <v>634</v>
      </c>
      <c r="J21" s="5">
        <v>5267007</v>
      </c>
      <c r="K21" s="5">
        <v>4813440</v>
      </c>
      <c r="L21" s="5" t="s">
        <v>635</v>
      </c>
      <c r="M21" s="5" t="s">
        <v>636</v>
      </c>
      <c r="N21" s="5" t="s">
        <v>637</v>
      </c>
      <c r="O21" s="5" t="s">
        <v>638</v>
      </c>
      <c r="P21" s="5">
        <v>3613115075</v>
      </c>
    </row>
    <row r="22" spans="1:16" x14ac:dyDescent="0.45">
      <c r="A22" s="1" t="s">
        <v>16</v>
      </c>
      <c r="B22" s="2">
        <v>4633618</v>
      </c>
      <c r="C22" s="3" t="s">
        <v>639</v>
      </c>
      <c r="D22" s="3" t="s">
        <v>640</v>
      </c>
      <c r="E22" s="3" t="s">
        <v>641</v>
      </c>
      <c r="F22" s="5" t="s">
        <v>642</v>
      </c>
      <c r="G22" s="5" t="s">
        <v>643</v>
      </c>
      <c r="H22" s="5" t="s">
        <v>644</v>
      </c>
      <c r="I22" s="5" t="s">
        <v>645</v>
      </c>
      <c r="J22" s="5" t="s">
        <v>646</v>
      </c>
      <c r="K22" s="5">
        <v>181929720</v>
      </c>
      <c r="L22" s="5" t="s">
        <v>647</v>
      </c>
      <c r="M22" s="5" t="s">
        <v>648</v>
      </c>
      <c r="N22" s="5" t="s">
        <v>649</v>
      </c>
      <c r="O22" s="5" t="s">
        <v>650</v>
      </c>
      <c r="P22" s="5" t="s">
        <v>651</v>
      </c>
    </row>
    <row r="23" spans="1:16" x14ac:dyDescent="0.45">
      <c r="A23" s="1" t="s">
        <v>17</v>
      </c>
      <c r="B23" s="2">
        <v>4087349</v>
      </c>
      <c r="C23" s="3" t="s">
        <v>652</v>
      </c>
      <c r="D23" s="3" t="s">
        <v>653</v>
      </c>
      <c r="E23" s="3" t="s">
        <v>654</v>
      </c>
      <c r="F23" s="5" t="s">
        <v>655</v>
      </c>
      <c r="G23" s="5" t="s">
        <v>656</v>
      </c>
      <c r="H23" s="5">
        <v>-3157403</v>
      </c>
      <c r="I23" s="5" t="s">
        <v>657</v>
      </c>
      <c r="J23" s="5" t="s">
        <v>658</v>
      </c>
      <c r="K23" s="5" t="s">
        <v>659</v>
      </c>
      <c r="L23" s="5" t="s">
        <v>660</v>
      </c>
      <c r="M23" s="5" t="s">
        <v>661</v>
      </c>
      <c r="N23" s="5" t="s">
        <v>662</v>
      </c>
      <c r="O23" s="5" t="s">
        <v>663</v>
      </c>
      <c r="P23" s="5" t="s">
        <v>664</v>
      </c>
    </row>
    <row r="24" spans="1:16" x14ac:dyDescent="0.45">
      <c r="A24" s="1" t="s">
        <v>18</v>
      </c>
      <c r="B24" s="2">
        <v>3001792</v>
      </c>
      <c r="C24" s="3" t="s">
        <v>665</v>
      </c>
      <c r="D24" s="3" t="s">
        <v>666</v>
      </c>
      <c r="E24" s="3" t="s">
        <v>667</v>
      </c>
      <c r="F24" s="5" t="s">
        <v>668</v>
      </c>
      <c r="G24" s="5">
        <v>276218423</v>
      </c>
      <c r="H24" s="5" t="s">
        <v>669</v>
      </c>
      <c r="I24" s="5" t="s">
        <v>670</v>
      </c>
      <c r="J24" s="5" t="s">
        <v>671</v>
      </c>
      <c r="K24" s="5">
        <v>76357770</v>
      </c>
      <c r="L24" s="5">
        <v>55301666</v>
      </c>
      <c r="M24" s="5" t="s">
        <v>672</v>
      </c>
      <c r="N24" s="5" t="s">
        <v>673</v>
      </c>
      <c r="O24" s="5" t="s">
        <v>674</v>
      </c>
      <c r="P24" s="5">
        <v>12323318</v>
      </c>
    </row>
    <row r="25" spans="1:16" x14ac:dyDescent="0.45">
      <c r="A25" s="1" t="s">
        <v>19</v>
      </c>
      <c r="B25" s="2">
        <v>4160328</v>
      </c>
      <c r="C25" s="3" t="s">
        <v>675</v>
      </c>
      <c r="D25" s="3" t="s">
        <v>676</v>
      </c>
      <c r="E25" s="3" t="s">
        <v>677</v>
      </c>
      <c r="F25" s="5">
        <v>9996610</v>
      </c>
      <c r="G25" s="5" t="s">
        <v>678</v>
      </c>
      <c r="H25" s="5">
        <v>3746440</v>
      </c>
      <c r="I25" s="5" t="s">
        <v>679</v>
      </c>
      <c r="J25" s="5" t="s">
        <v>680</v>
      </c>
      <c r="K25" s="5" t="s">
        <v>681</v>
      </c>
      <c r="L25" s="5" t="s">
        <v>682</v>
      </c>
      <c r="M25" s="5" t="s">
        <v>683</v>
      </c>
      <c r="N25" s="5" t="s">
        <v>684</v>
      </c>
      <c r="O25" s="5">
        <v>761330475</v>
      </c>
      <c r="P25" s="5" t="s">
        <v>685</v>
      </c>
    </row>
    <row r="26" spans="1:16" x14ac:dyDescent="0.45">
      <c r="A26" s="1" t="s">
        <v>20</v>
      </c>
      <c r="B26" s="2">
        <v>4007308</v>
      </c>
      <c r="C26" s="3" t="s">
        <v>686</v>
      </c>
      <c r="D26" s="3" t="s">
        <v>687</v>
      </c>
      <c r="E26" s="3" t="s">
        <v>688</v>
      </c>
      <c r="F26" s="5">
        <v>11523501</v>
      </c>
      <c r="G26" s="5" t="s">
        <v>689</v>
      </c>
      <c r="H26" s="5" t="s">
        <v>690</v>
      </c>
      <c r="I26" s="5" t="s">
        <v>691</v>
      </c>
      <c r="J26" s="5" t="s">
        <v>692</v>
      </c>
      <c r="K26" s="5">
        <v>7422900</v>
      </c>
      <c r="L26" s="5" t="s">
        <v>693</v>
      </c>
      <c r="M26" s="5" t="s">
        <v>694</v>
      </c>
      <c r="N26" s="5" t="s">
        <v>695</v>
      </c>
      <c r="O26" s="5" t="s">
        <v>696</v>
      </c>
      <c r="P26" s="5">
        <v>6526276</v>
      </c>
    </row>
    <row r="27" spans="1:16" x14ac:dyDescent="0.45">
      <c r="A27" s="1" t="s">
        <v>21</v>
      </c>
      <c r="B27" s="2">
        <v>4006321</v>
      </c>
      <c r="C27" s="3" t="s">
        <v>697</v>
      </c>
      <c r="D27" s="3" t="s">
        <v>698</v>
      </c>
      <c r="E27" s="3" t="s">
        <v>630</v>
      </c>
      <c r="F27" s="5" t="s">
        <v>699</v>
      </c>
      <c r="G27" s="5" t="s">
        <v>700</v>
      </c>
      <c r="H27" s="5" t="s">
        <v>701</v>
      </c>
      <c r="I27" s="5" t="s">
        <v>702</v>
      </c>
      <c r="J27" s="5" t="s">
        <v>703</v>
      </c>
      <c r="K27" s="5" t="s">
        <v>704</v>
      </c>
      <c r="L27" s="5" t="s">
        <v>705</v>
      </c>
      <c r="M27" s="5" t="s">
        <v>706</v>
      </c>
      <c r="N27" s="5" t="s">
        <v>707</v>
      </c>
      <c r="O27" s="5" t="s">
        <v>708</v>
      </c>
      <c r="P27" s="5">
        <v>16485936675</v>
      </c>
    </row>
    <row r="28" spans="1:16" x14ac:dyDescent="0.45">
      <c r="A28" s="1" t="s">
        <v>22</v>
      </c>
      <c r="B28" s="2">
        <v>102700</v>
      </c>
      <c r="C28" s="3" t="s">
        <v>709</v>
      </c>
      <c r="D28" s="3" t="s">
        <v>710</v>
      </c>
      <c r="E28" s="3" t="s">
        <v>711</v>
      </c>
      <c r="F28" s="5" t="s">
        <v>712</v>
      </c>
      <c r="G28" s="5" t="s">
        <v>713</v>
      </c>
      <c r="H28" s="5" t="s">
        <v>714</v>
      </c>
      <c r="I28" s="5" t="s">
        <v>715</v>
      </c>
      <c r="J28" s="5" t="s">
        <v>716</v>
      </c>
      <c r="K28" s="5">
        <v>18789420</v>
      </c>
      <c r="L28" s="5" t="s">
        <v>717</v>
      </c>
      <c r="M28" s="5">
        <v>19468086</v>
      </c>
      <c r="N28" s="5" t="s">
        <v>718</v>
      </c>
      <c r="O28" s="5" t="s">
        <v>719</v>
      </c>
      <c r="P28" s="5" t="s">
        <v>720</v>
      </c>
    </row>
    <row r="29" spans="1:16" x14ac:dyDescent="0.45">
      <c r="A29" s="1" t="s">
        <v>23</v>
      </c>
      <c r="B29" s="2">
        <v>103330</v>
      </c>
      <c r="C29" s="3" t="s">
        <v>721</v>
      </c>
      <c r="D29" s="3" t="s">
        <v>722</v>
      </c>
      <c r="E29" s="3" t="s">
        <v>723</v>
      </c>
      <c r="F29" s="5" t="s">
        <v>724</v>
      </c>
      <c r="G29" s="5">
        <v>41099045</v>
      </c>
      <c r="H29" s="5" t="s">
        <v>725</v>
      </c>
      <c r="I29" s="5" t="s">
        <v>726</v>
      </c>
      <c r="J29" s="5" t="s">
        <v>727</v>
      </c>
      <c r="K29" s="5" t="s">
        <v>728</v>
      </c>
      <c r="L29" s="5" t="s">
        <v>729</v>
      </c>
      <c r="M29" s="5" t="s">
        <v>730</v>
      </c>
      <c r="N29" s="5" t="s">
        <v>731</v>
      </c>
      <c r="O29" s="5" t="s">
        <v>732</v>
      </c>
      <c r="P29" s="5" t="s">
        <v>733</v>
      </c>
    </row>
    <row r="30" spans="1:16" x14ac:dyDescent="0.45">
      <c r="A30" s="1" t="s">
        <v>24</v>
      </c>
      <c r="B30" s="2">
        <v>4290489</v>
      </c>
      <c r="C30" s="3" t="s">
        <v>734</v>
      </c>
      <c r="D30" s="3" t="s">
        <v>735</v>
      </c>
      <c r="E30" s="3" t="s">
        <v>736</v>
      </c>
      <c r="F30" s="5" t="s">
        <v>737</v>
      </c>
      <c r="G30" s="5" t="s">
        <v>738</v>
      </c>
      <c r="H30" s="5" t="s">
        <v>739</v>
      </c>
      <c r="I30" s="5" t="s">
        <v>740</v>
      </c>
      <c r="J30" s="5" t="s">
        <v>741</v>
      </c>
      <c r="K30" s="5" t="s">
        <v>742</v>
      </c>
      <c r="L30" s="5" t="s">
        <v>743</v>
      </c>
      <c r="M30" s="5" t="s">
        <v>744</v>
      </c>
      <c r="N30" s="5" t="s">
        <v>745</v>
      </c>
      <c r="O30" s="5" t="s">
        <v>746</v>
      </c>
      <c r="P30" s="5">
        <v>61808271735</v>
      </c>
    </row>
    <row r="31" spans="1:16" x14ac:dyDescent="0.45">
      <c r="A31" s="1" t="s">
        <v>25</v>
      </c>
      <c r="B31" s="2">
        <v>4004387</v>
      </c>
      <c r="C31" s="3" t="s">
        <v>747</v>
      </c>
      <c r="D31" s="3" t="s">
        <v>748</v>
      </c>
      <c r="E31" s="3" t="s">
        <v>749</v>
      </c>
      <c r="F31" s="5" t="s">
        <v>750</v>
      </c>
      <c r="G31" s="5" t="s">
        <v>751</v>
      </c>
      <c r="H31" s="5" t="s">
        <v>752</v>
      </c>
      <c r="I31" s="5" t="s">
        <v>753</v>
      </c>
      <c r="J31" s="5" t="s">
        <v>754</v>
      </c>
      <c r="K31" s="5">
        <v>5276145</v>
      </c>
      <c r="L31" s="5" t="s">
        <v>755</v>
      </c>
      <c r="M31" s="5" t="s">
        <v>756</v>
      </c>
      <c r="N31" s="5">
        <v>4484628</v>
      </c>
      <c r="O31" s="5" t="s">
        <v>757</v>
      </c>
      <c r="P31" s="5" t="s">
        <v>758</v>
      </c>
    </row>
    <row r="32" spans="1:16" x14ac:dyDescent="0.45">
      <c r="A32" s="1" t="s">
        <v>26</v>
      </c>
      <c r="B32" s="2">
        <v>113901</v>
      </c>
      <c r="C32" s="3" t="s">
        <v>759</v>
      </c>
      <c r="D32" s="3" t="s">
        <v>760</v>
      </c>
      <c r="E32" s="3" t="s">
        <v>761</v>
      </c>
      <c r="F32" s="5" t="s">
        <v>762</v>
      </c>
      <c r="G32" s="5" t="s">
        <v>763</v>
      </c>
      <c r="H32" s="5" t="s">
        <v>764</v>
      </c>
      <c r="I32" s="5" t="s">
        <v>765</v>
      </c>
      <c r="J32" s="5" t="s">
        <v>766</v>
      </c>
      <c r="K32" s="5" t="s">
        <v>767</v>
      </c>
      <c r="L32" s="5" t="s">
        <v>768</v>
      </c>
      <c r="M32" s="5" t="s">
        <v>769</v>
      </c>
      <c r="N32" s="5">
        <v>4992636</v>
      </c>
      <c r="O32" s="5" t="s">
        <v>770</v>
      </c>
      <c r="P32" s="5" t="s">
        <v>771</v>
      </c>
    </row>
    <row r="33" spans="1:16" x14ac:dyDescent="0.45">
      <c r="A33" s="1" t="s">
        <v>27</v>
      </c>
      <c r="B33" s="2">
        <v>4107063</v>
      </c>
      <c r="C33" s="3" t="s">
        <v>772</v>
      </c>
      <c r="D33" s="3" t="s">
        <v>773</v>
      </c>
      <c r="E33" s="3" t="s">
        <v>774</v>
      </c>
      <c r="F33" s="5">
        <v>90525370362</v>
      </c>
      <c r="G33" s="5">
        <v>93260581336</v>
      </c>
      <c r="H33" s="5">
        <v>78982037977</v>
      </c>
      <c r="I33" s="5">
        <v>69957722784</v>
      </c>
      <c r="J33" s="5">
        <v>60424476012</v>
      </c>
      <c r="K33" s="5">
        <v>4863590355</v>
      </c>
      <c r="L33" s="5">
        <v>45584149212</v>
      </c>
      <c r="M33" s="5">
        <v>37048946748</v>
      </c>
      <c r="N33" s="5">
        <v>33542127624</v>
      </c>
      <c r="O33" s="5">
        <v>30848947649</v>
      </c>
      <c r="P33" s="5">
        <v>29966968895</v>
      </c>
    </row>
    <row r="34" spans="1:16" x14ac:dyDescent="0.45">
      <c r="A34" s="1" t="s">
        <v>28</v>
      </c>
      <c r="B34" s="2">
        <v>4092820</v>
      </c>
      <c r="C34" s="3" t="s">
        <v>775</v>
      </c>
      <c r="D34" s="3" t="s">
        <v>776</v>
      </c>
      <c r="E34" s="3" t="s">
        <v>533</v>
      </c>
      <c r="F34" s="5" t="s">
        <v>777</v>
      </c>
      <c r="G34" s="5" t="s">
        <v>778</v>
      </c>
      <c r="H34" s="5" t="s">
        <v>779</v>
      </c>
      <c r="I34" s="5" t="s">
        <v>780</v>
      </c>
      <c r="J34" s="5">
        <v>5891310</v>
      </c>
      <c r="K34" s="5" t="s">
        <v>781</v>
      </c>
      <c r="L34" s="5" t="s">
        <v>782</v>
      </c>
      <c r="M34" s="5">
        <v>10917500</v>
      </c>
      <c r="N34" s="5" t="s">
        <v>783</v>
      </c>
      <c r="O34" s="5" t="s">
        <v>784</v>
      </c>
      <c r="P34" s="5" t="s">
        <v>785</v>
      </c>
    </row>
    <row r="35" spans="1:16" x14ac:dyDescent="0.45">
      <c r="A35" s="1" t="s">
        <v>29</v>
      </c>
      <c r="B35" s="2">
        <v>4122605</v>
      </c>
      <c r="C35" s="3" t="s">
        <v>786</v>
      </c>
      <c r="D35" s="3" t="s">
        <v>787</v>
      </c>
      <c r="E35" s="3" t="s">
        <v>788</v>
      </c>
      <c r="F35" s="5" t="s">
        <v>789</v>
      </c>
      <c r="G35" s="5" t="s">
        <v>790</v>
      </c>
      <c r="H35" s="5" t="s">
        <v>791</v>
      </c>
      <c r="I35" s="5" t="s">
        <v>792</v>
      </c>
      <c r="J35" s="5" t="s">
        <v>793</v>
      </c>
      <c r="K35" s="5" t="s">
        <v>794</v>
      </c>
      <c r="L35" s="5" t="s">
        <v>795</v>
      </c>
      <c r="M35" s="5" t="s">
        <v>796</v>
      </c>
      <c r="N35" s="5" t="s">
        <v>797</v>
      </c>
      <c r="O35" s="5" t="s">
        <v>798</v>
      </c>
      <c r="P35" s="5" t="s">
        <v>799</v>
      </c>
    </row>
    <row r="36" spans="1:16" x14ac:dyDescent="0.45">
      <c r="A36" s="1" t="s">
        <v>30</v>
      </c>
      <c r="B36" s="2">
        <v>4113211</v>
      </c>
      <c r="C36" s="3" t="s">
        <v>800</v>
      </c>
      <c r="D36" s="3" t="s">
        <v>801</v>
      </c>
      <c r="E36" s="3" t="s">
        <v>559</v>
      </c>
      <c r="F36" s="5">
        <v>29318259585</v>
      </c>
      <c r="G36" s="5">
        <v>324255290106</v>
      </c>
      <c r="H36" s="5">
        <v>335770316802</v>
      </c>
      <c r="I36" s="5">
        <v>366731753411</v>
      </c>
      <c r="J36" s="5">
        <v>328559503216</v>
      </c>
      <c r="K36" s="5">
        <v>102954366045</v>
      </c>
      <c r="L36" s="5">
        <v>104867487728</v>
      </c>
      <c r="M36" s="5">
        <v>98979631632</v>
      </c>
      <c r="N36" s="5">
        <v>8773473636</v>
      </c>
      <c r="O36" s="5">
        <v>47249907846</v>
      </c>
      <c r="P36" s="5">
        <v>460041286915</v>
      </c>
    </row>
    <row r="37" spans="1:16" x14ac:dyDescent="0.45">
      <c r="A37" s="1" t="s">
        <v>31</v>
      </c>
      <c r="B37" s="2">
        <v>103317</v>
      </c>
      <c r="C37" s="3" t="s">
        <v>802</v>
      </c>
      <c r="D37" s="3" t="s">
        <v>803</v>
      </c>
      <c r="E37" s="3" t="s">
        <v>804</v>
      </c>
      <c r="F37" s="5" t="s">
        <v>805</v>
      </c>
      <c r="G37" s="5">
        <v>6210737</v>
      </c>
      <c r="H37" s="5" t="s">
        <v>806</v>
      </c>
      <c r="I37" s="5" t="s">
        <v>807</v>
      </c>
      <c r="J37" s="5" t="s">
        <v>808</v>
      </c>
      <c r="K37" s="5" t="s">
        <v>809</v>
      </c>
      <c r="L37" s="5" t="s">
        <v>810</v>
      </c>
      <c r="M37" s="5" t="s">
        <v>811</v>
      </c>
      <c r="N37" s="5" t="s">
        <v>812</v>
      </c>
      <c r="O37" s="5" t="s">
        <v>813</v>
      </c>
      <c r="P37" s="5" t="s">
        <v>814</v>
      </c>
    </row>
    <row r="38" spans="1:16" x14ac:dyDescent="0.45">
      <c r="A38" s="1" t="s">
        <v>32</v>
      </c>
      <c r="B38" s="2">
        <v>4010203</v>
      </c>
      <c r="C38" s="3" t="s">
        <v>815</v>
      </c>
      <c r="D38" s="3" t="s">
        <v>816</v>
      </c>
      <c r="E38" s="3" t="s">
        <v>817</v>
      </c>
      <c r="F38" s="5" t="s">
        <v>818</v>
      </c>
      <c r="G38" s="5" t="s">
        <v>819</v>
      </c>
      <c r="H38" s="5" t="s">
        <v>820</v>
      </c>
      <c r="I38" s="5" t="s">
        <v>821</v>
      </c>
      <c r="J38" s="5" t="s">
        <v>822</v>
      </c>
      <c r="K38" s="5">
        <v>83385</v>
      </c>
      <c r="L38" s="5" t="s">
        <v>823</v>
      </c>
      <c r="M38" s="5" t="s">
        <v>824</v>
      </c>
      <c r="N38" s="5" t="s">
        <v>825</v>
      </c>
      <c r="O38" s="5" t="s">
        <v>826</v>
      </c>
      <c r="P38" s="5" t="s">
        <v>827</v>
      </c>
    </row>
    <row r="39" spans="1:16" x14ac:dyDescent="0.45">
      <c r="A39" s="1" t="s">
        <v>33</v>
      </c>
      <c r="B39" s="2">
        <v>4204256</v>
      </c>
      <c r="C39" s="3" t="s">
        <v>828</v>
      </c>
      <c r="D39" s="3" t="s">
        <v>829</v>
      </c>
      <c r="E39" s="3" t="s">
        <v>761</v>
      </c>
      <c r="F39" s="5" t="s">
        <v>830</v>
      </c>
      <c r="G39" s="5">
        <v>29923582</v>
      </c>
      <c r="H39" s="5" t="s">
        <v>831</v>
      </c>
      <c r="I39" s="5" t="s">
        <v>832</v>
      </c>
      <c r="J39" s="5" t="s">
        <v>833</v>
      </c>
      <c r="K39" s="5">
        <v>51469513875</v>
      </c>
      <c r="L39" s="5">
        <v>27072749697</v>
      </c>
      <c r="M39" s="5">
        <v>2141437056</v>
      </c>
      <c r="N39" s="5">
        <v>24132845088</v>
      </c>
      <c r="O39" s="5">
        <v>17691092744</v>
      </c>
      <c r="P39" s="5">
        <v>127890425575</v>
      </c>
    </row>
    <row r="40" spans="1:16" x14ac:dyDescent="0.45">
      <c r="A40" s="1" t="s">
        <v>34</v>
      </c>
      <c r="B40" s="2">
        <v>4004205</v>
      </c>
      <c r="C40" s="3" t="s">
        <v>834</v>
      </c>
      <c r="D40" s="3" t="s">
        <v>835</v>
      </c>
      <c r="E40" s="3" t="s">
        <v>836</v>
      </c>
      <c r="F40" s="5" t="s">
        <v>837</v>
      </c>
      <c r="G40" s="5">
        <v>51010115</v>
      </c>
      <c r="H40" s="5" t="s">
        <v>838</v>
      </c>
      <c r="I40" s="5">
        <v>52116152</v>
      </c>
      <c r="J40" s="5">
        <v>53878860</v>
      </c>
      <c r="K40" s="5" t="s">
        <v>839</v>
      </c>
      <c r="L40" s="5" t="s">
        <v>840</v>
      </c>
      <c r="M40" s="5" t="s">
        <v>841</v>
      </c>
      <c r="N40" s="5" t="s">
        <v>842</v>
      </c>
      <c r="O40" s="5" t="s">
        <v>843</v>
      </c>
      <c r="P40" s="5" t="s">
        <v>844</v>
      </c>
    </row>
    <row r="41" spans="1:16" x14ac:dyDescent="0.45">
      <c r="A41" s="1" t="s">
        <v>35</v>
      </c>
      <c r="B41" s="2">
        <v>4073928</v>
      </c>
      <c r="C41" s="3" t="s">
        <v>845</v>
      </c>
      <c r="D41" s="3" t="s">
        <v>846</v>
      </c>
      <c r="E41" s="3" t="s">
        <v>847</v>
      </c>
      <c r="F41" s="5" t="s">
        <v>848</v>
      </c>
      <c r="G41" s="5">
        <v>17556924</v>
      </c>
      <c r="H41" s="5" t="s">
        <v>849</v>
      </c>
      <c r="I41" s="5" t="s">
        <v>850</v>
      </c>
      <c r="J41" s="5" t="s">
        <v>851</v>
      </c>
      <c r="K41" s="5" t="s">
        <v>852</v>
      </c>
      <c r="L41" s="5" t="s">
        <v>853</v>
      </c>
      <c r="M41" s="5" t="s">
        <v>854</v>
      </c>
      <c r="N41" s="5" t="s">
        <v>855</v>
      </c>
      <c r="O41" s="5" t="s">
        <v>856</v>
      </c>
      <c r="P41" s="5" t="s">
        <v>857</v>
      </c>
    </row>
    <row r="42" spans="1:16" x14ac:dyDescent="0.45">
      <c r="A42" s="1" t="s">
        <v>36</v>
      </c>
      <c r="B42" s="2">
        <v>4306801</v>
      </c>
      <c r="C42" s="3" t="s">
        <v>858</v>
      </c>
      <c r="D42" s="3" t="s">
        <v>859</v>
      </c>
      <c r="E42" s="3" t="s">
        <v>860</v>
      </c>
      <c r="F42" s="5" t="s">
        <v>861</v>
      </c>
      <c r="G42" s="5" t="s">
        <v>862</v>
      </c>
      <c r="H42" s="5" t="s">
        <v>863</v>
      </c>
      <c r="I42" s="5" t="s">
        <v>864</v>
      </c>
      <c r="J42" s="5" t="s">
        <v>865</v>
      </c>
      <c r="K42" s="5">
        <v>6621750</v>
      </c>
      <c r="L42" s="5" t="s">
        <v>866</v>
      </c>
      <c r="M42" s="5">
        <v>3205378</v>
      </c>
      <c r="N42" s="5" t="s">
        <v>867</v>
      </c>
      <c r="O42" s="5" t="s">
        <v>868</v>
      </c>
      <c r="P42" s="5" t="s">
        <v>869</v>
      </c>
    </row>
    <row r="43" spans="1:16" x14ac:dyDescent="0.45">
      <c r="A43" s="1" t="s">
        <v>37</v>
      </c>
      <c r="B43" s="2">
        <v>103577</v>
      </c>
      <c r="C43" s="3" t="s">
        <v>870</v>
      </c>
      <c r="D43" s="3" t="s">
        <v>871</v>
      </c>
      <c r="E43" s="3" t="s">
        <v>723</v>
      </c>
      <c r="F43" s="5" t="s">
        <v>872</v>
      </c>
      <c r="G43" s="5">
        <v>20110038</v>
      </c>
      <c r="H43" s="5" t="s">
        <v>873</v>
      </c>
      <c r="I43" s="5" t="s">
        <v>874</v>
      </c>
      <c r="J43" s="5">
        <v>119190249297</v>
      </c>
      <c r="K43" s="5">
        <v>114347330175</v>
      </c>
      <c r="L43" s="5">
        <v>109743883872</v>
      </c>
      <c r="M43" s="5">
        <v>91162688386</v>
      </c>
      <c r="N43" s="5">
        <v>8532814668</v>
      </c>
      <c r="O43" s="5">
        <v>88204287125</v>
      </c>
      <c r="P43" s="5">
        <v>654704351625</v>
      </c>
    </row>
    <row r="44" spans="1:16" x14ac:dyDescent="0.45">
      <c r="A44" s="1" t="s">
        <v>38</v>
      </c>
      <c r="B44" s="2">
        <v>4044801</v>
      </c>
      <c r="C44" s="3" t="s">
        <v>875</v>
      </c>
      <c r="D44" s="3" t="s">
        <v>876</v>
      </c>
      <c r="E44" s="3" t="s">
        <v>877</v>
      </c>
      <c r="F44" s="5" t="s">
        <v>878</v>
      </c>
      <c r="G44" s="5" t="s">
        <v>879</v>
      </c>
      <c r="H44" s="5" t="s">
        <v>880</v>
      </c>
      <c r="I44" s="5" t="s">
        <v>881</v>
      </c>
      <c r="J44" s="5" t="s">
        <v>882</v>
      </c>
      <c r="K44" s="5">
        <v>16428480</v>
      </c>
      <c r="L44" s="5" t="s">
        <v>883</v>
      </c>
      <c r="M44" s="5">
        <v>16633903</v>
      </c>
      <c r="N44" s="5">
        <v>15302700</v>
      </c>
      <c r="O44" s="5" t="s">
        <v>884</v>
      </c>
      <c r="P44" s="5" t="s">
        <v>885</v>
      </c>
    </row>
    <row r="45" spans="1:16" x14ac:dyDescent="0.45">
      <c r="A45" s="1" t="s">
        <v>39</v>
      </c>
      <c r="B45" s="2">
        <v>4438507</v>
      </c>
      <c r="C45" s="3" t="s">
        <v>886</v>
      </c>
      <c r="D45" s="3" t="s">
        <v>887</v>
      </c>
      <c r="E45" s="3" t="s">
        <v>761</v>
      </c>
      <c r="F45" s="5">
        <v>74109721596</v>
      </c>
      <c r="G45" s="5">
        <v>71461010374</v>
      </c>
      <c r="H45" s="5">
        <v>45428144403</v>
      </c>
      <c r="I45" s="5">
        <v>45896356353</v>
      </c>
      <c r="J45" s="5">
        <v>43177446162</v>
      </c>
      <c r="K45" s="5" t="s">
        <v>888</v>
      </c>
      <c r="L45" s="5">
        <v>16561966778</v>
      </c>
      <c r="M45" s="5">
        <v>12178174294</v>
      </c>
      <c r="N45" s="5">
        <v>12161311776</v>
      </c>
      <c r="O45" s="5">
        <v>13046802926</v>
      </c>
      <c r="P45" s="5">
        <v>91330205325</v>
      </c>
    </row>
    <row r="46" spans="1:16" x14ac:dyDescent="0.45">
      <c r="A46" s="1" t="s">
        <v>40</v>
      </c>
      <c r="B46" s="2">
        <v>4970981</v>
      </c>
      <c r="C46" s="3" t="s">
        <v>889</v>
      </c>
      <c r="D46" s="3" t="s">
        <v>890</v>
      </c>
      <c r="E46" s="3" t="s">
        <v>891</v>
      </c>
      <c r="F46" s="5" t="s">
        <v>892</v>
      </c>
      <c r="G46" s="5" t="s">
        <v>893</v>
      </c>
      <c r="H46" s="5">
        <v>65310826773</v>
      </c>
      <c r="I46" s="5">
        <v>4571661774</v>
      </c>
      <c r="J46" s="5" t="s">
        <v>894</v>
      </c>
      <c r="K46" s="5">
        <v>27143378925</v>
      </c>
      <c r="L46" s="5">
        <v>25794546946</v>
      </c>
      <c r="M46" s="5">
        <v>18720359526</v>
      </c>
      <c r="N46" s="5">
        <v>13840419792</v>
      </c>
      <c r="O46" s="5">
        <v>1049437886</v>
      </c>
      <c r="P46" s="5">
        <v>725690954</v>
      </c>
    </row>
    <row r="47" spans="1:16" x14ac:dyDescent="0.45">
      <c r="A47" s="1" t="s">
        <v>41</v>
      </c>
      <c r="B47" s="2">
        <v>103437</v>
      </c>
      <c r="C47" s="3" t="s">
        <v>895</v>
      </c>
      <c r="D47" s="3" t="s">
        <v>896</v>
      </c>
      <c r="E47" s="3" t="s">
        <v>804</v>
      </c>
      <c r="F47" s="5" t="s">
        <v>897</v>
      </c>
      <c r="G47" s="5">
        <v>19491862</v>
      </c>
      <c r="H47" s="5" t="s">
        <v>898</v>
      </c>
      <c r="I47" s="5" t="s">
        <v>899</v>
      </c>
      <c r="J47" s="5" t="s">
        <v>900</v>
      </c>
      <c r="K47" s="5" t="s">
        <v>901</v>
      </c>
      <c r="L47" s="5" t="s">
        <v>902</v>
      </c>
      <c r="M47" s="5" t="s">
        <v>903</v>
      </c>
      <c r="N47" s="5" t="s">
        <v>904</v>
      </c>
      <c r="O47" s="5" t="s">
        <v>905</v>
      </c>
      <c r="P47" s="5" t="s">
        <v>906</v>
      </c>
    </row>
    <row r="48" spans="1:16" x14ac:dyDescent="0.45">
      <c r="A48" s="1" t="s">
        <v>42</v>
      </c>
      <c r="B48" s="2">
        <v>4090153</v>
      </c>
      <c r="C48" s="3" t="s">
        <v>907</v>
      </c>
      <c r="D48" s="3" t="s">
        <v>908</v>
      </c>
      <c r="E48" s="3" t="s">
        <v>723</v>
      </c>
      <c r="F48" s="5" t="s">
        <v>909</v>
      </c>
      <c r="G48" s="5" t="s">
        <v>910</v>
      </c>
      <c r="H48" s="5" t="s">
        <v>911</v>
      </c>
      <c r="I48" s="5" t="s">
        <v>912</v>
      </c>
      <c r="J48" s="5" t="s">
        <v>913</v>
      </c>
      <c r="K48" s="5">
        <v>4868049</v>
      </c>
      <c r="L48" s="5" t="s">
        <v>914</v>
      </c>
      <c r="M48" s="5" t="s">
        <v>915</v>
      </c>
      <c r="N48" s="5" t="s">
        <v>916</v>
      </c>
      <c r="O48" s="5" t="s">
        <v>917</v>
      </c>
      <c r="P48" s="5">
        <v>416544261525</v>
      </c>
    </row>
    <row r="49" spans="1:16" x14ac:dyDescent="0.45">
      <c r="A49" s="1" t="s">
        <v>43</v>
      </c>
      <c r="B49" s="2">
        <v>4024242</v>
      </c>
      <c r="C49" s="3" t="s">
        <v>918</v>
      </c>
      <c r="D49" s="3" t="s">
        <v>919</v>
      </c>
      <c r="E49" s="3" t="s">
        <v>920</v>
      </c>
      <c r="F49" s="5" t="s">
        <v>921</v>
      </c>
      <c r="G49" s="5" t="s">
        <v>922</v>
      </c>
      <c r="H49" s="5" t="s">
        <v>923</v>
      </c>
      <c r="I49" s="5" t="s">
        <v>924</v>
      </c>
      <c r="J49" s="5" t="s">
        <v>925</v>
      </c>
      <c r="K49" s="5">
        <v>146528700</v>
      </c>
      <c r="L49" s="5" t="s">
        <v>926</v>
      </c>
      <c r="M49" s="5" t="s">
        <v>927</v>
      </c>
      <c r="N49" s="5" t="s">
        <v>928</v>
      </c>
      <c r="O49" s="5">
        <v>117569403</v>
      </c>
      <c r="P49" s="5">
        <v>113841530</v>
      </c>
    </row>
    <row r="50" spans="1:16" x14ac:dyDescent="0.45">
      <c r="A50" s="1" t="s">
        <v>44</v>
      </c>
      <c r="B50" s="2">
        <v>4057157</v>
      </c>
      <c r="C50" s="3" t="s">
        <v>929</v>
      </c>
      <c r="D50" s="3" t="s">
        <v>930</v>
      </c>
      <c r="E50" s="3" t="s">
        <v>931</v>
      </c>
      <c r="F50" s="5">
        <v>11556241947</v>
      </c>
      <c r="G50" s="5">
        <v>109005660254</v>
      </c>
      <c r="H50" s="5">
        <v>102700364672</v>
      </c>
      <c r="I50" s="5">
        <v>96055890018</v>
      </c>
      <c r="J50" s="5">
        <v>68220638292</v>
      </c>
      <c r="K50" s="5">
        <v>57833884748</v>
      </c>
      <c r="L50" s="5">
        <v>52735295133</v>
      </c>
      <c r="M50" s="5">
        <v>41054968257</v>
      </c>
      <c r="N50" s="5">
        <v>32986613026</v>
      </c>
      <c r="O50" s="5">
        <v>308091043935</v>
      </c>
      <c r="P50" s="5">
        <v>286269785185</v>
      </c>
    </row>
    <row r="51" spans="1:16" x14ac:dyDescent="0.45">
      <c r="A51" s="1" t="s">
        <v>45</v>
      </c>
      <c r="B51" s="2">
        <v>4208149</v>
      </c>
      <c r="C51" s="3" t="s">
        <v>932</v>
      </c>
      <c r="D51" s="3" t="s">
        <v>933</v>
      </c>
      <c r="E51" s="3" t="s">
        <v>551</v>
      </c>
      <c r="F51" s="5" t="s">
        <v>934</v>
      </c>
      <c r="G51" s="5" t="s">
        <v>935</v>
      </c>
      <c r="H51" s="5" t="s">
        <v>936</v>
      </c>
      <c r="I51" s="5" t="s">
        <v>937</v>
      </c>
      <c r="J51" s="5" t="s">
        <v>938</v>
      </c>
      <c r="K51" s="5" t="s">
        <v>939</v>
      </c>
      <c r="L51" s="5" t="s">
        <v>940</v>
      </c>
      <c r="M51" s="5" t="s">
        <v>941</v>
      </c>
      <c r="N51" s="5" t="s">
        <v>942</v>
      </c>
      <c r="O51" s="5" t="s">
        <v>943</v>
      </c>
      <c r="P51" s="5" t="s">
        <v>944</v>
      </c>
    </row>
    <row r="52" spans="1:16" x14ac:dyDescent="0.45">
      <c r="A52" s="1" t="s">
        <v>46</v>
      </c>
      <c r="B52" s="2">
        <v>1031164</v>
      </c>
      <c r="C52" s="3" t="s">
        <v>945</v>
      </c>
      <c r="D52" s="3" t="s">
        <v>946</v>
      </c>
      <c r="E52" s="3" t="s">
        <v>947</v>
      </c>
      <c r="F52" s="5">
        <v>5269082</v>
      </c>
      <c r="G52" s="5" t="s">
        <v>948</v>
      </c>
      <c r="H52" s="5" t="s">
        <v>949</v>
      </c>
      <c r="I52" s="5" t="s">
        <v>950</v>
      </c>
      <c r="J52" s="5" t="s">
        <v>951</v>
      </c>
      <c r="K52" s="5" t="s">
        <v>952</v>
      </c>
      <c r="L52" s="5" t="s">
        <v>953</v>
      </c>
      <c r="M52" s="5" t="s">
        <v>954</v>
      </c>
      <c r="N52" s="5" t="s">
        <v>955</v>
      </c>
      <c r="O52" s="5" t="s">
        <v>956</v>
      </c>
      <c r="P52" s="5">
        <v>4316830875</v>
      </c>
    </row>
    <row r="53" spans="1:16" x14ac:dyDescent="0.45">
      <c r="A53" s="1" t="s">
        <v>47</v>
      </c>
      <c r="B53" s="2">
        <v>4344582</v>
      </c>
      <c r="C53" s="3" t="s">
        <v>957</v>
      </c>
      <c r="D53" s="3" t="s">
        <v>958</v>
      </c>
      <c r="E53" s="3" t="s">
        <v>959</v>
      </c>
      <c r="F53" s="5">
        <v>-29188961837</v>
      </c>
      <c r="G53" s="5">
        <v>-42941260174</v>
      </c>
      <c r="H53" s="5">
        <v>-40375716108</v>
      </c>
      <c r="I53" s="5">
        <v>-35406824565</v>
      </c>
      <c r="J53" s="5">
        <v>-15244902816</v>
      </c>
      <c r="K53" s="5">
        <v>-7381152639</v>
      </c>
      <c r="L53" s="5">
        <v>-15582333292</v>
      </c>
      <c r="M53" s="5">
        <v>-13082654775</v>
      </c>
      <c r="N53" s="5">
        <v>-1202693434</v>
      </c>
      <c r="O53" s="5">
        <v>-15879593823</v>
      </c>
      <c r="P53" s="5">
        <v>-15150027255</v>
      </c>
    </row>
    <row r="54" spans="1:16" x14ac:dyDescent="0.45">
      <c r="A54" s="1" t="s">
        <v>48</v>
      </c>
      <c r="B54" s="2">
        <v>103145</v>
      </c>
      <c r="C54" s="3" t="s">
        <v>960</v>
      </c>
      <c r="D54" s="3" t="s">
        <v>961</v>
      </c>
      <c r="E54" s="3" t="s">
        <v>962</v>
      </c>
      <c r="F54" s="5">
        <v>100792877889</v>
      </c>
      <c r="G54" s="5">
        <v>115339007628</v>
      </c>
      <c r="H54" s="5">
        <v>106617004177</v>
      </c>
      <c r="I54" s="5">
        <v>105324618966</v>
      </c>
      <c r="J54" s="5">
        <v>96164301573</v>
      </c>
      <c r="K54" s="5">
        <v>87920906925</v>
      </c>
      <c r="L54" s="5">
        <v>9796263295</v>
      </c>
      <c r="M54" s="5" t="s">
        <v>963</v>
      </c>
      <c r="N54" s="5">
        <v>86562081456</v>
      </c>
      <c r="O54" s="5">
        <v>96427391086</v>
      </c>
      <c r="P54" s="5">
        <v>906986905225</v>
      </c>
    </row>
    <row r="55" spans="1:16" x14ac:dyDescent="0.45">
      <c r="A55" s="1" t="s">
        <v>49</v>
      </c>
      <c r="B55" s="2">
        <v>3001622</v>
      </c>
      <c r="C55" s="3" t="s">
        <v>964</v>
      </c>
      <c r="D55" s="3" t="s">
        <v>965</v>
      </c>
      <c r="E55" s="3" t="s">
        <v>677</v>
      </c>
      <c r="F55" s="5" t="s">
        <v>966</v>
      </c>
      <c r="G55" s="5" t="s">
        <v>967</v>
      </c>
      <c r="H55" s="5" t="s">
        <v>968</v>
      </c>
      <c r="I55" s="5" t="s">
        <v>969</v>
      </c>
      <c r="J55" s="5" t="s">
        <v>970</v>
      </c>
      <c r="K55" s="5" t="s">
        <v>971</v>
      </c>
      <c r="L55" s="5" t="s">
        <v>972</v>
      </c>
      <c r="M55" s="5" t="s">
        <v>973</v>
      </c>
      <c r="N55" s="5" t="s">
        <v>974</v>
      </c>
      <c r="O55" s="5" t="s">
        <v>975</v>
      </c>
      <c r="P55" s="5">
        <v>888975135</v>
      </c>
    </row>
    <row r="56" spans="1:16" x14ac:dyDescent="0.45">
      <c r="A56" s="1" t="s">
        <v>50</v>
      </c>
      <c r="B56" s="2">
        <v>4142027</v>
      </c>
      <c r="C56" s="3" t="s">
        <v>976</v>
      </c>
      <c r="D56" s="3" t="s">
        <v>977</v>
      </c>
      <c r="E56" s="3" t="s">
        <v>978</v>
      </c>
      <c r="F56" s="5">
        <v>27617718186</v>
      </c>
      <c r="G56" s="5">
        <v>22482916235</v>
      </c>
      <c r="H56" s="5">
        <v>14617825955</v>
      </c>
      <c r="I56" s="5">
        <v>11869270287</v>
      </c>
      <c r="J56" s="5">
        <v>9213736257</v>
      </c>
      <c r="K56" s="5">
        <v>7980884625</v>
      </c>
      <c r="L56" s="5">
        <v>4843083945</v>
      </c>
      <c r="M56" s="5">
        <v>4081607816</v>
      </c>
      <c r="N56" s="5">
        <v>1394473632</v>
      </c>
      <c r="O56" s="5">
        <v>1429362024</v>
      </c>
      <c r="P56" s="5">
        <v>144561433</v>
      </c>
    </row>
    <row r="57" spans="1:16" x14ac:dyDescent="0.45">
      <c r="A57" s="1" t="s">
        <v>51</v>
      </c>
      <c r="B57" s="2">
        <v>6893503</v>
      </c>
      <c r="C57" s="3" t="s">
        <v>979</v>
      </c>
      <c r="D57" s="3" t="s">
        <v>980</v>
      </c>
      <c r="E57" s="3" t="s">
        <v>981</v>
      </c>
      <c r="F57" s="5">
        <v>16190817</v>
      </c>
      <c r="G57" s="5" t="s">
        <v>982</v>
      </c>
      <c r="H57" s="5" t="s">
        <v>983</v>
      </c>
      <c r="I57" s="5" t="s">
        <v>984</v>
      </c>
      <c r="J57" s="5" t="s">
        <v>985</v>
      </c>
      <c r="K57" s="5">
        <v>14912835</v>
      </c>
      <c r="L57" s="5" t="s">
        <v>986</v>
      </c>
      <c r="M57" s="5" t="s">
        <v>987</v>
      </c>
      <c r="N57" s="5">
        <v>31987848</v>
      </c>
      <c r="O57" s="5" t="s">
        <v>988</v>
      </c>
      <c r="P57" s="5" t="s">
        <v>989</v>
      </c>
    </row>
    <row r="58" spans="1:16" x14ac:dyDescent="0.45">
      <c r="A58" s="1" t="s">
        <v>52</v>
      </c>
      <c r="B58" s="2">
        <v>4014079</v>
      </c>
      <c r="C58" s="3" t="s">
        <v>990</v>
      </c>
      <c r="D58" s="3" t="s">
        <v>991</v>
      </c>
      <c r="E58" s="3" t="s">
        <v>992</v>
      </c>
      <c r="F58" s="5" t="s">
        <v>993</v>
      </c>
      <c r="G58" s="5">
        <v>5727787</v>
      </c>
      <c r="H58" s="5" t="s">
        <v>994</v>
      </c>
      <c r="I58" s="5" t="s">
        <v>995</v>
      </c>
      <c r="J58" s="5" t="s">
        <v>996</v>
      </c>
      <c r="K58" s="5" t="s">
        <v>997</v>
      </c>
      <c r="L58" s="5" t="s">
        <v>998</v>
      </c>
      <c r="M58" s="5" t="s">
        <v>999</v>
      </c>
      <c r="N58" s="5" t="s">
        <v>1000</v>
      </c>
      <c r="O58" s="5" t="s">
        <v>1001</v>
      </c>
      <c r="P58" s="5" t="s">
        <v>1002</v>
      </c>
    </row>
    <row r="59" spans="1:16" x14ac:dyDescent="0.45">
      <c r="A59" s="1" t="s">
        <v>53</v>
      </c>
      <c r="B59" s="2">
        <v>100369</v>
      </c>
      <c r="C59" s="3" t="s">
        <v>1003</v>
      </c>
      <c r="D59" s="3" t="s">
        <v>1004</v>
      </c>
      <c r="E59" s="3" t="s">
        <v>1005</v>
      </c>
      <c r="F59" s="5" t="s">
        <v>1006</v>
      </c>
      <c r="G59" s="5" t="s">
        <v>1007</v>
      </c>
      <c r="H59" s="5" t="s">
        <v>1008</v>
      </c>
      <c r="I59" s="5" t="s">
        <v>1009</v>
      </c>
      <c r="J59" s="5" t="s">
        <v>1010</v>
      </c>
      <c r="K59" s="5">
        <v>223115370</v>
      </c>
      <c r="L59" s="5">
        <v>235972191</v>
      </c>
      <c r="M59" s="5">
        <v>231734855</v>
      </c>
      <c r="N59" s="5" t="s">
        <v>1011</v>
      </c>
      <c r="O59" s="5" t="s">
        <v>1012</v>
      </c>
      <c r="P59" s="5">
        <v>235874052</v>
      </c>
    </row>
    <row r="60" spans="1:16" x14ac:dyDescent="0.45">
      <c r="A60" s="1" t="s">
        <v>54</v>
      </c>
      <c r="B60" s="2">
        <v>4081442</v>
      </c>
      <c r="C60" s="3" t="s">
        <v>1013</v>
      </c>
      <c r="D60" s="3" t="s">
        <v>1014</v>
      </c>
      <c r="E60" s="3" t="s">
        <v>519</v>
      </c>
      <c r="F60" s="5" t="s">
        <v>1015</v>
      </c>
      <c r="G60" s="5" t="s">
        <v>1016</v>
      </c>
      <c r="H60" s="5" t="s">
        <v>1017</v>
      </c>
      <c r="I60" s="5" t="s">
        <v>1018</v>
      </c>
      <c r="J60" s="5" t="s">
        <v>1019</v>
      </c>
      <c r="K60" s="5">
        <v>7133505</v>
      </c>
      <c r="L60" s="5" t="s">
        <v>1020</v>
      </c>
      <c r="M60" s="5" t="s">
        <v>1021</v>
      </c>
      <c r="N60" s="5" t="s">
        <v>1022</v>
      </c>
      <c r="O60" s="5">
        <v>7843644</v>
      </c>
      <c r="P60" s="5" t="s">
        <v>1023</v>
      </c>
    </row>
    <row r="61" spans="1:16" x14ac:dyDescent="0.45">
      <c r="A61" s="1" t="s">
        <v>55</v>
      </c>
      <c r="B61" s="2">
        <v>4133271</v>
      </c>
      <c r="C61" s="3" t="s">
        <v>1024</v>
      </c>
      <c r="D61" s="3" t="s">
        <v>1025</v>
      </c>
      <c r="E61" s="3" t="s">
        <v>519</v>
      </c>
      <c r="F61" s="5">
        <v>21639897</v>
      </c>
      <c r="G61" s="5">
        <v>23212974</v>
      </c>
      <c r="H61" s="5" t="s">
        <v>1026</v>
      </c>
      <c r="I61" s="5" t="s">
        <v>1027</v>
      </c>
      <c r="J61" s="5" t="s">
        <v>1028</v>
      </c>
      <c r="K61" s="5">
        <v>20238274</v>
      </c>
      <c r="L61" s="5" t="s">
        <v>1029</v>
      </c>
      <c r="M61" s="5" t="s">
        <v>1030</v>
      </c>
      <c r="N61" s="5" t="s">
        <v>1031</v>
      </c>
      <c r="O61" s="5" t="s">
        <v>1032</v>
      </c>
      <c r="P61" s="5" t="s">
        <v>1033</v>
      </c>
    </row>
    <row r="62" spans="1:16" x14ac:dyDescent="0.45">
      <c r="A62" s="1" t="s">
        <v>56</v>
      </c>
      <c r="B62" s="2">
        <v>103462</v>
      </c>
      <c r="C62" s="3" t="s">
        <v>1034</v>
      </c>
      <c r="D62" s="3" t="s">
        <v>1035</v>
      </c>
      <c r="E62" s="3" t="s">
        <v>1036</v>
      </c>
      <c r="F62" s="5" t="s">
        <v>1037</v>
      </c>
      <c r="G62" s="5" t="s">
        <v>1038</v>
      </c>
      <c r="H62" s="5">
        <v>516375619</v>
      </c>
      <c r="I62" s="5" t="s">
        <v>1039</v>
      </c>
      <c r="J62" s="5">
        <v>452777949</v>
      </c>
      <c r="K62" s="5">
        <v>368967180</v>
      </c>
      <c r="L62" s="5" t="s">
        <v>1040</v>
      </c>
      <c r="M62" s="5">
        <v>307873500</v>
      </c>
      <c r="N62" s="5" t="s">
        <v>1041</v>
      </c>
      <c r="O62" s="5" t="s">
        <v>1042</v>
      </c>
      <c r="P62" s="5" t="s">
        <v>1043</v>
      </c>
    </row>
    <row r="63" spans="1:16" x14ac:dyDescent="0.45">
      <c r="A63" s="1" t="s">
        <v>57</v>
      </c>
      <c r="B63" s="2">
        <v>4095864</v>
      </c>
      <c r="C63" s="3" t="s">
        <v>1044</v>
      </c>
      <c r="D63" s="3" t="s">
        <v>1045</v>
      </c>
      <c r="E63" s="3" t="s">
        <v>1046</v>
      </c>
      <c r="F63" s="5" t="s">
        <v>1047</v>
      </c>
      <c r="G63" s="5" t="s">
        <v>1048</v>
      </c>
      <c r="H63" s="5">
        <v>2574754</v>
      </c>
      <c r="I63" s="5">
        <v>2705618</v>
      </c>
      <c r="J63" s="5" t="s">
        <v>1049</v>
      </c>
      <c r="K63" s="5">
        <v>3138058</v>
      </c>
      <c r="L63" s="5" t="s">
        <v>1050</v>
      </c>
      <c r="M63" s="5" t="s">
        <v>1051</v>
      </c>
      <c r="N63" s="5" t="s">
        <v>1052</v>
      </c>
      <c r="O63" s="5" t="s">
        <v>1053</v>
      </c>
      <c r="P63" s="5">
        <v>4428750</v>
      </c>
    </row>
    <row r="64" spans="1:16" x14ac:dyDescent="0.45">
      <c r="A64" s="1" t="s">
        <v>58</v>
      </c>
      <c r="B64" s="2">
        <v>4810610</v>
      </c>
      <c r="C64" s="3" t="s">
        <v>1054</v>
      </c>
      <c r="D64" s="3" t="s">
        <v>1055</v>
      </c>
      <c r="E64" s="3" t="s">
        <v>581</v>
      </c>
      <c r="F64" s="5">
        <v>1633865012</v>
      </c>
      <c r="G64" s="5">
        <v>1930857705</v>
      </c>
      <c r="H64" s="5">
        <v>1801328656</v>
      </c>
      <c r="I64" s="5">
        <v>16271871226</v>
      </c>
      <c r="J64" s="5">
        <v>13251787556</v>
      </c>
      <c r="K64" s="5">
        <v>12273272112</v>
      </c>
      <c r="L64" s="5">
        <v>10243196132</v>
      </c>
      <c r="M64" s="5">
        <v>9248631831</v>
      </c>
      <c r="N64" s="5">
        <v>8323480655</v>
      </c>
      <c r="O64" s="5">
        <v>791747676</v>
      </c>
      <c r="P64" s="5">
        <v>76033589625</v>
      </c>
    </row>
    <row r="65" spans="1:16" x14ac:dyDescent="0.45">
      <c r="A65" s="1" t="s">
        <v>59</v>
      </c>
      <c r="B65" s="2">
        <v>4152157</v>
      </c>
      <c r="C65" s="3" t="s">
        <v>1056</v>
      </c>
      <c r="D65" s="3" t="s">
        <v>1057</v>
      </c>
      <c r="E65" s="3" t="s">
        <v>533</v>
      </c>
      <c r="F65" s="5" t="s">
        <v>1058</v>
      </c>
      <c r="G65" s="5" t="s">
        <v>1059</v>
      </c>
      <c r="H65" s="5" t="s">
        <v>1060</v>
      </c>
      <c r="I65" s="5" t="s">
        <v>1061</v>
      </c>
      <c r="J65" s="5" t="s">
        <v>1062</v>
      </c>
      <c r="K65" s="5" t="s">
        <v>1063</v>
      </c>
      <c r="L65" s="5" t="s">
        <v>1064</v>
      </c>
      <c r="M65" s="5" t="s">
        <v>1065</v>
      </c>
      <c r="N65" s="5" t="s">
        <v>1066</v>
      </c>
      <c r="O65" s="5" t="s">
        <v>1067</v>
      </c>
      <c r="P65" s="5">
        <v>8631939175</v>
      </c>
    </row>
    <row r="66" spans="1:16" x14ac:dyDescent="0.45">
      <c r="A66" s="1" t="s">
        <v>60</v>
      </c>
      <c r="B66" s="2">
        <v>4048287</v>
      </c>
      <c r="C66" s="3" t="s">
        <v>1068</v>
      </c>
      <c r="D66" s="3" t="s">
        <v>1069</v>
      </c>
      <c r="E66" s="3" t="s">
        <v>761</v>
      </c>
      <c r="F66" s="5" t="s">
        <v>1070</v>
      </c>
      <c r="G66" s="5" t="s">
        <v>1071</v>
      </c>
      <c r="H66" s="5">
        <v>37309828</v>
      </c>
      <c r="I66" s="5" t="s">
        <v>1072</v>
      </c>
      <c r="J66" s="5" t="s">
        <v>1073</v>
      </c>
      <c r="K66" s="5">
        <v>30783780</v>
      </c>
      <c r="L66" s="5" t="s">
        <v>1074</v>
      </c>
      <c r="M66" s="5">
        <v>29293836</v>
      </c>
      <c r="N66" s="5" t="s">
        <v>1075</v>
      </c>
      <c r="O66" s="5" t="s">
        <v>1076</v>
      </c>
      <c r="P66" s="5">
        <v>26742263</v>
      </c>
    </row>
    <row r="67" spans="1:16" x14ac:dyDescent="0.45">
      <c r="A67" s="1" t="s">
        <v>61</v>
      </c>
      <c r="B67" s="2">
        <v>4157397</v>
      </c>
      <c r="C67" s="3" t="s">
        <v>1077</v>
      </c>
      <c r="D67" s="3" t="s">
        <v>1078</v>
      </c>
      <c r="E67" s="3" t="s">
        <v>761</v>
      </c>
      <c r="F67" s="5">
        <v>186361941924</v>
      </c>
      <c r="G67" s="5">
        <v>188302349885</v>
      </c>
      <c r="H67" s="5">
        <v>163526461058</v>
      </c>
      <c r="I67" s="5">
        <v>184155743919</v>
      </c>
      <c r="J67" s="5">
        <v>190861262478</v>
      </c>
      <c r="K67" s="5">
        <v>119277411075</v>
      </c>
      <c r="L67" s="5">
        <v>134583296372</v>
      </c>
      <c r="M67" s="5">
        <v>120128187124</v>
      </c>
      <c r="N67" s="5">
        <v>114285901848</v>
      </c>
      <c r="O67" s="5">
        <v>118553960309</v>
      </c>
      <c r="P67" s="5">
        <v>1126119328275</v>
      </c>
    </row>
    <row r="68" spans="1:16" x14ac:dyDescent="0.45">
      <c r="A68" s="1" t="s">
        <v>62</v>
      </c>
      <c r="B68" s="2">
        <v>4340737</v>
      </c>
      <c r="C68" s="3" t="s">
        <v>1079</v>
      </c>
      <c r="D68" s="3" t="s">
        <v>1080</v>
      </c>
      <c r="E68" s="3" t="s">
        <v>711</v>
      </c>
      <c r="F68" s="5">
        <v>188820884994</v>
      </c>
      <c r="G68" s="5">
        <v>205108497958</v>
      </c>
      <c r="H68" s="5">
        <v>169114087292</v>
      </c>
      <c r="I68" s="5">
        <v>161420928735</v>
      </c>
      <c r="J68" s="5">
        <v>29136388077</v>
      </c>
      <c r="K68" s="5">
        <v>21921826575</v>
      </c>
      <c r="L68" s="5">
        <v>1528281055</v>
      </c>
      <c r="M68" s="5">
        <v>9786455734</v>
      </c>
      <c r="N68" s="5">
        <v>6548581224</v>
      </c>
      <c r="O68" s="5">
        <v>5457897369</v>
      </c>
      <c r="P68" s="5">
        <v>467785196</v>
      </c>
    </row>
    <row r="69" spans="1:16" x14ac:dyDescent="0.45">
      <c r="A69" s="1" t="s">
        <v>63</v>
      </c>
      <c r="B69" s="2">
        <v>4122589</v>
      </c>
      <c r="C69" s="3" t="s">
        <v>1081</v>
      </c>
      <c r="D69" s="3" t="s">
        <v>1082</v>
      </c>
      <c r="E69" s="3" t="s">
        <v>1083</v>
      </c>
      <c r="F69" s="5" t="s">
        <v>1084</v>
      </c>
      <c r="G69" s="5">
        <v>-3882918</v>
      </c>
      <c r="H69" s="5" t="s">
        <v>1085</v>
      </c>
      <c r="I69" s="5" t="s">
        <v>1086</v>
      </c>
      <c r="J69" s="5" t="s">
        <v>1087</v>
      </c>
      <c r="K69" s="5" t="s">
        <v>1088</v>
      </c>
      <c r="L69" s="5" t="s">
        <v>1089</v>
      </c>
      <c r="M69" s="5">
        <v>7672819</v>
      </c>
      <c r="N69" s="5" t="s">
        <v>1090</v>
      </c>
      <c r="O69" s="5">
        <v>93026205166</v>
      </c>
      <c r="P69" s="5">
        <v>809842808175</v>
      </c>
    </row>
    <row r="70" spans="1:16" x14ac:dyDescent="0.45">
      <c r="A70" s="1" t="s">
        <v>64</v>
      </c>
      <c r="B70" s="2">
        <v>4810597</v>
      </c>
      <c r="C70" s="3" t="s">
        <v>1091</v>
      </c>
      <c r="D70" s="3" t="s">
        <v>1092</v>
      </c>
      <c r="E70" s="3" t="s">
        <v>519</v>
      </c>
      <c r="F70" s="5" t="s">
        <v>1093</v>
      </c>
      <c r="G70" s="5" t="s">
        <v>1094</v>
      </c>
      <c r="H70" s="5">
        <v>17668791</v>
      </c>
      <c r="I70" s="5" t="s">
        <v>1095</v>
      </c>
      <c r="J70" s="5" t="s">
        <v>1096</v>
      </c>
      <c r="K70" s="5">
        <v>12529005</v>
      </c>
      <c r="L70" s="5" t="s">
        <v>1097</v>
      </c>
      <c r="M70" s="5" t="s">
        <v>1098</v>
      </c>
      <c r="N70" s="5" t="s">
        <v>1099</v>
      </c>
      <c r="O70" s="5" t="s">
        <v>1100</v>
      </c>
      <c r="P70" s="5">
        <v>5819140</v>
      </c>
    </row>
    <row r="71" spans="1:16" x14ac:dyDescent="0.45">
      <c r="A71" s="1" t="s">
        <v>65</v>
      </c>
      <c r="B71" s="2">
        <v>4623856</v>
      </c>
      <c r="C71" s="3" t="s">
        <v>1101</v>
      </c>
      <c r="D71" s="3" t="s">
        <v>1102</v>
      </c>
      <c r="E71" s="3" t="s">
        <v>1103</v>
      </c>
      <c r="F71" s="5" t="s">
        <v>1104</v>
      </c>
      <c r="G71" s="5" t="s">
        <v>1105</v>
      </c>
      <c r="H71" s="5" t="s">
        <v>1106</v>
      </c>
      <c r="I71" s="5" t="s">
        <v>1107</v>
      </c>
      <c r="J71" s="5" t="s">
        <v>1108</v>
      </c>
      <c r="K71" s="5">
        <v>30968535</v>
      </c>
      <c r="L71" s="5" t="s">
        <v>1109</v>
      </c>
      <c r="M71" s="5" t="s">
        <v>1110</v>
      </c>
      <c r="N71" s="5" t="s">
        <v>1111</v>
      </c>
      <c r="O71" s="5" t="s">
        <v>1112</v>
      </c>
      <c r="P71" s="5">
        <v>13280898</v>
      </c>
    </row>
    <row r="72" spans="1:16" x14ac:dyDescent="0.45">
      <c r="A72" s="1" t="s">
        <v>66</v>
      </c>
      <c r="B72" s="2">
        <v>4970473</v>
      </c>
      <c r="C72" s="3" t="s">
        <v>1113</v>
      </c>
      <c r="D72" s="3" t="s">
        <v>1114</v>
      </c>
      <c r="E72" s="3" t="s">
        <v>559</v>
      </c>
      <c r="F72" s="5">
        <v>70480164</v>
      </c>
      <c r="G72" s="5" t="s">
        <v>1115</v>
      </c>
      <c r="H72" s="5" t="s">
        <v>1116</v>
      </c>
      <c r="I72" s="5" t="s">
        <v>1117</v>
      </c>
      <c r="J72" s="5" t="s">
        <v>1118</v>
      </c>
      <c r="K72" s="5" t="s">
        <v>1119</v>
      </c>
      <c r="L72" s="5">
        <v>22363132</v>
      </c>
      <c r="M72" s="5" t="s">
        <v>1120</v>
      </c>
      <c r="N72" s="5" t="s">
        <v>1121</v>
      </c>
      <c r="O72" s="5" t="s">
        <v>1122</v>
      </c>
      <c r="P72" s="5" t="s">
        <v>1123</v>
      </c>
    </row>
    <row r="73" spans="1:16" x14ac:dyDescent="0.45">
      <c r="A73" s="1" t="s">
        <v>67</v>
      </c>
      <c r="B73" s="2">
        <v>4157226</v>
      </c>
      <c r="C73" s="3" t="s">
        <v>1124</v>
      </c>
      <c r="D73" s="3" t="s">
        <v>1125</v>
      </c>
      <c r="E73" s="3" t="s">
        <v>1126</v>
      </c>
      <c r="F73" s="5" t="s">
        <v>1127</v>
      </c>
      <c r="G73" s="5" t="s">
        <v>1128</v>
      </c>
      <c r="H73" s="5" t="s">
        <v>1129</v>
      </c>
      <c r="I73" s="5" t="s">
        <v>1130</v>
      </c>
      <c r="J73" s="5" t="s">
        <v>1131</v>
      </c>
      <c r="K73" s="5" t="s">
        <v>1132</v>
      </c>
      <c r="L73" s="5">
        <v>990847</v>
      </c>
      <c r="M73" s="5" t="s">
        <v>1133</v>
      </c>
      <c r="N73" s="5" t="s">
        <v>1134</v>
      </c>
      <c r="O73" s="5">
        <v>941420475</v>
      </c>
      <c r="P73" s="5" t="s">
        <v>1135</v>
      </c>
    </row>
    <row r="74" spans="1:16" x14ac:dyDescent="0.45">
      <c r="A74" s="1" t="s">
        <v>68</v>
      </c>
      <c r="B74" s="2">
        <v>103448</v>
      </c>
      <c r="C74" s="3" t="s">
        <v>1136</v>
      </c>
      <c r="D74" s="3" t="s">
        <v>1137</v>
      </c>
      <c r="E74" s="3" t="s">
        <v>804</v>
      </c>
      <c r="F74" s="5" t="s">
        <v>1138</v>
      </c>
      <c r="G74" s="5" t="s">
        <v>1139</v>
      </c>
      <c r="H74" s="5" t="s">
        <v>1140</v>
      </c>
      <c r="I74" s="5" t="s">
        <v>1141</v>
      </c>
      <c r="J74" s="5" t="s">
        <v>1142</v>
      </c>
      <c r="K74" s="5">
        <v>30690773025</v>
      </c>
      <c r="L74" s="5">
        <v>29854336169</v>
      </c>
      <c r="M74" s="5">
        <v>26206960912</v>
      </c>
      <c r="N74" s="5">
        <v>21508717272</v>
      </c>
      <c r="O74" s="5">
        <v>22358278803</v>
      </c>
      <c r="P74" s="5">
        <v>1979406252</v>
      </c>
    </row>
    <row r="75" spans="1:16" x14ac:dyDescent="0.45">
      <c r="A75" s="1" t="s">
        <v>69</v>
      </c>
      <c r="B75" s="2">
        <v>4086734</v>
      </c>
      <c r="C75" s="3" t="s">
        <v>1143</v>
      </c>
      <c r="D75" s="3" t="s">
        <v>1144</v>
      </c>
      <c r="E75" s="3" t="s">
        <v>1145</v>
      </c>
      <c r="F75" s="5" t="s">
        <v>1146</v>
      </c>
      <c r="G75" s="5" t="s">
        <v>1147</v>
      </c>
      <c r="H75" s="5" t="s">
        <v>1148</v>
      </c>
      <c r="I75" s="5" t="s">
        <v>1149</v>
      </c>
      <c r="J75" s="5" t="s">
        <v>1150</v>
      </c>
      <c r="K75" s="5" t="s">
        <v>1151</v>
      </c>
      <c r="L75" s="5" t="s">
        <v>1152</v>
      </c>
      <c r="M75" s="5" t="s">
        <v>1153</v>
      </c>
      <c r="N75" s="5">
        <v>1257386</v>
      </c>
      <c r="O75" s="5" t="s">
        <v>1154</v>
      </c>
      <c r="P75" s="5" t="s">
        <v>1155</v>
      </c>
    </row>
    <row r="76" spans="1:16" x14ac:dyDescent="0.45">
      <c r="A76" s="1" t="s">
        <v>70</v>
      </c>
      <c r="B76" s="2">
        <v>4073448</v>
      </c>
      <c r="C76" s="3" t="s">
        <v>1156</v>
      </c>
      <c r="D76" s="3" t="s">
        <v>1157</v>
      </c>
      <c r="E76" s="3" t="s">
        <v>506</v>
      </c>
      <c r="F76" s="5">
        <v>37068121767</v>
      </c>
      <c r="G76" s="5">
        <v>4149960373</v>
      </c>
      <c r="H76" s="5">
        <v>42813579497</v>
      </c>
      <c r="I76" s="5">
        <v>46434730062</v>
      </c>
      <c r="J76" s="5">
        <v>42228215433</v>
      </c>
      <c r="K76" s="5">
        <v>9424001025</v>
      </c>
      <c r="L76" s="5">
        <v>7351156183</v>
      </c>
      <c r="M76" s="5">
        <v>5208416092</v>
      </c>
      <c r="N76" s="5">
        <v>3133068552</v>
      </c>
      <c r="O76" s="5">
        <v>293303026</v>
      </c>
      <c r="P76" s="5">
        <v>13737129625</v>
      </c>
    </row>
    <row r="77" spans="1:16" x14ac:dyDescent="0.45">
      <c r="A77" s="1" t="s">
        <v>71</v>
      </c>
      <c r="B77" s="2">
        <v>4500439</v>
      </c>
      <c r="C77" s="3" t="s">
        <v>1158</v>
      </c>
      <c r="D77" s="3" t="s">
        <v>1159</v>
      </c>
      <c r="E77" s="3" t="s">
        <v>877</v>
      </c>
      <c r="F77" s="5" t="s">
        <v>1160</v>
      </c>
      <c r="G77" s="5" t="s">
        <v>1161</v>
      </c>
      <c r="H77" s="5" t="s">
        <v>1162</v>
      </c>
      <c r="I77" s="5">
        <v>9319572</v>
      </c>
      <c r="J77" s="5" t="s">
        <v>1163</v>
      </c>
      <c r="K77" s="5">
        <v>5411850</v>
      </c>
      <c r="L77" s="5" t="s">
        <v>1164</v>
      </c>
      <c r="M77" s="5" t="s">
        <v>1165</v>
      </c>
      <c r="N77" s="5" t="s">
        <v>1166</v>
      </c>
      <c r="O77" s="5" t="s">
        <v>1167</v>
      </c>
      <c r="P77" s="5" t="s">
        <v>1168</v>
      </c>
    </row>
    <row r="78" spans="1:16" x14ac:dyDescent="0.45">
      <c r="A78" s="1" t="s">
        <v>72</v>
      </c>
      <c r="B78" s="2">
        <v>112885</v>
      </c>
      <c r="C78" s="3" t="s">
        <v>1169</v>
      </c>
      <c r="D78" s="3" t="s">
        <v>1170</v>
      </c>
      <c r="E78" s="3" t="s">
        <v>1171</v>
      </c>
      <c r="F78" s="5">
        <v>65450606934</v>
      </c>
      <c r="G78" s="5">
        <v>76674310739</v>
      </c>
      <c r="H78" s="5">
        <v>74040476107</v>
      </c>
      <c r="I78" s="5">
        <v>78260254383</v>
      </c>
      <c r="J78" s="5">
        <v>70636173804</v>
      </c>
      <c r="K78" s="5" t="s">
        <v>1172</v>
      </c>
      <c r="L78" s="5">
        <v>71414856996</v>
      </c>
      <c r="M78" s="5">
        <v>71740796512</v>
      </c>
      <c r="N78" s="5">
        <v>67477253568</v>
      </c>
      <c r="O78" s="5">
        <v>75139116052</v>
      </c>
      <c r="P78" s="5">
        <v>726188803525</v>
      </c>
    </row>
    <row r="79" spans="1:16" x14ac:dyDescent="0.45">
      <c r="A79" s="1" t="s">
        <v>73</v>
      </c>
      <c r="B79" s="2">
        <v>4095936</v>
      </c>
      <c r="C79" s="3" t="s">
        <v>1173</v>
      </c>
      <c r="D79" s="3" t="s">
        <v>1174</v>
      </c>
      <c r="E79" s="3" t="s">
        <v>1175</v>
      </c>
      <c r="F79" s="5">
        <v>15719375499</v>
      </c>
      <c r="G79" s="5">
        <v>16633290609</v>
      </c>
      <c r="H79" s="5">
        <v>12834951759</v>
      </c>
      <c r="I79" s="5">
        <v>12663969654</v>
      </c>
      <c r="J79" s="5">
        <v>17778865662</v>
      </c>
      <c r="K79" s="5">
        <v>15368452275</v>
      </c>
      <c r="L79" s="5">
        <v>1488787503</v>
      </c>
      <c r="M79" s="5">
        <v>13931489858</v>
      </c>
      <c r="N79" s="5">
        <v>1187360436</v>
      </c>
      <c r="O79" s="5">
        <v>11915584631</v>
      </c>
      <c r="P79" s="5">
        <v>10592768375</v>
      </c>
    </row>
    <row r="80" spans="1:16" x14ac:dyDescent="0.45">
      <c r="A80" s="1" t="s">
        <v>74</v>
      </c>
      <c r="B80" s="2">
        <v>4963284</v>
      </c>
      <c r="C80" s="3" t="s">
        <v>1176</v>
      </c>
      <c r="D80" s="3" t="s">
        <v>1177</v>
      </c>
      <c r="E80" s="3" t="s">
        <v>551</v>
      </c>
      <c r="F80" s="5">
        <v>46623599577</v>
      </c>
      <c r="G80" s="5">
        <v>45142089902</v>
      </c>
      <c r="H80" s="5">
        <v>30798439737</v>
      </c>
      <c r="I80" s="5">
        <v>25686022341</v>
      </c>
      <c r="J80" s="5">
        <v>24098755275</v>
      </c>
      <c r="K80" s="5">
        <v>20407845348</v>
      </c>
      <c r="L80" s="5">
        <v>18818798406</v>
      </c>
      <c r="M80" s="5">
        <v>11255471136</v>
      </c>
      <c r="N80" s="5">
        <v>8238074256</v>
      </c>
      <c r="O80" s="5">
        <v>702678721</v>
      </c>
      <c r="P80" s="5">
        <v>126678266325</v>
      </c>
    </row>
    <row r="81" spans="1:16" x14ac:dyDescent="0.45">
      <c r="A81" s="1" t="s">
        <v>75</v>
      </c>
      <c r="B81" s="2">
        <v>103094</v>
      </c>
      <c r="C81" s="3" t="s">
        <v>1178</v>
      </c>
      <c r="D81" s="3" t="s">
        <v>1179</v>
      </c>
      <c r="E81" s="3" t="s">
        <v>962</v>
      </c>
      <c r="F81" s="5">
        <v>37800600801</v>
      </c>
      <c r="G81" s="5">
        <v>45853098551</v>
      </c>
      <c r="H81" s="5">
        <v>45703372237</v>
      </c>
      <c r="I81" s="5">
        <v>47317609797</v>
      </c>
      <c r="J81" s="5">
        <v>37513180215</v>
      </c>
      <c r="K81" s="5">
        <v>28748098725</v>
      </c>
      <c r="L81" s="5">
        <v>32986062564</v>
      </c>
      <c r="M81" s="5">
        <v>29565498336</v>
      </c>
      <c r="N81" s="5">
        <v>29020698192</v>
      </c>
      <c r="O81" s="5">
        <v>29324173569</v>
      </c>
      <c r="P81" s="5">
        <v>2663633992</v>
      </c>
    </row>
    <row r="82" spans="1:16" x14ac:dyDescent="0.45">
      <c r="A82" s="1" t="s">
        <v>76</v>
      </c>
      <c r="B82" s="2">
        <v>103239</v>
      </c>
      <c r="C82" s="3" t="s">
        <v>1180</v>
      </c>
      <c r="D82" s="3" t="s">
        <v>1181</v>
      </c>
      <c r="E82" s="3" t="s">
        <v>1182</v>
      </c>
      <c r="F82" s="5" t="s">
        <v>1183</v>
      </c>
      <c r="G82" s="5" t="s">
        <v>1184</v>
      </c>
      <c r="H82" s="5" t="s">
        <v>1185</v>
      </c>
      <c r="I82" s="5" t="s">
        <v>1186</v>
      </c>
      <c r="J82" s="5" t="s">
        <v>1187</v>
      </c>
      <c r="K82" s="5">
        <v>49216770</v>
      </c>
      <c r="L82" s="5" t="s">
        <v>1188</v>
      </c>
      <c r="M82" s="5" t="s">
        <v>1189</v>
      </c>
      <c r="N82" s="5">
        <v>40582344</v>
      </c>
      <c r="O82" s="5" t="s">
        <v>1190</v>
      </c>
      <c r="P82" s="5">
        <v>43536743</v>
      </c>
    </row>
    <row r="83" spans="1:16" x14ac:dyDescent="0.45">
      <c r="A83" s="1" t="s">
        <v>77</v>
      </c>
      <c r="B83" s="2">
        <v>4073203</v>
      </c>
      <c r="C83" s="3" t="s">
        <v>1191</v>
      </c>
      <c r="D83" s="3" t="s">
        <v>1192</v>
      </c>
      <c r="E83" s="3" t="s">
        <v>1193</v>
      </c>
      <c r="F83" s="5">
        <v>-2242851</v>
      </c>
      <c r="G83" s="5" t="s">
        <v>1194</v>
      </c>
      <c r="H83" s="5">
        <v>-2708612</v>
      </c>
      <c r="I83" s="5" t="s">
        <v>1195</v>
      </c>
      <c r="J83" s="5" t="s">
        <v>1196</v>
      </c>
      <c r="K83" s="5" t="s">
        <v>1197</v>
      </c>
      <c r="L83" s="5">
        <v>5562804</v>
      </c>
      <c r="M83" s="5" t="s">
        <v>1198</v>
      </c>
      <c r="N83" s="5">
        <v>6088169</v>
      </c>
      <c r="O83" s="5" t="s">
        <v>1199</v>
      </c>
      <c r="P83" s="5">
        <v>5616324</v>
      </c>
    </row>
    <row r="84" spans="1:16" x14ac:dyDescent="0.45">
      <c r="A84" s="1" t="s">
        <v>78</v>
      </c>
      <c r="B84" s="2">
        <v>4980730</v>
      </c>
      <c r="C84" s="3" t="s">
        <v>1200</v>
      </c>
      <c r="D84" s="3" t="s">
        <v>1201</v>
      </c>
      <c r="E84" s="3" t="s">
        <v>1083</v>
      </c>
      <c r="F84" s="5" t="s">
        <v>1202</v>
      </c>
      <c r="G84" s="5" t="s">
        <v>1203</v>
      </c>
      <c r="H84" s="5" t="s">
        <v>1204</v>
      </c>
      <c r="I84" s="5" t="s">
        <v>1205</v>
      </c>
      <c r="J84" s="5" t="s">
        <v>1206</v>
      </c>
      <c r="K84" s="5" t="s">
        <v>1207</v>
      </c>
      <c r="L84" s="5">
        <v>23021274</v>
      </c>
      <c r="M84" s="5" t="s">
        <v>1208</v>
      </c>
      <c r="N84" s="5" t="s">
        <v>1209</v>
      </c>
      <c r="O84" s="5">
        <v>21376762</v>
      </c>
      <c r="P84" s="5" t="s">
        <v>1210</v>
      </c>
    </row>
    <row r="85" spans="1:16" x14ac:dyDescent="0.45">
      <c r="A85" s="1" t="s">
        <v>79</v>
      </c>
      <c r="B85" s="2">
        <v>6676338</v>
      </c>
      <c r="C85" s="3" t="s">
        <v>1211</v>
      </c>
      <c r="D85" s="3" t="s">
        <v>1212</v>
      </c>
      <c r="E85" s="3" t="s">
        <v>959</v>
      </c>
      <c r="F85" s="5" t="s">
        <v>1213</v>
      </c>
      <c r="G85" s="5" t="s">
        <v>1214</v>
      </c>
      <c r="H85" s="5" t="s">
        <v>1215</v>
      </c>
      <c r="I85" s="5" t="s">
        <v>1216</v>
      </c>
      <c r="J85" s="5" t="s">
        <v>1217</v>
      </c>
      <c r="K85" s="5">
        <v>655635</v>
      </c>
      <c r="L85" s="5">
        <v>1710368429</v>
      </c>
      <c r="M85" s="5">
        <v>1986356152</v>
      </c>
      <c r="N85" s="5">
        <v>2328042432</v>
      </c>
      <c r="O85" s="5">
        <v>-1098498553</v>
      </c>
      <c r="P85" s="5">
        <v>-259743575</v>
      </c>
    </row>
    <row r="86" spans="1:16" x14ac:dyDescent="0.45">
      <c r="A86" s="1" t="s">
        <v>80</v>
      </c>
      <c r="B86" s="2">
        <v>114523</v>
      </c>
      <c r="C86" s="3" t="s">
        <v>1218</v>
      </c>
      <c r="D86" s="3" t="s">
        <v>1219</v>
      </c>
      <c r="E86" s="3" t="s">
        <v>1220</v>
      </c>
      <c r="F86" s="5" t="s">
        <v>1221</v>
      </c>
      <c r="G86" s="5" t="s">
        <v>1222</v>
      </c>
      <c r="H86" s="5" t="s">
        <v>1223</v>
      </c>
      <c r="I86" s="5" t="s">
        <v>1224</v>
      </c>
      <c r="J86" s="5" t="s">
        <v>1225</v>
      </c>
      <c r="K86" s="5">
        <v>12571515</v>
      </c>
      <c r="L86" s="5" t="s">
        <v>1226</v>
      </c>
      <c r="M86" s="5">
        <v>12297472</v>
      </c>
      <c r="N86" s="5" t="s">
        <v>1227</v>
      </c>
      <c r="O86" s="5" t="s">
        <v>1228</v>
      </c>
      <c r="P86" s="5" t="s">
        <v>1229</v>
      </c>
    </row>
    <row r="87" spans="1:16" x14ac:dyDescent="0.45">
      <c r="A87" s="1" t="s">
        <v>81</v>
      </c>
      <c r="B87" s="2">
        <v>4253262</v>
      </c>
      <c r="C87" s="3" t="s">
        <v>1230</v>
      </c>
      <c r="D87" s="3" t="s">
        <v>1231</v>
      </c>
      <c r="E87" s="3" t="s">
        <v>1232</v>
      </c>
      <c r="F87" s="5" t="s">
        <v>1233</v>
      </c>
      <c r="G87" s="5" t="s">
        <v>1234</v>
      </c>
      <c r="H87" s="5" t="s">
        <v>1235</v>
      </c>
      <c r="I87" s="5" t="s">
        <v>1236</v>
      </c>
      <c r="J87" s="5" t="s">
        <v>1237</v>
      </c>
      <c r="K87" s="5" t="s">
        <v>1238</v>
      </c>
      <c r="L87" s="5" t="s">
        <v>1239</v>
      </c>
      <c r="M87" s="5" t="s">
        <v>1240</v>
      </c>
      <c r="N87" s="5">
        <v>2598336</v>
      </c>
      <c r="O87" s="5" t="s">
        <v>1241</v>
      </c>
      <c r="P87" s="5">
        <v>23906813375</v>
      </c>
    </row>
    <row r="88" spans="1:16" x14ac:dyDescent="0.45">
      <c r="A88" s="1" t="s">
        <v>82</v>
      </c>
      <c r="B88" s="2">
        <v>4025774</v>
      </c>
      <c r="C88" s="3" t="s">
        <v>1242</v>
      </c>
      <c r="D88" s="3" t="s">
        <v>1243</v>
      </c>
      <c r="E88" s="3" t="s">
        <v>1244</v>
      </c>
      <c r="F88" s="5" t="s">
        <v>1245</v>
      </c>
      <c r="G88" s="5" t="s">
        <v>1246</v>
      </c>
      <c r="H88" s="5" t="s">
        <v>1247</v>
      </c>
      <c r="I88" s="5" t="s">
        <v>1248</v>
      </c>
      <c r="J88" s="5">
        <v>82294715781</v>
      </c>
      <c r="K88" s="5" t="s">
        <v>1249</v>
      </c>
      <c r="L88" s="5">
        <v>55899701032</v>
      </c>
      <c r="M88" s="5">
        <v>43756484068</v>
      </c>
      <c r="N88" s="5">
        <v>34766185392</v>
      </c>
      <c r="O88" s="5">
        <v>28961281885</v>
      </c>
      <c r="P88" s="5">
        <v>25404137025</v>
      </c>
    </row>
    <row r="89" spans="1:16" x14ac:dyDescent="0.45">
      <c r="A89" s="1" t="s">
        <v>83</v>
      </c>
      <c r="B89" s="2">
        <v>4114659</v>
      </c>
      <c r="C89" s="3" t="s">
        <v>1250</v>
      </c>
      <c r="D89" s="3" t="s">
        <v>1251</v>
      </c>
      <c r="E89" s="3" t="s">
        <v>1252</v>
      </c>
      <c r="F89" s="5" t="s">
        <v>1253</v>
      </c>
      <c r="G89" s="5" t="s">
        <v>1254</v>
      </c>
      <c r="H89" s="5" t="s">
        <v>1255</v>
      </c>
      <c r="I89" s="5" t="s">
        <v>1256</v>
      </c>
      <c r="J89" s="5" t="s">
        <v>1257</v>
      </c>
      <c r="K89" s="5" t="s">
        <v>1258</v>
      </c>
      <c r="L89" s="5" t="s">
        <v>1259</v>
      </c>
      <c r="M89" s="5" t="s">
        <v>1260</v>
      </c>
      <c r="N89" s="5" t="s">
        <v>1261</v>
      </c>
      <c r="O89" s="5" t="s">
        <v>1262</v>
      </c>
      <c r="P89" s="5">
        <v>1009049925</v>
      </c>
    </row>
    <row r="90" spans="1:16" x14ac:dyDescent="0.45">
      <c r="A90" s="1" t="s">
        <v>84</v>
      </c>
      <c r="B90" s="2">
        <v>4022647</v>
      </c>
      <c r="C90" s="3" t="s">
        <v>1263</v>
      </c>
      <c r="D90" s="3" t="s">
        <v>1264</v>
      </c>
      <c r="E90" s="3" t="s">
        <v>1193</v>
      </c>
      <c r="F90" s="5">
        <v>14890405455</v>
      </c>
      <c r="G90" s="5">
        <v>7053928772</v>
      </c>
      <c r="H90" s="5">
        <v>6295079576</v>
      </c>
      <c r="I90" s="5">
        <v>726842054</v>
      </c>
      <c r="J90" s="5">
        <v>5042298108</v>
      </c>
      <c r="K90" s="5">
        <v>-7150340176</v>
      </c>
      <c r="L90" s="5">
        <v>27450692226</v>
      </c>
      <c r="M90" s="5">
        <v>26251014327</v>
      </c>
      <c r="N90" s="5">
        <v>17467404521</v>
      </c>
      <c r="O90" s="5">
        <v>18944242686</v>
      </c>
      <c r="P90" s="5">
        <v>5523126753</v>
      </c>
    </row>
    <row r="91" spans="1:16" x14ac:dyDescent="0.45">
      <c r="A91" s="1" t="s">
        <v>85</v>
      </c>
      <c r="B91" s="2">
        <v>4022661</v>
      </c>
      <c r="C91" s="3" t="s">
        <v>1265</v>
      </c>
      <c r="D91" s="3" t="s">
        <v>1266</v>
      </c>
      <c r="E91" s="3" t="s">
        <v>1267</v>
      </c>
      <c r="F91" s="5" t="s">
        <v>1268</v>
      </c>
      <c r="G91" s="5">
        <v>25606009</v>
      </c>
      <c r="H91" s="5" t="s">
        <v>1269</v>
      </c>
      <c r="I91" s="5" t="s">
        <v>1270</v>
      </c>
      <c r="J91" s="5" t="s">
        <v>1271</v>
      </c>
      <c r="K91" s="5">
        <v>21223935</v>
      </c>
      <c r="L91" s="5" t="s">
        <v>1272</v>
      </c>
      <c r="M91" s="5" t="s">
        <v>1273</v>
      </c>
      <c r="N91" s="5" t="s">
        <v>1274</v>
      </c>
      <c r="O91" s="5" t="s">
        <v>1275</v>
      </c>
      <c r="P91" s="5">
        <v>2139823</v>
      </c>
    </row>
    <row r="92" spans="1:16" x14ac:dyDescent="0.45">
      <c r="A92" s="1" t="s">
        <v>86</v>
      </c>
      <c r="B92" s="2">
        <v>4074390</v>
      </c>
      <c r="C92" s="3" t="s">
        <v>1276</v>
      </c>
      <c r="D92" s="3" t="s">
        <v>1277</v>
      </c>
      <c r="E92" s="3" t="s">
        <v>688</v>
      </c>
      <c r="F92" s="5" t="s">
        <v>1278</v>
      </c>
      <c r="G92" s="5" t="s">
        <v>1279</v>
      </c>
      <c r="H92" s="5" t="s">
        <v>1280</v>
      </c>
      <c r="I92" s="5" t="s">
        <v>1281</v>
      </c>
      <c r="J92" s="5" t="s">
        <v>1282</v>
      </c>
      <c r="K92" s="5">
        <v>6824490</v>
      </c>
      <c r="L92" s="5" t="s">
        <v>1283</v>
      </c>
      <c r="M92" s="5" t="s">
        <v>1284</v>
      </c>
      <c r="N92" s="5" t="s">
        <v>1285</v>
      </c>
      <c r="O92" s="5">
        <v>3277658</v>
      </c>
      <c r="P92" s="5" t="s">
        <v>1286</v>
      </c>
    </row>
    <row r="93" spans="1:16" x14ac:dyDescent="0.45">
      <c r="A93" s="1" t="s">
        <v>87</v>
      </c>
      <c r="B93" s="2">
        <v>4533245</v>
      </c>
      <c r="C93" s="3" t="s">
        <v>1287</v>
      </c>
      <c r="D93" s="3" t="s">
        <v>1288</v>
      </c>
      <c r="E93" s="3" t="s">
        <v>1289</v>
      </c>
      <c r="F93" s="5" t="s">
        <v>1290</v>
      </c>
      <c r="G93" s="5" t="s">
        <v>1291</v>
      </c>
      <c r="H93" s="5" t="s">
        <v>1292</v>
      </c>
      <c r="I93" s="5" t="s">
        <v>1293</v>
      </c>
      <c r="J93" s="5" t="s">
        <v>1294</v>
      </c>
      <c r="K93" s="5" t="s">
        <v>1295</v>
      </c>
      <c r="L93" s="5" t="s">
        <v>1296</v>
      </c>
      <c r="M93" s="5" t="s">
        <v>1297</v>
      </c>
      <c r="N93" s="5" t="s">
        <v>1298</v>
      </c>
      <c r="O93" s="5" t="s">
        <v>1299</v>
      </c>
      <c r="P93" s="5" t="s">
        <v>1300</v>
      </c>
    </row>
    <row r="94" spans="1:16" x14ac:dyDescent="0.45">
      <c r="A94" s="1" t="s">
        <v>88</v>
      </c>
      <c r="B94" s="2">
        <v>4388431</v>
      </c>
      <c r="C94" s="3" t="s">
        <v>1301</v>
      </c>
      <c r="D94" s="3" t="s">
        <v>1302</v>
      </c>
      <c r="E94" s="3" t="s">
        <v>581</v>
      </c>
      <c r="F94" s="5" t="s">
        <v>1303</v>
      </c>
      <c r="G94" s="5">
        <v>33638959942</v>
      </c>
      <c r="H94" s="5">
        <v>33102954906</v>
      </c>
      <c r="I94" s="5">
        <v>28290936285</v>
      </c>
      <c r="J94" s="5">
        <v>22915801272</v>
      </c>
      <c r="K94" s="5">
        <v>17590939608</v>
      </c>
      <c r="L94" s="5">
        <v>14913284775</v>
      </c>
      <c r="M94" s="5">
        <v>11691415008</v>
      </c>
      <c r="N94" s="5">
        <v>8861125248</v>
      </c>
      <c r="O94" s="5">
        <v>8087895832</v>
      </c>
      <c r="P94" s="5">
        <v>699151323</v>
      </c>
    </row>
    <row r="95" spans="1:16" x14ac:dyDescent="0.45">
      <c r="A95" s="1" t="s">
        <v>89</v>
      </c>
      <c r="B95" s="2">
        <v>4121481</v>
      </c>
      <c r="C95" s="3" t="s">
        <v>1304</v>
      </c>
      <c r="D95" s="3" t="s">
        <v>1305</v>
      </c>
      <c r="E95" s="3" t="s">
        <v>1306</v>
      </c>
      <c r="F95" s="5" t="s">
        <v>1307</v>
      </c>
      <c r="G95" s="5" t="s">
        <v>1308</v>
      </c>
      <c r="H95" s="5" t="s">
        <v>1309</v>
      </c>
      <c r="I95" s="5" t="s">
        <v>1310</v>
      </c>
      <c r="J95" s="5" t="s">
        <v>1311</v>
      </c>
      <c r="K95" s="5" t="s">
        <v>1312</v>
      </c>
      <c r="L95" s="5" t="s">
        <v>1313</v>
      </c>
      <c r="M95" s="5" t="s">
        <v>1314</v>
      </c>
      <c r="N95" s="5" t="s">
        <v>1315</v>
      </c>
      <c r="O95" s="5" t="s">
        <v>1316</v>
      </c>
      <c r="P95" s="5" t="s">
        <v>1317</v>
      </c>
    </row>
    <row r="96" spans="1:16" x14ac:dyDescent="0.45">
      <c r="A96" s="1" t="s">
        <v>90</v>
      </c>
      <c r="B96" s="2">
        <v>4004170</v>
      </c>
      <c r="C96" s="3" t="s">
        <v>1318</v>
      </c>
      <c r="D96" s="3" t="s">
        <v>1319</v>
      </c>
      <c r="E96" s="3" t="s">
        <v>1320</v>
      </c>
      <c r="F96" s="5" t="s">
        <v>1321</v>
      </c>
      <c r="G96" s="5" t="s">
        <v>1322</v>
      </c>
      <c r="H96" s="5" t="s">
        <v>1323</v>
      </c>
      <c r="I96" s="5" t="s">
        <v>1324</v>
      </c>
      <c r="J96" s="5">
        <v>123049242</v>
      </c>
      <c r="K96" s="5">
        <v>108503505</v>
      </c>
      <c r="L96" s="5" t="s">
        <v>1325</v>
      </c>
      <c r="M96" s="5" t="s">
        <v>1326</v>
      </c>
      <c r="N96" s="5" t="s">
        <v>1327</v>
      </c>
      <c r="O96" s="5" t="s">
        <v>1328</v>
      </c>
      <c r="P96" s="5" t="s">
        <v>1329</v>
      </c>
    </row>
    <row r="97" spans="1:16" x14ac:dyDescent="0.45">
      <c r="A97" s="1" t="s">
        <v>91</v>
      </c>
      <c r="B97" s="2">
        <v>4225889</v>
      </c>
      <c r="C97" s="3" t="s">
        <v>1330</v>
      </c>
      <c r="D97" s="3" t="s">
        <v>1331</v>
      </c>
      <c r="E97" s="3" t="s">
        <v>1332</v>
      </c>
      <c r="F97" s="5">
        <v>24108279819</v>
      </c>
      <c r="G97" s="5">
        <v>35308918814</v>
      </c>
      <c r="H97" s="5">
        <v>27703786729</v>
      </c>
      <c r="I97" s="5">
        <v>22157591211</v>
      </c>
      <c r="J97" s="5">
        <v>20200809582</v>
      </c>
      <c r="K97" s="5">
        <v>16514603625</v>
      </c>
      <c r="L97" s="5">
        <v>14997444686</v>
      </c>
      <c r="M97" s="5">
        <v>12588654826</v>
      </c>
      <c r="N97" s="5">
        <v>1136309796</v>
      </c>
      <c r="O97" s="5">
        <v>13285816189</v>
      </c>
      <c r="P97" s="5">
        <v>19593320605</v>
      </c>
    </row>
    <row r="98" spans="1:16" x14ac:dyDescent="0.45">
      <c r="A98" s="1" t="s">
        <v>92</v>
      </c>
      <c r="B98" s="2">
        <v>103417</v>
      </c>
      <c r="C98" s="3" t="s">
        <v>1333</v>
      </c>
      <c r="D98" s="3" t="s">
        <v>1334</v>
      </c>
      <c r="E98" s="3" t="s">
        <v>723</v>
      </c>
      <c r="F98" s="5" t="s">
        <v>1335</v>
      </c>
      <c r="G98" s="5" t="s">
        <v>1336</v>
      </c>
      <c r="H98" s="5" t="s">
        <v>1337</v>
      </c>
      <c r="I98" s="5" t="s">
        <v>1338</v>
      </c>
      <c r="J98" s="5" t="s">
        <v>1339</v>
      </c>
      <c r="K98" s="5" t="s">
        <v>1340</v>
      </c>
      <c r="L98" s="5" t="s">
        <v>1341</v>
      </c>
      <c r="M98" s="5" t="s">
        <v>1342</v>
      </c>
      <c r="N98" s="5" t="s">
        <v>1343</v>
      </c>
      <c r="O98" s="5" t="s">
        <v>1344</v>
      </c>
      <c r="P98" s="5" t="s">
        <v>1345</v>
      </c>
    </row>
    <row r="99" spans="1:16" x14ac:dyDescent="0.45">
      <c r="A99" s="1" t="s">
        <v>93</v>
      </c>
      <c r="B99" s="2">
        <v>4438978</v>
      </c>
      <c r="C99" s="3" t="s">
        <v>1346</v>
      </c>
      <c r="D99" s="3" t="s">
        <v>1347</v>
      </c>
      <c r="E99" s="3" t="s">
        <v>1348</v>
      </c>
      <c r="F99" s="5" t="s">
        <v>1349</v>
      </c>
      <c r="G99" s="5" t="s">
        <v>1350</v>
      </c>
      <c r="H99" s="5" t="s">
        <v>1351</v>
      </c>
      <c r="I99" s="5" t="s">
        <v>1352</v>
      </c>
      <c r="J99" s="5" t="s">
        <v>1353</v>
      </c>
      <c r="K99" s="5">
        <v>2469177</v>
      </c>
      <c r="L99" s="5" t="s">
        <v>1354</v>
      </c>
      <c r="M99" s="5" t="s">
        <v>1355</v>
      </c>
      <c r="N99" s="5" t="s">
        <v>1356</v>
      </c>
      <c r="O99" s="5" t="s">
        <v>1357</v>
      </c>
      <c r="P99" s="5" t="s">
        <v>1358</v>
      </c>
    </row>
    <row r="100" spans="1:16" x14ac:dyDescent="0.45">
      <c r="A100" s="1" t="s">
        <v>94</v>
      </c>
      <c r="B100" s="2">
        <v>4067589</v>
      </c>
      <c r="C100" s="3" t="s">
        <v>1359</v>
      </c>
      <c r="D100" s="3" t="s">
        <v>1360</v>
      </c>
      <c r="E100" s="3" t="s">
        <v>891</v>
      </c>
      <c r="F100" s="5">
        <v>2366323041</v>
      </c>
      <c r="G100" s="5">
        <v>25959160084</v>
      </c>
      <c r="H100" s="5">
        <v>26891376201</v>
      </c>
      <c r="I100" s="5">
        <v>27283243077</v>
      </c>
      <c r="J100" s="5">
        <v>26117115664</v>
      </c>
      <c r="K100" s="5">
        <v>21534851857</v>
      </c>
      <c r="L100" s="5">
        <v>19459247516</v>
      </c>
      <c r="M100" s="5">
        <v>16947269856</v>
      </c>
      <c r="N100" s="5">
        <v>18445176828</v>
      </c>
      <c r="O100" s="5">
        <v>6992095284</v>
      </c>
      <c r="P100" s="5">
        <v>5630414006</v>
      </c>
    </row>
    <row r="101" spans="1:16" x14ac:dyDescent="0.45">
      <c r="A101" s="1" t="s">
        <v>95</v>
      </c>
      <c r="B101" s="2">
        <v>103262</v>
      </c>
      <c r="C101" s="3" t="s">
        <v>1361</v>
      </c>
      <c r="D101" s="3" t="s">
        <v>1362</v>
      </c>
      <c r="E101" s="3" t="s">
        <v>723</v>
      </c>
      <c r="F101" s="5" t="s">
        <v>1363</v>
      </c>
      <c r="G101" s="5" t="s">
        <v>1364</v>
      </c>
      <c r="H101" s="5" t="s">
        <v>1365</v>
      </c>
      <c r="I101" s="5" t="s">
        <v>1366</v>
      </c>
      <c r="J101" s="5" t="s">
        <v>1367</v>
      </c>
      <c r="K101" s="5" t="s">
        <v>1368</v>
      </c>
      <c r="L101" s="5" t="s">
        <v>1369</v>
      </c>
      <c r="M101" s="5" t="s">
        <v>1370</v>
      </c>
      <c r="N101" s="5" t="s">
        <v>1371</v>
      </c>
      <c r="O101" s="5">
        <v>6687938</v>
      </c>
      <c r="P101" s="5" t="s">
        <v>1372</v>
      </c>
    </row>
    <row r="102" spans="1:16" x14ac:dyDescent="0.45">
      <c r="A102" s="1" t="s">
        <v>96</v>
      </c>
      <c r="B102" s="2">
        <v>4008247</v>
      </c>
      <c r="C102" s="3" t="s">
        <v>1373</v>
      </c>
      <c r="D102" s="3" t="s">
        <v>1374</v>
      </c>
      <c r="E102" s="3" t="s">
        <v>1375</v>
      </c>
      <c r="F102" s="5">
        <v>41284331053</v>
      </c>
      <c r="G102" s="5">
        <v>39801266212</v>
      </c>
      <c r="H102" s="5">
        <v>36255780638</v>
      </c>
      <c r="I102" s="5">
        <v>30835694916</v>
      </c>
      <c r="J102" s="5">
        <v>30162900613</v>
      </c>
      <c r="K102" s="5">
        <v>2910064199</v>
      </c>
      <c r="L102" s="5">
        <v>26937410091</v>
      </c>
      <c r="M102" s="5">
        <v>25872743502</v>
      </c>
      <c r="N102" s="5" t="s">
        <v>1376</v>
      </c>
      <c r="O102" s="5">
        <v>165572124445</v>
      </c>
      <c r="P102" s="5">
        <v>176075637325</v>
      </c>
    </row>
    <row r="103" spans="1:16" x14ac:dyDescent="0.45">
      <c r="A103" s="1" t="s">
        <v>97</v>
      </c>
      <c r="B103" s="2">
        <v>4047857</v>
      </c>
      <c r="C103" s="3" t="s">
        <v>1377</v>
      </c>
      <c r="D103" s="3" t="s">
        <v>1378</v>
      </c>
      <c r="E103" s="3" t="s">
        <v>891</v>
      </c>
      <c r="F103" s="5">
        <v>39910236</v>
      </c>
      <c r="G103" s="5" t="s">
        <v>1379</v>
      </c>
      <c r="H103" s="5" t="s">
        <v>1380</v>
      </c>
      <c r="I103" s="5" t="s">
        <v>1381</v>
      </c>
      <c r="J103" s="5">
        <v>34794825</v>
      </c>
      <c r="K103" s="5">
        <v>32603616</v>
      </c>
      <c r="L103" s="5" t="s">
        <v>1382</v>
      </c>
      <c r="M103" s="5" t="s">
        <v>1383</v>
      </c>
      <c r="N103" s="5" t="s">
        <v>1384</v>
      </c>
      <c r="O103" s="5" t="s">
        <v>1385</v>
      </c>
      <c r="P103" s="5" t="s">
        <v>1386</v>
      </c>
    </row>
    <row r="104" spans="1:16" x14ac:dyDescent="0.45">
      <c r="A104" s="1" t="s">
        <v>98</v>
      </c>
      <c r="B104" s="2">
        <v>4041896</v>
      </c>
      <c r="C104" s="3" t="s">
        <v>1387</v>
      </c>
      <c r="D104" s="3" t="s">
        <v>1388</v>
      </c>
      <c r="E104" s="3" t="s">
        <v>1005</v>
      </c>
      <c r="F104" s="5" t="s">
        <v>1389</v>
      </c>
      <c r="G104" s="5" t="s">
        <v>1390</v>
      </c>
      <c r="H104" s="5" t="s">
        <v>1391</v>
      </c>
      <c r="I104" s="5" t="s">
        <v>1392</v>
      </c>
      <c r="J104" s="5" t="s">
        <v>1393</v>
      </c>
      <c r="K104" s="5">
        <v>163663500</v>
      </c>
      <c r="L104" s="5" t="s">
        <v>1394</v>
      </c>
      <c r="M104" s="5" t="s">
        <v>1395</v>
      </c>
      <c r="N104" s="5" t="s">
        <v>1396</v>
      </c>
      <c r="O104" s="5" t="s">
        <v>1397</v>
      </c>
      <c r="P104" s="5">
        <v>205411959</v>
      </c>
    </row>
    <row r="105" spans="1:16" x14ac:dyDescent="0.45">
      <c r="A105" s="1" t="s">
        <v>99</v>
      </c>
      <c r="B105" s="2">
        <v>1019881</v>
      </c>
      <c r="C105" s="3" t="s">
        <v>1398</v>
      </c>
      <c r="D105" s="3" t="s">
        <v>1399</v>
      </c>
      <c r="E105" s="3" t="s">
        <v>1005</v>
      </c>
      <c r="F105" s="5" t="s">
        <v>1400</v>
      </c>
      <c r="G105" s="5" t="s">
        <v>1401</v>
      </c>
      <c r="H105" s="5" t="s">
        <v>1402</v>
      </c>
      <c r="I105" s="5">
        <v>22166733</v>
      </c>
      <c r="J105" s="5">
        <v>20593206</v>
      </c>
      <c r="K105" s="5" t="s">
        <v>1403</v>
      </c>
      <c r="L105" s="5" t="s">
        <v>1404</v>
      </c>
      <c r="M105" s="5" t="s">
        <v>1405</v>
      </c>
      <c r="N105" s="5">
        <v>16880856</v>
      </c>
      <c r="O105" s="5" t="s">
        <v>1406</v>
      </c>
      <c r="P105" s="5" t="s">
        <v>1407</v>
      </c>
    </row>
    <row r="106" spans="1:16" x14ac:dyDescent="0.45">
      <c r="A106" s="1" t="s">
        <v>100</v>
      </c>
      <c r="B106" s="2">
        <v>4054016</v>
      </c>
      <c r="C106" s="3" t="s">
        <v>1408</v>
      </c>
      <c r="D106" s="3" t="s">
        <v>1409</v>
      </c>
      <c r="E106" s="3" t="s">
        <v>1232</v>
      </c>
      <c r="F106" s="5" t="s">
        <v>1410</v>
      </c>
      <c r="G106" s="5" t="s">
        <v>1411</v>
      </c>
      <c r="H106" s="5" t="s">
        <v>1412</v>
      </c>
      <c r="I106" s="5" t="s">
        <v>1413</v>
      </c>
      <c r="J106" s="5" t="s">
        <v>1414</v>
      </c>
      <c r="K106" s="5" t="s">
        <v>1415</v>
      </c>
      <c r="L106" s="5" t="s">
        <v>1416</v>
      </c>
      <c r="M106" s="5" t="s">
        <v>1417</v>
      </c>
      <c r="N106" s="5" t="s">
        <v>1418</v>
      </c>
      <c r="O106" s="5" t="s">
        <v>1419</v>
      </c>
      <c r="P106" s="5" t="s">
        <v>1420</v>
      </c>
    </row>
    <row r="107" spans="1:16" x14ac:dyDescent="0.45">
      <c r="A107" s="1" t="s">
        <v>101</v>
      </c>
      <c r="B107" s="2">
        <v>4004172</v>
      </c>
      <c r="C107" s="3" t="s">
        <v>1421</v>
      </c>
      <c r="D107" s="3" t="s">
        <v>1422</v>
      </c>
      <c r="E107" s="3" t="s">
        <v>688</v>
      </c>
      <c r="F107" s="5" t="s">
        <v>1423</v>
      </c>
      <c r="G107" s="5" t="s">
        <v>1424</v>
      </c>
      <c r="H107" s="5" t="s">
        <v>1425</v>
      </c>
      <c r="I107" s="5" t="s">
        <v>1426</v>
      </c>
      <c r="J107" s="5" t="s">
        <v>1427</v>
      </c>
      <c r="K107" s="5" t="s">
        <v>1428</v>
      </c>
      <c r="L107" s="5" t="s">
        <v>1429</v>
      </c>
      <c r="M107" s="5" t="s">
        <v>1430</v>
      </c>
      <c r="N107" s="5" t="s">
        <v>1431</v>
      </c>
      <c r="O107" s="5">
        <v>4063917</v>
      </c>
      <c r="P107" s="5" t="s">
        <v>1432</v>
      </c>
    </row>
    <row r="108" spans="1:16" x14ac:dyDescent="0.45">
      <c r="A108" s="1" t="s">
        <v>102</v>
      </c>
      <c r="B108" s="2">
        <v>4222286</v>
      </c>
      <c r="C108" s="3" t="s">
        <v>1433</v>
      </c>
      <c r="D108" s="3" t="s">
        <v>1434</v>
      </c>
      <c r="E108" s="3" t="s">
        <v>547</v>
      </c>
      <c r="F108" s="5" t="s">
        <v>1435</v>
      </c>
      <c r="G108" s="5" t="s">
        <v>1436</v>
      </c>
      <c r="H108" s="5" t="s">
        <v>1437</v>
      </c>
      <c r="I108" s="5" t="s">
        <v>1438</v>
      </c>
      <c r="J108" s="5" t="s">
        <v>1439</v>
      </c>
      <c r="K108" s="5">
        <v>8858430</v>
      </c>
      <c r="L108" s="5" t="s">
        <v>1440</v>
      </c>
      <c r="M108" s="5" t="s">
        <v>1441</v>
      </c>
      <c r="N108" s="5" t="s">
        <v>1442</v>
      </c>
      <c r="O108" s="5" t="s">
        <v>1443</v>
      </c>
      <c r="P108" s="5" t="s">
        <v>1444</v>
      </c>
    </row>
    <row r="109" spans="1:16" x14ac:dyDescent="0.45">
      <c r="A109" s="1" t="s">
        <v>103</v>
      </c>
      <c r="B109" s="2">
        <v>4964205</v>
      </c>
      <c r="C109" s="3" t="s">
        <v>1445</v>
      </c>
      <c r="D109" s="3" t="s">
        <v>1446</v>
      </c>
      <c r="E109" s="3" t="s">
        <v>788</v>
      </c>
      <c r="F109" s="5">
        <v>72218124745</v>
      </c>
      <c r="G109" s="5">
        <v>74162621907</v>
      </c>
      <c r="H109" s="5">
        <v>6621732856</v>
      </c>
      <c r="I109" s="5">
        <v>41930437348</v>
      </c>
      <c r="J109" s="5">
        <v>34852223032</v>
      </c>
      <c r="K109" s="5">
        <v>18454471458</v>
      </c>
      <c r="L109" s="5">
        <v>9958640692</v>
      </c>
      <c r="M109" s="5">
        <v>8779369581</v>
      </c>
      <c r="N109" s="5">
        <v>7893434695</v>
      </c>
      <c r="O109" s="5">
        <v>7044562521</v>
      </c>
      <c r="P109" s="5">
        <v>65453246775</v>
      </c>
    </row>
    <row r="110" spans="1:16" x14ac:dyDescent="0.45">
      <c r="A110" s="1" t="s">
        <v>104</v>
      </c>
      <c r="B110" s="2">
        <v>4004173</v>
      </c>
      <c r="C110" s="3" t="s">
        <v>1447</v>
      </c>
      <c r="D110" s="3" t="s">
        <v>1448</v>
      </c>
      <c r="E110" s="3" t="s">
        <v>1348</v>
      </c>
      <c r="F110" s="5" t="s">
        <v>1449</v>
      </c>
      <c r="G110" s="5" t="s">
        <v>1450</v>
      </c>
      <c r="H110" s="5" t="s">
        <v>1451</v>
      </c>
      <c r="I110" s="5" t="s">
        <v>1452</v>
      </c>
      <c r="J110" s="5" t="s">
        <v>1453</v>
      </c>
      <c r="K110" s="5" t="s">
        <v>1454</v>
      </c>
      <c r="L110" s="5" t="s">
        <v>1455</v>
      </c>
      <c r="M110" s="5" t="s">
        <v>1456</v>
      </c>
      <c r="N110" s="5" t="s">
        <v>1457</v>
      </c>
      <c r="O110" s="5" t="s">
        <v>1458</v>
      </c>
      <c r="P110" s="5">
        <v>-40513</v>
      </c>
    </row>
    <row r="111" spans="1:16" x14ac:dyDescent="0.45">
      <c r="A111" s="1" t="s">
        <v>105</v>
      </c>
      <c r="B111" s="2">
        <v>4057180</v>
      </c>
      <c r="C111" s="3" t="s">
        <v>1459</v>
      </c>
      <c r="D111" s="3" t="s">
        <v>1460</v>
      </c>
      <c r="E111" s="3" t="s">
        <v>920</v>
      </c>
      <c r="F111" s="5" t="s">
        <v>1461</v>
      </c>
      <c r="G111" s="5" t="s">
        <v>1462</v>
      </c>
      <c r="H111" s="5" t="s">
        <v>1463</v>
      </c>
      <c r="I111" s="5" t="s">
        <v>1464</v>
      </c>
      <c r="J111" s="5" t="s">
        <v>1465</v>
      </c>
      <c r="K111" s="5">
        <v>76042215</v>
      </c>
      <c r="L111" s="5" t="s">
        <v>1466</v>
      </c>
      <c r="M111" s="5" t="s">
        <v>1467</v>
      </c>
      <c r="N111" s="5" t="s">
        <v>1468</v>
      </c>
      <c r="O111" s="5">
        <v>54583426</v>
      </c>
      <c r="P111" s="5" t="s">
        <v>1469</v>
      </c>
    </row>
    <row r="112" spans="1:16" x14ac:dyDescent="0.45">
      <c r="A112" s="1" t="s">
        <v>106</v>
      </c>
      <c r="B112" s="2">
        <v>4990366</v>
      </c>
      <c r="C112" s="3" t="s">
        <v>1470</v>
      </c>
      <c r="D112" s="3" t="s">
        <v>1471</v>
      </c>
      <c r="E112" s="3" t="s">
        <v>1472</v>
      </c>
      <c r="F112" s="5">
        <v>20856208158</v>
      </c>
      <c r="G112" s="5">
        <v>16465465484</v>
      </c>
      <c r="H112" s="5">
        <v>11560518963</v>
      </c>
      <c r="I112" s="5">
        <v>9356279511</v>
      </c>
      <c r="J112" s="5">
        <v>7084221138</v>
      </c>
      <c r="K112" s="5">
        <v>5693307075</v>
      </c>
      <c r="L112" s="5">
        <v>5215643944</v>
      </c>
      <c r="M112" s="5">
        <v>4349942498</v>
      </c>
      <c r="N112" s="5">
        <v>348064596</v>
      </c>
      <c r="O112" s="5">
        <v>3567844409</v>
      </c>
      <c r="P112" s="5">
        <v>33607835375</v>
      </c>
    </row>
    <row r="113" spans="1:16" x14ac:dyDescent="0.45">
      <c r="A113" s="1" t="s">
        <v>107</v>
      </c>
      <c r="B113" s="2">
        <v>4101861</v>
      </c>
      <c r="C113" s="3" t="s">
        <v>1473</v>
      </c>
      <c r="D113" s="3" t="s">
        <v>1474</v>
      </c>
      <c r="E113" s="3" t="s">
        <v>1475</v>
      </c>
      <c r="F113" s="5" t="s">
        <v>1476</v>
      </c>
      <c r="G113" s="5" t="s">
        <v>1477</v>
      </c>
      <c r="H113" s="5" t="s">
        <v>1478</v>
      </c>
      <c r="I113" s="5" t="s">
        <v>1479</v>
      </c>
      <c r="J113" s="5" t="s">
        <v>1480</v>
      </c>
      <c r="K113" s="5" t="s">
        <v>1481</v>
      </c>
      <c r="L113" s="5" t="s">
        <v>1482</v>
      </c>
      <c r="M113" s="5" t="s">
        <v>1483</v>
      </c>
      <c r="N113" s="5" t="s">
        <v>1484</v>
      </c>
      <c r="O113" s="5" t="s">
        <v>1485</v>
      </c>
      <c r="P113" s="5" t="s">
        <v>1486</v>
      </c>
    </row>
    <row r="114" spans="1:16" x14ac:dyDescent="0.45">
      <c r="A114" s="1" t="s">
        <v>108</v>
      </c>
      <c r="B114" s="2">
        <v>4980342</v>
      </c>
      <c r="C114" s="3" t="s">
        <v>1487</v>
      </c>
      <c r="D114" s="3" t="s">
        <v>1488</v>
      </c>
      <c r="E114" s="3" t="s">
        <v>817</v>
      </c>
      <c r="F114" s="5" t="s">
        <v>1489</v>
      </c>
      <c r="G114" s="5" t="s">
        <v>1490</v>
      </c>
      <c r="H114" s="5" t="s">
        <v>1491</v>
      </c>
      <c r="I114" s="5" t="s">
        <v>1492</v>
      </c>
      <c r="J114" s="5" t="s">
        <v>1493</v>
      </c>
      <c r="K114" s="5" t="s">
        <v>1494</v>
      </c>
      <c r="L114" s="5">
        <v>31233055</v>
      </c>
      <c r="M114" s="5" t="s">
        <v>1495</v>
      </c>
      <c r="N114" s="5" t="s">
        <v>1496</v>
      </c>
      <c r="O114" s="5" t="s">
        <v>1497</v>
      </c>
      <c r="P114" s="5" t="s">
        <v>1498</v>
      </c>
    </row>
    <row r="115" spans="1:16" x14ac:dyDescent="0.45">
      <c r="A115" s="1" t="s">
        <v>109</v>
      </c>
      <c r="B115" s="2">
        <v>4057041</v>
      </c>
      <c r="C115" s="3" t="s">
        <v>1499</v>
      </c>
      <c r="D115" s="3" t="s">
        <v>1500</v>
      </c>
      <c r="E115" s="3" t="s">
        <v>688</v>
      </c>
      <c r="F115" s="5">
        <v>20602623</v>
      </c>
      <c r="G115" s="5" t="s">
        <v>1501</v>
      </c>
      <c r="H115" s="5" t="s">
        <v>1502</v>
      </c>
      <c r="I115" s="5" t="s">
        <v>1503</v>
      </c>
      <c r="J115" s="5" t="s">
        <v>1504</v>
      </c>
      <c r="K115" s="5" t="s">
        <v>1505</v>
      </c>
      <c r="L115" s="5" t="s">
        <v>1506</v>
      </c>
      <c r="M115" s="5" t="s">
        <v>1507</v>
      </c>
      <c r="N115" s="5">
        <v>12845940</v>
      </c>
      <c r="O115" s="5" t="s">
        <v>1508</v>
      </c>
      <c r="P115" s="5" t="s">
        <v>1509</v>
      </c>
    </row>
    <row r="116" spans="1:16" x14ac:dyDescent="0.45">
      <c r="A116" s="1" t="s">
        <v>110</v>
      </c>
      <c r="B116" s="2">
        <v>4276708</v>
      </c>
      <c r="C116" s="3" t="s">
        <v>1510</v>
      </c>
      <c r="D116" s="3" t="s">
        <v>1511</v>
      </c>
      <c r="E116" s="3" t="s">
        <v>1145</v>
      </c>
      <c r="F116" s="5" t="s">
        <v>1512</v>
      </c>
      <c r="G116" s="5" t="s">
        <v>1513</v>
      </c>
      <c r="H116" s="5" t="s">
        <v>1514</v>
      </c>
      <c r="I116" s="5" t="s">
        <v>1515</v>
      </c>
      <c r="J116" s="5" t="s">
        <v>1516</v>
      </c>
      <c r="K116" s="5" t="s">
        <v>1517</v>
      </c>
      <c r="L116" s="5" t="s">
        <v>1518</v>
      </c>
      <c r="M116" s="5" t="s">
        <v>1519</v>
      </c>
      <c r="N116" s="5" t="s">
        <v>1520</v>
      </c>
      <c r="O116" s="5" t="s">
        <v>1521</v>
      </c>
      <c r="P116" s="5">
        <v>5245237405</v>
      </c>
    </row>
    <row r="117" spans="1:16" x14ac:dyDescent="0.45">
      <c r="A117" s="1" t="s">
        <v>111</v>
      </c>
      <c r="B117" s="2">
        <v>4072145</v>
      </c>
      <c r="C117" s="3" t="s">
        <v>1522</v>
      </c>
      <c r="D117" s="3" t="s">
        <v>1523</v>
      </c>
      <c r="E117" s="3" t="s">
        <v>630</v>
      </c>
      <c r="F117" s="5" t="s">
        <v>1524</v>
      </c>
      <c r="G117" s="5" t="s">
        <v>1525</v>
      </c>
      <c r="H117" s="5" t="s">
        <v>1526</v>
      </c>
      <c r="I117" s="5" t="s">
        <v>1527</v>
      </c>
      <c r="J117" s="5" t="s">
        <v>1528</v>
      </c>
      <c r="K117" s="5">
        <v>11997630</v>
      </c>
      <c r="L117" s="5">
        <v>14106113</v>
      </c>
      <c r="M117" s="5" t="s">
        <v>1529</v>
      </c>
      <c r="N117" s="5" t="s">
        <v>1530</v>
      </c>
      <c r="O117" s="5" t="s">
        <v>1531</v>
      </c>
      <c r="P117" s="5" t="s">
        <v>1532</v>
      </c>
    </row>
    <row r="118" spans="1:16" x14ac:dyDescent="0.45">
      <c r="A118" s="1" t="s">
        <v>112</v>
      </c>
      <c r="B118" s="2">
        <v>4988311</v>
      </c>
      <c r="C118" s="3" t="s">
        <v>1533</v>
      </c>
      <c r="D118" s="3" t="s">
        <v>1534</v>
      </c>
      <c r="E118" s="3" t="s">
        <v>1375</v>
      </c>
      <c r="F118" s="5">
        <v>80491886322</v>
      </c>
      <c r="G118" s="5" t="s">
        <v>1535</v>
      </c>
      <c r="H118" s="5">
        <v>5433003056</v>
      </c>
      <c r="I118" s="5">
        <v>45349372596</v>
      </c>
      <c r="J118" s="5">
        <v>2975116443</v>
      </c>
      <c r="K118" s="5">
        <v>21043878748</v>
      </c>
      <c r="L118" s="5">
        <v>15978753285</v>
      </c>
      <c r="M118" s="5">
        <v>13510490955</v>
      </c>
      <c r="N118" s="5" t="s">
        <v>1536</v>
      </c>
      <c r="O118" s="5">
        <v>6930993972</v>
      </c>
      <c r="P118" s="5">
        <v>8729845896</v>
      </c>
    </row>
    <row r="119" spans="1:16" x14ac:dyDescent="0.45">
      <c r="A119" s="1" t="s">
        <v>113</v>
      </c>
      <c r="B119" s="2">
        <v>4004201</v>
      </c>
      <c r="C119" s="3" t="s">
        <v>1537</v>
      </c>
      <c r="D119" s="3" t="s">
        <v>1538</v>
      </c>
      <c r="E119" s="3" t="s">
        <v>788</v>
      </c>
      <c r="F119" s="5" t="s">
        <v>1539</v>
      </c>
      <c r="G119" s="5">
        <v>10692513</v>
      </c>
      <c r="H119" s="5" t="s">
        <v>1540</v>
      </c>
      <c r="I119" s="5" t="s">
        <v>1541</v>
      </c>
      <c r="J119" s="5" t="s">
        <v>1542</v>
      </c>
      <c r="K119" s="5">
        <v>10993740</v>
      </c>
      <c r="L119" s="5" t="s">
        <v>1543</v>
      </c>
      <c r="M119" s="5" t="s">
        <v>1544</v>
      </c>
      <c r="N119" s="5">
        <v>13133256</v>
      </c>
      <c r="O119" s="5">
        <v>17013508</v>
      </c>
      <c r="P119" s="5" t="s">
        <v>1545</v>
      </c>
    </row>
    <row r="120" spans="1:16" x14ac:dyDescent="0.45">
      <c r="A120" s="1" t="s">
        <v>114</v>
      </c>
      <c r="B120" s="2">
        <v>4256640</v>
      </c>
      <c r="C120" s="3" t="s">
        <v>1546</v>
      </c>
      <c r="D120" s="3" t="s">
        <v>1547</v>
      </c>
      <c r="E120" s="3" t="s">
        <v>711</v>
      </c>
      <c r="F120" s="5">
        <v>36015642009</v>
      </c>
      <c r="G120" s="5">
        <v>30387107751</v>
      </c>
      <c r="H120" s="5">
        <v>29695501873</v>
      </c>
      <c r="I120" s="5">
        <v>23780750001</v>
      </c>
      <c r="J120" s="5">
        <v>2520583794</v>
      </c>
      <c r="K120" s="5">
        <v>27430484925</v>
      </c>
      <c r="L120" s="5">
        <v>33074210176</v>
      </c>
      <c r="M120" s="5">
        <v>2917313212</v>
      </c>
      <c r="N120" s="5">
        <v>30618075216</v>
      </c>
      <c r="O120" s="5">
        <v>29215091974</v>
      </c>
      <c r="P120" s="5">
        <v>260576577525</v>
      </c>
    </row>
    <row r="121" spans="1:16" x14ac:dyDescent="0.45">
      <c r="A121" s="1" t="s">
        <v>115</v>
      </c>
      <c r="B121" s="2">
        <v>4094053</v>
      </c>
      <c r="C121" s="3" t="s">
        <v>1548</v>
      </c>
      <c r="D121" s="3" t="s">
        <v>1549</v>
      </c>
      <c r="E121" s="3" t="s">
        <v>1244</v>
      </c>
      <c r="F121" s="5" t="s">
        <v>1550</v>
      </c>
      <c r="G121" s="5" t="s">
        <v>1551</v>
      </c>
      <c r="H121" s="5" t="s">
        <v>1552</v>
      </c>
      <c r="I121" s="5">
        <v>6428259</v>
      </c>
      <c r="J121" s="5">
        <v>50222731896</v>
      </c>
      <c r="K121" s="5">
        <v>43943559825</v>
      </c>
      <c r="L121" s="5">
        <v>30347239223</v>
      </c>
      <c r="M121" s="5">
        <v>26393641428</v>
      </c>
      <c r="N121" s="5">
        <v>2207961</v>
      </c>
      <c r="O121" s="5">
        <v>15670359749</v>
      </c>
      <c r="P121" s="5">
        <v>1421435435</v>
      </c>
    </row>
    <row r="122" spans="1:16" x14ac:dyDescent="0.45">
      <c r="A122" s="1" t="s">
        <v>116</v>
      </c>
      <c r="B122" s="2">
        <v>4126080</v>
      </c>
      <c r="C122" s="3" t="s">
        <v>1553</v>
      </c>
      <c r="D122" s="3" t="s">
        <v>1554</v>
      </c>
      <c r="E122" s="3" t="s">
        <v>1555</v>
      </c>
      <c r="F122" s="5" t="s">
        <v>1556</v>
      </c>
      <c r="G122" s="5" t="s">
        <v>1557</v>
      </c>
      <c r="H122" s="5" t="s">
        <v>1558</v>
      </c>
      <c r="I122" s="5" t="s">
        <v>1559</v>
      </c>
      <c r="J122" s="5" t="s">
        <v>1560</v>
      </c>
      <c r="K122" s="5" t="s">
        <v>1561</v>
      </c>
      <c r="L122" s="5" t="s">
        <v>1562</v>
      </c>
      <c r="M122" s="5" t="s">
        <v>1563</v>
      </c>
      <c r="N122" s="5" t="s">
        <v>1564</v>
      </c>
      <c r="O122" s="5" t="s">
        <v>1565</v>
      </c>
      <c r="P122" s="5" t="s">
        <v>1566</v>
      </c>
    </row>
    <row r="123" spans="1:16" x14ac:dyDescent="0.45">
      <c r="A123" s="1" t="s">
        <v>117</v>
      </c>
      <c r="B123" s="2">
        <v>4010469</v>
      </c>
      <c r="C123" s="3" t="s">
        <v>1567</v>
      </c>
      <c r="D123" s="3" t="s">
        <v>1568</v>
      </c>
      <c r="E123" s="3" t="s">
        <v>817</v>
      </c>
      <c r="F123" s="5" t="s">
        <v>1569</v>
      </c>
      <c r="G123" s="5">
        <v>12682267</v>
      </c>
      <c r="H123" s="5" t="s">
        <v>1570</v>
      </c>
      <c r="I123" s="5">
        <v>11855319</v>
      </c>
      <c r="J123" s="5" t="s">
        <v>1571</v>
      </c>
      <c r="K123" s="5">
        <v>1811580</v>
      </c>
      <c r="L123" s="5">
        <v>19171900657</v>
      </c>
      <c r="M123" s="5">
        <v>18237980706</v>
      </c>
      <c r="N123" s="5">
        <v>2101908084</v>
      </c>
      <c r="O123" s="5">
        <v>24323509491</v>
      </c>
      <c r="P123" s="5">
        <v>1849959851</v>
      </c>
    </row>
    <row r="124" spans="1:16" x14ac:dyDescent="0.45">
      <c r="A124" s="1" t="s">
        <v>118</v>
      </c>
      <c r="B124" s="2">
        <v>4213375</v>
      </c>
      <c r="C124" s="3" t="s">
        <v>1572</v>
      </c>
      <c r="D124" s="3" t="s">
        <v>1573</v>
      </c>
      <c r="E124" s="3" t="s">
        <v>1574</v>
      </c>
      <c r="F124" s="5" t="s">
        <v>1575</v>
      </c>
      <c r="G124" s="5">
        <v>22070815</v>
      </c>
      <c r="H124" s="5" t="s">
        <v>1576</v>
      </c>
      <c r="I124" s="5">
        <v>21558528</v>
      </c>
      <c r="J124" s="5" t="s">
        <v>1577</v>
      </c>
      <c r="K124" s="5">
        <v>16634490</v>
      </c>
      <c r="L124" s="5" t="s">
        <v>1578</v>
      </c>
      <c r="M124" s="5" t="s">
        <v>1579</v>
      </c>
      <c r="N124" s="5">
        <v>14977000</v>
      </c>
      <c r="O124" s="5">
        <v>14443000</v>
      </c>
      <c r="P124" s="5">
        <v>13544000</v>
      </c>
    </row>
    <row r="125" spans="1:16" x14ac:dyDescent="0.45">
      <c r="A125" s="1" t="s">
        <v>119</v>
      </c>
      <c r="B125" s="2">
        <v>4417219</v>
      </c>
      <c r="C125" s="3" t="s">
        <v>1580</v>
      </c>
      <c r="D125" s="3" t="s">
        <v>1581</v>
      </c>
      <c r="E125" s="3" t="s">
        <v>736</v>
      </c>
      <c r="F125" s="5" t="s">
        <v>1582</v>
      </c>
      <c r="G125" s="5" t="s">
        <v>1583</v>
      </c>
      <c r="H125" s="5" t="s">
        <v>1584</v>
      </c>
      <c r="I125" s="5" t="s">
        <v>1585</v>
      </c>
      <c r="J125" s="5" t="s">
        <v>1586</v>
      </c>
      <c r="K125" s="5" t="s">
        <v>1587</v>
      </c>
      <c r="L125" s="5" t="s">
        <v>1588</v>
      </c>
      <c r="M125" s="5" t="s">
        <v>1589</v>
      </c>
      <c r="N125" s="5" t="s">
        <v>1590</v>
      </c>
      <c r="O125" s="5">
        <v>71588550395</v>
      </c>
      <c r="P125" s="5">
        <v>652740023575</v>
      </c>
    </row>
    <row r="126" spans="1:16" x14ac:dyDescent="0.45">
      <c r="A126" s="1" t="s">
        <v>120</v>
      </c>
      <c r="B126" s="2">
        <v>4004350</v>
      </c>
      <c r="C126" s="3" t="s">
        <v>1591</v>
      </c>
      <c r="D126" s="3" t="s">
        <v>1592</v>
      </c>
      <c r="E126" s="3" t="s">
        <v>1593</v>
      </c>
      <c r="F126" s="5">
        <v>11208372</v>
      </c>
      <c r="G126" s="5" t="s">
        <v>1594</v>
      </c>
      <c r="H126" s="5" t="s">
        <v>1595</v>
      </c>
      <c r="I126" s="5" t="s">
        <v>1596</v>
      </c>
      <c r="J126" s="5">
        <v>11870550</v>
      </c>
      <c r="K126" s="5">
        <v>10717425</v>
      </c>
      <c r="L126" s="5" t="s">
        <v>1597</v>
      </c>
      <c r="M126" s="5">
        <v>10987372</v>
      </c>
      <c r="N126" s="5" t="s">
        <v>1598</v>
      </c>
      <c r="O126" s="5" t="s">
        <v>1599</v>
      </c>
      <c r="P126" s="5">
        <v>10655801</v>
      </c>
    </row>
    <row r="127" spans="1:16" x14ac:dyDescent="0.45">
      <c r="A127" s="1" t="s">
        <v>121</v>
      </c>
      <c r="B127" s="2">
        <v>4074303</v>
      </c>
      <c r="C127" s="3" t="s">
        <v>1600</v>
      </c>
      <c r="D127" s="3" t="s">
        <v>1601</v>
      </c>
      <c r="E127" s="3" t="s">
        <v>1220</v>
      </c>
      <c r="F127" s="5" t="s">
        <v>1602</v>
      </c>
      <c r="G127" s="5" t="s">
        <v>1603</v>
      </c>
      <c r="H127" s="5" t="s">
        <v>1604</v>
      </c>
      <c r="I127" s="5" t="s">
        <v>1605</v>
      </c>
      <c r="J127" s="5" t="s">
        <v>1606</v>
      </c>
      <c r="K127" s="5" t="s">
        <v>1607</v>
      </c>
      <c r="L127" s="5" t="s">
        <v>1608</v>
      </c>
      <c r="M127" s="5" t="s">
        <v>1609</v>
      </c>
      <c r="N127" s="5" t="s">
        <v>1610</v>
      </c>
      <c r="O127" s="5" t="s">
        <v>1611</v>
      </c>
      <c r="P127" s="5" t="s">
        <v>1612</v>
      </c>
    </row>
    <row r="128" spans="1:16" x14ac:dyDescent="0.45">
      <c r="A128" s="1" t="s">
        <v>122</v>
      </c>
      <c r="B128" s="2">
        <v>4206348</v>
      </c>
      <c r="C128" s="3" t="s">
        <v>1613</v>
      </c>
      <c r="D128" s="3" t="s">
        <v>1614</v>
      </c>
      <c r="E128" s="3" t="s">
        <v>1615</v>
      </c>
      <c r="F128" s="5" t="s">
        <v>1616</v>
      </c>
      <c r="G128" s="5">
        <v>73147607</v>
      </c>
      <c r="H128" s="5" t="s">
        <v>1617</v>
      </c>
      <c r="I128" s="5" t="s">
        <v>1618</v>
      </c>
      <c r="J128" s="5" t="s">
        <v>1619</v>
      </c>
      <c r="K128" s="5" t="s">
        <v>1620</v>
      </c>
      <c r="L128" s="5">
        <v>57181887</v>
      </c>
      <c r="M128" s="5" t="s">
        <v>1621</v>
      </c>
      <c r="N128" s="5">
        <v>31392396</v>
      </c>
      <c r="O128" s="5" t="s">
        <v>1622</v>
      </c>
      <c r="P128" s="5" t="s">
        <v>1623</v>
      </c>
    </row>
    <row r="129" spans="1:16" x14ac:dyDescent="0.45">
      <c r="A129" s="1" t="s">
        <v>123</v>
      </c>
      <c r="B129" s="2">
        <v>4049266</v>
      </c>
      <c r="C129" s="3" t="s">
        <v>1624</v>
      </c>
      <c r="D129" s="3" t="s">
        <v>1625</v>
      </c>
      <c r="E129" s="3" t="s">
        <v>1626</v>
      </c>
      <c r="F129" s="5" t="s">
        <v>1627</v>
      </c>
      <c r="G129" s="5" t="s">
        <v>1628</v>
      </c>
      <c r="H129" s="5" t="s">
        <v>1629</v>
      </c>
      <c r="I129" s="5" t="s">
        <v>1630</v>
      </c>
      <c r="J129" s="5" t="s">
        <v>1631</v>
      </c>
      <c r="K129" s="5" t="s">
        <v>1632</v>
      </c>
      <c r="L129" s="5" t="s">
        <v>1633</v>
      </c>
      <c r="M129" s="5" t="s">
        <v>1634</v>
      </c>
      <c r="N129" s="5" t="s">
        <v>1635</v>
      </c>
      <c r="O129" s="5" t="s">
        <v>1636</v>
      </c>
      <c r="P129" s="5" t="s">
        <v>1637</v>
      </c>
    </row>
    <row r="130" spans="1:16" x14ac:dyDescent="0.45">
      <c r="A130" s="1" t="s">
        <v>124</v>
      </c>
      <c r="B130" s="2">
        <v>4810677</v>
      </c>
      <c r="C130" s="3" t="s">
        <v>1638</v>
      </c>
      <c r="D130" s="3" t="s">
        <v>1639</v>
      </c>
      <c r="E130" s="3" t="s">
        <v>581</v>
      </c>
      <c r="F130" s="5" t="s">
        <v>1640</v>
      </c>
      <c r="G130" s="5">
        <v>47860345</v>
      </c>
      <c r="H130" s="5">
        <v>48392403</v>
      </c>
      <c r="I130" s="5">
        <v>46869213</v>
      </c>
      <c r="J130" s="5" t="s">
        <v>1641</v>
      </c>
      <c r="K130" s="5" t="s">
        <v>1642</v>
      </c>
      <c r="L130" s="5" t="s">
        <v>1643</v>
      </c>
      <c r="M130" s="5" t="s">
        <v>1644</v>
      </c>
      <c r="N130" s="5" t="s">
        <v>1645</v>
      </c>
      <c r="O130" s="5" t="s">
        <v>1646</v>
      </c>
      <c r="P130" s="5">
        <v>21880703</v>
      </c>
    </row>
    <row r="131" spans="1:16" x14ac:dyDescent="0.45">
      <c r="A131" s="1" t="s">
        <v>125</v>
      </c>
      <c r="B131" s="2">
        <v>4297825</v>
      </c>
      <c r="C131" s="3" t="s">
        <v>1647</v>
      </c>
      <c r="D131" s="3" t="s">
        <v>1648</v>
      </c>
      <c r="E131" s="3" t="s">
        <v>1332</v>
      </c>
      <c r="F131" s="5" t="s">
        <v>1649</v>
      </c>
      <c r="G131" s="5" t="s">
        <v>1650</v>
      </c>
      <c r="H131" s="5" t="s">
        <v>1651</v>
      </c>
      <c r="I131" s="5" t="s">
        <v>1652</v>
      </c>
      <c r="J131" s="5" t="s">
        <v>1653</v>
      </c>
      <c r="K131" s="5" t="s">
        <v>1654</v>
      </c>
      <c r="L131" s="5" t="s">
        <v>1655</v>
      </c>
      <c r="M131" s="5" t="s">
        <v>1656</v>
      </c>
      <c r="N131" s="5" t="s">
        <v>1657</v>
      </c>
      <c r="O131" s="5">
        <v>1753384</v>
      </c>
      <c r="P131" s="5">
        <v>2126168525</v>
      </c>
    </row>
    <row r="132" spans="1:16" x14ac:dyDescent="0.45">
      <c r="A132" s="1" t="s">
        <v>126</v>
      </c>
      <c r="B132" s="2">
        <v>4189919</v>
      </c>
      <c r="C132" s="3" t="s">
        <v>1658</v>
      </c>
      <c r="D132" s="3" t="s">
        <v>1659</v>
      </c>
      <c r="E132" s="3" t="s">
        <v>1615</v>
      </c>
      <c r="F132" s="5">
        <v>9866416446</v>
      </c>
      <c r="G132" s="5">
        <v>20200359309</v>
      </c>
      <c r="H132" s="5">
        <v>2481908745</v>
      </c>
      <c r="I132" s="5" t="s">
        <v>1660</v>
      </c>
      <c r="J132" s="5">
        <v>2084802714</v>
      </c>
      <c r="K132" s="5" t="s">
        <v>1661</v>
      </c>
      <c r="L132" s="5">
        <v>31185095998</v>
      </c>
      <c r="M132" s="5">
        <v>43958562626</v>
      </c>
      <c r="N132" s="5">
        <v>49113763728</v>
      </c>
      <c r="O132" s="5">
        <v>55161269527</v>
      </c>
      <c r="P132" s="5">
        <v>54768401385</v>
      </c>
    </row>
    <row r="133" spans="1:16" x14ac:dyDescent="0.45">
      <c r="A133" s="1" t="s">
        <v>127</v>
      </c>
      <c r="B133" s="2">
        <v>4391531</v>
      </c>
      <c r="C133" s="3" t="s">
        <v>1662</v>
      </c>
      <c r="D133" s="3" t="s">
        <v>1663</v>
      </c>
      <c r="E133" s="3" t="s">
        <v>1664</v>
      </c>
      <c r="F133" s="5">
        <v>23250396276</v>
      </c>
      <c r="G133" s="5">
        <v>19534120892</v>
      </c>
      <c r="H133" s="5">
        <v>16251806532</v>
      </c>
      <c r="I133" s="5">
        <v>1385250265</v>
      </c>
      <c r="J133" s="5" t="s">
        <v>1665</v>
      </c>
      <c r="K133" s="5" t="s">
        <v>1666</v>
      </c>
      <c r="L133" s="5" t="s">
        <v>1667</v>
      </c>
      <c r="M133" s="5">
        <v>7636303143</v>
      </c>
      <c r="N133" s="5">
        <v>892419276</v>
      </c>
      <c r="O133" s="5">
        <v>84948791155</v>
      </c>
      <c r="P133" s="5">
        <v>8722176202</v>
      </c>
    </row>
    <row r="134" spans="1:16" x14ac:dyDescent="0.45">
      <c r="A134" s="1" t="s">
        <v>128</v>
      </c>
      <c r="B134" s="2">
        <v>114526</v>
      </c>
      <c r="C134" s="3" t="s">
        <v>1668</v>
      </c>
      <c r="D134" s="3" t="s">
        <v>1669</v>
      </c>
      <c r="E134" s="3" t="s">
        <v>1670</v>
      </c>
      <c r="F134" s="5">
        <v>22548069</v>
      </c>
      <c r="G134" s="5">
        <v>21182700</v>
      </c>
      <c r="H134" s="5" t="s">
        <v>1671</v>
      </c>
      <c r="I134" s="5" t="s">
        <v>1672</v>
      </c>
      <c r="J134" s="5" t="s">
        <v>1673</v>
      </c>
      <c r="K134" s="5" t="s">
        <v>1674</v>
      </c>
      <c r="L134" s="5" t="s">
        <v>1675</v>
      </c>
      <c r="M134" s="5" t="s">
        <v>1676</v>
      </c>
      <c r="N134" s="5" t="s">
        <v>1677</v>
      </c>
      <c r="O134" s="5" t="s">
        <v>1678</v>
      </c>
      <c r="P134" s="5" t="s">
        <v>1679</v>
      </c>
    </row>
    <row r="135" spans="1:16" x14ac:dyDescent="0.45">
      <c r="A135" s="1" t="s">
        <v>129</v>
      </c>
      <c r="B135" s="2">
        <v>4625099</v>
      </c>
      <c r="C135" s="3" t="s">
        <v>1680</v>
      </c>
      <c r="D135" s="3" t="s">
        <v>1681</v>
      </c>
      <c r="E135" s="3" t="s">
        <v>836</v>
      </c>
      <c r="F135" s="5" t="s">
        <v>1682</v>
      </c>
      <c r="G135" s="5" t="s">
        <v>1683</v>
      </c>
      <c r="H135" s="5" t="s">
        <v>1684</v>
      </c>
      <c r="I135" s="5">
        <v>-1415522</v>
      </c>
      <c r="J135" s="5" t="s">
        <v>1685</v>
      </c>
      <c r="K135" s="5">
        <v>2845810</v>
      </c>
      <c r="L135" s="5" t="s">
        <v>1686</v>
      </c>
      <c r="M135" s="5">
        <v>14054443</v>
      </c>
      <c r="N135" s="5" t="s">
        <v>1687</v>
      </c>
      <c r="O135" s="5" t="s">
        <v>1688</v>
      </c>
      <c r="P135" s="5">
        <v>2572218</v>
      </c>
    </row>
    <row r="136" spans="1:16" x14ac:dyDescent="0.45">
      <c r="A136" s="1" t="s">
        <v>130</v>
      </c>
      <c r="B136" s="2">
        <v>4004278</v>
      </c>
      <c r="C136" s="3" t="s">
        <v>1689</v>
      </c>
      <c r="D136" s="3" t="s">
        <v>1690</v>
      </c>
      <c r="E136" s="3" t="s">
        <v>1691</v>
      </c>
      <c r="F136" s="5" t="s">
        <v>1692</v>
      </c>
      <c r="G136" s="5" t="s">
        <v>1693</v>
      </c>
      <c r="H136" s="5" t="s">
        <v>1694</v>
      </c>
      <c r="I136" s="5" t="s">
        <v>1695</v>
      </c>
      <c r="J136" s="5" t="s">
        <v>1696</v>
      </c>
      <c r="K136" s="5">
        <v>1254045</v>
      </c>
      <c r="L136" s="5" t="s">
        <v>1697</v>
      </c>
      <c r="M136" s="5" t="s">
        <v>1698</v>
      </c>
      <c r="N136" s="5">
        <v>10434984</v>
      </c>
      <c r="O136" s="5" t="s">
        <v>1699</v>
      </c>
      <c r="P136" s="5" t="s">
        <v>1700</v>
      </c>
    </row>
    <row r="137" spans="1:16" x14ac:dyDescent="0.45">
      <c r="A137" s="1" t="s">
        <v>131</v>
      </c>
      <c r="B137" s="2">
        <v>4010561</v>
      </c>
      <c r="C137" s="3" t="s">
        <v>1701</v>
      </c>
      <c r="D137" s="3" t="s">
        <v>1702</v>
      </c>
      <c r="E137" s="3" t="s">
        <v>817</v>
      </c>
      <c r="F137" s="5" t="s">
        <v>1703</v>
      </c>
      <c r="G137" s="5" t="s">
        <v>1704</v>
      </c>
      <c r="H137" s="5" t="s">
        <v>1705</v>
      </c>
      <c r="I137" s="5" t="s">
        <v>1706</v>
      </c>
      <c r="J137" s="5" t="s">
        <v>1707</v>
      </c>
      <c r="K137" s="5" t="s">
        <v>1708</v>
      </c>
      <c r="L137" s="5">
        <v>5275312</v>
      </c>
      <c r="M137" s="5" t="s">
        <v>1709</v>
      </c>
      <c r="N137" s="5" t="s">
        <v>1710</v>
      </c>
      <c r="O137" s="5" t="s">
        <v>1711</v>
      </c>
      <c r="P137" s="5" t="s">
        <v>1712</v>
      </c>
    </row>
    <row r="138" spans="1:16" x14ac:dyDescent="0.45">
      <c r="A138" s="1" t="s">
        <v>132</v>
      </c>
      <c r="B138" s="2">
        <v>4270258</v>
      </c>
      <c r="C138" s="3" t="s">
        <v>1713</v>
      </c>
      <c r="D138" s="3" t="s">
        <v>1714</v>
      </c>
      <c r="E138" s="3" t="s">
        <v>519</v>
      </c>
      <c r="F138" s="5" t="s">
        <v>1715</v>
      </c>
      <c r="G138" s="5" t="s">
        <v>1716</v>
      </c>
      <c r="H138" s="5" t="s">
        <v>1717</v>
      </c>
      <c r="I138" s="5" t="s">
        <v>1718</v>
      </c>
      <c r="J138" s="5" t="s">
        <v>1719</v>
      </c>
      <c r="K138" s="5" t="s">
        <v>1720</v>
      </c>
      <c r="L138" s="5" t="s">
        <v>1721</v>
      </c>
      <c r="M138" s="5" t="s">
        <v>1722</v>
      </c>
      <c r="N138" s="5" t="s">
        <v>1723</v>
      </c>
      <c r="O138" s="5" t="s">
        <v>1724</v>
      </c>
      <c r="P138" s="5" t="s">
        <v>1725</v>
      </c>
    </row>
    <row r="139" spans="1:16" x14ac:dyDescent="0.45">
      <c r="A139" s="1" t="s">
        <v>133</v>
      </c>
      <c r="B139" s="2">
        <v>4337452</v>
      </c>
      <c r="C139" s="3" t="s">
        <v>1726</v>
      </c>
      <c r="D139" s="3" t="s">
        <v>1727</v>
      </c>
      <c r="E139" s="3" t="s">
        <v>817</v>
      </c>
      <c r="F139" s="5" t="s">
        <v>1728</v>
      </c>
      <c r="G139" s="5" t="s">
        <v>1729</v>
      </c>
      <c r="H139" s="5">
        <v>15768921</v>
      </c>
      <c r="I139" s="5">
        <v>14681133</v>
      </c>
      <c r="J139" s="5" t="s">
        <v>1730</v>
      </c>
      <c r="K139" s="5">
        <v>8014770</v>
      </c>
      <c r="L139" s="5" t="s">
        <v>1731</v>
      </c>
      <c r="M139" s="5" t="s">
        <v>1732</v>
      </c>
      <c r="N139" s="5">
        <v>46484705736</v>
      </c>
      <c r="O139" s="5">
        <v>38065280116</v>
      </c>
      <c r="P139" s="5">
        <v>194183688975</v>
      </c>
    </row>
    <row r="140" spans="1:16" x14ac:dyDescent="0.45">
      <c r="A140" s="1" t="s">
        <v>134</v>
      </c>
      <c r="B140" s="2">
        <v>4094311</v>
      </c>
      <c r="C140" s="3" t="s">
        <v>1733</v>
      </c>
      <c r="D140" s="3" t="s">
        <v>1734</v>
      </c>
      <c r="E140" s="3" t="s">
        <v>1735</v>
      </c>
      <c r="F140" s="5">
        <v>211613160558</v>
      </c>
      <c r="G140" s="5">
        <v>22385485902</v>
      </c>
      <c r="H140" s="5">
        <v>189953716087</v>
      </c>
      <c r="I140" s="5">
        <v>183604401408</v>
      </c>
      <c r="J140" s="5">
        <v>162879615126</v>
      </c>
      <c r="K140" s="5">
        <v>151142236725</v>
      </c>
      <c r="L140" s="5">
        <v>94898273715</v>
      </c>
      <c r="M140" s="5">
        <v>94973882828</v>
      </c>
      <c r="N140" s="5">
        <v>92468715456</v>
      </c>
      <c r="O140" s="5">
        <v>48618249481</v>
      </c>
      <c r="P140" s="5">
        <v>41769842165</v>
      </c>
    </row>
    <row r="141" spans="1:16" x14ac:dyDescent="0.45">
      <c r="A141" s="1" t="s">
        <v>135</v>
      </c>
      <c r="B141" s="2">
        <v>4022058</v>
      </c>
      <c r="C141" s="3" t="s">
        <v>1736</v>
      </c>
      <c r="D141" s="3" t="s">
        <v>1737</v>
      </c>
      <c r="E141" s="3" t="s">
        <v>1555</v>
      </c>
      <c r="F141" s="5">
        <v>71327275047</v>
      </c>
      <c r="G141" s="5">
        <v>62544085773</v>
      </c>
      <c r="H141" s="5">
        <v>5106742898</v>
      </c>
      <c r="I141" s="5">
        <v>56101132574</v>
      </c>
      <c r="J141" s="5">
        <v>54875278644</v>
      </c>
      <c r="K141" s="5">
        <v>6045655</v>
      </c>
      <c r="L141" s="5">
        <v>55889075637</v>
      </c>
      <c r="M141" s="5">
        <v>49238971412</v>
      </c>
      <c r="N141" s="5">
        <v>50154189438</v>
      </c>
      <c r="O141" s="5">
        <v>49699641054</v>
      </c>
      <c r="P141" s="5">
        <v>50576661585</v>
      </c>
    </row>
    <row r="142" spans="1:16" x14ac:dyDescent="0.45">
      <c r="A142" s="1" t="s">
        <v>136</v>
      </c>
      <c r="B142" s="2">
        <v>4911259</v>
      </c>
      <c r="C142" s="3" t="s">
        <v>1738</v>
      </c>
      <c r="D142" s="3" t="s">
        <v>1739</v>
      </c>
      <c r="E142" s="3" t="s">
        <v>1555</v>
      </c>
      <c r="F142" s="5" t="s">
        <v>1740</v>
      </c>
      <c r="G142" s="5" t="s">
        <v>1741</v>
      </c>
      <c r="H142" s="5" t="s">
        <v>1742</v>
      </c>
      <c r="I142" s="5" t="s">
        <v>1743</v>
      </c>
      <c r="J142" s="5" t="s">
        <v>1744</v>
      </c>
      <c r="K142" s="5" t="s">
        <v>1745</v>
      </c>
      <c r="L142" s="5" t="s">
        <v>1746</v>
      </c>
      <c r="M142" s="5" t="s">
        <v>1747</v>
      </c>
      <c r="N142" s="5" t="s">
        <v>1748</v>
      </c>
      <c r="O142" s="5">
        <v>4072636635</v>
      </c>
      <c r="P142" s="5" t="s">
        <v>1749</v>
      </c>
    </row>
    <row r="143" spans="1:16" x14ac:dyDescent="0.45">
      <c r="A143" s="1" t="s">
        <v>137</v>
      </c>
      <c r="B143" s="2">
        <v>4001616</v>
      </c>
      <c r="C143" s="3" t="s">
        <v>1750</v>
      </c>
      <c r="D143" s="3" t="s">
        <v>1751</v>
      </c>
      <c r="E143" s="3" t="s">
        <v>688</v>
      </c>
      <c r="F143" s="5" t="s">
        <v>1752</v>
      </c>
      <c r="G143" s="5" t="s">
        <v>1753</v>
      </c>
      <c r="H143" s="5" t="s">
        <v>1754</v>
      </c>
      <c r="I143" s="5" t="s">
        <v>1755</v>
      </c>
      <c r="J143" s="5" t="s">
        <v>1756</v>
      </c>
      <c r="K143" s="5" t="s">
        <v>1757</v>
      </c>
      <c r="L143" s="5" t="s">
        <v>1758</v>
      </c>
      <c r="M143" s="5" t="s">
        <v>1759</v>
      </c>
      <c r="N143" s="5">
        <v>16131336</v>
      </c>
      <c r="O143" s="5">
        <v>15952532</v>
      </c>
      <c r="P143" s="5" t="s">
        <v>1760</v>
      </c>
    </row>
    <row r="144" spans="1:16" x14ac:dyDescent="0.45">
      <c r="A144" s="1" t="s">
        <v>138</v>
      </c>
      <c r="B144" s="2">
        <v>4206221</v>
      </c>
      <c r="C144" s="3" t="s">
        <v>1761</v>
      </c>
      <c r="D144" s="3" t="s">
        <v>1762</v>
      </c>
      <c r="E144" s="3" t="s">
        <v>1332</v>
      </c>
      <c r="F144" s="5" t="s">
        <v>1763</v>
      </c>
      <c r="G144" s="5">
        <v>-37994408399</v>
      </c>
      <c r="H144" s="5">
        <v>-36824610249</v>
      </c>
      <c r="I144" s="5">
        <v>-39197081205</v>
      </c>
      <c r="J144" s="5">
        <v>-37014450048</v>
      </c>
      <c r="K144" s="5">
        <v>-2701711533</v>
      </c>
      <c r="L144" s="5">
        <v>-30567627291</v>
      </c>
      <c r="M144" s="5">
        <v>-26556749856</v>
      </c>
      <c r="N144" s="5">
        <v>-22780277952</v>
      </c>
      <c r="O144" s="5">
        <v>-17839013639</v>
      </c>
      <c r="P144" s="5">
        <v>-165722105805</v>
      </c>
    </row>
    <row r="145" spans="1:16" x14ac:dyDescent="0.45">
      <c r="A145" s="1" t="s">
        <v>139</v>
      </c>
      <c r="B145" s="2">
        <v>4068060</v>
      </c>
      <c r="C145" s="3" t="s">
        <v>1764</v>
      </c>
      <c r="D145" s="3" t="s">
        <v>1765</v>
      </c>
      <c r="E145" s="3" t="s">
        <v>1766</v>
      </c>
      <c r="F145" s="5">
        <v>63070139502</v>
      </c>
      <c r="G145" s="5">
        <v>67168647364</v>
      </c>
      <c r="H145" s="5">
        <v>46199455435</v>
      </c>
      <c r="I145" s="5">
        <v>40107526662</v>
      </c>
      <c r="J145" s="5">
        <v>36838519704</v>
      </c>
      <c r="K145" s="5">
        <v>27678694275</v>
      </c>
      <c r="L145" s="5">
        <v>2702403326</v>
      </c>
      <c r="M145" s="5">
        <v>24181528844</v>
      </c>
      <c r="N145" s="5">
        <v>3650312304</v>
      </c>
      <c r="O145" s="5">
        <v>35994993858</v>
      </c>
      <c r="P145" s="5">
        <v>335574243125</v>
      </c>
    </row>
    <row r="146" spans="1:16" x14ac:dyDescent="0.45">
      <c r="A146" s="1" t="s">
        <v>140</v>
      </c>
      <c r="B146" s="2">
        <v>4057044</v>
      </c>
      <c r="C146" s="3" t="s">
        <v>1767</v>
      </c>
      <c r="D146" s="3" t="s">
        <v>1768</v>
      </c>
      <c r="E146" s="3" t="s">
        <v>688</v>
      </c>
      <c r="F146" s="5" t="s">
        <v>1769</v>
      </c>
      <c r="G146" s="5" t="s">
        <v>1770</v>
      </c>
      <c r="H146" s="5" t="s">
        <v>1771</v>
      </c>
      <c r="I146" s="5" t="s">
        <v>1772</v>
      </c>
      <c r="J146" s="5" t="s">
        <v>1773</v>
      </c>
      <c r="K146" s="5" t="s">
        <v>1774</v>
      </c>
      <c r="L146" s="5" t="s">
        <v>1775</v>
      </c>
      <c r="M146" s="5" t="s">
        <v>1776</v>
      </c>
      <c r="N146" s="5">
        <v>8319672</v>
      </c>
      <c r="O146" s="5" t="s">
        <v>1777</v>
      </c>
      <c r="P146" s="5" t="s">
        <v>1778</v>
      </c>
    </row>
    <row r="147" spans="1:16" x14ac:dyDescent="0.45">
      <c r="A147" s="1" t="s">
        <v>141</v>
      </c>
      <c r="B147" s="2">
        <v>4121470</v>
      </c>
      <c r="C147" s="3" t="s">
        <v>1779</v>
      </c>
      <c r="D147" s="3" t="s">
        <v>1780</v>
      </c>
      <c r="E147" s="3" t="s">
        <v>630</v>
      </c>
      <c r="F147" s="5" t="s">
        <v>1781</v>
      </c>
      <c r="G147" s="5" t="s">
        <v>1782</v>
      </c>
      <c r="H147" s="5" t="s">
        <v>1783</v>
      </c>
      <c r="I147" s="5" t="s">
        <v>1784</v>
      </c>
      <c r="J147" s="5" t="s">
        <v>1785</v>
      </c>
      <c r="K147" s="5">
        <v>40207920</v>
      </c>
      <c r="L147" s="5" t="s">
        <v>1786</v>
      </c>
      <c r="M147" s="5" t="s">
        <v>1787</v>
      </c>
      <c r="N147" s="5" t="s">
        <v>1788</v>
      </c>
      <c r="O147" s="5" t="s">
        <v>1789</v>
      </c>
      <c r="P147" s="5" t="s">
        <v>1790</v>
      </c>
    </row>
    <row r="148" spans="1:16" x14ac:dyDescent="0.45">
      <c r="A148" s="1" t="s">
        <v>142</v>
      </c>
      <c r="B148" s="2">
        <v>4873611</v>
      </c>
      <c r="C148" s="3" t="s">
        <v>1791</v>
      </c>
      <c r="D148" s="3" t="s">
        <v>1792</v>
      </c>
      <c r="E148" s="3" t="s">
        <v>609</v>
      </c>
      <c r="F148" s="5" t="s">
        <v>1793</v>
      </c>
      <c r="G148" s="5" t="s">
        <v>1794</v>
      </c>
      <c r="H148" s="5" t="s">
        <v>1795</v>
      </c>
      <c r="I148" s="5" t="s">
        <v>1796</v>
      </c>
      <c r="J148" s="5">
        <v>23785065</v>
      </c>
      <c r="K148" s="5">
        <v>31939725</v>
      </c>
      <c r="L148" s="5" t="s">
        <v>1797</v>
      </c>
      <c r="M148" s="5">
        <v>83759060</v>
      </c>
      <c r="N148" s="5" t="s">
        <v>1798</v>
      </c>
      <c r="O148" s="5" t="s">
        <v>1799</v>
      </c>
      <c r="P148" s="5" t="s">
        <v>1800</v>
      </c>
    </row>
    <row r="149" spans="1:16" x14ac:dyDescent="0.45">
      <c r="A149" s="1" t="s">
        <v>143</v>
      </c>
      <c r="B149" s="2">
        <v>4991395</v>
      </c>
      <c r="C149" s="3" t="s">
        <v>1801</v>
      </c>
      <c r="D149" s="3" t="s">
        <v>1802</v>
      </c>
      <c r="E149" s="3" t="s">
        <v>774</v>
      </c>
      <c r="F149" s="5" t="s">
        <v>1803</v>
      </c>
      <c r="G149" s="5" t="s">
        <v>1804</v>
      </c>
      <c r="H149" s="5" t="s">
        <v>1805</v>
      </c>
      <c r="I149" s="5" t="s">
        <v>1806</v>
      </c>
      <c r="J149" s="5" t="s">
        <v>1807</v>
      </c>
      <c r="K149" s="5" t="s">
        <v>1808</v>
      </c>
      <c r="L149" s="5" t="s">
        <v>1809</v>
      </c>
      <c r="M149" s="5" t="s">
        <v>1810</v>
      </c>
      <c r="N149" s="5">
        <v>14399112</v>
      </c>
      <c r="O149" s="5" t="s">
        <v>1811</v>
      </c>
      <c r="P149" s="5" t="s">
        <v>1812</v>
      </c>
    </row>
    <row r="150" spans="1:16" x14ac:dyDescent="0.45">
      <c r="A150" s="1" t="s">
        <v>144</v>
      </c>
      <c r="B150" s="2">
        <v>4081627</v>
      </c>
      <c r="C150" s="3" t="s">
        <v>1813</v>
      </c>
      <c r="D150" s="3" t="s">
        <v>1814</v>
      </c>
      <c r="E150" s="3" t="s">
        <v>667</v>
      </c>
      <c r="F150" s="5" t="s">
        <v>1815</v>
      </c>
      <c r="G150" s="5" t="s">
        <v>1816</v>
      </c>
      <c r="H150" s="5" t="s">
        <v>1817</v>
      </c>
      <c r="I150" s="5" t="s">
        <v>1818</v>
      </c>
      <c r="J150" s="5" t="s">
        <v>1819</v>
      </c>
      <c r="K150" s="5" t="s">
        <v>1820</v>
      </c>
      <c r="L150" s="5">
        <v>2557457</v>
      </c>
      <c r="M150" s="5" t="s">
        <v>1821</v>
      </c>
      <c r="N150" s="5" t="s">
        <v>1822</v>
      </c>
      <c r="O150" s="5" t="s">
        <v>1823</v>
      </c>
      <c r="P150" s="5">
        <v>6054852</v>
      </c>
    </row>
    <row r="151" spans="1:16" x14ac:dyDescent="0.45">
      <c r="A151" s="1" t="s">
        <v>145</v>
      </c>
      <c r="B151" s="2">
        <v>4190757</v>
      </c>
      <c r="C151" s="3" t="s">
        <v>1824</v>
      </c>
      <c r="D151" s="3" t="s">
        <v>1825</v>
      </c>
      <c r="E151" s="3" t="s">
        <v>1306</v>
      </c>
      <c r="F151" s="5">
        <v>49500786966</v>
      </c>
      <c r="G151" s="5">
        <v>195548628275</v>
      </c>
      <c r="H151" s="5">
        <v>184452877724</v>
      </c>
      <c r="I151" s="5">
        <v>206323646544</v>
      </c>
      <c r="J151" s="5">
        <v>3002000544</v>
      </c>
      <c r="K151" s="5">
        <v>2948926875</v>
      </c>
      <c r="L151" s="5">
        <v>33376622783</v>
      </c>
      <c r="M151" s="5">
        <v>36293909916</v>
      </c>
      <c r="N151" s="5">
        <v>3478926228</v>
      </c>
      <c r="O151" s="5">
        <v>37956463765</v>
      </c>
      <c r="P151" s="5">
        <v>34819468715</v>
      </c>
    </row>
    <row r="152" spans="1:16" x14ac:dyDescent="0.45">
      <c r="A152" s="1" t="s">
        <v>146</v>
      </c>
      <c r="B152" s="2">
        <v>4051243</v>
      </c>
      <c r="C152" s="3" t="s">
        <v>1826</v>
      </c>
      <c r="D152" s="3" t="s">
        <v>1827</v>
      </c>
      <c r="E152" s="3" t="s">
        <v>609</v>
      </c>
      <c r="F152" s="5" t="s">
        <v>1828</v>
      </c>
      <c r="G152" s="5" t="s">
        <v>1829</v>
      </c>
      <c r="H152" s="5" t="s">
        <v>1830</v>
      </c>
      <c r="I152" s="5" t="s">
        <v>1831</v>
      </c>
      <c r="J152" s="5" t="s">
        <v>1832</v>
      </c>
      <c r="K152" s="5" t="s">
        <v>1833</v>
      </c>
      <c r="L152" s="5" t="s">
        <v>1834</v>
      </c>
      <c r="M152" s="5" t="s">
        <v>1835</v>
      </c>
      <c r="N152" s="5" t="s">
        <v>1836</v>
      </c>
      <c r="O152" s="5" t="s">
        <v>1837</v>
      </c>
      <c r="P152" s="5" t="s">
        <v>1838</v>
      </c>
    </row>
    <row r="153" spans="1:16" x14ac:dyDescent="0.45">
      <c r="A153" s="1" t="s">
        <v>147</v>
      </c>
      <c r="B153" s="2">
        <v>4056943</v>
      </c>
      <c r="C153" s="3" t="s">
        <v>1839</v>
      </c>
      <c r="D153" s="3" t="s">
        <v>1840</v>
      </c>
      <c r="E153" s="3" t="s">
        <v>630</v>
      </c>
      <c r="F153" s="5" t="s">
        <v>1841</v>
      </c>
      <c r="G153" s="5">
        <v>17135066</v>
      </c>
      <c r="H153" s="5" t="s">
        <v>1842</v>
      </c>
      <c r="I153" s="5" t="s">
        <v>1843</v>
      </c>
      <c r="J153" s="5" t="s">
        <v>1844</v>
      </c>
      <c r="K153" s="5" t="s">
        <v>1845</v>
      </c>
      <c r="L153" s="5" t="s">
        <v>1846</v>
      </c>
      <c r="M153" s="5" t="s">
        <v>1847</v>
      </c>
      <c r="N153" s="5">
        <v>11563428</v>
      </c>
      <c r="O153" s="5" t="s">
        <v>1848</v>
      </c>
      <c r="P153" s="5" t="s">
        <v>1849</v>
      </c>
    </row>
    <row r="154" spans="1:16" x14ac:dyDescent="0.45">
      <c r="A154" s="1" t="s">
        <v>148</v>
      </c>
      <c r="B154" s="2">
        <v>4812781</v>
      </c>
      <c r="C154" s="3" t="s">
        <v>1850</v>
      </c>
      <c r="D154" s="3" t="s">
        <v>1851</v>
      </c>
      <c r="E154" s="3" t="s">
        <v>519</v>
      </c>
      <c r="F154" s="5" t="s">
        <v>1852</v>
      </c>
      <c r="G154" s="5" t="s">
        <v>1853</v>
      </c>
      <c r="H154" s="5" t="s">
        <v>1854</v>
      </c>
      <c r="I154" s="5" t="s">
        <v>1855</v>
      </c>
      <c r="J154" s="5" t="s">
        <v>1856</v>
      </c>
      <c r="K154" s="5" t="s">
        <v>1857</v>
      </c>
      <c r="L154" s="5" t="s">
        <v>1858</v>
      </c>
      <c r="M154" s="5" t="s">
        <v>1859</v>
      </c>
      <c r="N154" s="5" t="s">
        <v>1860</v>
      </c>
      <c r="O154" s="5" t="s">
        <v>1861</v>
      </c>
      <c r="P154" s="5">
        <v>2304729325</v>
      </c>
    </row>
    <row r="155" spans="1:16" x14ac:dyDescent="0.45">
      <c r="A155" s="1" t="s">
        <v>149</v>
      </c>
      <c r="B155" s="2">
        <v>4100183</v>
      </c>
      <c r="C155" s="3" t="s">
        <v>1862</v>
      </c>
      <c r="D155" s="3" t="s">
        <v>1863</v>
      </c>
      <c r="E155" s="3" t="s">
        <v>1864</v>
      </c>
      <c r="F155" s="5" t="s">
        <v>1865</v>
      </c>
      <c r="G155" s="5" t="s">
        <v>1866</v>
      </c>
      <c r="H155" s="5" t="s">
        <v>1867</v>
      </c>
      <c r="I155" s="5">
        <v>6864025</v>
      </c>
      <c r="J155" s="5">
        <v>6679680</v>
      </c>
      <c r="K155" s="5">
        <v>6789510</v>
      </c>
      <c r="L155" s="5">
        <v>4749921</v>
      </c>
      <c r="M155" s="5" t="s">
        <v>1868</v>
      </c>
      <c r="N155" s="5">
        <v>3796912</v>
      </c>
      <c r="O155" s="5" t="s">
        <v>1869</v>
      </c>
      <c r="P155" s="5" t="s">
        <v>1870</v>
      </c>
    </row>
    <row r="156" spans="1:16" x14ac:dyDescent="0.45">
      <c r="A156" s="1" t="s">
        <v>150</v>
      </c>
      <c r="B156" s="2">
        <v>4072364</v>
      </c>
      <c r="C156" s="3" t="s">
        <v>1871</v>
      </c>
      <c r="D156" s="3" t="s">
        <v>1872</v>
      </c>
      <c r="E156" s="3" t="s">
        <v>1267</v>
      </c>
      <c r="F156" s="5" t="s">
        <v>1873</v>
      </c>
      <c r="G156" s="5" t="s">
        <v>1874</v>
      </c>
      <c r="H156" s="5" t="s">
        <v>1875</v>
      </c>
      <c r="I156" s="5">
        <v>33993981</v>
      </c>
      <c r="J156" s="5" t="s">
        <v>1876</v>
      </c>
      <c r="K156" s="5" t="s">
        <v>1877</v>
      </c>
      <c r="L156" s="5" t="s">
        <v>1878</v>
      </c>
      <c r="M156" s="5" t="s">
        <v>1879</v>
      </c>
      <c r="N156" s="5" t="s">
        <v>1880</v>
      </c>
      <c r="O156" s="5" t="s">
        <v>1881</v>
      </c>
      <c r="P156" s="5">
        <v>21217855075</v>
      </c>
    </row>
    <row r="157" spans="1:16" x14ac:dyDescent="0.45">
      <c r="A157" s="1" t="s">
        <v>151</v>
      </c>
      <c r="B157" s="2">
        <v>4059821</v>
      </c>
      <c r="C157" s="3" t="s">
        <v>1882</v>
      </c>
      <c r="D157" s="3" t="s">
        <v>1883</v>
      </c>
      <c r="E157" s="3" t="s">
        <v>1103</v>
      </c>
      <c r="F157" s="5" t="s">
        <v>1884</v>
      </c>
      <c r="G157" s="5" t="s">
        <v>1885</v>
      </c>
      <c r="H157" s="5" t="s">
        <v>1886</v>
      </c>
      <c r="I157" s="5" t="s">
        <v>1887</v>
      </c>
      <c r="J157" s="5" t="s">
        <v>1888</v>
      </c>
      <c r="K157" s="5">
        <v>4762101</v>
      </c>
      <c r="L157" s="5" t="s">
        <v>1889</v>
      </c>
      <c r="M157" s="5" t="s">
        <v>1890</v>
      </c>
      <c r="N157" s="5" t="s">
        <v>1891</v>
      </c>
      <c r="O157" s="5" t="s">
        <v>1892</v>
      </c>
      <c r="P157" s="5">
        <v>13434018725</v>
      </c>
    </row>
    <row r="158" spans="1:16" x14ac:dyDescent="0.45">
      <c r="A158" s="1" t="s">
        <v>152</v>
      </c>
      <c r="B158" s="2">
        <v>4279452</v>
      </c>
      <c r="C158" s="3" t="s">
        <v>1893</v>
      </c>
      <c r="D158" s="3" t="s">
        <v>1894</v>
      </c>
      <c r="E158" s="3" t="s">
        <v>1472</v>
      </c>
      <c r="F158" s="5">
        <v>31299813177</v>
      </c>
      <c r="G158" s="5">
        <v>28384845346</v>
      </c>
      <c r="H158" s="5">
        <v>22353463305</v>
      </c>
      <c r="I158" s="5">
        <v>18473440887</v>
      </c>
      <c r="J158" s="5">
        <v>19811411577</v>
      </c>
      <c r="K158" s="5" t="s">
        <v>1895</v>
      </c>
      <c r="L158" s="5">
        <v>1833687758</v>
      </c>
      <c r="M158" s="5">
        <v>15209745694</v>
      </c>
      <c r="N158" s="5">
        <v>13942046376</v>
      </c>
      <c r="O158" s="5">
        <v>14568924566</v>
      </c>
      <c r="P158" s="5">
        <v>1362761562</v>
      </c>
    </row>
    <row r="159" spans="1:16" x14ac:dyDescent="0.45">
      <c r="A159" s="1" t="s">
        <v>153</v>
      </c>
      <c r="B159" s="2">
        <v>4136907</v>
      </c>
      <c r="C159" s="3" t="s">
        <v>1896</v>
      </c>
      <c r="D159" s="3" t="s">
        <v>1897</v>
      </c>
      <c r="E159" s="3" t="s">
        <v>774</v>
      </c>
      <c r="F159" s="5" t="s">
        <v>1898</v>
      </c>
      <c r="G159" s="5" t="s">
        <v>1899</v>
      </c>
      <c r="H159" s="5" t="s">
        <v>1900</v>
      </c>
      <c r="I159" s="5" t="s">
        <v>1901</v>
      </c>
      <c r="J159" s="5" t="s">
        <v>1902</v>
      </c>
      <c r="K159" s="5" t="s">
        <v>1903</v>
      </c>
      <c r="L159" s="5" t="s">
        <v>1904</v>
      </c>
      <c r="M159" s="5">
        <v>7737693</v>
      </c>
      <c r="N159" s="5">
        <v>7420297</v>
      </c>
      <c r="O159" s="5" t="s">
        <v>1905</v>
      </c>
      <c r="P159" s="5" t="s">
        <v>1906</v>
      </c>
    </row>
    <row r="160" spans="1:16" x14ac:dyDescent="0.45">
      <c r="A160" s="1" t="s">
        <v>154</v>
      </c>
      <c r="B160" s="2">
        <v>4007889</v>
      </c>
      <c r="C160" s="3" t="s">
        <v>1907</v>
      </c>
      <c r="D160" s="3" t="s">
        <v>1908</v>
      </c>
      <c r="E160" s="3" t="s">
        <v>630</v>
      </c>
      <c r="F160" s="5">
        <v>146778375309</v>
      </c>
      <c r="G160" s="5">
        <v>148791041646</v>
      </c>
      <c r="H160" s="5">
        <v>135365882252</v>
      </c>
      <c r="I160" s="5">
        <v>124301213814</v>
      </c>
      <c r="J160" s="5">
        <v>104854801572</v>
      </c>
      <c r="K160" s="5" t="s">
        <v>1909</v>
      </c>
      <c r="L160" s="5">
        <v>93370215435</v>
      </c>
      <c r="M160" s="5">
        <v>79162416938</v>
      </c>
      <c r="N160" s="5">
        <v>68208968304</v>
      </c>
      <c r="O160" s="5">
        <v>78483748162</v>
      </c>
      <c r="P160" s="5">
        <v>8816159152</v>
      </c>
    </row>
    <row r="161" spans="1:16" x14ac:dyDescent="0.45">
      <c r="A161" s="1" t="s">
        <v>155</v>
      </c>
      <c r="B161" s="2">
        <v>4075407</v>
      </c>
      <c r="C161" s="3" t="s">
        <v>1910</v>
      </c>
      <c r="D161" s="3" t="s">
        <v>1911</v>
      </c>
      <c r="E161" s="3" t="s">
        <v>817</v>
      </c>
      <c r="F161" s="5" t="s">
        <v>1912</v>
      </c>
      <c r="G161" s="5" t="s">
        <v>1913</v>
      </c>
      <c r="H161" s="5">
        <v>25413023</v>
      </c>
      <c r="I161" s="5" t="s">
        <v>1914</v>
      </c>
      <c r="J161" s="5">
        <v>19502874</v>
      </c>
      <c r="K161" s="5">
        <v>16596885</v>
      </c>
      <c r="L161" s="5">
        <v>192840420276</v>
      </c>
      <c r="M161" s="5">
        <v>169126817992</v>
      </c>
      <c r="N161" s="5">
        <v>135607097544</v>
      </c>
      <c r="O161" s="5">
        <v>132447516813</v>
      </c>
      <c r="P161" s="5">
        <v>1191729947625</v>
      </c>
    </row>
    <row r="162" spans="1:16" x14ac:dyDescent="0.45">
      <c r="A162" s="1" t="s">
        <v>156</v>
      </c>
      <c r="B162" s="2">
        <v>4309704</v>
      </c>
      <c r="C162" s="3" t="s">
        <v>1915</v>
      </c>
      <c r="D162" s="3" t="s">
        <v>1916</v>
      </c>
      <c r="E162" s="3" t="s">
        <v>547</v>
      </c>
      <c r="F162" s="5">
        <v>31323890736</v>
      </c>
      <c r="G162" s="5">
        <v>35073287509</v>
      </c>
      <c r="H162" s="5">
        <v>3140638909</v>
      </c>
      <c r="I162" s="5">
        <v>2809916457</v>
      </c>
      <c r="J162" s="5">
        <v>21945894741</v>
      </c>
      <c r="K162" s="5">
        <v>1621117215</v>
      </c>
      <c r="L162" s="5">
        <v>14223248095</v>
      </c>
      <c r="M162" s="5">
        <v>11027513464</v>
      </c>
      <c r="N162" s="5">
        <v>8119358616</v>
      </c>
      <c r="O162" s="5">
        <v>7402315876</v>
      </c>
      <c r="P162" s="5">
        <v>56462507725</v>
      </c>
    </row>
    <row r="163" spans="1:16" x14ac:dyDescent="0.45">
      <c r="A163" s="1" t="s">
        <v>157</v>
      </c>
      <c r="B163" s="2">
        <v>4004341</v>
      </c>
      <c r="C163" s="3" t="s">
        <v>1917</v>
      </c>
      <c r="D163" s="3" t="s">
        <v>1918</v>
      </c>
      <c r="E163" s="3" t="s">
        <v>817</v>
      </c>
      <c r="F163" s="5">
        <v>233026380516</v>
      </c>
      <c r="G163" s="5">
        <v>234502515624</v>
      </c>
      <c r="H163" s="5">
        <v>133722051399</v>
      </c>
      <c r="I163" s="5">
        <v>104923110096</v>
      </c>
      <c r="J163" s="5">
        <v>87674994207</v>
      </c>
      <c r="K163" s="5">
        <v>7572281775</v>
      </c>
      <c r="L163" s="5">
        <v>87359772668</v>
      </c>
      <c r="M163" s="5">
        <v>95709172086</v>
      </c>
      <c r="N163" s="5">
        <v>153356897064</v>
      </c>
      <c r="O163" s="5">
        <v>86386626831</v>
      </c>
      <c r="P163" s="5">
        <v>73918196715</v>
      </c>
    </row>
    <row r="164" spans="1:16" x14ac:dyDescent="0.45">
      <c r="A164" s="1" t="s">
        <v>158</v>
      </c>
      <c r="B164" s="2">
        <v>4040823</v>
      </c>
      <c r="C164" s="3" t="s">
        <v>1919</v>
      </c>
      <c r="D164" s="3" t="s">
        <v>1920</v>
      </c>
      <c r="E164" s="3" t="s">
        <v>1921</v>
      </c>
      <c r="F164" s="5" t="s">
        <v>1922</v>
      </c>
      <c r="G164" s="5" t="s">
        <v>1923</v>
      </c>
      <c r="H164" s="5" t="s">
        <v>1924</v>
      </c>
      <c r="I164" s="5" t="s">
        <v>1925</v>
      </c>
      <c r="J164" s="5" t="s">
        <v>1926</v>
      </c>
      <c r="K164" s="5" t="s">
        <v>1927</v>
      </c>
      <c r="L164" s="5" t="s">
        <v>1928</v>
      </c>
      <c r="M164" s="5" t="s">
        <v>1929</v>
      </c>
      <c r="N164" s="5" t="s">
        <v>1930</v>
      </c>
      <c r="O164" s="5" t="s">
        <v>1931</v>
      </c>
      <c r="P164" s="5" t="s">
        <v>1932</v>
      </c>
    </row>
    <row r="165" spans="1:16" x14ac:dyDescent="0.45">
      <c r="A165" s="1" t="s">
        <v>159</v>
      </c>
      <c r="B165" s="2">
        <v>4570011</v>
      </c>
      <c r="C165" s="3" t="s">
        <v>1933</v>
      </c>
      <c r="D165" s="3" t="s">
        <v>1934</v>
      </c>
      <c r="E165" s="3" t="s">
        <v>1735</v>
      </c>
      <c r="F165" s="5" t="s">
        <v>1935</v>
      </c>
      <c r="G165" s="5" t="s">
        <v>1936</v>
      </c>
      <c r="H165" s="5" t="s">
        <v>1937</v>
      </c>
      <c r="I165" s="5">
        <v>107660070024</v>
      </c>
      <c r="J165" s="5">
        <v>95683350852</v>
      </c>
      <c r="K165" s="5">
        <v>8693391465</v>
      </c>
      <c r="L165" s="5">
        <v>78776644002</v>
      </c>
      <c r="M165" s="5">
        <v>63053182786</v>
      </c>
      <c r="N165" s="5">
        <v>5704505112</v>
      </c>
      <c r="O165" s="5">
        <v>41357498117</v>
      </c>
      <c r="P165" s="5">
        <v>25278141595</v>
      </c>
    </row>
    <row r="166" spans="1:16" x14ac:dyDescent="0.45">
      <c r="A166" s="1" t="s">
        <v>160</v>
      </c>
      <c r="B166" s="2">
        <v>103054</v>
      </c>
      <c r="C166" s="3" t="s">
        <v>1938</v>
      </c>
      <c r="D166" s="3" t="s">
        <v>1939</v>
      </c>
      <c r="E166" s="3" t="s">
        <v>962</v>
      </c>
      <c r="F166" s="5">
        <v>97171594278</v>
      </c>
      <c r="G166" s="5">
        <v>111893207673</v>
      </c>
      <c r="H166" s="5">
        <v>104749567672</v>
      </c>
      <c r="I166" s="5">
        <v>109485807864</v>
      </c>
      <c r="J166" s="5">
        <v>102756624705</v>
      </c>
      <c r="K166" s="5">
        <v>90762422475</v>
      </c>
      <c r="L166" s="5">
        <v>98091628586</v>
      </c>
      <c r="M166" s="5">
        <v>9414164617</v>
      </c>
      <c r="N166" s="5">
        <v>90282332304</v>
      </c>
      <c r="O166" s="5">
        <v>103284838948</v>
      </c>
      <c r="P166" s="5">
        <v>103705343135</v>
      </c>
    </row>
    <row r="167" spans="1:16" x14ac:dyDescent="0.45">
      <c r="A167" s="1" t="s">
        <v>161</v>
      </c>
      <c r="B167" s="2">
        <v>103619</v>
      </c>
      <c r="C167" s="3" t="s">
        <v>1940</v>
      </c>
      <c r="D167" s="3" t="s">
        <v>1941</v>
      </c>
      <c r="E167" s="3" t="s">
        <v>723</v>
      </c>
      <c r="F167" s="5">
        <v>19447496358</v>
      </c>
      <c r="G167" s="5">
        <v>19194925022</v>
      </c>
      <c r="H167" s="5">
        <v>15043668245</v>
      </c>
      <c r="I167" s="5">
        <v>13552753656</v>
      </c>
      <c r="J167" s="5">
        <v>11804409054</v>
      </c>
      <c r="K167" s="5" t="s">
        <v>1942</v>
      </c>
      <c r="L167" s="5">
        <v>10098417483</v>
      </c>
      <c r="M167" s="5">
        <v>8504051248</v>
      </c>
      <c r="N167" s="5">
        <v>7139960832</v>
      </c>
      <c r="O167" s="5">
        <v>773858843</v>
      </c>
      <c r="P167" s="5">
        <v>70851988725</v>
      </c>
    </row>
    <row r="168" spans="1:16" x14ac:dyDescent="0.45">
      <c r="A168" s="1" t="s">
        <v>162</v>
      </c>
      <c r="B168" s="2">
        <v>103163</v>
      </c>
      <c r="C168" s="3" t="s">
        <v>1943</v>
      </c>
      <c r="D168" s="3" t="s">
        <v>1944</v>
      </c>
      <c r="E168" s="3" t="s">
        <v>962</v>
      </c>
      <c r="F168" s="5">
        <v>48861134715</v>
      </c>
      <c r="G168" s="5">
        <v>55551217501</v>
      </c>
      <c r="H168" s="5">
        <v>50900077601</v>
      </c>
      <c r="I168" s="5">
        <v>55414642962</v>
      </c>
      <c r="J168" s="5">
        <v>54614852982</v>
      </c>
      <c r="K168" s="5">
        <v>50811148425</v>
      </c>
      <c r="L168" s="5">
        <v>57394984654</v>
      </c>
      <c r="M168" s="5">
        <v>56153672146</v>
      </c>
      <c r="N168" s="5">
        <v>53599266168</v>
      </c>
      <c r="O168" s="5">
        <v>60029652633</v>
      </c>
      <c r="P168" s="5">
        <v>587666385625</v>
      </c>
    </row>
    <row r="169" spans="1:16" x14ac:dyDescent="0.45">
      <c r="A169" s="1" t="s">
        <v>163</v>
      </c>
      <c r="B169" s="2">
        <v>4050636</v>
      </c>
      <c r="C169" s="3" t="s">
        <v>1945</v>
      </c>
      <c r="D169" s="3" t="s">
        <v>1946</v>
      </c>
      <c r="E169" s="3" t="s">
        <v>1947</v>
      </c>
      <c r="F169" s="5" t="s">
        <v>1948</v>
      </c>
      <c r="G169" s="5" t="s">
        <v>1949</v>
      </c>
      <c r="H169" s="5" t="s">
        <v>1950</v>
      </c>
      <c r="I169" s="5" t="s">
        <v>1951</v>
      </c>
      <c r="J169" s="5" t="s">
        <v>1952</v>
      </c>
      <c r="K169" s="5" t="s">
        <v>1953</v>
      </c>
      <c r="L169" s="5">
        <v>81383494675</v>
      </c>
      <c r="M169" s="5">
        <v>68656200998</v>
      </c>
      <c r="N169" s="5">
        <v>69698964096</v>
      </c>
      <c r="O169" s="5">
        <v>76498226308</v>
      </c>
      <c r="P169" s="5">
        <v>700560463875</v>
      </c>
    </row>
    <row r="170" spans="1:16" x14ac:dyDescent="0.45">
      <c r="A170" s="1" t="s">
        <v>164</v>
      </c>
      <c r="B170" s="2">
        <v>8603803</v>
      </c>
      <c r="C170" s="3" t="s">
        <v>1954</v>
      </c>
      <c r="D170" s="3" t="s">
        <v>1955</v>
      </c>
      <c r="E170" s="3" t="s">
        <v>630</v>
      </c>
      <c r="F170" s="5" t="s">
        <v>1956</v>
      </c>
      <c r="G170" s="5" t="s">
        <v>1957</v>
      </c>
      <c r="H170" s="5" t="s">
        <v>1958</v>
      </c>
      <c r="I170" s="5" t="s">
        <v>1959</v>
      </c>
      <c r="J170" s="5" t="s">
        <v>1960</v>
      </c>
      <c r="K170" s="5" t="s">
        <v>1961</v>
      </c>
      <c r="L170" s="5" t="s">
        <v>1962</v>
      </c>
      <c r="M170" s="5" t="s">
        <v>1963</v>
      </c>
      <c r="N170" s="5" t="s">
        <v>1964</v>
      </c>
      <c r="O170" s="5">
        <v>3631180887</v>
      </c>
      <c r="P170" s="5">
        <v>338095993225</v>
      </c>
    </row>
    <row r="171" spans="1:16" x14ac:dyDescent="0.45">
      <c r="A171" s="1" t="s">
        <v>165</v>
      </c>
      <c r="B171" s="2">
        <v>4057052</v>
      </c>
      <c r="C171" s="3" t="s">
        <v>1965</v>
      </c>
      <c r="D171" s="3" t="s">
        <v>1966</v>
      </c>
      <c r="E171" s="3" t="s">
        <v>630</v>
      </c>
      <c r="F171" s="5">
        <v>139277129763</v>
      </c>
      <c r="G171" s="5">
        <v>146768070345</v>
      </c>
      <c r="H171" s="5">
        <v>129638633667</v>
      </c>
      <c r="I171" s="5">
        <v>146238007896</v>
      </c>
      <c r="J171" s="5">
        <v>129744355302</v>
      </c>
      <c r="K171" s="5" t="s">
        <v>1967</v>
      </c>
      <c r="L171" s="5">
        <v>113932160804</v>
      </c>
      <c r="M171" s="5">
        <v>101684608058</v>
      </c>
      <c r="N171" s="5">
        <v>93621810336</v>
      </c>
      <c r="O171" s="5">
        <v>102945951846</v>
      </c>
      <c r="P171" s="5">
        <v>967504119725</v>
      </c>
    </row>
    <row r="172" spans="1:16" x14ac:dyDescent="0.45">
      <c r="A172" s="1" t="s">
        <v>166</v>
      </c>
      <c r="B172" s="2">
        <v>4057056</v>
      </c>
      <c r="C172" s="3" t="s">
        <v>1968</v>
      </c>
      <c r="D172" s="3" t="s">
        <v>1969</v>
      </c>
      <c r="E172" s="3" t="s">
        <v>630</v>
      </c>
      <c r="F172" s="5" t="s">
        <v>1970</v>
      </c>
      <c r="G172" s="5" t="s">
        <v>1971</v>
      </c>
      <c r="H172" s="5" t="s">
        <v>1972</v>
      </c>
      <c r="I172" s="5" t="s">
        <v>1973</v>
      </c>
      <c r="J172" s="5" t="s">
        <v>1974</v>
      </c>
      <c r="K172" s="5">
        <v>28504590</v>
      </c>
      <c r="L172" s="5" t="s">
        <v>1975</v>
      </c>
      <c r="M172" s="5" t="s">
        <v>1976</v>
      </c>
      <c r="N172" s="5" t="s">
        <v>1977</v>
      </c>
      <c r="O172" s="5" t="s">
        <v>1978</v>
      </c>
      <c r="P172" s="5" t="s">
        <v>1979</v>
      </c>
    </row>
    <row r="173" spans="1:16" x14ac:dyDescent="0.45">
      <c r="A173" s="1" t="s">
        <v>167</v>
      </c>
      <c r="B173" s="2">
        <v>4010492</v>
      </c>
      <c r="C173" s="3" t="s">
        <v>1980</v>
      </c>
      <c r="D173" s="3" t="s">
        <v>1981</v>
      </c>
      <c r="E173" s="3" t="s">
        <v>817</v>
      </c>
      <c r="F173" s="5" t="s">
        <v>1982</v>
      </c>
      <c r="G173" s="5" t="s">
        <v>1983</v>
      </c>
      <c r="H173" s="5" t="s">
        <v>1984</v>
      </c>
      <c r="I173" s="5" t="s">
        <v>1985</v>
      </c>
      <c r="J173" s="5" t="s">
        <v>1986</v>
      </c>
      <c r="K173" s="5" t="s">
        <v>1987</v>
      </c>
      <c r="L173" s="5" t="s">
        <v>1988</v>
      </c>
      <c r="M173" s="5" t="s">
        <v>1989</v>
      </c>
      <c r="N173" s="5" t="s">
        <v>1990</v>
      </c>
      <c r="O173" s="5" t="s">
        <v>1991</v>
      </c>
      <c r="P173" s="5" t="s">
        <v>1992</v>
      </c>
    </row>
    <row r="174" spans="1:16" x14ac:dyDescent="0.45">
      <c r="A174" s="1" t="s">
        <v>168</v>
      </c>
      <c r="B174" s="2">
        <v>4122573</v>
      </c>
      <c r="C174" s="3" t="s">
        <v>1993</v>
      </c>
      <c r="D174" s="3" t="s">
        <v>1994</v>
      </c>
      <c r="E174" s="3" t="s">
        <v>1083</v>
      </c>
      <c r="F174" s="5" t="s">
        <v>1995</v>
      </c>
      <c r="G174" s="5" t="s">
        <v>1996</v>
      </c>
      <c r="H174" s="5" t="s">
        <v>1997</v>
      </c>
      <c r="I174" s="5" t="s">
        <v>1998</v>
      </c>
      <c r="J174" s="5" t="s">
        <v>1999</v>
      </c>
      <c r="K174" s="5" t="s">
        <v>2000</v>
      </c>
      <c r="L174" s="5" t="s">
        <v>2001</v>
      </c>
      <c r="M174" s="5" t="s">
        <v>2002</v>
      </c>
      <c r="N174" s="5" t="s">
        <v>2003</v>
      </c>
      <c r="O174" s="5">
        <v>53930764719</v>
      </c>
      <c r="P174" s="5">
        <v>514537658375</v>
      </c>
    </row>
    <row r="175" spans="1:16" x14ac:dyDescent="0.45">
      <c r="A175" s="1" t="s">
        <v>169</v>
      </c>
      <c r="B175" s="2">
        <v>4077460</v>
      </c>
      <c r="C175" s="3" t="s">
        <v>2004</v>
      </c>
      <c r="D175" s="3" t="s">
        <v>2005</v>
      </c>
      <c r="E175" s="3" t="s">
        <v>1175</v>
      </c>
      <c r="F175" s="5">
        <v>20083878081</v>
      </c>
      <c r="G175" s="5">
        <v>21498847656</v>
      </c>
      <c r="H175" s="5">
        <v>21635113411</v>
      </c>
      <c r="I175" s="5">
        <v>29133346995</v>
      </c>
      <c r="J175" s="5">
        <v>30757834863</v>
      </c>
      <c r="K175" s="5">
        <v>21771880725</v>
      </c>
      <c r="L175" s="5">
        <v>19579418509</v>
      </c>
      <c r="M175" s="5">
        <v>1736074648</v>
      </c>
      <c r="N175" s="5">
        <v>16609138344</v>
      </c>
      <c r="O175" s="5">
        <v>17498648749</v>
      </c>
      <c r="P175" s="5">
        <v>1560372927</v>
      </c>
    </row>
    <row r="176" spans="1:16" x14ac:dyDescent="0.45">
      <c r="A176" s="1" t="s">
        <v>170</v>
      </c>
      <c r="B176" s="2">
        <v>4092889</v>
      </c>
      <c r="C176" s="3" t="s">
        <v>2006</v>
      </c>
      <c r="D176" s="3" t="s">
        <v>2007</v>
      </c>
      <c r="E176" s="3" t="s">
        <v>2008</v>
      </c>
      <c r="F176" s="5">
        <v>121997814612</v>
      </c>
      <c r="G176" s="5">
        <v>143526577558</v>
      </c>
      <c r="H176" s="5">
        <v>139449996603</v>
      </c>
      <c r="I176" s="5">
        <v>38160409818</v>
      </c>
      <c r="J176" s="5">
        <v>33290086968</v>
      </c>
      <c r="K176" s="5" t="s">
        <v>2009</v>
      </c>
      <c r="L176" s="5">
        <v>26035215234</v>
      </c>
      <c r="M176" s="5">
        <v>24327875748</v>
      </c>
      <c r="N176" s="5">
        <v>22683864696</v>
      </c>
      <c r="O176" s="5">
        <v>24593480518</v>
      </c>
      <c r="P176" s="5">
        <v>2184575133</v>
      </c>
    </row>
    <row r="177" spans="1:16" x14ac:dyDescent="0.45">
      <c r="A177" s="1" t="s">
        <v>171</v>
      </c>
      <c r="B177" s="2">
        <v>3007562</v>
      </c>
      <c r="C177" s="3" t="s">
        <v>2010</v>
      </c>
      <c r="D177" s="3" t="s">
        <v>2011</v>
      </c>
      <c r="E177" s="3" t="s">
        <v>1320</v>
      </c>
      <c r="F177" s="5" t="s">
        <v>2012</v>
      </c>
      <c r="G177" s="5" t="s">
        <v>2013</v>
      </c>
      <c r="H177" s="5" t="s">
        <v>2014</v>
      </c>
      <c r="I177" s="5" t="s">
        <v>2015</v>
      </c>
      <c r="J177" s="5" t="s">
        <v>2016</v>
      </c>
      <c r="K177" s="5">
        <v>134176275</v>
      </c>
      <c r="L177" s="5" t="s">
        <v>2017</v>
      </c>
      <c r="M177" s="5" t="s">
        <v>2018</v>
      </c>
      <c r="N177" s="5">
        <v>161979600</v>
      </c>
      <c r="O177" s="5">
        <v>164669159</v>
      </c>
      <c r="P177" s="5" t="s">
        <v>2019</v>
      </c>
    </row>
    <row r="178" spans="1:16" x14ac:dyDescent="0.45">
      <c r="A178" s="1" t="s">
        <v>172</v>
      </c>
      <c r="B178" s="2">
        <v>4135450</v>
      </c>
      <c r="C178" s="3" t="s">
        <v>2020</v>
      </c>
      <c r="D178" s="3" t="s">
        <v>2021</v>
      </c>
      <c r="E178" s="3" t="s">
        <v>891</v>
      </c>
      <c r="F178" s="5">
        <v>30614607477</v>
      </c>
      <c r="G178" s="5">
        <v>28058003148</v>
      </c>
      <c r="H178" s="5">
        <v>26456591936</v>
      </c>
      <c r="I178" s="5">
        <v>25178637644</v>
      </c>
      <c r="J178" s="5">
        <v>20363917764</v>
      </c>
      <c r="K178" s="5">
        <v>19009994288</v>
      </c>
      <c r="L178" s="5">
        <v>16154688987</v>
      </c>
      <c r="M178" s="5">
        <v>11064229644</v>
      </c>
      <c r="N178" s="5">
        <v>10401885712</v>
      </c>
      <c r="O178" s="5">
        <v>10544683383</v>
      </c>
      <c r="P178" s="5">
        <v>11798541244</v>
      </c>
    </row>
    <row r="179" spans="1:16" x14ac:dyDescent="0.45">
      <c r="A179" s="1" t="s">
        <v>173</v>
      </c>
      <c r="B179" s="2">
        <v>4047873</v>
      </c>
      <c r="C179" s="3" t="s">
        <v>2022</v>
      </c>
      <c r="D179" s="3" t="s">
        <v>2023</v>
      </c>
      <c r="E179" s="3" t="s">
        <v>2024</v>
      </c>
      <c r="F179" s="5">
        <v>18691644737</v>
      </c>
      <c r="G179" s="5">
        <v>1729055086</v>
      </c>
      <c r="H179" s="5" t="s">
        <v>2025</v>
      </c>
      <c r="I179" s="5">
        <v>13219550032</v>
      </c>
      <c r="J179" s="5">
        <v>8610542616</v>
      </c>
      <c r="K179" s="5">
        <v>7498176875</v>
      </c>
      <c r="L179" s="5">
        <v>6112151552</v>
      </c>
      <c r="M179" s="5" t="s">
        <v>2026</v>
      </c>
      <c r="N179" s="5">
        <v>4713157911</v>
      </c>
      <c r="O179" s="5">
        <v>46411662605</v>
      </c>
      <c r="P179" s="5">
        <v>474571616</v>
      </c>
    </row>
    <row r="180" spans="1:16" x14ac:dyDescent="0.45">
      <c r="A180" s="1" t="s">
        <v>174</v>
      </c>
      <c r="B180" s="2">
        <v>108391</v>
      </c>
      <c r="C180" s="3" t="s">
        <v>2027</v>
      </c>
      <c r="D180" s="3" t="s">
        <v>2028</v>
      </c>
      <c r="E180" s="3" t="s">
        <v>551</v>
      </c>
      <c r="F180" s="5">
        <v>-14879317032</v>
      </c>
      <c r="G180" s="5">
        <v>-8631379914</v>
      </c>
      <c r="H180" s="5">
        <v>-650012952</v>
      </c>
      <c r="I180" s="5">
        <v>-8178255506</v>
      </c>
      <c r="J180" s="5">
        <v>-957207576</v>
      </c>
      <c r="K180" s="5">
        <v>2819494312</v>
      </c>
      <c r="L180" s="5">
        <v>2657453157</v>
      </c>
      <c r="M180" s="5">
        <v>2473970259</v>
      </c>
      <c r="N180" s="5">
        <v>3608929557</v>
      </c>
      <c r="O180" s="5">
        <v>3975205302</v>
      </c>
      <c r="P180" s="5">
        <v>3915720579</v>
      </c>
    </row>
    <row r="181" spans="1:16" x14ac:dyDescent="0.45">
      <c r="A181" s="1" t="s">
        <v>175</v>
      </c>
      <c r="B181" s="2">
        <v>4101711</v>
      </c>
      <c r="C181" s="3" t="s">
        <v>2029</v>
      </c>
      <c r="D181" s="3" t="s">
        <v>2030</v>
      </c>
      <c r="E181" s="3" t="s">
        <v>2031</v>
      </c>
      <c r="F181" s="5" t="s">
        <v>2032</v>
      </c>
      <c r="G181" s="5" t="s">
        <v>2033</v>
      </c>
      <c r="H181" s="5" t="s">
        <v>2034</v>
      </c>
      <c r="I181" s="5" t="s">
        <v>2035</v>
      </c>
      <c r="J181" s="5" t="s">
        <v>2036</v>
      </c>
      <c r="K181" s="5">
        <v>2234391</v>
      </c>
      <c r="L181" s="5" t="s">
        <v>2037</v>
      </c>
      <c r="M181" s="5" t="s">
        <v>2038</v>
      </c>
      <c r="N181" s="5" t="s">
        <v>2039</v>
      </c>
      <c r="O181" s="5" t="s">
        <v>2040</v>
      </c>
      <c r="P181" s="5">
        <v>165853684675</v>
      </c>
    </row>
    <row r="182" spans="1:16" x14ac:dyDescent="0.45">
      <c r="A182" s="1" t="s">
        <v>176</v>
      </c>
      <c r="B182" s="2">
        <v>102950</v>
      </c>
      <c r="C182" s="3" t="s">
        <v>2041</v>
      </c>
      <c r="D182" s="3" t="s">
        <v>2042</v>
      </c>
      <c r="E182" s="3" t="s">
        <v>2043</v>
      </c>
      <c r="F182" s="5">
        <v>29814959397</v>
      </c>
      <c r="G182" s="5">
        <v>3307656937</v>
      </c>
      <c r="H182" s="5">
        <v>29181297534</v>
      </c>
      <c r="I182" s="5">
        <v>30058286445</v>
      </c>
      <c r="J182" s="5">
        <v>25296194808</v>
      </c>
      <c r="K182" s="5">
        <v>21961867725</v>
      </c>
      <c r="L182" s="5">
        <v>2473595579</v>
      </c>
      <c r="M182" s="5">
        <v>22739300892</v>
      </c>
      <c r="N182" s="5">
        <v>21092084088</v>
      </c>
      <c r="O182" s="5">
        <v>21025598217</v>
      </c>
      <c r="P182" s="5">
        <v>176714667525</v>
      </c>
    </row>
    <row r="183" spans="1:16" x14ac:dyDescent="0.45">
      <c r="A183" s="1" t="s">
        <v>177</v>
      </c>
      <c r="B183" s="2">
        <v>4379438</v>
      </c>
      <c r="C183" s="3" t="s">
        <v>2044</v>
      </c>
      <c r="D183" s="3" t="s">
        <v>2045</v>
      </c>
      <c r="E183" s="3" t="s">
        <v>1175</v>
      </c>
      <c r="F183" s="5" t="s">
        <v>2046</v>
      </c>
      <c r="G183" s="5" t="s">
        <v>2047</v>
      </c>
      <c r="H183" s="5" t="s">
        <v>2048</v>
      </c>
      <c r="I183" s="5" t="s">
        <v>2049</v>
      </c>
      <c r="J183" s="5" t="s">
        <v>2050</v>
      </c>
      <c r="K183" s="5" t="s">
        <v>2051</v>
      </c>
      <c r="L183" s="5" t="s">
        <v>2052</v>
      </c>
      <c r="M183" s="5" t="s">
        <v>2053</v>
      </c>
      <c r="N183" s="5">
        <v>14304970</v>
      </c>
      <c r="O183" s="5" t="s">
        <v>2054</v>
      </c>
      <c r="P183" s="5" t="s">
        <v>2055</v>
      </c>
    </row>
    <row r="184" spans="1:16" x14ac:dyDescent="0.45">
      <c r="A184" s="1" t="s">
        <v>178</v>
      </c>
      <c r="B184" s="2">
        <v>4093074</v>
      </c>
      <c r="C184" s="3" t="s">
        <v>2056</v>
      </c>
      <c r="D184" s="3" t="s">
        <v>2057</v>
      </c>
      <c r="E184" s="3" t="s">
        <v>711</v>
      </c>
      <c r="F184" s="5" t="s">
        <v>2058</v>
      </c>
      <c r="G184" s="5">
        <v>15164630</v>
      </c>
      <c r="H184" s="5" t="s">
        <v>2059</v>
      </c>
      <c r="I184" s="5" t="s">
        <v>2060</v>
      </c>
      <c r="J184" s="5" t="s">
        <v>2061</v>
      </c>
      <c r="K184" s="5" t="s">
        <v>2062</v>
      </c>
      <c r="L184" s="5" t="s">
        <v>2063</v>
      </c>
      <c r="M184" s="5" t="s">
        <v>2064</v>
      </c>
      <c r="N184" s="5">
        <v>9010896</v>
      </c>
      <c r="O184" s="5" t="s">
        <v>2065</v>
      </c>
      <c r="P184" s="5" t="s">
        <v>2066</v>
      </c>
    </row>
    <row r="185" spans="1:16" x14ac:dyDescent="0.45">
      <c r="A185" s="1" t="s">
        <v>179</v>
      </c>
      <c r="B185" s="2">
        <v>100260</v>
      </c>
      <c r="C185" s="3" t="s">
        <v>2067</v>
      </c>
      <c r="D185" s="3" t="s">
        <v>2068</v>
      </c>
      <c r="E185" s="3" t="s">
        <v>1005</v>
      </c>
      <c r="F185" s="5" t="s">
        <v>2069</v>
      </c>
      <c r="G185" s="5" t="s">
        <v>2070</v>
      </c>
      <c r="H185" s="5" t="s">
        <v>2071</v>
      </c>
      <c r="I185" s="5" t="s">
        <v>2072</v>
      </c>
      <c r="J185" s="5">
        <v>19529253</v>
      </c>
      <c r="K185" s="5" t="s">
        <v>2073</v>
      </c>
      <c r="L185" s="5" t="s">
        <v>2074</v>
      </c>
      <c r="M185" s="5">
        <v>14192750</v>
      </c>
      <c r="N185" s="5">
        <v>13508016</v>
      </c>
      <c r="O185" s="5" t="s">
        <v>2075</v>
      </c>
      <c r="P185" s="5" t="s">
        <v>2076</v>
      </c>
    </row>
    <row r="186" spans="1:16" x14ac:dyDescent="0.45">
      <c r="A186" s="1" t="s">
        <v>180</v>
      </c>
      <c r="B186" s="2">
        <v>4211343</v>
      </c>
      <c r="C186" s="3" t="s">
        <v>2077</v>
      </c>
      <c r="D186" s="3" t="s">
        <v>2078</v>
      </c>
      <c r="E186" s="3" t="s">
        <v>559</v>
      </c>
      <c r="F186" s="5">
        <v>81235086381</v>
      </c>
      <c r="G186" s="5">
        <v>77055416243</v>
      </c>
      <c r="H186" s="5">
        <v>60501532043</v>
      </c>
      <c r="I186" s="5">
        <v>54607966635</v>
      </c>
      <c r="J186" s="5">
        <v>52402331943</v>
      </c>
      <c r="K186" s="5" t="s">
        <v>2079</v>
      </c>
      <c r="L186" s="5">
        <v>45417290737</v>
      </c>
      <c r="M186" s="5">
        <v>45525127802</v>
      </c>
      <c r="N186" s="5">
        <v>42461948616</v>
      </c>
      <c r="O186" s="5">
        <v>49433420077</v>
      </c>
      <c r="P186" s="5">
        <v>510876940525</v>
      </c>
    </row>
    <row r="187" spans="1:16" x14ac:dyDescent="0.45">
      <c r="A187" s="1" t="s">
        <v>181</v>
      </c>
      <c r="B187" s="2">
        <v>4056944</v>
      </c>
      <c r="C187" s="3" t="s">
        <v>2080</v>
      </c>
      <c r="D187" s="3" t="s">
        <v>2081</v>
      </c>
      <c r="E187" s="3" t="s">
        <v>630</v>
      </c>
      <c r="F187" s="5" t="s">
        <v>2082</v>
      </c>
      <c r="G187" s="5">
        <v>13252148</v>
      </c>
      <c r="H187" s="5" t="s">
        <v>2083</v>
      </c>
      <c r="I187" s="5" t="s">
        <v>2084</v>
      </c>
      <c r="J187" s="5" t="s">
        <v>2085</v>
      </c>
      <c r="K187" s="5" t="s">
        <v>2086</v>
      </c>
      <c r="L187" s="5" t="s">
        <v>2087</v>
      </c>
      <c r="M187" s="5" t="s">
        <v>2088</v>
      </c>
      <c r="N187" s="5">
        <v>3268740</v>
      </c>
      <c r="O187" s="5" t="s">
        <v>2089</v>
      </c>
      <c r="P187" s="5" t="s">
        <v>2090</v>
      </c>
    </row>
    <row r="188" spans="1:16" x14ac:dyDescent="0.45">
      <c r="A188" s="1" t="s">
        <v>182</v>
      </c>
      <c r="B188" s="2">
        <v>113881</v>
      </c>
      <c r="C188" s="3" t="s">
        <v>2091</v>
      </c>
      <c r="D188" s="3" t="s">
        <v>2092</v>
      </c>
      <c r="E188" s="3" t="s">
        <v>2093</v>
      </c>
      <c r="F188" s="5" t="s">
        <v>2094</v>
      </c>
      <c r="G188" s="5" t="s">
        <v>2095</v>
      </c>
      <c r="H188" s="5" t="s">
        <v>2096</v>
      </c>
      <c r="I188" s="5" t="s">
        <v>2097</v>
      </c>
      <c r="J188" s="5">
        <v>28093635</v>
      </c>
      <c r="K188" s="5" t="s">
        <v>2098</v>
      </c>
      <c r="L188" s="5" t="s">
        <v>2099</v>
      </c>
      <c r="M188" s="5" t="s">
        <v>2100</v>
      </c>
      <c r="N188" s="5" t="s">
        <v>2101</v>
      </c>
      <c r="O188" s="5" t="s">
        <v>2102</v>
      </c>
      <c r="P188" s="5">
        <v>2449195</v>
      </c>
    </row>
    <row r="189" spans="1:16" x14ac:dyDescent="0.45">
      <c r="A189" s="1" t="s">
        <v>183</v>
      </c>
      <c r="B189" s="2">
        <v>113873</v>
      </c>
      <c r="C189" s="3" t="s">
        <v>2103</v>
      </c>
      <c r="D189" s="3" t="s">
        <v>2104</v>
      </c>
      <c r="E189" s="3" t="s">
        <v>2105</v>
      </c>
      <c r="F189" s="5">
        <v>30644166</v>
      </c>
      <c r="G189" s="5" t="s">
        <v>2106</v>
      </c>
      <c r="H189" s="5" t="s">
        <v>2107</v>
      </c>
      <c r="I189" s="5" t="s">
        <v>2108</v>
      </c>
      <c r="J189" s="5" t="s">
        <v>2109</v>
      </c>
      <c r="K189" s="5" t="s">
        <v>2110</v>
      </c>
      <c r="L189" s="5">
        <v>29611253</v>
      </c>
      <c r="M189" s="5" t="s">
        <v>2111</v>
      </c>
      <c r="N189" s="5" t="s">
        <v>2112</v>
      </c>
      <c r="O189" s="5" t="s">
        <v>2113</v>
      </c>
      <c r="P189" s="5" t="s">
        <v>2114</v>
      </c>
    </row>
    <row r="190" spans="1:16" x14ac:dyDescent="0.45">
      <c r="A190" s="1" t="s">
        <v>184</v>
      </c>
      <c r="B190" s="2">
        <v>4868602</v>
      </c>
      <c r="C190" s="3" t="s">
        <v>2115</v>
      </c>
      <c r="D190" s="3" t="s">
        <v>2116</v>
      </c>
      <c r="E190" s="3" t="s">
        <v>2117</v>
      </c>
      <c r="F190" s="5" t="s">
        <v>2118</v>
      </c>
      <c r="G190" s="5" t="s">
        <v>2119</v>
      </c>
      <c r="H190" s="5" t="s">
        <v>2120</v>
      </c>
      <c r="I190" s="5" t="s">
        <v>2121</v>
      </c>
      <c r="J190" s="5" t="s">
        <v>2122</v>
      </c>
      <c r="K190" s="5">
        <v>699780</v>
      </c>
      <c r="L190" s="5" t="s">
        <v>2123</v>
      </c>
      <c r="M190" s="5" t="s">
        <v>2124</v>
      </c>
      <c r="N190" s="5" t="s">
        <v>2125</v>
      </c>
      <c r="O190" s="5">
        <v>7935352113</v>
      </c>
      <c r="P190" s="5">
        <v>69551337275</v>
      </c>
    </row>
    <row r="191" spans="1:16" x14ac:dyDescent="0.45">
      <c r="A191" s="1" t="s">
        <v>185</v>
      </c>
      <c r="B191" s="2">
        <v>4992262</v>
      </c>
      <c r="C191" s="3" t="s">
        <v>2126</v>
      </c>
      <c r="D191" s="3" t="s">
        <v>2127</v>
      </c>
      <c r="E191" s="3" t="s">
        <v>1766</v>
      </c>
      <c r="F191" s="5" t="s">
        <v>2128</v>
      </c>
      <c r="G191" s="5" t="s">
        <v>2129</v>
      </c>
      <c r="H191" s="5" t="s">
        <v>2130</v>
      </c>
      <c r="I191" s="5" t="s">
        <v>2131</v>
      </c>
      <c r="J191" s="5" t="s">
        <v>2132</v>
      </c>
      <c r="K191" s="5" t="s">
        <v>2133</v>
      </c>
      <c r="L191" s="5" t="s">
        <v>2134</v>
      </c>
      <c r="M191" s="5" t="s">
        <v>2135</v>
      </c>
      <c r="N191" s="5" t="s">
        <v>2136</v>
      </c>
      <c r="O191" s="5" t="s">
        <v>2137</v>
      </c>
      <c r="P191" s="5">
        <v>4771786875</v>
      </c>
    </row>
    <row r="192" spans="1:16" x14ac:dyDescent="0.45">
      <c r="A192" s="1" t="s">
        <v>186</v>
      </c>
      <c r="B192" s="2">
        <v>102719</v>
      </c>
      <c r="C192" s="3" t="s">
        <v>2138</v>
      </c>
      <c r="D192" s="3" t="s">
        <v>2139</v>
      </c>
      <c r="E192" s="3" t="s">
        <v>761</v>
      </c>
      <c r="F192" s="5" t="s">
        <v>2140</v>
      </c>
      <c r="G192" s="5" t="s">
        <v>2141</v>
      </c>
      <c r="H192" s="5" t="s">
        <v>2142</v>
      </c>
      <c r="I192" s="5" t="s">
        <v>2143</v>
      </c>
      <c r="J192" s="5" t="s">
        <v>2144</v>
      </c>
      <c r="K192" s="5" t="s">
        <v>2145</v>
      </c>
      <c r="L192" s="5" t="s">
        <v>2146</v>
      </c>
      <c r="M192" s="5" t="s">
        <v>2147</v>
      </c>
      <c r="N192" s="5" t="s">
        <v>2148</v>
      </c>
      <c r="O192" s="5">
        <v>11200070745</v>
      </c>
      <c r="P192" s="5" t="s">
        <v>2149</v>
      </c>
    </row>
    <row r="193" spans="1:16" x14ac:dyDescent="0.45">
      <c r="A193" s="1" t="s">
        <v>187</v>
      </c>
      <c r="B193" s="2">
        <v>4004107</v>
      </c>
      <c r="C193" s="3" t="s">
        <v>2150</v>
      </c>
      <c r="D193" s="3" t="s">
        <v>2151</v>
      </c>
      <c r="E193" s="3" t="s">
        <v>2152</v>
      </c>
      <c r="F193" s="5" t="s">
        <v>2153</v>
      </c>
      <c r="G193" s="5" t="s">
        <v>2154</v>
      </c>
      <c r="H193" s="5">
        <v>24707357</v>
      </c>
      <c r="I193" s="5" t="s">
        <v>2155</v>
      </c>
      <c r="J193" s="5" t="s">
        <v>2156</v>
      </c>
      <c r="K193" s="5">
        <v>15261090</v>
      </c>
      <c r="L193" s="5" t="s">
        <v>2157</v>
      </c>
      <c r="M193" s="5" t="s">
        <v>2158</v>
      </c>
      <c r="N193" s="5" t="s">
        <v>2159</v>
      </c>
      <c r="O193" s="5" t="s">
        <v>2160</v>
      </c>
      <c r="P193" s="5">
        <v>11792966</v>
      </c>
    </row>
    <row r="194" spans="1:16" x14ac:dyDescent="0.45">
      <c r="A194" s="1" t="s">
        <v>188</v>
      </c>
      <c r="B194" s="2">
        <v>4156047</v>
      </c>
      <c r="C194" s="3" t="s">
        <v>2161</v>
      </c>
      <c r="D194" s="3" t="s">
        <v>2162</v>
      </c>
      <c r="E194" s="3" t="s">
        <v>2163</v>
      </c>
      <c r="F194" s="5" t="s">
        <v>2164</v>
      </c>
      <c r="G194" s="5">
        <v>75258288422</v>
      </c>
      <c r="H194" s="5">
        <v>6343810682</v>
      </c>
      <c r="I194" s="5">
        <v>5805400938</v>
      </c>
      <c r="J194" s="5">
        <v>54055279719</v>
      </c>
      <c r="K194" s="5">
        <v>45265247896</v>
      </c>
      <c r="L194" s="5">
        <v>42896995704</v>
      </c>
      <c r="M194" s="5">
        <v>36367740864</v>
      </c>
      <c r="N194" s="5">
        <v>32082945432</v>
      </c>
      <c r="O194" s="5">
        <v>32378742419</v>
      </c>
      <c r="P194" s="5">
        <v>30549363195</v>
      </c>
    </row>
    <row r="195" spans="1:16" x14ac:dyDescent="0.45">
      <c r="A195" s="1" t="s">
        <v>189</v>
      </c>
      <c r="B195" s="2">
        <v>4094069</v>
      </c>
      <c r="C195" s="3" t="s">
        <v>2165</v>
      </c>
      <c r="D195" s="3" t="s">
        <v>2166</v>
      </c>
      <c r="E195" s="3" t="s">
        <v>547</v>
      </c>
      <c r="F195" s="5">
        <v>2724656436</v>
      </c>
      <c r="G195" s="5">
        <v>13128213371</v>
      </c>
      <c r="H195" s="5">
        <v>6157695798</v>
      </c>
      <c r="I195" s="5">
        <v>2131505886</v>
      </c>
      <c r="J195" s="5">
        <v>3262712994</v>
      </c>
      <c r="K195" s="5" t="s">
        <v>2167</v>
      </c>
      <c r="L195" s="5">
        <v>8363802223</v>
      </c>
      <c r="M195" s="5">
        <v>7430511638</v>
      </c>
      <c r="N195" s="5">
        <v>819029652</v>
      </c>
      <c r="O195" s="5">
        <v>576697294</v>
      </c>
      <c r="P195" s="5" t="s">
        <v>2168</v>
      </c>
    </row>
    <row r="196" spans="1:16" x14ac:dyDescent="0.45">
      <c r="A196" s="1" t="s">
        <v>190</v>
      </c>
      <c r="B196" s="2">
        <v>4048156</v>
      </c>
      <c r="C196" s="3" t="s">
        <v>2169</v>
      </c>
      <c r="D196" s="3" t="s">
        <v>2170</v>
      </c>
      <c r="E196" s="3" t="s">
        <v>2117</v>
      </c>
      <c r="F196" s="5" t="s">
        <v>2171</v>
      </c>
      <c r="G196" s="5">
        <v>1983566</v>
      </c>
      <c r="H196" s="5">
        <v>2024880</v>
      </c>
      <c r="I196" s="5">
        <v>-84258</v>
      </c>
      <c r="J196" s="5">
        <v>-425300</v>
      </c>
      <c r="K196" s="5">
        <v>9269</v>
      </c>
      <c r="L196" s="5">
        <v>5112558</v>
      </c>
      <c r="M196" s="5" t="s">
        <v>2172</v>
      </c>
      <c r="N196" s="5" t="s">
        <v>2173</v>
      </c>
      <c r="O196" s="5" t="s">
        <v>2174</v>
      </c>
      <c r="P196" s="5" t="s">
        <v>2175</v>
      </c>
    </row>
    <row r="197" spans="1:16" x14ac:dyDescent="0.45">
      <c r="A197" s="1" t="s">
        <v>191</v>
      </c>
      <c r="B197" s="2">
        <v>4991196</v>
      </c>
      <c r="C197" s="3" t="s">
        <v>2176</v>
      </c>
      <c r="D197" s="3" t="s">
        <v>2177</v>
      </c>
      <c r="E197" s="3" t="s">
        <v>774</v>
      </c>
      <c r="F197" s="5">
        <v>22476754782</v>
      </c>
      <c r="G197" s="5">
        <v>24122801937</v>
      </c>
      <c r="H197" s="5">
        <v>21257003093</v>
      </c>
      <c r="I197" s="5">
        <v>22173526182</v>
      </c>
      <c r="J197" s="5">
        <v>19978900641</v>
      </c>
      <c r="K197" s="5">
        <v>11906159925</v>
      </c>
      <c r="L197" s="5">
        <v>9749329058</v>
      </c>
      <c r="M197" s="5">
        <v>718166251</v>
      </c>
      <c r="N197" s="5">
        <v>4982217672</v>
      </c>
      <c r="O197" s="5">
        <v>411365025</v>
      </c>
      <c r="P197" s="5">
        <v>42895072325</v>
      </c>
    </row>
    <row r="198" spans="1:16" x14ac:dyDescent="0.45">
      <c r="A198" s="1" t="s">
        <v>192</v>
      </c>
      <c r="B198" s="2">
        <v>4040505</v>
      </c>
      <c r="C198" s="3" t="s">
        <v>2178</v>
      </c>
      <c r="D198" s="3" t="s">
        <v>2179</v>
      </c>
      <c r="E198" s="3" t="s">
        <v>978</v>
      </c>
      <c r="F198" s="5" t="s">
        <v>2180</v>
      </c>
      <c r="G198" s="5" t="s">
        <v>2181</v>
      </c>
      <c r="H198" s="5" t="s">
        <v>2182</v>
      </c>
      <c r="I198" s="5" t="s">
        <v>2183</v>
      </c>
      <c r="J198" s="5" t="s">
        <v>2184</v>
      </c>
      <c r="K198" s="5" t="s">
        <v>2185</v>
      </c>
      <c r="L198" s="5" t="s">
        <v>2186</v>
      </c>
      <c r="M198" s="5" t="s">
        <v>2187</v>
      </c>
      <c r="N198" s="5">
        <v>9523068</v>
      </c>
      <c r="O198" s="5" t="s">
        <v>2188</v>
      </c>
      <c r="P198" s="5" t="s">
        <v>2189</v>
      </c>
    </row>
    <row r="199" spans="1:16" x14ac:dyDescent="0.45">
      <c r="A199" s="1" t="s">
        <v>193</v>
      </c>
      <c r="B199" s="2">
        <v>114527</v>
      </c>
      <c r="C199" s="3" t="s">
        <v>2190</v>
      </c>
      <c r="D199" s="3" t="s">
        <v>2191</v>
      </c>
      <c r="E199" s="3" t="s">
        <v>978</v>
      </c>
      <c r="F199" s="5" t="s">
        <v>2192</v>
      </c>
      <c r="G199" s="5" t="s">
        <v>2193</v>
      </c>
      <c r="H199" s="5" t="s">
        <v>2194</v>
      </c>
      <c r="I199" s="5" t="s">
        <v>2195</v>
      </c>
      <c r="J199" s="5" t="s">
        <v>2196</v>
      </c>
      <c r="K199" s="5">
        <v>30307995</v>
      </c>
      <c r="L199" s="5" t="s">
        <v>2197</v>
      </c>
      <c r="M199" s="5" t="s">
        <v>2198</v>
      </c>
      <c r="N199" s="5" t="s">
        <v>2199</v>
      </c>
      <c r="O199" s="5" t="s">
        <v>2200</v>
      </c>
      <c r="P199" s="5" t="s">
        <v>2201</v>
      </c>
    </row>
    <row r="200" spans="1:16" x14ac:dyDescent="0.45">
      <c r="A200" s="1" t="s">
        <v>194</v>
      </c>
      <c r="B200" s="2">
        <v>4096376</v>
      </c>
      <c r="C200" s="3" t="s">
        <v>2202</v>
      </c>
      <c r="D200" s="3" t="s">
        <v>2203</v>
      </c>
      <c r="E200" s="3" t="s">
        <v>1475</v>
      </c>
      <c r="F200" s="5" t="s">
        <v>2204</v>
      </c>
      <c r="G200" s="5" t="s">
        <v>2205</v>
      </c>
      <c r="H200" s="5">
        <v>9997010</v>
      </c>
      <c r="I200" s="5" t="s">
        <v>2206</v>
      </c>
      <c r="J200" s="5" t="s">
        <v>2207</v>
      </c>
      <c r="K200" s="5" t="s">
        <v>2208</v>
      </c>
      <c r="L200" s="5" t="s">
        <v>2209</v>
      </c>
      <c r="M200" s="5" t="s">
        <v>2210</v>
      </c>
      <c r="N200" s="5" t="s">
        <v>2211</v>
      </c>
      <c r="O200" s="5">
        <v>5526662775</v>
      </c>
      <c r="P200" s="5" t="s">
        <v>2212</v>
      </c>
    </row>
    <row r="201" spans="1:16" x14ac:dyDescent="0.45">
      <c r="A201" s="1" t="s">
        <v>195</v>
      </c>
      <c r="B201" s="2">
        <v>4272273</v>
      </c>
      <c r="C201" s="3" t="s">
        <v>2213</v>
      </c>
      <c r="D201" s="3" t="s">
        <v>2214</v>
      </c>
      <c r="E201" s="3" t="s">
        <v>2105</v>
      </c>
      <c r="F201" s="5" t="s">
        <v>2215</v>
      </c>
      <c r="G201" s="5">
        <v>63353381</v>
      </c>
      <c r="H201" s="5" t="s">
        <v>2216</v>
      </c>
      <c r="I201" s="5" t="s">
        <v>2217</v>
      </c>
      <c r="J201" s="5" t="s">
        <v>2218</v>
      </c>
      <c r="K201" s="5" t="s">
        <v>2219</v>
      </c>
      <c r="L201" s="5" t="s">
        <v>2220</v>
      </c>
      <c r="M201" s="5" t="s">
        <v>2221</v>
      </c>
      <c r="N201" s="5">
        <v>30147360</v>
      </c>
      <c r="O201" s="5" t="s">
        <v>2222</v>
      </c>
      <c r="P201" s="5" t="s">
        <v>2223</v>
      </c>
    </row>
    <row r="202" spans="1:16" x14ac:dyDescent="0.45">
      <c r="A202" s="1" t="s">
        <v>196</v>
      </c>
      <c r="B202" s="2">
        <v>4004397</v>
      </c>
      <c r="C202" s="3" t="s">
        <v>2224</v>
      </c>
      <c r="D202" s="3" t="s">
        <v>2225</v>
      </c>
      <c r="E202" s="3" t="s">
        <v>2226</v>
      </c>
      <c r="F202" s="5">
        <v>37818571671</v>
      </c>
      <c r="G202" s="5">
        <v>42034528809</v>
      </c>
      <c r="H202" s="5">
        <v>39960463295</v>
      </c>
      <c r="I202" s="5">
        <v>35598210579</v>
      </c>
      <c r="J202" s="5">
        <v>3080442897</v>
      </c>
      <c r="K202" s="5">
        <v>26307174525</v>
      </c>
      <c r="L202" s="5" t="s">
        <v>2227</v>
      </c>
      <c r="M202" s="5">
        <v>30324369394</v>
      </c>
      <c r="N202" s="5">
        <v>28849491168</v>
      </c>
      <c r="O202" s="5">
        <v>30383283388</v>
      </c>
      <c r="P202" s="5">
        <v>29088720715</v>
      </c>
    </row>
    <row r="203" spans="1:16" x14ac:dyDescent="0.45">
      <c r="A203" s="1" t="s">
        <v>197</v>
      </c>
      <c r="B203" s="2">
        <v>4135343</v>
      </c>
      <c r="C203" s="3" t="s">
        <v>2228</v>
      </c>
      <c r="D203" s="3" t="s">
        <v>2229</v>
      </c>
      <c r="E203" s="3" t="s">
        <v>533</v>
      </c>
      <c r="F203" s="5" t="s">
        <v>2230</v>
      </c>
      <c r="G203" s="5" t="s">
        <v>2231</v>
      </c>
      <c r="H203" s="5" t="s">
        <v>2232</v>
      </c>
      <c r="I203" s="5" t="s">
        <v>2233</v>
      </c>
      <c r="J203" s="5" t="s">
        <v>2234</v>
      </c>
      <c r="K203" s="5" t="s">
        <v>2235</v>
      </c>
      <c r="L203" s="5">
        <v>20183415</v>
      </c>
      <c r="M203" s="5" t="s">
        <v>2236</v>
      </c>
      <c r="N203" s="5" t="s">
        <v>2237</v>
      </c>
      <c r="O203" s="5" t="s">
        <v>2238</v>
      </c>
      <c r="P203" s="5" t="s">
        <v>2239</v>
      </c>
    </row>
    <row r="204" spans="1:16" x14ac:dyDescent="0.45">
      <c r="A204" s="1" t="s">
        <v>198</v>
      </c>
      <c r="B204" s="2">
        <v>4090258</v>
      </c>
      <c r="C204" s="3" t="s">
        <v>2240</v>
      </c>
      <c r="D204" s="3" t="s">
        <v>2241</v>
      </c>
      <c r="E204" s="3" t="s">
        <v>711</v>
      </c>
      <c r="F204" s="5">
        <v>202529839677</v>
      </c>
      <c r="G204" s="5">
        <v>222317020653</v>
      </c>
      <c r="H204" s="5">
        <v>215205648205</v>
      </c>
      <c r="I204" s="5">
        <v>21090874497</v>
      </c>
      <c r="J204" s="5">
        <v>227469783681</v>
      </c>
      <c r="K204" s="5" t="s">
        <v>2242</v>
      </c>
      <c r="L204" s="5">
        <v>249998006979</v>
      </c>
      <c r="M204" s="5">
        <v>36563519762</v>
      </c>
      <c r="N204" s="5">
        <v>33022443768</v>
      </c>
      <c r="O204" s="5">
        <v>26328706766</v>
      </c>
      <c r="P204" s="5">
        <v>78682631595</v>
      </c>
    </row>
    <row r="205" spans="1:16" x14ac:dyDescent="0.45">
      <c r="A205" s="1" t="s">
        <v>199</v>
      </c>
      <c r="B205" s="2">
        <v>103323</v>
      </c>
      <c r="C205" s="3" t="s">
        <v>2243</v>
      </c>
      <c r="D205" s="3" t="s">
        <v>2244</v>
      </c>
      <c r="E205" s="3" t="s">
        <v>570</v>
      </c>
      <c r="F205" s="5">
        <v>50885489343</v>
      </c>
      <c r="G205" s="5">
        <v>5124601768</v>
      </c>
      <c r="H205" s="5">
        <v>40592106741</v>
      </c>
      <c r="I205" s="5">
        <v>36956191989</v>
      </c>
      <c r="J205" s="5">
        <v>75996193158</v>
      </c>
      <c r="K205" s="5" t="s">
        <v>2245</v>
      </c>
      <c r="L205" s="5">
        <v>64999569677</v>
      </c>
      <c r="M205" s="5">
        <v>47296155918</v>
      </c>
      <c r="N205" s="5">
        <v>51895274088</v>
      </c>
      <c r="O205" s="5">
        <v>43261874253</v>
      </c>
      <c r="P205" s="5">
        <v>3734149504</v>
      </c>
    </row>
    <row r="206" spans="1:16" x14ac:dyDescent="0.45">
      <c r="A206" s="1" t="s">
        <v>200</v>
      </c>
      <c r="B206" s="2">
        <v>4972972</v>
      </c>
      <c r="C206" s="3" t="s">
        <v>2246</v>
      </c>
      <c r="D206" s="3" t="s">
        <v>2247</v>
      </c>
      <c r="E206" s="3" t="s">
        <v>605</v>
      </c>
      <c r="F206" s="5" t="s">
        <v>2248</v>
      </c>
      <c r="G206" s="5" t="s">
        <v>2249</v>
      </c>
      <c r="H206" s="5" t="s">
        <v>2250</v>
      </c>
      <c r="I206" s="5" t="s">
        <v>2251</v>
      </c>
      <c r="J206" s="5" t="s">
        <v>2252</v>
      </c>
      <c r="K206" s="5" t="s">
        <v>2253</v>
      </c>
      <c r="L206" s="5" t="s">
        <v>2254</v>
      </c>
      <c r="M206" s="5" t="s">
        <v>2255</v>
      </c>
      <c r="N206" s="5" t="s">
        <v>2256</v>
      </c>
      <c r="O206" s="5" t="s">
        <v>2257</v>
      </c>
      <c r="P206" s="5" t="s">
        <v>2258</v>
      </c>
    </row>
    <row r="207" spans="1:16" x14ac:dyDescent="0.45">
      <c r="A207" s="1" t="s">
        <v>201</v>
      </c>
      <c r="B207" s="2">
        <v>4010641</v>
      </c>
      <c r="C207" s="3" t="s">
        <v>2259</v>
      </c>
      <c r="D207" s="3" t="s">
        <v>2260</v>
      </c>
      <c r="E207" s="3" t="s">
        <v>981</v>
      </c>
      <c r="F207" s="5" t="s">
        <v>2261</v>
      </c>
      <c r="G207" s="5" t="s">
        <v>2262</v>
      </c>
      <c r="H207" s="5" t="s">
        <v>2263</v>
      </c>
      <c r="I207" s="5" t="s">
        <v>2264</v>
      </c>
      <c r="J207" s="5" t="s">
        <v>2265</v>
      </c>
      <c r="K207" s="5" t="s">
        <v>2266</v>
      </c>
      <c r="L207" s="5" t="s">
        <v>2267</v>
      </c>
      <c r="M207" s="5" t="s">
        <v>2268</v>
      </c>
      <c r="N207" s="5" t="s">
        <v>2269</v>
      </c>
      <c r="O207" s="5" t="s">
        <v>2270</v>
      </c>
      <c r="P207" s="5" t="s">
        <v>2271</v>
      </c>
    </row>
    <row r="208" spans="1:16" x14ac:dyDescent="0.45">
      <c r="A208" s="1" t="s">
        <v>202</v>
      </c>
      <c r="B208" s="2">
        <v>4095387</v>
      </c>
      <c r="C208" s="3" t="s">
        <v>2272</v>
      </c>
      <c r="D208" s="3" t="s">
        <v>2273</v>
      </c>
      <c r="E208" s="3" t="s">
        <v>2274</v>
      </c>
      <c r="F208" s="5">
        <v>480675</v>
      </c>
      <c r="G208" s="5" t="s">
        <v>2275</v>
      </c>
      <c r="H208" s="5" t="s">
        <v>2276</v>
      </c>
      <c r="I208" s="5" t="s">
        <v>2277</v>
      </c>
      <c r="J208" s="5" t="s">
        <v>2278</v>
      </c>
      <c r="K208" s="5" t="s">
        <v>2279</v>
      </c>
      <c r="L208" s="5">
        <v>2680699797</v>
      </c>
      <c r="M208" s="5">
        <v>15327189696</v>
      </c>
      <c r="N208" s="5">
        <v>15239881896</v>
      </c>
      <c r="O208" s="5" t="s">
        <v>2280</v>
      </c>
      <c r="P208" s="5">
        <v>1556243754</v>
      </c>
    </row>
    <row r="209" spans="1:16" x14ac:dyDescent="0.45">
      <c r="A209" s="1" t="s">
        <v>203</v>
      </c>
      <c r="B209" s="2">
        <v>4283738</v>
      </c>
      <c r="C209" s="3" t="s">
        <v>2281</v>
      </c>
      <c r="D209" s="3" t="s">
        <v>2282</v>
      </c>
      <c r="E209" s="3" t="s">
        <v>2283</v>
      </c>
      <c r="F209" s="5" t="s">
        <v>2284</v>
      </c>
      <c r="G209" s="5" t="s">
        <v>2285</v>
      </c>
      <c r="H209" s="5">
        <v>958982</v>
      </c>
      <c r="I209" s="5" t="s">
        <v>2286</v>
      </c>
      <c r="J209" s="5" t="s">
        <v>2287</v>
      </c>
      <c r="K209" s="5">
        <v>2364210</v>
      </c>
      <c r="L209" s="5" t="s">
        <v>2288</v>
      </c>
      <c r="M209" s="5" t="s">
        <v>2289</v>
      </c>
      <c r="N209" s="5">
        <v>-4159836</v>
      </c>
      <c r="O209" s="5" t="s">
        <v>2290</v>
      </c>
      <c r="P209" s="5" t="s">
        <v>2291</v>
      </c>
    </row>
    <row r="210" spans="1:16" x14ac:dyDescent="0.45">
      <c r="A210" s="1" t="s">
        <v>204</v>
      </c>
      <c r="B210" s="2">
        <v>102953</v>
      </c>
      <c r="C210" s="3" t="s">
        <v>2292</v>
      </c>
      <c r="D210" s="3" t="s">
        <v>2293</v>
      </c>
      <c r="E210" s="3" t="s">
        <v>612</v>
      </c>
      <c r="F210" s="5">
        <v>70711975167</v>
      </c>
      <c r="G210" s="5">
        <v>87487590216</v>
      </c>
      <c r="H210" s="5">
        <v>6264929889</v>
      </c>
      <c r="I210" s="5">
        <v>68196407889</v>
      </c>
      <c r="J210" s="5">
        <v>62835692472</v>
      </c>
      <c r="K210" s="5">
        <v>6006455355</v>
      </c>
      <c r="L210" s="5">
        <v>59413860814</v>
      </c>
      <c r="M210" s="5">
        <v>56880969794</v>
      </c>
      <c r="N210" s="5">
        <v>46594643664</v>
      </c>
      <c r="O210" s="5">
        <v>56282010684</v>
      </c>
      <c r="P210" s="5">
        <v>897392137775</v>
      </c>
    </row>
    <row r="211" spans="1:16" x14ac:dyDescent="0.45">
      <c r="A211" s="1" t="s">
        <v>205</v>
      </c>
      <c r="B211" s="2">
        <v>4811795</v>
      </c>
      <c r="C211" s="3" t="s">
        <v>2294</v>
      </c>
      <c r="D211" s="3" t="s">
        <v>2295</v>
      </c>
      <c r="E211" s="3" t="s">
        <v>1193</v>
      </c>
      <c r="F211" s="5">
        <v>4074900</v>
      </c>
      <c r="G211" s="5" t="s">
        <v>2296</v>
      </c>
      <c r="H211" s="5" t="s">
        <v>2297</v>
      </c>
      <c r="I211" s="5" t="s">
        <v>2298</v>
      </c>
      <c r="J211" s="5" t="s">
        <v>2299</v>
      </c>
      <c r="K211" s="5">
        <v>35384961304</v>
      </c>
      <c r="L211" s="5">
        <v>35056767855</v>
      </c>
      <c r="M211" s="5">
        <v>33668054784</v>
      </c>
      <c r="N211" s="5">
        <v>30451731744</v>
      </c>
      <c r="O211" s="5">
        <v>3228815212</v>
      </c>
      <c r="P211" s="5">
        <v>3131541556</v>
      </c>
    </row>
    <row r="212" spans="1:16" x14ac:dyDescent="0.45">
      <c r="A212" s="1" t="s">
        <v>206</v>
      </c>
      <c r="B212" s="2">
        <v>4641383</v>
      </c>
      <c r="C212" s="3" t="s">
        <v>2300</v>
      </c>
      <c r="D212" s="3" t="s">
        <v>2301</v>
      </c>
      <c r="E212" s="3" t="s">
        <v>836</v>
      </c>
      <c r="F212" s="5">
        <v>21461718</v>
      </c>
      <c r="G212" s="5">
        <v>22914480</v>
      </c>
      <c r="H212" s="5">
        <v>20101767</v>
      </c>
      <c r="I212" s="5" t="s">
        <v>2302</v>
      </c>
      <c r="J212" s="5" t="s">
        <v>2303</v>
      </c>
      <c r="K212" s="5" t="s">
        <v>2304</v>
      </c>
      <c r="L212" s="5" t="s">
        <v>2305</v>
      </c>
      <c r="M212" s="5">
        <v>18795579</v>
      </c>
      <c r="N212" s="5">
        <v>20190795</v>
      </c>
      <c r="O212" s="5" t="s">
        <v>2306</v>
      </c>
      <c r="P212" s="5" t="s">
        <v>2307</v>
      </c>
    </row>
    <row r="213" spans="1:16" x14ac:dyDescent="0.45">
      <c r="A213" s="1" t="s">
        <v>207</v>
      </c>
      <c r="B213" s="2">
        <v>4019144</v>
      </c>
      <c r="C213" s="3" t="s">
        <v>2308</v>
      </c>
      <c r="D213" s="3" t="s">
        <v>2309</v>
      </c>
      <c r="E213" s="3" t="s">
        <v>1083</v>
      </c>
      <c r="F213" s="5" t="s">
        <v>2310</v>
      </c>
      <c r="G213" s="5" t="s">
        <v>2311</v>
      </c>
      <c r="H213" s="5" t="s">
        <v>2312</v>
      </c>
      <c r="I213" s="5" t="s">
        <v>2313</v>
      </c>
      <c r="J213" s="5" t="s">
        <v>2314</v>
      </c>
      <c r="K213" s="5">
        <v>-1214805</v>
      </c>
      <c r="L213" s="5" t="s">
        <v>2315</v>
      </c>
      <c r="M213" s="5" t="s">
        <v>2316</v>
      </c>
      <c r="N213" s="5" t="s">
        <v>2317</v>
      </c>
      <c r="O213" s="5" t="s">
        <v>2318</v>
      </c>
      <c r="P213" s="5" t="s">
        <v>2319</v>
      </c>
    </row>
    <row r="214" spans="1:16" x14ac:dyDescent="0.45">
      <c r="A214" s="1" t="s">
        <v>208</v>
      </c>
      <c r="B214" s="2">
        <v>4121346</v>
      </c>
      <c r="C214" s="3" t="s">
        <v>2320</v>
      </c>
      <c r="D214" s="3" t="s">
        <v>2321</v>
      </c>
      <c r="E214" s="3" t="s">
        <v>494</v>
      </c>
      <c r="F214" s="5">
        <v>12801051</v>
      </c>
      <c r="G214" s="5" t="s">
        <v>2322</v>
      </c>
      <c r="H214" s="5" t="s">
        <v>2323</v>
      </c>
      <c r="I214" s="5" t="s">
        <v>2324</v>
      </c>
      <c r="J214" s="5" t="s">
        <v>2325</v>
      </c>
      <c r="K214" s="5" t="s">
        <v>2326</v>
      </c>
      <c r="L214" s="5" t="s">
        <v>2327</v>
      </c>
      <c r="M214" s="5">
        <v>16039991</v>
      </c>
      <c r="N214" s="5">
        <v>13882776</v>
      </c>
      <c r="O214" s="5">
        <v>18519715</v>
      </c>
      <c r="P214" s="5">
        <v>17225391</v>
      </c>
    </row>
    <row r="215" spans="1:16" x14ac:dyDescent="0.45">
      <c r="A215" s="1" t="s">
        <v>209</v>
      </c>
      <c r="B215" s="2">
        <v>4068867</v>
      </c>
      <c r="C215" s="3" t="s">
        <v>2328</v>
      </c>
      <c r="D215" s="3" t="s">
        <v>2329</v>
      </c>
      <c r="E215" s="3" t="s">
        <v>1475</v>
      </c>
      <c r="F215" s="5">
        <v>68052261555</v>
      </c>
      <c r="G215" s="5" t="s">
        <v>2330</v>
      </c>
      <c r="H215" s="5">
        <v>73063757385</v>
      </c>
      <c r="I215" s="5">
        <v>7583199254</v>
      </c>
      <c r="J215" s="5">
        <v>60348865928</v>
      </c>
      <c r="K215" s="5">
        <v>54323394048</v>
      </c>
      <c r="L215" s="5">
        <v>5343647463</v>
      </c>
      <c r="M215" s="5">
        <v>4923832613</v>
      </c>
      <c r="N215" s="5">
        <v>42649343898</v>
      </c>
      <c r="O215" s="5">
        <v>40717010682</v>
      </c>
      <c r="P215" s="5">
        <v>363306477435</v>
      </c>
    </row>
    <row r="216" spans="1:16" x14ac:dyDescent="0.45">
      <c r="A216" s="1" t="s">
        <v>210</v>
      </c>
      <c r="B216" s="2">
        <v>4041118</v>
      </c>
      <c r="C216" s="3" t="s">
        <v>2331</v>
      </c>
      <c r="D216" s="3" t="s">
        <v>2332</v>
      </c>
      <c r="E216" s="3" t="s">
        <v>2333</v>
      </c>
      <c r="F216" s="5" t="s">
        <v>2334</v>
      </c>
      <c r="G216" s="5" t="s">
        <v>2335</v>
      </c>
      <c r="H216" s="5" t="s">
        <v>2336</v>
      </c>
      <c r="I216" s="5" t="s">
        <v>2337</v>
      </c>
      <c r="J216" s="5" t="s">
        <v>2338</v>
      </c>
      <c r="K216" s="5">
        <v>5259795</v>
      </c>
      <c r="L216" s="5" t="s">
        <v>2339</v>
      </c>
      <c r="M216" s="5" t="s">
        <v>2340</v>
      </c>
      <c r="N216" s="5" t="s">
        <v>2341</v>
      </c>
      <c r="O216" s="5" t="s">
        <v>2342</v>
      </c>
      <c r="P216" s="5" t="s">
        <v>2343</v>
      </c>
    </row>
    <row r="217" spans="1:16" x14ac:dyDescent="0.45">
      <c r="A217" s="1" t="s">
        <v>211</v>
      </c>
      <c r="B217" s="2">
        <v>6661591</v>
      </c>
      <c r="C217" s="3" t="s">
        <v>2344</v>
      </c>
      <c r="D217" s="3" t="s">
        <v>2345</v>
      </c>
      <c r="E217" s="3" t="s">
        <v>978</v>
      </c>
      <c r="F217" s="5" t="s">
        <v>2346</v>
      </c>
      <c r="G217" s="5" t="s">
        <v>2347</v>
      </c>
      <c r="H217" s="5" t="s">
        <v>2348</v>
      </c>
      <c r="I217" s="5" t="s">
        <v>2349</v>
      </c>
      <c r="J217" s="5" t="s">
        <v>2350</v>
      </c>
      <c r="K217" s="5" t="s">
        <v>2351</v>
      </c>
      <c r="L217" s="5" t="s">
        <v>2352</v>
      </c>
      <c r="M217" s="5">
        <v>4877939</v>
      </c>
      <c r="N217" s="5" t="s">
        <v>2353</v>
      </c>
      <c r="O217" s="5" t="s">
        <v>2354</v>
      </c>
      <c r="P217" s="5" t="s">
        <v>2355</v>
      </c>
    </row>
    <row r="218" spans="1:16" x14ac:dyDescent="0.45">
      <c r="A218" s="1" t="s">
        <v>212</v>
      </c>
      <c r="B218" s="2">
        <v>105223</v>
      </c>
      <c r="C218" s="3" t="s">
        <v>2356</v>
      </c>
      <c r="D218" s="3" t="s">
        <v>2357</v>
      </c>
      <c r="E218" s="3" t="s">
        <v>836</v>
      </c>
      <c r="F218" s="5">
        <v>-299982</v>
      </c>
      <c r="G218" s="5">
        <v>-1218483</v>
      </c>
      <c r="H218" s="5" t="s">
        <v>2358</v>
      </c>
      <c r="I218" s="5" t="s">
        <v>2359</v>
      </c>
      <c r="J218" s="5">
        <v>-1426920</v>
      </c>
      <c r="K218" s="5" t="s">
        <v>2360</v>
      </c>
      <c r="L218" s="5" t="s">
        <v>2361</v>
      </c>
      <c r="M218" s="5" t="s">
        <v>2362</v>
      </c>
      <c r="N218" s="5">
        <v>-2927472</v>
      </c>
      <c r="O218" s="5" t="s">
        <v>2363</v>
      </c>
      <c r="P218" s="5" t="s">
        <v>2364</v>
      </c>
    </row>
    <row r="219" spans="1:16" x14ac:dyDescent="0.45">
      <c r="A219" s="1" t="s">
        <v>213</v>
      </c>
      <c r="B219" s="2">
        <v>4992018</v>
      </c>
      <c r="C219" s="3" t="s">
        <v>2365</v>
      </c>
      <c r="D219" s="3" t="s">
        <v>2366</v>
      </c>
      <c r="E219" s="3" t="s">
        <v>774</v>
      </c>
      <c r="F219" s="5" t="s">
        <v>2367</v>
      </c>
      <c r="G219" s="5" t="s">
        <v>2368</v>
      </c>
      <c r="H219" s="5" t="s">
        <v>2369</v>
      </c>
      <c r="I219" s="5" t="s">
        <v>2370</v>
      </c>
      <c r="J219" s="5" t="s">
        <v>2371</v>
      </c>
      <c r="K219" s="5" t="s">
        <v>2372</v>
      </c>
      <c r="L219" s="5" t="s">
        <v>2373</v>
      </c>
      <c r="M219" s="5" t="s">
        <v>2374</v>
      </c>
      <c r="N219" s="5" t="s">
        <v>2375</v>
      </c>
      <c r="O219" s="5" t="s">
        <v>2376</v>
      </c>
      <c r="P219" s="5" t="s">
        <v>2377</v>
      </c>
    </row>
    <row r="220" spans="1:16" x14ac:dyDescent="0.45">
      <c r="A220" s="1" t="s">
        <v>214</v>
      </c>
      <c r="B220" s="2">
        <v>111564</v>
      </c>
      <c r="C220" s="3" t="s">
        <v>2378</v>
      </c>
      <c r="D220" s="3" t="s">
        <v>2379</v>
      </c>
      <c r="E220" s="3" t="s">
        <v>1267</v>
      </c>
      <c r="F220" s="5" t="s">
        <v>2380</v>
      </c>
      <c r="G220" s="5" t="s">
        <v>2381</v>
      </c>
      <c r="H220" s="5" t="s">
        <v>2382</v>
      </c>
      <c r="I220" s="5">
        <v>14381709</v>
      </c>
      <c r="J220" s="5" t="s">
        <v>2383</v>
      </c>
      <c r="K220" s="5">
        <v>11222640</v>
      </c>
      <c r="L220" s="5" t="s">
        <v>2384</v>
      </c>
      <c r="M220" s="5" t="s">
        <v>2385</v>
      </c>
      <c r="N220" s="5" t="s">
        <v>2386</v>
      </c>
      <c r="O220" s="5" t="s">
        <v>2387</v>
      </c>
      <c r="P220" s="5" t="s">
        <v>2388</v>
      </c>
    </row>
    <row r="221" spans="1:16" x14ac:dyDescent="0.45">
      <c r="A221" s="1" t="s">
        <v>215</v>
      </c>
      <c r="B221" s="2">
        <v>100307</v>
      </c>
      <c r="C221" s="3" t="s">
        <v>2389</v>
      </c>
      <c r="D221" s="3" t="s">
        <v>2390</v>
      </c>
      <c r="E221" s="3" t="s">
        <v>1005</v>
      </c>
      <c r="F221" s="5" t="s">
        <v>2391</v>
      </c>
      <c r="G221" s="5" t="s">
        <v>2392</v>
      </c>
      <c r="H221" s="5" t="s">
        <v>2393</v>
      </c>
      <c r="I221" s="5" t="s">
        <v>2394</v>
      </c>
      <c r="J221" s="5" t="s">
        <v>2395</v>
      </c>
      <c r="K221" s="5" t="s">
        <v>2396</v>
      </c>
      <c r="L221" s="5" t="s">
        <v>2397</v>
      </c>
      <c r="M221" s="5" t="s">
        <v>2398</v>
      </c>
      <c r="N221" s="5" t="s">
        <v>2399</v>
      </c>
      <c r="O221" s="5" t="s">
        <v>2400</v>
      </c>
      <c r="P221" s="5">
        <v>60719834745</v>
      </c>
    </row>
    <row r="222" spans="1:16" x14ac:dyDescent="0.45">
      <c r="A222" s="1" t="s">
        <v>216</v>
      </c>
      <c r="B222" s="2">
        <v>4436418</v>
      </c>
      <c r="C222" s="3" t="s">
        <v>2401</v>
      </c>
      <c r="D222" s="3" t="s">
        <v>2402</v>
      </c>
      <c r="E222" s="3" t="s">
        <v>978</v>
      </c>
      <c r="F222" s="5" t="s">
        <v>2403</v>
      </c>
      <c r="G222" s="5" t="s">
        <v>2404</v>
      </c>
      <c r="H222" s="5" t="s">
        <v>2405</v>
      </c>
      <c r="I222" s="5" t="s">
        <v>2406</v>
      </c>
      <c r="J222" s="5" t="s">
        <v>2407</v>
      </c>
      <c r="K222" s="5" t="s">
        <v>2408</v>
      </c>
      <c r="L222" s="5" t="s">
        <v>2409</v>
      </c>
      <c r="M222" s="5" t="s">
        <v>2410</v>
      </c>
      <c r="N222" s="5" t="s">
        <v>2411</v>
      </c>
      <c r="O222" s="5" t="s">
        <v>2412</v>
      </c>
      <c r="P222" s="5" t="s">
        <v>2413</v>
      </c>
    </row>
    <row r="223" spans="1:16" x14ac:dyDescent="0.45">
      <c r="A223" s="1" t="s">
        <v>217</v>
      </c>
      <c r="B223" s="2">
        <v>4992897</v>
      </c>
      <c r="C223" s="3" t="s">
        <v>2414</v>
      </c>
      <c r="D223" s="3" t="s">
        <v>2415</v>
      </c>
      <c r="E223" s="3" t="s">
        <v>1766</v>
      </c>
      <c r="F223" s="5" t="s">
        <v>2416</v>
      </c>
      <c r="G223" s="5" t="s">
        <v>2417</v>
      </c>
      <c r="H223" s="5" t="s">
        <v>2418</v>
      </c>
      <c r="I223" s="5" t="s">
        <v>2419</v>
      </c>
      <c r="J223" s="5" t="s">
        <v>2420</v>
      </c>
      <c r="K223" s="5" t="s">
        <v>2421</v>
      </c>
      <c r="L223" s="5">
        <v>20167633619</v>
      </c>
      <c r="M223" s="5">
        <v>1742118576</v>
      </c>
      <c r="N223" s="5">
        <v>15711121776</v>
      </c>
      <c r="O223" s="5">
        <v>14625307862</v>
      </c>
      <c r="P223" s="5">
        <v>132891018825</v>
      </c>
    </row>
    <row r="224" spans="1:16" x14ac:dyDescent="0.45">
      <c r="A224" s="1" t="s">
        <v>218</v>
      </c>
      <c r="B224" s="2">
        <v>4811348</v>
      </c>
      <c r="C224" s="3" t="s">
        <v>2422</v>
      </c>
      <c r="D224" s="3" t="s">
        <v>2423</v>
      </c>
      <c r="E224" s="3" t="s">
        <v>519</v>
      </c>
      <c r="F224" s="5">
        <v>13673047011</v>
      </c>
      <c r="G224" s="5">
        <v>15409128267</v>
      </c>
      <c r="H224" s="5">
        <v>1343054291</v>
      </c>
      <c r="I224" s="5">
        <v>5695952109</v>
      </c>
      <c r="J224" s="5">
        <v>6067099656</v>
      </c>
      <c r="K224" s="5">
        <v>5173099125</v>
      </c>
      <c r="L224" s="5">
        <v>1584598575</v>
      </c>
      <c r="M224" s="5">
        <v>-80641022</v>
      </c>
      <c r="N224" s="5">
        <v>-448396176</v>
      </c>
      <c r="O224" s="5">
        <v>-1025101749</v>
      </c>
      <c r="P224" s="5">
        <v>-7733839625</v>
      </c>
    </row>
    <row r="225" spans="1:16" x14ac:dyDescent="0.45">
      <c r="A225" s="1" t="s">
        <v>219</v>
      </c>
      <c r="B225" s="2">
        <v>4992234</v>
      </c>
      <c r="C225" s="3" t="s">
        <v>2424</v>
      </c>
      <c r="D225" s="3" t="s">
        <v>2425</v>
      </c>
      <c r="E225" s="3" t="s">
        <v>1766</v>
      </c>
      <c r="F225" s="5" t="s">
        <v>2426</v>
      </c>
      <c r="G225" s="5" t="s">
        <v>2427</v>
      </c>
      <c r="H225" s="5" t="s">
        <v>2428</v>
      </c>
      <c r="I225" s="5" t="s">
        <v>2429</v>
      </c>
      <c r="J225" s="5" t="s">
        <v>2430</v>
      </c>
      <c r="K225" s="5">
        <v>2601285</v>
      </c>
      <c r="L225" s="5">
        <v>2700033</v>
      </c>
      <c r="M225" s="5" t="s">
        <v>2431</v>
      </c>
      <c r="N225" s="5" t="s">
        <v>2432</v>
      </c>
      <c r="O225" s="5" t="s">
        <v>2433</v>
      </c>
      <c r="P225" s="5">
        <v>4813681</v>
      </c>
    </row>
    <row r="226" spans="1:16" x14ac:dyDescent="0.45">
      <c r="A226" s="1" t="s">
        <v>220</v>
      </c>
      <c r="B226" s="2">
        <v>4810794</v>
      </c>
      <c r="C226" s="3" t="s">
        <v>2434</v>
      </c>
      <c r="D226" s="3" t="s">
        <v>2435</v>
      </c>
      <c r="E226" s="3" t="s">
        <v>533</v>
      </c>
      <c r="F226" s="5">
        <v>44011410126</v>
      </c>
      <c r="G226" s="5">
        <v>33300638852</v>
      </c>
      <c r="H226" s="5">
        <v>46952455339</v>
      </c>
      <c r="I226" s="5">
        <v>40891203483</v>
      </c>
      <c r="J226" s="5">
        <v>33149645172</v>
      </c>
      <c r="K226" s="5" t="s">
        <v>2436</v>
      </c>
      <c r="L226" s="5">
        <v>23154395866</v>
      </c>
      <c r="M226" s="5">
        <v>16821395778</v>
      </c>
      <c r="N226" s="5">
        <v>13579878312</v>
      </c>
      <c r="O226" s="5">
        <v>3973610891</v>
      </c>
      <c r="P226" s="5">
        <v>15759096625</v>
      </c>
    </row>
    <row r="227" spans="1:16" x14ac:dyDescent="0.45">
      <c r="A227" s="1" t="s">
        <v>221</v>
      </c>
      <c r="B227" s="2">
        <v>4380458</v>
      </c>
      <c r="C227" s="3" t="s">
        <v>2437</v>
      </c>
      <c r="D227" s="3" t="s">
        <v>2438</v>
      </c>
      <c r="E227" s="3" t="s">
        <v>1766</v>
      </c>
      <c r="F227" s="5" t="s">
        <v>2439</v>
      </c>
      <c r="G227" s="5" t="s">
        <v>2440</v>
      </c>
      <c r="H227" s="5" t="s">
        <v>2441</v>
      </c>
      <c r="I227" s="5" t="s">
        <v>2442</v>
      </c>
      <c r="J227" s="5" t="s">
        <v>2443</v>
      </c>
      <c r="K227" s="5" t="s">
        <v>2444</v>
      </c>
      <c r="L227" s="5" t="s">
        <v>2445</v>
      </c>
      <c r="M227" s="5" t="s">
        <v>2446</v>
      </c>
      <c r="N227" s="5" t="s">
        <v>2447</v>
      </c>
      <c r="O227" s="5" t="s">
        <v>2448</v>
      </c>
      <c r="P227" s="5">
        <v>37339635125</v>
      </c>
    </row>
    <row r="228" spans="1:16" x14ac:dyDescent="0.45">
      <c r="A228" s="1" t="s">
        <v>222</v>
      </c>
      <c r="B228" s="2">
        <v>4811052</v>
      </c>
      <c r="C228" s="3" t="s">
        <v>2449</v>
      </c>
      <c r="D228" s="3" t="s">
        <v>2450</v>
      </c>
      <c r="E228" s="3" t="s">
        <v>519</v>
      </c>
      <c r="F228" s="5" t="s">
        <v>2451</v>
      </c>
      <c r="G228" s="5" t="s">
        <v>2452</v>
      </c>
      <c r="H228" s="5" t="s">
        <v>2453</v>
      </c>
      <c r="I228" s="5" t="s">
        <v>2454</v>
      </c>
      <c r="J228" s="5" t="s">
        <v>2455</v>
      </c>
      <c r="K228" s="5">
        <v>493443</v>
      </c>
      <c r="L228" s="5" t="s">
        <v>2456</v>
      </c>
      <c r="M228" s="5" t="s">
        <v>2457</v>
      </c>
      <c r="N228" s="5">
        <v>1320121248</v>
      </c>
      <c r="O228" s="5">
        <v>59821995</v>
      </c>
      <c r="P228" s="5">
        <v>3135245825</v>
      </c>
    </row>
    <row r="229" spans="1:16" x14ac:dyDescent="0.45">
      <c r="A229" s="1" t="s">
        <v>223</v>
      </c>
      <c r="B229" s="2">
        <v>4025746</v>
      </c>
      <c r="C229" s="3" t="s">
        <v>2458</v>
      </c>
      <c r="D229" s="3" t="s">
        <v>2459</v>
      </c>
      <c r="E229" s="3" t="s">
        <v>559</v>
      </c>
      <c r="F229" s="5">
        <v>107406000</v>
      </c>
      <c r="G229" s="5" t="s">
        <v>2460</v>
      </c>
      <c r="H229" s="5" t="s">
        <v>2461</v>
      </c>
      <c r="I229" s="5" t="s">
        <v>2462</v>
      </c>
      <c r="J229" s="5" t="s">
        <v>2463</v>
      </c>
      <c r="K229" s="5" t="s">
        <v>2464</v>
      </c>
      <c r="L229" s="5" t="s">
        <v>2465</v>
      </c>
      <c r="M229" s="5" t="s">
        <v>2466</v>
      </c>
      <c r="N229" s="5" t="s">
        <v>2467</v>
      </c>
      <c r="O229" s="5" t="s">
        <v>2468</v>
      </c>
      <c r="P229" s="5" t="s">
        <v>2469</v>
      </c>
    </row>
    <row r="230" spans="1:16" x14ac:dyDescent="0.45">
      <c r="A230" s="1" t="s">
        <v>224</v>
      </c>
      <c r="B230" s="2">
        <v>4153870</v>
      </c>
      <c r="C230" s="3" t="s">
        <v>2470</v>
      </c>
      <c r="D230" s="3" t="s">
        <v>2471</v>
      </c>
      <c r="E230" s="3" t="s">
        <v>2472</v>
      </c>
      <c r="F230" s="5" t="s">
        <v>2473</v>
      </c>
      <c r="G230" s="5" t="s">
        <v>2474</v>
      </c>
      <c r="H230" s="5" t="s">
        <v>2475</v>
      </c>
      <c r="I230" s="5" t="s">
        <v>2476</v>
      </c>
      <c r="J230" s="5" t="s">
        <v>2477</v>
      </c>
      <c r="K230" s="5" t="s">
        <v>2478</v>
      </c>
      <c r="L230" s="5">
        <v>7075334</v>
      </c>
      <c r="M230" s="5" t="s">
        <v>2479</v>
      </c>
      <c r="N230" s="5" t="s">
        <v>2480</v>
      </c>
      <c r="O230" s="5">
        <v>5513286</v>
      </c>
      <c r="P230" s="5">
        <v>4920488</v>
      </c>
    </row>
    <row r="231" spans="1:16" x14ac:dyDescent="0.45">
      <c r="A231" s="1" t="s">
        <v>225</v>
      </c>
      <c r="B231" s="2">
        <v>4099823</v>
      </c>
      <c r="C231" s="3" t="s">
        <v>2481</v>
      </c>
      <c r="D231" s="3" t="s">
        <v>2482</v>
      </c>
      <c r="E231" s="3" t="s">
        <v>1232</v>
      </c>
      <c r="F231" s="5" t="s">
        <v>2483</v>
      </c>
      <c r="G231" s="5">
        <v>26774748</v>
      </c>
      <c r="H231" s="5" t="s">
        <v>2484</v>
      </c>
      <c r="I231" s="5" t="s">
        <v>2485</v>
      </c>
      <c r="J231" s="5" t="s">
        <v>2486</v>
      </c>
      <c r="K231" s="5" t="s">
        <v>2487</v>
      </c>
      <c r="L231" s="5" t="s">
        <v>2488</v>
      </c>
      <c r="M231" s="5" t="s">
        <v>2489</v>
      </c>
      <c r="N231" s="5">
        <v>14145108</v>
      </c>
      <c r="O231" s="5">
        <v>14957867</v>
      </c>
      <c r="P231" s="5" t="s">
        <v>2490</v>
      </c>
    </row>
    <row r="232" spans="1:16" x14ac:dyDescent="0.45">
      <c r="A232" s="1" t="s">
        <v>226</v>
      </c>
      <c r="B232" s="2">
        <v>4000193</v>
      </c>
      <c r="C232" s="3" t="s">
        <v>2491</v>
      </c>
      <c r="D232" s="3" t="s">
        <v>2492</v>
      </c>
      <c r="E232" s="3" t="s">
        <v>547</v>
      </c>
      <c r="F232" s="5" t="s">
        <v>2493</v>
      </c>
      <c r="G232" s="5" t="s">
        <v>2494</v>
      </c>
      <c r="H232" s="5" t="s">
        <v>2495</v>
      </c>
      <c r="I232" s="5" t="s">
        <v>2496</v>
      </c>
      <c r="J232" s="5" t="s">
        <v>2497</v>
      </c>
      <c r="K232" s="5">
        <v>16943505</v>
      </c>
      <c r="L232" s="5" t="s">
        <v>2498</v>
      </c>
      <c r="M232" s="5">
        <v>14786662</v>
      </c>
      <c r="N232" s="5">
        <v>14761380</v>
      </c>
      <c r="O232" s="5" t="s">
        <v>2499</v>
      </c>
      <c r="P232" s="5">
        <v>13280898</v>
      </c>
    </row>
    <row r="233" spans="1:16" x14ac:dyDescent="0.45">
      <c r="A233" s="1" t="s">
        <v>227</v>
      </c>
      <c r="B233" s="2">
        <v>4985791</v>
      </c>
      <c r="C233" s="3" t="s">
        <v>2500</v>
      </c>
      <c r="D233" s="3" t="s">
        <v>2501</v>
      </c>
      <c r="E233" s="3" t="s">
        <v>609</v>
      </c>
      <c r="F233" s="5" t="s">
        <v>2502</v>
      </c>
      <c r="G233" s="5" t="s">
        <v>2503</v>
      </c>
      <c r="H233" s="5" t="s">
        <v>2504</v>
      </c>
      <c r="I233" s="5" t="s">
        <v>2505</v>
      </c>
      <c r="J233" s="5" t="s">
        <v>2506</v>
      </c>
      <c r="K233" s="5">
        <v>5248350</v>
      </c>
      <c r="L233" s="5">
        <v>56394074401</v>
      </c>
      <c r="M233" s="5">
        <v>5349732212</v>
      </c>
      <c r="N233" s="5">
        <v>14068440432</v>
      </c>
      <c r="O233" s="5">
        <v>15451732382</v>
      </c>
      <c r="P233" s="5">
        <v>146858612175</v>
      </c>
    </row>
    <row r="234" spans="1:16" x14ac:dyDescent="0.45">
      <c r="A234" s="1" t="s">
        <v>228</v>
      </c>
      <c r="B234" s="2">
        <v>4060689</v>
      </c>
      <c r="C234" s="3" t="s">
        <v>2507</v>
      </c>
      <c r="D234" s="3" t="s">
        <v>2508</v>
      </c>
      <c r="E234" s="3" t="s">
        <v>677</v>
      </c>
      <c r="F234" s="5" t="s">
        <v>2509</v>
      </c>
      <c r="G234" s="5" t="s">
        <v>2510</v>
      </c>
      <c r="H234" s="5" t="s">
        <v>2511</v>
      </c>
      <c r="I234" s="5" t="s">
        <v>2512</v>
      </c>
      <c r="J234" s="5" t="s">
        <v>2513</v>
      </c>
      <c r="K234" s="5">
        <v>6432090</v>
      </c>
      <c r="L234" s="5" t="s">
        <v>2514</v>
      </c>
      <c r="M234" s="5" t="s">
        <v>2515</v>
      </c>
      <c r="N234" s="5" t="s">
        <v>2516</v>
      </c>
      <c r="O234" s="5" t="s">
        <v>2517</v>
      </c>
      <c r="P234" s="5" t="s">
        <v>2518</v>
      </c>
    </row>
    <row r="235" spans="1:16" x14ac:dyDescent="0.45">
      <c r="A235" s="1" t="s">
        <v>229</v>
      </c>
      <c r="B235" s="2">
        <v>4048157</v>
      </c>
      <c r="C235" s="3" t="s">
        <v>2519</v>
      </c>
      <c r="D235" s="3" t="s">
        <v>2520</v>
      </c>
      <c r="E235" s="3" t="s">
        <v>2093</v>
      </c>
      <c r="F235" s="5">
        <v>17230482</v>
      </c>
      <c r="G235" s="5">
        <v>17034864</v>
      </c>
      <c r="H235" s="5" t="s">
        <v>2521</v>
      </c>
      <c r="I235" s="5" t="s">
        <v>2522</v>
      </c>
      <c r="J235" s="5">
        <v>8319567</v>
      </c>
      <c r="K235" s="5" t="s">
        <v>2523</v>
      </c>
      <c r="L235" s="5" t="s">
        <v>2524</v>
      </c>
      <c r="M235" s="5">
        <v>2406272</v>
      </c>
      <c r="N235" s="5">
        <v>1148869</v>
      </c>
      <c r="O235" s="5" t="s">
        <v>2525</v>
      </c>
      <c r="P235" s="5" t="s">
        <v>2526</v>
      </c>
    </row>
    <row r="236" spans="1:16" x14ac:dyDescent="0.45">
      <c r="A236" s="1" t="s">
        <v>230</v>
      </c>
      <c r="B236" s="2">
        <v>4410647</v>
      </c>
      <c r="C236" s="3" t="s">
        <v>2527</v>
      </c>
      <c r="D236" s="3" t="s">
        <v>2528</v>
      </c>
      <c r="E236" s="3" t="s">
        <v>519</v>
      </c>
      <c r="F236" s="5" t="s">
        <v>2529</v>
      </c>
      <c r="G236" s="5" t="s">
        <v>2530</v>
      </c>
      <c r="H236" s="5" t="s">
        <v>2531</v>
      </c>
      <c r="I236" s="5" t="s">
        <v>2532</v>
      </c>
      <c r="J236" s="5" t="s">
        <v>2533</v>
      </c>
      <c r="K236" s="5" t="s">
        <v>2534</v>
      </c>
      <c r="L236" s="5" t="s">
        <v>2535</v>
      </c>
      <c r="M236" s="5" t="s">
        <v>2536</v>
      </c>
      <c r="N236" s="5" t="s">
        <v>2537</v>
      </c>
      <c r="O236" s="5" t="s">
        <v>2538</v>
      </c>
      <c r="P236" s="5">
        <v>3977179625</v>
      </c>
    </row>
    <row r="237" spans="1:16" x14ac:dyDescent="0.45">
      <c r="A237" s="1" t="s">
        <v>231</v>
      </c>
      <c r="B237" s="2">
        <v>103661</v>
      </c>
      <c r="C237" s="3" t="s">
        <v>2539</v>
      </c>
      <c r="D237" s="3" t="s">
        <v>2540</v>
      </c>
      <c r="E237" s="3" t="s">
        <v>761</v>
      </c>
      <c r="F237" s="5" t="s">
        <v>2541</v>
      </c>
      <c r="G237" s="5" t="s">
        <v>2542</v>
      </c>
      <c r="H237" s="5" t="s">
        <v>2543</v>
      </c>
      <c r="I237" s="5" t="s">
        <v>2544</v>
      </c>
      <c r="J237" s="5" t="s">
        <v>2545</v>
      </c>
      <c r="K237" s="5" t="s">
        <v>2546</v>
      </c>
      <c r="L237" s="5" t="s">
        <v>2547</v>
      </c>
      <c r="M237" s="5" t="s">
        <v>2548</v>
      </c>
      <c r="N237" s="5" t="s">
        <v>2549</v>
      </c>
      <c r="O237" s="5" t="s">
        <v>2550</v>
      </c>
      <c r="P237" s="5" t="s">
        <v>2551</v>
      </c>
    </row>
    <row r="238" spans="1:16" x14ac:dyDescent="0.45">
      <c r="A238" s="1" t="s">
        <v>232</v>
      </c>
      <c r="B238" s="2">
        <v>4426247</v>
      </c>
      <c r="C238" s="3" t="s">
        <v>2552</v>
      </c>
      <c r="D238" s="3" t="s">
        <v>2553</v>
      </c>
      <c r="E238" s="3" t="s">
        <v>2554</v>
      </c>
      <c r="F238" s="5">
        <v>81489736164</v>
      </c>
      <c r="G238" s="5">
        <v>94585844431</v>
      </c>
      <c r="H238" s="5">
        <v>92192865445</v>
      </c>
      <c r="I238" s="5">
        <v>96598215267</v>
      </c>
      <c r="J238" s="5">
        <v>86512603572</v>
      </c>
      <c r="K238" s="5">
        <v>69945896775</v>
      </c>
      <c r="L238" s="5">
        <v>73659021058</v>
      </c>
      <c r="M238" s="5">
        <v>73096470524</v>
      </c>
      <c r="N238" s="5" t="s">
        <v>2555</v>
      </c>
      <c r="O238" s="5">
        <v>18542668079</v>
      </c>
      <c r="P238" s="5">
        <v>173748379325</v>
      </c>
    </row>
    <row r="239" spans="1:16" x14ac:dyDescent="0.45">
      <c r="A239" s="1" t="s">
        <v>233</v>
      </c>
      <c r="B239" s="2">
        <v>4326091</v>
      </c>
      <c r="C239" s="3" t="s">
        <v>2556</v>
      </c>
      <c r="D239" s="3" t="s">
        <v>2557</v>
      </c>
      <c r="E239" s="3" t="s">
        <v>581</v>
      </c>
      <c r="F239" s="5">
        <v>5646771</v>
      </c>
      <c r="G239" s="5" t="s">
        <v>2558</v>
      </c>
      <c r="H239" s="5" t="s">
        <v>2559</v>
      </c>
      <c r="I239" s="5" t="s">
        <v>2560</v>
      </c>
      <c r="J239" s="5" t="s">
        <v>2561</v>
      </c>
      <c r="K239" s="5">
        <v>5133900</v>
      </c>
      <c r="L239" s="5" t="s">
        <v>2562</v>
      </c>
      <c r="M239" s="5" t="s">
        <v>2563</v>
      </c>
      <c r="N239" s="5" t="s">
        <v>2564</v>
      </c>
      <c r="O239" s="5">
        <v>8393078</v>
      </c>
      <c r="P239" s="5">
        <v>-309372</v>
      </c>
    </row>
    <row r="240" spans="1:16" x14ac:dyDescent="0.45">
      <c r="A240" s="1" t="s">
        <v>234</v>
      </c>
      <c r="B240" s="2">
        <v>4094831</v>
      </c>
      <c r="C240" s="3" t="s">
        <v>2565</v>
      </c>
      <c r="D240" s="3" t="s">
        <v>2566</v>
      </c>
      <c r="E240" s="3" t="s">
        <v>2567</v>
      </c>
      <c r="F240" s="5">
        <v>-5492681436</v>
      </c>
      <c r="G240" s="5">
        <v>-2187792477</v>
      </c>
      <c r="H240" s="5">
        <v>352579684</v>
      </c>
      <c r="I240" s="5">
        <v>6848884221</v>
      </c>
      <c r="J240" s="5">
        <v>8172908847</v>
      </c>
      <c r="K240" s="5">
        <v>978166545</v>
      </c>
      <c r="L240" s="5">
        <v>13650841099</v>
      </c>
      <c r="M240" s="5">
        <v>1688277833</v>
      </c>
      <c r="N240" s="5">
        <v>1990608528</v>
      </c>
      <c r="O240" s="5">
        <v>18864229064</v>
      </c>
      <c r="P240" s="5">
        <v>48671489525</v>
      </c>
    </row>
    <row r="241" spans="1:16" x14ac:dyDescent="0.45">
      <c r="A241" s="1" t="s">
        <v>235</v>
      </c>
      <c r="B241" s="2">
        <v>4994170</v>
      </c>
      <c r="C241" s="3" t="s">
        <v>2568</v>
      </c>
      <c r="D241" s="3" t="s">
        <v>2569</v>
      </c>
      <c r="E241" s="3" t="s">
        <v>2570</v>
      </c>
      <c r="F241" s="5">
        <v>30363828945</v>
      </c>
      <c r="G241" s="5">
        <v>38776103795</v>
      </c>
      <c r="H241" s="5">
        <v>37126698626</v>
      </c>
      <c r="I241" s="5">
        <v>34309948176</v>
      </c>
      <c r="J241" s="5">
        <v>27414956088</v>
      </c>
      <c r="K241" s="5">
        <v>2125612815</v>
      </c>
      <c r="L241" s="5">
        <v>20201495419</v>
      </c>
      <c r="M241" s="5">
        <v>18353487856</v>
      </c>
      <c r="N241" s="5" t="s">
        <v>2571</v>
      </c>
      <c r="O241" s="5">
        <v>13395399853</v>
      </c>
      <c r="P241" s="5">
        <v>1197299104</v>
      </c>
    </row>
    <row r="242" spans="1:16" x14ac:dyDescent="0.45">
      <c r="A242" s="1" t="s">
        <v>236</v>
      </c>
      <c r="B242" s="2">
        <v>4069059</v>
      </c>
      <c r="C242" s="3" t="s">
        <v>2572</v>
      </c>
      <c r="D242" s="3" t="s">
        <v>2573</v>
      </c>
      <c r="E242" s="3" t="s">
        <v>2574</v>
      </c>
      <c r="F242" s="5" t="s">
        <v>2575</v>
      </c>
      <c r="G242" s="5" t="s">
        <v>2576</v>
      </c>
      <c r="H242" s="5">
        <v>2643374</v>
      </c>
      <c r="I242" s="5" t="s">
        <v>2577</v>
      </c>
      <c r="J242" s="5" t="s">
        <v>2578</v>
      </c>
      <c r="K242" s="5" t="s">
        <v>2579</v>
      </c>
      <c r="L242" s="5">
        <v>17281691736</v>
      </c>
      <c r="M242" s="5" t="s">
        <v>2580</v>
      </c>
      <c r="N242" s="5">
        <v>19943824824</v>
      </c>
      <c r="O242" s="5">
        <v>220449768385</v>
      </c>
      <c r="P242" s="5">
        <v>208458107025</v>
      </c>
    </row>
    <row r="243" spans="1:16" x14ac:dyDescent="0.45">
      <c r="A243" s="1" t="s">
        <v>237</v>
      </c>
      <c r="B243" s="2">
        <v>3008229</v>
      </c>
      <c r="C243" s="3" t="s">
        <v>2581</v>
      </c>
      <c r="D243" s="3" t="s">
        <v>2582</v>
      </c>
      <c r="E243" s="3" t="s">
        <v>711</v>
      </c>
      <c r="F243" s="5">
        <v>1814403448</v>
      </c>
      <c r="G243" s="5">
        <v>17194783212</v>
      </c>
      <c r="H243" s="5" t="s">
        <v>2583</v>
      </c>
      <c r="I243" s="5">
        <v>13216605618</v>
      </c>
      <c r="J243" s="5">
        <v>11126908728</v>
      </c>
      <c r="K243" s="5">
        <v>13770527568</v>
      </c>
      <c r="L243" s="5">
        <v>12558166244</v>
      </c>
      <c r="M243" s="5">
        <v>11338095924</v>
      </c>
      <c r="N243" s="5">
        <v>9045927015</v>
      </c>
      <c r="O243" s="5">
        <v>8970372945</v>
      </c>
      <c r="P243" s="5">
        <v>8901496485</v>
      </c>
    </row>
    <row r="244" spans="1:16" x14ac:dyDescent="0.45">
      <c r="A244" s="1" t="s">
        <v>238</v>
      </c>
      <c r="B244" s="2">
        <v>4004212</v>
      </c>
      <c r="C244" s="3" t="s">
        <v>2584</v>
      </c>
      <c r="D244" s="3" t="s">
        <v>2585</v>
      </c>
      <c r="E244" s="3" t="s">
        <v>1921</v>
      </c>
      <c r="F244" s="5">
        <v>39908754648</v>
      </c>
      <c r="G244" s="5">
        <v>48255703145</v>
      </c>
      <c r="H244" s="5">
        <v>68337960328</v>
      </c>
      <c r="I244" s="5">
        <v>68703048972</v>
      </c>
      <c r="J244" s="5">
        <v>57212453934</v>
      </c>
      <c r="K244" s="5">
        <v>49989829179</v>
      </c>
      <c r="L244" s="5">
        <v>52690922172</v>
      </c>
      <c r="M244" s="5">
        <v>51163054878</v>
      </c>
      <c r="N244" s="5">
        <v>37967476811</v>
      </c>
      <c r="O244" s="5">
        <v>38523464163</v>
      </c>
      <c r="P244" s="5">
        <v>38643960689</v>
      </c>
    </row>
    <row r="245" spans="1:16" x14ac:dyDescent="0.45">
      <c r="A245" s="1" t="s">
        <v>239</v>
      </c>
      <c r="B245" s="2">
        <v>4044333</v>
      </c>
      <c r="C245" s="3" t="s">
        <v>2586</v>
      </c>
      <c r="D245" s="3" t="s">
        <v>2587</v>
      </c>
      <c r="E245" s="3" t="s">
        <v>1103</v>
      </c>
      <c r="F245" s="5">
        <v>69312400</v>
      </c>
      <c r="G245" s="5">
        <v>68551761</v>
      </c>
      <c r="H245" s="5" t="s">
        <v>2588</v>
      </c>
      <c r="I245" s="5" t="s">
        <v>2589</v>
      </c>
      <c r="J245" s="5" t="s">
        <v>2590</v>
      </c>
      <c r="K245" s="5" t="s">
        <v>2591</v>
      </c>
      <c r="L245" s="5" t="s">
        <v>2592</v>
      </c>
      <c r="M245" s="5" t="s">
        <v>2593</v>
      </c>
      <c r="N245" s="5">
        <v>50101248</v>
      </c>
      <c r="O245" s="5" t="s">
        <v>2594</v>
      </c>
      <c r="P245" s="5" t="s">
        <v>2595</v>
      </c>
    </row>
    <row r="246" spans="1:16" x14ac:dyDescent="0.45">
      <c r="A246" s="1" t="s">
        <v>240</v>
      </c>
      <c r="B246" s="2">
        <v>5234450</v>
      </c>
      <c r="C246" s="3" t="s">
        <v>2596</v>
      </c>
      <c r="D246" s="3" t="s">
        <v>2597</v>
      </c>
      <c r="E246" s="3" t="s">
        <v>506</v>
      </c>
      <c r="F246" s="5" t="s">
        <v>2598</v>
      </c>
      <c r="G246" s="5" t="s">
        <v>2599</v>
      </c>
      <c r="H246" s="5" t="s">
        <v>2600</v>
      </c>
      <c r="I246" s="5" t="s">
        <v>2601</v>
      </c>
      <c r="J246" s="5" t="s">
        <v>2602</v>
      </c>
      <c r="K246" s="5" t="s">
        <v>2603</v>
      </c>
      <c r="L246" s="5" t="s">
        <v>2604</v>
      </c>
      <c r="M246" s="5" t="s">
        <v>2605</v>
      </c>
      <c r="N246" s="5" t="s">
        <v>2606</v>
      </c>
      <c r="O246" s="5" t="s">
        <v>2607</v>
      </c>
      <c r="P246" s="5" t="s">
        <v>2608</v>
      </c>
    </row>
    <row r="247" spans="1:16" x14ac:dyDescent="0.45">
      <c r="A247" s="1" t="s">
        <v>241</v>
      </c>
      <c r="B247" s="2">
        <v>100201</v>
      </c>
      <c r="C247" s="3" t="s">
        <v>2609</v>
      </c>
      <c r="D247" s="3" t="s">
        <v>2610</v>
      </c>
      <c r="E247" s="3" t="s">
        <v>1005</v>
      </c>
      <c r="F247" s="5" t="s">
        <v>2611</v>
      </c>
      <c r="G247" s="5" t="s">
        <v>2612</v>
      </c>
      <c r="H247" s="5" t="s">
        <v>2613</v>
      </c>
      <c r="I247" s="5" t="s">
        <v>2614</v>
      </c>
      <c r="J247" s="5" t="s">
        <v>2615</v>
      </c>
      <c r="K247" s="5">
        <v>228371895</v>
      </c>
      <c r="L247" s="5">
        <v>232871163</v>
      </c>
      <c r="M247" s="5">
        <v>224040201</v>
      </c>
      <c r="N247" s="5" t="s">
        <v>2616</v>
      </c>
      <c r="O247" s="5">
        <v>240794187</v>
      </c>
      <c r="P247" s="5" t="s">
        <v>2617</v>
      </c>
    </row>
    <row r="248" spans="1:16" x14ac:dyDescent="0.45">
      <c r="A248" s="1" t="s">
        <v>242</v>
      </c>
      <c r="B248" s="2">
        <v>4547508</v>
      </c>
      <c r="C248" s="3" t="s">
        <v>2618</v>
      </c>
      <c r="D248" s="3" t="s">
        <v>2619</v>
      </c>
      <c r="E248" s="3" t="s">
        <v>2620</v>
      </c>
      <c r="F248" s="5" t="s">
        <v>2621</v>
      </c>
      <c r="G248" s="5" t="s">
        <v>2622</v>
      </c>
      <c r="H248" s="5" t="s">
        <v>2623</v>
      </c>
      <c r="I248" s="5" t="s">
        <v>2624</v>
      </c>
      <c r="J248" s="5" t="s">
        <v>2625</v>
      </c>
      <c r="K248" s="5">
        <v>19481025</v>
      </c>
      <c r="L248" s="5" t="s">
        <v>2626</v>
      </c>
      <c r="M248" s="5" t="s">
        <v>2627</v>
      </c>
      <c r="N248" s="5" t="s">
        <v>2628</v>
      </c>
      <c r="O248" s="5">
        <v>58587428661</v>
      </c>
      <c r="P248" s="5">
        <v>24220307644</v>
      </c>
    </row>
    <row r="249" spans="1:16" x14ac:dyDescent="0.45">
      <c r="A249" s="1" t="s">
        <v>243</v>
      </c>
      <c r="B249" s="2">
        <v>100334</v>
      </c>
      <c r="C249" s="3" t="s">
        <v>2629</v>
      </c>
      <c r="D249" s="3" t="s">
        <v>2630</v>
      </c>
      <c r="E249" s="3" t="s">
        <v>1005</v>
      </c>
      <c r="F249" s="5" t="s">
        <v>2631</v>
      </c>
      <c r="G249" s="5" t="s">
        <v>2632</v>
      </c>
      <c r="H249" s="5" t="s">
        <v>2633</v>
      </c>
      <c r="I249" s="5" t="s">
        <v>2634</v>
      </c>
      <c r="J249" s="5" t="s">
        <v>2635</v>
      </c>
      <c r="K249" s="5" t="s">
        <v>2636</v>
      </c>
      <c r="L249" s="5" t="s">
        <v>2637</v>
      </c>
      <c r="M249" s="5" t="s">
        <v>2638</v>
      </c>
      <c r="N249" s="5">
        <v>12512820</v>
      </c>
      <c r="O249" s="5">
        <v>14436852</v>
      </c>
      <c r="P249" s="5" t="s">
        <v>2639</v>
      </c>
    </row>
    <row r="250" spans="1:16" x14ac:dyDescent="0.45">
      <c r="A250" s="1" t="s">
        <v>244</v>
      </c>
      <c r="B250" s="2">
        <v>4972803</v>
      </c>
      <c r="C250" s="3" t="s">
        <v>2640</v>
      </c>
      <c r="D250" s="3" t="s">
        <v>2641</v>
      </c>
      <c r="E250" s="3" t="s">
        <v>2642</v>
      </c>
      <c r="F250" s="5">
        <v>5098827</v>
      </c>
      <c r="G250" s="5">
        <v>4701705</v>
      </c>
      <c r="H250" s="5">
        <v>4405011</v>
      </c>
      <c r="I250" s="5" t="s">
        <v>2643</v>
      </c>
      <c r="J250" s="5" t="s">
        <v>2644</v>
      </c>
      <c r="K250" s="5" t="s">
        <v>2645</v>
      </c>
      <c r="L250" s="5" t="s">
        <v>2646</v>
      </c>
      <c r="M250" s="5" t="s">
        <v>2647</v>
      </c>
      <c r="N250" s="5">
        <v>1984290</v>
      </c>
      <c r="O250" s="5" t="s">
        <v>2648</v>
      </c>
      <c r="P250" s="5" t="s">
        <v>2649</v>
      </c>
    </row>
    <row r="251" spans="1:16" x14ac:dyDescent="0.45">
      <c r="A251" s="1" t="s">
        <v>245</v>
      </c>
      <c r="B251" s="2">
        <v>4060881</v>
      </c>
      <c r="C251" s="3" t="s">
        <v>2650</v>
      </c>
      <c r="D251" s="3" t="s">
        <v>2651</v>
      </c>
      <c r="E251" s="3" t="s">
        <v>1348</v>
      </c>
      <c r="F251" s="5">
        <v>1388271</v>
      </c>
      <c r="G251" s="5" t="s">
        <v>2652</v>
      </c>
      <c r="H251" s="5" t="s">
        <v>2653</v>
      </c>
      <c r="I251" s="5">
        <v>654990</v>
      </c>
      <c r="J251" s="5" t="s">
        <v>2654</v>
      </c>
      <c r="K251" s="5" t="s">
        <v>2655</v>
      </c>
      <c r="L251" s="5" t="s">
        <v>2656</v>
      </c>
      <c r="M251" s="5" t="s">
        <v>2657</v>
      </c>
      <c r="N251" s="5" t="s">
        <v>2658</v>
      </c>
      <c r="O251" s="5" t="s">
        <v>2659</v>
      </c>
      <c r="P251" s="5">
        <v>36830</v>
      </c>
    </row>
    <row r="252" spans="1:16" x14ac:dyDescent="0.45">
      <c r="A252" s="1" t="s">
        <v>246</v>
      </c>
      <c r="B252" s="2">
        <v>102965</v>
      </c>
      <c r="C252" s="3" t="s">
        <v>2660</v>
      </c>
      <c r="D252" s="3" t="s">
        <v>2661</v>
      </c>
      <c r="E252" s="3" t="s">
        <v>2043</v>
      </c>
      <c r="F252" s="5">
        <v>90006616926</v>
      </c>
      <c r="G252" s="5">
        <v>104759475951</v>
      </c>
      <c r="H252" s="5">
        <v>87988724545</v>
      </c>
      <c r="I252" s="5">
        <v>91135701594</v>
      </c>
      <c r="J252" s="5">
        <v>89017359966</v>
      </c>
      <c r="K252" s="5">
        <v>4648336065</v>
      </c>
      <c r="L252" s="5">
        <v>4408138035</v>
      </c>
      <c r="M252" s="5">
        <v>4746697549</v>
      </c>
      <c r="N252" s="5">
        <v>4612287912</v>
      </c>
      <c r="O252" s="5">
        <v>52005131171</v>
      </c>
      <c r="P252" s="5">
        <v>4851118695</v>
      </c>
    </row>
    <row r="253" spans="1:16" x14ac:dyDescent="0.45">
      <c r="A253" s="1" t="s">
        <v>247</v>
      </c>
      <c r="B253" s="2">
        <v>4275772</v>
      </c>
      <c r="C253" s="3" t="s">
        <v>2662</v>
      </c>
      <c r="D253" s="3" t="s">
        <v>2663</v>
      </c>
      <c r="E253" s="3" t="s">
        <v>2664</v>
      </c>
      <c r="F253" s="5" t="s">
        <v>2665</v>
      </c>
      <c r="G253" s="5" t="s">
        <v>2666</v>
      </c>
      <c r="H253" s="5" t="s">
        <v>2667</v>
      </c>
      <c r="I253" s="5" t="s">
        <v>2668</v>
      </c>
      <c r="J253" s="5" t="s">
        <v>2669</v>
      </c>
      <c r="K253" s="5">
        <v>26622705</v>
      </c>
      <c r="L253" s="5" t="s">
        <v>2670</v>
      </c>
      <c r="M253" s="5" t="s">
        <v>2671</v>
      </c>
      <c r="N253" s="5" t="s">
        <v>2672</v>
      </c>
      <c r="O253" s="5" t="s">
        <v>2673</v>
      </c>
      <c r="P253" s="5" t="s">
        <v>2674</v>
      </c>
    </row>
    <row r="254" spans="1:16" x14ac:dyDescent="0.45">
      <c r="A254" s="1" t="s">
        <v>248</v>
      </c>
      <c r="B254" s="2">
        <v>4165107</v>
      </c>
      <c r="C254" s="3" t="s">
        <v>2675</v>
      </c>
      <c r="D254" s="3" t="s">
        <v>2676</v>
      </c>
      <c r="E254" s="3" t="s">
        <v>761</v>
      </c>
      <c r="F254" s="5">
        <v>695258985987</v>
      </c>
      <c r="G254" s="5">
        <v>598710140028</v>
      </c>
      <c r="H254" s="5">
        <v>528154016864</v>
      </c>
      <c r="I254" s="5">
        <v>51810354633</v>
      </c>
      <c r="J254" s="5">
        <v>51121816146</v>
      </c>
      <c r="K254" s="5" t="s">
        <v>2677</v>
      </c>
      <c r="L254" s="5">
        <v>271806654714</v>
      </c>
      <c r="M254" s="5">
        <v>221691707006</v>
      </c>
      <c r="N254" s="5" t="s">
        <v>2678</v>
      </c>
      <c r="O254" s="5">
        <v>162159600259</v>
      </c>
      <c r="P254" s="5">
        <v>4554727888875</v>
      </c>
    </row>
    <row r="255" spans="1:16" x14ac:dyDescent="0.45">
      <c r="A255" s="1" t="s">
        <v>249</v>
      </c>
      <c r="B255" s="2">
        <v>4069171</v>
      </c>
      <c r="C255" s="3" t="s">
        <v>2679</v>
      </c>
      <c r="D255" s="3" t="s">
        <v>2680</v>
      </c>
      <c r="E255" s="3" t="s">
        <v>847</v>
      </c>
      <c r="F255" s="5">
        <v>39956237295</v>
      </c>
      <c r="G255" s="5">
        <v>31436605224</v>
      </c>
      <c r="H255" s="5">
        <v>2674493748</v>
      </c>
      <c r="I255" s="5">
        <v>1338369494</v>
      </c>
      <c r="J255" s="5">
        <v>28470164628</v>
      </c>
      <c r="K255" s="5">
        <v>2382345486</v>
      </c>
      <c r="L255" s="5">
        <v>23531566084</v>
      </c>
      <c r="M255" s="5">
        <v>13889399781</v>
      </c>
      <c r="N255" s="5">
        <v>11626045005</v>
      </c>
      <c r="O255" s="5">
        <v>6205127013</v>
      </c>
      <c r="P255" s="5">
        <v>37834686225</v>
      </c>
    </row>
    <row r="256" spans="1:16" x14ac:dyDescent="0.45">
      <c r="A256" s="1" t="s">
        <v>250</v>
      </c>
      <c r="B256" s="2">
        <v>4104164</v>
      </c>
      <c r="C256" s="3" t="s">
        <v>2681</v>
      </c>
      <c r="D256" s="3" t="s">
        <v>2682</v>
      </c>
      <c r="E256" s="3" t="s">
        <v>978</v>
      </c>
      <c r="F256" s="5">
        <v>16717239</v>
      </c>
      <c r="G256" s="5" t="s">
        <v>2683</v>
      </c>
      <c r="H256" s="5" t="s">
        <v>2684</v>
      </c>
      <c r="I256" s="5" t="s">
        <v>2685</v>
      </c>
      <c r="J256" s="5" t="s">
        <v>2686</v>
      </c>
      <c r="K256" s="5" t="s">
        <v>2687</v>
      </c>
      <c r="L256" s="5">
        <v>20355880</v>
      </c>
      <c r="M256" s="5" t="s">
        <v>2688</v>
      </c>
      <c r="N256" s="5">
        <v>2566392</v>
      </c>
      <c r="O256" s="5" t="s">
        <v>2689</v>
      </c>
      <c r="P256" s="5" t="s">
        <v>2690</v>
      </c>
    </row>
    <row r="257" spans="1:16" x14ac:dyDescent="0.45">
      <c r="A257" s="1" t="s">
        <v>251</v>
      </c>
      <c r="B257" s="2">
        <v>4069312</v>
      </c>
      <c r="C257" s="3" t="s">
        <v>2691</v>
      </c>
      <c r="D257" s="3" t="s">
        <v>2692</v>
      </c>
      <c r="E257" s="3" t="s">
        <v>1615</v>
      </c>
      <c r="F257" s="5" t="s">
        <v>2693</v>
      </c>
      <c r="G257" s="5" t="s">
        <v>2694</v>
      </c>
      <c r="H257" s="5" t="s">
        <v>2695</v>
      </c>
      <c r="I257" s="5" t="s">
        <v>2696</v>
      </c>
      <c r="J257" s="5" t="s">
        <v>2697</v>
      </c>
      <c r="K257" s="5" t="s">
        <v>2698</v>
      </c>
      <c r="L257" s="5" t="s">
        <v>2699</v>
      </c>
      <c r="M257" s="5" t="s">
        <v>2700</v>
      </c>
      <c r="N257" s="5" t="s">
        <v>2701</v>
      </c>
      <c r="O257" s="5" t="s">
        <v>2702</v>
      </c>
      <c r="P257" s="5">
        <v>4566920</v>
      </c>
    </row>
    <row r="258" spans="1:16" x14ac:dyDescent="0.45">
      <c r="A258" s="1" t="s">
        <v>252</v>
      </c>
      <c r="B258" s="2">
        <v>4069378</v>
      </c>
      <c r="C258" s="3" t="s">
        <v>2703</v>
      </c>
      <c r="D258" s="3" t="s">
        <v>2704</v>
      </c>
      <c r="E258" s="3" t="s">
        <v>847</v>
      </c>
      <c r="F258" s="5">
        <v>84168918165</v>
      </c>
      <c r="G258" s="5">
        <v>79698724182</v>
      </c>
      <c r="H258" s="5">
        <v>75443270508</v>
      </c>
      <c r="I258" s="5">
        <v>5951890968</v>
      </c>
      <c r="J258" s="5">
        <v>50465645124</v>
      </c>
      <c r="K258" s="5">
        <v>46143818974</v>
      </c>
      <c r="L258" s="5">
        <v>4107392562</v>
      </c>
      <c r="M258" s="5">
        <v>55883409345</v>
      </c>
      <c r="N258" s="5">
        <v>60873019979</v>
      </c>
      <c r="O258" s="5">
        <v>530123386395</v>
      </c>
      <c r="P258" s="5">
        <v>45747134388</v>
      </c>
    </row>
    <row r="259" spans="1:16" x14ac:dyDescent="0.45">
      <c r="A259" s="1" t="s">
        <v>253</v>
      </c>
      <c r="B259" s="2">
        <v>4107929</v>
      </c>
      <c r="C259" s="3" t="s">
        <v>2705</v>
      </c>
      <c r="D259" s="3" t="s">
        <v>2706</v>
      </c>
      <c r="E259" s="3" t="s">
        <v>2707</v>
      </c>
      <c r="F259" s="5" t="s">
        <v>2708</v>
      </c>
      <c r="G259" s="5">
        <v>3052244</v>
      </c>
      <c r="H259" s="5" t="s">
        <v>2709</v>
      </c>
      <c r="I259" s="5" t="s">
        <v>2710</v>
      </c>
      <c r="J259" s="5" t="s">
        <v>2711</v>
      </c>
      <c r="K259" s="5">
        <v>2892315</v>
      </c>
      <c r="L259" s="5" t="s">
        <v>2712</v>
      </c>
      <c r="M259" s="5">
        <v>5891083</v>
      </c>
      <c r="N259" s="5" t="s">
        <v>2713</v>
      </c>
      <c r="O259" s="5" t="s">
        <v>2714</v>
      </c>
      <c r="P259" s="5" t="s">
        <v>2715</v>
      </c>
    </row>
    <row r="260" spans="1:16" x14ac:dyDescent="0.45">
      <c r="A260" s="1" t="s">
        <v>254</v>
      </c>
      <c r="B260" s="2">
        <v>4276840</v>
      </c>
      <c r="C260" s="3" t="s">
        <v>2716</v>
      </c>
      <c r="D260" s="3" t="s">
        <v>2717</v>
      </c>
      <c r="E260" s="3" t="s">
        <v>1921</v>
      </c>
      <c r="F260" s="5" t="s">
        <v>2718</v>
      </c>
      <c r="G260" s="5">
        <v>4333336</v>
      </c>
      <c r="H260" s="5" t="s">
        <v>2719</v>
      </c>
      <c r="I260" s="5" t="s">
        <v>2720</v>
      </c>
      <c r="J260" s="5" t="s">
        <v>2721</v>
      </c>
      <c r="K260" s="5" t="s">
        <v>2722</v>
      </c>
      <c r="L260" s="5">
        <v>3058215</v>
      </c>
      <c r="M260" s="5" t="s">
        <v>2723</v>
      </c>
      <c r="N260" s="5" t="s">
        <v>2724</v>
      </c>
      <c r="O260" s="5" t="s">
        <v>2725</v>
      </c>
      <c r="P260" s="5" t="s">
        <v>2726</v>
      </c>
    </row>
    <row r="261" spans="1:16" x14ac:dyDescent="0.45">
      <c r="A261" s="1" t="s">
        <v>255</v>
      </c>
      <c r="B261" s="2">
        <v>4054537</v>
      </c>
      <c r="C261" s="3" t="s">
        <v>2727</v>
      </c>
      <c r="D261" s="3" t="s">
        <v>2728</v>
      </c>
      <c r="E261" s="3" t="s">
        <v>1626</v>
      </c>
      <c r="F261" s="5">
        <v>190940612016</v>
      </c>
      <c r="G261" s="5">
        <v>26558517055</v>
      </c>
      <c r="H261" s="5">
        <v>244830326254</v>
      </c>
      <c r="I261" s="5">
        <v>235058838799</v>
      </c>
      <c r="J261" s="5">
        <v>186279013904</v>
      </c>
      <c r="K261" s="5">
        <v>151437688167</v>
      </c>
      <c r="L261" s="5">
        <v>14552304108</v>
      </c>
      <c r="M261" s="5">
        <v>129679876224</v>
      </c>
      <c r="N261" s="5">
        <v>67059550404</v>
      </c>
      <c r="O261" s="5">
        <v>6822142382</v>
      </c>
      <c r="P261" s="5">
        <v>56320406516</v>
      </c>
    </row>
    <row r="262" spans="1:16" x14ac:dyDescent="0.45">
      <c r="A262" s="1" t="s">
        <v>256</v>
      </c>
      <c r="B262" s="2">
        <v>4021939</v>
      </c>
      <c r="C262" s="3" t="s">
        <v>2729</v>
      </c>
      <c r="D262" s="3" t="s">
        <v>2730</v>
      </c>
      <c r="E262" s="3" t="s">
        <v>506</v>
      </c>
      <c r="F262" s="5" t="s">
        <v>2731</v>
      </c>
      <c r="G262" s="5" t="s">
        <v>2732</v>
      </c>
      <c r="H262" s="5" t="s">
        <v>2733</v>
      </c>
      <c r="I262" s="5" t="s">
        <v>2734</v>
      </c>
      <c r="J262" s="5" t="s">
        <v>2735</v>
      </c>
      <c r="K262" s="5" t="s">
        <v>2736</v>
      </c>
      <c r="L262" s="5" t="s">
        <v>2737</v>
      </c>
      <c r="M262" s="5" t="s">
        <v>2738</v>
      </c>
      <c r="N262" s="5" t="s">
        <v>2739</v>
      </c>
      <c r="O262" s="5" t="s">
        <v>2740</v>
      </c>
      <c r="P262" s="5" t="s">
        <v>2741</v>
      </c>
    </row>
    <row r="263" spans="1:16" x14ac:dyDescent="0.45">
      <c r="A263" s="1" t="s">
        <v>257</v>
      </c>
      <c r="B263" s="2">
        <v>4062407</v>
      </c>
      <c r="C263" s="3" t="s">
        <v>2742</v>
      </c>
      <c r="D263" s="3" t="s">
        <v>2743</v>
      </c>
      <c r="E263" s="3" t="s">
        <v>592</v>
      </c>
      <c r="F263" s="5" t="s">
        <v>2744</v>
      </c>
      <c r="G263" s="5" t="s">
        <v>2745</v>
      </c>
      <c r="H263" s="5" t="s">
        <v>2746</v>
      </c>
      <c r="I263" s="5" t="s">
        <v>2747</v>
      </c>
      <c r="J263" s="5" t="s">
        <v>2748</v>
      </c>
      <c r="K263" s="5">
        <v>40533285</v>
      </c>
      <c r="L263" s="5" t="s">
        <v>2749</v>
      </c>
      <c r="M263" s="5" t="s">
        <v>2750</v>
      </c>
      <c r="N263" s="5" t="s">
        <v>2751</v>
      </c>
      <c r="O263" s="5" t="s">
        <v>2752</v>
      </c>
      <c r="P263" s="5" t="s">
        <v>2753</v>
      </c>
    </row>
    <row r="264" spans="1:16" x14ac:dyDescent="0.45">
      <c r="A264" s="1" t="s">
        <v>258</v>
      </c>
      <c r="B264" s="2">
        <v>4121693</v>
      </c>
      <c r="C264" s="3" t="s">
        <v>2754</v>
      </c>
      <c r="D264" s="3" t="s">
        <v>2755</v>
      </c>
      <c r="E264" s="3" t="s">
        <v>2756</v>
      </c>
      <c r="F264" s="5">
        <v>15491119899</v>
      </c>
      <c r="G264" s="5">
        <v>18789604405</v>
      </c>
      <c r="H264" s="5">
        <v>1277373071</v>
      </c>
      <c r="I264" s="5">
        <v>7144658991</v>
      </c>
      <c r="J264" s="5">
        <v>3195965331</v>
      </c>
      <c r="K264" s="5">
        <v>1133847975</v>
      </c>
      <c r="L264" s="5">
        <v>17050770772</v>
      </c>
      <c r="M264" s="5">
        <v>14604103932</v>
      </c>
      <c r="N264" s="5">
        <v>13848389688</v>
      </c>
      <c r="O264" s="5">
        <v>16071740232</v>
      </c>
      <c r="P264" s="5">
        <v>15750662555</v>
      </c>
    </row>
    <row r="265" spans="1:16" x14ac:dyDescent="0.45">
      <c r="A265" s="1" t="s">
        <v>259</v>
      </c>
      <c r="B265" s="2">
        <v>4004271</v>
      </c>
      <c r="C265" s="3" t="s">
        <v>2757</v>
      </c>
      <c r="D265" s="3" t="s">
        <v>2758</v>
      </c>
      <c r="E265" s="3" t="s">
        <v>978</v>
      </c>
      <c r="F265" s="5" t="s">
        <v>2759</v>
      </c>
      <c r="G265" s="5" t="s">
        <v>2760</v>
      </c>
      <c r="H265" s="5" t="s">
        <v>2761</v>
      </c>
      <c r="I265" s="5" t="s">
        <v>2762</v>
      </c>
      <c r="J265" s="5" t="s">
        <v>2763</v>
      </c>
      <c r="K265" s="5">
        <v>4936065</v>
      </c>
      <c r="L265" s="5" t="s">
        <v>2764</v>
      </c>
      <c r="M265" s="5" t="s">
        <v>2765</v>
      </c>
      <c r="N265" s="5" t="s">
        <v>2766</v>
      </c>
      <c r="O265" s="5" t="s">
        <v>2767</v>
      </c>
      <c r="P265" s="5" t="s">
        <v>2768</v>
      </c>
    </row>
    <row r="266" spans="1:16" x14ac:dyDescent="0.45">
      <c r="A266" s="1" t="s">
        <v>260</v>
      </c>
      <c r="B266" s="2">
        <v>103455</v>
      </c>
      <c r="C266" s="3" t="s">
        <v>2769</v>
      </c>
      <c r="D266" s="3" t="s">
        <v>2770</v>
      </c>
      <c r="E266" s="3" t="s">
        <v>723</v>
      </c>
      <c r="F266" s="5" t="s">
        <v>2771</v>
      </c>
      <c r="G266" s="5" t="s">
        <v>2772</v>
      </c>
      <c r="H266" s="5" t="s">
        <v>2773</v>
      </c>
      <c r="I266" s="5" t="s">
        <v>2774</v>
      </c>
      <c r="J266" s="5" t="s">
        <v>2775</v>
      </c>
      <c r="K266" s="5" t="s">
        <v>2776</v>
      </c>
      <c r="L266" s="5">
        <v>19541823</v>
      </c>
      <c r="M266" s="5" t="s">
        <v>2777</v>
      </c>
      <c r="N266" s="5" t="s">
        <v>2778</v>
      </c>
      <c r="O266" s="5" t="s">
        <v>2779</v>
      </c>
      <c r="P266" s="5" t="s">
        <v>2780</v>
      </c>
    </row>
    <row r="267" spans="1:16" x14ac:dyDescent="0.45">
      <c r="A267" s="1" t="s">
        <v>261</v>
      </c>
      <c r="B267" s="2">
        <v>4004318</v>
      </c>
      <c r="C267" s="3" t="s">
        <v>2781</v>
      </c>
      <c r="D267" s="3" t="s">
        <v>2782</v>
      </c>
      <c r="E267" s="3" t="s">
        <v>2783</v>
      </c>
      <c r="F267" s="5" t="s">
        <v>2784</v>
      </c>
      <c r="G267" s="5">
        <v>-13946835</v>
      </c>
      <c r="H267" s="5">
        <v>-13135061</v>
      </c>
      <c r="I267" s="5" t="s">
        <v>2785</v>
      </c>
      <c r="J267" s="5" t="s">
        <v>2786</v>
      </c>
      <c r="K267" s="5">
        <v>1778744</v>
      </c>
      <c r="L267" s="5" t="s">
        <v>2787</v>
      </c>
      <c r="M267" s="5" t="s">
        <v>2788</v>
      </c>
      <c r="N267" s="5" t="s">
        <v>2789</v>
      </c>
      <c r="O267" s="5" t="s">
        <v>2790</v>
      </c>
      <c r="P267" s="5">
        <v>8829156</v>
      </c>
    </row>
    <row r="268" spans="1:16" x14ac:dyDescent="0.45">
      <c r="A268" s="1" t="s">
        <v>262</v>
      </c>
      <c r="B268" s="2">
        <v>4218591</v>
      </c>
      <c r="C268" s="3" t="s">
        <v>2791</v>
      </c>
      <c r="D268" s="3" t="s">
        <v>2792</v>
      </c>
      <c r="E268" s="3" t="s">
        <v>2793</v>
      </c>
      <c r="F268" s="5">
        <v>41601656187</v>
      </c>
      <c r="G268" s="5">
        <v>38952073524</v>
      </c>
      <c r="H268" s="5">
        <v>29006736388</v>
      </c>
      <c r="I268" s="5">
        <v>24548072114</v>
      </c>
      <c r="J268" s="5">
        <v>21077466708</v>
      </c>
      <c r="K268" s="5">
        <v>1760900636</v>
      </c>
      <c r="L268" s="5">
        <v>12592996275</v>
      </c>
      <c r="M268" s="5">
        <v>1285233408</v>
      </c>
      <c r="N268" s="5">
        <v>12718467496</v>
      </c>
      <c r="O268" s="5">
        <v>9495474903</v>
      </c>
      <c r="P268" s="5">
        <v>965084856</v>
      </c>
    </row>
    <row r="269" spans="1:16" x14ac:dyDescent="0.45">
      <c r="A269" s="1" t="s">
        <v>263</v>
      </c>
      <c r="B269" s="2">
        <v>4973038</v>
      </c>
      <c r="C269" s="3" t="s">
        <v>2794</v>
      </c>
      <c r="D269" s="3" t="s">
        <v>2795</v>
      </c>
      <c r="E269" s="3" t="s">
        <v>891</v>
      </c>
      <c r="F269" s="5" t="s">
        <v>2796</v>
      </c>
      <c r="G269" s="5" t="s">
        <v>2797</v>
      </c>
      <c r="H269" s="5" t="s">
        <v>2798</v>
      </c>
      <c r="I269" s="5">
        <v>1802625</v>
      </c>
      <c r="J269" s="5" t="s">
        <v>2799</v>
      </c>
      <c r="K269" s="5" t="s">
        <v>2800</v>
      </c>
      <c r="L269" s="5" t="s">
        <v>2801</v>
      </c>
      <c r="M269" s="5" t="s">
        <v>2802</v>
      </c>
      <c r="N269" s="5" t="s">
        <v>2803</v>
      </c>
      <c r="O269" s="5">
        <v>487709725</v>
      </c>
      <c r="P269" s="5" t="s">
        <v>2804</v>
      </c>
    </row>
    <row r="270" spans="1:16" x14ac:dyDescent="0.45">
      <c r="A270" s="1" t="s">
        <v>264</v>
      </c>
      <c r="B270" s="2">
        <v>4986300</v>
      </c>
      <c r="C270" s="3" t="s">
        <v>2805</v>
      </c>
      <c r="D270" s="3" t="s">
        <v>2806</v>
      </c>
      <c r="E270" s="3" t="s">
        <v>2807</v>
      </c>
      <c r="F270" s="5" t="s">
        <v>2808</v>
      </c>
      <c r="G270" s="5" t="s">
        <v>2809</v>
      </c>
      <c r="H270" s="5" t="s">
        <v>2810</v>
      </c>
      <c r="I270" s="5" t="s">
        <v>2811</v>
      </c>
      <c r="J270" s="5" t="s">
        <v>2812</v>
      </c>
      <c r="K270" s="5">
        <v>6625020</v>
      </c>
      <c r="L270" s="5" t="s">
        <v>2813</v>
      </c>
      <c r="M270" s="5" t="s">
        <v>2814</v>
      </c>
      <c r="N270" s="5">
        <v>7453560</v>
      </c>
      <c r="O270" s="5" t="s">
        <v>2815</v>
      </c>
      <c r="P270" s="5" t="s">
        <v>2816</v>
      </c>
    </row>
    <row r="271" spans="1:16" x14ac:dyDescent="0.45">
      <c r="A271" s="1" t="s">
        <v>265</v>
      </c>
      <c r="B271" s="2">
        <v>100253</v>
      </c>
      <c r="C271" s="3" t="s">
        <v>2817</v>
      </c>
      <c r="D271" s="3" t="s">
        <v>2818</v>
      </c>
      <c r="E271" s="3" t="s">
        <v>1005</v>
      </c>
      <c r="F271" s="5" t="s">
        <v>2819</v>
      </c>
      <c r="G271" s="5" t="s">
        <v>2820</v>
      </c>
      <c r="H271" s="5" t="s">
        <v>2821</v>
      </c>
      <c r="I271" s="5" t="s">
        <v>2822</v>
      </c>
      <c r="J271" s="5">
        <v>157424640165</v>
      </c>
      <c r="K271" s="5">
        <v>132331038525</v>
      </c>
      <c r="L271" s="5">
        <v>140051059239</v>
      </c>
      <c r="M271" s="5">
        <v>135029308194</v>
      </c>
      <c r="N271" s="5">
        <v>135336820632</v>
      </c>
      <c r="O271" s="5">
        <v>156177770206</v>
      </c>
      <c r="P271" s="5">
        <v>1489155584675</v>
      </c>
    </row>
    <row r="272" spans="1:16" x14ac:dyDescent="0.45">
      <c r="A272" s="1" t="s">
        <v>266</v>
      </c>
      <c r="B272" s="2">
        <v>4136924</v>
      </c>
      <c r="C272" s="3" t="s">
        <v>2823</v>
      </c>
      <c r="D272" s="3" t="s">
        <v>2824</v>
      </c>
      <c r="E272" s="3" t="s">
        <v>2825</v>
      </c>
      <c r="F272" s="5" t="s">
        <v>2826</v>
      </c>
      <c r="G272" s="5" t="s">
        <v>2827</v>
      </c>
      <c r="H272" s="5" t="s">
        <v>2828</v>
      </c>
      <c r="I272" s="5" t="s">
        <v>2829</v>
      </c>
      <c r="J272" s="5" t="s">
        <v>2830</v>
      </c>
      <c r="K272" s="5">
        <v>24704850</v>
      </c>
      <c r="L272" s="5" t="s">
        <v>2831</v>
      </c>
      <c r="M272" s="5" t="s">
        <v>2832</v>
      </c>
      <c r="N272" s="5" t="s">
        <v>2833</v>
      </c>
      <c r="O272" s="5" t="s">
        <v>2834</v>
      </c>
      <c r="P272" s="5" t="s">
        <v>2835</v>
      </c>
    </row>
    <row r="273" spans="1:16" x14ac:dyDescent="0.45">
      <c r="A273" s="1" t="s">
        <v>267</v>
      </c>
      <c r="B273" s="2">
        <v>4046286</v>
      </c>
      <c r="C273" s="3" t="s">
        <v>2836</v>
      </c>
      <c r="D273" s="3" t="s">
        <v>2837</v>
      </c>
      <c r="E273" s="3" t="s">
        <v>1083</v>
      </c>
      <c r="F273" s="5" t="s">
        <v>2838</v>
      </c>
      <c r="G273" s="5" t="s">
        <v>2839</v>
      </c>
      <c r="H273" s="5" t="s">
        <v>2840</v>
      </c>
      <c r="I273" s="5" t="s">
        <v>2841</v>
      </c>
      <c r="J273" s="5" t="s">
        <v>2842</v>
      </c>
      <c r="K273" s="5">
        <v>351525</v>
      </c>
      <c r="L273" s="5" t="s">
        <v>2843</v>
      </c>
      <c r="M273" s="5">
        <v>1943315</v>
      </c>
      <c r="N273" s="5" t="s">
        <v>2844</v>
      </c>
      <c r="O273" s="5" t="s">
        <v>2845</v>
      </c>
      <c r="P273" s="5" t="s">
        <v>2846</v>
      </c>
    </row>
    <row r="274" spans="1:16" x14ac:dyDescent="0.45">
      <c r="A274" s="1" t="s">
        <v>268</v>
      </c>
      <c r="B274" s="2">
        <v>103442</v>
      </c>
      <c r="C274" s="3" t="s">
        <v>2847</v>
      </c>
      <c r="D274" s="3" t="s">
        <v>2848</v>
      </c>
      <c r="E274" s="3" t="s">
        <v>804</v>
      </c>
      <c r="F274" s="5" t="s">
        <v>2849</v>
      </c>
      <c r="G274" s="5" t="s">
        <v>2850</v>
      </c>
      <c r="H274" s="5">
        <v>11191139</v>
      </c>
      <c r="I274" s="5" t="s">
        <v>2851</v>
      </c>
      <c r="J274" s="5" t="s">
        <v>2852</v>
      </c>
      <c r="K274" s="5">
        <v>7570050</v>
      </c>
      <c r="L274" s="5" t="s">
        <v>2853</v>
      </c>
      <c r="M274" s="5" t="s">
        <v>2854</v>
      </c>
      <c r="N274" s="5" t="s">
        <v>2855</v>
      </c>
      <c r="O274" s="5" t="s">
        <v>2856</v>
      </c>
      <c r="P274" s="5" t="s">
        <v>2857</v>
      </c>
    </row>
    <row r="275" spans="1:16" x14ac:dyDescent="0.45">
      <c r="A275" s="1" t="s">
        <v>269</v>
      </c>
      <c r="B275" s="2">
        <v>4095241</v>
      </c>
      <c r="C275" s="3" t="s">
        <v>2858</v>
      </c>
      <c r="D275" s="3" t="s">
        <v>2859</v>
      </c>
      <c r="E275" s="3" t="s">
        <v>1574</v>
      </c>
      <c r="F275" s="5" t="s">
        <v>2860</v>
      </c>
      <c r="G275" s="5" t="s">
        <v>2861</v>
      </c>
      <c r="H275" s="5" t="s">
        <v>2862</v>
      </c>
      <c r="I275" s="5" t="s">
        <v>2863</v>
      </c>
      <c r="J275" s="5" t="s">
        <v>2864</v>
      </c>
      <c r="K275" s="5" t="s">
        <v>2865</v>
      </c>
      <c r="L275" s="5" t="s">
        <v>2866</v>
      </c>
      <c r="M275" s="5" t="s">
        <v>2867</v>
      </c>
      <c r="N275" s="5">
        <v>38995668456</v>
      </c>
      <c r="O275" s="5">
        <v>3924275507</v>
      </c>
      <c r="P275" s="5">
        <v>373840797275</v>
      </c>
    </row>
    <row r="276" spans="1:16" x14ac:dyDescent="0.45">
      <c r="A276" s="1" t="s">
        <v>270</v>
      </c>
      <c r="B276" s="2">
        <v>6331137</v>
      </c>
      <c r="C276" s="3" t="s">
        <v>2868</v>
      </c>
      <c r="D276" s="3" t="s">
        <v>2869</v>
      </c>
      <c r="E276" s="3" t="s">
        <v>506</v>
      </c>
      <c r="F276" s="5" t="s">
        <v>2870</v>
      </c>
      <c r="G276" s="5" t="s">
        <v>2871</v>
      </c>
      <c r="H276" s="5" t="s">
        <v>2872</v>
      </c>
      <c r="I276" s="5" t="s">
        <v>2873</v>
      </c>
      <c r="J276" s="5" t="s">
        <v>2874</v>
      </c>
      <c r="K276" s="5" t="s">
        <v>2875</v>
      </c>
      <c r="L276" s="5" t="s">
        <v>2876</v>
      </c>
      <c r="M276" s="5" t="s">
        <v>2877</v>
      </c>
      <c r="N276" s="5" t="s">
        <v>2878</v>
      </c>
      <c r="O276" s="5" t="s">
        <v>2879</v>
      </c>
      <c r="P276" s="5" t="s">
        <v>2880</v>
      </c>
    </row>
    <row r="277" spans="1:16" x14ac:dyDescent="0.45">
      <c r="A277" s="1" t="s">
        <v>271</v>
      </c>
      <c r="B277" s="2">
        <v>4073702</v>
      </c>
      <c r="C277" s="3" t="s">
        <v>2881</v>
      </c>
      <c r="D277" s="3" t="s">
        <v>2882</v>
      </c>
      <c r="E277" s="3" t="s">
        <v>711</v>
      </c>
      <c r="F277" s="5" t="s">
        <v>2883</v>
      </c>
      <c r="G277" s="5" t="s">
        <v>2884</v>
      </c>
      <c r="H277" s="5" t="s">
        <v>2885</v>
      </c>
      <c r="I277" s="5" t="s">
        <v>2886</v>
      </c>
      <c r="J277" s="5" t="s">
        <v>2887</v>
      </c>
      <c r="K277" s="5" t="s">
        <v>2888</v>
      </c>
      <c r="L277" s="5" t="s">
        <v>2889</v>
      </c>
      <c r="M277" s="5" t="s">
        <v>2890</v>
      </c>
      <c r="N277" s="5" t="s">
        <v>2891</v>
      </c>
      <c r="O277" s="5" t="s">
        <v>2892</v>
      </c>
      <c r="P277" s="5" t="s">
        <v>2893</v>
      </c>
    </row>
    <row r="278" spans="1:16" x14ac:dyDescent="0.45">
      <c r="A278" s="1" t="s">
        <v>272</v>
      </c>
      <c r="B278" s="2">
        <v>4219024</v>
      </c>
      <c r="C278" s="3" t="s">
        <v>2894</v>
      </c>
      <c r="D278" s="3" t="s">
        <v>2895</v>
      </c>
      <c r="E278" s="3" t="s">
        <v>1475</v>
      </c>
      <c r="F278" s="5" t="s">
        <v>2896</v>
      </c>
      <c r="G278" s="5" t="s">
        <v>2897</v>
      </c>
      <c r="H278" s="5" t="s">
        <v>2898</v>
      </c>
      <c r="I278" s="5" t="s">
        <v>2899</v>
      </c>
      <c r="J278" s="5" t="s">
        <v>2900</v>
      </c>
      <c r="K278" s="5">
        <v>3296598</v>
      </c>
      <c r="L278" s="5" t="s">
        <v>2901</v>
      </c>
      <c r="M278" s="5" t="s">
        <v>2902</v>
      </c>
      <c r="N278" s="5" t="s">
        <v>2903</v>
      </c>
      <c r="O278" s="5" t="s">
        <v>2904</v>
      </c>
      <c r="P278" s="5">
        <v>1596735195</v>
      </c>
    </row>
    <row r="279" spans="1:16" x14ac:dyDescent="0.45">
      <c r="A279" s="1" t="s">
        <v>273</v>
      </c>
      <c r="B279" s="2">
        <v>4095638</v>
      </c>
      <c r="C279" s="3" t="s">
        <v>2905</v>
      </c>
      <c r="D279" s="3" t="s">
        <v>2906</v>
      </c>
      <c r="E279" s="3" t="s">
        <v>1332</v>
      </c>
      <c r="F279" s="5" t="s">
        <v>2907</v>
      </c>
      <c r="G279" s="5" t="s">
        <v>2908</v>
      </c>
      <c r="H279" s="5" t="s">
        <v>2909</v>
      </c>
      <c r="I279" s="5" t="s">
        <v>2910</v>
      </c>
      <c r="J279" s="5" t="s">
        <v>2911</v>
      </c>
      <c r="K279" s="5" t="s">
        <v>2912</v>
      </c>
      <c r="L279" s="5" t="s">
        <v>2913</v>
      </c>
      <c r="M279" s="5" t="s">
        <v>2914</v>
      </c>
      <c r="N279" s="5" t="s">
        <v>2915</v>
      </c>
      <c r="O279" s="5" t="s">
        <v>2916</v>
      </c>
      <c r="P279" s="5">
        <v>6526183925</v>
      </c>
    </row>
    <row r="280" spans="1:16" x14ac:dyDescent="0.45">
      <c r="A280" s="1" t="s">
        <v>274</v>
      </c>
      <c r="B280" s="2">
        <v>4069640</v>
      </c>
      <c r="C280" s="3" t="s">
        <v>2917</v>
      </c>
      <c r="D280" s="3" t="s">
        <v>2918</v>
      </c>
      <c r="E280" s="3" t="s">
        <v>1193</v>
      </c>
      <c r="F280" s="5" t="s">
        <v>2919</v>
      </c>
      <c r="G280" s="5" t="s">
        <v>2920</v>
      </c>
      <c r="H280" s="5">
        <v>-1371396</v>
      </c>
      <c r="I280" s="5" t="s">
        <v>2921</v>
      </c>
      <c r="J280" s="5">
        <v>1231992</v>
      </c>
      <c r="K280" s="5">
        <v>6107010</v>
      </c>
      <c r="L280" s="5">
        <v>8624880</v>
      </c>
      <c r="M280" s="5" t="s">
        <v>2922</v>
      </c>
      <c r="N280" s="5">
        <v>11783520</v>
      </c>
      <c r="O280" s="5" t="s">
        <v>2923</v>
      </c>
      <c r="P280" s="5" t="s">
        <v>2924</v>
      </c>
    </row>
    <row r="281" spans="1:16" x14ac:dyDescent="0.45">
      <c r="A281" s="1" t="s">
        <v>275</v>
      </c>
      <c r="B281" s="2">
        <v>4806212</v>
      </c>
      <c r="C281" s="3" t="s">
        <v>2925</v>
      </c>
      <c r="D281" s="3" t="s">
        <v>2926</v>
      </c>
      <c r="E281" s="3" t="s">
        <v>519</v>
      </c>
      <c r="F281" s="5">
        <v>42465280</v>
      </c>
      <c r="G281" s="5">
        <v>47228414</v>
      </c>
      <c r="H281" s="5" t="s">
        <v>2927</v>
      </c>
      <c r="I281" s="5" t="s">
        <v>2928</v>
      </c>
      <c r="J281" s="5" t="s">
        <v>2929</v>
      </c>
      <c r="K281" s="5" t="s">
        <v>2930</v>
      </c>
      <c r="L281" s="5" t="s">
        <v>2931</v>
      </c>
      <c r="M281" s="5" t="s">
        <v>2932</v>
      </c>
      <c r="N281" s="5">
        <v>46192874</v>
      </c>
      <c r="O281" s="5" t="s">
        <v>2933</v>
      </c>
      <c r="P281" s="5" t="s">
        <v>2934</v>
      </c>
    </row>
    <row r="282" spans="1:16" x14ac:dyDescent="0.45">
      <c r="A282" s="1" t="s">
        <v>276</v>
      </c>
      <c r="B282" s="2">
        <v>4004265</v>
      </c>
      <c r="C282" s="3" t="s">
        <v>2935</v>
      </c>
      <c r="D282" s="3" t="s">
        <v>2936</v>
      </c>
      <c r="E282" s="3" t="s">
        <v>1103</v>
      </c>
      <c r="F282" s="5" t="s">
        <v>2937</v>
      </c>
      <c r="G282" s="5" t="s">
        <v>2938</v>
      </c>
      <c r="H282" s="5" t="s">
        <v>2939</v>
      </c>
      <c r="I282" s="5" t="s">
        <v>2940</v>
      </c>
      <c r="J282" s="5" t="s">
        <v>2941</v>
      </c>
      <c r="K282" s="5">
        <v>20767770</v>
      </c>
      <c r="L282" s="5" t="s">
        <v>2942</v>
      </c>
      <c r="M282" s="5" t="s">
        <v>2943</v>
      </c>
      <c r="N282" s="5" t="s">
        <v>2944</v>
      </c>
      <c r="O282" s="5" t="s">
        <v>2945</v>
      </c>
      <c r="P282" s="5" t="s">
        <v>2946</v>
      </c>
    </row>
    <row r="283" spans="1:16" x14ac:dyDescent="0.45">
      <c r="A283" s="1" t="s">
        <v>277</v>
      </c>
      <c r="B283" s="2">
        <v>4144156</v>
      </c>
      <c r="C283" s="3" t="s">
        <v>2947</v>
      </c>
      <c r="D283" s="3" t="s">
        <v>2948</v>
      </c>
      <c r="E283" s="3" t="s">
        <v>641</v>
      </c>
      <c r="F283" s="5" t="s">
        <v>2949</v>
      </c>
      <c r="G283" s="5" t="s">
        <v>2950</v>
      </c>
      <c r="H283" s="5" t="s">
        <v>2951</v>
      </c>
      <c r="I283" s="5" t="s">
        <v>2952</v>
      </c>
      <c r="J283" s="5" t="s">
        <v>2953</v>
      </c>
      <c r="K283" s="5">
        <v>104877075</v>
      </c>
      <c r="L283" s="5" t="s">
        <v>2954</v>
      </c>
      <c r="M283" s="5" t="s">
        <v>2955</v>
      </c>
      <c r="N283" s="5" t="s">
        <v>2956</v>
      </c>
      <c r="O283" s="5" t="s">
        <v>2957</v>
      </c>
      <c r="P283" s="5" t="s">
        <v>2958</v>
      </c>
    </row>
    <row r="284" spans="1:16" x14ac:dyDescent="0.45">
      <c r="A284" s="1" t="s">
        <v>278</v>
      </c>
      <c r="B284" s="2">
        <v>4051708</v>
      </c>
      <c r="C284" s="3" t="s">
        <v>2959</v>
      </c>
      <c r="D284" s="3" t="s">
        <v>2960</v>
      </c>
      <c r="E284" s="3" t="s">
        <v>570</v>
      </c>
      <c r="F284" s="5" t="s">
        <v>2961</v>
      </c>
      <c r="G284" s="5" t="s">
        <v>2962</v>
      </c>
      <c r="H284" s="5" t="s">
        <v>2963</v>
      </c>
      <c r="I284" s="5" t="s">
        <v>2964</v>
      </c>
      <c r="J284" s="5" t="s">
        <v>2965</v>
      </c>
      <c r="K284" s="5" t="s">
        <v>2966</v>
      </c>
      <c r="L284" s="5" t="s">
        <v>2967</v>
      </c>
      <c r="M284" s="5" t="s">
        <v>2968</v>
      </c>
      <c r="N284" s="5">
        <v>49026936</v>
      </c>
      <c r="O284" s="5" t="s">
        <v>2969</v>
      </c>
      <c r="P284" s="5">
        <v>63067692</v>
      </c>
    </row>
    <row r="285" spans="1:16" x14ac:dyDescent="0.45">
      <c r="A285" s="1" t="s">
        <v>279</v>
      </c>
      <c r="B285" s="2">
        <v>4811730</v>
      </c>
      <c r="C285" s="3" t="s">
        <v>2970</v>
      </c>
      <c r="D285" s="3" t="s">
        <v>2971</v>
      </c>
      <c r="E285" s="3" t="s">
        <v>581</v>
      </c>
      <c r="F285" s="5">
        <v>-201307812</v>
      </c>
      <c r="G285" s="5">
        <v>-122563051</v>
      </c>
      <c r="H285" s="5">
        <v>-1356489086</v>
      </c>
      <c r="I285" s="5">
        <v>231988101</v>
      </c>
      <c r="J285" s="5">
        <v>1507304853</v>
      </c>
      <c r="K285" s="5">
        <v>2310868125</v>
      </c>
      <c r="L285" s="5">
        <v>374957058</v>
      </c>
      <c r="M285" s="5">
        <v>5153610242</v>
      </c>
      <c r="N285" s="5">
        <v>455774784</v>
      </c>
      <c r="O285" s="5">
        <v>4120215039</v>
      </c>
      <c r="P285" s="5">
        <v>53445578275</v>
      </c>
    </row>
    <row r="286" spans="1:16" x14ac:dyDescent="0.45">
      <c r="A286" s="1" t="s">
        <v>280</v>
      </c>
      <c r="B286" s="2">
        <v>4094582</v>
      </c>
      <c r="C286" s="3" t="s">
        <v>2972</v>
      </c>
      <c r="D286" s="3" t="s">
        <v>2973</v>
      </c>
      <c r="E286" s="3" t="s">
        <v>2707</v>
      </c>
      <c r="F286" s="5">
        <v>27904400406</v>
      </c>
      <c r="G286" s="5">
        <v>35931055004</v>
      </c>
      <c r="H286" s="5">
        <v>39512781547</v>
      </c>
      <c r="I286" s="5">
        <v>50232801861</v>
      </c>
      <c r="J286" s="5">
        <v>97816084209</v>
      </c>
      <c r="K286" s="5">
        <v>9193972875</v>
      </c>
      <c r="L286" s="5">
        <v>113775336115</v>
      </c>
      <c r="M286" s="5">
        <v>92336206094</v>
      </c>
      <c r="N286" s="5">
        <v>97361831856</v>
      </c>
      <c r="O286" s="5">
        <v>94952151323</v>
      </c>
      <c r="P286" s="5">
        <v>715485084775</v>
      </c>
    </row>
    <row r="287" spans="1:16" x14ac:dyDescent="0.45">
      <c r="A287" s="1" t="s">
        <v>281</v>
      </c>
      <c r="B287" s="2">
        <v>4133448</v>
      </c>
      <c r="C287" s="3" t="s">
        <v>2974</v>
      </c>
      <c r="D287" s="3" t="s">
        <v>2975</v>
      </c>
      <c r="E287" s="3" t="s">
        <v>559</v>
      </c>
      <c r="F287" s="5" t="s">
        <v>2976</v>
      </c>
      <c r="G287" s="5" t="s">
        <v>2977</v>
      </c>
      <c r="H287" s="5" t="s">
        <v>2978</v>
      </c>
      <c r="I287" s="5" t="s">
        <v>2979</v>
      </c>
      <c r="J287" s="5" t="s">
        <v>2980</v>
      </c>
      <c r="K287" s="5">
        <v>5082805</v>
      </c>
      <c r="L287" s="5" t="s">
        <v>2981</v>
      </c>
      <c r="M287" s="5" t="s">
        <v>2982</v>
      </c>
      <c r="N287" s="5" t="s">
        <v>2983</v>
      </c>
      <c r="O287" s="5">
        <v>188861442795</v>
      </c>
      <c r="P287" s="5">
        <v>19185060521</v>
      </c>
    </row>
    <row r="288" spans="1:16" x14ac:dyDescent="0.45">
      <c r="A288" s="1" t="s">
        <v>282</v>
      </c>
      <c r="B288" s="2">
        <v>4133530</v>
      </c>
      <c r="C288" s="3" t="s">
        <v>2984</v>
      </c>
      <c r="D288" s="3" t="s">
        <v>2985</v>
      </c>
      <c r="E288" s="3" t="s">
        <v>559</v>
      </c>
      <c r="F288" s="5" t="s">
        <v>2986</v>
      </c>
      <c r="G288" s="5" t="s">
        <v>2987</v>
      </c>
      <c r="H288" s="5">
        <v>40678640</v>
      </c>
      <c r="I288" s="5" t="s">
        <v>2988</v>
      </c>
      <c r="J288" s="5">
        <v>37035519</v>
      </c>
      <c r="K288" s="5" t="s">
        <v>2989</v>
      </c>
      <c r="L288" s="5" t="s">
        <v>2990</v>
      </c>
      <c r="M288" s="5" t="s">
        <v>2991</v>
      </c>
      <c r="N288" s="5">
        <v>16395687</v>
      </c>
      <c r="O288" s="5" t="s">
        <v>2992</v>
      </c>
      <c r="P288" s="5" t="s">
        <v>2993</v>
      </c>
    </row>
    <row r="289" spans="1:16" x14ac:dyDescent="0.45">
      <c r="A289" s="1" t="s">
        <v>283</v>
      </c>
      <c r="B289" s="2">
        <v>4004214</v>
      </c>
      <c r="C289" s="3" t="s">
        <v>2994</v>
      </c>
      <c r="D289" s="3" t="s">
        <v>2995</v>
      </c>
      <c r="E289" s="3" t="s">
        <v>2117</v>
      </c>
      <c r="F289" s="5" t="s">
        <v>2996</v>
      </c>
      <c r="G289" s="5" t="s">
        <v>2997</v>
      </c>
      <c r="H289" s="5">
        <v>188900268</v>
      </c>
      <c r="I289" s="5" t="s">
        <v>2998</v>
      </c>
      <c r="J289" s="5" t="s">
        <v>2999</v>
      </c>
      <c r="K289" s="5" t="s">
        <v>3000</v>
      </c>
      <c r="L289" s="5">
        <v>89927604</v>
      </c>
      <c r="M289" s="5" t="s">
        <v>3001</v>
      </c>
      <c r="N289" s="5" t="s">
        <v>3002</v>
      </c>
      <c r="O289" s="5" t="s">
        <v>3003</v>
      </c>
      <c r="P289" s="5" t="s">
        <v>3004</v>
      </c>
    </row>
    <row r="290" spans="1:16" x14ac:dyDescent="0.45">
      <c r="A290" s="1" t="s">
        <v>284</v>
      </c>
      <c r="B290" s="2">
        <v>103123</v>
      </c>
      <c r="C290" s="3" t="s">
        <v>3005</v>
      </c>
      <c r="D290" s="3" t="s">
        <v>3005</v>
      </c>
      <c r="E290" s="3" t="s">
        <v>962</v>
      </c>
      <c r="F290" s="5">
        <v>49562492631</v>
      </c>
      <c r="G290" s="5">
        <v>59165567006</v>
      </c>
      <c r="H290" s="5">
        <v>56814752885</v>
      </c>
      <c r="I290" s="5">
        <v>57917472036</v>
      </c>
      <c r="J290" s="5">
        <v>54111304251</v>
      </c>
      <c r="K290" s="5" t="s">
        <v>3006</v>
      </c>
      <c r="L290" s="5">
        <v>56045369149</v>
      </c>
      <c r="M290" s="5">
        <v>55654698726</v>
      </c>
      <c r="N290" s="5">
        <v>54747389232</v>
      </c>
      <c r="O290" s="5">
        <v>62920622773</v>
      </c>
      <c r="P290" s="5">
        <v>290756552725</v>
      </c>
    </row>
    <row r="291" spans="1:16" x14ac:dyDescent="0.45">
      <c r="A291" s="1" t="s">
        <v>285</v>
      </c>
      <c r="B291" s="2">
        <v>4209632</v>
      </c>
      <c r="C291" s="3" t="s">
        <v>3007</v>
      </c>
      <c r="D291" s="3" t="s">
        <v>3008</v>
      </c>
      <c r="E291" s="3" t="s">
        <v>3009</v>
      </c>
      <c r="F291" s="5" t="s">
        <v>3010</v>
      </c>
      <c r="G291" s="5" t="s">
        <v>3011</v>
      </c>
      <c r="H291" s="5" t="s">
        <v>3012</v>
      </c>
      <c r="I291" s="5" t="s">
        <v>3013</v>
      </c>
      <c r="J291" s="5" t="s">
        <v>3014</v>
      </c>
      <c r="K291" s="5" t="s">
        <v>3015</v>
      </c>
      <c r="L291" s="5" t="s">
        <v>3016</v>
      </c>
      <c r="M291" s="5" t="s">
        <v>3017</v>
      </c>
      <c r="N291" s="5" t="s">
        <v>3018</v>
      </c>
      <c r="O291" s="5" t="s">
        <v>3019</v>
      </c>
      <c r="P291" s="5">
        <v>6503349325</v>
      </c>
    </row>
    <row r="292" spans="1:16" x14ac:dyDescent="0.45">
      <c r="A292" s="1" t="s">
        <v>286</v>
      </c>
      <c r="B292" s="2">
        <v>4060931</v>
      </c>
      <c r="C292" s="3" t="s">
        <v>3020</v>
      </c>
      <c r="D292" s="3" t="s">
        <v>3021</v>
      </c>
      <c r="E292" s="3" t="s">
        <v>1475</v>
      </c>
      <c r="F292" s="5" t="s">
        <v>3022</v>
      </c>
      <c r="G292" s="5" t="s">
        <v>3023</v>
      </c>
      <c r="H292" s="5" t="s">
        <v>3024</v>
      </c>
      <c r="I292" s="5">
        <v>25189044</v>
      </c>
      <c r="J292" s="5" t="s">
        <v>3025</v>
      </c>
      <c r="K292" s="5">
        <v>22607145</v>
      </c>
      <c r="L292" s="5" t="s">
        <v>3026</v>
      </c>
      <c r="M292" s="5" t="s">
        <v>3027</v>
      </c>
      <c r="N292" s="5" t="s">
        <v>3028</v>
      </c>
      <c r="O292" s="5" t="s">
        <v>3029</v>
      </c>
      <c r="P292" s="5">
        <v>25873075</v>
      </c>
    </row>
    <row r="293" spans="1:16" x14ac:dyDescent="0.45">
      <c r="A293" s="1" t="s">
        <v>287</v>
      </c>
      <c r="B293" s="2">
        <v>4967353</v>
      </c>
      <c r="C293" s="3" t="s">
        <v>3030</v>
      </c>
      <c r="D293" s="3" t="s">
        <v>3031</v>
      </c>
      <c r="E293" s="3" t="s">
        <v>559</v>
      </c>
      <c r="F293" s="5">
        <v>30077759949</v>
      </c>
      <c r="G293" s="5">
        <v>28504916375</v>
      </c>
      <c r="H293" s="5">
        <v>18545798133</v>
      </c>
      <c r="I293" s="5">
        <v>15613108914</v>
      </c>
      <c r="J293" s="5">
        <v>10938360105</v>
      </c>
      <c r="K293" s="5">
        <v>7901848725</v>
      </c>
      <c r="L293" s="5">
        <v>6892578301</v>
      </c>
      <c r="M293" s="5">
        <v>5590572262</v>
      </c>
      <c r="N293" s="5">
        <v>4347274296</v>
      </c>
      <c r="O293" s="5">
        <v>4083961868</v>
      </c>
      <c r="P293" s="5">
        <v>339311107</v>
      </c>
    </row>
    <row r="294" spans="1:16" x14ac:dyDescent="0.45">
      <c r="A294" s="1" t="s">
        <v>288</v>
      </c>
      <c r="B294" s="2">
        <v>4915639</v>
      </c>
      <c r="C294" s="3" t="s">
        <v>3032</v>
      </c>
      <c r="D294" s="3" t="s">
        <v>3033</v>
      </c>
      <c r="E294" s="3" t="s">
        <v>2620</v>
      </c>
      <c r="F294" s="5">
        <v>70300237836</v>
      </c>
      <c r="G294" s="5">
        <v>57545598162</v>
      </c>
      <c r="H294" s="5">
        <v>74445446968</v>
      </c>
      <c r="I294" s="5">
        <v>65733308637</v>
      </c>
      <c r="J294" s="5">
        <v>57743200143</v>
      </c>
      <c r="K294" s="5" t="s">
        <v>3034</v>
      </c>
      <c r="L294" s="5">
        <v>37170284991</v>
      </c>
      <c r="M294" s="5">
        <v>31537609334</v>
      </c>
      <c r="N294" s="5">
        <v>32439325536</v>
      </c>
      <c r="O294" s="5">
        <v>31542333357</v>
      </c>
      <c r="P294" s="5">
        <v>44282642575</v>
      </c>
    </row>
    <row r="295" spans="1:16" x14ac:dyDescent="0.45">
      <c r="A295" s="1" t="s">
        <v>289</v>
      </c>
      <c r="B295" s="2">
        <v>108462</v>
      </c>
      <c r="C295" s="3" t="s">
        <v>3035</v>
      </c>
      <c r="D295" s="3" t="s">
        <v>3036</v>
      </c>
      <c r="E295" s="3" t="s">
        <v>2024</v>
      </c>
      <c r="F295" s="5" t="s">
        <v>3037</v>
      </c>
      <c r="G295" s="5" t="s">
        <v>3038</v>
      </c>
      <c r="H295" s="5" t="s">
        <v>3039</v>
      </c>
      <c r="I295" s="5" t="s">
        <v>3040</v>
      </c>
      <c r="J295" s="5" t="s">
        <v>3041</v>
      </c>
      <c r="K295" s="5" t="s">
        <v>3042</v>
      </c>
      <c r="L295" s="5" t="s">
        <v>3043</v>
      </c>
      <c r="M295" s="5" t="s">
        <v>3044</v>
      </c>
      <c r="N295" s="5" t="s">
        <v>3045</v>
      </c>
      <c r="O295" s="5" t="s">
        <v>3046</v>
      </c>
      <c r="P295" s="5" t="s">
        <v>3047</v>
      </c>
    </row>
    <row r="296" spans="1:16" x14ac:dyDescent="0.45">
      <c r="A296" s="1" t="s">
        <v>290</v>
      </c>
      <c r="B296" s="2">
        <v>103042</v>
      </c>
      <c r="C296" s="3" t="s">
        <v>3048</v>
      </c>
      <c r="D296" s="3" t="s">
        <v>3049</v>
      </c>
      <c r="E296" s="3" t="s">
        <v>2472</v>
      </c>
      <c r="F296" s="5" t="s">
        <v>3050</v>
      </c>
      <c r="G296" s="5" t="s">
        <v>3051</v>
      </c>
      <c r="H296" s="5" t="s">
        <v>3052</v>
      </c>
      <c r="I296" s="5" t="s">
        <v>3053</v>
      </c>
      <c r="J296" s="5" t="s">
        <v>3054</v>
      </c>
      <c r="K296" s="5" t="s">
        <v>3055</v>
      </c>
      <c r="L296" s="5" t="s">
        <v>3056</v>
      </c>
      <c r="M296" s="5" t="s">
        <v>3057</v>
      </c>
      <c r="N296" s="5" t="s">
        <v>3058</v>
      </c>
      <c r="O296" s="5" t="s">
        <v>3059</v>
      </c>
      <c r="P296" s="5">
        <v>70146418</v>
      </c>
    </row>
    <row r="297" spans="1:16" x14ac:dyDescent="0.45">
      <c r="A297" s="1" t="s">
        <v>291</v>
      </c>
      <c r="B297" s="2">
        <v>4280272</v>
      </c>
      <c r="C297" s="3" t="s">
        <v>3060</v>
      </c>
      <c r="D297" s="3" t="s">
        <v>3061</v>
      </c>
      <c r="E297" s="3" t="s">
        <v>891</v>
      </c>
      <c r="F297" s="5" t="s">
        <v>3062</v>
      </c>
      <c r="G297" s="5" t="s">
        <v>3063</v>
      </c>
      <c r="H297" s="5" t="s">
        <v>3064</v>
      </c>
      <c r="I297" s="5" t="s">
        <v>3065</v>
      </c>
      <c r="J297" s="5" t="s">
        <v>3066</v>
      </c>
      <c r="K297" s="5" t="s">
        <v>3067</v>
      </c>
      <c r="L297" s="5" t="s">
        <v>3068</v>
      </c>
      <c r="M297" s="5" t="s">
        <v>3069</v>
      </c>
      <c r="N297" s="5" t="s">
        <v>3070</v>
      </c>
      <c r="O297" s="5" t="s">
        <v>3071</v>
      </c>
      <c r="P297" s="5">
        <v>-88392</v>
      </c>
    </row>
    <row r="298" spans="1:16" x14ac:dyDescent="0.45">
      <c r="A298" s="1" t="s">
        <v>292</v>
      </c>
      <c r="B298" s="2">
        <v>4167462</v>
      </c>
      <c r="C298" s="3" t="s">
        <v>3072</v>
      </c>
      <c r="D298" s="3" t="s">
        <v>3073</v>
      </c>
      <c r="E298" s="3" t="s">
        <v>2024</v>
      </c>
      <c r="F298" s="5">
        <v>-2260871718</v>
      </c>
      <c r="G298" s="5">
        <v>-9079431023</v>
      </c>
      <c r="H298" s="5">
        <v>-6692644908</v>
      </c>
      <c r="I298" s="5">
        <v>-9431154225</v>
      </c>
      <c r="J298" s="5">
        <v>-1437365331</v>
      </c>
      <c r="K298" s="5">
        <v>-362343795</v>
      </c>
      <c r="L298" s="5">
        <v>-683598454</v>
      </c>
      <c r="M298" s="5">
        <v>-1454158596</v>
      </c>
      <c r="N298" s="5">
        <v>3339627936</v>
      </c>
      <c r="O298" s="5">
        <v>3008672165</v>
      </c>
      <c r="P298" s="5">
        <v>83004415525</v>
      </c>
    </row>
    <row r="299" spans="1:16" x14ac:dyDescent="0.45">
      <c r="A299" s="1" t="s">
        <v>293</v>
      </c>
      <c r="B299" s="2">
        <v>4057757</v>
      </c>
      <c r="C299" s="3" t="s">
        <v>3074</v>
      </c>
      <c r="D299" s="3" t="s">
        <v>3075</v>
      </c>
      <c r="E299" s="3" t="s">
        <v>1232</v>
      </c>
      <c r="F299" s="5" t="s">
        <v>3076</v>
      </c>
      <c r="G299" s="5">
        <v>10818080</v>
      </c>
      <c r="H299" s="5" t="s">
        <v>3077</v>
      </c>
      <c r="I299" s="5" t="s">
        <v>3078</v>
      </c>
      <c r="J299" s="5" t="s">
        <v>3079</v>
      </c>
      <c r="K299" s="5">
        <v>5261430</v>
      </c>
      <c r="L299" s="5" t="s">
        <v>3080</v>
      </c>
      <c r="M299" s="5" t="s">
        <v>3081</v>
      </c>
      <c r="N299" s="5">
        <v>4896864</v>
      </c>
      <c r="O299" s="5">
        <v>5143839</v>
      </c>
      <c r="P299" s="5" t="s">
        <v>3082</v>
      </c>
    </row>
    <row r="300" spans="1:16" x14ac:dyDescent="0.45">
      <c r="A300" s="1" t="s">
        <v>294</v>
      </c>
      <c r="B300" s="2">
        <v>4305562</v>
      </c>
      <c r="C300" s="3" t="s">
        <v>3083</v>
      </c>
      <c r="D300" s="3" t="s">
        <v>3084</v>
      </c>
      <c r="E300" s="3" t="s">
        <v>836</v>
      </c>
      <c r="F300" s="5">
        <v>915200</v>
      </c>
      <c r="G300" s="5" t="s">
        <v>3085</v>
      </c>
      <c r="H300" s="5" t="s">
        <v>3086</v>
      </c>
      <c r="I300" s="5" t="s">
        <v>3087</v>
      </c>
      <c r="J300" s="5" t="s">
        <v>3088</v>
      </c>
      <c r="K300" s="5" t="s">
        <v>3089</v>
      </c>
      <c r="L300" s="5">
        <v>976422</v>
      </c>
      <c r="M300" s="5" t="s">
        <v>3090</v>
      </c>
      <c r="N300" s="5">
        <v>2551484</v>
      </c>
      <c r="O300" s="5" t="s">
        <v>3091</v>
      </c>
      <c r="P300" s="5" t="s">
        <v>3092</v>
      </c>
    </row>
    <row r="301" spans="1:16" x14ac:dyDescent="0.45">
      <c r="A301" s="1" t="s">
        <v>295</v>
      </c>
      <c r="B301" s="2">
        <v>4104060</v>
      </c>
      <c r="C301" s="3" t="s">
        <v>3093</v>
      </c>
      <c r="D301" s="3" t="s">
        <v>3094</v>
      </c>
      <c r="E301" s="3" t="s">
        <v>2756</v>
      </c>
      <c r="F301" s="5">
        <v>226684111296</v>
      </c>
      <c r="G301" s="5">
        <v>238998113653</v>
      </c>
      <c r="H301" s="5">
        <v>186262467711</v>
      </c>
      <c r="I301" s="5">
        <v>194414141157</v>
      </c>
      <c r="J301" s="5">
        <v>139362437664</v>
      </c>
      <c r="K301" s="5" t="s">
        <v>3095</v>
      </c>
      <c r="L301" s="5">
        <v>67564601027</v>
      </c>
      <c r="M301" s="5">
        <v>4575537351</v>
      </c>
      <c r="N301" s="5">
        <v>29830529568</v>
      </c>
      <c r="O301" s="5" t="s">
        <v>3096</v>
      </c>
      <c r="P301" s="5">
        <v>20472194895</v>
      </c>
    </row>
    <row r="302" spans="1:16" x14ac:dyDescent="0.45">
      <c r="A302" s="1" t="s">
        <v>296</v>
      </c>
      <c r="B302" s="2">
        <v>4075105</v>
      </c>
      <c r="C302" s="3" t="s">
        <v>3097</v>
      </c>
      <c r="D302" s="3" t="s">
        <v>3098</v>
      </c>
      <c r="E302" s="3" t="s">
        <v>3099</v>
      </c>
      <c r="F302" s="5" t="s">
        <v>3100</v>
      </c>
      <c r="G302" s="5" t="s">
        <v>3101</v>
      </c>
      <c r="H302" s="5" t="s">
        <v>3102</v>
      </c>
      <c r="I302" s="5" t="s">
        <v>3103</v>
      </c>
      <c r="J302" s="5" t="s">
        <v>3104</v>
      </c>
      <c r="K302" s="5" t="s">
        <v>3105</v>
      </c>
      <c r="L302" s="5" t="s">
        <v>3106</v>
      </c>
      <c r="M302" s="5" t="s">
        <v>3107</v>
      </c>
      <c r="N302" s="5" t="s">
        <v>3108</v>
      </c>
      <c r="O302" s="5" t="s">
        <v>3109</v>
      </c>
      <c r="P302" s="5">
        <v>13159359</v>
      </c>
    </row>
    <row r="303" spans="1:16" x14ac:dyDescent="0.45">
      <c r="A303" s="1" t="s">
        <v>297</v>
      </c>
      <c r="B303" s="2">
        <v>4382367</v>
      </c>
      <c r="C303" s="3" t="s">
        <v>3110</v>
      </c>
      <c r="D303" s="3" t="s">
        <v>3111</v>
      </c>
      <c r="E303" s="3" t="s">
        <v>3112</v>
      </c>
      <c r="F303" s="5" t="s">
        <v>3113</v>
      </c>
      <c r="G303" s="5" t="s">
        <v>3114</v>
      </c>
      <c r="H303" s="5">
        <v>8193620</v>
      </c>
      <c r="I303" s="5" t="s">
        <v>3115</v>
      </c>
      <c r="J303" s="5" t="s">
        <v>3116</v>
      </c>
      <c r="K303" s="5" t="s">
        <v>3117</v>
      </c>
      <c r="L303" s="5" t="s">
        <v>3118</v>
      </c>
      <c r="M303" s="5" t="s">
        <v>3119</v>
      </c>
      <c r="N303" s="5" t="s">
        <v>3120</v>
      </c>
      <c r="O303" s="5" t="s">
        <v>3121</v>
      </c>
      <c r="P303" s="5">
        <v>10895094</v>
      </c>
    </row>
    <row r="304" spans="1:16" x14ac:dyDescent="0.45">
      <c r="A304" s="1" t="s">
        <v>298</v>
      </c>
      <c r="B304" s="2">
        <v>3010401</v>
      </c>
      <c r="C304" s="3" t="s">
        <v>3122</v>
      </c>
      <c r="D304" s="3" t="s">
        <v>3123</v>
      </c>
      <c r="E304" s="3" t="s">
        <v>630</v>
      </c>
      <c r="F304" s="5" t="s">
        <v>3124</v>
      </c>
      <c r="G304" s="5" t="s">
        <v>3125</v>
      </c>
      <c r="H304" s="5" t="s">
        <v>3126</v>
      </c>
      <c r="I304" s="5" t="s">
        <v>3127</v>
      </c>
      <c r="J304" s="5" t="s">
        <v>3128</v>
      </c>
      <c r="K304" s="5" t="s">
        <v>3129</v>
      </c>
      <c r="L304" s="5" t="s">
        <v>3130</v>
      </c>
      <c r="M304" s="5" t="s">
        <v>3131</v>
      </c>
      <c r="N304" s="5" t="s">
        <v>3132</v>
      </c>
      <c r="O304" s="5" t="s">
        <v>3133</v>
      </c>
      <c r="P304" s="5">
        <v>21280374</v>
      </c>
    </row>
    <row r="305" spans="1:16" x14ac:dyDescent="0.45">
      <c r="A305" s="1" t="s">
        <v>299</v>
      </c>
      <c r="B305" s="2">
        <v>4004236</v>
      </c>
      <c r="C305" s="3" t="s">
        <v>3134</v>
      </c>
      <c r="D305" s="3" t="s">
        <v>3135</v>
      </c>
      <c r="E305" s="3" t="s">
        <v>1664</v>
      </c>
      <c r="F305" s="5" t="s">
        <v>3136</v>
      </c>
      <c r="G305" s="5">
        <v>13305903</v>
      </c>
      <c r="H305" s="5" t="s">
        <v>3137</v>
      </c>
      <c r="I305" s="5" t="s">
        <v>3138</v>
      </c>
      <c r="J305" s="5" t="s">
        <v>3139</v>
      </c>
      <c r="K305" s="5" t="s">
        <v>3140</v>
      </c>
      <c r="L305" s="5">
        <v>8109784</v>
      </c>
      <c r="M305" s="5" t="s">
        <v>3141</v>
      </c>
      <c r="N305" s="5">
        <v>11042230</v>
      </c>
      <c r="O305" s="5" t="s">
        <v>3142</v>
      </c>
      <c r="P305" s="5" t="s">
        <v>3143</v>
      </c>
    </row>
    <row r="306" spans="1:16" x14ac:dyDescent="0.45">
      <c r="A306" s="1" t="s">
        <v>300</v>
      </c>
      <c r="B306" s="2">
        <v>4057051</v>
      </c>
      <c r="C306" s="3" t="s">
        <v>3144</v>
      </c>
      <c r="D306" s="3" t="s">
        <v>3145</v>
      </c>
      <c r="E306" s="3" t="s">
        <v>688</v>
      </c>
      <c r="F306" s="5" t="s">
        <v>3146</v>
      </c>
      <c r="G306" s="5" t="s">
        <v>3147</v>
      </c>
      <c r="H306" s="5" t="s">
        <v>3148</v>
      </c>
      <c r="I306" s="5" t="s">
        <v>3149</v>
      </c>
      <c r="J306" s="5" t="s">
        <v>3150</v>
      </c>
      <c r="K306" s="5" t="s">
        <v>3151</v>
      </c>
      <c r="L306" s="5" t="s">
        <v>3152</v>
      </c>
      <c r="M306" s="5" t="s">
        <v>3153</v>
      </c>
      <c r="N306" s="5" t="s">
        <v>3154</v>
      </c>
      <c r="O306" s="5" t="s">
        <v>3155</v>
      </c>
      <c r="P306" s="5">
        <v>3538902625</v>
      </c>
    </row>
    <row r="307" spans="1:16" x14ac:dyDescent="0.45">
      <c r="A307" s="1" t="s">
        <v>301</v>
      </c>
      <c r="B307" s="2">
        <v>4298336</v>
      </c>
      <c r="C307" s="3" t="s">
        <v>3156</v>
      </c>
      <c r="D307" s="3" t="s">
        <v>3157</v>
      </c>
      <c r="E307" s="3" t="s">
        <v>1766</v>
      </c>
      <c r="F307" s="5">
        <v>2638776057</v>
      </c>
      <c r="G307" s="5">
        <v>2700548832</v>
      </c>
      <c r="H307" s="5" t="s">
        <v>3158</v>
      </c>
      <c r="I307" s="5">
        <v>23203014375</v>
      </c>
      <c r="J307" s="5">
        <v>1867215624</v>
      </c>
      <c r="K307" s="5">
        <v>15093901771</v>
      </c>
      <c r="L307" s="5">
        <v>14183554695</v>
      </c>
      <c r="M307" s="5">
        <v>12817296735</v>
      </c>
      <c r="N307" s="5">
        <v>992568487</v>
      </c>
      <c r="O307" s="5">
        <v>7770025772</v>
      </c>
      <c r="P307" s="5">
        <v>5985355096</v>
      </c>
    </row>
    <row r="308" spans="1:16" x14ac:dyDescent="0.45">
      <c r="A308" s="1" t="s">
        <v>302</v>
      </c>
      <c r="B308" s="2">
        <v>4021829</v>
      </c>
      <c r="C308" s="3" t="s">
        <v>3159</v>
      </c>
      <c r="D308" s="3" t="s">
        <v>3160</v>
      </c>
      <c r="E308" s="3" t="s">
        <v>1593</v>
      </c>
      <c r="F308" s="5" t="s">
        <v>3161</v>
      </c>
      <c r="G308" s="5" t="s">
        <v>3162</v>
      </c>
      <c r="H308" s="5" t="s">
        <v>3163</v>
      </c>
      <c r="I308" s="5" t="s">
        <v>3164</v>
      </c>
      <c r="J308" s="5" t="s">
        <v>3165</v>
      </c>
      <c r="K308" s="5" t="s">
        <v>3166</v>
      </c>
      <c r="L308" s="5" t="s">
        <v>3167</v>
      </c>
      <c r="M308" s="5" t="s">
        <v>3168</v>
      </c>
      <c r="N308" s="5" t="s">
        <v>3169</v>
      </c>
      <c r="O308" s="5" t="s">
        <v>3170</v>
      </c>
      <c r="P308" s="5">
        <v>11222101</v>
      </c>
    </row>
    <row r="309" spans="1:16" x14ac:dyDescent="0.45">
      <c r="A309" s="1" t="s">
        <v>303</v>
      </c>
      <c r="B309" s="2">
        <v>100386</v>
      </c>
      <c r="C309" s="3" t="s">
        <v>3171</v>
      </c>
      <c r="D309" s="3" t="s">
        <v>3172</v>
      </c>
      <c r="E309" s="3" t="s">
        <v>761</v>
      </c>
      <c r="F309" s="5" t="s">
        <v>3173</v>
      </c>
      <c r="G309" s="5" t="s">
        <v>3174</v>
      </c>
      <c r="H309" s="5" t="s">
        <v>3175</v>
      </c>
      <c r="I309" s="5" t="s">
        <v>3176</v>
      </c>
      <c r="J309" s="5" t="s">
        <v>3177</v>
      </c>
      <c r="K309" s="5" t="s">
        <v>3178</v>
      </c>
      <c r="L309" s="5" t="s">
        <v>3179</v>
      </c>
      <c r="M309" s="5" t="s">
        <v>3180</v>
      </c>
      <c r="N309" s="5" t="s">
        <v>3181</v>
      </c>
      <c r="O309" s="5" t="s">
        <v>3182</v>
      </c>
      <c r="P309" s="5">
        <v>8015957425</v>
      </c>
    </row>
    <row r="310" spans="1:16" x14ac:dyDescent="0.45">
      <c r="A310" s="1" t="s">
        <v>304</v>
      </c>
      <c r="B310" s="2">
        <v>4069910</v>
      </c>
      <c r="C310" s="3" t="s">
        <v>3183</v>
      </c>
      <c r="D310" s="3" t="s">
        <v>3184</v>
      </c>
      <c r="E310" s="3" t="s">
        <v>978</v>
      </c>
      <c r="F310" s="5" t="s">
        <v>3185</v>
      </c>
      <c r="G310" s="5">
        <v>14768611</v>
      </c>
      <c r="H310" s="5" t="s">
        <v>3186</v>
      </c>
      <c r="I310" s="5" t="s">
        <v>3187</v>
      </c>
      <c r="J310" s="5" t="s">
        <v>3188</v>
      </c>
      <c r="K310" s="5" t="s">
        <v>3189</v>
      </c>
      <c r="L310" s="5" t="s">
        <v>3190</v>
      </c>
      <c r="M310" s="5" t="s">
        <v>3191</v>
      </c>
      <c r="N310" s="5" t="s">
        <v>3192</v>
      </c>
      <c r="O310" s="5" t="s">
        <v>3193</v>
      </c>
      <c r="P310" s="5" t="s">
        <v>3194</v>
      </c>
    </row>
    <row r="311" spans="1:16" x14ac:dyDescent="0.45">
      <c r="A311" s="1" t="s">
        <v>305</v>
      </c>
      <c r="B311" s="2">
        <v>4232236</v>
      </c>
      <c r="C311" s="3" t="s">
        <v>3195</v>
      </c>
      <c r="D311" s="3" t="s">
        <v>3196</v>
      </c>
      <c r="E311" s="3" t="s">
        <v>1083</v>
      </c>
      <c r="F311" s="5">
        <v>18821616096</v>
      </c>
      <c r="G311" s="5">
        <v>13768315301</v>
      </c>
      <c r="H311" s="5">
        <v>2721400929</v>
      </c>
      <c r="I311" s="5">
        <v>641805987</v>
      </c>
      <c r="J311" s="5">
        <v>2139029145</v>
      </c>
      <c r="K311" s="5">
        <v>35594808375</v>
      </c>
      <c r="L311" s="5">
        <v>58060324469</v>
      </c>
      <c r="M311" s="5">
        <v>52080850734</v>
      </c>
      <c r="N311" s="5">
        <v>47884051248</v>
      </c>
      <c r="O311" s="5">
        <v>42985878398</v>
      </c>
      <c r="P311" s="5" t="s">
        <v>3197</v>
      </c>
    </row>
    <row r="312" spans="1:16" x14ac:dyDescent="0.45">
      <c r="A312" s="1" t="s">
        <v>306</v>
      </c>
      <c r="B312" s="2">
        <v>4057436</v>
      </c>
      <c r="C312" s="3" t="s">
        <v>3198</v>
      </c>
      <c r="D312" s="3" t="s">
        <v>3199</v>
      </c>
      <c r="E312" s="3" t="s">
        <v>630</v>
      </c>
      <c r="F312" s="5" t="s">
        <v>3200</v>
      </c>
      <c r="G312" s="5" t="s">
        <v>3201</v>
      </c>
      <c r="H312" s="5" t="s">
        <v>3202</v>
      </c>
      <c r="I312" s="5" t="s">
        <v>3203</v>
      </c>
      <c r="J312" s="5">
        <v>3165480</v>
      </c>
      <c r="K312" s="5">
        <v>1373400</v>
      </c>
      <c r="L312" s="5" t="s">
        <v>3204</v>
      </c>
      <c r="M312" s="5">
        <v>-1061181</v>
      </c>
      <c r="N312" s="5" t="s">
        <v>3205</v>
      </c>
      <c r="O312" s="5" t="s">
        <v>3206</v>
      </c>
      <c r="P312" s="5" t="s">
        <v>3207</v>
      </c>
    </row>
    <row r="313" spans="1:16" x14ac:dyDescent="0.45">
      <c r="A313" s="1" t="s">
        <v>307</v>
      </c>
      <c r="B313" s="2">
        <v>4121108</v>
      </c>
      <c r="C313" s="3" t="s">
        <v>3208</v>
      </c>
      <c r="D313" s="3" t="s">
        <v>3209</v>
      </c>
      <c r="E313" s="3" t="s">
        <v>3210</v>
      </c>
      <c r="F313" s="5" t="s">
        <v>3211</v>
      </c>
      <c r="G313" s="5" t="s">
        <v>3212</v>
      </c>
      <c r="H313" s="5" t="s">
        <v>3213</v>
      </c>
      <c r="I313" s="5">
        <v>183115610442</v>
      </c>
      <c r="J313" s="5">
        <v>128411160642</v>
      </c>
      <c r="K313" s="5">
        <v>91820463675</v>
      </c>
      <c r="L313" s="5">
        <v>96160169336</v>
      </c>
      <c r="M313" s="5">
        <v>89103988512</v>
      </c>
      <c r="N313" s="5">
        <v>75658114464</v>
      </c>
      <c r="O313" s="5">
        <v>78196848884</v>
      </c>
      <c r="P313" s="5">
        <v>722777424775</v>
      </c>
    </row>
    <row r="314" spans="1:16" x14ac:dyDescent="0.45">
      <c r="A314" s="1" t="s">
        <v>308</v>
      </c>
      <c r="B314" s="2">
        <v>4094286</v>
      </c>
      <c r="C314" s="3" t="s">
        <v>3214</v>
      </c>
      <c r="D314" s="3" t="s">
        <v>3215</v>
      </c>
      <c r="E314" s="3" t="s">
        <v>559</v>
      </c>
      <c r="F314" s="5" t="s">
        <v>3216</v>
      </c>
      <c r="G314" s="5" t="s">
        <v>3217</v>
      </c>
      <c r="H314" s="5" t="s">
        <v>3218</v>
      </c>
      <c r="I314" s="5" t="s">
        <v>3219</v>
      </c>
      <c r="J314" s="5" t="s">
        <v>3220</v>
      </c>
      <c r="K314" s="5" t="s">
        <v>3221</v>
      </c>
      <c r="L314" s="5">
        <v>8188263</v>
      </c>
      <c r="M314" s="5" t="s">
        <v>3222</v>
      </c>
      <c r="N314" s="5" t="s">
        <v>3223</v>
      </c>
      <c r="O314" s="5" t="s">
        <v>3224</v>
      </c>
      <c r="P314" s="5" t="s">
        <v>3225</v>
      </c>
    </row>
    <row r="315" spans="1:16" x14ac:dyDescent="0.45">
      <c r="A315" s="1" t="s">
        <v>309</v>
      </c>
      <c r="B315" s="2">
        <v>4094401</v>
      </c>
      <c r="C315" s="3" t="s">
        <v>3226</v>
      </c>
      <c r="D315" s="3" t="s">
        <v>3227</v>
      </c>
      <c r="E315" s="3" t="s">
        <v>1626</v>
      </c>
      <c r="F315" s="5">
        <v>32917089273</v>
      </c>
      <c r="G315" s="5">
        <v>40665085448</v>
      </c>
      <c r="H315" s="5">
        <v>39487667075</v>
      </c>
      <c r="I315" s="5">
        <v>32813586093</v>
      </c>
      <c r="J315" s="5">
        <v>26399909754</v>
      </c>
      <c r="K315" s="5">
        <v>2536762995</v>
      </c>
      <c r="L315" s="5">
        <v>20862825284</v>
      </c>
      <c r="M315" s="5">
        <v>15795980508</v>
      </c>
      <c r="N315" s="5">
        <v>13370537376</v>
      </c>
      <c r="O315" s="5">
        <v>12356969593</v>
      </c>
      <c r="P315" s="5">
        <v>114096117375</v>
      </c>
    </row>
    <row r="316" spans="1:16" x14ac:dyDescent="0.45">
      <c r="A316" s="1" t="s">
        <v>310</v>
      </c>
      <c r="B316" s="2">
        <v>4203993</v>
      </c>
      <c r="C316" s="3" t="s">
        <v>3228</v>
      </c>
      <c r="D316" s="3" t="s">
        <v>3229</v>
      </c>
      <c r="E316" s="3" t="s">
        <v>559</v>
      </c>
      <c r="F316" s="5" t="s">
        <v>3230</v>
      </c>
      <c r="G316" s="5" t="s">
        <v>3231</v>
      </c>
      <c r="H316" s="5">
        <v>8106112</v>
      </c>
      <c r="I316" s="5">
        <v>7242318</v>
      </c>
      <c r="J316" s="5">
        <v>5952861</v>
      </c>
      <c r="K316" s="5" t="s">
        <v>3232</v>
      </c>
      <c r="L316" s="5" t="s">
        <v>3233</v>
      </c>
      <c r="M316" s="5">
        <v>9336646</v>
      </c>
      <c r="N316" s="5" t="s">
        <v>3234</v>
      </c>
      <c r="O316" s="5" t="s">
        <v>3235</v>
      </c>
      <c r="P316" s="5" t="s">
        <v>3236</v>
      </c>
    </row>
    <row r="317" spans="1:16" x14ac:dyDescent="0.45">
      <c r="A317" s="1" t="s">
        <v>311</v>
      </c>
      <c r="B317" s="2">
        <v>4930128</v>
      </c>
      <c r="C317" s="3" t="s">
        <v>3237</v>
      </c>
      <c r="D317" s="3" t="s">
        <v>3238</v>
      </c>
      <c r="E317" s="3" t="s">
        <v>959</v>
      </c>
      <c r="F317" s="5">
        <v>-6501468984</v>
      </c>
      <c r="G317" s="5">
        <v>-13242112299</v>
      </c>
      <c r="H317" s="5">
        <v>-15735248066</v>
      </c>
      <c r="I317" s="5">
        <v>-9925456464</v>
      </c>
      <c r="J317" s="5">
        <v>-584057439</v>
      </c>
      <c r="K317" s="5">
        <v>114660915</v>
      </c>
      <c r="L317" s="5">
        <v>354069674</v>
      </c>
      <c r="M317" s="5">
        <v>3088927578</v>
      </c>
      <c r="N317" s="5">
        <v>5438567088</v>
      </c>
      <c r="O317" s="5">
        <v>15413859328</v>
      </c>
      <c r="P317" s="5">
        <v>18058798655</v>
      </c>
    </row>
    <row r="318" spans="1:16" x14ac:dyDescent="0.45">
      <c r="A318" s="1" t="s">
        <v>312</v>
      </c>
      <c r="B318" s="2">
        <v>4010841</v>
      </c>
      <c r="C318" s="3" t="s">
        <v>3239</v>
      </c>
      <c r="D318" s="3" t="s">
        <v>3240</v>
      </c>
      <c r="E318" s="3" t="s">
        <v>1320</v>
      </c>
      <c r="F318" s="5" t="s">
        <v>3241</v>
      </c>
      <c r="G318" s="5">
        <v>33304232</v>
      </c>
      <c r="H318" s="5" t="s">
        <v>3242</v>
      </c>
      <c r="I318" s="5" t="s">
        <v>3243</v>
      </c>
      <c r="J318" s="5" t="s">
        <v>3244</v>
      </c>
      <c r="K318" s="5" t="s">
        <v>3245</v>
      </c>
      <c r="L318" s="5" t="s">
        <v>3246</v>
      </c>
      <c r="M318" s="5">
        <v>18629622</v>
      </c>
      <c r="N318" s="5" t="s">
        <v>3247</v>
      </c>
      <c r="O318" s="5" t="s">
        <v>3248</v>
      </c>
      <c r="P318" s="5" t="s">
        <v>3249</v>
      </c>
    </row>
    <row r="319" spans="1:16" x14ac:dyDescent="0.45">
      <c r="A319" s="1" t="s">
        <v>313</v>
      </c>
      <c r="B319" s="2">
        <v>4298644</v>
      </c>
      <c r="C319" s="3" t="s">
        <v>3250</v>
      </c>
      <c r="D319" s="3" t="s">
        <v>3251</v>
      </c>
      <c r="E319" s="3" t="s">
        <v>2570</v>
      </c>
      <c r="F319" s="5">
        <v>36717272469</v>
      </c>
      <c r="G319" s="5">
        <v>40998475492</v>
      </c>
      <c r="H319" s="5">
        <v>38520416117</v>
      </c>
      <c r="I319" s="5">
        <v>34180344369</v>
      </c>
      <c r="J319" s="5">
        <v>32356542951</v>
      </c>
      <c r="K319" s="5" t="s">
        <v>3252</v>
      </c>
      <c r="L319" s="5">
        <v>27452269187</v>
      </c>
      <c r="M319" s="5">
        <v>23411338522</v>
      </c>
      <c r="N319" s="5">
        <v>18961640112</v>
      </c>
      <c r="O319" s="5">
        <v>17536019734</v>
      </c>
      <c r="P319" s="5">
        <v>155112951775</v>
      </c>
    </row>
    <row r="320" spans="1:16" x14ac:dyDescent="0.45">
      <c r="A320" s="1" t="s">
        <v>314</v>
      </c>
      <c r="B320" s="2">
        <v>4070013</v>
      </c>
      <c r="C320" s="3" t="s">
        <v>3253</v>
      </c>
      <c r="D320" s="3" t="s">
        <v>3254</v>
      </c>
      <c r="E320" s="3" t="s">
        <v>3255</v>
      </c>
      <c r="F320" s="5" t="s">
        <v>3256</v>
      </c>
      <c r="G320" s="5" t="s">
        <v>3257</v>
      </c>
      <c r="H320" s="5" t="s">
        <v>3258</v>
      </c>
      <c r="I320" s="5" t="s">
        <v>3259</v>
      </c>
      <c r="J320" s="5" t="s">
        <v>3260</v>
      </c>
      <c r="K320" s="5" t="s">
        <v>3261</v>
      </c>
      <c r="L320" s="5" t="s">
        <v>3262</v>
      </c>
      <c r="M320" s="5" t="s">
        <v>3263</v>
      </c>
      <c r="N320" s="5" t="s">
        <v>3264</v>
      </c>
      <c r="O320" s="5" t="s">
        <v>3265</v>
      </c>
      <c r="P320" s="5">
        <v>2815008975</v>
      </c>
    </row>
    <row r="321" spans="1:16" x14ac:dyDescent="0.45">
      <c r="A321" s="1" t="s">
        <v>315</v>
      </c>
      <c r="B321" s="2">
        <v>4133677</v>
      </c>
      <c r="C321" s="3" t="s">
        <v>3266</v>
      </c>
      <c r="D321" s="3" t="s">
        <v>3267</v>
      </c>
      <c r="E321" s="3" t="s">
        <v>559</v>
      </c>
      <c r="F321" s="5" t="s">
        <v>3268</v>
      </c>
      <c r="G321" s="5" t="s">
        <v>3269</v>
      </c>
      <c r="H321" s="5" t="s">
        <v>3270</v>
      </c>
      <c r="I321" s="5" t="s">
        <v>3271</v>
      </c>
      <c r="J321" s="5" t="s">
        <v>3272</v>
      </c>
      <c r="K321" s="5" t="s">
        <v>3273</v>
      </c>
      <c r="L321" s="5" t="s">
        <v>3274</v>
      </c>
      <c r="M321" s="5" t="s">
        <v>3275</v>
      </c>
      <c r="N321" s="5" t="s">
        <v>3276</v>
      </c>
      <c r="O321" s="5" t="s">
        <v>3277</v>
      </c>
      <c r="P321" s="5">
        <v>1502571925</v>
      </c>
    </row>
    <row r="322" spans="1:16" x14ac:dyDescent="0.45">
      <c r="A322" s="1" t="s">
        <v>316</v>
      </c>
      <c r="B322" s="2">
        <v>4010846</v>
      </c>
      <c r="C322" s="3" t="s">
        <v>3278</v>
      </c>
      <c r="D322" s="3" t="s">
        <v>3279</v>
      </c>
      <c r="E322" s="3" t="s">
        <v>2664</v>
      </c>
      <c r="F322" s="5" t="s">
        <v>3280</v>
      </c>
      <c r="G322" s="5" t="s">
        <v>3281</v>
      </c>
      <c r="H322" s="5" t="s">
        <v>3282</v>
      </c>
      <c r="I322" s="5" t="s">
        <v>3283</v>
      </c>
      <c r="J322" s="5">
        <v>52891328259</v>
      </c>
      <c r="K322" s="5">
        <v>4939660365</v>
      </c>
      <c r="L322" s="5">
        <v>55479449361</v>
      </c>
      <c r="M322" s="5">
        <v>57465728562</v>
      </c>
      <c r="N322" s="5">
        <v>47347611456</v>
      </c>
      <c r="O322" s="5">
        <v>32482111795</v>
      </c>
      <c r="P322" s="5">
        <v>3467853872</v>
      </c>
    </row>
    <row r="323" spans="1:16" x14ac:dyDescent="0.45">
      <c r="A323" s="1" t="s">
        <v>317</v>
      </c>
      <c r="B323" s="2">
        <v>4041363</v>
      </c>
      <c r="C323" s="3" t="s">
        <v>3284</v>
      </c>
      <c r="D323" s="3" t="s">
        <v>3285</v>
      </c>
      <c r="E323" s="3" t="s">
        <v>2117</v>
      </c>
      <c r="F323" s="5" t="s">
        <v>3286</v>
      </c>
      <c r="G323" s="5" t="s">
        <v>3287</v>
      </c>
      <c r="H323" s="5" t="s">
        <v>3288</v>
      </c>
      <c r="I323" s="5" t="s">
        <v>3289</v>
      </c>
      <c r="J323" s="5" t="s">
        <v>3290</v>
      </c>
      <c r="K323" s="5" t="s">
        <v>3291</v>
      </c>
      <c r="L323" s="5" t="s">
        <v>3292</v>
      </c>
      <c r="M323" s="5" t="s">
        <v>3293</v>
      </c>
      <c r="N323" s="5">
        <v>48278940</v>
      </c>
      <c r="O323" s="5" t="s">
        <v>3294</v>
      </c>
      <c r="P323" s="5" t="s">
        <v>3295</v>
      </c>
    </row>
    <row r="324" spans="1:16" x14ac:dyDescent="0.45">
      <c r="A324" s="1" t="s">
        <v>318</v>
      </c>
      <c r="B324" s="2">
        <v>4001586</v>
      </c>
      <c r="C324" s="3" t="s">
        <v>3296</v>
      </c>
      <c r="D324" s="3" t="s">
        <v>3297</v>
      </c>
      <c r="E324" s="3" t="s">
        <v>1220</v>
      </c>
      <c r="F324" s="5" t="s">
        <v>3298</v>
      </c>
      <c r="G324" s="5" t="s">
        <v>3299</v>
      </c>
      <c r="H324" s="5" t="s">
        <v>3300</v>
      </c>
      <c r="I324" s="5" t="s">
        <v>3301</v>
      </c>
      <c r="J324" s="5" t="s">
        <v>3302</v>
      </c>
      <c r="K324" s="5">
        <v>8493825</v>
      </c>
      <c r="L324" s="5" t="s">
        <v>3303</v>
      </c>
      <c r="M324" s="5" t="s">
        <v>3304</v>
      </c>
      <c r="N324" s="5" t="s">
        <v>3305</v>
      </c>
      <c r="O324" s="5" t="s">
        <v>3306</v>
      </c>
      <c r="P324" s="5" t="s">
        <v>3307</v>
      </c>
    </row>
    <row r="325" spans="1:16" x14ac:dyDescent="0.45">
      <c r="A325" s="1" t="s">
        <v>319</v>
      </c>
      <c r="B325" s="2">
        <v>4062146</v>
      </c>
      <c r="C325" s="3" t="s">
        <v>3308</v>
      </c>
      <c r="D325" s="3" t="s">
        <v>3309</v>
      </c>
      <c r="E325" s="3" t="s">
        <v>677</v>
      </c>
      <c r="F325" s="5" t="s">
        <v>3310</v>
      </c>
      <c r="G325" s="5" t="s">
        <v>3311</v>
      </c>
      <c r="H325" s="5" t="s">
        <v>3312</v>
      </c>
      <c r="I325" s="5" t="s">
        <v>3313</v>
      </c>
      <c r="J325" s="5" t="s">
        <v>3314</v>
      </c>
      <c r="K325" s="5" t="s">
        <v>3315</v>
      </c>
      <c r="L325" s="5" t="s">
        <v>3316</v>
      </c>
      <c r="M325" s="5" t="s">
        <v>3317</v>
      </c>
      <c r="N325" s="5" t="s">
        <v>3318</v>
      </c>
      <c r="O325" s="5" t="s">
        <v>3319</v>
      </c>
      <c r="P325" s="5">
        <v>1503860975</v>
      </c>
    </row>
    <row r="326" spans="1:16" x14ac:dyDescent="0.45">
      <c r="A326" s="1" t="s">
        <v>320</v>
      </c>
      <c r="B326" s="2">
        <v>4318651</v>
      </c>
      <c r="C326" s="3" t="s">
        <v>3320</v>
      </c>
      <c r="D326" s="3" t="s">
        <v>3321</v>
      </c>
      <c r="E326" s="3" t="s">
        <v>2117</v>
      </c>
      <c r="F326" s="5" t="s">
        <v>3322</v>
      </c>
      <c r="G326" s="5" t="s">
        <v>3323</v>
      </c>
      <c r="H326" s="5" t="s">
        <v>3324</v>
      </c>
      <c r="I326" s="5">
        <v>205884</v>
      </c>
      <c r="J326" s="5" t="s">
        <v>3325</v>
      </c>
      <c r="K326" s="5" t="s">
        <v>3326</v>
      </c>
      <c r="L326" s="5" t="s">
        <v>3327</v>
      </c>
      <c r="M326" s="5" t="s">
        <v>3328</v>
      </c>
      <c r="N326" s="5" t="s">
        <v>3329</v>
      </c>
      <c r="O326" s="5">
        <v>800890755</v>
      </c>
      <c r="P326" s="5">
        <v>441622685</v>
      </c>
    </row>
    <row r="327" spans="1:16" x14ac:dyDescent="0.45">
      <c r="A327" s="1" t="s">
        <v>321</v>
      </c>
      <c r="B327" s="2">
        <v>4074329</v>
      </c>
      <c r="C327" s="3" t="s">
        <v>3330</v>
      </c>
      <c r="D327" s="3" t="s">
        <v>3331</v>
      </c>
      <c r="E327" s="3" t="s">
        <v>3332</v>
      </c>
      <c r="F327" s="5" t="s">
        <v>3333</v>
      </c>
      <c r="G327" s="5" t="s">
        <v>3334</v>
      </c>
      <c r="H327" s="5">
        <v>20853335</v>
      </c>
      <c r="I327" s="5" t="s">
        <v>3335</v>
      </c>
      <c r="J327" s="5" t="s">
        <v>3336</v>
      </c>
      <c r="K327" s="5" t="s">
        <v>3337</v>
      </c>
      <c r="L327" s="5" t="s">
        <v>3338</v>
      </c>
      <c r="M327" s="5" t="s">
        <v>3339</v>
      </c>
      <c r="N327" s="5" t="s">
        <v>3340</v>
      </c>
      <c r="O327" s="5" t="s">
        <v>3341</v>
      </c>
      <c r="P327" s="5" t="s">
        <v>3342</v>
      </c>
    </row>
    <row r="328" spans="1:16" x14ac:dyDescent="0.45">
      <c r="A328" s="1" t="s">
        <v>322</v>
      </c>
      <c r="B328" s="2">
        <v>4004412</v>
      </c>
      <c r="C328" s="3" t="s">
        <v>3343</v>
      </c>
      <c r="D328" s="3" t="s">
        <v>3344</v>
      </c>
      <c r="E328" s="3" t="s">
        <v>1766</v>
      </c>
      <c r="F328" s="5" t="s">
        <v>3345</v>
      </c>
      <c r="G328" s="5" t="s">
        <v>3346</v>
      </c>
      <c r="H328" s="5">
        <v>9469863564</v>
      </c>
      <c r="I328" s="5">
        <v>8475399472</v>
      </c>
      <c r="J328" s="5">
        <v>7096089278</v>
      </c>
      <c r="K328" s="5">
        <v>5546436822</v>
      </c>
      <c r="L328" s="5">
        <v>52448119776</v>
      </c>
      <c r="M328" s="5">
        <v>50273140503</v>
      </c>
      <c r="N328" s="5">
        <v>4616828769</v>
      </c>
      <c r="O328" s="5">
        <v>41228706051</v>
      </c>
      <c r="P328" s="5">
        <v>458532006975</v>
      </c>
    </row>
    <row r="329" spans="1:16" x14ac:dyDescent="0.45">
      <c r="A329" s="1" t="s">
        <v>323</v>
      </c>
      <c r="B329" s="2">
        <v>4070114</v>
      </c>
      <c r="C329" s="3" t="s">
        <v>3347</v>
      </c>
      <c r="D329" s="3" t="s">
        <v>3348</v>
      </c>
      <c r="E329" s="3" t="s">
        <v>947</v>
      </c>
      <c r="F329" s="5" t="s">
        <v>3349</v>
      </c>
      <c r="G329" s="5" t="s">
        <v>3350</v>
      </c>
      <c r="H329" s="5" t="s">
        <v>3351</v>
      </c>
      <c r="I329" s="5" t="s">
        <v>3352</v>
      </c>
      <c r="J329" s="5" t="s">
        <v>3353</v>
      </c>
      <c r="K329" s="5" t="s">
        <v>3354</v>
      </c>
      <c r="L329" s="5" t="s">
        <v>3355</v>
      </c>
      <c r="M329" s="5" t="s">
        <v>3356</v>
      </c>
      <c r="N329" s="5">
        <v>1740217</v>
      </c>
      <c r="O329" s="5">
        <v>1717758035</v>
      </c>
      <c r="P329" s="5">
        <v>1626858325</v>
      </c>
    </row>
    <row r="330" spans="1:16" x14ac:dyDescent="0.45">
      <c r="A330" s="1" t="s">
        <v>324</v>
      </c>
      <c r="B330" s="2">
        <v>4580296</v>
      </c>
      <c r="C330" s="3" t="s">
        <v>3357</v>
      </c>
      <c r="D330" s="3" t="s">
        <v>3358</v>
      </c>
      <c r="E330" s="3" t="s">
        <v>711</v>
      </c>
      <c r="F330" s="5" t="s">
        <v>3359</v>
      </c>
      <c r="G330" s="5" t="s">
        <v>3360</v>
      </c>
      <c r="H330" s="5" t="s">
        <v>3361</v>
      </c>
      <c r="I330" s="5" t="s">
        <v>3362</v>
      </c>
      <c r="J330" s="5" t="s">
        <v>3363</v>
      </c>
      <c r="K330" s="5" t="s">
        <v>3364</v>
      </c>
      <c r="L330" s="5" t="s">
        <v>3365</v>
      </c>
      <c r="M330" s="5" t="s">
        <v>3366</v>
      </c>
      <c r="N330" s="5" t="s">
        <v>3367</v>
      </c>
      <c r="O330" s="5" t="s">
        <v>3368</v>
      </c>
      <c r="P330" s="5" t="s">
        <v>3369</v>
      </c>
    </row>
    <row r="331" spans="1:16" x14ac:dyDescent="0.45">
      <c r="A331" s="1" t="s">
        <v>325</v>
      </c>
      <c r="B331" s="2">
        <v>4765589</v>
      </c>
      <c r="C331" s="3" t="s">
        <v>3370</v>
      </c>
      <c r="D331" s="3" t="s">
        <v>3371</v>
      </c>
      <c r="E331" s="3" t="s">
        <v>1766</v>
      </c>
      <c r="F331" s="5" t="s">
        <v>3372</v>
      </c>
      <c r="G331" s="5" t="s">
        <v>3373</v>
      </c>
      <c r="H331" s="5" t="s">
        <v>3374</v>
      </c>
      <c r="I331" s="5" t="s">
        <v>3375</v>
      </c>
      <c r="J331" s="5" t="s">
        <v>3376</v>
      </c>
      <c r="K331" s="5" t="s">
        <v>3377</v>
      </c>
      <c r="L331" s="5" t="s">
        <v>3378</v>
      </c>
      <c r="M331" s="5" t="s">
        <v>3379</v>
      </c>
      <c r="N331" s="5" t="s">
        <v>3380</v>
      </c>
      <c r="O331" s="5" t="s">
        <v>3381</v>
      </c>
      <c r="P331" s="5" t="s">
        <v>3382</v>
      </c>
    </row>
    <row r="332" spans="1:16" x14ac:dyDescent="0.45">
      <c r="A332" s="1" t="s">
        <v>326</v>
      </c>
      <c r="B332" s="2">
        <v>4004166</v>
      </c>
      <c r="C332" s="3" t="s">
        <v>3383</v>
      </c>
      <c r="D332" s="3" t="s">
        <v>3384</v>
      </c>
      <c r="E332" s="3" t="s">
        <v>2620</v>
      </c>
      <c r="F332" s="5">
        <v>17464950</v>
      </c>
      <c r="G332" s="5" t="s">
        <v>3385</v>
      </c>
      <c r="H332" s="5" t="s">
        <v>3386</v>
      </c>
      <c r="I332" s="5" t="s">
        <v>3387</v>
      </c>
      <c r="J332" s="5" t="s">
        <v>3388</v>
      </c>
      <c r="K332" s="5" t="s">
        <v>3389</v>
      </c>
      <c r="L332" s="5" t="s">
        <v>3390</v>
      </c>
      <c r="M332" s="5" t="s">
        <v>3391</v>
      </c>
      <c r="N332" s="5" t="s">
        <v>3392</v>
      </c>
      <c r="O332" s="5" t="s">
        <v>3393</v>
      </c>
      <c r="P332" s="5" t="s">
        <v>3394</v>
      </c>
    </row>
    <row r="333" spans="1:16" x14ac:dyDescent="0.45">
      <c r="A333" s="1" t="s">
        <v>327</v>
      </c>
      <c r="B333" s="2">
        <v>3009080</v>
      </c>
      <c r="C333" s="3" t="s">
        <v>3395</v>
      </c>
      <c r="D333" s="3" t="s">
        <v>3396</v>
      </c>
      <c r="E333" s="3" t="s">
        <v>1103</v>
      </c>
      <c r="F333" s="5" t="s">
        <v>3397</v>
      </c>
      <c r="G333" s="5" t="s">
        <v>3398</v>
      </c>
      <c r="H333" s="5" t="s">
        <v>3399</v>
      </c>
      <c r="I333" s="5" t="s">
        <v>3400</v>
      </c>
      <c r="J333" s="5" t="s">
        <v>3401</v>
      </c>
      <c r="K333" s="5" t="s">
        <v>3402</v>
      </c>
      <c r="L333" s="5" t="s">
        <v>3403</v>
      </c>
      <c r="M333" s="5" t="s">
        <v>3404</v>
      </c>
      <c r="N333" s="5" t="s">
        <v>3405</v>
      </c>
      <c r="O333" s="5">
        <v>56686432</v>
      </c>
      <c r="P333" s="5" t="s">
        <v>3406</v>
      </c>
    </row>
    <row r="334" spans="1:16" x14ac:dyDescent="0.45">
      <c r="A334" s="1" t="s">
        <v>328</v>
      </c>
      <c r="B334" s="2">
        <v>4057057</v>
      </c>
      <c r="C334" s="3" t="s">
        <v>3407</v>
      </c>
      <c r="D334" s="3" t="s">
        <v>3408</v>
      </c>
      <c r="E334" s="3" t="s">
        <v>630</v>
      </c>
      <c r="F334" s="5" t="s">
        <v>3409</v>
      </c>
      <c r="G334" s="5" t="s">
        <v>3410</v>
      </c>
      <c r="H334" s="5" t="s">
        <v>3411</v>
      </c>
      <c r="I334" s="5" t="s">
        <v>3412</v>
      </c>
      <c r="J334" s="5" t="s">
        <v>3413</v>
      </c>
      <c r="K334" s="5" t="s">
        <v>3414</v>
      </c>
      <c r="L334" s="5" t="s">
        <v>3415</v>
      </c>
      <c r="M334" s="5" t="s">
        <v>3416</v>
      </c>
      <c r="N334" s="5" t="s">
        <v>3417</v>
      </c>
      <c r="O334" s="5" t="s">
        <v>3418</v>
      </c>
      <c r="P334" s="5">
        <v>15494381</v>
      </c>
    </row>
    <row r="335" spans="1:16" x14ac:dyDescent="0.45">
      <c r="A335" s="1" t="s">
        <v>329</v>
      </c>
      <c r="B335" s="2">
        <v>4913068</v>
      </c>
      <c r="C335" s="3" t="s">
        <v>3419</v>
      </c>
      <c r="D335" s="3" t="s">
        <v>3420</v>
      </c>
      <c r="E335" s="3" t="s">
        <v>654</v>
      </c>
      <c r="F335" s="5" t="s">
        <v>3421</v>
      </c>
      <c r="G335" s="5">
        <v>-9533433</v>
      </c>
      <c r="H335" s="5" t="s">
        <v>3422</v>
      </c>
      <c r="I335" s="5" t="s">
        <v>3423</v>
      </c>
      <c r="J335" s="5" t="s">
        <v>3424</v>
      </c>
      <c r="K335" s="5" t="s">
        <v>3425</v>
      </c>
      <c r="L335" s="5" t="s">
        <v>3426</v>
      </c>
      <c r="M335" s="5" t="s">
        <v>3427</v>
      </c>
      <c r="N335" s="5">
        <v>-8519544</v>
      </c>
      <c r="O335" s="5">
        <v>-10325570</v>
      </c>
      <c r="P335" s="5">
        <v>-10566527</v>
      </c>
    </row>
    <row r="336" spans="1:16" x14ac:dyDescent="0.45">
      <c r="A336" s="1" t="s">
        <v>330</v>
      </c>
      <c r="B336" s="2">
        <v>4095021</v>
      </c>
      <c r="C336" s="3" t="s">
        <v>3428</v>
      </c>
      <c r="D336" s="3" t="s">
        <v>3429</v>
      </c>
      <c r="E336" s="3" t="s">
        <v>2825</v>
      </c>
      <c r="F336" s="5" t="s">
        <v>3430</v>
      </c>
      <c r="G336" s="5" t="s">
        <v>3431</v>
      </c>
      <c r="H336" s="5">
        <v>28633755</v>
      </c>
      <c r="I336" s="5" t="s">
        <v>3432</v>
      </c>
      <c r="J336" s="5" t="s">
        <v>3433</v>
      </c>
      <c r="K336" s="5" t="s">
        <v>3434</v>
      </c>
      <c r="L336" s="5" t="s">
        <v>3435</v>
      </c>
      <c r="M336" s="5" t="s">
        <v>3436</v>
      </c>
      <c r="N336" s="5" t="s">
        <v>3437</v>
      </c>
      <c r="O336" s="5" t="s">
        <v>3438</v>
      </c>
      <c r="P336" s="5" t="s">
        <v>3439</v>
      </c>
    </row>
    <row r="337" spans="1:16" x14ac:dyDescent="0.45">
      <c r="A337" s="1" t="s">
        <v>331</v>
      </c>
      <c r="B337" s="2">
        <v>4056951</v>
      </c>
      <c r="C337" s="3" t="s">
        <v>3440</v>
      </c>
      <c r="D337" s="3" t="s">
        <v>3441</v>
      </c>
      <c r="E337" s="3" t="s">
        <v>630</v>
      </c>
      <c r="F337" s="5">
        <v>60360617775</v>
      </c>
      <c r="G337" s="5">
        <v>66236380002</v>
      </c>
      <c r="H337" s="5">
        <v>56859146514</v>
      </c>
      <c r="I337" s="5">
        <v>57637959732</v>
      </c>
      <c r="J337" s="5">
        <v>5294669778</v>
      </c>
      <c r="K337" s="5">
        <v>47029082775</v>
      </c>
      <c r="L337" s="5">
        <v>49484458268</v>
      </c>
      <c r="M337" s="5">
        <v>4671558947</v>
      </c>
      <c r="N337" s="5">
        <v>4277035944</v>
      </c>
      <c r="O337" s="5">
        <v>46757894376</v>
      </c>
      <c r="P337" s="5">
        <v>434544003275</v>
      </c>
    </row>
    <row r="338" spans="1:16" x14ac:dyDescent="0.45">
      <c r="A338" s="1" t="s">
        <v>332</v>
      </c>
      <c r="B338" s="2">
        <v>4104752</v>
      </c>
      <c r="C338" s="3" t="s">
        <v>3442</v>
      </c>
      <c r="D338" s="3" t="s">
        <v>3443</v>
      </c>
      <c r="E338" s="3" t="s">
        <v>2226</v>
      </c>
      <c r="F338" s="5">
        <v>10094595393</v>
      </c>
      <c r="G338" s="5">
        <v>12300398435</v>
      </c>
      <c r="H338" s="5">
        <v>11876783989</v>
      </c>
      <c r="I338" s="5">
        <v>11557710258</v>
      </c>
      <c r="J338" s="5">
        <v>9420758649</v>
      </c>
      <c r="K338" s="5">
        <v>522766725</v>
      </c>
      <c r="L338" s="5">
        <v>365511398</v>
      </c>
      <c r="M338" s="5">
        <v>195283506</v>
      </c>
      <c r="N338" s="5">
        <v>1858359888</v>
      </c>
      <c r="O338" s="5">
        <v>1965619081</v>
      </c>
      <c r="P338" s="5">
        <v>237929166</v>
      </c>
    </row>
    <row r="339" spans="1:16" x14ac:dyDescent="0.45">
      <c r="A339" s="1" t="s">
        <v>333</v>
      </c>
      <c r="B339" s="2">
        <v>4062397</v>
      </c>
      <c r="C339" s="3" t="s">
        <v>3444</v>
      </c>
      <c r="D339" s="3" t="s">
        <v>3445</v>
      </c>
      <c r="E339" s="3" t="s">
        <v>609</v>
      </c>
      <c r="F339" s="5" t="s">
        <v>3446</v>
      </c>
      <c r="G339" s="5" t="s">
        <v>3447</v>
      </c>
      <c r="H339" s="5" t="s">
        <v>3448</v>
      </c>
      <c r="I339" s="5" t="s">
        <v>3449</v>
      </c>
      <c r="J339" s="5" t="s">
        <v>3450</v>
      </c>
      <c r="K339" s="5" t="s">
        <v>3451</v>
      </c>
      <c r="L339" s="5" t="s">
        <v>3452</v>
      </c>
      <c r="M339" s="5" t="s">
        <v>3453</v>
      </c>
      <c r="N339" s="5" t="s">
        <v>3454</v>
      </c>
      <c r="O339" s="5" t="s">
        <v>3455</v>
      </c>
      <c r="P339" s="5" t="s">
        <v>3456</v>
      </c>
    </row>
    <row r="340" spans="1:16" x14ac:dyDescent="0.45">
      <c r="A340" s="1" t="s">
        <v>334</v>
      </c>
      <c r="B340" s="2">
        <v>4057058</v>
      </c>
      <c r="C340" s="3" t="s">
        <v>3457</v>
      </c>
      <c r="D340" s="3" t="s">
        <v>3458</v>
      </c>
      <c r="E340" s="3" t="s">
        <v>630</v>
      </c>
      <c r="F340" s="5" t="s">
        <v>3459</v>
      </c>
      <c r="G340" s="5" t="s">
        <v>3460</v>
      </c>
      <c r="H340" s="5" t="s">
        <v>3461</v>
      </c>
      <c r="I340" s="5" t="s">
        <v>3462</v>
      </c>
      <c r="J340" s="5" t="s">
        <v>3463</v>
      </c>
      <c r="K340" s="5" t="s">
        <v>3464</v>
      </c>
      <c r="L340" s="5" t="s">
        <v>3465</v>
      </c>
      <c r="M340" s="5" t="s">
        <v>3466</v>
      </c>
      <c r="N340" s="5" t="s">
        <v>3467</v>
      </c>
      <c r="O340" s="5" t="s">
        <v>3468</v>
      </c>
      <c r="P340" s="5" t="s">
        <v>3469</v>
      </c>
    </row>
    <row r="341" spans="1:16" x14ac:dyDescent="0.45">
      <c r="A341" s="1" t="s">
        <v>335</v>
      </c>
      <c r="B341" s="2">
        <v>110230</v>
      </c>
      <c r="C341" s="3" t="s">
        <v>3470</v>
      </c>
      <c r="D341" s="3" t="s">
        <v>3471</v>
      </c>
      <c r="E341" s="3" t="s">
        <v>570</v>
      </c>
      <c r="F341" s="5" t="s">
        <v>3472</v>
      </c>
      <c r="G341" s="5" t="s">
        <v>3473</v>
      </c>
      <c r="H341" s="5" t="s">
        <v>3474</v>
      </c>
      <c r="I341" s="5" t="s">
        <v>3475</v>
      </c>
      <c r="J341" s="5" t="s">
        <v>3476</v>
      </c>
      <c r="K341" s="5" t="s">
        <v>3477</v>
      </c>
      <c r="L341" s="5" t="s">
        <v>3478</v>
      </c>
      <c r="M341" s="5" t="s">
        <v>3479</v>
      </c>
      <c r="N341" s="5" t="s">
        <v>3480</v>
      </c>
      <c r="O341" s="5" t="s">
        <v>3481</v>
      </c>
      <c r="P341" s="5">
        <v>8713149325</v>
      </c>
    </row>
    <row r="342" spans="1:16" x14ac:dyDescent="0.45">
      <c r="A342" s="1" t="s">
        <v>336</v>
      </c>
      <c r="B342" s="2">
        <v>103146</v>
      </c>
      <c r="C342" s="3" t="s">
        <v>3482</v>
      </c>
      <c r="D342" s="3" t="s">
        <v>3483</v>
      </c>
      <c r="E342" s="3" t="s">
        <v>3484</v>
      </c>
      <c r="F342" s="5">
        <v>491890886136</v>
      </c>
      <c r="G342" s="5">
        <v>56617938143</v>
      </c>
      <c r="H342" s="5">
        <v>52313119484</v>
      </c>
      <c r="I342" s="5">
        <v>541424961201</v>
      </c>
      <c r="J342" s="5">
        <v>33186725253</v>
      </c>
      <c r="K342" s="5" t="s">
        <v>3485</v>
      </c>
      <c r="L342" s="5">
        <v>232325667224</v>
      </c>
      <c r="M342" s="5">
        <v>225344955792</v>
      </c>
      <c r="N342" s="5">
        <v>155781411048</v>
      </c>
      <c r="O342" s="5">
        <v>17485396022</v>
      </c>
      <c r="P342" s="5">
        <v>16960984747</v>
      </c>
    </row>
    <row r="343" spans="1:16" x14ac:dyDescent="0.45">
      <c r="A343" s="1" t="s">
        <v>337</v>
      </c>
      <c r="B343" s="2">
        <v>4072932</v>
      </c>
      <c r="C343" s="3" t="s">
        <v>3486</v>
      </c>
      <c r="D343" s="3" t="s">
        <v>3487</v>
      </c>
      <c r="E343" s="3" t="s">
        <v>570</v>
      </c>
      <c r="F343" s="5" t="s">
        <v>3488</v>
      </c>
      <c r="G343" s="5" t="s">
        <v>3489</v>
      </c>
      <c r="H343" s="5" t="s">
        <v>3490</v>
      </c>
      <c r="I343" s="5" t="s">
        <v>3491</v>
      </c>
      <c r="J343" s="5" t="s">
        <v>3492</v>
      </c>
      <c r="K343" s="5">
        <v>55761675</v>
      </c>
      <c r="L343" s="5" t="s">
        <v>3493</v>
      </c>
      <c r="M343" s="5" t="s">
        <v>3494</v>
      </c>
      <c r="N343" s="5" t="s">
        <v>3495</v>
      </c>
      <c r="O343" s="5" t="s">
        <v>3496</v>
      </c>
      <c r="P343" s="5" t="s">
        <v>3497</v>
      </c>
    </row>
    <row r="344" spans="1:16" x14ac:dyDescent="0.45">
      <c r="A344" s="1" t="s">
        <v>338</v>
      </c>
      <c r="B344" s="2">
        <v>4391244</v>
      </c>
      <c r="C344" s="3" t="s">
        <v>3498</v>
      </c>
      <c r="D344" s="3" t="s">
        <v>3499</v>
      </c>
      <c r="E344" s="3" t="s">
        <v>551</v>
      </c>
      <c r="F344" s="5">
        <v>32610949767</v>
      </c>
      <c r="G344" s="5">
        <v>28820292468</v>
      </c>
      <c r="H344" s="5">
        <v>2529503592</v>
      </c>
      <c r="I344" s="5">
        <v>23414954732</v>
      </c>
      <c r="J344" s="5">
        <v>17587901904</v>
      </c>
      <c r="K344" s="5">
        <v>12248119968</v>
      </c>
      <c r="L344" s="5">
        <v>11023523658</v>
      </c>
      <c r="M344" s="5">
        <v>7527587523</v>
      </c>
      <c r="N344" s="5">
        <v>7491673996</v>
      </c>
      <c r="O344" s="5">
        <v>7496778069</v>
      </c>
      <c r="P344" s="5">
        <v>77075622455</v>
      </c>
    </row>
    <row r="345" spans="1:16" x14ac:dyDescent="0.45">
      <c r="A345" s="1" t="s">
        <v>339</v>
      </c>
      <c r="B345" s="2">
        <v>4050911</v>
      </c>
      <c r="C345" s="3" t="s">
        <v>3500</v>
      </c>
      <c r="D345" s="3" t="s">
        <v>3501</v>
      </c>
      <c r="E345" s="3" t="s">
        <v>688</v>
      </c>
      <c r="F345" s="5" t="s">
        <v>3502</v>
      </c>
      <c r="G345" s="5" t="s">
        <v>3503</v>
      </c>
      <c r="H345" s="5" t="s">
        <v>3504</v>
      </c>
      <c r="I345" s="5" t="s">
        <v>3505</v>
      </c>
      <c r="J345" s="5" t="s">
        <v>3506</v>
      </c>
      <c r="K345" s="5">
        <v>13066920</v>
      </c>
      <c r="L345" s="5" t="s">
        <v>3507</v>
      </c>
      <c r="M345" s="5" t="s">
        <v>3508</v>
      </c>
      <c r="N345" s="5" t="s">
        <v>3509</v>
      </c>
      <c r="O345" s="5">
        <v>12438049</v>
      </c>
      <c r="P345" s="5" t="s">
        <v>3510</v>
      </c>
    </row>
    <row r="346" spans="1:16" x14ac:dyDescent="0.45">
      <c r="A346" s="1" t="s">
        <v>340</v>
      </c>
      <c r="B346" s="2">
        <v>103016</v>
      </c>
      <c r="C346" s="3" t="s">
        <v>3511</v>
      </c>
      <c r="D346" s="3" t="s">
        <v>3512</v>
      </c>
      <c r="E346" s="3" t="s">
        <v>2008</v>
      </c>
      <c r="F346" s="5">
        <v>79564400178</v>
      </c>
      <c r="G346" s="5">
        <v>94790064668</v>
      </c>
      <c r="H346" s="5">
        <v>91437540462</v>
      </c>
      <c r="I346" s="5">
        <v>95130756957</v>
      </c>
      <c r="J346" s="5">
        <v>82861169634</v>
      </c>
      <c r="K346" s="5">
        <v>72568649325</v>
      </c>
      <c r="L346" s="5">
        <v>80908912637</v>
      </c>
      <c r="M346" s="5">
        <v>79870054352</v>
      </c>
      <c r="N346" s="5">
        <v>74655265032</v>
      </c>
      <c r="O346" s="5">
        <v>89440788342</v>
      </c>
      <c r="P346" s="5">
        <v>84687251885</v>
      </c>
    </row>
    <row r="347" spans="1:16" x14ac:dyDescent="0.45">
      <c r="A347" s="1" t="s">
        <v>341</v>
      </c>
      <c r="B347" s="2">
        <v>4006246</v>
      </c>
      <c r="C347" s="3" t="s">
        <v>3513</v>
      </c>
      <c r="D347" s="3" t="s">
        <v>3514</v>
      </c>
      <c r="E347" s="3" t="s">
        <v>1626</v>
      </c>
      <c r="F347" s="5">
        <v>110597009514</v>
      </c>
      <c r="G347" s="5">
        <v>117086050276</v>
      </c>
      <c r="H347" s="5">
        <v>93937326079</v>
      </c>
      <c r="I347" s="5">
        <v>83409214986</v>
      </c>
      <c r="J347" s="5">
        <v>65855305395</v>
      </c>
      <c r="K347" s="5">
        <v>53709660075</v>
      </c>
      <c r="L347" s="5">
        <v>4863784198</v>
      </c>
      <c r="M347" s="5">
        <v>42078507988</v>
      </c>
      <c r="N347" s="5">
        <v>34594728528</v>
      </c>
      <c r="O347" s="5">
        <v>44138145699</v>
      </c>
      <c r="P347" s="5">
        <v>438214849375</v>
      </c>
    </row>
    <row r="348" spans="1:16" x14ac:dyDescent="0.45">
      <c r="A348" s="1" t="s">
        <v>342</v>
      </c>
      <c r="B348" s="2">
        <v>4062496</v>
      </c>
      <c r="C348" s="3" t="s">
        <v>3515</v>
      </c>
      <c r="D348" s="3" t="s">
        <v>3516</v>
      </c>
      <c r="E348" s="3" t="s">
        <v>559</v>
      </c>
      <c r="F348" s="5" t="s">
        <v>3517</v>
      </c>
      <c r="G348" s="5" t="s">
        <v>3518</v>
      </c>
      <c r="H348" s="5" t="s">
        <v>3519</v>
      </c>
      <c r="I348" s="5" t="s">
        <v>3520</v>
      </c>
      <c r="J348" s="5">
        <v>8497300</v>
      </c>
      <c r="K348" s="5" t="s">
        <v>3521</v>
      </c>
      <c r="L348" s="5" t="s">
        <v>3522</v>
      </c>
      <c r="M348" s="5" t="s">
        <v>3523</v>
      </c>
      <c r="N348" s="5" t="s">
        <v>3524</v>
      </c>
      <c r="O348" s="5" t="s">
        <v>3525</v>
      </c>
      <c r="P348" s="5" t="s">
        <v>3526</v>
      </c>
    </row>
    <row r="349" spans="1:16" x14ac:dyDescent="0.45">
      <c r="A349" s="1" t="s">
        <v>343</v>
      </c>
      <c r="B349" s="2">
        <v>4097102</v>
      </c>
      <c r="C349" s="3" t="s">
        <v>3527</v>
      </c>
      <c r="D349" s="3" t="s">
        <v>3528</v>
      </c>
      <c r="E349" s="3" t="s">
        <v>1472</v>
      </c>
      <c r="F349" s="5">
        <v>76890402858</v>
      </c>
      <c r="G349" s="5">
        <v>70797736503</v>
      </c>
      <c r="H349" s="5">
        <v>56845512685</v>
      </c>
      <c r="I349" s="5">
        <v>50516749383</v>
      </c>
      <c r="J349" s="5">
        <v>44993086353</v>
      </c>
      <c r="K349" s="5" t="s">
        <v>3529</v>
      </c>
      <c r="L349" s="5">
        <v>36123688041</v>
      </c>
      <c r="M349" s="5">
        <v>31490026502</v>
      </c>
      <c r="N349" s="5">
        <v>31609998312</v>
      </c>
      <c r="O349" s="5">
        <v>31665416046</v>
      </c>
      <c r="P349" s="5">
        <v>284310566125</v>
      </c>
    </row>
    <row r="350" spans="1:16" x14ac:dyDescent="0.45">
      <c r="A350" s="1" t="s">
        <v>344</v>
      </c>
      <c r="B350" s="2">
        <v>4070417</v>
      </c>
      <c r="C350" s="3" t="s">
        <v>3530</v>
      </c>
      <c r="D350" s="3" t="s">
        <v>3531</v>
      </c>
      <c r="E350" s="3" t="s">
        <v>1615</v>
      </c>
      <c r="F350" s="5" t="s">
        <v>3532</v>
      </c>
      <c r="G350" s="5" t="s">
        <v>3533</v>
      </c>
      <c r="H350" s="5" t="s">
        <v>3534</v>
      </c>
      <c r="I350" s="5" t="s">
        <v>3535</v>
      </c>
      <c r="J350" s="5" t="s">
        <v>3536</v>
      </c>
      <c r="K350" s="5" t="s">
        <v>3537</v>
      </c>
      <c r="L350" s="5" t="s">
        <v>3538</v>
      </c>
      <c r="M350" s="5" t="s">
        <v>3539</v>
      </c>
      <c r="N350" s="5">
        <v>4193148</v>
      </c>
      <c r="O350" s="5" t="s">
        <v>3540</v>
      </c>
      <c r="P350" s="5" t="s">
        <v>3541</v>
      </c>
    </row>
    <row r="351" spans="1:16" x14ac:dyDescent="0.45">
      <c r="A351" s="1" t="s">
        <v>345</v>
      </c>
      <c r="B351" s="2">
        <v>4157135</v>
      </c>
      <c r="C351" s="3" t="s">
        <v>3542</v>
      </c>
      <c r="D351" s="3" t="s">
        <v>3543</v>
      </c>
      <c r="E351" s="3" t="s">
        <v>2793</v>
      </c>
      <c r="F351" s="5" t="s">
        <v>3544</v>
      </c>
      <c r="G351" s="5" t="s">
        <v>3545</v>
      </c>
      <c r="H351" s="5" t="s">
        <v>3546</v>
      </c>
      <c r="I351" s="5">
        <v>2297616</v>
      </c>
      <c r="J351" s="5" t="s">
        <v>3547</v>
      </c>
      <c r="K351" s="5" t="s">
        <v>3548</v>
      </c>
      <c r="L351" s="5" t="s">
        <v>3549</v>
      </c>
      <c r="M351" s="5" t="s">
        <v>3550</v>
      </c>
      <c r="N351" s="5" t="s">
        <v>3551</v>
      </c>
      <c r="O351" s="5">
        <v>3294467175</v>
      </c>
      <c r="P351" s="5" t="s">
        <v>3552</v>
      </c>
    </row>
    <row r="352" spans="1:16" x14ac:dyDescent="0.45">
      <c r="A352" s="1" t="s">
        <v>346</v>
      </c>
      <c r="B352" s="2">
        <v>102771</v>
      </c>
      <c r="C352" s="3" t="s">
        <v>3553</v>
      </c>
      <c r="D352" s="3" t="s">
        <v>3554</v>
      </c>
      <c r="E352" s="3" t="s">
        <v>2472</v>
      </c>
      <c r="F352" s="5" t="s">
        <v>3555</v>
      </c>
      <c r="G352" s="5" t="s">
        <v>3556</v>
      </c>
      <c r="H352" s="5" t="s">
        <v>3557</v>
      </c>
      <c r="I352" s="5" t="s">
        <v>3558</v>
      </c>
      <c r="J352" s="5" t="s">
        <v>3559</v>
      </c>
      <c r="K352" s="5" t="s">
        <v>3560</v>
      </c>
      <c r="L352" s="5" t="s">
        <v>3561</v>
      </c>
      <c r="M352" s="5" t="s">
        <v>3562</v>
      </c>
      <c r="N352" s="5">
        <v>48171442811</v>
      </c>
      <c r="O352" s="5">
        <v>45042765984</v>
      </c>
      <c r="P352" s="5">
        <v>42885831129</v>
      </c>
    </row>
    <row r="353" spans="1:16" x14ac:dyDescent="0.45">
      <c r="A353" s="1" t="s">
        <v>347</v>
      </c>
      <c r="B353" s="2">
        <v>103118</v>
      </c>
      <c r="C353" s="3" t="s">
        <v>3563</v>
      </c>
      <c r="D353" s="3" t="s">
        <v>3564</v>
      </c>
      <c r="E353" s="3" t="s">
        <v>2043</v>
      </c>
      <c r="F353" s="5">
        <v>341735835456</v>
      </c>
      <c r="G353" s="5">
        <v>377200235074</v>
      </c>
      <c r="H353" s="5">
        <v>299518748543</v>
      </c>
      <c r="I353" s="5">
        <v>269886655173</v>
      </c>
      <c r="J353" s="5" t="s">
        <v>3565</v>
      </c>
      <c r="K353" s="5">
        <v>9006994275</v>
      </c>
      <c r="L353" s="5">
        <v>87364851938</v>
      </c>
      <c r="M353" s="5">
        <v>70928621852</v>
      </c>
      <c r="N353" s="5">
        <v>61549816224</v>
      </c>
      <c r="O353" s="5">
        <v>6431513363</v>
      </c>
      <c r="P353" s="5">
        <v>60360594925</v>
      </c>
    </row>
    <row r="354" spans="1:16" x14ac:dyDescent="0.45">
      <c r="A354" s="1" t="s">
        <v>348</v>
      </c>
      <c r="B354" s="2">
        <v>103091</v>
      </c>
      <c r="C354" s="3" t="s">
        <v>3566</v>
      </c>
      <c r="D354" s="3" t="s">
        <v>3567</v>
      </c>
      <c r="E354" s="3" t="s">
        <v>2043</v>
      </c>
      <c r="F354" s="5">
        <v>61165738302</v>
      </c>
      <c r="G354" s="5">
        <v>66650065313</v>
      </c>
      <c r="H354" s="5">
        <v>65065435945</v>
      </c>
      <c r="I354" s="5">
        <v>57807910923</v>
      </c>
      <c r="J354" s="5">
        <v>53724632076</v>
      </c>
      <c r="K354" s="5">
        <v>49525351725</v>
      </c>
      <c r="L354" s="5">
        <v>56049842471</v>
      </c>
      <c r="M354" s="5">
        <v>56335767312</v>
      </c>
      <c r="N354" s="5">
        <v>56072873712</v>
      </c>
      <c r="O354" s="5">
        <v>24861907446</v>
      </c>
      <c r="P354" s="5">
        <v>1917572365</v>
      </c>
    </row>
    <row r="355" spans="1:16" x14ac:dyDescent="0.45">
      <c r="A355" s="1" t="s">
        <v>349</v>
      </c>
      <c r="B355" s="2">
        <v>4094029</v>
      </c>
      <c r="C355" s="3" t="s">
        <v>3568</v>
      </c>
      <c r="D355" s="3" t="s">
        <v>3569</v>
      </c>
      <c r="E355" s="3" t="s">
        <v>533</v>
      </c>
      <c r="F355" s="5" t="s">
        <v>3570</v>
      </c>
      <c r="G355" s="5" t="s">
        <v>3571</v>
      </c>
      <c r="H355" s="5" t="s">
        <v>3572</v>
      </c>
      <c r="I355" s="5" t="s">
        <v>3573</v>
      </c>
      <c r="J355" s="5" t="s">
        <v>3574</v>
      </c>
      <c r="K355" s="5" t="s">
        <v>3575</v>
      </c>
      <c r="L355" s="5" t="s">
        <v>3576</v>
      </c>
      <c r="M355" s="5" t="s">
        <v>3577</v>
      </c>
      <c r="N355" s="5" t="s">
        <v>3578</v>
      </c>
      <c r="O355" s="5">
        <v>42147697885</v>
      </c>
      <c r="P355" s="5">
        <v>336519116775</v>
      </c>
    </row>
    <row r="356" spans="1:16" x14ac:dyDescent="0.45">
      <c r="A356" s="1" t="s">
        <v>350</v>
      </c>
      <c r="B356" s="2">
        <v>100233</v>
      </c>
      <c r="C356" s="3" t="s">
        <v>3579</v>
      </c>
      <c r="D356" s="3" t="s">
        <v>3580</v>
      </c>
      <c r="E356" s="3" t="s">
        <v>1005</v>
      </c>
      <c r="F356" s="5" t="s">
        <v>3581</v>
      </c>
      <c r="G356" s="5">
        <v>17299269</v>
      </c>
      <c r="H356" s="5" t="s">
        <v>3582</v>
      </c>
      <c r="I356" s="5" t="s">
        <v>3583</v>
      </c>
      <c r="J356" s="5" t="s">
        <v>3584</v>
      </c>
      <c r="K356" s="5" t="s">
        <v>3585</v>
      </c>
      <c r="L356" s="5" t="s">
        <v>3586</v>
      </c>
      <c r="M356" s="5">
        <v>13179606</v>
      </c>
      <c r="N356" s="5" t="s">
        <v>3587</v>
      </c>
      <c r="O356" s="5" t="s">
        <v>3588</v>
      </c>
      <c r="P356" s="5">
        <v>15509113</v>
      </c>
    </row>
    <row r="357" spans="1:16" x14ac:dyDescent="0.45">
      <c r="A357" s="1" t="s">
        <v>351</v>
      </c>
      <c r="B357" s="2">
        <v>4102003</v>
      </c>
      <c r="C357" s="3" t="s">
        <v>3589</v>
      </c>
      <c r="D357" s="3" t="s">
        <v>3590</v>
      </c>
      <c r="E357" s="3" t="s">
        <v>3591</v>
      </c>
      <c r="F357" s="5" t="s">
        <v>3592</v>
      </c>
      <c r="G357" s="5" t="s">
        <v>3593</v>
      </c>
      <c r="H357" s="5" t="s">
        <v>3594</v>
      </c>
      <c r="I357" s="5" t="s">
        <v>3595</v>
      </c>
      <c r="J357" s="5" t="s">
        <v>3596</v>
      </c>
      <c r="K357" s="5">
        <v>6939594</v>
      </c>
      <c r="L357" s="5" t="s">
        <v>3597</v>
      </c>
      <c r="M357" s="5" t="s">
        <v>3598</v>
      </c>
      <c r="N357" s="5" t="s">
        <v>3599</v>
      </c>
      <c r="O357" s="5" t="s">
        <v>3600</v>
      </c>
      <c r="P357" s="5" t="s">
        <v>3601</v>
      </c>
    </row>
    <row r="358" spans="1:16" x14ac:dyDescent="0.45">
      <c r="A358" s="1" t="s">
        <v>352</v>
      </c>
      <c r="B358" s="2">
        <v>4811222</v>
      </c>
      <c r="C358" s="3" t="s">
        <v>3602</v>
      </c>
      <c r="D358" s="3" t="s">
        <v>3603</v>
      </c>
      <c r="E358" s="3" t="s">
        <v>519</v>
      </c>
      <c r="F358" s="5">
        <v>50816319385</v>
      </c>
      <c r="G358" s="5">
        <v>45396113319</v>
      </c>
      <c r="H358" s="5">
        <v>3782991148</v>
      </c>
      <c r="I358" s="5">
        <v>32148944066</v>
      </c>
      <c r="J358" s="5">
        <v>24337816686</v>
      </c>
      <c r="K358" s="5">
        <v>22188581922</v>
      </c>
      <c r="L358" s="5">
        <v>18210432084</v>
      </c>
      <c r="M358" s="5">
        <v>1764751758</v>
      </c>
      <c r="N358" s="5">
        <v>1718173149</v>
      </c>
      <c r="O358" s="5">
        <v>152611057395</v>
      </c>
      <c r="P358" s="5">
        <v>142500485925</v>
      </c>
    </row>
    <row r="359" spans="1:16" x14ac:dyDescent="0.45">
      <c r="A359" s="1" t="s">
        <v>353</v>
      </c>
      <c r="B359" s="2">
        <v>4812263</v>
      </c>
      <c r="C359" s="3" t="s">
        <v>3604</v>
      </c>
      <c r="D359" s="3" t="s">
        <v>3605</v>
      </c>
      <c r="E359" s="3" t="s">
        <v>581</v>
      </c>
      <c r="F359" s="5">
        <v>6162806</v>
      </c>
      <c r="G359" s="5">
        <v>73517654786</v>
      </c>
      <c r="H359" s="5">
        <v>71224669733</v>
      </c>
      <c r="I359" s="5">
        <v>69081570732</v>
      </c>
      <c r="J359" s="5">
        <v>62792967285</v>
      </c>
      <c r="K359" s="5">
        <v>30578737512</v>
      </c>
      <c r="L359" s="5">
        <v>25180910976</v>
      </c>
      <c r="M359" s="5">
        <v>2258216688</v>
      </c>
      <c r="N359" s="5">
        <v>20846549664</v>
      </c>
      <c r="O359" s="5">
        <v>2040076861</v>
      </c>
      <c r="P359" s="5">
        <v>194276646255</v>
      </c>
    </row>
    <row r="360" spans="1:16" x14ac:dyDescent="0.45">
      <c r="A360" s="1" t="s">
        <v>354</v>
      </c>
      <c r="B360" s="2">
        <v>4095448</v>
      </c>
      <c r="C360" s="3" t="s">
        <v>3606</v>
      </c>
      <c r="D360" s="3" t="s">
        <v>3607</v>
      </c>
      <c r="E360" s="3" t="s">
        <v>774</v>
      </c>
      <c r="F360" s="5" t="s">
        <v>3608</v>
      </c>
      <c r="G360" s="5">
        <v>3295005</v>
      </c>
      <c r="H360" s="5" t="s">
        <v>3609</v>
      </c>
      <c r="I360" s="5" t="s">
        <v>3610</v>
      </c>
      <c r="J360" s="5" t="s">
        <v>3611</v>
      </c>
      <c r="K360" s="5" t="s">
        <v>3612</v>
      </c>
      <c r="L360" s="5" t="s">
        <v>3613</v>
      </c>
      <c r="M360" s="5" t="s">
        <v>3614</v>
      </c>
      <c r="N360" s="5" t="s">
        <v>3615</v>
      </c>
      <c r="O360" s="5">
        <v>1770492465</v>
      </c>
      <c r="P360" s="5" t="s">
        <v>3616</v>
      </c>
    </row>
    <row r="361" spans="1:16" x14ac:dyDescent="0.45">
      <c r="A361" s="1" t="s">
        <v>355</v>
      </c>
      <c r="B361" s="2">
        <v>4004396</v>
      </c>
      <c r="C361" s="3" t="s">
        <v>3617</v>
      </c>
      <c r="D361" s="3" t="s">
        <v>3618</v>
      </c>
      <c r="E361" s="3" t="s">
        <v>3591</v>
      </c>
      <c r="F361" s="5">
        <v>11705091957</v>
      </c>
      <c r="G361" s="5">
        <v>12852197787</v>
      </c>
      <c r="H361" s="5">
        <v>10454414649</v>
      </c>
      <c r="I361" s="5">
        <v>11857162329</v>
      </c>
      <c r="J361" s="5">
        <v>9770931081</v>
      </c>
      <c r="K361" s="5" t="s">
        <v>3619</v>
      </c>
      <c r="L361" s="5">
        <v>726914825</v>
      </c>
      <c r="M361" s="5">
        <v>6217804472</v>
      </c>
      <c r="N361" s="5">
        <v>5445879072</v>
      </c>
      <c r="O361" s="5">
        <v>5385826785</v>
      </c>
      <c r="P361" s="5">
        <v>48249970175</v>
      </c>
    </row>
    <row r="362" spans="1:16" x14ac:dyDescent="0.45">
      <c r="A362" s="1" t="s">
        <v>356</v>
      </c>
      <c r="B362" s="2">
        <v>4677071</v>
      </c>
      <c r="C362" s="3" t="s">
        <v>3620</v>
      </c>
      <c r="D362" s="3" t="s">
        <v>3621</v>
      </c>
      <c r="E362" s="3" t="s">
        <v>551</v>
      </c>
      <c r="F362" s="5" t="s">
        <v>3622</v>
      </c>
      <c r="G362" s="5" t="s">
        <v>3623</v>
      </c>
      <c r="H362" s="5" t="s">
        <v>3624</v>
      </c>
      <c r="I362" s="5" t="s">
        <v>3625</v>
      </c>
      <c r="J362" s="5" t="s">
        <v>3626</v>
      </c>
      <c r="K362" s="5" t="s">
        <v>3627</v>
      </c>
      <c r="L362" s="5" t="s">
        <v>3628</v>
      </c>
      <c r="M362" s="5" t="s">
        <v>3629</v>
      </c>
      <c r="N362" s="5" t="s">
        <v>3630</v>
      </c>
      <c r="O362" s="5">
        <v>54837918145</v>
      </c>
      <c r="P362" s="5">
        <v>487900545025</v>
      </c>
    </row>
    <row r="363" spans="1:16" x14ac:dyDescent="0.45">
      <c r="A363" s="1" t="s">
        <v>357</v>
      </c>
      <c r="B363" s="2">
        <v>4070608</v>
      </c>
      <c r="C363" s="3" t="s">
        <v>3631</v>
      </c>
      <c r="D363" s="3" t="s">
        <v>3632</v>
      </c>
      <c r="E363" s="3" t="s">
        <v>3633</v>
      </c>
      <c r="F363" s="5">
        <v>53003965095</v>
      </c>
      <c r="G363" s="5">
        <v>45142578042</v>
      </c>
      <c r="H363" s="5">
        <v>39506426596</v>
      </c>
      <c r="I363" s="5">
        <v>3637398795</v>
      </c>
      <c r="J363" s="5">
        <v>2710829232</v>
      </c>
      <c r="K363" s="5">
        <v>3030042598</v>
      </c>
      <c r="L363" s="5">
        <v>28789741914</v>
      </c>
      <c r="M363" s="5">
        <v>24510337704</v>
      </c>
      <c r="N363" s="5">
        <v>25699454984</v>
      </c>
      <c r="O363" s="5">
        <v>228449048265</v>
      </c>
      <c r="P363" s="5">
        <v>20188102575</v>
      </c>
    </row>
    <row r="364" spans="1:16" x14ac:dyDescent="0.45">
      <c r="A364" s="1" t="s">
        <v>358</v>
      </c>
      <c r="B364" s="2">
        <v>4980858</v>
      </c>
      <c r="C364" s="3" t="s">
        <v>3634</v>
      </c>
      <c r="D364" s="3" t="s">
        <v>3635</v>
      </c>
      <c r="E364" s="3" t="s">
        <v>1083</v>
      </c>
      <c r="F364" s="5" t="s">
        <v>3636</v>
      </c>
      <c r="G364" s="5" t="s">
        <v>3637</v>
      </c>
      <c r="H364" s="5" t="s">
        <v>3638</v>
      </c>
      <c r="I364" s="5" t="s">
        <v>3639</v>
      </c>
      <c r="J364" s="5">
        <v>44717293908</v>
      </c>
      <c r="K364" s="5">
        <v>71618469075</v>
      </c>
      <c r="L364" s="5">
        <v>113471132397</v>
      </c>
      <c r="M364" s="5">
        <v>101729099054</v>
      </c>
      <c r="N364" s="5">
        <v>89128779384</v>
      </c>
      <c r="O364" s="5">
        <v>86407135876</v>
      </c>
      <c r="P364" s="5">
        <v>742404315925</v>
      </c>
    </row>
    <row r="365" spans="1:16" x14ac:dyDescent="0.45">
      <c r="A365" s="1" t="s">
        <v>359</v>
      </c>
      <c r="B365" s="2">
        <v>4001600</v>
      </c>
      <c r="C365" s="3" t="s">
        <v>3640</v>
      </c>
      <c r="D365" s="3" t="s">
        <v>3641</v>
      </c>
      <c r="E365" s="3" t="s">
        <v>978</v>
      </c>
      <c r="F365" s="5" t="s">
        <v>3642</v>
      </c>
      <c r="G365" s="5" t="s">
        <v>3643</v>
      </c>
      <c r="H365" s="5" t="s">
        <v>3644</v>
      </c>
      <c r="I365" s="5" t="s">
        <v>3645</v>
      </c>
      <c r="J365" s="5" t="s">
        <v>3646</v>
      </c>
      <c r="K365" s="5">
        <v>60400170</v>
      </c>
      <c r="L365" s="5" t="s">
        <v>3647</v>
      </c>
      <c r="M365" s="5" t="s">
        <v>3648</v>
      </c>
      <c r="N365" s="5" t="s">
        <v>3649</v>
      </c>
      <c r="O365" s="5" t="s">
        <v>3650</v>
      </c>
      <c r="P365" s="5" t="s">
        <v>3651</v>
      </c>
    </row>
    <row r="366" spans="1:16" x14ac:dyDescent="0.45">
      <c r="A366" s="1" t="s">
        <v>360</v>
      </c>
      <c r="B366" s="2">
        <v>4023623</v>
      </c>
      <c r="C366" s="3" t="s">
        <v>3652</v>
      </c>
      <c r="D366" s="3" t="s">
        <v>3653</v>
      </c>
      <c r="E366" s="3" t="s">
        <v>2024</v>
      </c>
      <c r="F366" s="5" t="s">
        <v>3654</v>
      </c>
      <c r="G366" s="5" t="s">
        <v>3655</v>
      </c>
      <c r="H366" s="5">
        <v>34469070</v>
      </c>
      <c r="I366" s="5" t="s">
        <v>3656</v>
      </c>
      <c r="J366" s="5" t="s">
        <v>3657</v>
      </c>
      <c r="K366" s="5">
        <v>2740260</v>
      </c>
      <c r="L366" s="5" t="s">
        <v>3658</v>
      </c>
      <c r="M366" s="5" t="s">
        <v>3659</v>
      </c>
      <c r="N366" s="5" t="s">
        <v>3660</v>
      </c>
      <c r="O366" s="5" t="s">
        <v>3661</v>
      </c>
      <c r="P366" s="5" t="s">
        <v>3662</v>
      </c>
    </row>
    <row r="367" spans="1:16" x14ac:dyDescent="0.45">
      <c r="A367" s="1" t="s">
        <v>361</v>
      </c>
      <c r="B367" s="2">
        <v>4205848</v>
      </c>
      <c r="C367" s="3" t="s">
        <v>3663</v>
      </c>
      <c r="D367" s="3" t="s">
        <v>3664</v>
      </c>
      <c r="E367" s="3" t="s">
        <v>551</v>
      </c>
      <c r="F367" s="5" t="s">
        <v>3665</v>
      </c>
      <c r="G367" s="5" t="s">
        <v>3666</v>
      </c>
      <c r="H367" s="5" t="s">
        <v>3667</v>
      </c>
      <c r="I367" s="5" t="s">
        <v>3668</v>
      </c>
      <c r="J367" s="5" t="s">
        <v>3669</v>
      </c>
      <c r="K367" s="5">
        <v>30564270</v>
      </c>
      <c r="L367" s="5">
        <v>13623165</v>
      </c>
      <c r="M367" s="5" t="s">
        <v>3670</v>
      </c>
      <c r="N367" s="5">
        <v>69503676909</v>
      </c>
      <c r="O367" s="5">
        <v>462340138635</v>
      </c>
      <c r="P367" s="5">
        <v>352101834225</v>
      </c>
    </row>
    <row r="368" spans="1:16" x14ac:dyDescent="0.45">
      <c r="A368" s="1" t="s">
        <v>362</v>
      </c>
      <c r="B368" s="2">
        <v>4829067</v>
      </c>
      <c r="C368" s="3" t="s">
        <v>3671</v>
      </c>
      <c r="D368" s="3" t="s">
        <v>3672</v>
      </c>
      <c r="E368" s="3" t="s">
        <v>736</v>
      </c>
      <c r="F368" s="5">
        <v>-40670863869</v>
      </c>
      <c r="G368" s="5">
        <v>-48834030154</v>
      </c>
      <c r="H368" s="5">
        <v>-46463899245</v>
      </c>
      <c r="I368" s="5">
        <v>-4907353506</v>
      </c>
      <c r="J368" s="5">
        <v>-46305292122</v>
      </c>
      <c r="K368" s="5" t="s">
        <v>3673</v>
      </c>
      <c r="L368" s="5">
        <v>-32533660005</v>
      </c>
      <c r="M368" s="5">
        <v>-29493172082</v>
      </c>
      <c r="N368" s="5">
        <v>-21645421392</v>
      </c>
      <c r="O368" s="5">
        <v>-18907359633</v>
      </c>
      <c r="P368" s="5">
        <v>-1570932088</v>
      </c>
    </row>
    <row r="369" spans="1:16" x14ac:dyDescent="0.45">
      <c r="A369" s="1" t="s">
        <v>363</v>
      </c>
      <c r="B369" s="2">
        <v>4794937</v>
      </c>
      <c r="C369" s="3" t="s">
        <v>3674</v>
      </c>
      <c r="D369" s="3" t="s">
        <v>3675</v>
      </c>
      <c r="E369" s="3" t="s">
        <v>836</v>
      </c>
      <c r="F369" s="5" t="s">
        <v>3676</v>
      </c>
      <c r="G369" s="5" t="s">
        <v>3677</v>
      </c>
      <c r="H369" s="5">
        <v>-1098284</v>
      </c>
      <c r="I369" s="5" t="s">
        <v>3678</v>
      </c>
      <c r="J369" s="5" t="s">
        <v>3679</v>
      </c>
      <c r="K369" s="5" t="s">
        <v>3680</v>
      </c>
      <c r="L369" s="5" t="s">
        <v>3681</v>
      </c>
      <c r="M369" s="5" t="s">
        <v>3682</v>
      </c>
      <c r="N369" s="5">
        <v>1195546</v>
      </c>
      <c r="O369" s="5" t="s">
        <v>3683</v>
      </c>
      <c r="P369" s="5" t="s">
        <v>3684</v>
      </c>
    </row>
    <row r="370" spans="1:16" x14ac:dyDescent="0.45">
      <c r="A370" s="1" t="s">
        <v>364</v>
      </c>
      <c r="B370" s="2">
        <v>4057062</v>
      </c>
      <c r="C370" s="3" t="s">
        <v>3685</v>
      </c>
      <c r="D370" s="3" t="s">
        <v>3686</v>
      </c>
      <c r="E370" s="3" t="s">
        <v>688</v>
      </c>
      <c r="F370" s="5" t="s">
        <v>3687</v>
      </c>
      <c r="G370" s="5" t="s">
        <v>3688</v>
      </c>
      <c r="H370" s="5" t="s">
        <v>3689</v>
      </c>
      <c r="I370" s="5" t="s">
        <v>3690</v>
      </c>
      <c r="J370" s="5" t="s">
        <v>3691</v>
      </c>
      <c r="K370" s="5">
        <v>20383545</v>
      </c>
      <c r="L370" s="5" t="s">
        <v>3692</v>
      </c>
      <c r="M370" s="5" t="s">
        <v>3693</v>
      </c>
      <c r="N370" s="5">
        <v>12608592</v>
      </c>
      <c r="O370" s="5" t="s">
        <v>3694</v>
      </c>
      <c r="P370" s="5" t="s">
        <v>3695</v>
      </c>
    </row>
    <row r="371" spans="1:16" x14ac:dyDescent="0.45">
      <c r="A371" s="1" t="s">
        <v>365</v>
      </c>
      <c r="B371" s="2">
        <v>4587650</v>
      </c>
      <c r="C371" s="3" t="s">
        <v>3696</v>
      </c>
      <c r="D371" s="3" t="s">
        <v>3697</v>
      </c>
      <c r="E371" s="3" t="s">
        <v>2117</v>
      </c>
      <c r="F371" s="5" t="s">
        <v>3698</v>
      </c>
      <c r="G371" s="5" t="s">
        <v>3699</v>
      </c>
      <c r="H371" s="5" t="s">
        <v>3700</v>
      </c>
      <c r="I371" s="5" t="s">
        <v>3701</v>
      </c>
      <c r="J371" s="5" t="s">
        <v>3702</v>
      </c>
      <c r="K371" s="5">
        <v>2316795</v>
      </c>
      <c r="L371" s="5">
        <v>18962082251</v>
      </c>
      <c r="M371" s="5">
        <v>9705212066</v>
      </c>
      <c r="N371" s="5">
        <v>6485380032</v>
      </c>
      <c r="O371" s="5">
        <v>3665681553</v>
      </c>
      <c r="P371" s="5">
        <v>5218939905</v>
      </c>
    </row>
    <row r="372" spans="1:16" x14ac:dyDescent="0.45">
      <c r="A372" s="1" t="s">
        <v>366</v>
      </c>
      <c r="B372" s="2">
        <v>103117</v>
      </c>
      <c r="C372" s="3" t="s">
        <v>3703</v>
      </c>
      <c r="D372" s="3" t="s">
        <v>3704</v>
      </c>
      <c r="E372" s="3" t="s">
        <v>2043</v>
      </c>
      <c r="F372" s="5">
        <v>57109832181</v>
      </c>
      <c r="G372" s="5">
        <v>34767106868</v>
      </c>
      <c r="H372" s="5">
        <v>33361699106</v>
      </c>
      <c r="I372" s="5">
        <v>35780148087</v>
      </c>
      <c r="J372" s="5">
        <v>38695574925</v>
      </c>
      <c r="K372" s="5">
        <v>2990609565</v>
      </c>
      <c r="L372" s="5">
        <v>27894201321</v>
      </c>
      <c r="M372" s="5">
        <v>35172857346</v>
      </c>
      <c r="N372" s="5">
        <v>36886744032</v>
      </c>
      <c r="O372" s="5">
        <v>48290265802</v>
      </c>
      <c r="P372" s="5">
        <v>48264849495</v>
      </c>
    </row>
    <row r="373" spans="1:16" x14ac:dyDescent="0.45">
      <c r="A373" s="1" t="s">
        <v>367</v>
      </c>
      <c r="B373" s="2">
        <v>4967090</v>
      </c>
      <c r="C373" s="3" t="s">
        <v>3705</v>
      </c>
      <c r="D373" s="3" t="s">
        <v>3706</v>
      </c>
      <c r="E373" s="3" t="s">
        <v>559</v>
      </c>
      <c r="F373" s="5" t="s">
        <v>3707</v>
      </c>
      <c r="G373" s="5" t="s">
        <v>3708</v>
      </c>
      <c r="H373" s="5" t="s">
        <v>3709</v>
      </c>
      <c r="I373" s="5" t="s">
        <v>3710</v>
      </c>
      <c r="J373" s="5" t="s">
        <v>3711</v>
      </c>
      <c r="K373" s="5" t="s">
        <v>3712</v>
      </c>
      <c r="L373" s="5" t="s">
        <v>3713</v>
      </c>
      <c r="M373" s="5" t="s">
        <v>3714</v>
      </c>
      <c r="N373" s="5" t="s">
        <v>3715</v>
      </c>
      <c r="O373" s="5" t="s">
        <v>3716</v>
      </c>
      <c r="P373" s="5" t="s">
        <v>3717</v>
      </c>
    </row>
    <row r="374" spans="1:16" x14ac:dyDescent="0.45">
      <c r="A374" s="1" t="s">
        <v>368</v>
      </c>
      <c r="B374" s="2">
        <v>4011047</v>
      </c>
      <c r="C374" s="3" t="s">
        <v>3718</v>
      </c>
      <c r="D374" s="3" t="s">
        <v>3719</v>
      </c>
      <c r="E374" s="3" t="s">
        <v>981</v>
      </c>
      <c r="F374" s="5" t="s">
        <v>3720</v>
      </c>
      <c r="G374" s="5">
        <v>21587865</v>
      </c>
      <c r="H374" s="5" t="s">
        <v>3721</v>
      </c>
      <c r="I374" s="5" t="s">
        <v>3722</v>
      </c>
      <c r="J374" s="5" t="s">
        <v>3723</v>
      </c>
      <c r="K374" s="5" t="s">
        <v>3724</v>
      </c>
      <c r="L374" s="5" t="s">
        <v>3725</v>
      </c>
      <c r="M374" s="5" t="s">
        <v>3726</v>
      </c>
      <c r="N374" s="5" t="s">
        <v>3727</v>
      </c>
      <c r="O374" s="5" t="s">
        <v>3728</v>
      </c>
      <c r="P374" s="5" t="s">
        <v>3729</v>
      </c>
    </row>
    <row r="375" spans="1:16" x14ac:dyDescent="0.45">
      <c r="A375" s="1" t="s">
        <v>369</v>
      </c>
      <c r="B375" s="2">
        <v>4217596</v>
      </c>
      <c r="C375" s="3" t="s">
        <v>3730</v>
      </c>
      <c r="D375" s="3" t="s">
        <v>3731</v>
      </c>
      <c r="E375" s="3" t="s">
        <v>677</v>
      </c>
      <c r="F375" s="5" t="s">
        <v>3732</v>
      </c>
      <c r="G375" s="5" t="s">
        <v>3733</v>
      </c>
      <c r="H375" s="5" t="s">
        <v>3734</v>
      </c>
      <c r="I375" s="5" t="s">
        <v>3735</v>
      </c>
      <c r="J375" s="5">
        <v>43919999993556</v>
      </c>
      <c r="K375" s="5">
        <v>3783000</v>
      </c>
      <c r="L375" s="5">
        <v>2993000</v>
      </c>
      <c r="M375" s="5">
        <v>2890000</v>
      </c>
      <c r="N375" s="5">
        <v>2659000</v>
      </c>
      <c r="O375" s="5">
        <v>2503000</v>
      </c>
      <c r="P375" s="5">
        <v>2328000</v>
      </c>
    </row>
    <row r="376" spans="1:16" x14ac:dyDescent="0.45">
      <c r="A376" s="1" t="s">
        <v>370</v>
      </c>
      <c r="B376" s="2">
        <v>4007403</v>
      </c>
      <c r="C376" s="3" t="s">
        <v>3736</v>
      </c>
      <c r="D376" s="3" t="s">
        <v>3737</v>
      </c>
      <c r="E376" s="3" t="s">
        <v>1766</v>
      </c>
      <c r="F376" s="5" t="s">
        <v>3738</v>
      </c>
      <c r="G376" s="5" t="s">
        <v>3739</v>
      </c>
      <c r="H376" s="5" t="s">
        <v>3740</v>
      </c>
      <c r="I376" s="5" t="s">
        <v>3741</v>
      </c>
      <c r="J376" s="5" t="s">
        <v>3742</v>
      </c>
      <c r="K376" s="5" t="s">
        <v>3743</v>
      </c>
      <c r="L376" s="5" t="s">
        <v>3744</v>
      </c>
      <c r="M376" s="5" t="s">
        <v>3745</v>
      </c>
      <c r="N376" s="5" t="s">
        <v>3746</v>
      </c>
      <c r="O376" s="5" t="s">
        <v>3747</v>
      </c>
      <c r="P376" s="5">
        <v>2237580885</v>
      </c>
    </row>
    <row r="377" spans="1:16" x14ac:dyDescent="0.45">
      <c r="A377" s="1" t="s">
        <v>371</v>
      </c>
      <c r="B377" s="2">
        <v>4121199</v>
      </c>
      <c r="C377" s="3" t="s">
        <v>3748</v>
      </c>
      <c r="D377" s="3" t="s">
        <v>3749</v>
      </c>
      <c r="E377" s="3" t="s">
        <v>1691</v>
      </c>
      <c r="F377" s="5" t="s">
        <v>3750</v>
      </c>
      <c r="G377" s="5">
        <v>9997065</v>
      </c>
      <c r="H377" s="5" t="s">
        <v>3751</v>
      </c>
      <c r="I377" s="5" t="s">
        <v>3752</v>
      </c>
      <c r="J377" s="5" t="s">
        <v>3753</v>
      </c>
      <c r="K377" s="5">
        <v>7256130</v>
      </c>
      <c r="L377" s="5" t="s">
        <v>3754</v>
      </c>
      <c r="M377" s="5" t="s">
        <v>3755</v>
      </c>
      <c r="N377" s="5" t="s">
        <v>3756</v>
      </c>
      <c r="O377" s="5" t="s">
        <v>3757</v>
      </c>
      <c r="P377" s="5" t="s">
        <v>3758</v>
      </c>
    </row>
    <row r="378" spans="1:16" x14ac:dyDescent="0.45">
      <c r="A378" s="1" t="s">
        <v>372</v>
      </c>
      <c r="B378" s="2">
        <v>4102347</v>
      </c>
      <c r="C378" s="3" t="s">
        <v>3759</v>
      </c>
      <c r="D378" s="3" t="s">
        <v>3760</v>
      </c>
      <c r="E378" s="3" t="s">
        <v>1766</v>
      </c>
      <c r="F378" s="5" t="s">
        <v>3761</v>
      </c>
      <c r="G378" s="5" t="s">
        <v>3762</v>
      </c>
      <c r="H378" s="5" t="s">
        <v>3763</v>
      </c>
      <c r="I378" s="5" t="s">
        <v>3764</v>
      </c>
      <c r="J378" s="5" t="s">
        <v>3765</v>
      </c>
      <c r="K378" s="5" t="s">
        <v>3766</v>
      </c>
      <c r="L378" s="5" t="s">
        <v>3767</v>
      </c>
      <c r="M378" s="5" t="s">
        <v>3768</v>
      </c>
      <c r="N378" s="5">
        <v>6916404</v>
      </c>
      <c r="O378" s="5" t="s">
        <v>3769</v>
      </c>
      <c r="P378" s="5" t="s">
        <v>3770</v>
      </c>
    </row>
    <row r="379" spans="1:16" x14ac:dyDescent="0.45">
      <c r="A379" s="1" t="s">
        <v>373</v>
      </c>
      <c r="B379" s="2">
        <v>4071032</v>
      </c>
      <c r="C379" s="3" t="s">
        <v>3771</v>
      </c>
      <c r="D379" s="3" t="s">
        <v>3772</v>
      </c>
      <c r="E379" s="3" t="s">
        <v>1332</v>
      </c>
      <c r="F379" s="5" t="s">
        <v>3773</v>
      </c>
      <c r="G379" s="5" t="s">
        <v>3774</v>
      </c>
      <c r="H379" s="5" t="s">
        <v>3775</v>
      </c>
      <c r="I379" s="5" t="s">
        <v>3776</v>
      </c>
      <c r="J379" s="5" t="s">
        <v>3777</v>
      </c>
      <c r="K379" s="5" t="s">
        <v>3778</v>
      </c>
      <c r="L379" s="5" t="s">
        <v>3779</v>
      </c>
      <c r="M379" s="5" t="s">
        <v>3780</v>
      </c>
      <c r="N379" s="5" t="s">
        <v>3781</v>
      </c>
      <c r="O379" s="5">
        <v>5240661255</v>
      </c>
      <c r="P379" s="5" t="s">
        <v>3782</v>
      </c>
    </row>
    <row r="380" spans="1:16" x14ac:dyDescent="0.45">
      <c r="A380" s="1" t="s">
        <v>374</v>
      </c>
      <c r="B380" s="2">
        <v>100447</v>
      </c>
      <c r="C380" s="3" t="s">
        <v>3783</v>
      </c>
      <c r="D380" s="3" t="s">
        <v>3784</v>
      </c>
      <c r="E380" s="3" t="s">
        <v>761</v>
      </c>
      <c r="F380" s="5" t="s">
        <v>3785</v>
      </c>
      <c r="G380" s="5" t="s">
        <v>3786</v>
      </c>
      <c r="H380" s="5" t="s">
        <v>3787</v>
      </c>
      <c r="I380" s="5" t="s">
        <v>3788</v>
      </c>
      <c r="J380" s="5" t="s">
        <v>3789</v>
      </c>
      <c r="K380" s="5">
        <v>21418500</v>
      </c>
      <c r="L380" s="5" t="s">
        <v>3790</v>
      </c>
      <c r="M380" s="5" t="s">
        <v>3791</v>
      </c>
      <c r="N380" s="5" t="s">
        <v>3792</v>
      </c>
      <c r="O380" s="5" t="s">
        <v>3793</v>
      </c>
      <c r="P380" s="5" t="s">
        <v>3794</v>
      </c>
    </row>
    <row r="381" spans="1:16" x14ac:dyDescent="0.45">
      <c r="A381" s="1" t="s">
        <v>375</v>
      </c>
      <c r="B381" s="2">
        <v>4120616</v>
      </c>
      <c r="C381" s="3" t="s">
        <v>3795</v>
      </c>
      <c r="D381" s="3" t="s">
        <v>3796</v>
      </c>
      <c r="E381" s="3" t="s">
        <v>3210</v>
      </c>
      <c r="F381" s="5">
        <v>76060310487</v>
      </c>
      <c r="G381" s="5">
        <v>86402131114</v>
      </c>
      <c r="H381" s="5">
        <v>79971200769</v>
      </c>
      <c r="I381" s="5">
        <v>75752447385</v>
      </c>
      <c r="J381" s="5">
        <v>55573263603</v>
      </c>
      <c r="K381" s="5">
        <v>3554674755</v>
      </c>
      <c r="L381" s="5">
        <v>36221922905</v>
      </c>
      <c r="M381" s="5">
        <v>33951058086</v>
      </c>
      <c r="N381" s="5">
        <v>27534933024</v>
      </c>
      <c r="O381" s="5">
        <v>27364645627</v>
      </c>
      <c r="P381" s="5">
        <v>245973850825</v>
      </c>
    </row>
    <row r="382" spans="1:16" x14ac:dyDescent="0.45">
      <c r="A382" s="1" t="s">
        <v>376</v>
      </c>
      <c r="B382" s="2">
        <v>4810920</v>
      </c>
      <c r="C382" s="3" t="s">
        <v>3797</v>
      </c>
      <c r="D382" s="3" t="s">
        <v>3798</v>
      </c>
      <c r="E382" s="3" t="s">
        <v>519</v>
      </c>
      <c r="F382" s="5">
        <v>61208983764</v>
      </c>
      <c r="G382" s="5">
        <v>58536942074</v>
      </c>
      <c r="H382" s="5">
        <v>56026331088</v>
      </c>
      <c r="I382" s="5">
        <v>58914822274</v>
      </c>
      <c r="J382" s="5">
        <v>3315530736</v>
      </c>
      <c r="K382" s="5" t="s">
        <v>3799</v>
      </c>
      <c r="L382" s="5">
        <v>2838546018</v>
      </c>
      <c r="M382" s="5" t="s">
        <v>3800</v>
      </c>
      <c r="N382" s="5">
        <v>26279428616</v>
      </c>
      <c r="O382" s="5">
        <v>26682991206</v>
      </c>
      <c r="P382" s="5">
        <v>9994033791</v>
      </c>
    </row>
    <row r="383" spans="1:16" x14ac:dyDescent="0.45">
      <c r="A383" s="1" t="s">
        <v>377</v>
      </c>
      <c r="B383" s="2">
        <v>4321488</v>
      </c>
      <c r="C383" s="3" t="s">
        <v>3801</v>
      </c>
      <c r="D383" s="3" t="s">
        <v>3802</v>
      </c>
      <c r="E383" s="3" t="s">
        <v>519</v>
      </c>
      <c r="F383" s="5">
        <v>19095114</v>
      </c>
      <c r="G383" s="5" t="s">
        <v>3803</v>
      </c>
      <c r="H383" s="5" t="s">
        <v>3804</v>
      </c>
      <c r="I383" s="5" t="s">
        <v>3805</v>
      </c>
      <c r="J383" s="5" t="s">
        <v>3806</v>
      </c>
      <c r="K383" s="5">
        <v>10696170</v>
      </c>
      <c r="L383" s="5" t="s">
        <v>3807</v>
      </c>
      <c r="M383" s="5">
        <v>10244982</v>
      </c>
      <c r="N383" s="5">
        <v>8311344</v>
      </c>
      <c r="O383" s="5">
        <v>9046715</v>
      </c>
      <c r="P383" s="5" t="s">
        <v>3808</v>
      </c>
    </row>
    <row r="384" spans="1:16" x14ac:dyDescent="0.45">
      <c r="A384" s="1" t="s">
        <v>378</v>
      </c>
      <c r="B384" s="2">
        <v>4276821</v>
      </c>
      <c r="C384" s="3" t="s">
        <v>3809</v>
      </c>
      <c r="D384" s="3" t="s">
        <v>3810</v>
      </c>
      <c r="E384" s="3" t="s">
        <v>836</v>
      </c>
      <c r="F384" s="5">
        <v>53660431565</v>
      </c>
      <c r="G384" s="5">
        <v>5056031421</v>
      </c>
      <c r="H384" s="5" t="s">
        <v>3811</v>
      </c>
      <c r="I384" s="5">
        <v>13638695802</v>
      </c>
      <c r="J384" s="5">
        <v>9247020732</v>
      </c>
      <c r="K384" s="5">
        <v>9469872402</v>
      </c>
      <c r="L384" s="5">
        <v>8271054688</v>
      </c>
      <c r="M384" s="5">
        <v>7230941292</v>
      </c>
      <c r="N384" s="5">
        <v>678276019</v>
      </c>
      <c r="O384" s="5">
        <v>62730119385</v>
      </c>
      <c r="P384" s="5">
        <v>55578355875</v>
      </c>
    </row>
    <row r="385" spans="1:16" x14ac:dyDescent="0.45">
      <c r="A385" s="1" t="s">
        <v>379</v>
      </c>
      <c r="B385" s="2">
        <v>4389036</v>
      </c>
      <c r="C385" s="3" t="s">
        <v>3812</v>
      </c>
      <c r="D385" s="3" t="s">
        <v>3813</v>
      </c>
      <c r="E385" s="3" t="s">
        <v>1182</v>
      </c>
      <c r="F385" s="5" t="s">
        <v>3814</v>
      </c>
      <c r="G385" s="5">
        <v>16014622</v>
      </c>
      <c r="H385" s="5" t="s">
        <v>3815</v>
      </c>
      <c r="I385" s="5" t="s">
        <v>3816</v>
      </c>
      <c r="J385" s="5" t="s">
        <v>3817</v>
      </c>
      <c r="K385" s="5" t="s">
        <v>3818</v>
      </c>
      <c r="L385" s="5" t="s">
        <v>3819</v>
      </c>
      <c r="M385" s="5" t="s">
        <v>3820</v>
      </c>
      <c r="N385" s="5" t="s">
        <v>3821</v>
      </c>
      <c r="O385" s="5" t="s">
        <v>3822</v>
      </c>
      <c r="P385" s="5">
        <v>11605133</v>
      </c>
    </row>
    <row r="386" spans="1:16" x14ac:dyDescent="0.45">
      <c r="A386" s="1" t="s">
        <v>380</v>
      </c>
      <c r="B386" s="2">
        <v>4089979</v>
      </c>
      <c r="C386" s="3" t="s">
        <v>3823</v>
      </c>
      <c r="D386" s="3" t="s">
        <v>3824</v>
      </c>
      <c r="E386" s="3" t="s">
        <v>551</v>
      </c>
      <c r="F386" s="5">
        <v>24559522005</v>
      </c>
      <c r="G386" s="5">
        <v>8310372726</v>
      </c>
      <c r="H386" s="5">
        <v>58534408965</v>
      </c>
      <c r="I386" s="5">
        <v>5622008847</v>
      </c>
      <c r="J386" s="5">
        <v>45825259064</v>
      </c>
      <c r="K386" s="5">
        <v>42153021227</v>
      </c>
      <c r="L386" s="5">
        <v>36681306596</v>
      </c>
      <c r="M386" s="5">
        <v>30790107525</v>
      </c>
      <c r="N386" s="5">
        <v>2817282916</v>
      </c>
      <c r="O386" s="5">
        <v>29152512104</v>
      </c>
      <c r="P386" s="5">
        <v>284205792465</v>
      </c>
    </row>
    <row r="387" spans="1:16" x14ac:dyDescent="0.45">
      <c r="A387" s="1" t="s">
        <v>381</v>
      </c>
      <c r="B387" s="2">
        <v>4064204</v>
      </c>
      <c r="C387" s="3" t="s">
        <v>3825</v>
      </c>
      <c r="D387" s="3" t="s">
        <v>3826</v>
      </c>
      <c r="E387" s="3" t="s">
        <v>3827</v>
      </c>
      <c r="F387" s="5" t="s">
        <v>3828</v>
      </c>
      <c r="G387" s="5" t="s">
        <v>3829</v>
      </c>
      <c r="H387" s="5">
        <v>1870472</v>
      </c>
      <c r="I387" s="5">
        <v>13596195712</v>
      </c>
      <c r="J387" s="5">
        <v>13404714896</v>
      </c>
      <c r="K387" s="5">
        <v>10641664638</v>
      </c>
      <c r="L387" s="5">
        <v>22304198852</v>
      </c>
      <c r="M387" s="5">
        <v>21809818026</v>
      </c>
      <c r="N387" s="5">
        <v>21600071575</v>
      </c>
      <c r="O387" s="5">
        <v>31900738659</v>
      </c>
      <c r="P387" s="5">
        <v>47525547756</v>
      </c>
    </row>
    <row r="388" spans="1:16" x14ac:dyDescent="0.45">
      <c r="A388" s="1" t="s">
        <v>382</v>
      </c>
      <c r="B388" s="2">
        <v>4091145</v>
      </c>
      <c r="C388" s="3" t="s">
        <v>3830</v>
      </c>
      <c r="D388" s="3" t="s">
        <v>3831</v>
      </c>
      <c r="E388" s="3" t="s">
        <v>3832</v>
      </c>
      <c r="F388" s="5" t="s">
        <v>3833</v>
      </c>
      <c r="G388" s="5" t="s">
        <v>3834</v>
      </c>
      <c r="H388" s="5" t="s">
        <v>3835</v>
      </c>
      <c r="I388" s="5" t="s">
        <v>3836</v>
      </c>
      <c r="J388" s="5" t="s">
        <v>3837</v>
      </c>
      <c r="K388" s="5">
        <v>53418720</v>
      </c>
      <c r="L388" s="5" t="s">
        <v>3838</v>
      </c>
      <c r="M388" s="5" t="s">
        <v>3839</v>
      </c>
      <c r="N388" s="5" t="s">
        <v>3840</v>
      </c>
      <c r="O388" s="5" t="s">
        <v>3841</v>
      </c>
      <c r="P388" s="5" t="s">
        <v>3842</v>
      </c>
    </row>
    <row r="389" spans="1:16" x14ac:dyDescent="0.45">
      <c r="A389" s="1" t="s">
        <v>383</v>
      </c>
      <c r="B389" s="2">
        <v>4055767</v>
      </c>
      <c r="C389" s="3" t="s">
        <v>3843</v>
      </c>
      <c r="D389" s="3" t="s">
        <v>3844</v>
      </c>
      <c r="E389" s="3" t="s">
        <v>761</v>
      </c>
      <c r="F389" s="5" t="s">
        <v>3845</v>
      </c>
      <c r="G389" s="5" t="s">
        <v>3846</v>
      </c>
      <c r="H389" s="5" t="s">
        <v>3847</v>
      </c>
      <c r="I389" s="5" t="s">
        <v>3848</v>
      </c>
      <c r="J389" s="5" t="s">
        <v>3849</v>
      </c>
      <c r="K389" s="5" t="s">
        <v>3850</v>
      </c>
      <c r="L389" s="5" t="s">
        <v>3851</v>
      </c>
      <c r="M389" s="5" t="s">
        <v>3852</v>
      </c>
      <c r="N389" s="5" t="s">
        <v>3853</v>
      </c>
      <c r="O389" s="5" t="s">
        <v>3854</v>
      </c>
      <c r="P389" s="5" t="s">
        <v>3855</v>
      </c>
    </row>
    <row r="390" spans="1:16" x14ac:dyDescent="0.45">
      <c r="A390" s="1" t="s">
        <v>384</v>
      </c>
      <c r="B390" s="2">
        <v>4965854</v>
      </c>
      <c r="C390" s="3" t="s">
        <v>3856</v>
      </c>
      <c r="D390" s="3" t="s">
        <v>3857</v>
      </c>
      <c r="E390" s="3" t="s">
        <v>1864</v>
      </c>
      <c r="F390" s="5" t="s">
        <v>3858</v>
      </c>
      <c r="G390" s="5" t="s">
        <v>3859</v>
      </c>
      <c r="H390" s="5">
        <v>8322717</v>
      </c>
      <c r="I390" s="5" t="s">
        <v>3860</v>
      </c>
      <c r="J390" s="5">
        <v>2838771984</v>
      </c>
      <c r="K390" s="5" t="s">
        <v>3861</v>
      </c>
      <c r="L390" s="5" t="s">
        <v>3862</v>
      </c>
      <c r="M390" s="5">
        <v>1208596949</v>
      </c>
      <c r="N390" s="5">
        <v>9386864256</v>
      </c>
      <c r="O390" s="5">
        <v>51048509925</v>
      </c>
      <c r="P390" s="5">
        <v>5241504648</v>
      </c>
    </row>
    <row r="391" spans="1:16" x14ac:dyDescent="0.45">
      <c r="A391" s="1" t="s">
        <v>385</v>
      </c>
      <c r="B391" s="2">
        <v>4112718</v>
      </c>
      <c r="C391" s="3" t="s">
        <v>3863</v>
      </c>
      <c r="D391" s="3" t="s">
        <v>3864</v>
      </c>
      <c r="E391" s="3" t="s">
        <v>2793</v>
      </c>
      <c r="F391" s="5" t="s">
        <v>3865</v>
      </c>
      <c r="G391" s="5" t="s">
        <v>3866</v>
      </c>
      <c r="H391" s="5" t="s">
        <v>3867</v>
      </c>
      <c r="I391" s="5" t="s">
        <v>3868</v>
      </c>
      <c r="J391" s="5" t="s">
        <v>3869</v>
      </c>
      <c r="K391" s="5" t="s">
        <v>3870</v>
      </c>
      <c r="L391" s="5" t="s">
        <v>3871</v>
      </c>
      <c r="M391" s="5" t="s">
        <v>3872</v>
      </c>
      <c r="N391" s="5" t="s">
        <v>3873</v>
      </c>
      <c r="O391" s="5">
        <v>2407500315</v>
      </c>
      <c r="P391" s="5">
        <v>2232070855</v>
      </c>
    </row>
    <row r="392" spans="1:16" x14ac:dyDescent="0.45">
      <c r="A392" s="1" t="s">
        <v>386</v>
      </c>
      <c r="B392" s="2">
        <v>4276678</v>
      </c>
      <c r="C392" s="3" t="s">
        <v>3874</v>
      </c>
      <c r="D392" s="3" t="s">
        <v>3875</v>
      </c>
      <c r="E392" s="3" t="s">
        <v>2664</v>
      </c>
      <c r="F392" s="5" t="s">
        <v>3876</v>
      </c>
      <c r="G392" s="5" t="s">
        <v>3877</v>
      </c>
      <c r="H392" s="5">
        <v>4170667</v>
      </c>
      <c r="I392" s="5" t="s">
        <v>3878</v>
      </c>
      <c r="J392" s="5" t="s">
        <v>3879</v>
      </c>
      <c r="K392" s="5" t="s">
        <v>3880</v>
      </c>
      <c r="L392" s="5" t="s">
        <v>3881</v>
      </c>
      <c r="M392" s="5" t="s">
        <v>3882</v>
      </c>
      <c r="N392" s="5">
        <v>5806698</v>
      </c>
      <c r="O392" s="5" t="s">
        <v>3883</v>
      </c>
      <c r="P392" s="5" t="s">
        <v>3884</v>
      </c>
    </row>
    <row r="393" spans="1:16" x14ac:dyDescent="0.45">
      <c r="A393" s="1" t="s">
        <v>387</v>
      </c>
      <c r="B393" s="2">
        <v>4094305</v>
      </c>
      <c r="C393" s="3" t="s">
        <v>3885</v>
      </c>
      <c r="D393" s="3" t="s">
        <v>3886</v>
      </c>
      <c r="E393" s="3" t="s">
        <v>1555</v>
      </c>
      <c r="F393" s="5" t="s">
        <v>3887</v>
      </c>
      <c r="G393" s="5" t="s">
        <v>3888</v>
      </c>
      <c r="H393" s="5" t="s">
        <v>3889</v>
      </c>
      <c r="I393" s="5" t="s">
        <v>3890</v>
      </c>
      <c r="J393" s="5">
        <v>11895672</v>
      </c>
      <c r="K393" s="5">
        <v>10673366</v>
      </c>
      <c r="L393" s="5" t="s">
        <v>3891</v>
      </c>
      <c r="M393" s="5" t="s">
        <v>3892</v>
      </c>
      <c r="N393" s="5" t="s">
        <v>3893</v>
      </c>
      <c r="O393" s="5" t="s">
        <v>3894</v>
      </c>
      <c r="P393" s="5" t="s">
        <v>3895</v>
      </c>
    </row>
    <row r="394" spans="1:16" x14ac:dyDescent="0.45">
      <c r="A394" s="1" t="s">
        <v>388</v>
      </c>
      <c r="B394" s="2">
        <v>4558889</v>
      </c>
      <c r="C394" s="3" t="s">
        <v>3896</v>
      </c>
      <c r="D394" s="3" t="s">
        <v>3897</v>
      </c>
      <c r="E394" s="3" t="s">
        <v>2574</v>
      </c>
      <c r="F394" s="5">
        <v>10886696</v>
      </c>
      <c r="G394" s="5" t="s">
        <v>3898</v>
      </c>
      <c r="H394" s="5">
        <v>11011644</v>
      </c>
      <c r="I394" s="5" t="s">
        <v>3899</v>
      </c>
      <c r="J394" s="5">
        <v>9178792</v>
      </c>
      <c r="K394" s="5" t="s">
        <v>3900</v>
      </c>
      <c r="L394" s="5">
        <v>9654638</v>
      </c>
      <c r="M394" s="5" t="s">
        <v>3901</v>
      </c>
      <c r="N394" s="5" t="s">
        <v>3902</v>
      </c>
      <c r="O394" s="5" t="s">
        <v>3903</v>
      </c>
      <c r="P394" s="5" t="s">
        <v>3904</v>
      </c>
    </row>
    <row r="395" spans="1:16" x14ac:dyDescent="0.45">
      <c r="A395" s="1" t="s">
        <v>389</v>
      </c>
      <c r="B395" s="2">
        <v>4987124</v>
      </c>
      <c r="C395" s="3" t="s">
        <v>3905</v>
      </c>
      <c r="D395" s="3" t="s">
        <v>3906</v>
      </c>
      <c r="E395" s="3" t="s">
        <v>2642</v>
      </c>
      <c r="F395" s="5">
        <v>8936815</v>
      </c>
      <c r="G395" s="5" t="s">
        <v>3907</v>
      </c>
      <c r="H395" s="5" t="s">
        <v>3908</v>
      </c>
      <c r="I395" s="5" t="s">
        <v>3909</v>
      </c>
      <c r="J395" s="5" t="s">
        <v>3910</v>
      </c>
      <c r="K395" s="5" t="s">
        <v>3911</v>
      </c>
      <c r="L395" s="5" t="s">
        <v>3912</v>
      </c>
      <c r="M395" s="5" t="s">
        <v>3913</v>
      </c>
      <c r="N395" s="5" t="s">
        <v>3914</v>
      </c>
      <c r="O395" s="5" t="s">
        <v>3915</v>
      </c>
      <c r="P395" s="5">
        <v>1237311255</v>
      </c>
    </row>
    <row r="396" spans="1:16" x14ac:dyDescent="0.45">
      <c r="A396" s="1" t="s">
        <v>390</v>
      </c>
      <c r="B396" s="2">
        <v>4071231</v>
      </c>
      <c r="C396" s="3" t="s">
        <v>3916</v>
      </c>
      <c r="D396" s="3" t="s">
        <v>3917</v>
      </c>
      <c r="E396" s="3" t="s">
        <v>847</v>
      </c>
      <c r="F396" s="5">
        <v>23811419784</v>
      </c>
      <c r="G396" s="5">
        <v>27231560746</v>
      </c>
      <c r="H396" s="5">
        <v>22851790159</v>
      </c>
      <c r="I396" s="5">
        <v>22936757958</v>
      </c>
      <c r="J396" s="5">
        <v>22531570092</v>
      </c>
      <c r="K396" s="5">
        <v>1804237215</v>
      </c>
      <c r="L396" s="5">
        <v>13189687938</v>
      </c>
      <c r="M396" s="5">
        <v>13296239836</v>
      </c>
      <c r="N396" s="5">
        <v>16269963888</v>
      </c>
      <c r="O396" s="5">
        <v>17322886707</v>
      </c>
      <c r="P396" s="5">
        <v>18099974595</v>
      </c>
    </row>
    <row r="397" spans="1:16" x14ac:dyDescent="0.45">
      <c r="A397" s="1" t="s">
        <v>391</v>
      </c>
      <c r="B397" s="2">
        <v>4574287</v>
      </c>
      <c r="C397" s="3" t="s">
        <v>3918</v>
      </c>
      <c r="D397" s="3" t="s">
        <v>3919</v>
      </c>
      <c r="E397" s="3" t="s">
        <v>2105</v>
      </c>
      <c r="F397" s="5" t="s">
        <v>3920</v>
      </c>
      <c r="G397" s="5">
        <v>71167512</v>
      </c>
      <c r="H397" s="5" t="s">
        <v>3921</v>
      </c>
      <c r="I397" s="5" t="s">
        <v>3922</v>
      </c>
      <c r="J397" s="5" t="s">
        <v>3923</v>
      </c>
      <c r="K397" s="5" t="s">
        <v>3924</v>
      </c>
      <c r="L397" s="5">
        <v>7226821</v>
      </c>
      <c r="M397" s="5" t="s">
        <v>3925</v>
      </c>
      <c r="N397" s="5">
        <v>46905977616</v>
      </c>
      <c r="O397" s="5">
        <v>55939249125</v>
      </c>
      <c r="P397" s="5">
        <v>997820458</v>
      </c>
    </row>
    <row r="398" spans="1:16" x14ac:dyDescent="0.45">
      <c r="A398" s="1" t="s">
        <v>392</v>
      </c>
      <c r="B398" s="2">
        <v>4112734</v>
      </c>
      <c r="C398" s="3" t="s">
        <v>3926</v>
      </c>
      <c r="D398" s="3" t="s">
        <v>3927</v>
      </c>
      <c r="E398" s="3" t="s">
        <v>559</v>
      </c>
      <c r="F398" s="5" t="s">
        <v>3928</v>
      </c>
      <c r="G398" s="5" t="s">
        <v>3929</v>
      </c>
      <c r="H398" s="5" t="s">
        <v>3930</v>
      </c>
      <c r="I398" s="5" t="s">
        <v>3931</v>
      </c>
      <c r="J398" s="5" t="s">
        <v>3932</v>
      </c>
      <c r="K398" s="5" t="s">
        <v>3933</v>
      </c>
      <c r="L398" s="5" t="s">
        <v>3934</v>
      </c>
      <c r="M398" s="5" t="s">
        <v>3935</v>
      </c>
      <c r="N398" s="5" t="s">
        <v>3936</v>
      </c>
      <c r="O398" s="5" t="s">
        <v>3937</v>
      </c>
      <c r="P398" s="5" t="s">
        <v>3938</v>
      </c>
    </row>
    <row r="399" spans="1:16" x14ac:dyDescent="0.45">
      <c r="A399" s="1" t="s">
        <v>393</v>
      </c>
      <c r="B399" s="2">
        <v>4783703</v>
      </c>
      <c r="C399" s="3" t="s">
        <v>3939</v>
      </c>
      <c r="D399" s="3" t="s">
        <v>3940</v>
      </c>
      <c r="E399" s="3" t="s">
        <v>817</v>
      </c>
      <c r="F399" s="5">
        <v>12425510919</v>
      </c>
      <c r="G399" s="5">
        <v>10938479435</v>
      </c>
      <c r="H399" s="5">
        <v>9437794212</v>
      </c>
      <c r="I399" s="5">
        <v>7231903659</v>
      </c>
      <c r="J399" s="5">
        <v>5730494823</v>
      </c>
      <c r="K399" s="5" t="s">
        <v>3941</v>
      </c>
      <c r="L399" s="5">
        <v>4563652807</v>
      </c>
      <c r="M399" s="5">
        <v>2137131194</v>
      </c>
      <c r="N399" s="5">
        <v>875256144</v>
      </c>
      <c r="O399" s="5">
        <v>451142152</v>
      </c>
      <c r="P399" s="5">
        <v>4206785118925</v>
      </c>
    </row>
    <row r="400" spans="1:16" x14ac:dyDescent="0.45">
      <c r="A400" s="1" t="s">
        <v>394</v>
      </c>
      <c r="B400" s="2">
        <v>3002287</v>
      </c>
      <c r="C400" s="3" t="s">
        <v>3942</v>
      </c>
      <c r="D400" s="3" t="s">
        <v>3943</v>
      </c>
      <c r="E400" s="3" t="s">
        <v>978</v>
      </c>
      <c r="F400" s="5">
        <v>6704775</v>
      </c>
      <c r="G400" s="5" t="s">
        <v>3944</v>
      </c>
      <c r="H400" s="5" t="s">
        <v>3945</v>
      </c>
      <c r="I400" s="5" t="s">
        <v>3946</v>
      </c>
      <c r="J400" s="5" t="s">
        <v>3947</v>
      </c>
      <c r="K400" s="5">
        <v>4784717</v>
      </c>
      <c r="L400" s="5">
        <v>4938610</v>
      </c>
      <c r="M400" s="5" t="s">
        <v>3948</v>
      </c>
      <c r="N400" s="5" t="s">
        <v>3949</v>
      </c>
      <c r="O400" s="5" t="s">
        <v>3950</v>
      </c>
      <c r="P400" s="5" t="s">
        <v>3951</v>
      </c>
    </row>
    <row r="401" spans="1:16" x14ac:dyDescent="0.45">
      <c r="A401" s="1" t="s">
        <v>395</v>
      </c>
      <c r="B401" s="2">
        <v>4055465</v>
      </c>
      <c r="C401" s="3" t="s">
        <v>3952</v>
      </c>
      <c r="D401" s="3" t="s">
        <v>3953</v>
      </c>
      <c r="E401" s="3" t="s">
        <v>3954</v>
      </c>
      <c r="F401" s="5" t="s">
        <v>3955</v>
      </c>
      <c r="G401" s="5" t="s">
        <v>3956</v>
      </c>
      <c r="H401" s="5" t="s">
        <v>3957</v>
      </c>
      <c r="I401" s="5" t="s">
        <v>3958</v>
      </c>
      <c r="J401" s="5" t="s">
        <v>3959</v>
      </c>
      <c r="K401" s="5">
        <v>4571460</v>
      </c>
      <c r="L401" s="5" t="s">
        <v>3960</v>
      </c>
      <c r="M401" s="5" t="s">
        <v>3961</v>
      </c>
      <c r="N401" s="5" t="s">
        <v>3962</v>
      </c>
      <c r="O401" s="5" t="s">
        <v>3963</v>
      </c>
      <c r="P401" s="5" t="s">
        <v>3964</v>
      </c>
    </row>
    <row r="402" spans="1:16" x14ac:dyDescent="0.45">
      <c r="A402" s="1" t="s">
        <v>396</v>
      </c>
      <c r="B402" s="2">
        <v>103247</v>
      </c>
      <c r="C402" s="3" t="s">
        <v>3965</v>
      </c>
      <c r="D402" s="3" t="s">
        <v>3966</v>
      </c>
      <c r="E402" s="3" t="s">
        <v>723</v>
      </c>
      <c r="F402" s="5" t="s">
        <v>3967</v>
      </c>
      <c r="G402" s="5" t="s">
        <v>3968</v>
      </c>
      <c r="H402" s="5">
        <v>15949861</v>
      </c>
      <c r="I402" s="5" t="s">
        <v>3969</v>
      </c>
      <c r="J402" s="5" t="s">
        <v>3970</v>
      </c>
      <c r="K402" s="5" t="s">
        <v>3971</v>
      </c>
      <c r="L402" s="5" t="s">
        <v>3972</v>
      </c>
      <c r="M402" s="5" t="s">
        <v>3973</v>
      </c>
      <c r="N402" s="5" t="s">
        <v>3974</v>
      </c>
      <c r="O402" s="5" t="s">
        <v>3975</v>
      </c>
      <c r="P402" s="5" t="s">
        <v>3976</v>
      </c>
    </row>
    <row r="403" spans="1:16" x14ac:dyDescent="0.45">
      <c r="A403" s="1" t="s">
        <v>397</v>
      </c>
      <c r="B403" s="2">
        <v>100144</v>
      </c>
      <c r="C403" s="3" t="s">
        <v>3977</v>
      </c>
      <c r="D403" s="3" t="s">
        <v>3978</v>
      </c>
      <c r="E403" s="3" t="s">
        <v>761</v>
      </c>
      <c r="F403" s="5" t="s">
        <v>3979</v>
      </c>
      <c r="G403" s="5" t="s">
        <v>3980</v>
      </c>
      <c r="H403" s="5" t="s">
        <v>3981</v>
      </c>
      <c r="I403" s="5">
        <v>38223345</v>
      </c>
      <c r="J403" s="5" t="s">
        <v>3982</v>
      </c>
      <c r="K403" s="5">
        <v>37703100</v>
      </c>
      <c r="L403" s="5" t="s">
        <v>3983</v>
      </c>
      <c r="M403" s="5" t="s">
        <v>3984</v>
      </c>
      <c r="N403" s="5" t="s">
        <v>3985</v>
      </c>
      <c r="O403" s="5">
        <v>37494134</v>
      </c>
      <c r="P403" s="5" t="s">
        <v>3986</v>
      </c>
    </row>
    <row r="404" spans="1:16" x14ac:dyDescent="0.45">
      <c r="A404" s="1" t="s">
        <v>398</v>
      </c>
      <c r="B404" s="2">
        <v>4004086</v>
      </c>
      <c r="C404" s="3" t="s">
        <v>3987</v>
      </c>
      <c r="D404" s="3" t="s">
        <v>3988</v>
      </c>
      <c r="E404" s="3" t="s">
        <v>978</v>
      </c>
      <c r="F404" s="5" t="s">
        <v>3989</v>
      </c>
      <c r="G404" s="5" t="s">
        <v>3990</v>
      </c>
      <c r="H404" s="5" t="s">
        <v>3991</v>
      </c>
      <c r="I404" s="5" t="s">
        <v>3992</v>
      </c>
      <c r="J404" s="5" t="s">
        <v>3993</v>
      </c>
      <c r="K404" s="5" t="s">
        <v>3994</v>
      </c>
      <c r="L404" s="5">
        <v>-7396130</v>
      </c>
      <c r="M404" s="5">
        <v>358094</v>
      </c>
      <c r="N404" s="5" t="s">
        <v>3995</v>
      </c>
      <c r="O404" s="5" t="s">
        <v>3996</v>
      </c>
      <c r="P404" s="5" t="s">
        <v>3997</v>
      </c>
    </row>
    <row r="405" spans="1:16" x14ac:dyDescent="0.45">
      <c r="A405" s="1" t="s">
        <v>399</v>
      </c>
      <c r="B405" s="2">
        <v>4133211</v>
      </c>
      <c r="C405" s="3" t="s">
        <v>3998</v>
      </c>
      <c r="D405" s="3" t="s">
        <v>3999</v>
      </c>
      <c r="E405" s="3" t="s">
        <v>1475</v>
      </c>
      <c r="F405" s="5" t="s">
        <v>4000</v>
      </c>
      <c r="G405" s="5" t="s">
        <v>4001</v>
      </c>
      <c r="H405" s="5" t="s">
        <v>4002</v>
      </c>
      <c r="I405" s="5" t="s">
        <v>4003</v>
      </c>
      <c r="J405" s="5">
        <v>2658822</v>
      </c>
      <c r="K405" s="5" t="s">
        <v>4004</v>
      </c>
      <c r="L405" s="5" t="s">
        <v>4005</v>
      </c>
      <c r="M405" s="5" t="s">
        <v>4006</v>
      </c>
      <c r="N405" s="5" t="s">
        <v>4007</v>
      </c>
      <c r="O405" s="5" t="s">
        <v>4008</v>
      </c>
      <c r="P405" s="5" t="s">
        <v>4009</v>
      </c>
    </row>
    <row r="406" spans="1:16" x14ac:dyDescent="0.45">
      <c r="A406" s="1" t="s">
        <v>400</v>
      </c>
      <c r="B406" s="2">
        <v>102775</v>
      </c>
      <c r="C406" s="3" t="s">
        <v>4010</v>
      </c>
      <c r="D406" s="3" t="s">
        <v>4011</v>
      </c>
      <c r="E406" s="3" t="s">
        <v>2472</v>
      </c>
      <c r="F406" s="5" t="s">
        <v>4012</v>
      </c>
      <c r="G406" s="5" t="s">
        <v>4013</v>
      </c>
      <c r="H406" s="5" t="s">
        <v>4014</v>
      </c>
      <c r="I406" s="5" t="s">
        <v>4015</v>
      </c>
      <c r="J406" s="5" t="s">
        <v>4016</v>
      </c>
      <c r="K406" s="5">
        <v>45829050</v>
      </c>
      <c r="L406" s="5" t="s">
        <v>4017</v>
      </c>
      <c r="M406" s="5">
        <v>18053178</v>
      </c>
      <c r="N406" s="5">
        <v>15427620</v>
      </c>
      <c r="O406" s="5" t="s">
        <v>4018</v>
      </c>
      <c r="P406" s="5" t="s">
        <v>4019</v>
      </c>
    </row>
    <row r="407" spans="1:16" x14ac:dyDescent="0.45">
      <c r="A407" s="1" t="s">
        <v>401</v>
      </c>
      <c r="B407" s="2">
        <v>103339</v>
      </c>
      <c r="C407" s="3" t="s">
        <v>4020</v>
      </c>
      <c r="D407" s="3" t="s">
        <v>4021</v>
      </c>
      <c r="E407" s="3" t="s">
        <v>1267</v>
      </c>
      <c r="F407" s="5" t="s">
        <v>4022</v>
      </c>
      <c r="G407" s="5" t="s">
        <v>4023</v>
      </c>
      <c r="H407" s="5" t="s">
        <v>4024</v>
      </c>
      <c r="I407" s="5" t="s">
        <v>4025</v>
      </c>
      <c r="J407" s="5" t="s">
        <v>4026</v>
      </c>
      <c r="K407" s="5">
        <v>41190555</v>
      </c>
      <c r="L407" s="5" t="s">
        <v>4027</v>
      </c>
      <c r="M407" s="5" t="s">
        <v>4028</v>
      </c>
      <c r="N407" s="5">
        <v>11459328</v>
      </c>
      <c r="O407" s="5" t="s">
        <v>4029</v>
      </c>
      <c r="P407" s="5" t="s">
        <v>4030</v>
      </c>
    </row>
    <row r="408" spans="1:16" x14ac:dyDescent="0.45">
      <c r="A408" s="1" t="s">
        <v>402</v>
      </c>
      <c r="B408" s="2">
        <v>4091914</v>
      </c>
      <c r="C408" s="3" t="s">
        <v>4031</v>
      </c>
      <c r="D408" s="3" t="s">
        <v>4032</v>
      </c>
      <c r="E408" s="3" t="s">
        <v>1348</v>
      </c>
      <c r="F408" s="5">
        <v>410423</v>
      </c>
      <c r="G408" s="5" t="s">
        <v>4033</v>
      </c>
      <c r="H408" s="5">
        <v>355408</v>
      </c>
      <c r="I408" s="5" t="s">
        <v>4034</v>
      </c>
      <c r="J408" s="5" t="s">
        <v>4035</v>
      </c>
      <c r="K408" s="5" t="s">
        <v>4036</v>
      </c>
      <c r="L408" s="5" t="s">
        <v>4037</v>
      </c>
      <c r="M408" s="5" t="s">
        <v>4038</v>
      </c>
      <c r="N408" s="5">
        <v>475063</v>
      </c>
      <c r="O408" s="5" t="s">
        <v>4039</v>
      </c>
      <c r="P408" s="5" t="s">
        <v>4040</v>
      </c>
    </row>
    <row r="409" spans="1:16" x14ac:dyDescent="0.45">
      <c r="A409" s="1" t="s">
        <v>403</v>
      </c>
      <c r="B409" s="2">
        <v>4202062</v>
      </c>
      <c r="C409" s="3" t="s">
        <v>4041</v>
      </c>
      <c r="D409" s="3" t="s">
        <v>4042</v>
      </c>
      <c r="E409" s="3" t="s">
        <v>2620</v>
      </c>
      <c r="F409" s="5" t="s">
        <v>4043</v>
      </c>
      <c r="G409" s="5" t="s">
        <v>4044</v>
      </c>
      <c r="H409" s="5">
        <v>24861156</v>
      </c>
      <c r="I409" s="5" t="s">
        <v>4045</v>
      </c>
      <c r="J409" s="5">
        <v>21859398</v>
      </c>
      <c r="K409" s="5">
        <v>17399670</v>
      </c>
      <c r="L409" s="5" t="s">
        <v>4046</v>
      </c>
      <c r="M409" s="5" t="s">
        <v>4047</v>
      </c>
      <c r="N409" s="5" t="s">
        <v>4048</v>
      </c>
      <c r="O409" s="5">
        <v>21996306</v>
      </c>
      <c r="P409" s="5">
        <v>23722203</v>
      </c>
    </row>
    <row r="410" spans="1:16" x14ac:dyDescent="0.45">
      <c r="A410" s="1" t="s">
        <v>404</v>
      </c>
      <c r="B410" s="2">
        <v>4578418</v>
      </c>
      <c r="C410" s="3" t="s">
        <v>4049</v>
      </c>
      <c r="D410" s="3" t="s">
        <v>4050</v>
      </c>
      <c r="E410" s="3" t="s">
        <v>615</v>
      </c>
      <c r="F410" s="5" t="s">
        <v>4051</v>
      </c>
      <c r="G410" s="5" t="s">
        <v>4052</v>
      </c>
      <c r="H410" s="5" t="s">
        <v>4053</v>
      </c>
      <c r="I410" s="5" t="s">
        <v>4054</v>
      </c>
      <c r="J410" s="5" t="s">
        <v>4055</v>
      </c>
      <c r="K410" s="5" t="s">
        <v>4056</v>
      </c>
      <c r="L410" s="5" t="s">
        <v>4057</v>
      </c>
      <c r="M410" s="5" t="s">
        <v>4058</v>
      </c>
      <c r="N410" s="5" t="s">
        <v>4059</v>
      </c>
      <c r="O410" s="5" t="s">
        <v>4060</v>
      </c>
      <c r="P410" s="5">
        <v>24248298424</v>
      </c>
    </row>
    <row r="411" spans="1:16" x14ac:dyDescent="0.45">
      <c r="A411" s="1" t="s">
        <v>405</v>
      </c>
      <c r="B411" s="2">
        <v>4913043</v>
      </c>
      <c r="C411" s="3" t="s">
        <v>4061</v>
      </c>
      <c r="D411" s="3" t="s">
        <v>4062</v>
      </c>
      <c r="E411" s="3" t="s">
        <v>4063</v>
      </c>
      <c r="F411" s="5" t="s">
        <v>4064</v>
      </c>
      <c r="G411" s="5" t="s">
        <v>4065</v>
      </c>
      <c r="H411" s="5">
        <v>5877972</v>
      </c>
      <c r="I411" s="5" t="s">
        <v>4066</v>
      </c>
      <c r="J411" s="5" t="s">
        <v>4067</v>
      </c>
      <c r="K411" s="5" t="s">
        <v>4068</v>
      </c>
      <c r="L411" s="5" t="s">
        <v>4069</v>
      </c>
      <c r="M411" s="5">
        <v>4036941</v>
      </c>
      <c r="N411" s="5">
        <v>3858353</v>
      </c>
      <c r="O411" s="5" t="s">
        <v>4070</v>
      </c>
      <c r="P411" s="5">
        <v>3280647825</v>
      </c>
    </row>
    <row r="412" spans="1:16" x14ac:dyDescent="0.45">
      <c r="A412" s="1" t="s">
        <v>406</v>
      </c>
      <c r="B412" s="2">
        <v>4039450</v>
      </c>
      <c r="C412" s="3" t="s">
        <v>4071</v>
      </c>
      <c r="D412" s="3" t="s">
        <v>4072</v>
      </c>
      <c r="E412" s="3" t="s">
        <v>2472</v>
      </c>
      <c r="F412" s="5" t="s">
        <v>4073</v>
      </c>
      <c r="G412" s="5" t="s">
        <v>4074</v>
      </c>
      <c r="H412" s="5" t="s">
        <v>4075</v>
      </c>
      <c r="I412" s="5" t="s">
        <v>4076</v>
      </c>
      <c r="J412" s="5" t="s">
        <v>4077</v>
      </c>
      <c r="K412" s="5">
        <v>79765110</v>
      </c>
      <c r="L412" s="5" t="s">
        <v>4078</v>
      </c>
      <c r="M412" s="5" t="s">
        <v>4079</v>
      </c>
      <c r="N412" s="5" t="s">
        <v>4080</v>
      </c>
      <c r="O412" s="5" t="s">
        <v>4081</v>
      </c>
      <c r="P412" s="5" t="s">
        <v>4082</v>
      </c>
    </row>
    <row r="413" spans="1:16" x14ac:dyDescent="0.45">
      <c r="A413" s="1" t="s">
        <v>407</v>
      </c>
      <c r="B413" s="2">
        <v>103647</v>
      </c>
      <c r="C413" s="3" t="s">
        <v>4083</v>
      </c>
      <c r="D413" s="3" t="s">
        <v>4084</v>
      </c>
      <c r="E413" s="3" t="s">
        <v>723</v>
      </c>
      <c r="F413" s="5" t="s">
        <v>4085</v>
      </c>
      <c r="G413" s="5" t="s">
        <v>4086</v>
      </c>
      <c r="H413" s="5" t="s">
        <v>4087</v>
      </c>
      <c r="I413" s="5" t="s">
        <v>4088</v>
      </c>
      <c r="J413" s="5" t="s">
        <v>4089</v>
      </c>
      <c r="K413" s="5">
        <v>15169530</v>
      </c>
      <c r="L413" s="5">
        <v>14498197</v>
      </c>
      <c r="M413" s="5" t="s">
        <v>4090</v>
      </c>
      <c r="N413" s="5" t="s">
        <v>4091</v>
      </c>
      <c r="O413" s="5" t="s">
        <v>4092</v>
      </c>
      <c r="P413" s="5" t="s">
        <v>4093</v>
      </c>
    </row>
    <row r="414" spans="1:16" x14ac:dyDescent="0.45">
      <c r="A414" s="1" t="s">
        <v>408</v>
      </c>
      <c r="B414" s="2">
        <v>4914369</v>
      </c>
      <c r="C414" s="3" t="s">
        <v>4094</v>
      </c>
      <c r="D414" s="3" t="s">
        <v>4095</v>
      </c>
      <c r="E414" s="3" t="s">
        <v>1475</v>
      </c>
      <c r="F414" s="5">
        <v>3949119975</v>
      </c>
      <c r="G414" s="5">
        <v>45538842986</v>
      </c>
      <c r="H414" s="5">
        <v>37084431042</v>
      </c>
      <c r="I414" s="5">
        <v>30873833208</v>
      </c>
      <c r="J414" s="5">
        <v>24244314597</v>
      </c>
      <c r="K414" s="5">
        <v>18294693525</v>
      </c>
      <c r="L414" s="5">
        <v>15549641534</v>
      </c>
      <c r="M414" s="5">
        <v>12291061244</v>
      </c>
      <c r="N414" s="5">
        <v>775807332</v>
      </c>
      <c r="O414" s="5">
        <v>7840678951</v>
      </c>
      <c r="P414" s="5">
        <v>9644506365</v>
      </c>
    </row>
    <row r="415" spans="1:16" x14ac:dyDescent="0.45">
      <c r="A415" s="1" t="s">
        <v>409</v>
      </c>
      <c r="B415" s="2">
        <v>4004135</v>
      </c>
      <c r="C415" s="3" t="s">
        <v>4096</v>
      </c>
      <c r="D415" s="3" t="s">
        <v>4097</v>
      </c>
      <c r="E415" s="3" t="s">
        <v>2783</v>
      </c>
      <c r="F415" s="5">
        <v>6388344</v>
      </c>
      <c r="G415" s="5" t="s">
        <v>4098</v>
      </c>
      <c r="H415" s="5" t="s">
        <v>4099</v>
      </c>
      <c r="I415" s="5" t="s">
        <v>4100</v>
      </c>
      <c r="J415" s="5" t="s">
        <v>4101</v>
      </c>
      <c r="K415" s="5">
        <v>-2810632</v>
      </c>
      <c r="L415" s="5" t="s">
        <v>4102</v>
      </c>
      <c r="M415" s="5" t="s">
        <v>4103</v>
      </c>
      <c r="N415" s="5" t="s">
        <v>4104</v>
      </c>
      <c r="O415" s="5" t="s">
        <v>4105</v>
      </c>
      <c r="P415" s="5" t="s">
        <v>4106</v>
      </c>
    </row>
    <row r="416" spans="1:16" x14ac:dyDescent="0.45">
      <c r="A416" s="1" t="s">
        <v>410</v>
      </c>
      <c r="B416" s="2">
        <v>4912995</v>
      </c>
      <c r="C416" s="3" t="s">
        <v>4107</v>
      </c>
      <c r="D416" s="3" t="s">
        <v>4108</v>
      </c>
      <c r="E416" s="3" t="s">
        <v>1475</v>
      </c>
      <c r="F416" s="5" t="s">
        <v>4109</v>
      </c>
      <c r="G416" s="5" t="s">
        <v>4110</v>
      </c>
      <c r="H416" s="5" t="s">
        <v>4111</v>
      </c>
      <c r="I416" s="5" t="s">
        <v>4112</v>
      </c>
      <c r="J416" s="5" t="s">
        <v>4113</v>
      </c>
      <c r="K416" s="5" t="s">
        <v>4114</v>
      </c>
      <c r="L416" s="5" t="s">
        <v>4115</v>
      </c>
      <c r="M416" s="5" t="s">
        <v>4116</v>
      </c>
      <c r="N416" s="5" t="s">
        <v>4117</v>
      </c>
      <c r="O416" s="5">
        <v>6119471775</v>
      </c>
      <c r="P416" s="5">
        <v>6330373425</v>
      </c>
    </row>
    <row r="417" spans="1:16" x14ac:dyDescent="0.45">
      <c r="A417" s="1" t="s">
        <v>411</v>
      </c>
      <c r="B417" s="2">
        <v>4384788</v>
      </c>
      <c r="C417" s="3" t="s">
        <v>4118</v>
      </c>
      <c r="D417" s="3" t="s">
        <v>4119</v>
      </c>
      <c r="E417" s="3" t="s">
        <v>1475</v>
      </c>
      <c r="F417" s="5">
        <v>35520650</v>
      </c>
      <c r="G417" s="5" t="s">
        <v>4120</v>
      </c>
      <c r="H417" s="5" t="s">
        <v>4121</v>
      </c>
      <c r="I417" s="5">
        <v>45727659</v>
      </c>
      <c r="J417" s="5" t="s">
        <v>4122</v>
      </c>
      <c r="K417" s="5" t="s">
        <v>4123</v>
      </c>
      <c r="L417" s="5" t="s">
        <v>4124</v>
      </c>
      <c r="M417" s="5" t="s">
        <v>4125</v>
      </c>
      <c r="N417" s="5" t="s">
        <v>4126</v>
      </c>
      <c r="O417" s="5" t="s">
        <v>4127</v>
      </c>
      <c r="P417" s="5" t="s">
        <v>4128</v>
      </c>
    </row>
    <row r="418" spans="1:16" x14ac:dyDescent="0.45">
      <c r="A418" s="1" t="s">
        <v>412</v>
      </c>
      <c r="B418" s="2">
        <v>4004136</v>
      </c>
      <c r="C418" s="3" t="s">
        <v>4129</v>
      </c>
      <c r="D418" s="3" t="s">
        <v>4130</v>
      </c>
      <c r="E418" s="3" t="s">
        <v>4131</v>
      </c>
      <c r="F418" s="5" t="s">
        <v>4132</v>
      </c>
      <c r="G418" s="5" t="s">
        <v>4133</v>
      </c>
      <c r="H418" s="5" t="s">
        <v>4134</v>
      </c>
      <c r="I418" s="5" t="s">
        <v>4135</v>
      </c>
      <c r="J418" s="5">
        <v>7867290</v>
      </c>
      <c r="K418" s="5">
        <v>7732846</v>
      </c>
      <c r="L418" s="5" t="s">
        <v>4136</v>
      </c>
      <c r="M418" s="5">
        <v>5550239</v>
      </c>
      <c r="N418" s="5">
        <v>6275192</v>
      </c>
      <c r="O418" s="5" t="s">
        <v>4137</v>
      </c>
      <c r="P418" s="5" t="s">
        <v>4138</v>
      </c>
    </row>
    <row r="419" spans="1:16" x14ac:dyDescent="0.45">
      <c r="A419" s="1" t="s">
        <v>413</v>
      </c>
      <c r="B419" s="2">
        <v>4097833</v>
      </c>
      <c r="C419" s="3" t="s">
        <v>4139</v>
      </c>
      <c r="D419" s="3" t="s">
        <v>4140</v>
      </c>
      <c r="E419" s="3" t="s">
        <v>1289</v>
      </c>
      <c r="F419" s="5" t="s">
        <v>4141</v>
      </c>
      <c r="G419" s="5" t="s">
        <v>4142</v>
      </c>
      <c r="H419" s="5" t="s">
        <v>4143</v>
      </c>
      <c r="I419" s="5" t="s">
        <v>4144</v>
      </c>
      <c r="J419" s="5" t="s">
        <v>4145</v>
      </c>
      <c r="K419" s="5">
        <v>7974876</v>
      </c>
      <c r="L419" s="5" t="s">
        <v>4146</v>
      </c>
      <c r="M419" s="5" t="s">
        <v>4147</v>
      </c>
      <c r="N419" s="5" t="s">
        <v>4148</v>
      </c>
      <c r="O419" s="5" t="s">
        <v>4149</v>
      </c>
      <c r="P419" s="5" t="s">
        <v>4150</v>
      </c>
    </row>
    <row r="420" spans="1:16" x14ac:dyDescent="0.45">
      <c r="A420" s="1" t="s">
        <v>414</v>
      </c>
      <c r="B420" s="2">
        <v>100406</v>
      </c>
      <c r="C420" s="3" t="s">
        <v>4151</v>
      </c>
      <c r="D420" s="3" t="s">
        <v>4152</v>
      </c>
      <c r="E420" s="3" t="s">
        <v>1005</v>
      </c>
      <c r="F420" s="5" t="s">
        <v>4153</v>
      </c>
      <c r="G420" s="5" t="s">
        <v>4154</v>
      </c>
      <c r="H420" s="5" t="s">
        <v>4155</v>
      </c>
      <c r="I420" s="5" t="s">
        <v>4156</v>
      </c>
      <c r="J420" s="5" t="s">
        <v>4157</v>
      </c>
      <c r="K420" s="5" t="s">
        <v>4158</v>
      </c>
      <c r="L420" s="5" t="s">
        <v>4159</v>
      </c>
      <c r="M420" s="5">
        <v>41722318</v>
      </c>
      <c r="N420" s="5">
        <v>39628788</v>
      </c>
      <c r="O420" s="5" t="s">
        <v>4160</v>
      </c>
      <c r="P420" s="5">
        <v>42336085</v>
      </c>
    </row>
    <row r="421" spans="1:16" x14ac:dyDescent="0.45">
      <c r="A421" s="1" t="s">
        <v>415</v>
      </c>
      <c r="B421" s="2">
        <v>4004124</v>
      </c>
      <c r="C421" s="3" t="s">
        <v>4161</v>
      </c>
      <c r="D421" s="3" t="s">
        <v>4162</v>
      </c>
      <c r="E421" s="3" t="s">
        <v>1348</v>
      </c>
      <c r="F421" s="5">
        <v>44519826</v>
      </c>
      <c r="G421" s="5" t="s">
        <v>4163</v>
      </c>
      <c r="H421" s="5">
        <v>43111540</v>
      </c>
      <c r="I421" s="5" t="s">
        <v>4164</v>
      </c>
      <c r="J421" s="5" t="s">
        <v>4165</v>
      </c>
      <c r="K421" s="5" t="s">
        <v>4166</v>
      </c>
      <c r="L421" s="5" t="s">
        <v>4167</v>
      </c>
      <c r="M421" s="5" t="s">
        <v>4168</v>
      </c>
      <c r="N421" s="5">
        <v>48889417</v>
      </c>
      <c r="O421" s="5" t="s">
        <v>4169</v>
      </c>
      <c r="P421" s="5" t="s">
        <v>4170</v>
      </c>
    </row>
    <row r="422" spans="1:16" x14ac:dyDescent="0.45">
      <c r="A422" s="1" t="s">
        <v>416</v>
      </c>
      <c r="B422" s="2">
        <v>103383</v>
      </c>
      <c r="C422" s="3" t="s">
        <v>4171</v>
      </c>
      <c r="D422" s="3" t="s">
        <v>4172</v>
      </c>
      <c r="E422" s="3" t="s">
        <v>723</v>
      </c>
      <c r="F422" s="5" t="s">
        <v>4173</v>
      </c>
      <c r="G422" s="5" t="s">
        <v>4174</v>
      </c>
      <c r="H422" s="5" t="s">
        <v>4175</v>
      </c>
      <c r="I422" s="5" t="s">
        <v>1224</v>
      </c>
      <c r="J422" s="5" t="s">
        <v>4176</v>
      </c>
      <c r="K422" s="5" t="s">
        <v>4177</v>
      </c>
      <c r="L422" s="5" t="s">
        <v>4178</v>
      </c>
      <c r="M422" s="5" t="s">
        <v>4179</v>
      </c>
      <c r="N422" s="5" t="s">
        <v>4180</v>
      </c>
      <c r="O422" s="5" t="s">
        <v>4181</v>
      </c>
      <c r="P422" s="5">
        <v>7139771725</v>
      </c>
    </row>
    <row r="423" spans="1:16" x14ac:dyDescent="0.45">
      <c r="A423" s="1" t="s">
        <v>417</v>
      </c>
      <c r="B423" s="2">
        <v>4191577</v>
      </c>
      <c r="C423" s="3" t="s">
        <v>4182</v>
      </c>
      <c r="D423" s="3" t="s">
        <v>4183</v>
      </c>
      <c r="E423" s="3" t="s">
        <v>609</v>
      </c>
      <c r="F423" s="5" t="s">
        <v>4184</v>
      </c>
      <c r="G423" s="5" t="s">
        <v>4185</v>
      </c>
      <c r="H423" s="5" t="s">
        <v>4186</v>
      </c>
      <c r="I423" s="5" t="s">
        <v>4187</v>
      </c>
      <c r="J423" s="5" t="s">
        <v>4188</v>
      </c>
      <c r="K423" s="5">
        <v>2951829</v>
      </c>
      <c r="L423" s="5" t="s">
        <v>4189</v>
      </c>
      <c r="M423" s="5" t="s">
        <v>4190</v>
      </c>
      <c r="N423" s="5" t="s">
        <v>4191</v>
      </c>
      <c r="O423" s="5">
        <v>17794471593</v>
      </c>
      <c r="P423" s="5">
        <v>7991281325</v>
      </c>
    </row>
    <row r="424" spans="1:16" x14ac:dyDescent="0.45">
      <c r="A424" s="1" t="s">
        <v>418</v>
      </c>
      <c r="B424" s="2">
        <v>4004298</v>
      </c>
      <c r="C424" s="3" t="s">
        <v>4192</v>
      </c>
      <c r="D424" s="3" t="s">
        <v>4193</v>
      </c>
      <c r="E424" s="3" t="s">
        <v>630</v>
      </c>
      <c r="F424" s="5" t="s">
        <v>4194</v>
      </c>
      <c r="G424" s="5" t="s">
        <v>4195</v>
      </c>
      <c r="H424" s="5" t="s">
        <v>4196</v>
      </c>
      <c r="I424" s="5" t="s">
        <v>4197</v>
      </c>
      <c r="J424" s="5" t="s">
        <v>4198</v>
      </c>
      <c r="K424" s="5" t="s">
        <v>4199</v>
      </c>
      <c r="L424" s="5">
        <v>28559755</v>
      </c>
      <c r="M424" s="5">
        <v>25616822</v>
      </c>
      <c r="N424" s="5" t="s">
        <v>4200</v>
      </c>
      <c r="O424" s="5" t="s">
        <v>4201</v>
      </c>
      <c r="P424" s="5" t="s">
        <v>4202</v>
      </c>
    </row>
    <row r="425" spans="1:16" x14ac:dyDescent="0.45">
      <c r="A425" s="1" t="s">
        <v>419</v>
      </c>
      <c r="B425" s="2">
        <v>4074192</v>
      </c>
      <c r="C425" s="3" t="s">
        <v>4203</v>
      </c>
      <c r="D425" s="3" t="s">
        <v>4204</v>
      </c>
      <c r="E425" s="3" t="s">
        <v>3633</v>
      </c>
      <c r="F425" s="5" t="s">
        <v>4205</v>
      </c>
      <c r="G425" s="5" t="s">
        <v>4206</v>
      </c>
      <c r="H425" s="5" t="s">
        <v>4207</v>
      </c>
      <c r="I425" s="5" t="s">
        <v>4208</v>
      </c>
      <c r="J425" s="5">
        <v>48049650792</v>
      </c>
      <c r="K425" s="5">
        <v>5365287224</v>
      </c>
      <c r="L425" s="5">
        <v>43968309654</v>
      </c>
      <c r="M425" s="5">
        <v>41382107742</v>
      </c>
      <c r="N425" s="5">
        <v>42183121848</v>
      </c>
      <c r="O425" s="5">
        <v>398038336125</v>
      </c>
      <c r="P425" s="5">
        <v>37770417225</v>
      </c>
    </row>
    <row r="426" spans="1:16" x14ac:dyDescent="0.45">
      <c r="A426" s="1" t="s">
        <v>420</v>
      </c>
      <c r="B426" s="2">
        <v>4844112</v>
      </c>
      <c r="C426" s="3" t="s">
        <v>4209</v>
      </c>
      <c r="D426" s="3" t="s">
        <v>4210</v>
      </c>
      <c r="E426" s="3" t="s">
        <v>3255</v>
      </c>
      <c r="F426" s="5">
        <v>21159558147</v>
      </c>
      <c r="G426" s="5">
        <v>28485791555</v>
      </c>
      <c r="H426" s="5">
        <v>19579689293</v>
      </c>
      <c r="I426" s="5">
        <v>19793227023</v>
      </c>
      <c r="J426" s="5">
        <v>13429601658</v>
      </c>
      <c r="K426" s="5">
        <v>8282460375</v>
      </c>
      <c r="L426" s="5">
        <v>5458138987</v>
      </c>
      <c r="M426" s="5">
        <v>3446148178</v>
      </c>
      <c r="N426" s="5">
        <v>2045215224</v>
      </c>
      <c r="O426" s="5">
        <v>155717174</v>
      </c>
      <c r="P426" s="5">
        <v>4168511475</v>
      </c>
    </row>
    <row r="427" spans="1:16" x14ac:dyDescent="0.45">
      <c r="A427" s="1" t="s">
        <v>421</v>
      </c>
      <c r="B427" s="2">
        <v>4055530</v>
      </c>
      <c r="C427" s="3" t="s">
        <v>4211</v>
      </c>
      <c r="D427" s="3" t="s">
        <v>4212</v>
      </c>
      <c r="E427" s="3" t="s">
        <v>723</v>
      </c>
      <c r="F427" s="5" t="s">
        <v>4213</v>
      </c>
      <c r="G427" s="5" t="s">
        <v>4214</v>
      </c>
      <c r="H427" s="5" t="s">
        <v>4215</v>
      </c>
      <c r="I427" s="5">
        <v>20173692</v>
      </c>
      <c r="J427" s="5" t="s">
        <v>4216</v>
      </c>
      <c r="K427" s="5" t="s">
        <v>4217</v>
      </c>
      <c r="L427" s="5" t="s">
        <v>4218</v>
      </c>
      <c r="M427" s="5" t="s">
        <v>4219</v>
      </c>
      <c r="N427" s="5" t="s">
        <v>4220</v>
      </c>
      <c r="O427" s="5" t="s">
        <v>4221</v>
      </c>
      <c r="P427" s="5" t="s">
        <v>4222</v>
      </c>
    </row>
    <row r="428" spans="1:16" x14ac:dyDescent="0.45">
      <c r="A428" s="1" t="s">
        <v>422</v>
      </c>
      <c r="B428" s="2">
        <v>4097175</v>
      </c>
      <c r="C428" s="3" t="s">
        <v>4223</v>
      </c>
      <c r="D428" s="3" t="s">
        <v>4224</v>
      </c>
      <c r="E428" s="3" t="s">
        <v>2756</v>
      </c>
      <c r="F428" s="5" t="s">
        <v>4225</v>
      </c>
      <c r="G428" s="5" t="s">
        <v>4226</v>
      </c>
      <c r="H428" s="5" t="s">
        <v>4227</v>
      </c>
      <c r="I428" s="5" t="s">
        <v>4228</v>
      </c>
      <c r="J428" s="5" t="s">
        <v>4229</v>
      </c>
      <c r="K428" s="5" t="s">
        <v>4230</v>
      </c>
      <c r="L428" s="5" t="s">
        <v>4231</v>
      </c>
      <c r="M428" s="5" t="s">
        <v>4232</v>
      </c>
      <c r="N428" s="5" t="s">
        <v>4233</v>
      </c>
      <c r="O428" s="5" t="s">
        <v>4234</v>
      </c>
      <c r="P428" s="5" t="s">
        <v>4235</v>
      </c>
    </row>
    <row r="429" spans="1:16" x14ac:dyDescent="0.45">
      <c r="A429" s="1" t="s">
        <v>423</v>
      </c>
      <c r="B429" s="2">
        <v>4011165</v>
      </c>
      <c r="C429" s="3" t="s">
        <v>4236</v>
      </c>
      <c r="D429" s="3" t="s">
        <v>4237</v>
      </c>
      <c r="E429" s="3" t="s">
        <v>2664</v>
      </c>
      <c r="F429" s="5" t="s">
        <v>4238</v>
      </c>
      <c r="G429" s="5">
        <v>14333956</v>
      </c>
      <c r="H429" s="5" t="s">
        <v>4239</v>
      </c>
      <c r="I429" s="5" t="s">
        <v>4240</v>
      </c>
      <c r="J429" s="5" t="s">
        <v>4241</v>
      </c>
      <c r="K429" s="5" t="s">
        <v>4242</v>
      </c>
      <c r="L429" s="5" t="s">
        <v>4243</v>
      </c>
      <c r="M429" s="5" t="s">
        <v>4244</v>
      </c>
      <c r="N429" s="5">
        <v>13470540</v>
      </c>
      <c r="O429" s="5" t="s">
        <v>4245</v>
      </c>
      <c r="P429" s="5" t="s">
        <v>4246</v>
      </c>
    </row>
    <row r="430" spans="1:16" x14ac:dyDescent="0.45">
      <c r="A430" s="1" t="s">
        <v>424</v>
      </c>
      <c r="B430" s="2">
        <v>4072879</v>
      </c>
      <c r="C430" s="3" t="s">
        <v>4247</v>
      </c>
      <c r="D430" s="3" t="s">
        <v>4248</v>
      </c>
      <c r="E430" s="3" t="s">
        <v>581</v>
      </c>
      <c r="F430" s="5" t="s">
        <v>4249</v>
      </c>
      <c r="G430" s="5" t="s">
        <v>4250</v>
      </c>
      <c r="H430" s="5" t="s">
        <v>4251</v>
      </c>
      <c r="I430" s="5" t="s">
        <v>4252</v>
      </c>
      <c r="J430" s="5" t="s">
        <v>4253</v>
      </c>
      <c r="K430" s="5" t="s">
        <v>4254</v>
      </c>
      <c r="L430" s="5" t="s">
        <v>4255</v>
      </c>
      <c r="M430" s="5" t="s">
        <v>4256</v>
      </c>
      <c r="N430" s="5" t="s">
        <v>4257</v>
      </c>
      <c r="O430" s="5">
        <v>20404842</v>
      </c>
      <c r="P430" s="5" t="s">
        <v>4258</v>
      </c>
    </row>
    <row r="431" spans="1:16" x14ac:dyDescent="0.45">
      <c r="A431" s="1" t="s">
        <v>425</v>
      </c>
      <c r="B431" s="2">
        <v>4071364</v>
      </c>
      <c r="C431" s="3" t="s">
        <v>4259</v>
      </c>
      <c r="D431" s="3" t="s">
        <v>4260</v>
      </c>
      <c r="E431" s="3" t="s">
        <v>4261</v>
      </c>
      <c r="F431" s="5" t="s">
        <v>4262</v>
      </c>
      <c r="G431" s="5">
        <v>21770232726</v>
      </c>
      <c r="H431" s="5">
        <v>19448896814</v>
      </c>
      <c r="I431" s="5">
        <v>19110886512</v>
      </c>
      <c r="J431" s="5">
        <v>17705561265</v>
      </c>
      <c r="K431" s="5">
        <v>1578703104</v>
      </c>
      <c r="L431" s="5">
        <v>14024183727</v>
      </c>
      <c r="M431" s="5">
        <v>1364405952</v>
      </c>
      <c r="N431" s="5">
        <v>11814708744</v>
      </c>
      <c r="O431" s="5">
        <v>13766334114</v>
      </c>
      <c r="P431" s="5">
        <v>12724257455</v>
      </c>
    </row>
    <row r="432" spans="1:16" x14ac:dyDescent="0.45">
      <c r="A432" s="1" t="s">
        <v>426</v>
      </c>
      <c r="B432" s="2">
        <v>4402486</v>
      </c>
      <c r="C432" s="3" t="s">
        <v>4263</v>
      </c>
      <c r="D432" s="3" t="s">
        <v>4264</v>
      </c>
      <c r="E432" s="3" t="s">
        <v>506</v>
      </c>
      <c r="F432" s="5" t="s">
        <v>4265</v>
      </c>
      <c r="G432" s="5" t="s">
        <v>4266</v>
      </c>
      <c r="H432" s="5" t="s">
        <v>4267</v>
      </c>
      <c r="I432" s="5" t="s">
        <v>4268</v>
      </c>
      <c r="J432" s="5" t="s">
        <v>4269</v>
      </c>
      <c r="K432" s="5" t="s">
        <v>4270</v>
      </c>
      <c r="L432" s="5" t="s">
        <v>4271</v>
      </c>
      <c r="M432" s="5" t="s">
        <v>4272</v>
      </c>
      <c r="N432" s="5" t="s">
        <v>4273</v>
      </c>
      <c r="O432" s="5" t="s">
        <v>4274</v>
      </c>
      <c r="P432" s="5" t="s">
        <v>4275</v>
      </c>
    </row>
    <row r="433" spans="1:16" x14ac:dyDescent="0.45">
      <c r="A433" s="1" t="s">
        <v>427</v>
      </c>
      <c r="B433" s="2">
        <v>4421633</v>
      </c>
      <c r="C433" s="3" t="s">
        <v>4276</v>
      </c>
      <c r="D433" s="3" t="s">
        <v>4277</v>
      </c>
      <c r="E433" s="3" t="s">
        <v>978</v>
      </c>
      <c r="F433" s="5" t="s">
        <v>4278</v>
      </c>
      <c r="G433" s="5" t="s">
        <v>4279</v>
      </c>
      <c r="H433" s="5" t="s">
        <v>4280</v>
      </c>
      <c r="I433" s="5" t="s">
        <v>4281</v>
      </c>
      <c r="J433" s="5">
        <v>-2510748</v>
      </c>
      <c r="K433" s="5" t="s">
        <v>4282</v>
      </c>
      <c r="L433" s="5" t="s">
        <v>4283</v>
      </c>
      <c r="M433" s="5">
        <v>-15565509897</v>
      </c>
      <c r="N433" s="5">
        <v>-24970137044</v>
      </c>
      <c r="O433" s="5">
        <v>-5795980785</v>
      </c>
      <c r="P433" s="5">
        <v>-9303740913</v>
      </c>
    </row>
    <row r="434" spans="1:16" x14ac:dyDescent="0.45">
      <c r="A434" s="1" t="s">
        <v>428</v>
      </c>
      <c r="B434" s="2">
        <v>4104139</v>
      </c>
      <c r="C434" s="3" t="s">
        <v>4284</v>
      </c>
      <c r="D434" s="3" t="s">
        <v>4285</v>
      </c>
      <c r="E434" s="3" t="s">
        <v>551</v>
      </c>
      <c r="F434" s="5" t="s">
        <v>4286</v>
      </c>
      <c r="G434" s="5" t="s">
        <v>4287</v>
      </c>
      <c r="H434" s="5" t="s">
        <v>4288</v>
      </c>
      <c r="I434" s="5" t="s">
        <v>4289</v>
      </c>
      <c r="J434" s="5" t="s">
        <v>4290</v>
      </c>
      <c r="K434" s="5" t="s">
        <v>4291</v>
      </c>
      <c r="L434" s="5">
        <v>2792758</v>
      </c>
      <c r="M434" s="5" t="s">
        <v>4292</v>
      </c>
      <c r="N434" s="5" t="s">
        <v>4293</v>
      </c>
      <c r="O434" s="5" t="s">
        <v>4294</v>
      </c>
      <c r="P434" s="5" t="s">
        <v>4295</v>
      </c>
    </row>
    <row r="435" spans="1:16" x14ac:dyDescent="0.45">
      <c r="A435" s="1" t="s">
        <v>429</v>
      </c>
      <c r="B435" s="2">
        <v>100438</v>
      </c>
      <c r="C435" s="3" t="s">
        <v>4296</v>
      </c>
      <c r="D435" s="3" t="s">
        <v>4297</v>
      </c>
      <c r="E435" s="3" t="s">
        <v>1005</v>
      </c>
      <c r="F435" s="5" t="s">
        <v>4298</v>
      </c>
      <c r="G435" s="5" t="s">
        <v>4299</v>
      </c>
      <c r="H435" s="5" t="s">
        <v>4300</v>
      </c>
      <c r="I435" s="5" t="s">
        <v>4301</v>
      </c>
      <c r="J435" s="5" t="s">
        <v>4302</v>
      </c>
      <c r="K435" s="5">
        <v>57970560</v>
      </c>
      <c r="L435" s="5" t="s">
        <v>4303</v>
      </c>
      <c r="M435" s="5" t="s">
        <v>4304</v>
      </c>
      <c r="N435" s="5">
        <v>24729996</v>
      </c>
      <c r="O435" s="5" t="s">
        <v>4305</v>
      </c>
      <c r="P435" s="5">
        <v>25173305</v>
      </c>
    </row>
    <row r="436" spans="1:16" x14ac:dyDescent="0.45">
      <c r="A436" s="1" t="s">
        <v>430</v>
      </c>
      <c r="B436" s="2">
        <v>4964207</v>
      </c>
      <c r="C436" s="3" t="s">
        <v>4306</v>
      </c>
      <c r="D436" s="3" t="s">
        <v>4307</v>
      </c>
      <c r="E436" s="3" t="s">
        <v>551</v>
      </c>
      <c r="F436" s="5">
        <v>31536653913</v>
      </c>
      <c r="G436" s="5">
        <v>32728768098</v>
      </c>
      <c r="H436" s="5">
        <v>26580040765</v>
      </c>
      <c r="I436" s="5">
        <v>24556407873</v>
      </c>
      <c r="J436" s="5">
        <v>20435213376</v>
      </c>
      <c r="K436" s="5">
        <v>16236457425</v>
      </c>
      <c r="L436" s="5">
        <v>14409603838</v>
      </c>
      <c r="M436" s="5">
        <v>11571204964</v>
      </c>
      <c r="N436" s="5">
        <v>9924777408</v>
      </c>
      <c r="O436" s="5">
        <v>8672768325</v>
      </c>
      <c r="P436" s="5">
        <v>79079258275</v>
      </c>
    </row>
    <row r="437" spans="1:16" x14ac:dyDescent="0.45">
      <c r="A437" s="1" t="s">
        <v>431</v>
      </c>
      <c r="B437" s="2">
        <v>3009699</v>
      </c>
      <c r="C437" s="3" t="s">
        <v>4308</v>
      </c>
      <c r="D437" s="3" t="s">
        <v>4309</v>
      </c>
      <c r="E437" s="3" t="s">
        <v>1475</v>
      </c>
      <c r="F437" s="5" t="s">
        <v>4310</v>
      </c>
      <c r="G437" s="5" t="s">
        <v>4311</v>
      </c>
      <c r="H437" s="5">
        <v>17247324</v>
      </c>
      <c r="I437" s="5" t="s">
        <v>4312</v>
      </c>
      <c r="J437" s="5" t="s">
        <v>4313</v>
      </c>
      <c r="K437" s="5" t="s">
        <v>4314</v>
      </c>
      <c r="L437" s="5" t="s">
        <v>4315</v>
      </c>
      <c r="M437" s="5" t="s">
        <v>4316</v>
      </c>
      <c r="N437" s="5" t="s">
        <v>4317</v>
      </c>
      <c r="O437" s="5" t="s">
        <v>4318</v>
      </c>
      <c r="P437" s="5" t="s">
        <v>4319</v>
      </c>
    </row>
    <row r="438" spans="1:16" x14ac:dyDescent="0.45">
      <c r="A438" s="1" t="s">
        <v>432</v>
      </c>
      <c r="B438" s="2">
        <v>4047176</v>
      </c>
      <c r="C438" s="3" t="s">
        <v>4320</v>
      </c>
      <c r="D438" s="3" t="s">
        <v>4321</v>
      </c>
      <c r="E438" s="3" t="s">
        <v>1005</v>
      </c>
      <c r="F438" s="5" t="s">
        <v>4322</v>
      </c>
      <c r="G438" s="5">
        <v>57026736</v>
      </c>
      <c r="H438" s="5" t="s">
        <v>4323</v>
      </c>
      <c r="I438" s="5" t="s">
        <v>4324</v>
      </c>
      <c r="J438" s="5" t="s">
        <v>4325</v>
      </c>
      <c r="K438" s="5" t="s">
        <v>4326</v>
      </c>
      <c r="L438" s="5" t="s">
        <v>4327</v>
      </c>
      <c r="M438" s="5" t="s">
        <v>4328</v>
      </c>
      <c r="N438" s="5" t="s">
        <v>4329</v>
      </c>
      <c r="O438" s="5" t="s">
        <v>4330</v>
      </c>
      <c r="P438" s="5" t="s">
        <v>4331</v>
      </c>
    </row>
    <row r="439" spans="1:16" x14ac:dyDescent="0.45">
      <c r="A439" s="1" t="s">
        <v>433</v>
      </c>
      <c r="B439" s="2">
        <v>103025</v>
      </c>
      <c r="C439" s="3" t="s">
        <v>4332</v>
      </c>
      <c r="D439" s="3" t="s">
        <v>4333</v>
      </c>
      <c r="E439" s="3" t="s">
        <v>962</v>
      </c>
      <c r="F439" s="5">
        <v>35335014471</v>
      </c>
      <c r="G439" s="5">
        <v>43087784805</v>
      </c>
      <c r="H439" s="5">
        <v>44804733727</v>
      </c>
      <c r="I439" s="5">
        <v>46206222765</v>
      </c>
      <c r="J439" s="5">
        <v>41975548578</v>
      </c>
      <c r="K439" s="5">
        <v>33639184875</v>
      </c>
      <c r="L439" s="5">
        <v>39279500869</v>
      </c>
      <c r="M439" s="5">
        <v>34023445478</v>
      </c>
      <c r="N439" s="5">
        <v>31509004656</v>
      </c>
      <c r="O439" s="5">
        <v>37953119796</v>
      </c>
      <c r="P439" s="5">
        <v>354216852525</v>
      </c>
    </row>
    <row r="440" spans="1:16" x14ac:dyDescent="0.45">
      <c r="A440" s="1" t="s">
        <v>434</v>
      </c>
      <c r="B440" s="2">
        <v>4107935</v>
      </c>
      <c r="C440" s="3" t="s">
        <v>4334</v>
      </c>
      <c r="D440" s="3" t="s">
        <v>4335</v>
      </c>
      <c r="E440" s="3" t="s">
        <v>4261</v>
      </c>
      <c r="F440" s="5">
        <v>23940444213</v>
      </c>
      <c r="G440" s="5">
        <v>21122532576</v>
      </c>
      <c r="H440" s="5">
        <v>18053778932</v>
      </c>
      <c r="I440" s="5">
        <v>13755406707</v>
      </c>
      <c r="J440" s="5">
        <v>16472284662</v>
      </c>
      <c r="K440" s="5">
        <v>1715688788</v>
      </c>
      <c r="L440" s="5">
        <v>15852278562</v>
      </c>
      <c r="M440" s="5">
        <v>14261156246</v>
      </c>
      <c r="N440" s="5">
        <v>14497638736</v>
      </c>
      <c r="O440" s="5">
        <v>13334430969</v>
      </c>
      <c r="P440" s="5">
        <v>110498109675</v>
      </c>
    </row>
    <row r="441" spans="1:16" x14ac:dyDescent="0.45">
      <c r="A441" s="1" t="s">
        <v>435</v>
      </c>
      <c r="B441" s="2">
        <v>4004099</v>
      </c>
      <c r="C441" s="3" t="s">
        <v>4336</v>
      </c>
      <c r="D441" s="3" t="s">
        <v>4337</v>
      </c>
      <c r="E441" s="3" t="s">
        <v>1593</v>
      </c>
      <c r="F441" s="5" t="s">
        <v>4338</v>
      </c>
      <c r="G441" s="5">
        <v>16314051</v>
      </c>
      <c r="H441" s="5" t="s">
        <v>4339</v>
      </c>
      <c r="I441" s="5" t="s">
        <v>4340</v>
      </c>
      <c r="J441" s="5" t="s">
        <v>4341</v>
      </c>
      <c r="K441" s="5">
        <v>13863165</v>
      </c>
      <c r="L441" s="5" t="s">
        <v>4342</v>
      </c>
      <c r="M441" s="5" t="s">
        <v>4343</v>
      </c>
      <c r="N441" s="5" t="s">
        <v>4344</v>
      </c>
      <c r="O441" s="5" t="s">
        <v>4345</v>
      </c>
      <c r="P441" s="5" t="s">
        <v>4346</v>
      </c>
    </row>
    <row r="442" spans="1:16" x14ac:dyDescent="0.45">
      <c r="A442" s="1" t="s">
        <v>436</v>
      </c>
      <c r="B442" s="2">
        <v>4994529</v>
      </c>
      <c r="C442" s="3" t="s">
        <v>4347</v>
      </c>
      <c r="D442" s="3" t="s">
        <v>4348</v>
      </c>
      <c r="E442" s="3" t="s">
        <v>1691</v>
      </c>
      <c r="F442" s="5" t="s">
        <v>4349</v>
      </c>
      <c r="G442" s="5" t="s">
        <v>4350</v>
      </c>
      <c r="H442" s="5" t="s">
        <v>4351</v>
      </c>
      <c r="I442" s="5" t="s">
        <v>4352</v>
      </c>
      <c r="J442" s="5" t="s">
        <v>4353</v>
      </c>
      <c r="K442" s="5">
        <v>4872300</v>
      </c>
      <c r="L442" s="5" t="s">
        <v>4354</v>
      </c>
      <c r="M442" s="5" t="s">
        <v>4355</v>
      </c>
      <c r="N442" s="5" t="s">
        <v>4356</v>
      </c>
      <c r="O442" s="5" t="s">
        <v>4357</v>
      </c>
      <c r="P442" s="5" t="s">
        <v>4358</v>
      </c>
    </row>
    <row r="443" spans="1:16" x14ac:dyDescent="0.45">
      <c r="A443" s="1" t="s">
        <v>437</v>
      </c>
      <c r="B443" s="2">
        <v>4051574</v>
      </c>
      <c r="C443" s="3" t="s">
        <v>4359</v>
      </c>
      <c r="D443" s="3" t="s">
        <v>4360</v>
      </c>
      <c r="E443" s="3" t="s">
        <v>1175</v>
      </c>
      <c r="F443" s="5" t="s">
        <v>4361</v>
      </c>
      <c r="G443" s="5" t="s">
        <v>4362</v>
      </c>
      <c r="H443" s="5" t="s">
        <v>4363</v>
      </c>
      <c r="I443" s="5" t="s">
        <v>4364</v>
      </c>
      <c r="J443" s="5" t="s">
        <v>4365</v>
      </c>
      <c r="K443" s="5" t="s">
        <v>4366</v>
      </c>
      <c r="L443" s="5" t="s">
        <v>4367</v>
      </c>
      <c r="M443" s="5" t="s">
        <v>4368</v>
      </c>
      <c r="N443" s="5" t="s">
        <v>4369</v>
      </c>
      <c r="O443" s="5" t="s">
        <v>4370</v>
      </c>
      <c r="P443" s="5" t="s">
        <v>4371</v>
      </c>
    </row>
    <row r="444" spans="1:16" x14ac:dyDescent="0.45">
      <c r="A444" s="1" t="s">
        <v>438</v>
      </c>
      <c r="B444" s="2">
        <v>4086110</v>
      </c>
      <c r="C444" s="3" t="s">
        <v>4372</v>
      </c>
      <c r="D444" s="3" t="s">
        <v>4373</v>
      </c>
      <c r="E444" s="3" t="s">
        <v>2031</v>
      </c>
      <c r="F444" s="5" t="s">
        <v>4374</v>
      </c>
      <c r="G444" s="5" t="s">
        <v>4375</v>
      </c>
      <c r="H444" s="5">
        <v>7355211</v>
      </c>
      <c r="I444" s="5" t="s">
        <v>4376</v>
      </c>
      <c r="J444" s="5" t="s">
        <v>4377</v>
      </c>
      <c r="K444" s="5" t="s">
        <v>4378</v>
      </c>
      <c r="L444" s="5">
        <v>3412913</v>
      </c>
      <c r="M444" s="5" t="s">
        <v>4379</v>
      </c>
      <c r="N444" s="5" t="s">
        <v>4380</v>
      </c>
      <c r="O444" s="5" t="s">
        <v>4381</v>
      </c>
      <c r="P444" s="5">
        <v>1359027</v>
      </c>
    </row>
    <row r="445" spans="1:16" x14ac:dyDescent="0.45">
      <c r="A445" s="1" t="s">
        <v>439</v>
      </c>
      <c r="B445" s="2">
        <v>111568</v>
      </c>
      <c r="C445" s="3" t="s">
        <v>4382</v>
      </c>
      <c r="D445" s="3" t="s">
        <v>4383</v>
      </c>
      <c r="E445" s="3" t="s">
        <v>1267</v>
      </c>
      <c r="F445" s="5" t="s">
        <v>4384</v>
      </c>
      <c r="G445" s="5" t="s">
        <v>4385</v>
      </c>
      <c r="H445" s="5" t="s">
        <v>4386</v>
      </c>
      <c r="I445" s="5" t="s">
        <v>4387</v>
      </c>
      <c r="J445" s="5" t="s">
        <v>4388</v>
      </c>
      <c r="K445" s="5" t="s">
        <v>4389</v>
      </c>
      <c r="L445" s="5" t="s">
        <v>4390</v>
      </c>
      <c r="M445" s="5" t="s">
        <v>4391</v>
      </c>
      <c r="N445" s="5" t="s">
        <v>4392</v>
      </c>
      <c r="O445" s="5" t="s">
        <v>4393</v>
      </c>
      <c r="P445" s="5" t="s">
        <v>4394</v>
      </c>
    </row>
    <row r="446" spans="1:16" x14ac:dyDescent="0.45">
      <c r="A446" s="1" t="s">
        <v>440</v>
      </c>
      <c r="B446" s="2">
        <v>4540311</v>
      </c>
      <c r="C446" s="3" t="s">
        <v>4395</v>
      </c>
      <c r="D446" s="3" t="s">
        <v>4396</v>
      </c>
      <c r="E446" s="3" t="s">
        <v>2283</v>
      </c>
      <c r="F446" s="5">
        <v>63105927936</v>
      </c>
      <c r="G446" s="5">
        <v>65322039744</v>
      </c>
      <c r="H446" s="5">
        <v>56108643582</v>
      </c>
      <c r="I446" s="5">
        <v>55861711065</v>
      </c>
      <c r="J446" s="5">
        <v>54500526396</v>
      </c>
      <c r="K446" s="5" t="s">
        <v>4397</v>
      </c>
      <c r="L446" s="5">
        <v>49751930844</v>
      </c>
      <c r="M446" s="5">
        <v>4777572239</v>
      </c>
      <c r="N446" s="5">
        <v>42124173264</v>
      </c>
      <c r="O446" s="5">
        <v>43641286849</v>
      </c>
      <c r="P446" s="5">
        <v>41909501525</v>
      </c>
    </row>
    <row r="447" spans="1:16" x14ac:dyDescent="0.45">
      <c r="A447" s="1" t="s">
        <v>441</v>
      </c>
      <c r="B447" s="2">
        <v>4011157</v>
      </c>
      <c r="C447" s="3" t="s">
        <v>4398</v>
      </c>
      <c r="D447" s="3" t="s">
        <v>4399</v>
      </c>
      <c r="E447" s="3" t="s">
        <v>2825</v>
      </c>
      <c r="F447" s="5" t="s">
        <v>4400</v>
      </c>
      <c r="G447" s="5" t="s">
        <v>4401</v>
      </c>
      <c r="H447" s="5" t="s">
        <v>4402</v>
      </c>
      <c r="I447" s="5" t="s">
        <v>4403</v>
      </c>
      <c r="J447" s="5" t="s">
        <v>4404</v>
      </c>
      <c r="K447" s="5">
        <v>16057335</v>
      </c>
      <c r="L447" s="5" t="s">
        <v>4405</v>
      </c>
      <c r="M447" s="5" t="s">
        <v>4406</v>
      </c>
      <c r="N447" s="5">
        <v>19071120</v>
      </c>
      <c r="O447" s="5" t="s">
        <v>4407</v>
      </c>
      <c r="P447" s="5" t="s">
        <v>4408</v>
      </c>
    </row>
    <row r="448" spans="1:16" x14ac:dyDescent="0.45">
      <c r="A448" s="1" t="s">
        <v>442</v>
      </c>
      <c r="B448" s="2">
        <v>4046115</v>
      </c>
      <c r="C448" s="3" t="s">
        <v>4409</v>
      </c>
      <c r="D448" s="3" t="s">
        <v>4410</v>
      </c>
      <c r="E448" s="3" t="s">
        <v>612</v>
      </c>
      <c r="F448" s="5">
        <v>110388513354</v>
      </c>
      <c r="G448" s="5">
        <v>107599569675</v>
      </c>
      <c r="H448" s="5">
        <v>89086179927</v>
      </c>
      <c r="I448" s="5">
        <v>98120561739</v>
      </c>
      <c r="J448" s="5">
        <v>98710596099</v>
      </c>
      <c r="K448" s="5">
        <v>85949342175</v>
      </c>
      <c r="L448" s="5">
        <v>9640926743</v>
      </c>
      <c r="M448" s="5">
        <v>9135532549</v>
      </c>
      <c r="N448" s="5" t="s">
        <v>4411</v>
      </c>
      <c r="O448" s="5">
        <v>101640373513</v>
      </c>
      <c r="P448" s="5">
        <v>9043565987</v>
      </c>
    </row>
    <row r="449" spans="1:16" x14ac:dyDescent="0.45">
      <c r="A449" s="1" t="s">
        <v>443</v>
      </c>
      <c r="B449" s="2">
        <v>4087927</v>
      </c>
      <c r="C449" s="3" t="s">
        <v>4412</v>
      </c>
      <c r="D449" s="3" t="s">
        <v>4413</v>
      </c>
      <c r="E449" s="3" t="s">
        <v>605</v>
      </c>
      <c r="F449" s="5" t="s">
        <v>4414</v>
      </c>
      <c r="G449" s="5" t="s">
        <v>4415</v>
      </c>
      <c r="H449" s="5" t="s">
        <v>4416</v>
      </c>
      <c r="I449" s="5" t="s">
        <v>4417</v>
      </c>
      <c r="J449" s="5" t="s">
        <v>4418</v>
      </c>
      <c r="K449" s="5">
        <v>-1136486865</v>
      </c>
      <c r="L449" s="5" t="s">
        <v>4419</v>
      </c>
      <c r="M449" s="5">
        <v>-12100729916</v>
      </c>
      <c r="N449" s="5">
        <v>-10495536888</v>
      </c>
      <c r="O449" s="5">
        <v>-11373236435</v>
      </c>
      <c r="P449" s="5">
        <v>-98561407525</v>
      </c>
    </row>
    <row r="450" spans="1:16" x14ac:dyDescent="0.45">
      <c r="A450" s="1" t="s">
        <v>444</v>
      </c>
      <c r="B450" s="2">
        <v>4241337</v>
      </c>
      <c r="C450" s="3" t="s">
        <v>4420</v>
      </c>
      <c r="D450" s="3" t="s">
        <v>4421</v>
      </c>
      <c r="E450" s="3" t="s">
        <v>2024</v>
      </c>
      <c r="F450" s="5" t="s">
        <v>4422</v>
      </c>
      <c r="G450" s="5" t="s">
        <v>4423</v>
      </c>
      <c r="H450" s="5" t="s">
        <v>4424</v>
      </c>
      <c r="I450" s="5" t="s">
        <v>4425</v>
      </c>
      <c r="J450" s="5" t="s">
        <v>4426</v>
      </c>
      <c r="K450" s="5" t="s">
        <v>4427</v>
      </c>
      <c r="L450" s="5" t="s">
        <v>4428</v>
      </c>
      <c r="M450" s="5" t="s">
        <v>4429</v>
      </c>
      <c r="N450" s="5" t="s">
        <v>4430</v>
      </c>
      <c r="O450" s="5" t="s">
        <v>4431</v>
      </c>
      <c r="P450" s="5">
        <v>1263269</v>
      </c>
    </row>
    <row r="451" spans="1:16" x14ac:dyDescent="0.45">
      <c r="A451" s="1" t="s">
        <v>445</v>
      </c>
      <c r="B451" s="2">
        <v>4057229</v>
      </c>
      <c r="C451" s="3" t="s">
        <v>4432</v>
      </c>
      <c r="D451" s="3" t="s">
        <v>4433</v>
      </c>
      <c r="E451" s="3" t="s">
        <v>920</v>
      </c>
      <c r="F451" s="5" t="s">
        <v>4434</v>
      </c>
      <c r="G451" s="5" t="s">
        <v>4435</v>
      </c>
      <c r="H451" s="5" t="s">
        <v>4436</v>
      </c>
      <c r="I451" s="5" t="s">
        <v>4437</v>
      </c>
      <c r="J451" s="5">
        <v>73157760</v>
      </c>
      <c r="K451" s="5">
        <v>56629860</v>
      </c>
      <c r="L451" s="5" t="s">
        <v>4438</v>
      </c>
      <c r="M451" s="5">
        <v>47783714</v>
      </c>
      <c r="N451" s="5" t="s">
        <v>4439</v>
      </c>
      <c r="O451" s="5" t="s">
        <v>4440</v>
      </c>
      <c r="P451" s="5" t="s">
        <v>4441</v>
      </c>
    </row>
    <row r="452" spans="1:16" x14ac:dyDescent="0.45">
      <c r="A452" s="1" t="s">
        <v>446</v>
      </c>
      <c r="B452" s="2">
        <v>4159057</v>
      </c>
      <c r="C452" s="3" t="s">
        <v>4442</v>
      </c>
      <c r="D452" s="3" t="s">
        <v>4443</v>
      </c>
      <c r="E452" s="3" t="s">
        <v>533</v>
      </c>
      <c r="F452" s="5" t="s">
        <v>4444</v>
      </c>
      <c r="G452" s="5" t="s">
        <v>4445</v>
      </c>
      <c r="H452" s="5" t="s">
        <v>4446</v>
      </c>
      <c r="I452" s="5" t="s">
        <v>4447</v>
      </c>
      <c r="J452" s="5">
        <v>8880930</v>
      </c>
      <c r="K452" s="5">
        <v>7101459</v>
      </c>
      <c r="L452" s="5">
        <v>54225609284</v>
      </c>
      <c r="M452" s="5">
        <v>38737063002</v>
      </c>
      <c r="N452" s="5">
        <v>17008324368</v>
      </c>
      <c r="O452" s="5">
        <v>12676683343</v>
      </c>
      <c r="P452" s="5">
        <v>1006957981</v>
      </c>
    </row>
    <row r="453" spans="1:16" x14ac:dyDescent="0.45">
      <c r="A453" s="1" t="s">
        <v>447</v>
      </c>
      <c r="B453" s="2">
        <v>4761964</v>
      </c>
      <c r="C453" s="3" t="s">
        <v>4448</v>
      </c>
      <c r="D453" s="3" t="s">
        <v>4449</v>
      </c>
      <c r="E453" s="3" t="s">
        <v>1103</v>
      </c>
      <c r="F453" s="5" t="s">
        <v>4450</v>
      </c>
      <c r="G453" s="5" t="s">
        <v>4451</v>
      </c>
      <c r="H453" s="5" t="s">
        <v>4452</v>
      </c>
      <c r="I453" s="5" t="s">
        <v>4453</v>
      </c>
      <c r="J453" s="5" t="s">
        <v>4454</v>
      </c>
      <c r="K453" s="5" t="s">
        <v>4455</v>
      </c>
      <c r="L453" s="5" t="s">
        <v>4456</v>
      </c>
      <c r="M453" s="5" t="s">
        <v>4457</v>
      </c>
      <c r="N453" s="5" t="s">
        <v>4458</v>
      </c>
      <c r="O453" s="5" t="s">
        <v>4459</v>
      </c>
      <c r="P453" s="5" t="s">
        <v>4460</v>
      </c>
    </row>
    <row r="454" spans="1:16" x14ac:dyDescent="0.45">
      <c r="A454" s="1" t="s">
        <v>448</v>
      </c>
      <c r="B454" s="2">
        <v>6614190</v>
      </c>
      <c r="C454" s="3" t="s">
        <v>4461</v>
      </c>
      <c r="D454" s="3" t="s">
        <v>4462</v>
      </c>
      <c r="E454" s="3" t="s">
        <v>2567</v>
      </c>
      <c r="F454" s="5">
        <v>240371773479</v>
      </c>
      <c r="G454" s="5">
        <v>260327445859</v>
      </c>
      <c r="H454" s="5">
        <v>232125881378</v>
      </c>
      <c r="I454" s="5">
        <v>208568587341</v>
      </c>
      <c r="J454" s="5">
        <v>107161820982</v>
      </c>
      <c r="K454" s="5">
        <v>77611365375</v>
      </c>
      <c r="L454" s="5">
        <v>71724540979</v>
      </c>
      <c r="M454" s="5">
        <v>60273526148</v>
      </c>
      <c r="N454" s="5">
        <v>39777559392</v>
      </c>
      <c r="O454" s="5">
        <v>797086639</v>
      </c>
      <c r="P454" s="5">
        <v>7860903125</v>
      </c>
    </row>
    <row r="455" spans="1:16" x14ac:dyDescent="0.45">
      <c r="A455" s="1" t="s">
        <v>449</v>
      </c>
      <c r="B455" s="2">
        <v>4163620</v>
      </c>
      <c r="C455" s="3" t="s">
        <v>4463</v>
      </c>
      <c r="D455" s="3" t="s">
        <v>4464</v>
      </c>
      <c r="E455" s="3" t="s">
        <v>711</v>
      </c>
      <c r="F455" s="5" t="s">
        <v>4465</v>
      </c>
      <c r="G455" s="5" t="s">
        <v>4466</v>
      </c>
      <c r="H455" s="5" t="s">
        <v>4467</v>
      </c>
      <c r="I455" s="5" t="s">
        <v>4468</v>
      </c>
      <c r="J455" s="5" t="s">
        <v>4469</v>
      </c>
      <c r="K455" s="5">
        <v>30836436</v>
      </c>
      <c r="L455" s="5" t="s">
        <v>4470</v>
      </c>
      <c r="M455" s="5" t="s">
        <v>4471</v>
      </c>
      <c r="N455" s="5">
        <v>27718236</v>
      </c>
      <c r="O455" s="5" t="s">
        <v>4472</v>
      </c>
      <c r="P455" s="5" t="s">
        <v>4473</v>
      </c>
    </row>
    <row r="456" spans="1:16" x14ac:dyDescent="0.45">
      <c r="A456" s="1" t="s">
        <v>450</v>
      </c>
      <c r="B456" s="2">
        <v>4085953</v>
      </c>
      <c r="C456" s="3" t="s">
        <v>4474</v>
      </c>
      <c r="D456" s="3" t="s">
        <v>4475</v>
      </c>
      <c r="E456" s="3" t="s">
        <v>3954</v>
      </c>
      <c r="F456" s="5">
        <v>4352187</v>
      </c>
      <c r="G456" s="5" t="s">
        <v>4476</v>
      </c>
      <c r="H456" s="5" t="s">
        <v>4477</v>
      </c>
      <c r="I456" s="5" t="s">
        <v>4478</v>
      </c>
      <c r="J456" s="5" t="s">
        <v>4479</v>
      </c>
      <c r="K456" s="5" t="s">
        <v>4480</v>
      </c>
      <c r="L456" s="5">
        <v>7093156</v>
      </c>
      <c r="M456" s="5" t="s">
        <v>4481</v>
      </c>
      <c r="N456" s="5" t="s">
        <v>4482</v>
      </c>
      <c r="O456" s="5" t="s">
        <v>4483</v>
      </c>
      <c r="P456" s="5">
        <v>-21070443</v>
      </c>
    </row>
    <row r="457" spans="1:16" x14ac:dyDescent="0.45">
      <c r="A457" s="1" t="s">
        <v>451</v>
      </c>
      <c r="B457" s="2">
        <v>4063773</v>
      </c>
      <c r="C457" s="3" t="s">
        <v>4484</v>
      </c>
      <c r="D457" s="3" t="s">
        <v>4485</v>
      </c>
      <c r="E457" s="3" t="s">
        <v>1574</v>
      </c>
      <c r="F457" s="5" t="s">
        <v>4486</v>
      </c>
      <c r="G457" s="5" t="s">
        <v>4487</v>
      </c>
      <c r="H457" s="5" t="s">
        <v>4488</v>
      </c>
      <c r="I457" s="5" t="s">
        <v>4489</v>
      </c>
      <c r="J457" s="5" t="s">
        <v>4490</v>
      </c>
      <c r="K457" s="5" t="s">
        <v>4491</v>
      </c>
      <c r="L457" s="5">
        <v>50096367727</v>
      </c>
      <c r="M457" s="5">
        <v>45442154802</v>
      </c>
      <c r="N457" s="5">
        <v>41380940904</v>
      </c>
      <c r="O457" s="5">
        <v>43315065148</v>
      </c>
      <c r="P457" s="5">
        <v>4101193601</v>
      </c>
    </row>
    <row r="458" spans="1:16" x14ac:dyDescent="0.45">
      <c r="A458" s="1" t="s">
        <v>452</v>
      </c>
      <c r="B458" s="2">
        <v>103336</v>
      </c>
      <c r="C458" s="3" t="s">
        <v>4492</v>
      </c>
      <c r="D458" s="3" t="s">
        <v>4493</v>
      </c>
      <c r="E458" s="3" t="s">
        <v>723</v>
      </c>
      <c r="F458" s="5">
        <v>82716201198</v>
      </c>
      <c r="G458" s="5">
        <v>81207453301</v>
      </c>
      <c r="H458" s="5">
        <v>67574187139</v>
      </c>
      <c r="I458" s="5">
        <v>63329682477</v>
      </c>
      <c r="J458" s="5">
        <v>5862934989</v>
      </c>
      <c r="K458" s="5">
        <v>51713390475</v>
      </c>
      <c r="L458" s="5">
        <v>54520545562</v>
      </c>
      <c r="M458" s="5">
        <v>47860555732</v>
      </c>
      <c r="N458" s="5">
        <v>45397285464</v>
      </c>
      <c r="O458" s="5">
        <v>48133582382</v>
      </c>
      <c r="P458" s="5">
        <v>4266026266</v>
      </c>
    </row>
    <row r="459" spans="1:16" x14ac:dyDescent="0.45">
      <c r="A459" s="1" t="s">
        <v>453</v>
      </c>
      <c r="B459" s="2">
        <v>4071818</v>
      </c>
      <c r="C459" s="3" t="s">
        <v>4494</v>
      </c>
      <c r="D459" s="3" t="s">
        <v>4495</v>
      </c>
      <c r="E459" s="3" t="s">
        <v>2031</v>
      </c>
      <c r="F459" s="5" t="s">
        <v>4496</v>
      </c>
      <c r="G459" s="5" t="s">
        <v>4497</v>
      </c>
      <c r="H459" s="5" t="s">
        <v>4498</v>
      </c>
      <c r="I459" s="5" t="s">
        <v>4499</v>
      </c>
      <c r="J459" s="5">
        <v>1899288</v>
      </c>
      <c r="K459" s="5" t="s">
        <v>4500</v>
      </c>
      <c r="L459" s="5">
        <v>1835666</v>
      </c>
      <c r="M459" s="5" t="s">
        <v>4501</v>
      </c>
      <c r="N459" s="5" t="s">
        <v>4502</v>
      </c>
      <c r="O459" s="5">
        <v>18053340264</v>
      </c>
      <c r="P459" s="5">
        <v>21662614155</v>
      </c>
    </row>
    <row r="460" spans="1:16" x14ac:dyDescent="0.45">
      <c r="A460" s="1" t="s">
        <v>454</v>
      </c>
      <c r="B460" s="2">
        <v>3005566</v>
      </c>
      <c r="C460" s="3" t="s">
        <v>4503</v>
      </c>
      <c r="D460" s="3" t="s">
        <v>4504</v>
      </c>
      <c r="E460" s="3" t="s">
        <v>1555</v>
      </c>
      <c r="F460" s="5" t="s">
        <v>4505</v>
      </c>
      <c r="G460" s="5" t="s">
        <v>4506</v>
      </c>
      <c r="H460" s="5" t="s">
        <v>4507</v>
      </c>
      <c r="I460" s="5" t="s">
        <v>4508</v>
      </c>
      <c r="J460" s="5" t="s">
        <v>4509</v>
      </c>
      <c r="K460" s="5">
        <v>73559904</v>
      </c>
      <c r="L460" s="5">
        <v>69520482</v>
      </c>
      <c r="M460" s="5" t="s">
        <v>4510</v>
      </c>
      <c r="N460" s="5" t="s">
        <v>4511</v>
      </c>
      <c r="O460" s="5" t="s">
        <v>4512</v>
      </c>
      <c r="P460" s="5" t="s">
        <v>4513</v>
      </c>
    </row>
    <row r="461" spans="1:16" x14ac:dyDescent="0.45">
      <c r="A461" s="1" t="s">
        <v>455</v>
      </c>
      <c r="B461" s="2">
        <v>4216584</v>
      </c>
      <c r="C461" s="3" t="s">
        <v>4514</v>
      </c>
      <c r="D461" s="3" t="s">
        <v>4515</v>
      </c>
      <c r="E461" s="3" t="s">
        <v>2756</v>
      </c>
      <c r="F461" s="5" t="s">
        <v>4516</v>
      </c>
      <c r="G461" s="5" t="s">
        <v>4517</v>
      </c>
      <c r="H461" s="5" t="s">
        <v>4518</v>
      </c>
      <c r="I461" s="5" t="s">
        <v>4519</v>
      </c>
      <c r="J461" s="5" t="s">
        <v>4520</v>
      </c>
      <c r="K461" s="5" t="s">
        <v>4521</v>
      </c>
      <c r="L461" s="5" t="s">
        <v>4522</v>
      </c>
      <c r="M461" s="5" t="s">
        <v>4523</v>
      </c>
      <c r="N461" s="5" t="s">
        <v>4524</v>
      </c>
      <c r="O461" s="5">
        <v>5124893</v>
      </c>
      <c r="P461" s="5">
        <v>5240909</v>
      </c>
    </row>
    <row r="462" spans="1:16" x14ac:dyDescent="0.45">
      <c r="A462" s="1" t="s">
        <v>456</v>
      </c>
      <c r="B462" s="2">
        <v>4063852</v>
      </c>
      <c r="C462" s="3" t="s">
        <v>4525</v>
      </c>
      <c r="D462" s="3" t="s">
        <v>4526</v>
      </c>
      <c r="E462" s="3" t="s">
        <v>3591</v>
      </c>
      <c r="F462" s="5" t="s">
        <v>4527</v>
      </c>
      <c r="G462" s="5" t="s">
        <v>4528</v>
      </c>
      <c r="H462" s="5" t="s">
        <v>4529</v>
      </c>
      <c r="I462" s="5" t="s">
        <v>4530</v>
      </c>
      <c r="J462" s="5" t="s">
        <v>4531</v>
      </c>
      <c r="K462" s="5">
        <v>6093645</v>
      </c>
      <c r="L462" s="5">
        <v>6300077</v>
      </c>
      <c r="M462" s="5" t="s">
        <v>4532</v>
      </c>
      <c r="N462" s="5" t="s">
        <v>4533</v>
      </c>
      <c r="O462" s="5">
        <v>5039636</v>
      </c>
      <c r="P462" s="5" t="s">
        <v>4534</v>
      </c>
    </row>
    <row r="463" spans="1:16" x14ac:dyDescent="0.45">
      <c r="A463" s="1" t="s">
        <v>457</v>
      </c>
      <c r="B463" s="2">
        <v>4337758</v>
      </c>
      <c r="C463" s="3" t="s">
        <v>4535</v>
      </c>
      <c r="D463" s="3" t="s">
        <v>4536</v>
      </c>
      <c r="E463" s="3" t="s">
        <v>581</v>
      </c>
      <c r="F463" s="5">
        <v>21814098114</v>
      </c>
      <c r="G463" s="5">
        <v>17661549113</v>
      </c>
      <c r="H463" s="5">
        <v>10407135027</v>
      </c>
      <c r="I463" s="5">
        <v>4720494216</v>
      </c>
      <c r="J463" s="5">
        <v>3231902322</v>
      </c>
      <c r="K463" s="5" t="s">
        <v>4537</v>
      </c>
      <c r="L463" s="5">
        <v>-1927279991</v>
      </c>
      <c r="M463" s="5">
        <v>13688431372</v>
      </c>
      <c r="N463" s="5">
        <v>18602986464</v>
      </c>
      <c r="O463" s="5">
        <v>21806362877</v>
      </c>
      <c r="P463" s="5">
        <v>189568705825</v>
      </c>
    </row>
    <row r="464" spans="1:16" x14ac:dyDescent="0.45">
      <c r="A464" s="1" t="s">
        <v>458</v>
      </c>
      <c r="B464" s="2">
        <v>4009725</v>
      </c>
      <c r="C464" s="3" t="s">
        <v>4538</v>
      </c>
      <c r="D464" s="3" t="s">
        <v>4539</v>
      </c>
      <c r="E464" s="3" t="s">
        <v>688</v>
      </c>
      <c r="F464" s="5" t="s">
        <v>4540</v>
      </c>
      <c r="G464" s="5" t="s">
        <v>4541</v>
      </c>
      <c r="H464" s="5" t="s">
        <v>4542</v>
      </c>
      <c r="I464" s="5" t="s">
        <v>4543</v>
      </c>
      <c r="J464" s="5" t="s">
        <v>4544</v>
      </c>
      <c r="K464" s="5" t="s">
        <v>4545</v>
      </c>
      <c r="L464" s="5" t="s">
        <v>4546</v>
      </c>
      <c r="M464" s="5" t="s">
        <v>4547</v>
      </c>
      <c r="N464" s="5" t="s">
        <v>4548</v>
      </c>
      <c r="O464" s="5" t="s">
        <v>4549</v>
      </c>
      <c r="P464" s="5" t="s">
        <v>4550</v>
      </c>
    </row>
    <row r="465" spans="1:16" x14ac:dyDescent="0.45">
      <c r="A465" s="1" t="s">
        <v>459</v>
      </c>
      <c r="B465" s="2">
        <v>100382</v>
      </c>
      <c r="C465" s="3" t="s">
        <v>4551</v>
      </c>
      <c r="D465" s="3" t="s">
        <v>4552</v>
      </c>
      <c r="E465" s="3" t="s">
        <v>1005</v>
      </c>
      <c r="F465" s="5" t="s">
        <v>4553</v>
      </c>
      <c r="G465" s="5" t="s">
        <v>4554</v>
      </c>
      <c r="H465" s="5" t="s">
        <v>4555</v>
      </c>
      <c r="I465" s="5" t="s">
        <v>4556</v>
      </c>
      <c r="J465" s="5">
        <v>167163723</v>
      </c>
      <c r="K465" s="5">
        <v>151819560</v>
      </c>
      <c r="L465" s="5" t="s">
        <v>4557</v>
      </c>
      <c r="M465" s="5" t="s">
        <v>4558</v>
      </c>
      <c r="N465" s="5" t="s">
        <v>4559</v>
      </c>
      <c r="O465" s="5" t="s">
        <v>4560</v>
      </c>
      <c r="P465" s="5" t="s">
        <v>4561</v>
      </c>
    </row>
    <row r="466" spans="1:16" x14ac:dyDescent="0.45">
      <c r="A466" s="1" t="s">
        <v>460</v>
      </c>
      <c r="B466" s="2">
        <v>102952</v>
      </c>
      <c r="C466" s="3" t="s">
        <v>4562</v>
      </c>
      <c r="D466" s="3" t="s">
        <v>4563</v>
      </c>
      <c r="E466" s="3" t="s">
        <v>612</v>
      </c>
      <c r="F466" s="5">
        <v>367959431463</v>
      </c>
      <c r="G466" s="5">
        <v>314618608174</v>
      </c>
      <c r="H466" s="5">
        <v>238585014169</v>
      </c>
      <c r="I466" s="5">
        <v>200183620572</v>
      </c>
      <c r="J466" s="5">
        <v>167048297289</v>
      </c>
      <c r="K466" s="5">
        <v>14081488185</v>
      </c>
      <c r="L466" s="5">
        <v>151331093144</v>
      </c>
      <c r="M466" s="5">
        <v>13983697343</v>
      </c>
      <c r="N466" s="5">
        <v>127423779888</v>
      </c>
      <c r="O466" s="5">
        <v>148535740065</v>
      </c>
      <c r="P466" s="5">
        <v>14141769786</v>
      </c>
    </row>
    <row r="467" spans="1:16" x14ac:dyDescent="0.45">
      <c r="A467" s="1" t="s">
        <v>461</v>
      </c>
      <c r="B467" s="2">
        <v>4102413</v>
      </c>
      <c r="C467" s="3" t="s">
        <v>4564</v>
      </c>
      <c r="D467" s="3" t="s">
        <v>4565</v>
      </c>
      <c r="E467" s="3" t="s">
        <v>615</v>
      </c>
      <c r="F467" s="5" t="s">
        <v>4566</v>
      </c>
      <c r="G467" s="5" t="s">
        <v>4567</v>
      </c>
      <c r="H467" s="5" t="s">
        <v>4568</v>
      </c>
      <c r="I467" s="5" t="s">
        <v>4569</v>
      </c>
      <c r="J467" s="5" t="s">
        <v>4570</v>
      </c>
      <c r="K467" s="5" t="s">
        <v>4571</v>
      </c>
      <c r="L467" s="5" t="s">
        <v>4572</v>
      </c>
      <c r="M467" s="5" t="s">
        <v>4573</v>
      </c>
      <c r="N467" s="5" t="s">
        <v>4574</v>
      </c>
      <c r="O467" s="5" t="s">
        <v>4575</v>
      </c>
      <c r="P467" s="5">
        <v>942755925</v>
      </c>
    </row>
    <row r="468" spans="1:16" x14ac:dyDescent="0.45">
      <c r="A468" s="1" t="s">
        <v>462</v>
      </c>
      <c r="B468" s="2">
        <v>4071659</v>
      </c>
      <c r="C468" s="3" t="s">
        <v>4576</v>
      </c>
      <c r="D468" s="3" t="s">
        <v>4577</v>
      </c>
      <c r="E468" s="3" t="s">
        <v>836</v>
      </c>
      <c r="F468" s="5">
        <v>4728390</v>
      </c>
      <c r="G468" s="5" t="s">
        <v>4578</v>
      </c>
      <c r="H468" s="5">
        <v>10845440</v>
      </c>
      <c r="I468" s="5" t="s">
        <v>4579</v>
      </c>
      <c r="J468" s="5" t="s">
        <v>4580</v>
      </c>
      <c r="K468" s="5" t="s">
        <v>4581</v>
      </c>
      <c r="L468" s="5" t="s">
        <v>4582</v>
      </c>
      <c r="M468" s="5" t="s">
        <v>4583</v>
      </c>
      <c r="N468" s="5">
        <v>10007877</v>
      </c>
      <c r="O468" s="5" t="s">
        <v>4584</v>
      </c>
      <c r="P468" s="5" t="s">
        <v>4585</v>
      </c>
    </row>
    <row r="469" spans="1:16" x14ac:dyDescent="0.45">
      <c r="A469" s="1" t="s">
        <v>463</v>
      </c>
      <c r="B469" s="2">
        <v>4994265</v>
      </c>
      <c r="C469" s="3" t="s">
        <v>4586</v>
      </c>
      <c r="D469" s="3" t="s">
        <v>4587</v>
      </c>
      <c r="E469" s="3" t="s">
        <v>1220</v>
      </c>
      <c r="F469" s="5">
        <v>9530523</v>
      </c>
      <c r="G469" s="5" t="s">
        <v>4588</v>
      </c>
      <c r="H469" s="5" t="s">
        <v>4589</v>
      </c>
      <c r="I469" s="5" t="s">
        <v>4590</v>
      </c>
      <c r="J469" s="5" t="s">
        <v>4591</v>
      </c>
      <c r="K469" s="5" t="s">
        <v>4592</v>
      </c>
      <c r="L469" s="5" t="s">
        <v>4593</v>
      </c>
      <c r="M469" s="5" t="s">
        <v>4594</v>
      </c>
      <c r="N469" s="5">
        <v>23556014496</v>
      </c>
      <c r="O469" s="5">
        <v>28199463225</v>
      </c>
      <c r="P469" s="5">
        <v>156650788425</v>
      </c>
    </row>
    <row r="470" spans="1:16" x14ac:dyDescent="0.45">
      <c r="A470" s="1" t="s">
        <v>464</v>
      </c>
      <c r="B470" s="2">
        <v>4006248</v>
      </c>
      <c r="C470" s="3" t="s">
        <v>4595</v>
      </c>
      <c r="D470" s="3" t="s">
        <v>4596</v>
      </c>
      <c r="E470" s="3" t="s">
        <v>4597</v>
      </c>
      <c r="F470" s="5" t="s">
        <v>4598</v>
      </c>
      <c r="G470" s="5" t="s">
        <v>4599</v>
      </c>
      <c r="H470" s="5" t="s">
        <v>4600</v>
      </c>
      <c r="I470" s="5" t="s">
        <v>2851</v>
      </c>
      <c r="J470" s="5" t="s">
        <v>4601</v>
      </c>
      <c r="K470" s="5" t="s">
        <v>4602</v>
      </c>
      <c r="L470" s="5" t="s">
        <v>4603</v>
      </c>
      <c r="M470" s="5" t="s">
        <v>4604</v>
      </c>
      <c r="N470" s="5" t="s">
        <v>4605</v>
      </c>
      <c r="O470" s="5">
        <v>8696214</v>
      </c>
      <c r="P470" s="5" t="s">
        <v>4606</v>
      </c>
    </row>
    <row r="471" spans="1:16" x14ac:dyDescent="0.45">
      <c r="A471" s="1" t="s">
        <v>465</v>
      </c>
      <c r="B471" s="2">
        <v>4252151</v>
      </c>
      <c r="C471" s="3" t="s">
        <v>4607</v>
      </c>
      <c r="D471" s="3" t="s">
        <v>4608</v>
      </c>
      <c r="E471" s="3" t="s">
        <v>4609</v>
      </c>
      <c r="F471" s="5">
        <v>20612213199</v>
      </c>
      <c r="G471" s="5">
        <v>19584832644</v>
      </c>
      <c r="H471" s="5">
        <v>15670081812</v>
      </c>
      <c r="I471" s="5">
        <v>14909630513</v>
      </c>
      <c r="J471" s="5">
        <v>1360246203</v>
      </c>
      <c r="K471" s="5" t="s">
        <v>4610</v>
      </c>
      <c r="L471" s="5">
        <v>10065113226</v>
      </c>
      <c r="M471" s="5">
        <v>9686299168</v>
      </c>
      <c r="N471" s="5">
        <v>1167335344</v>
      </c>
      <c r="O471" s="5">
        <v>11073405579</v>
      </c>
      <c r="P471" s="5">
        <v>10847833395</v>
      </c>
    </row>
    <row r="472" spans="1:16" x14ac:dyDescent="0.45">
      <c r="A472" s="1" t="s">
        <v>466</v>
      </c>
      <c r="B472" s="2">
        <v>4248534</v>
      </c>
      <c r="C472" s="3" t="s">
        <v>4611</v>
      </c>
      <c r="D472" s="3" t="s">
        <v>4612</v>
      </c>
      <c r="E472" s="3" t="s">
        <v>804</v>
      </c>
      <c r="F472" s="5" t="s">
        <v>4613</v>
      </c>
      <c r="G472" s="5" t="s">
        <v>4614</v>
      </c>
      <c r="H472" s="5" t="s">
        <v>4615</v>
      </c>
      <c r="I472" s="5" t="s">
        <v>4616</v>
      </c>
      <c r="J472" s="5" t="s">
        <v>4617</v>
      </c>
      <c r="K472" s="5">
        <v>8936910</v>
      </c>
      <c r="L472" s="5" t="s">
        <v>4618</v>
      </c>
      <c r="M472" s="5" t="s">
        <v>4619</v>
      </c>
      <c r="N472" s="5" t="s">
        <v>4620</v>
      </c>
      <c r="O472" s="5" t="s">
        <v>4621</v>
      </c>
      <c r="P472" s="5" t="s">
        <v>4622</v>
      </c>
    </row>
    <row r="473" spans="1:16" x14ac:dyDescent="0.45">
      <c r="A473" s="1" t="s">
        <v>467</v>
      </c>
      <c r="B473" s="2">
        <v>4334777</v>
      </c>
      <c r="C473" s="3" t="s">
        <v>4623</v>
      </c>
      <c r="D473" s="3" t="s">
        <v>4624</v>
      </c>
      <c r="E473" s="3" t="s">
        <v>551</v>
      </c>
      <c r="F473" s="5" t="s">
        <v>4625</v>
      </c>
      <c r="G473" s="5" t="s">
        <v>4626</v>
      </c>
      <c r="H473" s="5" t="s">
        <v>4627</v>
      </c>
      <c r="I473" s="5">
        <v>40489212096</v>
      </c>
      <c r="J473" s="5">
        <v>27002796492</v>
      </c>
      <c r="K473" s="5">
        <v>2242869002</v>
      </c>
      <c r="L473" s="5">
        <v>1709719866</v>
      </c>
      <c r="M473" s="5">
        <v>12704554235</v>
      </c>
      <c r="N473" s="5">
        <v>11830326336</v>
      </c>
      <c r="O473" s="5">
        <v>104997949155</v>
      </c>
      <c r="P473" s="5">
        <v>99733235625</v>
      </c>
    </row>
    <row r="474" spans="1:16" x14ac:dyDescent="0.45">
      <c r="A474" s="1" t="s">
        <v>468</v>
      </c>
      <c r="B474" s="2">
        <v>4107971</v>
      </c>
      <c r="C474" s="3" t="s">
        <v>4628</v>
      </c>
      <c r="D474" s="3" t="s">
        <v>4629</v>
      </c>
      <c r="E474" s="3" t="s">
        <v>2707</v>
      </c>
      <c r="F474" s="5">
        <v>-8783403243</v>
      </c>
      <c r="G474" s="5">
        <v>-9355736377</v>
      </c>
      <c r="H474" s="5">
        <v>-9960149898</v>
      </c>
      <c r="I474" s="5">
        <v>-15348895305</v>
      </c>
      <c r="J474" s="5">
        <v>-7352838495</v>
      </c>
      <c r="K474" s="5">
        <v>-6027566475</v>
      </c>
      <c r="L474" s="5">
        <v>13736056992</v>
      </c>
      <c r="M474" s="5">
        <v>15850367126</v>
      </c>
      <c r="N474" s="5" t="s">
        <v>4630</v>
      </c>
      <c r="O474" s="5">
        <v>2442906713</v>
      </c>
      <c r="P474" s="5">
        <v>2011378375</v>
      </c>
    </row>
    <row r="475" spans="1:16" x14ac:dyDescent="0.45">
      <c r="A475" s="1" t="s">
        <v>469</v>
      </c>
      <c r="B475" s="2">
        <v>4025308</v>
      </c>
      <c r="C475" s="3" t="s">
        <v>4631</v>
      </c>
      <c r="D475" s="3" t="s">
        <v>4632</v>
      </c>
      <c r="E475" s="3" t="s">
        <v>630</v>
      </c>
      <c r="F475" s="5" t="s">
        <v>4633</v>
      </c>
      <c r="G475" s="5" t="s">
        <v>4634</v>
      </c>
      <c r="H475" s="5" t="s">
        <v>4635</v>
      </c>
      <c r="I475" s="5" t="s">
        <v>4636</v>
      </c>
      <c r="J475" s="5" t="s">
        <v>4637</v>
      </c>
      <c r="K475" s="5" t="s">
        <v>4638</v>
      </c>
      <c r="L475" s="5" t="s">
        <v>4639</v>
      </c>
      <c r="M475" s="5" t="s">
        <v>4640</v>
      </c>
      <c r="N475" s="5">
        <v>9539724</v>
      </c>
      <c r="O475" s="5" t="s">
        <v>4641</v>
      </c>
      <c r="P475" s="5" t="s">
        <v>4642</v>
      </c>
    </row>
    <row r="476" spans="1:16" x14ac:dyDescent="0.45">
      <c r="A476" s="1" t="s">
        <v>470</v>
      </c>
      <c r="B476" s="2">
        <v>4317520</v>
      </c>
      <c r="C476" s="3" t="s">
        <v>4643</v>
      </c>
      <c r="D476" s="3" t="s">
        <v>4644</v>
      </c>
      <c r="E476" s="3" t="s">
        <v>1766</v>
      </c>
      <c r="F476" s="5" t="s">
        <v>4645</v>
      </c>
      <c r="G476" s="5" t="s">
        <v>4646</v>
      </c>
      <c r="H476" s="5" t="s">
        <v>4647</v>
      </c>
      <c r="I476" s="5" t="s">
        <v>4648</v>
      </c>
      <c r="J476" s="5" t="s">
        <v>4649</v>
      </c>
      <c r="K476" s="5">
        <v>2432880</v>
      </c>
      <c r="L476" s="5" t="s">
        <v>4650</v>
      </c>
      <c r="M476" s="5" t="s">
        <v>4651</v>
      </c>
      <c r="N476" s="5" t="s">
        <v>4652</v>
      </c>
      <c r="O476" s="5" t="s">
        <v>4653</v>
      </c>
      <c r="P476" s="5">
        <v>1918843</v>
      </c>
    </row>
    <row r="477" spans="1:16" x14ac:dyDescent="0.45">
      <c r="A477" s="1" t="s">
        <v>471</v>
      </c>
      <c r="B477" s="2">
        <v>4025819</v>
      </c>
      <c r="C477" s="3" t="s">
        <v>4654</v>
      </c>
      <c r="D477" s="3" t="s">
        <v>4655</v>
      </c>
      <c r="E477" s="3" t="s">
        <v>1332</v>
      </c>
      <c r="F477" s="5" t="s">
        <v>4656</v>
      </c>
      <c r="G477" s="5" t="s">
        <v>4657</v>
      </c>
      <c r="H477" s="5" t="s">
        <v>4658</v>
      </c>
      <c r="I477" s="5" t="s">
        <v>4659</v>
      </c>
      <c r="J477" s="5" t="s">
        <v>4660</v>
      </c>
      <c r="K477" s="5" t="s">
        <v>4661</v>
      </c>
      <c r="L477" s="5" t="s">
        <v>4662</v>
      </c>
      <c r="M477" s="5" t="s">
        <v>4663</v>
      </c>
      <c r="N477" s="5" t="s">
        <v>4664</v>
      </c>
      <c r="O477" s="5" t="s">
        <v>4665</v>
      </c>
      <c r="P477" s="5" t="s">
        <v>4666</v>
      </c>
    </row>
    <row r="478" spans="1:16" x14ac:dyDescent="0.45">
      <c r="A478" s="1" t="s">
        <v>472</v>
      </c>
      <c r="B478" s="2">
        <v>4376897</v>
      </c>
      <c r="C478" s="3" t="s">
        <v>4667</v>
      </c>
      <c r="D478" s="3" t="s">
        <v>4668</v>
      </c>
      <c r="E478" s="3" t="s">
        <v>2642</v>
      </c>
      <c r="F478" s="5" t="s">
        <v>4669</v>
      </c>
      <c r="G478" s="5" t="s">
        <v>4670</v>
      </c>
      <c r="H478" s="5" t="s">
        <v>4671</v>
      </c>
      <c r="I478" s="5" t="s">
        <v>4672</v>
      </c>
      <c r="J478" s="5" t="s">
        <v>4673</v>
      </c>
      <c r="K478" s="5">
        <v>1752720</v>
      </c>
      <c r="L478" s="5" t="s">
        <v>4674</v>
      </c>
      <c r="M478" s="5">
        <v>1165989</v>
      </c>
      <c r="N478" s="5" t="s">
        <v>4675</v>
      </c>
      <c r="O478" s="5" t="s">
        <v>4676</v>
      </c>
      <c r="P478" s="5" t="s">
        <v>4677</v>
      </c>
    </row>
    <row r="479" spans="1:16" x14ac:dyDescent="0.45">
      <c r="A479" s="1" t="s">
        <v>473</v>
      </c>
      <c r="B479" s="2">
        <v>4812735</v>
      </c>
      <c r="C479" s="3" t="s">
        <v>4678</v>
      </c>
      <c r="D479" s="3" t="s">
        <v>4679</v>
      </c>
      <c r="E479" s="3" t="s">
        <v>519</v>
      </c>
      <c r="F479" s="5" t="s">
        <v>4680</v>
      </c>
      <c r="G479" s="5" t="s">
        <v>4681</v>
      </c>
      <c r="H479" s="5" t="s">
        <v>4682</v>
      </c>
      <c r="I479" s="5" t="s">
        <v>4683</v>
      </c>
      <c r="J479" s="5" t="s">
        <v>4684</v>
      </c>
      <c r="K479" s="5" t="s">
        <v>4685</v>
      </c>
      <c r="L479" s="5" t="s">
        <v>4686</v>
      </c>
      <c r="M479" s="5" t="s">
        <v>4687</v>
      </c>
      <c r="N479" s="5" t="s">
        <v>4688</v>
      </c>
      <c r="O479" s="5" t="s">
        <v>4689</v>
      </c>
      <c r="P479" s="5" t="s">
        <v>4690</v>
      </c>
    </row>
    <row r="480" spans="1:16" x14ac:dyDescent="0.45">
      <c r="A480" s="1" t="s">
        <v>474</v>
      </c>
      <c r="B480" s="2">
        <v>4810470</v>
      </c>
      <c r="C480" s="3" t="s">
        <v>4691</v>
      </c>
      <c r="D480" s="3" t="s">
        <v>4692</v>
      </c>
      <c r="E480" s="3" t="s">
        <v>1103</v>
      </c>
      <c r="F480" s="5" t="s">
        <v>4693</v>
      </c>
      <c r="G480" s="5">
        <v>4607343</v>
      </c>
      <c r="H480" s="5" t="s">
        <v>4694</v>
      </c>
      <c r="I480" s="5" t="s">
        <v>4695</v>
      </c>
      <c r="J480" s="5" t="s">
        <v>4696</v>
      </c>
      <c r="K480" s="5" t="s">
        <v>4697</v>
      </c>
      <c r="L480" s="5" t="s">
        <v>4698</v>
      </c>
      <c r="M480" s="5">
        <v>1908379</v>
      </c>
      <c r="N480" s="5" t="s">
        <v>4699</v>
      </c>
      <c r="O480" s="5" t="s">
        <v>4700</v>
      </c>
      <c r="P480" s="5" t="s">
        <v>4701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Antoine Dely</dc:creator>
  <cp:lastModifiedBy>Antoine Dely</cp:lastModifiedBy>
  <dcterms:created xsi:type="dcterms:W3CDTF">2026-04-07T15:20:31Z</dcterms:created>
  <dcterms:modified xsi:type="dcterms:W3CDTF">2026-04-07T15:24:38Z</dcterms:modified>
</cp:coreProperties>
</file>