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OneDrive\Bureau\Edhec course\Master 2\Research Thesis\Data-Analysis\Data\"/>
    </mc:Choice>
  </mc:AlternateContent>
  <xr:revisionPtr revIDLastSave="0" documentId="13_ncr:1_{8D704E5A-448C-404D-BBA6-7CD8B7202A59}" xr6:coauthVersionLast="47" xr6:coauthVersionMax="47" xr10:uidLastSave="{00000000-0000-0000-0000-000000000000}"/>
  <bookViews>
    <workbookView xWindow="-98" yWindow="-98" windowWidth="19396" windowHeight="11475" firstSheet="1" activeTab="1" xr2:uid="{609D1CBC-60FA-4FC8-9A5C-DB122FEC5B4A}"/>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1" l="1"/>
  <c r="AI4" i="1"/>
  <c r="L2" i="1"/>
  <c r="AB2" i="1"/>
  <c r="AK4" i="1"/>
  <c r="AD2" i="1"/>
  <c r="A2" i="1"/>
  <c r="T4" i="1"/>
  <c r="AJ4" i="1"/>
  <c r="M2" i="1"/>
  <c r="AC2" i="1"/>
  <c r="N2" i="1"/>
  <c r="B2" i="1"/>
  <c r="F4" i="1"/>
  <c r="V4" i="1"/>
  <c r="AL4" i="1"/>
  <c r="O2" i="1"/>
  <c r="AE2" i="1"/>
  <c r="G4" i="1"/>
  <c r="W4" i="1"/>
  <c r="AM4" i="1"/>
  <c r="P2" i="1"/>
  <c r="AF2" i="1"/>
  <c r="Y2" i="1"/>
  <c r="H4" i="1"/>
  <c r="X4" i="1"/>
  <c r="AN4" i="1"/>
  <c r="Q2" i="1"/>
  <c r="AG2" i="1"/>
  <c r="AO2" i="1"/>
  <c r="I4" i="1"/>
  <c r="Y4" i="1"/>
  <c r="AO4" i="1"/>
  <c r="R2" i="1"/>
  <c r="AH2" i="1"/>
  <c r="J4" i="1"/>
  <c r="Z4" i="1"/>
  <c r="C2" i="1"/>
  <c r="S2" i="1"/>
  <c r="AI2" i="1"/>
  <c r="AF4" i="1"/>
  <c r="K4" i="1"/>
  <c r="AA4" i="1"/>
  <c r="D2" i="1"/>
  <c r="T2" i="1"/>
  <c r="AJ2" i="1"/>
  <c r="I2" i="1"/>
  <c r="L4" i="1"/>
  <c r="AB4" i="1"/>
  <c r="E2" i="1"/>
  <c r="U2" i="1"/>
  <c r="AK2" i="1"/>
  <c r="AG4" i="1"/>
  <c r="M4" i="1"/>
  <c r="AC4" i="1"/>
  <c r="F2" i="1"/>
  <c r="V2" i="1"/>
  <c r="AL2" i="1"/>
  <c r="N4" i="1"/>
  <c r="AD4" i="1"/>
  <c r="G2" i="1"/>
  <c r="W2" i="1"/>
  <c r="AM2" i="1"/>
  <c r="Z2" i="1"/>
  <c r="O4" i="1"/>
  <c r="AE4" i="1"/>
  <c r="H2" i="1"/>
  <c r="X2" i="1"/>
  <c r="AN2" i="1"/>
  <c r="J2" i="1"/>
  <c r="P4" i="1"/>
  <c r="Q4" i="1"/>
  <c r="R4" i="1"/>
  <c r="AH4" i="1"/>
  <c r="K2" i="1"/>
  <c r="AA2" i="1"/>
  <c r="U4" i="1"/>
  <c r="A1" i="1" s="1"/>
</calcChain>
</file>

<file path=xl/sharedStrings.xml><?xml version="1.0" encoding="utf-8"?>
<sst xmlns="http://schemas.openxmlformats.org/spreadsheetml/2006/main" count="2045" uniqueCount="1604">
  <si>
    <t>3M Company (NYSE:MMM)</t>
  </si>
  <si>
    <t>A. O. Smith Corporation (NYSE:AOS)</t>
  </si>
  <si>
    <t>Abbott Laboratories (NYSE:ABT)</t>
  </si>
  <si>
    <t>AbbVie Inc. (NYSE:ABBV)</t>
  </si>
  <si>
    <t>Accenture plc (NYSE:ACN)</t>
  </si>
  <si>
    <t>Adobe Inc. (NASDAQGS:ADBE)</t>
  </si>
  <si>
    <t>Advanced Micro Devices, Inc. (NASDAQGS:AMD)</t>
  </si>
  <si>
    <t>Aflac Incorporated (NYSE:AFL)</t>
  </si>
  <si>
    <t>Agilent Technologies, Inc. (NYSE:A)</t>
  </si>
  <si>
    <t>Air Products and Chemicals, Inc. (NYSE:APD)</t>
  </si>
  <si>
    <t>Akamai Technologies, Inc. (NASDAQGS:AKAM)</t>
  </si>
  <si>
    <t>Albemarle Corporation (NYSE:ALB)</t>
  </si>
  <si>
    <t>Alexandria Real Estate Equities, Inc. (NYSE:ARE)</t>
  </si>
  <si>
    <t>Align Technology, Inc. (NASDAQGS:ALGN)</t>
  </si>
  <si>
    <t>Allegion plc (NYSE:ALLE)</t>
  </si>
  <si>
    <t>Alliant Energy Corporation (NASDAQGS:LNT)</t>
  </si>
  <si>
    <t>Alphabet Inc. (NASDAQGS:GOOGL)</t>
  </si>
  <si>
    <t>Altria Group, Inc. (NYSE:MO)</t>
  </si>
  <si>
    <t>Amazon.com, Inc. (NASDAQGS:AMZN)</t>
  </si>
  <si>
    <t>Amcor plc (NYSE:AMCR)</t>
  </si>
  <si>
    <t>Ameren Corporation (NYSE:AEE)</t>
  </si>
  <si>
    <t>American Electric Power Company, Inc. (NASDAQGS:AEP)</t>
  </si>
  <si>
    <t>American Express Company (NYSE:AXP)</t>
  </si>
  <si>
    <t>American International Group, Inc. (NYSE:AIG)</t>
  </si>
  <si>
    <t>American Tower Corporation (NYSE:AMT)</t>
  </si>
  <si>
    <t>American Water Works Company, Inc. (NYSE:AWK)</t>
  </si>
  <si>
    <t>Ameriprise Financial, Inc. (NYSE:AMP)</t>
  </si>
  <si>
    <t>AMETEK, Inc. (NYSE:AME)</t>
  </si>
  <si>
    <t>Amgen Inc. (NASDAQGS:AMGN)</t>
  </si>
  <si>
    <t>Amphenol Corporation (NYSE:APH)</t>
  </si>
  <si>
    <t>Analog Devices, Inc. (NASDAQGS:ADI)</t>
  </si>
  <si>
    <t>Aon plc (NYSE:AON)</t>
  </si>
  <si>
    <t>APA Corporation (NASDAQGS:APA)</t>
  </si>
  <si>
    <t>Apollo Global Management, Inc. (NYSE:APO)</t>
  </si>
  <si>
    <t>Apple Inc. (NASDAQGS:AAPL)</t>
  </si>
  <si>
    <t>Applied Materials, Inc. (NASDAQGS:AMAT)</t>
  </si>
  <si>
    <t>Aptiv PLC (NYSE:APTV)</t>
  </si>
  <si>
    <t>Arch Capital Group Ltd. (NASDAQGS:ACGL)</t>
  </si>
  <si>
    <t>Archer-Daniels-Midland Company (NYSE:ADM)</t>
  </si>
  <si>
    <t>Ares Management Corporation (NYSE:ARES)</t>
  </si>
  <si>
    <t>Arista Networks, Inc. (NYSE:ANET)</t>
  </si>
  <si>
    <t>Arthur J. Gallagher &amp; Co. (NYSE:AJG)</t>
  </si>
  <si>
    <t>Assurant, Inc. (NYSE:AIZ)</t>
  </si>
  <si>
    <t>AT&amp;T Inc. (NYSE:T)</t>
  </si>
  <si>
    <t>Atmos Energy Corporation (NYSE:ATO)</t>
  </si>
  <si>
    <t>Autodesk, Inc. (NASDAQGS:ADSK)</t>
  </si>
  <si>
    <t>Automatic Data Processing, Inc. (NASDAQGS:ADP)</t>
  </si>
  <si>
    <t>AutoZone, Inc. (NYSE:AZO)</t>
  </si>
  <si>
    <t>AvalonBay Communities, Inc. (NYSE:AVB)</t>
  </si>
  <si>
    <t>Avery Dennison Corporation (NYSE:AVY)</t>
  </si>
  <si>
    <t>Axon Enterprise, Inc. (NASDAQGS:AXON)</t>
  </si>
  <si>
    <t>Baker Hughes Company (NASDAQGS:BKR)</t>
  </si>
  <si>
    <t>Ball Corporation (NYSE:BALL)</t>
  </si>
  <si>
    <t>Bank of America Corporation (NYSE:BAC)</t>
  </si>
  <si>
    <t>Baxter International Inc. (NYSE:BAX)</t>
  </si>
  <si>
    <t>Becton, Dickinson and Company (NYSE:BDX)</t>
  </si>
  <si>
    <t>Berkshire Hathaway Inc. (NYSE:BRK.A)</t>
  </si>
  <si>
    <t>Best Buy Co., Inc. (NYSE:BBY)</t>
  </si>
  <si>
    <t>Bio-Techne Corporation (NASDAQGS:TECH)</t>
  </si>
  <si>
    <t>Biogen Inc. (NASDAQGS:BIIB)</t>
  </si>
  <si>
    <t>BlackRock, Inc. (NYSE:BLK)</t>
  </si>
  <si>
    <t>Blackstone Inc. (NYSE:BX)</t>
  </si>
  <si>
    <t>Block, Inc. (NYSE:XYZ)</t>
  </si>
  <si>
    <t>Booking Holdings Inc. (NASDAQGS:BKNG)</t>
  </si>
  <si>
    <t>Boston Scientific Corporation (NYSE:BSX)</t>
  </si>
  <si>
    <t>Bristol-Myers Squibb Company (NYSE:BMY)</t>
  </si>
  <si>
    <t>Broadcom Inc. (NASDAQGS:AVGO)</t>
  </si>
  <si>
    <t>Broadridge Financial Solutions, Inc. (NYSE:BR)</t>
  </si>
  <si>
    <t>Brown &amp; Brown, Inc. (NYSE:BRO)</t>
  </si>
  <si>
    <t>Brown-Forman Corporation (NYSE:BF.B)</t>
  </si>
  <si>
    <t>Builders FirstSource, Inc. (NYSE:BLDR)</t>
  </si>
  <si>
    <t>Bunge Global SA (NYSE:BG)</t>
  </si>
  <si>
    <t>BXP, Inc. (NYSE:BXP)</t>
  </si>
  <si>
    <t>C.H. Robinson Worldwide, Inc. (NASDAQGS:CHRW)</t>
  </si>
  <si>
    <t>Cadence Design Systems, Inc. (NASDAQGS:CDNS)</t>
  </si>
  <si>
    <t>Camden Property Trust (NYSE:CPT)</t>
  </si>
  <si>
    <t>Capital One Financial Corporation (NYSE:COF)</t>
  </si>
  <si>
    <t>Cardinal Health, Inc. (NYSE:CAH)</t>
  </si>
  <si>
    <t>Carnival Corporation &amp; plc (NYSE:CCL)</t>
  </si>
  <si>
    <t>Carvana Co. (NYSE:CVNA)</t>
  </si>
  <si>
    <t>Caterpillar Inc. (NYSE:CAT)</t>
  </si>
  <si>
    <t>Cboe Global Markets, Inc. (BATS:CBOE)</t>
  </si>
  <si>
    <t>CBRE Group, Inc. (NYSE:CBRE)</t>
  </si>
  <si>
    <t>CDW Corporation (NASDAQGS:CDW)</t>
  </si>
  <si>
    <t>Cencora, Inc. (NYSE:COR)</t>
  </si>
  <si>
    <t>Centene Corporation (NYSE:CNC)</t>
  </si>
  <si>
    <t>CenterPoint Energy, Inc. (NYSE:CNP)</t>
  </si>
  <si>
    <t>CF Industries Holdings, Inc. (NYSE:CF)</t>
  </si>
  <si>
    <t>Charles River Laboratories International, Inc. (NYSE:CRL)</t>
  </si>
  <si>
    <t>Charter Communications, Inc. (NASDAQGS:CHTR)</t>
  </si>
  <si>
    <t>Chevron Corporation (NYSE:CVX)</t>
  </si>
  <si>
    <t>Chipotle Mexican Grill, Inc. (NYSE:CMG)</t>
  </si>
  <si>
    <t>Chubb Limited (NYSE:CB)</t>
  </si>
  <si>
    <t>Church &amp; Dwight Co., Inc. (NYSE:CHD)</t>
  </si>
  <si>
    <t>Ciena Corporation (NYSE:CIEN)</t>
  </si>
  <si>
    <t>Cincinnati Financial Corporation (NASDAQGS:CINF)</t>
  </si>
  <si>
    <t>Cintas Corporation (NASDAQGS:CTAS)</t>
  </si>
  <si>
    <t>Cisco Systems, Inc. (NASDAQGS:CSCO)</t>
  </si>
  <si>
    <t>Citigroup Inc. (NYSE:C)</t>
  </si>
  <si>
    <t>Citizens Financial Group, Inc. (NYSE:CFG)</t>
  </si>
  <si>
    <t>CME Group Inc. (NASDAQGS:CME)</t>
  </si>
  <si>
    <t>CMS Energy Corporation (NYSE:CMS)</t>
  </si>
  <si>
    <t>Cognizant Technology Solutions Corporation (NASDAQGS:CTSH)</t>
  </si>
  <si>
    <t>Coherent Corp. (NYSE:COHR)</t>
  </si>
  <si>
    <t>Colgate-Palmolive Company (NYSE:CL)</t>
  </si>
  <si>
    <t>Comcast Corporation (NASDAQGS:CMCSA)</t>
  </si>
  <si>
    <t>Comfort Systems USA, Inc. (NYSE:FIX)</t>
  </si>
  <si>
    <t>Conagra Brands, Inc. (NYSE:CAG)</t>
  </si>
  <si>
    <t>ConocoPhillips (NYSE:COP)</t>
  </si>
  <si>
    <t>Consolidated Edison, Inc. (NYSE:ED)</t>
  </si>
  <si>
    <t>Constellation Brands, Inc. (NYSE:STZ)</t>
  </si>
  <si>
    <t>Copart, Inc. (NASDAQGS:CPRT)</t>
  </si>
  <si>
    <t>Corning Incorporated (NYSE:GLW)</t>
  </si>
  <si>
    <t>Corpay, Inc. (NYSE:CPAY)</t>
  </si>
  <si>
    <t>Corteva, Inc. (NYSE:CTVA)</t>
  </si>
  <si>
    <t>CoStar Group, Inc. (NASDAQGS:CSGP)</t>
  </si>
  <si>
    <t>Costco Wholesale Corporation (NASDAQGS:COST)</t>
  </si>
  <si>
    <t>Coterra Energy Inc. (NYSE:CTRA)</t>
  </si>
  <si>
    <t>CRH plc (NYSE:CRH)</t>
  </si>
  <si>
    <t>CrowdStrike Holdings, Inc. (NASDAQGS:CRWD)</t>
  </si>
  <si>
    <t>Crown Castle Inc. (NYSE:CCI)</t>
  </si>
  <si>
    <t>CSX Corporation (NASDAQGS:CSX)</t>
  </si>
  <si>
    <t>Cummins Inc. (NYSE:CMI)</t>
  </si>
  <si>
    <t>CVS Health Corporation (NYSE:CVS)</t>
  </si>
  <si>
    <t>D.R. Horton, Inc. (NYSE:DHI)</t>
  </si>
  <si>
    <t>Danaher Corporation (NYSE:DHR)</t>
  </si>
  <si>
    <t>Darden Restaurants, Inc. (NYSE:DRI)</t>
  </si>
  <si>
    <t>Datadog, Inc. (NASDAQGS:DDOG)</t>
  </si>
  <si>
    <t>DaVita Inc. (NYSE:DVA)</t>
  </si>
  <si>
    <t>Deckers Outdoor Corporation (NYSE:DECK)</t>
  </si>
  <si>
    <t>Deere &amp; Company (NYSE:DE)</t>
  </si>
  <si>
    <t>Dell Technologies Inc. (NYSE:DELL)</t>
  </si>
  <si>
    <t>Delta Air Lines, Inc. (NYSE:DAL)</t>
  </si>
  <si>
    <t>Devon Energy Corporation (NYSE:DVN)</t>
  </si>
  <si>
    <t>DexCom, Inc. (NASDAQGS:DXCM)</t>
  </si>
  <si>
    <t>Diamondback Energy, Inc. (NASDAQGS:FANG)</t>
  </si>
  <si>
    <t>Digital Realty Trust, Inc. (NYSE:DLR)</t>
  </si>
  <si>
    <t>Dollar General Corporation (NYSE:DG)</t>
  </si>
  <si>
    <t>Dollar Tree, Inc. (NASDAQGS:DLTR)</t>
  </si>
  <si>
    <t>Dominion Energy, Inc. (NYSE:D)</t>
  </si>
  <si>
    <t>Domino's Pizza, Inc. (NASDAQGS:DPZ)</t>
  </si>
  <si>
    <t>Dover Corporation (NYSE:DOV)</t>
  </si>
  <si>
    <t>Dow Inc. (NYSE:DOW)</t>
  </si>
  <si>
    <t>DTE Energy Company (NYSE:DTE)</t>
  </si>
  <si>
    <t>Duke Energy Corporation (NYSE:DUK)</t>
  </si>
  <si>
    <t>DuPont de Nemours, Inc. (NYSE:DD)</t>
  </si>
  <si>
    <t>Eaton Corporation plc (NYSE:ETN)</t>
  </si>
  <si>
    <t>eBay Inc. (NASDAQGS:EBAY)</t>
  </si>
  <si>
    <t>EchoStar Corporation (NASDAQGS:SATS)</t>
  </si>
  <si>
    <t>Ecolab Inc. (NYSE:ECL)</t>
  </si>
  <si>
    <t>Edison International (NYSE:EIX)</t>
  </si>
  <si>
    <t>Edwards Lifesciences Corporation (NYSE:EW)</t>
  </si>
  <si>
    <t>Electronic Arts Inc. (NASDAQGS:EA)</t>
  </si>
  <si>
    <t>Elevance Health, Inc. (NYSE:ELV)</t>
  </si>
  <si>
    <t>Eli Lilly and Company (NYSE:LLY)</t>
  </si>
  <si>
    <t>EMCOR Group, Inc. (NYSE:EME)</t>
  </si>
  <si>
    <t>Emerson Electric Co. (NYSE:EMR)</t>
  </si>
  <si>
    <t>Entergy Corporation (NYSE:ETR)</t>
  </si>
  <si>
    <t>EOG Resources, Inc. (NYSE:EOG)</t>
  </si>
  <si>
    <t>EPAM Systems, Inc. (NYSE:EPAM)</t>
  </si>
  <si>
    <t>EQT Corporation (NYSE:EQT)</t>
  </si>
  <si>
    <t>Equifax Inc. (NYSE:EFX)</t>
  </si>
  <si>
    <t>Equinix, Inc. (NASDAQGS:EQIX)</t>
  </si>
  <si>
    <t>Equity Residential (NYSE:EQR)</t>
  </si>
  <si>
    <t>Erie Indemnity Company (NASDAQGS:ERIE)</t>
  </si>
  <si>
    <t>Essex Property Trust, Inc. (NYSE:ESS)</t>
  </si>
  <si>
    <t>Everest Group, Ltd. (NYSE:EG)</t>
  </si>
  <si>
    <t>Evergy, Inc. (NASDAQGS:EVRG)</t>
  </si>
  <si>
    <t>Eversource Energy (NYSE:ES)</t>
  </si>
  <si>
    <t>Exelon Corporation (NASDAQGS:EXC)</t>
  </si>
  <si>
    <t>Expedia Group, Inc. (NASDAQGS:EXPE)</t>
  </si>
  <si>
    <t>Expeditors International of Washington, Inc. (NYSE:EXPD)</t>
  </si>
  <si>
    <t>Extra Space Storage Inc. (NYSE:EXR)</t>
  </si>
  <si>
    <t>Exxon Mobil Corporation (NYSE:XOM)</t>
  </si>
  <si>
    <t>F5, Inc. (NASDAQGS:FFIV)</t>
  </si>
  <si>
    <t>FactSet Research Systems Inc. (NYSE:FDS)</t>
  </si>
  <si>
    <t>Fair Isaac Corporation (NYSE:FICO)</t>
  </si>
  <si>
    <t>Fastenal Company (NASDAQGS:FAST)</t>
  </si>
  <si>
    <t>Federal Realty Investment Trust (NYSE:FRT)</t>
  </si>
  <si>
    <t>FedEx Corporation (NYSE:FDX)</t>
  </si>
  <si>
    <t>Fidelity National Information Services, Inc. (NYSE:FIS)</t>
  </si>
  <si>
    <t>Fifth Third Bancorp (NASDAQGS:FITB)</t>
  </si>
  <si>
    <t>First Solar, Inc. (NASDAQGS:FSLR)</t>
  </si>
  <si>
    <t>FirstEnergy Corp. (NYSE:FE)</t>
  </si>
  <si>
    <t>Fiserv, Inc. (NASDAQGS:FISV)</t>
  </si>
  <si>
    <t>Ford Motor Company (NYSE:F)</t>
  </si>
  <si>
    <t>Fortinet, Inc. (NASDAQGS:FTNT)</t>
  </si>
  <si>
    <t>Fortive Corporation (NYSE:FTV)</t>
  </si>
  <si>
    <t>Fox Corporation (NASDAQGS:FOXA)</t>
  </si>
  <si>
    <t>Franklin Resources, Inc. (NYSE:BEN)</t>
  </si>
  <si>
    <t>Freeport-McMoRan Inc. (NYSE:FCX)</t>
  </si>
  <si>
    <t>Garmin Ltd. (NYSE:GRMN)</t>
  </si>
  <si>
    <t>Gartner, Inc. (NYSE:IT)</t>
  </si>
  <si>
    <t>Gen Digital Inc. (NASDAQGS:GEN)</t>
  </si>
  <si>
    <t>Generac Holdings Inc. (NYSE:GNRC)</t>
  </si>
  <si>
    <t>General Dynamics Corporation (NYSE:GD)</t>
  </si>
  <si>
    <t>General Electric Company (NYSE:GE)</t>
  </si>
  <si>
    <t>General Mills, Inc. (NYSE:GIS)</t>
  </si>
  <si>
    <t>General Motors Company (NYSE:GM)</t>
  </si>
  <si>
    <t>Genuine Parts Company (NYSE:GPC)</t>
  </si>
  <si>
    <t>Gilead Sciences, Inc. (NASDAQGS:GILD)</t>
  </si>
  <si>
    <t>Global Payments Inc. (NYSE:GPN)</t>
  </si>
  <si>
    <t>Globe Life Inc. (NYSE:GL)</t>
  </si>
  <si>
    <t>GoDaddy Inc. (NYSE:GDDY)</t>
  </si>
  <si>
    <t>Halliburton Company (NYSE:HAL)</t>
  </si>
  <si>
    <t>Hasbro, Inc. (NASDAQGS:HAS)</t>
  </si>
  <si>
    <t>HCA Healthcare, Inc. (NYSE:HCA)</t>
  </si>
  <si>
    <t>Healthpeak Properties, Inc. (NYSE:DOC)</t>
  </si>
  <si>
    <t>Henry Schein, Inc. (NASDAQGS:HSIC)</t>
  </si>
  <si>
    <t>Hewlett Packard Enterprise Company (NYSE:HPE)</t>
  </si>
  <si>
    <t>Hilton Worldwide Holdings Inc. (NYSE:HLT)</t>
  </si>
  <si>
    <t>Honeywell International Inc. (NASDAQGS:HON)</t>
  </si>
  <si>
    <t>Hormel Foods Corporation (NYSE:HRL)</t>
  </si>
  <si>
    <t>Host Hotels &amp; Resorts, Inc. (NASDAQGS:HST)</t>
  </si>
  <si>
    <t>Howmet Aerospace Inc. (NYSE:HWM)</t>
  </si>
  <si>
    <t>HP Inc. (NYSE:HPQ)</t>
  </si>
  <si>
    <t>Hubbell Incorporated (NYSE:HUBB)</t>
  </si>
  <si>
    <t>Humana Inc. (NYSE:HUM)</t>
  </si>
  <si>
    <t>Huntington Bancshares Incorporated (NASDAQGS:HBAN)</t>
  </si>
  <si>
    <t>Huntington Ingalls Industries, Inc. (NYSE:HII)</t>
  </si>
  <si>
    <t>IDEX Corporation (NYSE:IEX)</t>
  </si>
  <si>
    <t>IDEXX Laboratories, Inc. (NASDAQGS:IDXX)</t>
  </si>
  <si>
    <t>Illinois Tool Works Inc. (NYSE:ITW)</t>
  </si>
  <si>
    <t>Incyte Corporation (NASDAQGS:INCY)</t>
  </si>
  <si>
    <t>Ingersoll Rand Inc. (NYSE:IR)</t>
  </si>
  <si>
    <t>Insulet Corporation (NASDAQGS:PODD)</t>
  </si>
  <si>
    <t>Intel Corporation (NASDAQGS:INTC)</t>
  </si>
  <si>
    <t>Interactive Brokers Group, Inc. (NASDAQGS:IBKR)</t>
  </si>
  <si>
    <t>Intercontinental Exchange, Inc. (NYSE:ICE)</t>
  </si>
  <si>
    <t>International Business Machines Corporation (NYSE:IBM)</t>
  </si>
  <si>
    <t>International Flavors &amp; Fragrances Inc. (NYSE:IFF)</t>
  </si>
  <si>
    <t>International Paper Company (NYSE:IP)</t>
  </si>
  <si>
    <t>Intuit Inc. (NASDAQGS:INTU)</t>
  </si>
  <si>
    <t>Intuitive Surgical, Inc. (NASDAQGS:ISRG)</t>
  </si>
  <si>
    <t>Invesco Ltd. (NYSE:IVZ)</t>
  </si>
  <si>
    <t>Invitation Homes Inc. (NYSE:INVH)</t>
  </si>
  <si>
    <t>IQVIA Holdings Inc. (NYSE:IQV)</t>
  </si>
  <si>
    <t>Iron Mountain Incorporated (NYSE:IRM)</t>
  </si>
  <si>
    <t>J.B. Hunt Transport Services, Inc. (NASDAQGS:JBHT)</t>
  </si>
  <si>
    <t>Jabil Inc. (NYSE:JBL)</t>
  </si>
  <si>
    <t>Jack Henry &amp; Associates, Inc. (NASDAQGS:JKHY)</t>
  </si>
  <si>
    <t>Jacobs Solutions Inc. (NYSE:J)</t>
  </si>
  <si>
    <t>Johnson &amp; Johnson (NYSE:JNJ)</t>
  </si>
  <si>
    <t>Johnson Controls International plc (NYSE:JCI)</t>
  </si>
  <si>
    <t>JPMorgan Chase &amp; Co. (NYSE:JPM)</t>
  </si>
  <si>
    <t>Keurig Dr Pepper Inc. (NASDAQGS:KDP)</t>
  </si>
  <si>
    <t>KeyCorp (NYSE:KEY)</t>
  </si>
  <si>
    <t>Keysight Technologies, Inc. (NYSE:KEYS)</t>
  </si>
  <si>
    <t>Kimberly-Clark Corporation (NASDAQGS:KMB)</t>
  </si>
  <si>
    <t>Kimco Realty Corporation (NYSE:KIM)</t>
  </si>
  <si>
    <t>Kinder Morgan, Inc. (NYSE:KMI)</t>
  </si>
  <si>
    <t>KKR &amp; Co. Inc. (NYSE:KKR)</t>
  </si>
  <si>
    <t>KLA Corporation (NASDAQGS:KLAC)</t>
  </si>
  <si>
    <t>L3Harris Technologies, Inc. (NYSE:LHX)</t>
  </si>
  <si>
    <t>Labcorp Holdings Inc. (NYSE:LH)</t>
  </si>
  <si>
    <t>Lam Research Corporation (NASDAQGS:LRCX)</t>
  </si>
  <si>
    <t>Las Vegas Sands Corp. (NYSE:LVS)</t>
  </si>
  <si>
    <t>Leidos Holdings, Inc. (NYSE:LDOS)</t>
  </si>
  <si>
    <t>Lennar Corporation (NYSE:LEN)</t>
  </si>
  <si>
    <t>Lennox International Inc. (NYSE:LII)</t>
  </si>
  <si>
    <t>Linde plc (NASDAQGS:LIN)</t>
  </si>
  <si>
    <t>Live Nation Entertainment, Inc. (NYSE:LYV)</t>
  </si>
  <si>
    <t>Lockheed Martin Corporation (NYSE:LMT)</t>
  </si>
  <si>
    <t>Loews Corporation (NYSE:L)</t>
  </si>
  <si>
    <t>Lowe's Companies, Inc. (NYSE:LOW)</t>
  </si>
  <si>
    <t>lululemon athletica inc. (NASDAQGS:LULU)</t>
  </si>
  <si>
    <t>Lumentum Holdings Inc. (NASDAQGS:LITE)</t>
  </si>
  <si>
    <t>LyondellBasell Industries N.V. (NYSE:LYB)</t>
  </si>
  <si>
    <t>M&amp;T Bank Corporation (NYSE:MTB)</t>
  </si>
  <si>
    <t>Marathon Petroleum Corporation (NYSE:MPC)</t>
  </si>
  <si>
    <t>Marriott International, Inc. (NASDAQGS:MAR)</t>
  </si>
  <si>
    <t>Marsh &amp; McLennan Companies, Inc. (NYSE:MRSH)</t>
  </si>
  <si>
    <t>Martin Marietta Materials, Inc. (NYSE:MLM)</t>
  </si>
  <si>
    <t>Masco Corporation (NYSE:MAS)</t>
  </si>
  <si>
    <t>Mastercard Incorporated (NYSE:MA)</t>
  </si>
  <si>
    <t>McCormick &amp; Company, Incorporated (NYSE:MKC)</t>
  </si>
  <si>
    <t>McDonald's Corporation (NYSE:MCD)</t>
  </si>
  <si>
    <t>McKesson Corporation (NYSE:MCK)</t>
  </si>
  <si>
    <t>Medtronic plc (NYSE:MDT)</t>
  </si>
  <si>
    <t>Merck &amp; Co., Inc. (NYSE:MRK)</t>
  </si>
  <si>
    <t>Meta Platforms, Inc. (NASDAQGS:META)</t>
  </si>
  <si>
    <t>MetLife, Inc. (NYSE:MET)</t>
  </si>
  <si>
    <t>Mettler-Toledo International Inc. (NYSE:MTD)</t>
  </si>
  <si>
    <t>MGM Resorts International (NYSE:MGM)</t>
  </si>
  <si>
    <t>Microchip Technology Incorporated (NASDAQGS:MCHP)</t>
  </si>
  <si>
    <t>Micron Technology, Inc. (NASDAQGS:MU)</t>
  </si>
  <si>
    <t>Microsoft Corporation (NASDAQGS:MSFT)</t>
  </si>
  <si>
    <t>Mid-America Apartment Communities, Inc. (NYSE:MAA)</t>
  </si>
  <si>
    <t>Moderna, Inc. (NASDAQGS:MRNA)</t>
  </si>
  <si>
    <t>Molson Coors Beverage Company (NYSE:TAP)</t>
  </si>
  <si>
    <t>Mondelez International, Inc. (NASDAQGS:MDLZ)</t>
  </si>
  <si>
    <t>Monolithic Power Systems, Inc. (NASDAQGS:MPWR)</t>
  </si>
  <si>
    <t>Monster Beverage Corporation (NASDAQGS:MNST)</t>
  </si>
  <si>
    <t>Moody's Corporation (NYSE:MCO)</t>
  </si>
  <si>
    <t>Morgan Stanley (NYSE:MS)</t>
  </si>
  <si>
    <t>Motorola Solutions, Inc. (NYSE:MSI)</t>
  </si>
  <si>
    <t>MSCI Inc. (NYSE:MSCI)</t>
  </si>
  <si>
    <t>Nasdaq, Inc. (NASDAQGS:NDAQ)</t>
  </si>
  <si>
    <t>NetApp, Inc. (NASDAQGS:NTAP)</t>
  </si>
  <si>
    <t>Netflix, Inc. (NASDAQGS:NFLX)</t>
  </si>
  <si>
    <t>Newmont Corporation (NYSE:NEM)</t>
  </si>
  <si>
    <t>News Corporation (NASDAQGS:NWSA)</t>
  </si>
  <si>
    <t>NextEra Energy, Inc. (NYSE:NEE)</t>
  </si>
  <si>
    <t>NIKE, Inc. (NYSE:NKE)</t>
  </si>
  <si>
    <t>NiSource Inc. (NYSE:NI)</t>
  </si>
  <si>
    <t>Nordson Corporation (NASDAQGS:NDSN)</t>
  </si>
  <si>
    <t>Norfolk Southern Corporation (NYSE:NSC)</t>
  </si>
  <si>
    <t>Northern Trust Corporation (NASDAQGS:NTRS)</t>
  </si>
  <si>
    <t>Northrop Grumman Corporation (NYSE:NOC)</t>
  </si>
  <si>
    <t>Norwegian Cruise Line Holdings Ltd. (NYSE:NCLH)</t>
  </si>
  <si>
    <t>NRG Energy, Inc. (NYSE:NRG)</t>
  </si>
  <si>
    <t>Nucor Corporation (NYSE:NUE)</t>
  </si>
  <si>
    <t>NVIDIA Corporation (NASDAQGS:NVDA)</t>
  </si>
  <si>
    <t>NVR, Inc. (NYSE:NVR)</t>
  </si>
  <si>
    <t>NXP Semiconductors N.V. (NASDAQGS:NXPI)</t>
  </si>
  <si>
    <t>O'Reilly Automotive, Inc. (NASDAQGS:ORLY)</t>
  </si>
  <si>
    <t>Occidental Petroleum Corporation (NYSE:OXY)</t>
  </si>
  <si>
    <t>Old Dominion Freight Line, Inc. (NASDAQGS:ODFL)</t>
  </si>
  <si>
    <t>Omnicom Group Inc. (NYSE:OMC)</t>
  </si>
  <si>
    <t>ON Semiconductor Corporation (NASDAQGS:ON)</t>
  </si>
  <si>
    <t>ONEOK, Inc. (NYSE:OKE)</t>
  </si>
  <si>
    <t>Oracle Corporation (NYSE:ORCL)</t>
  </si>
  <si>
    <t>PACCAR Inc (NASDAQGS:PCAR)</t>
  </si>
  <si>
    <t>Packaging Corporation of America (NYSE:PKG)</t>
  </si>
  <si>
    <t>Palo Alto Networks, Inc. (NASDAQGS:PANW)</t>
  </si>
  <si>
    <t>Paramount Skydance Corporation (NASDAQGS:PSKY)</t>
  </si>
  <si>
    <t>Parker-Hannifin Corporation (NYSE:PH)</t>
  </si>
  <si>
    <t>Paychex, Inc. (NASDAQGS:PAYX)</t>
  </si>
  <si>
    <t>PayPal Holdings, Inc. (NASDAQGS:PYPL)</t>
  </si>
  <si>
    <t>Pentair plc (NYSE:PNR)</t>
  </si>
  <si>
    <t>PepsiCo, Inc. (NASDAQGS:PEP)</t>
  </si>
  <si>
    <t>Pfizer Inc. (NYSE:PFE)</t>
  </si>
  <si>
    <t>PG&amp;E Corporation (NYSE:PCG)</t>
  </si>
  <si>
    <t>Philip Morris International Inc. (NYSE:PM)</t>
  </si>
  <si>
    <t>Phillips 66 (NYSE:PSX)</t>
  </si>
  <si>
    <t>Pinnacle West Capital Corporation (NYSE:PNW)</t>
  </si>
  <si>
    <t>Pool Corporation (NASDAQGS:POOL)</t>
  </si>
  <si>
    <t>PPG Industries, Inc. (NYSE:PPG)</t>
  </si>
  <si>
    <t>PPL Corporation (NYSE:PPL)</t>
  </si>
  <si>
    <t>Principal Financial Group, Inc. (NASDAQGS:PFG)</t>
  </si>
  <si>
    <t>Prologis, Inc. (NYSE:PLD)</t>
  </si>
  <si>
    <t>Prudential Financial, Inc. (NYSE:PRU)</t>
  </si>
  <si>
    <t>PTC Inc. (NASDAQGS:PTC)</t>
  </si>
  <si>
    <t>Public Service Enterprise Group Incorporated (NYSE:PEG)</t>
  </si>
  <si>
    <t>Public Storage (NYSE:PSA)</t>
  </si>
  <si>
    <t>PulteGroup, Inc. (NYSE:PHM)</t>
  </si>
  <si>
    <t>QUALCOMM Incorporated (NASDAQGS:QCOM)</t>
  </si>
  <si>
    <t>Quanta Services, Inc. (NYSE:PWR)</t>
  </si>
  <si>
    <t>Quest Diagnostics Incorporated (NYSE:DGX)</t>
  </si>
  <si>
    <t>Ralph Lauren Corporation (NYSE:RL)</t>
  </si>
  <si>
    <t>Raymond James Financial, Inc. (NYSE:RJF)</t>
  </si>
  <si>
    <t>Realty Income Corporation (NYSE:O)</t>
  </si>
  <si>
    <t>Regency Centers Corporation (NASDAQGS:REG)</t>
  </si>
  <si>
    <t>Regeneron Pharmaceuticals, Inc. (NASDAQGS:REGN)</t>
  </si>
  <si>
    <t>Regions Financial Corporation (NYSE:RF)</t>
  </si>
  <si>
    <t>Republic Services, Inc. (NYSE:RSG)</t>
  </si>
  <si>
    <t>ResMed Inc. (NYSE:RMD)</t>
  </si>
  <si>
    <t>Revvity, Inc. (NYSE:RVTY)</t>
  </si>
  <si>
    <t>Rockwell Automation, Inc. (NYSE:ROK)</t>
  </si>
  <si>
    <t>Rollins, Inc. (NYSE:ROL)</t>
  </si>
  <si>
    <t>Roper Technologies, Inc. (NASDAQGS:ROP)</t>
  </si>
  <si>
    <t>Ross Stores, Inc. (NASDAQGS:ROST)</t>
  </si>
  <si>
    <t>Royal Caribbean Cruises Ltd. (NYSE:RCL)</t>
  </si>
  <si>
    <t>RTX Corporation (NYSE:RTX)</t>
  </si>
  <si>
    <t>S&amp;P Global Inc. (NYSE:SPGI)</t>
  </si>
  <si>
    <t>Salesforce, Inc. (NYSE:CRM)</t>
  </si>
  <si>
    <t>SBA Communications Corporation (NASDAQGS:SBAC)</t>
  </si>
  <si>
    <t>Seagate Technology Holdings plc (NASDAQGS:STX)</t>
  </si>
  <si>
    <t>Sempra (NYSE:SRE)</t>
  </si>
  <si>
    <t>ServiceNow, Inc. (NYSE:NOW)</t>
  </si>
  <si>
    <t>Simon Property Group, Inc. (NYSE:SPG)</t>
  </si>
  <si>
    <t>Skyworks Solutions, Inc. (NASDAQGS:SWKS)</t>
  </si>
  <si>
    <t>SLB N.V. (NYSE:SLB)</t>
  </si>
  <si>
    <t>Smurfit Westrock Plc (NYSE:SW)</t>
  </si>
  <si>
    <t>Snap-on Incorporated (NYSE:SNA)</t>
  </si>
  <si>
    <t>Southwest Airlines Co. (NYSE:LUV)</t>
  </si>
  <si>
    <t>Stanley Black &amp; Decker, Inc. (NYSE:SWK)</t>
  </si>
  <si>
    <t>Starbucks Corporation (NASDAQGS:SBUX)</t>
  </si>
  <si>
    <t>State Street Corporation (NYSE:STT)</t>
  </si>
  <si>
    <t>Steel Dynamics, Inc. (NASDAQGS:STLD)</t>
  </si>
  <si>
    <t>STERIS plc (NYSE:STE)</t>
  </si>
  <si>
    <t>Stryker Corporation (NYSE:SYK)</t>
  </si>
  <si>
    <t>Super Micro Computer, Inc. (NASDAQGS:SMCI)</t>
  </si>
  <si>
    <t>Synchrony Financial (NYSE:SYF)</t>
  </si>
  <si>
    <t>Synopsys, Inc. (NASDAQGS:SNPS)</t>
  </si>
  <si>
    <t>Sysco Corporation (NYSE:SYY)</t>
  </si>
  <si>
    <t>T-Mobile US, Inc. (NASDAQGS:TMUS)</t>
  </si>
  <si>
    <t>T. Rowe Price Group, Inc. (NASDAQGS:TROW)</t>
  </si>
  <si>
    <t>Take-Two Interactive Software, Inc. (NASDAQGS:TTWO)</t>
  </si>
  <si>
    <t>Tapestry, Inc. (NYSE:TPR)</t>
  </si>
  <si>
    <t>Targa Resources Corp. (NYSE:TRGP)</t>
  </si>
  <si>
    <t>Target Corporation (NYSE:TGT)</t>
  </si>
  <si>
    <t>TE Connectivity plc (NYSE:TEL)</t>
  </si>
  <si>
    <t>Teledyne Technologies Incorporated (NYSE:TDY)</t>
  </si>
  <si>
    <t>Teradyne, Inc. (NASDAQGS:TER)</t>
  </si>
  <si>
    <t>Tesla, Inc. (NASDAQGS:TSLA)</t>
  </si>
  <si>
    <t>Texas Instruments Incorporated (NASDAQGS:TXN)</t>
  </si>
  <si>
    <t>Texas Pacific Land Corporation (NYSE:TPL)</t>
  </si>
  <si>
    <t>Textron Inc. (NYSE:TXT)</t>
  </si>
  <si>
    <t>The AES Corporation (NYSE:AES)</t>
  </si>
  <si>
    <t>The Allstate Corporation (NYSE:ALL)</t>
  </si>
  <si>
    <t>The Bank of New York Mellon Corporation (NYSE:BK)</t>
  </si>
  <si>
    <t>The Boeing Company (NYSE:BA)</t>
  </si>
  <si>
    <t>The Campbell's Company (NASDAQGS:CPB)</t>
  </si>
  <si>
    <t>The Charles Schwab Corporation (NYSE:SCHW)</t>
  </si>
  <si>
    <t>The Cigna Group (NYSE:CI)</t>
  </si>
  <si>
    <t>The Clorox Company (NYSE:CLX)</t>
  </si>
  <si>
    <t>The Coca-Cola Company (NYSE:KO)</t>
  </si>
  <si>
    <t>The Cooper Companies, Inc. (NASDAQGS:COO)</t>
  </si>
  <si>
    <t>The Estée Lauder Companies Inc. (NYSE:EL)</t>
  </si>
  <si>
    <t>The Goldman Sachs Group, Inc. (NYSE:GS)</t>
  </si>
  <si>
    <t>The Hartford Insurance Group, Inc. (NYSE:HIG)</t>
  </si>
  <si>
    <t>The Hershey Company (NYSE:HSY)</t>
  </si>
  <si>
    <t>The Home Depot, Inc. (NYSE:HD)</t>
  </si>
  <si>
    <t>The J. M. Smucker Company (NYSE:SJM)</t>
  </si>
  <si>
    <t>The Kraft Heinz Company (NASDAQGS:KHC)</t>
  </si>
  <si>
    <t>The Kroger Co. (NYSE:KR)</t>
  </si>
  <si>
    <t>The Mosaic Company (NYSE:MOS)</t>
  </si>
  <si>
    <t>The PNC Financial Services Group, Inc. (NYSE:PNC)</t>
  </si>
  <si>
    <t>The Procter &amp; Gamble Company (NYSE:PG)</t>
  </si>
  <si>
    <t>The Progressive Corporation (NYSE:PGR)</t>
  </si>
  <si>
    <t>The Sherwin-Williams Company (NYSE:SHW)</t>
  </si>
  <si>
    <t>The Southern Company (NYSE:SO)</t>
  </si>
  <si>
    <t>The TJX Companies, Inc. (NYSE:TJX)</t>
  </si>
  <si>
    <t>The Trade Desk, Inc. (NASDAQGM:TTD)</t>
  </si>
  <si>
    <t>The Travelers Companies, Inc. (NYSE:TRV)</t>
  </si>
  <si>
    <t>The Walt Disney Company (NYSE:DIS)</t>
  </si>
  <si>
    <t>The Williams Companies, Inc. (NYSE:WMB)</t>
  </si>
  <si>
    <t>Thermo Fisher Scientific Inc. (NYSE:TMO)</t>
  </si>
  <si>
    <t>Tractor Supply Company (NASDAQGS:TSCO)</t>
  </si>
  <si>
    <t>Trane Technologies plc (NYSE:TT)</t>
  </si>
  <si>
    <t>TransDigm Group Incorporated (NYSE:TDG)</t>
  </si>
  <si>
    <t>Trimble Inc. (NASDAQGS:TRMB)</t>
  </si>
  <si>
    <t>Truist Financial Corporation (NYSE:TFC)</t>
  </si>
  <si>
    <t>Tyler Technologies, Inc. (NYSE:TYL)</t>
  </si>
  <si>
    <t>Tyson Foods, Inc. (NYSE:TSN)</t>
  </si>
  <si>
    <t>U.S. Bancorp (NYSE:USB)</t>
  </si>
  <si>
    <t>Uber Technologies, Inc. (NYSE:UBER)</t>
  </si>
  <si>
    <t>UDR, Inc. (NYSE:UDR)</t>
  </si>
  <si>
    <t>Ulta Beauty, Inc. (NASDAQGS:ULTA)</t>
  </si>
  <si>
    <t>Union Pacific Corporation (NYSE:UNP)</t>
  </si>
  <si>
    <t>United Airlines Holdings, Inc. (NASDAQGS:UAL)</t>
  </si>
  <si>
    <t>United Parcel Service, Inc. (NYSE:UPS)</t>
  </si>
  <si>
    <t>United Rentals, Inc. (NYSE:URI)</t>
  </si>
  <si>
    <t>UnitedHealth Group Incorporated (NYSE:UNH)</t>
  </si>
  <si>
    <t>Universal Health Services, Inc. (NYSE:UHS)</t>
  </si>
  <si>
    <t>Valero Energy Corporation (NYSE:VLO)</t>
  </si>
  <si>
    <t>Ventas, Inc. (NYSE:VTR)</t>
  </si>
  <si>
    <t>VeriSign, Inc. (NASDAQGS:VRSN)</t>
  </si>
  <si>
    <t>Verisk Analytics, Inc. (NASDAQGS:VRSK)</t>
  </si>
  <si>
    <t>Verizon Communications Inc. (NYSE:VZ)</t>
  </si>
  <si>
    <t>Vertex Pharmaceuticals Incorporated (NASDAQGS:VRTX)</t>
  </si>
  <si>
    <t>Vertiv Holdings Co (NYSE:VRT)</t>
  </si>
  <si>
    <t>Viatris Inc. (NASDAQGS:VTRS)</t>
  </si>
  <si>
    <t>VICI Properties Inc. (NYSE:VICI)</t>
  </si>
  <si>
    <t>Visa Inc. (NYSE:V)</t>
  </si>
  <si>
    <t>Vistra Corp. (NYSE:VST)</t>
  </si>
  <si>
    <t>Vulcan Materials Company (NYSE:VMC)</t>
  </si>
  <si>
    <t>W. R. Berkley Corporation (NYSE:WRB)</t>
  </si>
  <si>
    <t>W.W. Grainger, Inc. (NYSE:GWW)</t>
  </si>
  <si>
    <t>Walmart Inc. (NASDAQGS:WMT)</t>
  </si>
  <si>
    <t>Warner Bros. Discovery, Inc. (NASDAQGS:WBD)</t>
  </si>
  <si>
    <t>Waste Management, Inc. (NYSE:WM)</t>
  </si>
  <si>
    <t>Waters Corporation (NYSE:WAT)</t>
  </si>
  <si>
    <t>WEC Energy Group, Inc. (NYSE:WEC)</t>
  </si>
  <si>
    <t>Wells Fargo &amp; Company (NYSE:WFC)</t>
  </si>
  <si>
    <t>Welltower Inc. (NYSE:WELL)</t>
  </si>
  <si>
    <t>West Pharmaceutical Services, Inc. (NYSE:WST)</t>
  </si>
  <si>
    <t>Western Digital Corporation (NASDAQGS:WDC)</t>
  </si>
  <si>
    <t>Westinghouse Air Brake Technologies Corporation (NYSE:WAB)</t>
  </si>
  <si>
    <t>Weyerhaeuser Company (NYSE:WY)</t>
  </si>
  <si>
    <t>Williams-Sonoma, Inc. (NYSE:WSM)</t>
  </si>
  <si>
    <t>Willis Towers Watson Public Limited Company (NASDAQGS:WTW)</t>
  </si>
  <si>
    <t>Workday, Inc. (NASDAQGS:WDAY)</t>
  </si>
  <si>
    <t>Wynn Resorts, Limited (NASDAQGS:WYNN)</t>
  </si>
  <si>
    <t>Xcel Energy Inc. (NASDAQGS:XEL)</t>
  </si>
  <si>
    <t>Xylem Inc. (NYSE:XYL)</t>
  </si>
  <si>
    <t>Yum! Brands, Inc. (NYSE:YUM)</t>
  </si>
  <si>
    <t>Zebra Technologies Corporation (NASDAQGS:ZBRA)</t>
  </si>
  <si>
    <t>Zimmer Biomet Holdings, Inc. (NYSE:ZBH)</t>
  </si>
  <si>
    <t>Zoetis Inc. (NYSE:ZTS)</t>
  </si>
  <si>
    <t>SP_COMPANY_NAME_ABBR</t>
  </si>
  <si>
    <t>SP_TICKER</t>
  </si>
  <si>
    <t>MI_INDUSTRY_CLASSIFICATION</t>
  </si>
  <si>
    <t>SP_MARKETCAP</t>
  </si>
  <si>
    <t>SP_ENTITY_NAME</t>
  </si>
  <si>
    <t>SP_ENTITY_ID</t>
  </si>
  <si>
    <t>3M Co.</t>
  </si>
  <si>
    <t>MMM</t>
  </si>
  <si>
    <t>Industrial Conglomerates</t>
  </si>
  <si>
    <t>A. O. Smith Corp.</t>
  </si>
  <si>
    <t>AOS</t>
  </si>
  <si>
    <t>Building Products</t>
  </si>
  <si>
    <t>Abbott Laboratories</t>
  </si>
  <si>
    <t>ABT</t>
  </si>
  <si>
    <t>Health Care Equipment</t>
  </si>
  <si>
    <t>AbbVie Inc.</t>
  </si>
  <si>
    <t>ABBV</t>
  </si>
  <si>
    <t>Biotechnology</t>
  </si>
  <si>
    <t>Accenture plc</t>
  </si>
  <si>
    <t>ACN</t>
  </si>
  <si>
    <t>IT Consulting and Other Services</t>
  </si>
  <si>
    <t>Adobe Inc.</t>
  </si>
  <si>
    <t>ADBE</t>
  </si>
  <si>
    <t>Application Software</t>
  </si>
  <si>
    <t>Advanced Micro Devices Inc.</t>
  </si>
  <si>
    <t>AMD</t>
  </si>
  <si>
    <t>Semiconductors</t>
  </si>
  <si>
    <t>Aflac Inc.</t>
  </si>
  <si>
    <t>AFL</t>
  </si>
  <si>
    <t>Life and Health</t>
  </si>
  <si>
    <t>Agilent Technologies Inc</t>
  </si>
  <si>
    <t>A</t>
  </si>
  <si>
    <t>Life Sciences Tools and Services</t>
  </si>
  <si>
    <t>Air Products &amp; Chemicals Inc.</t>
  </si>
  <si>
    <t>APD</t>
  </si>
  <si>
    <t>Industrial Gases</t>
  </si>
  <si>
    <t>Akamai Technologies Inc.</t>
  </si>
  <si>
    <t>AKAM</t>
  </si>
  <si>
    <t>Internet Services and Infrastructure</t>
  </si>
  <si>
    <t>Albemarle Corp.</t>
  </si>
  <si>
    <t>ALB</t>
  </si>
  <si>
    <t>Specialty Chemicals</t>
  </si>
  <si>
    <t>Alexandria Real Estate</t>
  </si>
  <si>
    <t>ARE</t>
  </si>
  <si>
    <t>Health Care REIT</t>
  </si>
  <si>
    <t>Align Technology Inc.</t>
  </si>
  <si>
    <t>ALGN</t>
  </si>
  <si>
    <t>Health Care Supplies</t>
  </si>
  <si>
    <t>Allegion plc</t>
  </si>
  <si>
    <t>ALLE</t>
  </si>
  <si>
    <t>Alliant Energy</t>
  </si>
  <si>
    <t>LNT</t>
  </si>
  <si>
    <t>Electric Utilities</t>
  </si>
  <si>
    <t>Alphabet Inc.</t>
  </si>
  <si>
    <t>GOOGL</t>
  </si>
  <si>
    <t>Interactive Media and Services</t>
  </si>
  <si>
    <t>Altria Group</t>
  </si>
  <si>
    <t>MO</t>
  </si>
  <si>
    <t>Tobacco Producers</t>
  </si>
  <si>
    <t>Amazon.com Inc.</t>
  </si>
  <si>
    <t>AMZN</t>
  </si>
  <si>
    <t>Broadline Retail</t>
  </si>
  <si>
    <t>Amcor plc</t>
  </si>
  <si>
    <t>AMCR</t>
  </si>
  <si>
    <t>Packaging and Materials: Paper and Plastic</t>
  </si>
  <si>
    <t>Ameren Corp.</t>
  </si>
  <si>
    <t>AEE</t>
  </si>
  <si>
    <t>Multi-Utilities</t>
  </si>
  <si>
    <t>American Electric Power Co.</t>
  </si>
  <si>
    <t>AEP</t>
  </si>
  <si>
    <t>American Express Co.</t>
  </si>
  <si>
    <t>AXP</t>
  </si>
  <si>
    <t>Payment Processors</t>
  </si>
  <si>
    <t>American International Group</t>
  </si>
  <si>
    <t>AIG</t>
  </si>
  <si>
    <t>Property and Casualty</t>
  </si>
  <si>
    <t>American Tower Corp.</t>
  </si>
  <si>
    <t>AMT</t>
  </si>
  <si>
    <t>Telecom Tower REIT</t>
  </si>
  <si>
    <t>American Water Works Co.</t>
  </si>
  <si>
    <t>AWK</t>
  </si>
  <si>
    <t>Water Utilities</t>
  </si>
  <si>
    <t>Ameriprise Financial Inc.</t>
  </si>
  <si>
    <t>AMP</t>
  </si>
  <si>
    <t>Asset Management</t>
  </si>
  <si>
    <t>AMETEK Inc.</t>
  </si>
  <si>
    <t>AME</t>
  </si>
  <si>
    <t>Electrical Components and Equipment: Light</t>
  </si>
  <si>
    <t>Amgen Inc.</t>
  </si>
  <si>
    <t>AMGN</t>
  </si>
  <si>
    <t>Amphenol Corp.</t>
  </si>
  <si>
    <t>APH</t>
  </si>
  <si>
    <t>Electronic Components</t>
  </si>
  <si>
    <t>Analog Devices Inc.</t>
  </si>
  <si>
    <t>ADI</t>
  </si>
  <si>
    <t>Aon plc</t>
  </si>
  <si>
    <t>AON</t>
  </si>
  <si>
    <t>Insurance Broker</t>
  </si>
  <si>
    <t>APA Corp.</t>
  </si>
  <si>
    <t>APA</t>
  </si>
  <si>
    <t>Oil and Gas Exploration and Production</t>
  </si>
  <si>
    <t>Apollo Global Management Inc.</t>
  </si>
  <si>
    <t>APO</t>
  </si>
  <si>
    <t>Apple Inc.</t>
  </si>
  <si>
    <t>AAPL</t>
  </si>
  <si>
    <t>Technology Hardware, Storage and Peripherals</t>
  </si>
  <si>
    <t>Applied Materials Inc.</t>
  </si>
  <si>
    <t>AMAT</t>
  </si>
  <si>
    <t>Semiconductor Materials and Equipment</t>
  </si>
  <si>
    <t>Aptiv PLC</t>
  </si>
  <si>
    <t>APTV</t>
  </si>
  <si>
    <t>Automotive Parts and Equipment</t>
  </si>
  <si>
    <t>Arch Capital Group Ltd.</t>
  </si>
  <si>
    <t>ACGL</t>
  </si>
  <si>
    <t>Archer-Daniels-Midland Co.</t>
  </si>
  <si>
    <t>ADM</t>
  </si>
  <si>
    <t>Agricultural Products and Services</t>
  </si>
  <si>
    <t>Ares Management Corporation</t>
  </si>
  <si>
    <t>ARES</t>
  </si>
  <si>
    <t>Arista Networks Inc.</t>
  </si>
  <si>
    <t>ANET</t>
  </si>
  <si>
    <t>Communications Equipment</t>
  </si>
  <si>
    <t>Arthur J. Gallagher &amp; Co.</t>
  </si>
  <si>
    <t>AJG</t>
  </si>
  <si>
    <t>Assurant Inc.</t>
  </si>
  <si>
    <t>AIZ</t>
  </si>
  <si>
    <t>AT&amp;T Inc.</t>
  </si>
  <si>
    <t>T</t>
  </si>
  <si>
    <t>Integrated Telecommunication Services</t>
  </si>
  <si>
    <t>Atmos Energy Corp.</t>
  </si>
  <si>
    <t>ATO</t>
  </si>
  <si>
    <t>Gas Utilities</t>
  </si>
  <si>
    <t>Autodesk Inc.</t>
  </si>
  <si>
    <t>ADSK</t>
  </si>
  <si>
    <t>Automatic Data Processing Inc.</t>
  </si>
  <si>
    <t>ADP</t>
  </si>
  <si>
    <t>Human Resource and Employment Services</t>
  </si>
  <si>
    <t>AutoZone Inc.</t>
  </si>
  <si>
    <t>AZO</t>
  </si>
  <si>
    <t>Automotive Retail</t>
  </si>
  <si>
    <t>AvalonBay Communities Inc.</t>
  </si>
  <si>
    <t>AVB</t>
  </si>
  <si>
    <t>Multi-Family Residential REIT</t>
  </si>
  <si>
    <t>Avery Dennison Corp.</t>
  </si>
  <si>
    <t>AVY</t>
  </si>
  <si>
    <t>Axon Enterprise Inc.</t>
  </si>
  <si>
    <t>AXON</t>
  </si>
  <si>
    <t>Aerospace and Defense</t>
  </si>
  <si>
    <t>Baker Hughes Co.</t>
  </si>
  <si>
    <t>BKR</t>
  </si>
  <si>
    <t>Oil and Gas Equipment and Services</t>
  </si>
  <si>
    <t>Ball Corp.</t>
  </si>
  <si>
    <t>BALL</t>
  </si>
  <si>
    <t>Containers and Packaging: Metal, Glass, and Plastic</t>
  </si>
  <si>
    <t>Bank of America Corporation</t>
  </si>
  <si>
    <t>BAC</t>
  </si>
  <si>
    <t>Bank</t>
  </si>
  <si>
    <t>Baxter International Inc.</t>
  </si>
  <si>
    <t>BAX</t>
  </si>
  <si>
    <t>Becton Dickinson &amp; Co.</t>
  </si>
  <si>
    <t>BDX</t>
  </si>
  <si>
    <t>Berkshire Hathaway Inc.</t>
  </si>
  <si>
    <t>BRK.A</t>
  </si>
  <si>
    <t>Holding Companies, Patent Owners, and Trusts or Estates</t>
  </si>
  <si>
    <t>Best Buy Co.</t>
  </si>
  <si>
    <t>BBY</t>
  </si>
  <si>
    <t>Computer and Electronics Retail</t>
  </si>
  <si>
    <t>Bio-Techne Corp.</t>
  </si>
  <si>
    <t>TECH</t>
  </si>
  <si>
    <t>Biogen Inc.</t>
  </si>
  <si>
    <t>BIIB</t>
  </si>
  <si>
    <t>BlackRock Inc.</t>
  </si>
  <si>
    <t>BLK</t>
  </si>
  <si>
    <t>Blackstone Inc.</t>
  </si>
  <si>
    <t>BX</t>
  </si>
  <si>
    <t>Block Inc.</t>
  </si>
  <si>
    <t>XYZ</t>
  </si>
  <si>
    <t>Booking Holdings</t>
  </si>
  <si>
    <t>BKNG</t>
  </si>
  <si>
    <t>Hotels, Resorts and Cruise Lines</t>
  </si>
  <si>
    <t>Boston Scientific Corp.</t>
  </si>
  <si>
    <t>BSX</t>
  </si>
  <si>
    <t>Bristol-Myers Squibb Co.</t>
  </si>
  <si>
    <t>BMY</t>
  </si>
  <si>
    <t>Pharmaceuticals</t>
  </si>
  <si>
    <t>Broadcom Inc.</t>
  </si>
  <si>
    <t>AVGO</t>
  </si>
  <si>
    <t>Broadridge Finl Solutions Inc.</t>
  </si>
  <si>
    <t>BR</t>
  </si>
  <si>
    <t>Investment and Capital Markets Technology</t>
  </si>
  <si>
    <t>Brown &amp; Brown Inc.</t>
  </si>
  <si>
    <t>BRO</t>
  </si>
  <si>
    <t>Brown-Forman Corp.</t>
  </si>
  <si>
    <t>BF.B</t>
  </si>
  <si>
    <t>Distillers and Vintners</t>
  </si>
  <si>
    <t>Builders FirstSource Inc.</t>
  </si>
  <si>
    <t>BLDR</t>
  </si>
  <si>
    <t>Bunge Global SA</t>
  </si>
  <si>
    <t>BG</t>
  </si>
  <si>
    <t>BXP Inc.</t>
  </si>
  <si>
    <t>BXP</t>
  </si>
  <si>
    <t>Office REIT</t>
  </si>
  <si>
    <t>C.H. Robinson Worldwide Inc.</t>
  </si>
  <si>
    <t>CHRW</t>
  </si>
  <si>
    <t>Air Freight and Logistics</t>
  </si>
  <si>
    <t>Cadence Design Systems Inc.</t>
  </si>
  <si>
    <t>CDNS</t>
  </si>
  <si>
    <t>Camden Property Trust</t>
  </si>
  <si>
    <t>CPT</t>
  </si>
  <si>
    <t>Capital One Financial Corp.</t>
  </si>
  <si>
    <t>COF</t>
  </si>
  <si>
    <t>Specialty Finance: Consumer Focused</t>
  </si>
  <si>
    <t>Cardinal Health Inc.</t>
  </si>
  <si>
    <t>CAH</t>
  </si>
  <si>
    <t>Health Care Distributors</t>
  </si>
  <si>
    <t>Carnival Corp. &amp; plc</t>
  </si>
  <si>
    <t>CCL</t>
  </si>
  <si>
    <t>Carvana Co.</t>
  </si>
  <si>
    <t>CVNA</t>
  </si>
  <si>
    <t>Caterpillar Inc.</t>
  </si>
  <si>
    <t>CAT</t>
  </si>
  <si>
    <t>Machinery and Equipment: Construction and Heavy Transportation</t>
  </si>
  <si>
    <t>Cboe Global Markets Inc.</t>
  </si>
  <si>
    <t>CBOE</t>
  </si>
  <si>
    <t>Financial Exchanges</t>
  </si>
  <si>
    <t>CBRE Group Inc.</t>
  </si>
  <si>
    <t>CBRE</t>
  </si>
  <si>
    <t>Real Estate Services</t>
  </si>
  <si>
    <t>CDW Corp.</t>
  </si>
  <si>
    <t>CDW</t>
  </si>
  <si>
    <t>Technology Distributors</t>
  </si>
  <si>
    <t>Cencora Inc.</t>
  </si>
  <si>
    <t>COR</t>
  </si>
  <si>
    <t>Centene Corp.</t>
  </si>
  <si>
    <t>CNC</t>
  </si>
  <si>
    <t>Managed Care</t>
  </si>
  <si>
    <t>CenterPoint Energy Inc.</t>
  </si>
  <si>
    <t>CNP</t>
  </si>
  <si>
    <t>CF Industries Holdings Inc.</t>
  </si>
  <si>
    <t>CF</t>
  </si>
  <si>
    <t>Fertilizers and Agricultural Chemicals</t>
  </si>
  <si>
    <t>Charles River Laboratories Int</t>
  </si>
  <si>
    <t>CRL</t>
  </si>
  <si>
    <t>Charter Communications Inc.</t>
  </si>
  <si>
    <t>CHTR</t>
  </si>
  <si>
    <t>Cable and Satellite</t>
  </si>
  <si>
    <t>Chevron Corp.</t>
  </si>
  <si>
    <t>CVX</t>
  </si>
  <si>
    <t>Integrated Oil and Gas</t>
  </si>
  <si>
    <t>Chipotle Mexican Grill Inc.</t>
  </si>
  <si>
    <t>CMG</t>
  </si>
  <si>
    <t>Restaurants</t>
  </si>
  <si>
    <t>Chubb Ltd.</t>
  </si>
  <si>
    <t>CB</t>
  </si>
  <si>
    <t>Church &amp; Dwight Co.</t>
  </si>
  <si>
    <t>CHD</t>
  </si>
  <si>
    <t>Household Products Producers</t>
  </si>
  <si>
    <t>Ciena Corp.</t>
  </si>
  <si>
    <t>CIEN</t>
  </si>
  <si>
    <t>Cincinnati Financial Corp.</t>
  </si>
  <si>
    <t>CINF</t>
  </si>
  <si>
    <t>Cintas Corp.</t>
  </si>
  <si>
    <t>CTAS</t>
  </si>
  <si>
    <t>Diversified Support Services</t>
  </si>
  <si>
    <t>Cisco Systems Inc.</t>
  </si>
  <si>
    <t>CSCO</t>
  </si>
  <si>
    <t>Citigroup Inc.</t>
  </si>
  <si>
    <t>C</t>
  </si>
  <si>
    <t>Citizens Financial Group Inc.</t>
  </si>
  <si>
    <t>CFG</t>
  </si>
  <si>
    <t>CME Group Inc.</t>
  </si>
  <si>
    <t>CME</t>
  </si>
  <si>
    <t>CMS Energy Corp.</t>
  </si>
  <si>
    <t>CMS</t>
  </si>
  <si>
    <t>Cognizant Technology Solutions</t>
  </si>
  <si>
    <t>CTSH</t>
  </si>
  <si>
    <t>Coherent Corp.</t>
  </si>
  <si>
    <t>COHR</t>
  </si>
  <si>
    <t>Colgate-Palmolive Co.</t>
  </si>
  <si>
    <t>CL</t>
  </si>
  <si>
    <t>Comcast Corp.</t>
  </si>
  <si>
    <t>CMCSA</t>
  </si>
  <si>
    <t>Comfort Systems USA Inc.</t>
  </si>
  <si>
    <t>FIX</t>
  </si>
  <si>
    <t>Construction and Engineering</t>
  </si>
  <si>
    <t>Conagra Brands Inc.</t>
  </si>
  <si>
    <t>CAG</t>
  </si>
  <si>
    <t>Packaged Foods and Meats Producers</t>
  </si>
  <si>
    <t>ConocoPhillips</t>
  </si>
  <si>
    <t>COP</t>
  </si>
  <si>
    <t>Consolidated Edison Inc.</t>
  </si>
  <si>
    <t>ED</t>
  </si>
  <si>
    <t>Constellation Brands Inc.</t>
  </si>
  <si>
    <t>STZ</t>
  </si>
  <si>
    <t>Copart Inc.</t>
  </si>
  <si>
    <t>CPRT</t>
  </si>
  <si>
    <t>Corning Inc.</t>
  </si>
  <si>
    <t>GLW</t>
  </si>
  <si>
    <t>Corpay Inc.</t>
  </si>
  <si>
    <t>CPAY</t>
  </si>
  <si>
    <t>Corteva Inc.</t>
  </si>
  <si>
    <t>CTVA</t>
  </si>
  <si>
    <t>CoStar Group Inc.</t>
  </si>
  <si>
    <t>CSGP</t>
  </si>
  <si>
    <t>Costco Wholesale Corp.</t>
  </si>
  <si>
    <t>COST</t>
  </si>
  <si>
    <t>Consumer Staples Merchandise Retail</t>
  </si>
  <si>
    <t>Coterra Energy Inc.</t>
  </si>
  <si>
    <t>CTRA</t>
  </si>
  <si>
    <t>CRH plc</t>
  </si>
  <si>
    <t>CRH</t>
  </si>
  <si>
    <t>Construction Materials</t>
  </si>
  <si>
    <t>CrowdStrike Holdings Inc.</t>
  </si>
  <si>
    <t>CRWD</t>
  </si>
  <si>
    <t>Systems Software</t>
  </si>
  <si>
    <t>Crown Castle Inc.</t>
  </si>
  <si>
    <t>CCI</t>
  </si>
  <si>
    <t>CSX Corp.</t>
  </si>
  <si>
    <t>CSX</t>
  </si>
  <si>
    <t>Rail Transportation</t>
  </si>
  <si>
    <t>Cummins Inc.</t>
  </si>
  <si>
    <t>CMI</t>
  </si>
  <si>
    <t>CVS Health Corp.</t>
  </si>
  <si>
    <t>CVS</t>
  </si>
  <si>
    <t>Health Care Services</t>
  </si>
  <si>
    <t>D.R. Horton, Inc.</t>
  </si>
  <si>
    <t>DHI</t>
  </si>
  <si>
    <t>Homebuilding Producers</t>
  </si>
  <si>
    <t>Danaher Corp.</t>
  </si>
  <si>
    <t>DHR</t>
  </si>
  <si>
    <t>Darden Restaurants Inc.</t>
  </si>
  <si>
    <t>DRI</t>
  </si>
  <si>
    <t>Datadog Inc.</t>
  </si>
  <si>
    <t>DDOG</t>
  </si>
  <si>
    <t>DaVita Inc.</t>
  </si>
  <si>
    <t>DVA</t>
  </si>
  <si>
    <t>Deckers Outdoor Corp.</t>
  </si>
  <si>
    <t>DECK</t>
  </si>
  <si>
    <t>Footwear Producers</t>
  </si>
  <si>
    <t>Deere &amp; Co.</t>
  </si>
  <si>
    <t>DE</t>
  </si>
  <si>
    <t>Machinery: Agricultural and Farm</t>
  </si>
  <si>
    <t>Dell Technologies Inc.</t>
  </si>
  <si>
    <t>DELL</t>
  </si>
  <si>
    <t>Delta Air Lines Inc.</t>
  </si>
  <si>
    <t>DAL</t>
  </si>
  <si>
    <t>Passenger Airlines</t>
  </si>
  <si>
    <t>Devon Energy Corp.</t>
  </si>
  <si>
    <t>DVN</t>
  </si>
  <si>
    <t>DexCom Inc.</t>
  </si>
  <si>
    <t>DXCM</t>
  </si>
  <si>
    <t>Diamondback Energy Inc.</t>
  </si>
  <si>
    <t>FANG</t>
  </si>
  <si>
    <t>Digital Realty Trust Inc.</t>
  </si>
  <si>
    <t>DLR</t>
  </si>
  <si>
    <t>Data Center REIT</t>
  </si>
  <si>
    <t>Dollar General Corp.</t>
  </si>
  <si>
    <t>DG</t>
  </si>
  <si>
    <t>Dollar Tree Inc.</t>
  </si>
  <si>
    <t>DLTR</t>
  </si>
  <si>
    <t>Dominion Energy</t>
  </si>
  <si>
    <t>D</t>
  </si>
  <si>
    <t>Domino's Pizza Inc.</t>
  </si>
  <si>
    <t>DPZ</t>
  </si>
  <si>
    <t>Dover Corp.</t>
  </si>
  <si>
    <t>DOV</t>
  </si>
  <si>
    <t>Machinery and Supplies and Components: Industrial</t>
  </si>
  <si>
    <t>Dow Inc.</t>
  </si>
  <si>
    <t>DOW</t>
  </si>
  <si>
    <t>Commodity Chemicals</t>
  </si>
  <si>
    <t>DTE Energy Co.</t>
  </si>
  <si>
    <t>DTE</t>
  </si>
  <si>
    <t>Duke Energy Corp</t>
  </si>
  <si>
    <t>DUK</t>
  </si>
  <si>
    <t>DuPont de Nemours Inc.</t>
  </si>
  <si>
    <t>DD</t>
  </si>
  <si>
    <t>Eaton Corp. plc</t>
  </si>
  <si>
    <t>ETN</t>
  </si>
  <si>
    <t>30547,02</t>
  </si>
  <si>
    <t>30530,94</t>
  </si>
  <si>
    <t>eBay Inc.</t>
  </si>
  <si>
    <t>EBAY</t>
  </si>
  <si>
    <t>EchoStar Corp.</t>
  </si>
  <si>
    <t>SATS</t>
  </si>
  <si>
    <t>Ecolab Inc.</t>
  </si>
  <si>
    <t>ECL</t>
  </si>
  <si>
    <t>Edison International</t>
  </si>
  <si>
    <t>EIX</t>
  </si>
  <si>
    <t>Edwards Lifesciences Corp.</t>
  </si>
  <si>
    <t>EW</t>
  </si>
  <si>
    <t>Electronic Arts Inc.</t>
  </si>
  <si>
    <t>EA</t>
  </si>
  <si>
    <t>Interactive Home Entertainment</t>
  </si>
  <si>
    <t>Elevance Health Inc.</t>
  </si>
  <si>
    <t>ELV</t>
  </si>
  <si>
    <t>Eli Lilly &amp; Co.</t>
  </si>
  <si>
    <t>LLY</t>
  </si>
  <si>
    <t>EMCOR Group</t>
  </si>
  <si>
    <t>EME</t>
  </si>
  <si>
    <t>Emerson Electric Co.</t>
  </si>
  <si>
    <t>EMR</t>
  </si>
  <si>
    <t>Entergy Corp.</t>
  </si>
  <si>
    <t>ETR</t>
  </si>
  <si>
    <t>EOG Resources Inc.</t>
  </si>
  <si>
    <t>EOG</t>
  </si>
  <si>
    <t>EPAM Systems Inc.</t>
  </si>
  <si>
    <t>EPAM</t>
  </si>
  <si>
    <t>EQT Corp.</t>
  </si>
  <si>
    <t>EQT</t>
  </si>
  <si>
    <t>Equifax Inc.</t>
  </si>
  <si>
    <t>EFX</t>
  </si>
  <si>
    <t>Research and Consulting Services</t>
  </si>
  <si>
    <t>Equinix Inc.</t>
  </si>
  <si>
    <t>EQIX</t>
  </si>
  <si>
    <t>Equity Residential</t>
  </si>
  <si>
    <t>EQR</t>
  </si>
  <si>
    <t>Erie Indemnity Co.</t>
  </si>
  <si>
    <t>ERIE</t>
  </si>
  <si>
    <t>Essex Property Trust Inc.</t>
  </si>
  <si>
    <t>ESS</t>
  </si>
  <si>
    <t>Everest Group</t>
  </si>
  <si>
    <t>EG</t>
  </si>
  <si>
    <t>Reinsurance</t>
  </si>
  <si>
    <t>Evergy, Inc.</t>
  </si>
  <si>
    <t>EVRG</t>
  </si>
  <si>
    <t>Eversource Energy</t>
  </si>
  <si>
    <t>ES</t>
  </si>
  <si>
    <t>Exelon Corp.</t>
  </si>
  <si>
    <t>EXC</t>
  </si>
  <si>
    <t>Expedia Group, Inc.</t>
  </si>
  <si>
    <t>EXPE</t>
  </si>
  <si>
    <t>Expeditors Intl WA Inc</t>
  </si>
  <si>
    <t>EXPD</t>
  </si>
  <si>
    <t>Extra Space Storage Inc.</t>
  </si>
  <si>
    <t>EXR</t>
  </si>
  <si>
    <t>Self-Storage REIT</t>
  </si>
  <si>
    <t>Exxon Mobil Corp.</t>
  </si>
  <si>
    <t>XOM</t>
  </si>
  <si>
    <t>F5 Inc.</t>
  </si>
  <si>
    <t>FFIV</t>
  </si>
  <si>
    <t>FactSet Research Systems Inc.</t>
  </si>
  <si>
    <t>FDS</t>
  </si>
  <si>
    <t>Financial Media and Data Solutions</t>
  </si>
  <si>
    <t>Fair Isaac Corp.</t>
  </si>
  <si>
    <t>FICO</t>
  </si>
  <si>
    <t>Fastenal Co.</t>
  </si>
  <si>
    <t>FAST</t>
  </si>
  <si>
    <t>Trading Companies and Distributors</t>
  </si>
  <si>
    <t>Federal Realty Investment</t>
  </si>
  <si>
    <t>FRT</t>
  </si>
  <si>
    <t>Retail REIT</t>
  </si>
  <si>
    <t>FedEx Corp.</t>
  </si>
  <si>
    <t>FDX</t>
  </si>
  <si>
    <t>Fidelity National Information</t>
  </si>
  <si>
    <t>FIS</t>
  </si>
  <si>
    <t>Fifth Third Bancorp</t>
  </si>
  <si>
    <t>FITB</t>
  </si>
  <si>
    <t>First Solar Inc.</t>
  </si>
  <si>
    <t>FSLR</t>
  </si>
  <si>
    <t>FirstEnergy Corp.</t>
  </si>
  <si>
    <t>FE</t>
  </si>
  <si>
    <t>Fiserv Inc.</t>
  </si>
  <si>
    <t>FISV</t>
  </si>
  <si>
    <t>Banking Technology</t>
  </si>
  <si>
    <t>Ford Motor Co.</t>
  </si>
  <si>
    <t>F</t>
  </si>
  <si>
    <t>Automobile Manufacturers</t>
  </si>
  <si>
    <t>Fortinet Inc.</t>
  </si>
  <si>
    <t>FTNT</t>
  </si>
  <si>
    <t>Fortive Corp.</t>
  </si>
  <si>
    <t>FTV</t>
  </si>
  <si>
    <t>Fox Corp.</t>
  </si>
  <si>
    <t>FOXA</t>
  </si>
  <si>
    <t>Broadcasting</t>
  </si>
  <si>
    <t>Franklin Resources Inc.</t>
  </si>
  <si>
    <t>BEN</t>
  </si>
  <si>
    <t>Freeport-McMoRan Inc.</t>
  </si>
  <si>
    <t>FCX</t>
  </si>
  <si>
    <t>Copper</t>
  </si>
  <si>
    <t>Garmin Ltd.</t>
  </si>
  <si>
    <t>GRMN</t>
  </si>
  <si>
    <t>Consumer Electronics Producers</t>
  </si>
  <si>
    <t>Gartner Inc.</t>
  </si>
  <si>
    <t>IT</t>
  </si>
  <si>
    <t>Gen Digital Inc.</t>
  </si>
  <si>
    <t>GEN</t>
  </si>
  <si>
    <t>Generac Holdings Inc.</t>
  </si>
  <si>
    <t>GNRC</t>
  </si>
  <si>
    <t>General Dynamics Corp.</t>
  </si>
  <si>
    <t>GD</t>
  </si>
  <si>
    <t>General Electric Co.</t>
  </si>
  <si>
    <t>GE</t>
  </si>
  <si>
    <t>General Mills Inc.</t>
  </si>
  <si>
    <t>GIS</t>
  </si>
  <si>
    <t>General Motors Co.</t>
  </si>
  <si>
    <t>GM</t>
  </si>
  <si>
    <t>Genuine Parts Co.</t>
  </si>
  <si>
    <t>GPC</t>
  </si>
  <si>
    <t>Other Distributors</t>
  </si>
  <si>
    <t>Gilead Sciences Inc.</t>
  </si>
  <si>
    <t>GILD</t>
  </si>
  <si>
    <t>Global Payments Inc.</t>
  </si>
  <si>
    <t>GPN</t>
  </si>
  <si>
    <t>Globe Life Inc.</t>
  </si>
  <si>
    <t>GL</t>
  </si>
  <si>
    <t>GoDaddy Inc.</t>
  </si>
  <si>
    <t>GDDY</t>
  </si>
  <si>
    <t>Halliburton Co.</t>
  </si>
  <si>
    <t>HAL</t>
  </si>
  <si>
    <t>Hasbro Inc.</t>
  </si>
  <si>
    <t>HAS</t>
  </si>
  <si>
    <t>Leisure Products Producers</t>
  </si>
  <si>
    <t>HCA Healthcare Inc.</t>
  </si>
  <si>
    <t>HCA</t>
  </si>
  <si>
    <t>Health Care Facilities</t>
  </si>
  <si>
    <t>Healthpeak Properties</t>
  </si>
  <si>
    <t>DOC</t>
  </si>
  <si>
    <t>Henry Schein Inc.</t>
  </si>
  <si>
    <t>HSIC</t>
  </si>
  <si>
    <t>Hewlett Packard Entpr Co.</t>
  </si>
  <si>
    <t>HPE</t>
  </si>
  <si>
    <t>Hilton Worldwide Holdings Inc</t>
  </si>
  <si>
    <t>HLT</t>
  </si>
  <si>
    <t>Honeywell International Inc.</t>
  </si>
  <si>
    <t>HON</t>
  </si>
  <si>
    <t>Hormel Foods Corp.</t>
  </si>
  <si>
    <t>HRL</t>
  </si>
  <si>
    <t>Host Hotels &amp; Resorts</t>
  </si>
  <si>
    <t>HST</t>
  </si>
  <si>
    <t>Hotel and Resort REIT</t>
  </si>
  <si>
    <t>Howmet Aerospace Inc.</t>
  </si>
  <si>
    <t>HWM</t>
  </si>
  <si>
    <t>HP Inc.</t>
  </si>
  <si>
    <t>HPQ</t>
  </si>
  <si>
    <t>Hubbell Inc.</t>
  </si>
  <si>
    <t>HUBB</t>
  </si>
  <si>
    <t>Humana Inc.</t>
  </si>
  <si>
    <t>HUM</t>
  </si>
  <si>
    <t>Huntington Bancshares Inc.</t>
  </si>
  <si>
    <t>HBAN</t>
  </si>
  <si>
    <t>Huntington Ingalls Indstrs Inc</t>
  </si>
  <si>
    <t>HII</t>
  </si>
  <si>
    <t>IDEX Corp.</t>
  </si>
  <si>
    <t>IEX</t>
  </si>
  <si>
    <t>IDEXX Laboratories Inc.</t>
  </si>
  <si>
    <t>IDXX</t>
  </si>
  <si>
    <t>Illinois Tool Works Inc.</t>
  </si>
  <si>
    <t>ITW</t>
  </si>
  <si>
    <t>Incyte Corp.</t>
  </si>
  <si>
    <t>INCY</t>
  </si>
  <si>
    <t>Ingersoll Rand Inc.</t>
  </si>
  <si>
    <t>IR</t>
  </si>
  <si>
    <t>Insulet Corp.</t>
  </si>
  <si>
    <t>PODD</t>
  </si>
  <si>
    <t>Intel Corp.</t>
  </si>
  <si>
    <t>INTC</t>
  </si>
  <si>
    <t>Interactive Brokers Group Inc.</t>
  </si>
  <si>
    <t>IBKR</t>
  </si>
  <si>
    <t>Investment Banks, Brokers and Capital Markets</t>
  </si>
  <si>
    <t>Intercontinental Exchange Inc.</t>
  </si>
  <si>
    <t>ICE</t>
  </si>
  <si>
    <t>Intl Bus Machines Corp</t>
  </si>
  <si>
    <t>IBM</t>
  </si>
  <si>
    <t>Intl Flavors &amp; Fragrances Inc</t>
  </si>
  <si>
    <t>IFF</t>
  </si>
  <si>
    <t>International Paper Company</t>
  </si>
  <si>
    <t>IP</t>
  </si>
  <si>
    <t>Intuit Inc.</t>
  </si>
  <si>
    <t>INTU</t>
  </si>
  <si>
    <t>Intuitive Surgical Inc.</t>
  </si>
  <si>
    <t>ISRG</t>
  </si>
  <si>
    <t>Invesco Ltd.</t>
  </si>
  <si>
    <t>IVZ</t>
  </si>
  <si>
    <t>Invitation Homes Inc.</t>
  </si>
  <si>
    <t>INVH</t>
  </si>
  <si>
    <t>Single-Family Residential REIT</t>
  </si>
  <si>
    <t>IQVIA Holdings Inc.</t>
  </si>
  <si>
    <t>IQV</t>
  </si>
  <si>
    <t>Iron Mountain Inc.</t>
  </si>
  <si>
    <t>IRM</t>
  </si>
  <si>
    <t>Other Specialized REIT</t>
  </si>
  <si>
    <t>J.B. Hunt Transport Svcs Inc</t>
  </si>
  <si>
    <t>JBHT</t>
  </si>
  <si>
    <t>Cargo Ground Transportation</t>
  </si>
  <si>
    <t>Jabil Inc.</t>
  </si>
  <si>
    <t>JBL</t>
  </si>
  <si>
    <t>Electronic Manufacturing Services</t>
  </si>
  <si>
    <t>Jack Henry &amp; Assoc. Inc.</t>
  </si>
  <si>
    <t>JKHY</t>
  </si>
  <si>
    <t>Jacobs Solutions Inc.</t>
  </si>
  <si>
    <t>J</t>
  </si>
  <si>
    <t>Johnson &amp; Johnson</t>
  </si>
  <si>
    <t>JNJ</t>
  </si>
  <si>
    <t>Johnson Controls Intl plc</t>
  </si>
  <si>
    <t>JCI</t>
  </si>
  <si>
    <t>JPMorgan Chase &amp; Co.</t>
  </si>
  <si>
    <t>JPM</t>
  </si>
  <si>
    <t>Keurig Dr Pepper Inc.</t>
  </si>
  <si>
    <t>KDP</t>
  </si>
  <si>
    <t>Soft Drinks and Non-alcoholic Beverages</t>
  </si>
  <si>
    <t>KeyCorp</t>
  </si>
  <si>
    <t>KEY</t>
  </si>
  <si>
    <t>Keysight Technologies Inc.</t>
  </si>
  <si>
    <t>KEYS</t>
  </si>
  <si>
    <t>Electronic Equipment and Instruments</t>
  </si>
  <si>
    <t>Kimberly-Clark Corp.</t>
  </si>
  <si>
    <t>KMB</t>
  </si>
  <si>
    <t>Kimco Realty Corp.</t>
  </si>
  <si>
    <t>KIM</t>
  </si>
  <si>
    <t>Kinder Morgan Inc.</t>
  </si>
  <si>
    <t>KMI</t>
  </si>
  <si>
    <t>Oil and Gas Storage and Transportation</t>
  </si>
  <si>
    <t>KKR &amp; Co.</t>
  </si>
  <si>
    <t>KKR</t>
  </si>
  <si>
    <t>KLA Corp.</t>
  </si>
  <si>
    <t>KLAC</t>
  </si>
  <si>
    <t>L3Harris Technologies Inc.</t>
  </si>
  <si>
    <t>LHX</t>
  </si>
  <si>
    <t>Labcorp Holdings Inc.</t>
  </si>
  <si>
    <t>LH</t>
  </si>
  <si>
    <t>Lam Research Corp.</t>
  </si>
  <si>
    <t>LRCX</t>
  </si>
  <si>
    <t>Las Vegas Sands Corp.</t>
  </si>
  <si>
    <t>LVS</t>
  </si>
  <si>
    <t>Casinos and Gaming</t>
  </si>
  <si>
    <t>Leidos Holdings Inc.</t>
  </si>
  <si>
    <t>LDOS</t>
  </si>
  <si>
    <t>Lennar Corp.</t>
  </si>
  <si>
    <t>LEN</t>
  </si>
  <si>
    <t>Lennox International Inc.</t>
  </si>
  <si>
    <t>LII</t>
  </si>
  <si>
    <t>Linde plc</t>
  </si>
  <si>
    <t>LIN</t>
  </si>
  <si>
    <t>Live Nation Entertainment Inc.</t>
  </si>
  <si>
    <t>LYV</t>
  </si>
  <si>
    <t>Movies and Entertainment</t>
  </si>
  <si>
    <t>Lockheed Martin Corp.</t>
  </si>
  <si>
    <t>LMT</t>
  </si>
  <si>
    <t>Loews Corp.</t>
  </si>
  <si>
    <t>L</t>
  </si>
  <si>
    <t>Lowe's Companies Inc.</t>
  </si>
  <si>
    <t>LOW</t>
  </si>
  <si>
    <t>Home Improvement Retail</t>
  </si>
  <si>
    <t>lululemon athletica inc.</t>
  </si>
  <si>
    <t>LULU</t>
  </si>
  <si>
    <t>Apparel, Accessories and Luxury Goods</t>
  </si>
  <si>
    <t>Lumentum Holdings Inc.</t>
  </si>
  <si>
    <t>LITE</t>
  </si>
  <si>
    <t>LyondellBasell Industries N.V.</t>
  </si>
  <si>
    <t>LYB</t>
  </si>
  <si>
    <t>M&amp;T Bank Corp.</t>
  </si>
  <si>
    <t>MTB</t>
  </si>
  <si>
    <t>Marathon Petroleum Corp.</t>
  </si>
  <si>
    <t>MPC</t>
  </si>
  <si>
    <t>Oil and Gas Refining and Marketing</t>
  </si>
  <si>
    <t>Marriott International Inc.</t>
  </si>
  <si>
    <t>MAR</t>
  </si>
  <si>
    <t>Marsh &amp; McLennan Cos Inc</t>
  </si>
  <si>
    <t>MRSH</t>
  </si>
  <si>
    <t>Martin Marietta Materials Inc.</t>
  </si>
  <si>
    <t>MLM</t>
  </si>
  <si>
    <t>Masco Corp.</t>
  </si>
  <si>
    <t>MAS</t>
  </si>
  <si>
    <t>Mastercard Inc.</t>
  </si>
  <si>
    <t>MA</t>
  </si>
  <si>
    <t>McCormick &amp; Co.</t>
  </si>
  <si>
    <t>MKC</t>
  </si>
  <si>
    <t>McDonald's Corp.</t>
  </si>
  <si>
    <t>MCD</t>
  </si>
  <si>
    <t>McKesson Corp.</t>
  </si>
  <si>
    <t>MCK</t>
  </si>
  <si>
    <t>Medtronic plc</t>
  </si>
  <si>
    <t>MDT</t>
  </si>
  <si>
    <t>Merck &amp; Co.</t>
  </si>
  <si>
    <t>MRK</t>
  </si>
  <si>
    <t>Meta Platforms Inc.</t>
  </si>
  <si>
    <t>META</t>
  </si>
  <si>
    <t>MetLife Inc.</t>
  </si>
  <si>
    <t>MET</t>
  </si>
  <si>
    <t>Mettler-Toledo Intl Inc.</t>
  </si>
  <si>
    <t>MTD</t>
  </si>
  <si>
    <t>MGM Resorts International</t>
  </si>
  <si>
    <t>MGM</t>
  </si>
  <si>
    <t>Microchip Technology Inc.</t>
  </si>
  <si>
    <t>MCHP</t>
  </si>
  <si>
    <t>Micron Technology Inc.</t>
  </si>
  <si>
    <t>MU</t>
  </si>
  <si>
    <t>Microsoft Corp.</t>
  </si>
  <si>
    <t>MSFT</t>
  </si>
  <si>
    <t>MAA</t>
  </si>
  <si>
    <t>Moderna Inc.</t>
  </si>
  <si>
    <t>MRNA</t>
  </si>
  <si>
    <t>Molson Coors Beverage Co.</t>
  </si>
  <si>
    <t>TAP</t>
  </si>
  <si>
    <t>Brewer: Beer and Malt Liquor</t>
  </si>
  <si>
    <t>Mondelez International</t>
  </si>
  <si>
    <t>MDLZ</t>
  </si>
  <si>
    <t>Monolithic Power Systems Inc.</t>
  </si>
  <si>
    <t>MPWR</t>
  </si>
  <si>
    <t>Monster Beverage Corp.</t>
  </si>
  <si>
    <t>MNST</t>
  </si>
  <si>
    <t>Moody's Corp.</t>
  </si>
  <si>
    <t>MCO</t>
  </si>
  <si>
    <t>Morgan Stanley</t>
  </si>
  <si>
    <t>MS</t>
  </si>
  <si>
    <t>Motorola Solutions Inc.</t>
  </si>
  <si>
    <t>MSI</t>
  </si>
  <si>
    <t>MSCI Inc.</t>
  </si>
  <si>
    <t>MSCI</t>
  </si>
  <si>
    <t>Nasdaq Inc.</t>
  </si>
  <si>
    <t>NDAQ</t>
  </si>
  <si>
    <t>NetApp Inc.</t>
  </si>
  <si>
    <t>NTAP</t>
  </si>
  <si>
    <t>Netflix Inc.</t>
  </si>
  <si>
    <t>NFLX</t>
  </si>
  <si>
    <t>Newmont Corp.</t>
  </si>
  <si>
    <t>NEM</t>
  </si>
  <si>
    <t>Gold</t>
  </si>
  <si>
    <t>News Corp.</t>
  </si>
  <si>
    <t>NWSA</t>
  </si>
  <si>
    <t>Publishing</t>
  </si>
  <si>
    <t>NextEra Energy Inc.</t>
  </si>
  <si>
    <t>NEE</t>
  </si>
  <si>
    <t>NIKE Inc.</t>
  </si>
  <si>
    <t>NKE</t>
  </si>
  <si>
    <t>NiSource Inc.</t>
  </si>
  <si>
    <t>NI</t>
  </si>
  <si>
    <t>Nordson Corp.</t>
  </si>
  <si>
    <t>NDSN</t>
  </si>
  <si>
    <t>Norfolk Southern Corporation</t>
  </si>
  <si>
    <t>NSC</t>
  </si>
  <si>
    <t>Northern Trust Corp.</t>
  </si>
  <si>
    <t>NTRS</t>
  </si>
  <si>
    <t>Northrop Grumman Corp.</t>
  </si>
  <si>
    <t>NOC</t>
  </si>
  <si>
    <t>Norwegian Cruise Line Hldgs Lt</t>
  </si>
  <si>
    <t>NCLH</t>
  </si>
  <si>
    <t>NRG Energy Inc.</t>
  </si>
  <si>
    <t>NRG</t>
  </si>
  <si>
    <t>Nucor Corp.</t>
  </si>
  <si>
    <t>NUE</t>
  </si>
  <si>
    <t>Steel</t>
  </si>
  <si>
    <t>NVIDIA Corp.</t>
  </si>
  <si>
    <t>NVDA</t>
  </si>
  <si>
    <t>546527,52</t>
  </si>
  <si>
    <t>724753,68</t>
  </si>
  <si>
    <t>NVR Inc.</t>
  </si>
  <si>
    <t>NVR</t>
  </si>
  <si>
    <t>NXP Semiconductors N.V.</t>
  </si>
  <si>
    <t>NXPI</t>
  </si>
  <si>
    <t>O'Reilly Automotive Inc.</t>
  </si>
  <si>
    <t>ORLY</t>
  </si>
  <si>
    <t>Occidental Petroleum Corp.</t>
  </si>
  <si>
    <t>OXY</t>
  </si>
  <si>
    <t>Old Dominion Freight Line Inc.</t>
  </si>
  <si>
    <t>ODFL</t>
  </si>
  <si>
    <t>Omnicom Group Inc.</t>
  </si>
  <si>
    <t>OMC</t>
  </si>
  <si>
    <t>Advertising</t>
  </si>
  <si>
    <t>ON Semiconductor Corp.</t>
  </si>
  <si>
    <t>ON</t>
  </si>
  <si>
    <t>ONEOK Inc.</t>
  </si>
  <si>
    <t>OKE</t>
  </si>
  <si>
    <t>Oracle Corporation</t>
  </si>
  <si>
    <t>ORCL</t>
  </si>
  <si>
    <t>PACCAR Inc</t>
  </si>
  <si>
    <t>PCAR</t>
  </si>
  <si>
    <t>Packaging Corp. America</t>
  </si>
  <si>
    <t>PKG</t>
  </si>
  <si>
    <t>Palo Alto Networks Inc.</t>
  </si>
  <si>
    <t>PANW</t>
  </si>
  <si>
    <t>Paramount Skydance Corp.</t>
  </si>
  <si>
    <t>PSKY</t>
  </si>
  <si>
    <t>Parker-Hannifin Corp.</t>
  </si>
  <si>
    <t>PH</t>
  </si>
  <si>
    <t>Paychex Inc.</t>
  </si>
  <si>
    <t>PAYX</t>
  </si>
  <si>
    <t>PayPal Holdings Inc.</t>
  </si>
  <si>
    <t>PYPL</t>
  </si>
  <si>
    <t>Pentair plc</t>
  </si>
  <si>
    <t>PNR</t>
  </si>
  <si>
    <t>PepsiCo Inc.</t>
  </si>
  <si>
    <t>PEP</t>
  </si>
  <si>
    <t>Pfizer Inc.</t>
  </si>
  <si>
    <t>PFE</t>
  </si>
  <si>
    <t>PG&amp;E Corp.</t>
  </si>
  <si>
    <t>PCG</t>
  </si>
  <si>
    <t>Philip Morris Intl Inc</t>
  </si>
  <si>
    <t>PM</t>
  </si>
  <si>
    <t>Phillips 66</t>
  </si>
  <si>
    <t>PSX</t>
  </si>
  <si>
    <t>Pinnacle West Capital Corp.</t>
  </si>
  <si>
    <t>PNW</t>
  </si>
  <si>
    <t>Pool Corp.</t>
  </si>
  <si>
    <t>POOL</t>
  </si>
  <si>
    <t>PPG Industries Inc.</t>
  </si>
  <si>
    <t>PPG</t>
  </si>
  <si>
    <t>PPL Corp.</t>
  </si>
  <si>
    <t>PPL</t>
  </si>
  <si>
    <t>Principal Financial Group Inc.</t>
  </si>
  <si>
    <t>PFG</t>
  </si>
  <si>
    <t>Prologis Inc.</t>
  </si>
  <si>
    <t>PLD</t>
  </si>
  <si>
    <t>Industrial REIT</t>
  </si>
  <si>
    <t>Prudential Financial Inc.</t>
  </si>
  <si>
    <t>PRU</t>
  </si>
  <si>
    <t>PTC Inc.</t>
  </si>
  <si>
    <t>PTC</t>
  </si>
  <si>
    <t>Public Svc Entpr Group Inc.</t>
  </si>
  <si>
    <t>PEG</t>
  </si>
  <si>
    <t>Public Storage</t>
  </si>
  <si>
    <t>PSA</t>
  </si>
  <si>
    <t>PulteGroup Inc.</t>
  </si>
  <si>
    <t>PHM</t>
  </si>
  <si>
    <t>QUALCOMM Inc.</t>
  </si>
  <si>
    <t>QCOM</t>
  </si>
  <si>
    <t>Quanta Services Inc.</t>
  </si>
  <si>
    <t>PWR</t>
  </si>
  <si>
    <t>Quest Diagnostics Inc.</t>
  </si>
  <si>
    <t>DGX</t>
  </si>
  <si>
    <t>Ralph Lauren Corp.</t>
  </si>
  <si>
    <t>RL</t>
  </si>
  <si>
    <t>Raymond James Financial Inc.</t>
  </si>
  <si>
    <t>RJF</t>
  </si>
  <si>
    <t>Realty Income Corp.</t>
  </si>
  <si>
    <t>O</t>
  </si>
  <si>
    <t>Regency Centers Corp.</t>
  </si>
  <si>
    <t>REG</t>
  </si>
  <si>
    <t>Regeneron Pharmaceuticals Inc.</t>
  </si>
  <si>
    <t>REGN</t>
  </si>
  <si>
    <t>Regions Financial Corp.</t>
  </si>
  <si>
    <t>RF</t>
  </si>
  <si>
    <t>Repub Services Inc.</t>
  </si>
  <si>
    <t>RSG</t>
  </si>
  <si>
    <t>Environmental and Facilities Services</t>
  </si>
  <si>
    <t>ResMed Inc.</t>
  </si>
  <si>
    <t>RMD</t>
  </si>
  <si>
    <t>Revvity Inc.</t>
  </si>
  <si>
    <t>RVTY</t>
  </si>
  <si>
    <t>Rockwell Automation Inc.</t>
  </si>
  <si>
    <t>ROK</t>
  </si>
  <si>
    <t>Rollins Inc.</t>
  </si>
  <si>
    <t>ROL</t>
  </si>
  <si>
    <t>Roper Technologies Inc.</t>
  </si>
  <si>
    <t>ROP</t>
  </si>
  <si>
    <t>Ross Stores Inc.</t>
  </si>
  <si>
    <t>ROST</t>
  </si>
  <si>
    <t>Apparel Retail</t>
  </si>
  <si>
    <t>Royal Caribbean Cruises Ltd.</t>
  </si>
  <si>
    <t>RCL</t>
  </si>
  <si>
    <t>RTX Corp.</t>
  </si>
  <si>
    <t>RTX</t>
  </si>
  <si>
    <t>S&amp;P Global Inc.</t>
  </si>
  <si>
    <t>SPGI</t>
  </si>
  <si>
    <t>Salesforce Inc.</t>
  </si>
  <si>
    <t>CRM</t>
  </si>
  <si>
    <t>SBA Communications Corp</t>
  </si>
  <si>
    <t>SBAC</t>
  </si>
  <si>
    <t>Seagate Technology Hldgs plc</t>
  </si>
  <si>
    <t>STX</t>
  </si>
  <si>
    <t>Sempra</t>
  </si>
  <si>
    <t>SRE</t>
  </si>
  <si>
    <t>ServiceNow Inc.</t>
  </si>
  <si>
    <t>NOW</t>
  </si>
  <si>
    <t>Simon Property Group</t>
  </si>
  <si>
    <t>SPG</t>
  </si>
  <si>
    <t>Skyworks Solutions Inc.</t>
  </si>
  <si>
    <t>SWKS</t>
  </si>
  <si>
    <t>SLB N.V.</t>
  </si>
  <si>
    <t>SLB</t>
  </si>
  <si>
    <t>Smurfit Westrock Plc</t>
  </si>
  <si>
    <t>SW</t>
  </si>
  <si>
    <t>Snap-on Inc.</t>
  </si>
  <si>
    <t>SNA</t>
  </si>
  <si>
    <t>Southwest Airlines Co.</t>
  </si>
  <si>
    <t>LUV</t>
  </si>
  <si>
    <t>Stanley Black &amp; Decker Inc.</t>
  </si>
  <si>
    <t>SWK</t>
  </si>
  <si>
    <t>Starbucks Corp.</t>
  </si>
  <si>
    <t>SBUX</t>
  </si>
  <si>
    <t>State Street Corp.</t>
  </si>
  <si>
    <t>STT</t>
  </si>
  <si>
    <t>Steel Dynamics Inc.</t>
  </si>
  <si>
    <t>STLD</t>
  </si>
  <si>
    <t>STERIS plc</t>
  </si>
  <si>
    <t>STE</t>
  </si>
  <si>
    <t>Stryker Corp.</t>
  </si>
  <si>
    <t>SYK</t>
  </si>
  <si>
    <t>Super Micro Computer Inc.</t>
  </si>
  <si>
    <t>SMCI</t>
  </si>
  <si>
    <t>Synchrony Financial</t>
  </si>
  <si>
    <t>SYF</t>
  </si>
  <si>
    <t>Synopsys Inc.</t>
  </si>
  <si>
    <t>SNPS</t>
  </si>
  <si>
    <t>Sysco Corp.</t>
  </si>
  <si>
    <t>SYY</t>
  </si>
  <si>
    <t>Food Distributors</t>
  </si>
  <si>
    <t>T-Mobile US Inc.</t>
  </si>
  <si>
    <t>TMUS</t>
  </si>
  <si>
    <t>Wireless Telecommunication Services</t>
  </si>
  <si>
    <t>T. Rowe Price Group Inc.</t>
  </si>
  <si>
    <t>TROW</t>
  </si>
  <si>
    <t>Take-Two Interactive Software</t>
  </si>
  <si>
    <t>TTWO</t>
  </si>
  <si>
    <t>Tapestry Inc.</t>
  </si>
  <si>
    <t>TPR</t>
  </si>
  <si>
    <t>Targa Resources Corp.</t>
  </si>
  <si>
    <t>TRGP</t>
  </si>
  <si>
    <t>Target Corp.</t>
  </si>
  <si>
    <t>TGT</t>
  </si>
  <si>
    <t>TE Connectivity plc</t>
  </si>
  <si>
    <t>TEL</t>
  </si>
  <si>
    <t>Teledyne Technologies Inc.</t>
  </si>
  <si>
    <t>TDY</t>
  </si>
  <si>
    <t>Teradyne Inc.</t>
  </si>
  <si>
    <t>TER</t>
  </si>
  <si>
    <t>Tesla Inc.</t>
  </si>
  <si>
    <t>TSLA</t>
  </si>
  <si>
    <t>Texas Instruments Inc.</t>
  </si>
  <si>
    <t>TXN</t>
  </si>
  <si>
    <t>Texas Pacific Land Corp.</t>
  </si>
  <si>
    <t>TPL</t>
  </si>
  <si>
    <t>Textron Inc.</t>
  </si>
  <si>
    <t>TXT</t>
  </si>
  <si>
    <t>The AES Corp.</t>
  </si>
  <si>
    <t>AES</t>
  </si>
  <si>
    <t>Independent Power Producers and Energy Traders</t>
  </si>
  <si>
    <t>The Allstate Corp.</t>
  </si>
  <si>
    <t>ALL</t>
  </si>
  <si>
    <t>The Bank New York Mellon</t>
  </si>
  <si>
    <t>BK</t>
  </si>
  <si>
    <t>The Boeing Co.</t>
  </si>
  <si>
    <t>BA</t>
  </si>
  <si>
    <t>The Campbell's Co.</t>
  </si>
  <si>
    <t>CPB</t>
  </si>
  <si>
    <t>The Charles Schwab Corp.</t>
  </si>
  <si>
    <t>SCHW</t>
  </si>
  <si>
    <t>The Cigna Group</t>
  </si>
  <si>
    <t>CI</t>
  </si>
  <si>
    <t>The Clorox Co.</t>
  </si>
  <si>
    <t>CLX</t>
  </si>
  <si>
    <t>The Coca-Cola Co.</t>
  </si>
  <si>
    <t>KO</t>
  </si>
  <si>
    <t>The Cooper Companies Inc.</t>
  </si>
  <si>
    <t>COO</t>
  </si>
  <si>
    <t>The Estée Lauder Cos Inc</t>
  </si>
  <si>
    <t>EL</t>
  </si>
  <si>
    <t>Personal Care and Beauty Products: Producers</t>
  </si>
  <si>
    <t>The Goldman Sachs Group</t>
  </si>
  <si>
    <t>GS</t>
  </si>
  <si>
    <t>The Hartford Insurance Group</t>
  </si>
  <si>
    <t>HIG</t>
  </si>
  <si>
    <t>The Hershey Co.</t>
  </si>
  <si>
    <t>HSY</t>
  </si>
  <si>
    <t>The Home Depot Inc.</t>
  </si>
  <si>
    <t>HD</t>
  </si>
  <si>
    <t>The J. M. Smucker Co.</t>
  </si>
  <si>
    <t>SJM</t>
  </si>
  <si>
    <t>The Kraft Heinz Co.</t>
  </si>
  <si>
    <t>KHC</t>
  </si>
  <si>
    <t>The Kroger Co.</t>
  </si>
  <si>
    <t>KR</t>
  </si>
  <si>
    <t>Food Retail</t>
  </si>
  <si>
    <t>The Mosaic Co.</t>
  </si>
  <si>
    <t>MOS</t>
  </si>
  <si>
    <t>The PNC Finl Svcs Grp</t>
  </si>
  <si>
    <t>PNC</t>
  </si>
  <si>
    <t>The Procter &amp; Gamble Co.</t>
  </si>
  <si>
    <t>PG</t>
  </si>
  <si>
    <t>The Progressive Corp.</t>
  </si>
  <si>
    <t>PGR</t>
  </si>
  <si>
    <t>The Sherwin-Williams Co.</t>
  </si>
  <si>
    <t>SHW</t>
  </si>
  <si>
    <t>The Southern Co.</t>
  </si>
  <si>
    <t>SO</t>
  </si>
  <si>
    <t>The TJX Companies Inc.</t>
  </si>
  <si>
    <t>TJX</t>
  </si>
  <si>
    <t>The Trade Desk Inc.</t>
  </si>
  <si>
    <t>TTD</t>
  </si>
  <si>
    <t>The Travelers Companies Inc.</t>
  </si>
  <si>
    <t>TRV</t>
  </si>
  <si>
    <t>The Walt Disney Co.</t>
  </si>
  <si>
    <t>DIS</t>
  </si>
  <si>
    <t>The Williams Companies Inc.</t>
  </si>
  <si>
    <t>WMB</t>
  </si>
  <si>
    <t>Thermo Fisher Scientific Inc.</t>
  </si>
  <si>
    <t>TMO</t>
  </si>
  <si>
    <t>Tractor Supply Co.</t>
  </si>
  <si>
    <t>TSCO</t>
  </si>
  <si>
    <t>Other Specialty Retail</t>
  </si>
  <si>
    <t>Trane Technologies plc</t>
  </si>
  <si>
    <t>TT</t>
  </si>
  <si>
    <t>TransDigm Group Inc</t>
  </si>
  <si>
    <t>TDG</t>
  </si>
  <si>
    <t>Trimble Inc.</t>
  </si>
  <si>
    <t>TRMB</t>
  </si>
  <si>
    <t>Truist Financial Corp.</t>
  </si>
  <si>
    <t>TFC</t>
  </si>
  <si>
    <t>Tyler Technologies Inc.</t>
  </si>
  <si>
    <t>TYL</t>
  </si>
  <si>
    <t>Tyson Foods Inc.</t>
  </si>
  <si>
    <t>TSN</t>
  </si>
  <si>
    <t>U.S. Bancorp</t>
  </si>
  <si>
    <t>USB</t>
  </si>
  <si>
    <t>Uber Technologies Inc.</t>
  </si>
  <si>
    <t>UBER</t>
  </si>
  <si>
    <t>UDR Inc.</t>
  </si>
  <si>
    <t>UDR</t>
  </si>
  <si>
    <t>Ulta Beauty Inc.</t>
  </si>
  <si>
    <t>ULTA</t>
  </si>
  <si>
    <t>Union Pacific Corp.</t>
  </si>
  <si>
    <t>UNP</t>
  </si>
  <si>
    <t>United Airlines Holdings Inc.</t>
  </si>
  <si>
    <t>UAL</t>
  </si>
  <si>
    <t>United Parcel Service Inc.</t>
  </si>
  <si>
    <t>UPS</t>
  </si>
  <si>
    <t>United Rentals Inc.</t>
  </si>
  <si>
    <t>URI</t>
  </si>
  <si>
    <t>UnitedHealth Group Inc.</t>
  </si>
  <si>
    <t>UNH</t>
  </si>
  <si>
    <t>Universal Health Services Inc.</t>
  </si>
  <si>
    <t>UHS</t>
  </si>
  <si>
    <t>Valero Energy Corp.</t>
  </si>
  <si>
    <t>VLO</t>
  </si>
  <si>
    <t>Ventas Inc.</t>
  </si>
  <si>
    <t>VTR</t>
  </si>
  <si>
    <t>VeriSign Inc.</t>
  </si>
  <si>
    <t>VRSN</t>
  </si>
  <si>
    <t>Verisk Analytics Inc.</t>
  </si>
  <si>
    <t>VRSK</t>
  </si>
  <si>
    <t>Verizon Communications Inc.</t>
  </si>
  <si>
    <t>VZ</t>
  </si>
  <si>
    <t>Vertex Pharmaceuticals Inc.</t>
  </si>
  <si>
    <t>VRTX</t>
  </si>
  <si>
    <t>Vertiv Holdings Co</t>
  </si>
  <si>
    <t>VRT</t>
  </si>
  <si>
    <t>Viatris Inc.</t>
  </si>
  <si>
    <t>VTRS</t>
  </si>
  <si>
    <t>18383,94</t>
  </si>
  <si>
    <t>VICI Properties Inc.</t>
  </si>
  <si>
    <t>VICI</t>
  </si>
  <si>
    <t>Visa Inc.</t>
  </si>
  <si>
    <t>V</t>
  </si>
  <si>
    <t>Vistra Corp.</t>
  </si>
  <si>
    <t>VST</t>
  </si>
  <si>
    <t>Vulcan Materials Co.</t>
  </si>
  <si>
    <t>VMC</t>
  </si>
  <si>
    <t>W. R. Berkley Corp.</t>
  </si>
  <si>
    <t>WRB</t>
  </si>
  <si>
    <t>W.W. Grainger Inc.</t>
  </si>
  <si>
    <t>GWW</t>
  </si>
  <si>
    <t>Walmart Inc.</t>
  </si>
  <si>
    <t>WMT</t>
  </si>
  <si>
    <t>Warner Bros. Discovery Inc.</t>
  </si>
  <si>
    <t>WBD</t>
  </si>
  <si>
    <t>Waste Mgmt Inc.</t>
  </si>
  <si>
    <t>WM</t>
  </si>
  <si>
    <t>Waters Corp.</t>
  </si>
  <si>
    <t>WAT</t>
  </si>
  <si>
    <t>WEC Energy Group Inc.</t>
  </si>
  <si>
    <t>WEC</t>
  </si>
  <si>
    <t>Wells Fargo &amp; Co.</t>
  </si>
  <si>
    <t>WFC</t>
  </si>
  <si>
    <t>Welltower Inc.</t>
  </si>
  <si>
    <t>WELL</t>
  </si>
  <si>
    <t>W Pharmaceutical Svcs Inc</t>
  </si>
  <si>
    <t>WST</t>
  </si>
  <si>
    <t>Western Digital Corp.</t>
  </si>
  <si>
    <t>WDC</t>
  </si>
  <si>
    <t>Westinghouse Air Brake Technol</t>
  </si>
  <si>
    <t>WAB</t>
  </si>
  <si>
    <t>Weyerhaeuser Co.</t>
  </si>
  <si>
    <t>WY</t>
  </si>
  <si>
    <t>Timber REIT</t>
  </si>
  <si>
    <t>Williams-Sonoma Inc.</t>
  </si>
  <si>
    <t>WSM</t>
  </si>
  <si>
    <t>Homefurnishing Retail</t>
  </si>
  <si>
    <t>Willis Towers Watson Plc</t>
  </si>
  <si>
    <t>WTW</t>
  </si>
  <si>
    <t>Workday Inc.</t>
  </si>
  <si>
    <t>WDAY</t>
  </si>
  <si>
    <t>Wynn Resorts Ltd.</t>
  </si>
  <si>
    <t>WYNN</t>
  </si>
  <si>
    <t>Xcel Energy Inc.</t>
  </si>
  <si>
    <t>XEL</t>
  </si>
  <si>
    <t>Xylem Inc.</t>
  </si>
  <si>
    <t>XYL</t>
  </si>
  <si>
    <t>Yum! Brands Inc.</t>
  </si>
  <si>
    <t>YUM</t>
  </si>
  <si>
    <t>Zebra Technologies Corp.</t>
  </si>
  <si>
    <t>ZBRA</t>
  </si>
  <si>
    <t>Zimmer Biomet Holdings Inc.</t>
  </si>
  <si>
    <t>ZBH</t>
  </si>
  <si>
    <t>Zoetis Inc.</t>
  </si>
  <si>
    <t>ZTS</t>
  </si>
  <si>
    <t>62777,43</t>
  </si>
  <si>
    <t>119909,79</t>
  </si>
  <si>
    <t>Market Capitalization (€M)</t>
  </si>
  <si>
    <t>12/31/2019</t>
  </si>
  <si>
    <t>11/29/2019</t>
  </si>
  <si>
    <t>10/31/2019</t>
  </si>
  <si>
    <t>09/30/2019</t>
  </si>
  <si>
    <t>08/30/2019</t>
  </si>
  <si>
    <t>07/31/2019</t>
  </si>
  <si>
    <t>06/28/2019</t>
  </si>
  <si>
    <t>05/31/2019</t>
  </si>
  <si>
    <t>04/30/2019</t>
  </si>
  <si>
    <t>03/29/2019</t>
  </si>
  <si>
    <t>02/28/2019</t>
  </si>
  <si>
    <t>01/31/2019</t>
  </si>
  <si>
    <t>12/31/2018</t>
  </si>
  <si>
    <t>11/30/2018</t>
  </si>
  <si>
    <t>10/31/2018</t>
  </si>
  <si>
    <t>09/28/2018</t>
  </si>
  <si>
    <t>08/31/2018</t>
  </si>
  <si>
    <t>07/31/2018</t>
  </si>
  <si>
    <t>06/29/2018</t>
  </si>
  <si>
    <t>05/31/2018</t>
  </si>
  <si>
    <t>04/30/2018</t>
  </si>
  <si>
    <t>03/29/2018</t>
  </si>
  <si>
    <t>02/28/2018</t>
  </si>
  <si>
    <t>01/31/2018</t>
  </si>
  <si>
    <t>允䅁䙁䅙䅁煁䅁䅁睕兂䙁䄸睑偂䕁䄰䅕䉂䕁䄴兗時䕁䄴兑乂䕁䅕睘䉂䕁䅉村卂䅁䅁䅁䅁䉁䅯䅁㡁䑁䄴䅍㍁䍁䄸睍睁䍁䄸杍睁䑁䅉免䅁䑁䅳䅁坁䅁䅁䅍祁䍁䄸杍㉁䍁䄸杍睁䑁䅉免䅁䅁䅕䅁坁䅁䅁䅍㉁䍁䄸睍睁䍁䄸杍睁䑁䅉杍䅁䍁䅑䅁坁䅁䅁䅍ぁ䍁䄸睍睁䍁䄸杍睁䑁䅉䅍䅁䉁䄸䅁㉁䅁䅁兔桂䡁䅉睡求䡁䅑䅉䑂䝁䅅䅣灂䡁䅑兙獂䝁䅫来桂䡁䅑兡療䝁䄴䅉潁䭁杷兔灁䅁䅁杂䅁䉁䅯䅁㡁䑁䄴䅍㕁䍁䄸睍睁䍁䄸杍睁䑁䅉䅍䅁䑁䅷䅁慁䅁䅁䅐⭁䑁䅅免癁䑁䅍䅍癁䑁䅉䅍祁䑁䅅䅁睁䅁䅁李䅁䕁䄰兓時䕁䅫杔䕂䙁䅕睕啂䙁䅉兗時䕁䅍䅔䉂䙁䅍睕䩂䕁䅙兓䑂䕁䅅䅖䩂䕁䄸杔䅁䅁䅷䅁䍁䅁䅁䅁䉁䅁䅁䅪䅁䕁䄸䅣あ䝁䅫睢畂䡁䅍杏䑂䡁䅕杣祂䑁䄰兒噂䙁䅉䅌乂䝁䅅睚㥁䙁䅍䅤桂䝁䄴䅚桂䡁䅉䅚獁䕁䅍睢畂䡁䅙兔求䡁䅑䅡療䝁䅑児卂䍁䅷杒灂䝁䅷兡畂䝁䅣杖求䡁䅉児䑂䡁䅕杣祂䝁䅕杢あ䍁䄸杕求䡁䅍䅤桂䡁䅑党歂䅁䅁杁䅁䉁䅙䅁硁䑁䅁睌穁䑁䅅睌祁䑁䅁杍祁䅁䅁睂䅁䉁䅙䅁硁䑁䅉睌穁䑁䅅睌祁䑁䅁杍睁䅁䅁䅃䅁䉁䅯䅁㡁䑁䄴免睁䍁䄸杍㕁䍁䄸杍睁䑁䅉免䅁䙁䅁䅁ぁ䅁䅁睑療䝁䄰䅣桂䝁䄴入杁䕁䄴兙瑂䝁䅕䅌杁䕁䅅杙楂䡁䅉党㉂䝁䅫兙あ䝁䅕䅚䅁䅁䅍䅁慁䅁䅁䅐⭁䑁䅁兏癁䑁䅍䅍癁䑁䅉䅍祁䑁䅅䅁㥁䅁䅁杇䅁䑁䅷材硁䑁䅅睌穁䑁䅁睌祁䑁䅁杍睁䅁䅁睌䅁䉁䅯䅁㡁䑁䄴䅍硁䍁䄸睍硁䍁䄸杍睁䑁䅉䅍䅁䑁䄸䅁慁䅁䅁䅐⭁䑁䅁睍癁䑁䅍免癁䑁䅉䅍祁䑁䅅䅁䍂䅁䅁杇䅁䙁䅍䅕時䕁䄰兑卂䕁䅳兒啂䕁䅍兑兂䅁䅁䅂䅁䉁䅙䅁硁䑁䅁睌穁䑁䅁睌祁䑁䅁杍睁䅁䅁䅇䅁䉁䅙䅁硁䑁䅉睌穁䑁䅁睌祁䑁䅁杍祁䅁䅁䅈䅁䉁䅯䅁㡁䑁䄴䅍㕁䍁䄸睍睁䍁䄸杍睁䑁䅉杍䅁䑁䄴䅁坁䅁䅁免祁䍁䄸睍硁䍁䄸杍睁䑁䅉免䅁䅁䅫䅁啁䅁䅁睕兂䙁䄸䅖䩂䕁䅍睓䙂䙁䅉䅁䭁䅁䅁杆䅁䑁䅁兎癁䑁䅉䅏癁䑁䅉䅍祁䑁䅅䅁桁䅁䅁杄䅁䙁䅑兡橂䝁䅳党祂䅁䅁睃䅁䑁䅁䅁䩂䝁䄴䅚ㅂ䡁䅍䅤祂䡁䅫䅉䑂䝁䅷兙穂䡁䅍兡浂䝁䅫睙桂䡁䅑兡療䝁䄴䅁乁䅁䅁杆䅁䑁䅁免癁䑁䅍免癁䑁䅉䅍祁䑁䅁䅁佁䅁䅁杆䅁䑁䅁睍癁䑁䅍免癁䑁䅉䅍祁䑁䅉䅁十䅁䅁杆䅁䑁䅅免癁䑁䅍䅍癁䑁䅉䅍祁䑁䅁䅁婁䅁䅁杆䅁䑁䅁兏癁䑁䅍䅍癁䑁䅉䅍祁䑁䅅䅁湁䅁䅁杆䅁䑁䅅䅍癁䑁䅉兏癁䑁䅉䅍祁䑁䅅䅁瑁䅁䅁杆䅁䑁䅁免癁䑁䅍免癁䑁䅉䅍祁䑁䅉䅁偁䅁䅁杆䅁䑁䅁睍癁䑁䅍免癁䑁䅉䅍祁䑁䅁䅁允䅁䅁杆䅁䑁䅅免癁䑁䅍䅍癁䑁䅉䅍祁䑁䅉䅁扁䅁䅁杆䅁䑁䅁杍癁䑁䅉䅏癁䑁䅉䅍祁䑁䅁䅁摁䅁䅁杆䅁䑁䅁兏癁䑁䅍䅍癁䑁䅉䅍祁䑁䅉䅁潁䅁䅁杇䅁䑁䅷材硁䑁䅁睌穁䑁䅁睌祁䑁䅁杍睁䅁䅁杌䅁䉁䅙䅁睁䑁䅍睌穁䑁䅅睌祁䑁䅁杍硁䅁䅁充䅁䉁䅯䅁㡁䑁䄴免祁䍁䄸睍睁䍁䄸杍睁䑁䅉杍䅁䑁䅉䅁坁䅁䅁䅍ㅁ䍁䄸睍硁䍁䄸杍睁䑁䅉杍䅁䉁䅍䅁坁䅁䅁䅍㍁䍁䄸睍硁䍁䄸杍睁䑁䅉䅍䅁䉁䅑䅁坁䅁䅁䅍㑁䍁䄸睍硁䍁䄸杍睁䑁䅉䅍䅁䉁䅕䅁坁䅁䅁䅍㑁䍁䄸睍硁䍁䄸杍睁䑁䅉免䅁䉁䅙䅁坁䅁䅁䅍㑁䍁䄸睍硁䍁䄸杍睁䑁䅉杍䅁䉁䅣䅁坁䅁䅁免硁䍁䄸睍睁䍁䄸杍睁䑁䅉免䅁䉁䅯䅁坁䅁䅁䅍祁䍁䄸杍㑁䍁䄸杍睁䑁䅉杍䅁䉁䄴䅁坁䅁䅁䅍㕁䍁䄸睍睁䍁䄸杍睁䑁䅉䅍䅁䍁䅙䅁坁䅁䅁䅍ぁ䍁䄸睍睁䍁䄸杍睁䑁䅉免䅁䍁䅁䅁坁䅁䅁䅍㉁䍁䄸睍睁䍁䄸杍睁䑁䅉䅍䅁䍁䅉䅁坁䅁䅁䅍㉁䍁䄸睍睁䍁䄸杍睁䑁䅉免䅁䍁䅍䅁坁䅁䅁䅍㍁䍁䄸睍睁䍁䄸杍睁䑁䅉免䅁䍁䅕䅁慁䅁䅁䅐⭁䑁䅁䅎癁䑁䅍䅍癁䑁䅉䅍祁䑁䅁䅁㉁䅁䅁杇䅁䑁䅷材睁䑁䅙睌穁䑁䅁睌祁䑁䅁杍祁䅁䅁杏䅁䉁䅯䅁㡁䑁䄴免睁䍁䄸睍硁䍁䄸杍睁䑁䅉杍䅁䑁䅍䅁坁䅁䅁䅍硁䍁䄸杍㕁䍁䄸杍睁䑁䅉免䅁䍁䅫䅁慁䅁䅁䅐⭁䑁䅅杍癁䑁䅍免癁䑁䅉䅍祁䑁䅁䅁ぁ䅁䅁杇䅁䙁䅍䅕時䕁䅕杔啂䕁䅫䅖婂䙁䄸兓䕂䅁䅁杕䅁䉁䅙䅁睁䑁䅑睌祁䑁䅫睌祁䑁䅁杍祁䅁䅁杋䅁䉁䅙䅁睁䑁䅕睌祁䑁䅫睌祁䑁䅁杍睁䅁䅁睋䅁䉁䅙䅁睁䑁䅣睌祁䑁䅫睌祁䑁䅁杍祁䅁䅁䅌䅁䉁䅯䅁㡁䑁䄴䅍硁䍁䄸睍硁䍁䄸杍睁䑁䅉杍䅁䕁䅁䅁慁䅁䅁䅐⭁䑁䅅免癁䑁䅍䅍癁䑁䅉䅍祁䑁䅉䅁硁䅁䅁杇䅁䑁䅷材硁䑁䅉睌穁䑁䅅睌祁䑁䅁杍硁䅁䅁兎䅁䉁䅯䅁㡁䑁䄴䅍ぁ䍁䄸睍睁䍁䄸杍睁䑁䅉免䅁䑁䅣䅁慁䅁䅁䅐⭁䑁䅁李癁䑁䅍䅍癁䑁䅉䅍祁䑁䅁䅁㑁䅁䅁杇䅁䑁䅷材睁䑁䅙睌穁䑁䅁睌祁䑁䅁杍硁䅁䅁兏䅁䉁䅯䅁㡁䑁䄴䅍穁䍁䄸睍硁䍁䄸杍睁䑁䅉䅍䅁䕁䅅䅁慁䅁䅁䅐⭁䑁䅁睍癁䑁䅍免癁䑁䅉䅍祁䑁䅉䅁䑂䅁䅁杇䅁䑁䅷材睁䑁䅕睌穁䑁䅅睌祁䑁䅁杍祁䅁䅁䅒䅁䉁䅯䅁㡁䑁䄴䅍㍁䍁䄸睍硁䍁䄸杍睁䑁䅉䅍䅁䕁䅕䅁慁䅁䅁䅐⭁䑁䅁䅏癁䑁䅍免癁䑁䅉䅍祁䑁䅁䅁䝂䅁䅁杇䅁䑁䅷材睁䑁䅧睌穁䑁䅅睌祁䑁䅁杍硁䅁䅁睒䅁䉁䅯䅁㡁䑁䄴䅍㑁䍁䄸睍硁䍁䄸杍睁䑁䅉杍䅁䕁䅧䅁慁䅁䅁䅐⭁䑁䅁免癁䑁䅉兏癁䑁䅉䅍祁䑁䅅䅁䩂䅁䅁杇䅁䑁䅷材睁䑁䅑睌祁䑁䅫睌祁䑁䅁杍祁䅁䅁杓䅁䉁䅯䅁㡁䑁䄴䅍ㅁ䍁䄸杍㕁䍁䄸杍睁䑁䅉䅍䅁䕁䅳䅁慁䅁䅁䅐⭁䑁䅁睎癁䑁䅉兏癁䑁䅉䅍祁䑁䅉䅁䵂䅁䅁杇䅁䑁䅷材睁䑁䅉睌祁䑁䅧睌祁䑁䅁杍睁䅁䅁兔䅁䉁䅯䅁㡁䑁䄴䅍祁䍁䄸杍㑁䍁䄸杍睁䑁䅉杍䅁䕁䄴䅁慁䅁䅁䅐⭁䑁䅁兎癁䑁䅉䅏癁䑁䅉䅍祁䑁䅅䅁偂䅁䅁杇䅁䑁䅷材睁䑁䅉睌祁䑁䅙睌祁䑁䅁杍硁䅁䅁兕䅁䉁䅑䅁䙂䝁䄴䅤灂䡁䅑入杁䕁䅫䅒䅁䙁䅍䅁敁䅁䅁睕兂䙁䄸兒佂䙁䅑兓啂䙁䅫睘佂䕁䅅兔䙂䅁䅁䅖䅁䉁䅧䅁䙂䝁䄴䅤灂䡁䅑入杁䕁䄴兙瑂䝁䅕䅁噂䅁䅁允䅁䅁杷允䅁䅁䅑䅁䑁䅁䄸䅁䙁䅁䅁䅁ぁ桒䉂权䕁䅁䅁权⽁䅁䅁允䅁䅁䅅䅁䭁䅁䄴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</si>
</sst>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 &quot;€&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applyAlignment="1">
      <alignment horizontal="left"/>
    </xf>
    <xf numFmtId="1" fontId="0" fillId="0" borderId="0" xfId="0" applyNumberFormat="1" applyAlignment="1">
      <alignment horizontal="right"/>
    </xf>
    <xf numFmtId="0" fontId="0" fillId="0" borderId="0" xfId="0" applyAlignment="1">
      <alignment horizontal="left"/>
    </xf>
    <xf numFmtId="0" fontId="0" fillId="0" borderId="0" xfId="0" applyAlignment="1">
      <alignment horizontal="right"/>
    </xf>
    <xf numFmtId="4" fontId="0" fillId="0" borderId="0" xfId="0" applyNumberFormat="1" applyAlignment="1">
      <alignment horizontal="right"/>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00A4-8938-4C79-821F-8E5536C4CE0A}">
  <dimension ref="A1"/>
  <sheetViews>
    <sheetView workbookViewId="0"/>
  </sheetViews>
  <sheetFormatPr baseColWidth="10" defaultRowHeight="14.25" x14ac:dyDescent="0.45"/>
  <sheetData>
    <row r="1" spans="1:1" x14ac:dyDescent="0.45">
      <c r="A1" t="s">
        <v>1603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7C337-A627-4A09-ABBF-0A10DBD2CE08}">
  <dimension ref="A1:BM486"/>
  <sheetViews>
    <sheetView tabSelected="1" workbookViewId="0">
      <selection activeCell="A7" sqref="A7"/>
    </sheetView>
  </sheetViews>
  <sheetFormatPr baseColWidth="10" defaultRowHeight="14.25" x14ac:dyDescent="0.45"/>
  <cols>
    <col min="6" max="15" width="21.33203125" bestFit="1" customWidth="1"/>
    <col min="41" max="41" width="21.33203125" bestFit="1" customWidth="1"/>
    <col min="42" max="65" width="21.06640625" bestFit="1" customWidth="1"/>
  </cols>
  <sheetData>
    <row r="1" spans="1:65" x14ac:dyDescent="0.45">
      <c r="A1" t="str">
        <f>_xll.SNL.Clients.Office.Excel.Functions.SPGTable($B$6:$B$486,$C$3:$AO$3,,"Options:Curr=EUR,Mag=Standard,ConvMethod=R,FilingVer=Current/Restated")</f>
        <v>SPGTable</v>
      </c>
    </row>
    <row r="2" spans="1:65" x14ac:dyDescent="0.45">
      <c r="A2" s="3" t="str">
        <f>_xll.SNL.Clients.Office.Excel.Functions.SPGLabel(266637,"SP_ENTITY_NAME","","","Options:Curr=EUR,Mag=Standard,ConvMethod=R,FilingVer=Current/Restated")</f>
        <v>Entity Name</v>
      </c>
      <c r="B2" s="3" t="str">
        <f>_xll.SNL.Clients.Office.Excel.Functions.SPGLabel(266637,"SP_ENTITY_ID","","","Options:Curr=EUR,Mag=Standard,ConvMethod=R,FilingVer=Current/Restated")</f>
        <v>Entity ID</v>
      </c>
      <c r="C2" s="3" t="str">
        <f>_xll.SNL.Clients.Office.Excel.Functions.SPGLabel(266637,"SP_COMPANY_NAME_ABBR","","","Options:Curr=EUR,Mag=Standard,ConvMethod=R,FilingVer=Current/Restated")</f>
        <v>Company Name, Abbreviated</v>
      </c>
      <c r="D2" s="3" t="str">
        <f>_xll.SNL.Clients.Office.Excel.Functions.SPGLabel(266637,"SP_TICKER","","","Options:Curr=EUR,Mag=Standard,ConvMethod=R,FilingVer=Current/Restated")</f>
        <v>Ticker</v>
      </c>
      <c r="E2" s="3" t="str">
        <f>_xll.SNL.Clients.Office.Excel.Functions.SPGLabel(266637,"MI_INDUSTRY_CLASSIFICATION","","","Options:Curr=EUR,Mag=Standard,ConvMethod=R,FilingVer=Current/Restated")</f>
        <v>Industry Classification</v>
      </c>
      <c r="F2" s="3" t="str">
        <f>_xll.SNL.Clients.Office.Excel.Functions.SPGLabel(266637,"SP_MARKETCAP","12/30/2022","","Options:Curr=EUR,Mag=Standard,ConvMethod=R,FilingVer=Current/Restated")</f>
        <v>Market Capitalization (€M)</v>
      </c>
      <c r="G2" s="3" t="str">
        <f>_xll.SNL.Clients.Office.Excel.Functions.SPGLabel(266637,"SP_MARKETCAP","11/30/2022","","Options:Curr=EUR,Mag=Standard,ConvMethod=R,FilingVer=Current/Restated")</f>
        <v>Market Capitalization (€M)</v>
      </c>
      <c r="H2" s="3" t="str">
        <f>_xll.SNL.Clients.Office.Excel.Functions.SPGLabel(266637,"SP_MARKETCAP","10/31/2022","","Options:Curr=EUR,Mag=Standard,ConvMethod=R,FilingVer=Current/Restated")</f>
        <v>Market Capitalization (€M)</v>
      </c>
      <c r="I2" s="3" t="str">
        <f>_xll.SNL.Clients.Office.Excel.Functions.SPGLabel(266637,"SP_MARKETCAP","09/30/2022","","Options:Curr=EUR,Mag=Standard,ConvMethod=R,FilingVer=Current/Restated")</f>
        <v>Market Capitalization (€M)</v>
      </c>
      <c r="J2" s="3" t="str">
        <f>_xll.SNL.Clients.Office.Excel.Functions.SPGLabel(266637,"SP_MARKETCAP","08/31/2022","","Options:Curr=EUR,Mag=Standard,ConvMethod=R,FilingVer=Current/Restated")</f>
        <v>Market Capitalization (€M)</v>
      </c>
      <c r="K2" s="3" t="str">
        <f>_xll.SNL.Clients.Office.Excel.Functions.SPGLabel(266637,"SP_MARKETCAP","07/29/2022","","Options:Curr=EUR,Mag=Standard,ConvMethod=R,FilingVer=Current/Restated")</f>
        <v>Market Capitalization (€M)</v>
      </c>
      <c r="L2" s="3" t="str">
        <f>_xll.SNL.Clients.Office.Excel.Functions.SPGLabel(266637,"SP_MARKETCAP","06/30/2022","","Options:Curr=EUR,Mag=Standard,ConvMethod=R,FilingVer=Current/Restated")</f>
        <v>Market Capitalization (€M)</v>
      </c>
      <c r="M2" s="3" t="str">
        <f>_xll.SNL.Clients.Office.Excel.Functions.SPGLabel(266637,"SP_MARKETCAP","05/31/2022","","Options:Curr=EUR,Mag=Standard,ConvMethod=R,FilingVer=Current/Restated")</f>
        <v>Market Capitalization (€M)</v>
      </c>
      <c r="N2" s="3" t="str">
        <f>_xll.SNL.Clients.Office.Excel.Functions.SPGLabel(266637,"SP_MARKETCAP","04/29/2022","","Options:Curr=EUR,Mag=Standard,ConvMethod=R,FilingVer=Current/Restated")</f>
        <v>Market Capitalization (€M)</v>
      </c>
      <c r="O2" s="3" t="str">
        <f>_xll.SNL.Clients.Office.Excel.Functions.SPGLabel(266637,"SP_MARKETCAP","03/31/2022","","Options:Curr=EUR,Mag=Standard,ConvMethod=R,FilingVer=Current/Restated")</f>
        <v>Market Capitalization (€M)</v>
      </c>
      <c r="P2" s="3" t="str">
        <f>_xll.SNL.Clients.Office.Excel.Functions.SPGLabel(266637,"SP_MARKETCAP","02/28/2022","","Options:Curr=EUR,Mag=Standard,ConvMethod=R,FilingVer=Current/Restated")</f>
        <v>Market Capitalization (€M)</v>
      </c>
      <c r="Q2" s="3" t="str">
        <f>_xll.SNL.Clients.Office.Excel.Functions.SPGLabel(266637,"SP_MARKETCAP","01/31/2022","","Options:Curr=EUR,Mag=Standard,ConvMethod=R,FilingVer=Current/Restated")</f>
        <v>Market Capitalization (€M)</v>
      </c>
      <c r="R2" s="3" t="str">
        <f>_xll.SNL.Clients.Office.Excel.Functions.SPGLabel(266637,"SP_MARKETCAP","12/31/2021","","Options:Curr=EUR,Mag=Standard,ConvMethod=R,FilingVer=Current/Restated")</f>
        <v>Market Capitalization (€M)</v>
      </c>
      <c r="S2" s="3" t="str">
        <f>_xll.SNL.Clients.Office.Excel.Functions.SPGLabel(266637,"SP_MARKETCAP","11/30/2021","","Options:Curr=EUR,Mag=Standard,ConvMethod=R,FilingVer=Current/Restated")</f>
        <v>Market Capitalization (€M)</v>
      </c>
      <c r="T2" s="3" t="str">
        <f>_xll.SNL.Clients.Office.Excel.Functions.SPGLabel(266637,"SP_MARKETCAP","10/29/2021","","Options:Curr=EUR,Mag=Standard,ConvMethod=R,FilingVer=Current/Restated")</f>
        <v>Market Capitalization (€M)</v>
      </c>
      <c r="U2" s="3" t="str">
        <f>_xll.SNL.Clients.Office.Excel.Functions.SPGLabel(266637,"SP_MARKETCAP","09/30/2021","","Options:Curr=EUR,Mag=Standard,ConvMethod=R,FilingVer=Current/Restated")</f>
        <v>Market Capitalization (€M)</v>
      </c>
      <c r="V2" s="3" t="str">
        <f>_xll.SNL.Clients.Office.Excel.Functions.SPGLabel(266637,"SP_MARKETCAP","08/31/2021","","Options:Curr=EUR,Mag=Standard,ConvMethod=R,FilingVer=Current/Restated")</f>
        <v>Market Capitalization (€M)</v>
      </c>
      <c r="W2" s="3" t="str">
        <f>_xll.SNL.Clients.Office.Excel.Functions.SPGLabel(266637,"SP_MARKETCAP","07/30/2021","","Options:Curr=EUR,Mag=Standard,ConvMethod=R,FilingVer=Current/Restated")</f>
        <v>Market Capitalization (€M)</v>
      </c>
      <c r="X2" s="3" t="str">
        <f>_xll.SNL.Clients.Office.Excel.Functions.SPGLabel(266637,"SP_MARKETCAP","06/30/2021","","Options:Curr=EUR,Mag=Standard,ConvMethod=R,FilingVer=Current/Restated")</f>
        <v>Market Capitalization (€M)</v>
      </c>
      <c r="Y2" s="3" t="str">
        <f>_xll.SNL.Clients.Office.Excel.Functions.SPGLabel(266637,"SP_MARKETCAP","05/28/2021","","Options:Curr=EUR,Mag=Standard,ConvMethod=R,FilingVer=Current/Restated")</f>
        <v>Market Capitalization (€M)</v>
      </c>
      <c r="Z2" s="3" t="str">
        <f>_xll.SNL.Clients.Office.Excel.Functions.SPGLabel(266637,"SP_MARKETCAP","04/30/2021","","Options:Curr=EUR,Mag=Standard,ConvMethod=R,FilingVer=Current/Restated")</f>
        <v>Market Capitalization (€M)</v>
      </c>
      <c r="AA2" s="3" t="str">
        <f>_xll.SNL.Clients.Office.Excel.Functions.SPGLabel(266637,"SP_MARKETCAP","03/31/2021","","Options:Curr=EUR,Mag=Standard,ConvMethod=R,FilingVer=Current/Restated")</f>
        <v>Market Capitalization (€M)</v>
      </c>
      <c r="AB2" s="3" t="str">
        <f>_xll.SNL.Clients.Office.Excel.Functions.SPGLabel(266637,"SP_MARKETCAP","02/26/2021","","Options:Curr=EUR,Mag=Standard,ConvMethod=R,FilingVer=Current/Restated")</f>
        <v>Market Capitalization (€M)</v>
      </c>
      <c r="AC2" s="3" t="str">
        <f>_xll.SNL.Clients.Office.Excel.Functions.SPGLabel(266637,"SP_MARKETCAP","01/29/2021","","Options:Curr=EUR,Mag=Standard,ConvMethod=R,FilingVer=Current/Restated")</f>
        <v>Market Capitalization (€M)</v>
      </c>
      <c r="AD2" s="3" t="str">
        <f>_xll.SNL.Clients.Office.Excel.Functions.SPGLabel(266637,"SP_MARKETCAP","12/31/2020","","Options:Curr=EUR,Mag=Standard,ConvMethod=R,FilingVer=Current/Restated")</f>
        <v>Market Capitalization (€M)</v>
      </c>
      <c r="AE2" s="3" t="str">
        <f>_xll.SNL.Clients.Office.Excel.Functions.SPGLabel(266637,"SP_MARKETCAP","11/30/2020","","Options:Curr=EUR,Mag=Standard,ConvMethod=R,FilingVer=Current/Restated")</f>
        <v>Market Capitalization (€M)</v>
      </c>
      <c r="AF2" s="3" t="str">
        <f>_xll.SNL.Clients.Office.Excel.Functions.SPGLabel(266637,"SP_MARKETCAP","10/30/2020","","Options:Curr=EUR,Mag=Standard,ConvMethod=R,FilingVer=Current/Restated")</f>
        <v>Market Capitalization (€M)</v>
      </c>
      <c r="AG2" s="3" t="str">
        <f>_xll.SNL.Clients.Office.Excel.Functions.SPGLabel(266637,"SP_MARKETCAP","09/30/2020","","Options:Curr=EUR,Mag=Standard,ConvMethod=R,FilingVer=Current/Restated")</f>
        <v>Market Capitalization (€M)</v>
      </c>
      <c r="AH2" s="3" t="str">
        <f>_xll.SNL.Clients.Office.Excel.Functions.SPGLabel(266637,"SP_MARKETCAP","08/31/2020","","Options:Curr=EUR,Mag=Standard,ConvMethod=R,FilingVer=Current/Restated")</f>
        <v>Market Capitalization (€M)</v>
      </c>
      <c r="AI2" s="3" t="str">
        <f>_xll.SNL.Clients.Office.Excel.Functions.SPGLabel(266637,"SP_MARKETCAP","07/31/2020","","Options:Curr=EUR,Mag=Standard,ConvMethod=R,FilingVer=Current/Restated")</f>
        <v>Market Capitalization (€M)</v>
      </c>
      <c r="AJ2" s="3" t="str">
        <f>_xll.SNL.Clients.Office.Excel.Functions.SPGLabel(266637,"SP_MARKETCAP","06/30/2020","","Options:Curr=EUR,Mag=Standard,ConvMethod=R,FilingVer=Current/Restated")</f>
        <v>Market Capitalization (€M)</v>
      </c>
      <c r="AK2" s="3" t="str">
        <f>_xll.SNL.Clients.Office.Excel.Functions.SPGLabel(266637,"SP_MARKETCAP","05/29/2020","","Options:Curr=EUR,Mag=Standard,ConvMethod=R,FilingVer=Current/Restated")</f>
        <v>Market Capitalization (€M)</v>
      </c>
      <c r="AL2" s="3" t="str">
        <f>_xll.SNL.Clients.Office.Excel.Functions.SPGLabel(266637,"SP_MARKETCAP","04/30/2020","","Options:Curr=EUR,Mag=Standard,ConvMethod=R,FilingVer=Current/Restated")</f>
        <v>Market Capitalization (€M)</v>
      </c>
      <c r="AM2" s="3" t="str">
        <f>_xll.SNL.Clients.Office.Excel.Functions.SPGLabel(266637,"SP_MARKETCAP","03/31/2020","","Options:Curr=EUR,Mag=Standard,ConvMethod=R,FilingVer=Current/Restated")</f>
        <v>Market Capitalization (€M)</v>
      </c>
      <c r="AN2" s="3" t="str">
        <f>_xll.SNL.Clients.Office.Excel.Functions.SPGLabel(266637,"SP_MARKETCAP","02/28/2020","","Options:Curr=EUR,Mag=Standard,ConvMethod=R,FilingVer=Current/Restated")</f>
        <v>Market Capitalization (€M)</v>
      </c>
      <c r="AO2" s="3" t="str">
        <f>_xll.SNL.Clients.Office.Excel.Functions.SPGLabel(266637,"SP_MARKETCAP","01/31/2020","","Options:Curr=EUR,Mag=Standard,ConvMethod=R,FilingVer=Current/Restated")</f>
        <v>Market Capitalization (€M)</v>
      </c>
      <c r="AP2" t="s">
        <v>1578</v>
      </c>
      <c r="AQ2" t="s">
        <v>1578</v>
      </c>
      <c r="AR2" t="s">
        <v>1578</v>
      </c>
      <c r="AS2" t="s">
        <v>1578</v>
      </c>
      <c r="AT2" t="s">
        <v>1578</v>
      </c>
      <c r="AU2" t="s">
        <v>1578</v>
      </c>
      <c r="AV2" t="s">
        <v>1578</v>
      </c>
      <c r="AW2" t="s">
        <v>1578</v>
      </c>
      <c r="AX2" t="s">
        <v>1578</v>
      </c>
      <c r="AY2" t="s">
        <v>1578</v>
      </c>
      <c r="AZ2" t="s">
        <v>1578</v>
      </c>
      <c r="BA2" t="s">
        <v>1578</v>
      </c>
      <c r="BB2" t="s">
        <v>1578</v>
      </c>
      <c r="BC2" t="s">
        <v>1578</v>
      </c>
      <c r="BD2" t="s">
        <v>1578</v>
      </c>
      <c r="BE2" t="s">
        <v>1578</v>
      </c>
      <c r="BF2" t="s">
        <v>1578</v>
      </c>
      <c r="BG2" t="s">
        <v>1578</v>
      </c>
      <c r="BH2" t="s">
        <v>1578</v>
      </c>
      <c r="BI2" t="s">
        <v>1578</v>
      </c>
      <c r="BJ2" t="s">
        <v>1578</v>
      </c>
      <c r="BK2" t="s">
        <v>1578</v>
      </c>
      <c r="BL2" t="s">
        <v>1578</v>
      </c>
      <c r="BM2" t="s">
        <v>1578</v>
      </c>
    </row>
    <row r="3" spans="1:65" x14ac:dyDescent="0.45">
      <c r="A3" s="2" t="s">
        <v>485</v>
      </c>
      <c r="B3" s="2" t="s">
        <v>486</v>
      </c>
      <c r="C3" s="2" t="s">
        <v>481</v>
      </c>
      <c r="D3" s="2" t="s">
        <v>482</v>
      </c>
      <c r="E3" s="2" t="s">
        <v>483</v>
      </c>
      <c r="F3" s="2" t="s">
        <v>484</v>
      </c>
      <c r="G3" s="2" t="s">
        <v>484</v>
      </c>
      <c r="H3" s="2" t="s">
        <v>484</v>
      </c>
      <c r="I3" s="2" t="s">
        <v>484</v>
      </c>
      <c r="J3" s="2" t="s">
        <v>484</v>
      </c>
      <c r="K3" s="2" t="s">
        <v>484</v>
      </c>
      <c r="L3" s="2" t="s">
        <v>484</v>
      </c>
      <c r="M3" s="2" t="s">
        <v>484</v>
      </c>
      <c r="N3" s="2" t="s">
        <v>484</v>
      </c>
      <c r="O3" s="2" t="s">
        <v>484</v>
      </c>
      <c r="P3" s="2" t="s">
        <v>484</v>
      </c>
      <c r="Q3" s="2" t="s">
        <v>484</v>
      </c>
      <c r="R3" s="2" t="s">
        <v>484</v>
      </c>
      <c r="S3" s="2" t="s">
        <v>484</v>
      </c>
      <c r="T3" s="2" t="s">
        <v>484</v>
      </c>
      <c r="U3" s="2" t="s">
        <v>484</v>
      </c>
      <c r="V3" s="2" t="s">
        <v>484</v>
      </c>
      <c r="W3" s="2" t="s">
        <v>484</v>
      </c>
      <c r="X3" s="2" t="s">
        <v>484</v>
      </c>
      <c r="Y3" s="2" t="s">
        <v>484</v>
      </c>
      <c r="Z3" s="2" t="s">
        <v>484</v>
      </c>
      <c r="AA3" s="2" t="s">
        <v>484</v>
      </c>
      <c r="AB3" s="2" t="s">
        <v>484</v>
      </c>
      <c r="AC3" s="2" t="s">
        <v>484</v>
      </c>
      <c r="AD3" s="2" t="s">
        <v>484</v>
      </c>
      <c r="AE3" s="2" t="s">
        <v>484</v>
      </c>
      <c r="AF3" s="2" t="s">
        <v>484</v>
      </c>
      <c r="AG3" s="2" t="s">
        <v>484</v>
      </c>
      <c r="AH3" s="2" t="s">
        <v>484</v>
      </c>
      <c r="AI3" s="2" t="s">
        <v>484</v>
      </c>
      <c r="AJ3" s="2" t="s">
        <v>484</v>
      </c>
      <c r="AK3" s="2" t="s">
        <v>484</v>
      </c>
      <c r="AL3" s="2" t="s">
        <v>484</v>
      </c>
      <c r="AM3" s="2" t="s">
        <v>484</v>
      </c>
      <c r="AN3" s="2" t="s">
        <v>484</v>
      </c>
      <c r="AO3" s="2" t="s">
        <v>484</v>
      </c>
      <c r="AP3" t="s">
        <v>484</v>
      </c>
      <c r="AQ3" t="s">
        <v>484</v>
      </c>
      <c r="AR3" t="s">
        <v>484</v>
      </c>
      <c r="AS3" t="s">
        <v>484</v>
      </c>
      <c r="AT3" t="s">
        <v>484</v>
      </c>
      <c r="AU3" t="s">
        <v>484</v>
      </c>
      <c r="AV3" t="s">
        <v>484</v>
      </c>
      <c r="AW3" t="s">
        <v>484</v>
      </c>
      <c r="AX3" t="s">
        <v>484</v>
      </c>
      <c r="AY3" t="s">
        <v>484</v>
      </c>
      <c r="AZ3" t="s">
        <v>484</v>
      </c>
      <c r="BA3" t="s">
        <v>484</v>
      </c>
      <c r="BB3" t="s">
        <v>484</v>
      </c>
      <c r="BC3" t="s">
        <v>484</v>
      </c>
      <c r="BD3" t="s">
        <v>484</v>
      </c>
      <c r="BE3" t="s">
        <v>484</v>
      </c>
      <c r="BF3" t="s">
        <v>484</v>
      </c>
      <c r="BG3" t="s">
        <v>484</v>
      </c>
      <c r="BH3" t="s">
        <v>484</v>
      </c>
      <c r="BI3" t="s">
        <v>484</v>
      </c>
      <c r="BJ3" t="s">
        <v>484</v>
      </c>
      <c r="BK3" t="s">
        <v>484</v>
      </c>
      <c r="BL3" t="s">
        <v>484</v>
      </c>
      <c r="BM3" t="s">
        <v>484</v>
      </c>
    </row>
    <row r="4" spans="1:65" x14ac:dyDescent="0.45">
      <c r="A4" s="4"/>
      <c r="B4" s="4"/>
      <c r="C4" s="4"/>
      <c r="D4" s="4"/>
      <c r="E4" s="4"/>
      <c r="F4" s="4" t="str">
        <f>_xll.SNL.Clients.Office.Excel.Functions.SPGLabel(266637,"SP_MARKETCAP","&lt;&gt;12/30/2022")</f>
        <v>12/30/2022</v>
      </c>
      <c r="G4" s="4" t="str">
        <f>_xll.SNL.Clients.Office.Excel.Functions.SPGLabel(266637,"SP_MARKETCAP","&lt;&gt;11/30/2022")</f>
        <v>11/30/2022</v>
      </c>
      <c r="H4" s="4" t="str">
        <f>_xll.SNL.Clients.Office.Excel.Functions.SPGLabel(266637,"SP_MARKETCAP","&lt;&gt;10/31/2022")</f>
        <v>10/31/2022</v>
      </c>
      <c r="I4" s="4" t="str">
        <f>_xll.SNL.Clients.Office.Excel.Functions.SPGLabel(266637,"SP_MARKETCAP","&lt;&gt;09/30/2022")</f>
        <v>09/30/2022</v>
      </c>
      <c r="J4" s="4" t="str">
        <f>_xll.SNL.Clients.Office.Excel.Functions.SPGLabel(266637,"SP_MARKETCAP","&lt;&gt;08/31/2022")</f>
        <v>08/31/2022</v>
      </c>
      <c r="K4" s="4" t="str">
        <f>_xll.SNL.Clients.Office.Excel.Functions.SPGLabel(266637,"SP_MARKETCAP","&lt;&gt;07/29/2022")</f>
        <v>07/29/2022</v>
      </c>
      <c r="L4" s="4" t="str">
        <f>_xll.SNL.Clients.Office.Excel.Functions.SPGLabel(266637,"SP_MARKETCAP","&lt;&gt;06/30/2022")</f>
        <v>06/30/2022</v>
      </c>
      <c r="M4" s="4" t="str">
        <f>_xll.SNL.Clients.Office.Excel.Functions.SPGLabel(266637,"SP_MARKETCAP","&lt;&gt;05/31/2022")</f>
        <v>05/31/2022</v>
      </c>
      <c r="N4" s="4" t="str">
        <f>_xll.SNL.Clients.Office.Excel.Functions.SPGLabel(266637,"SP_MARKETCAP","&lt;&gt;04/29/2022")</f>
        <v>04/29/2022</v>
      </c>
      <c r="O4" s="4" t="str">
        <f>_xll.SNL.Clients.Office.Excel.Functions.SPGLabel(266637,"SP_MARKETCAP","&lt;&gt;03/31/2022")</f>
        <v>03/31/2022</v>
      </c>
      <c r="P4" s="4" t="str">
        <f>_xll.SNL.Clients.Office.Excel.Functions.SPGLabel(266637,"SP_MARKETCAP","&lt;&gt;02/28/2022")</f>
        <v>02/28/2022</v>
      </c>
      <c r="Q4" s="4" t="str">
        <f>_xll.SNL.Clients.Office.Excel.Functions.SPGLabel(266637,"SP_MARKETCAP","&lt;&gt;01/31/2022")</f>
        <v>01/31/2022</v>
      </c>
      <c r="R4" s="4" t="str">
        <f>_xll.SNL.Clients.Office.Excel.Functions.SPGLabel(266637,"SP_MARKETCAP","&lt;&gt;12/31/2021")</f>
        <v>12/31/2021</v>
      </c>
      <c r="S4" s="4" t="str">
        <f>_xll.SNL.Clients.Office.Excel.Functions.SPGLabel(266637,"SP_MARKETCAP","&lt;&gt;11/30/2021")</f>
        <v>11/30/2021</v>
      </c>
      <c r="T4" s="4" t="str">
        <f>_xll.SNL.Clients.Office.Excel.Functions.SPGLabel(266637,"SP_MARKETCAP","&lt;&gt;10/29/2021")</f>
        <v>10/29/2021</v>
      </c>
      <c r="U4" s="4" t="str">
        <f>_xll.SNL.Clients.Office.Excel.Functions.SPGLabel(266637,"SP_MARKETCAP","&lt;&gt;09/30/2021")</f>
        <v>09/30/2021</v>
      </c>
      <c r="V4" s="4" t="str">
        <f>_xll.SNL.Clients.Office.Excel.Functions.SPGLabel(266637,"SP_MARKETCAP","&lt;&gt;08/31/2021")</f>
        <v>08/31/2021</v>
      </c>
      <c r="W4" s="4" t="str">
        <f>_xll.SNL.Clients.Office.Excel.Functions.SPGLabel(266637,"SP_MARKETCAP","&lt;&gt;07/30/2021")</f>
        <v>07/30/2021</v>
      </c>
      <c r="X4" s="4" t="str">
        <f>_xll.SNL.Clients.Office.Excel.Functions.SPGLabel(266637,"SP_MARKETCAP","&lt;&gt;06/30/2021")</f>
        <v>06/30/2021</v>
      </c>
      <c r="Y4" s="4" t="str">
        <f>_xll.SNL.Clients.Office.Excel.Functions.SPGLabel(266637,"SP_MARKETCAP","&lt;&gt;05/28/2021")</f>
        <v>05/28/2021</v>
      </c>
      <c r="Z4" s="4" t="str">
        <f>_xll.SNL.Clients.Office.Excel.Functions.SPGLabel(266637,"SP_MARKETCAP","&lt;&gt;04/30/2021")</f>
        <v>04/30/2021</v>
      </c>
      <c r="AA4" s="4" t="str">
        <f>_xll.SNL.Clients.Office.Excel.Functions.SPGLabel(266637,"SP_MARKETCAP","&lt;&gt;03/31/2021")</f>
        <v>03/31/2021</v>
      </c>
      <c r="AB4" s="4" t="str">
        <f>_xll.SNL.Clients.Office.Excel.Functions.SPGLabel(266637,"SP_MARKETCAP","&lt;&gt;02/26/2021")</f>
        <v>02/26/2021</v>
      </c>
      <c r="AC4" s="4" t="str">
        <f>_xll.SNL.Clients.Office.Excel.Functions.SPGLabel(266637,"SP_MARKETCAP","&lt;&gt;01/29/2021")</f>
        <v>01/29/2021</v>
      </c>
      <c r="AD4" s="4" t="str">
        <f>_xll.SNL.Clients.Office.Excel.Functions.SPGLabel(266637,"SP_MARKETCAP","&lt;&gt;12/31/2020")</f>
        <v>12/31/2020</v>
      </c>
      <c r="AE4" s="4" t="str">
        <f>_xll.SNL.Clients.Office.Excel.Functions.SPGLabel(266637,"SP_MARKETCAP","&lt;&gt;11/30/2020")</f>
        <v>11/30/2020</v>
      </c>
      <c r="AF4" s="4" t="str">
        <f>_xll.SNL.Clients.Office.Excel.Functions.SPGLabel(266637,"SP_MARKETCAP","&lt;&gt;10/30/2020")</f>
        <v>10/30/2020</v>
      </c>
      <c r="AG4" s="4" t="str">
        <f>_xll.SNL.Clients.Office.Excel.Functions.SPGLabel(266637,"SP_MARKETCAP","&lt;&gt;09/30/2020")</f>
        <v>09/30/2020</v>
      </c>
      <c r="AH4" s="4" t="str">
        <f>_xll.SNL.Clients.Office.Excel.Functions.SPGLabel(266637,"SP_MARKETCAP","&lt;&gt;08/31/2020")</f>
        <v>08/31/2020</v>
      </c>
      <c r="AI4" s="4" t="str">
        <f>_xll.SNL.Clients.Office.Excel.Functions.SPGLabel(266637,"SP_MARKETCAP","&lt;&gt;07/31/2020")</f>
        <v>07/31/2020</v>
      </c>
      <c r="AJ4" s="4" t="str">
        <f>_xll.SNL.Clients.Office.Excel.Functions.SPGLabel(266637,"SP_MARKETCAP","&lt;&gt;06/30/2020")</f>
        <v>06/30/2020</v>
      </c>
      <c r="AK4" s="4" t="str">
        <f>_xll.SNL.Clients.Office.Excel.Functions.SPGLabel(266637,"SP_MARKETCAP","&lt;&gt;05/29/2020")</f>
        <v>05/29/2020</v>
      </c>
      <c r="AL4" s="4" t="str">
        <f>_xll.SNL.Clients.Office.Excel.Functions.SPGLabel(266637,"SP_MARKETCAP","&lt;&gt;04/30/2020")</f>
        <v>04/30/2020</v>
      </c>
      <c r="AM4" s="4" t="str">
        <f>_xll.SNL.Clients.Office.Excel.Functions.SPGLabel(266637,"SP_MARKETCAP","&lt;&gt;03/31/2020")</f>
        <v>03/31/2020</v>
      </c>
      <c r="AN4" s="4" t="str">
        <f>_xll.SNL.Clients.Office.Excel.Functions.SPGLabel(266637,"SP_MARKETCAP","&lt;&gt;02/28/2020")</f>
        <v>02/28/2020</v>
      </c>
      <c r="AO4" s="4" t="str">
        <f>_xll.SNL.Clients.Office.Excel.Functions.SPGLabel(266637,"SP_MARKETCAP","&lt;&gt;01/31/2020")</f>
        <v>01/31/2020</v>
      </c>
      <c r="AP4" t="s">
        <v>1579</v>
      </c>
      <c r="AQ4" t="s">
        <v>1580</v>
      </c>
      <c r="AR4" t="s">
        <v>1581</v>
      </c>
      <c r="AS4" t="s">
        <v>1582</v>
      </c>
      <c r="AT4" t="s">
        <v>1583</v>
      </c>
      <c r="AU4" t="s">
        <v>1584</v>
      </c>
      <c r="AV4" t="s">
        <v>1585</v>
      </c>
      <c r="AW4" t="s">
        <v>1586</v>
      </c>
      <c r="AX4" t="s">
        <v>1587</v>
      </c>
      <c r="AY4" t="s">
        <v>1588</v>
      </c>
      <c r="AZ4" t="s">
        <v>1589</v>
      </c>
      <c r="BA4" t="s">
        <v>1590</v>
      </c>
      <c r="BB4" t="s">
        <v>1591</v>
      </c>
      <c r="BC4" t="s">
        <v>1592</v>
      </c>
      <c r="BD4" t="s">
        <v>1593</v>
      </c>
      <c r="BE4" t="s">
        <v>1594</v>
      </c>
      <c r="BF4" t="s">
        <v>1595</v>
      </c>
      <c r="BG4" t="s">
        <v>1596</v>
      </c>
      <c r="BH4" t="s">
        <v>1597</v>
      </c>
      <c r="BI4" t="s">
        <v>1598</v>
      </c>
      <c r="BJ4" t="s">
        <v>1599</v>
      </c>
      <c r="BK4" t="s">
        <v>1600</v>
      </c>
      <c r="BL4" t="s">
        <v>1601</v>
      </c>
      <c r="BM4" t="s">
        <v>1602</v>
      </c>
    </row>
    <row r="5" spans="1:65" x14ac:dyDescent="0.4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row>
    <row r="6" spans="1:65" x14ac:dyDescent="0.45">
      <c r="A6" s="1" t="s">
        <v>0</v>
      </c>
      <c r="B6" s="2">
        <v>105135</v>
      </c>
      <c r="C6" s="3" t="s">
        <v>487</v>
      </c>
      <c r="D6" s="3" t="s">
        <v>488</v>
      </c>
      <c r="E6" s="3" t="s">
        <v>489</v>
      </c>
      <c r="F6" s="5">
        <v>646608337522306</v>
      </c>
      <c r="G6" s="5">
        <v>703910714564145</v>
      </c>
      <c r="H6" s="5">
        <v>733059413823799</v>
      </c>
      <c r="I6" s="5">
        <v>624104583594037</v>
      </c>
      <c r="J6" s="5">
        <v>70354542499689</v>
      </c>
      <c r="K6" s="5">
        <v>799909013404443</v>
      </c>
      <c r="L6" s="5">
        <v>704458469439195</v>
      </c>
      <c r="M6" s="5">
        <v>791863649481965</v>
      </c>
      <c r="N6" s="5">
        <v>778759072087179</v>
      </c>
      <c r="O6" s="5">
        <v>762814295574033</v>
      </c>
      <c r="P6" s="5">
        <v>755981203575</v>
      </c>
      <c r="Q6" s="5">
        <v>847604555707496</v>
      </c>
      <c r="R6" s="5">
        <v>900049592994854</v>
      </c>
      <c r="S6" s="5">
        <v>869332028191449</v>
      </c>
      <c r="T6" s="5">
        <v>890440030064666</v>
      </c>
      <c r="U6" s="5">
        <v>875782744360391</v>
      </c>
      <c r="V6" s="5">
        <v>954658961433472</v>
      </c>
      <c r="W6" s="5">
        <v>965535578384052</v>
      </c>
      <c r="X6" s="5">
        <v>971097892188991</v>
      </c>
      <c r="Y6" s="5">
        <v>965705627791886</v>
      </c>
      <c r="Z6" s="5">
        <v>94998578081115</v>
      </c>
      <c r="AA6" s="5">
        <v>951190745579554</v>
      </c>
      <c r="AB6" s="5">
        <v>83788293819</v>
      </c>
      <c r="AC6" s="5">
        <v>836054036624477</v>
      </c>
      <c r="AD6" s="5">
        <v>824225540254694</v>
      </c>
      <c r="AE6" s="5">
        <v>833641384471727</v>
      </c>
      <c r="AF6" s="5">
        <v>791755377277475</v>
      </c>
      <c r="AG6" s="5">
        <v>785744019573773</v>
      </c>
      <c r="AH6" s="5">
        <v>785495997122437</v>
      </c>
      <c r="AI6" s="5">
        <v>732652324885216</v>
      </c>
      <c r="AJ6" s="5">
        <v>797295300672609</v>
      </c>
      <c r="AK6" s="5">
        <v>809403563911764</v>
      </c>
      <c r="AL6" s="5">
        <v>798775614549087</v>
      </c>
      <c r="AM6" s="5">
        <v>7150339196</v>
      </c>
      <c r="AN6" s="5">
        <v>781111832592</v>
      </c>
      <c r="AO6" s="5">
        <v>823154609808322</v>
      </c>
      <c r="AP6" s="6">
        <v>904024840142496</v>
      </c>
      <c r="AQ6" s="6">
        <v>886056749871301</v>
      </c>
      <c r="AR6" s="6">
        <v>851147017496565</v>
      </c>
      <c r="AS6" s="6">
        <v>86735535714522</v>
      </c>
      <c r="AT6" s="6">
        <v>845866291466872</v>
      </c>
      <c r="AU6" s="6">
        <v>90310710920976</v>
      </c>
      <c r="AV6" s="6">
        <v>878077672256136</v>
      </c>
      <c r="AW6" s="6">
        <v>826087055729279</v>
      </c>
      <c r="AX6" s="6">
        <v>974954728607485</v>
      </c>
      <c r="AY6" s="6">
        <v>106598994084</v>
      </c>
      <c r="AZ6" s="6">
        <v>1048584537522</v>
      </c>
      <c r="BA6" s="6">
        <v>100821029369299</v>
      </c>
      <c r="BB6" s="6">
        <v>969028484799129</v>
      </c>
      <c r="BC6" s="6">
        <v>106928265427645</v>
      </c>
      <c r="BD6" s="6">
        <v>978793870945558</v>
      </c>
      <c r="BE6" s="6">
        <v>106387103681915</v>
      </c>
      <c r="BF6" s="6">
        <v>106592115119348</v>
      </c>
      <c r="BG6" s="6">
        <v>106427781220181</v>
      </c>
      <c r="BH6" s="6">
        <v>100101690992361</v>
      </c>
      <c r="BI6" s="6">
        <v>100431462713628</v>
      </c>
      <c r="BJ6" s="6">
        <v>95580775322467</v>
      </c>
      <c r="BK6" s="6">
        <v>106163491772669</v>
      </c>
      <c r="BL6" s="6">
        <v>114861641895</v>
      </c>
      <c r="BM6" s="6">
        <v>119795973250137</v>
      </c>
    </row>
    <row r="7" spans="1:65" x14ac:dyDescent="0.45">
      <c r="A7" s="1" t="s">
        <v>1</v>
      </c>
      <c r="B7" s="2">
        <v>4020605</v>
      </c>
      <c r="C7" s="3" t="s">
        <v>490</v>
      </c>
      <c r="D7" s="3" t="s">
        <v>491</v>
      </c>
      <c r="E7" s="3" t="s">
        <v>492</v>
      </c>
      <c r="F7" s="5">
        <v>818257594953964</v>
      </c>
      <c r="G7" s="5">
        <v>899841406902761</v>
      </c>
      <c r="H7" s="5">
        <v>846361355913038</v>
      </c>
      <c r="I7" s="5">
        <v>765164940834344</v>
      </c>
      <c r="J7" s="5">
        <v>865669271431766</v>
      </c>
      <c r="K7" s="5">
        <v>958040087550563</v>
      </c>
      <c r="L7" s="5">
        <v>816023628243741</v>
      </c>
      <c r="M7" s="5">
        <v>874229246978443</v>
      </c>
      <c r="N7" s="5">
        <v>870600377539126</v>
      </c>
      <c r="O7" s="5">
        <v>903097031914638</v>
      </c>
      <c r="P7" s="5">
        <v>961174798962534</v>
      </c>
      <c r="Q7" s="5">
        <v>108592762429452</v>
      </c>
      <c r="R7" s="5">
        <v>120148136353763</v>
      </c>
      <c r="S7" s="5">
        <v>111625411655023</v>
      </c>
      <c r="T7" s="5">
        <v>100576022011075</v>
      </c>
      <c r="U7" s="5">
        <v>83872975861154</v>
      </c>
      <c r="V7" s="5">
        <v>980672084967801</v>
      </c>
      <c r="W7" s="5">
        <v>943739619939831</v>
      </c>
      <c r="X7" s="5">
        <v>975179287109636</v>
      </c>
      <c r="Y7" s="5">
        <v>935667435177734</v>
      </c>
      <c r="Z7" s="5">
        <v>903698775545857</v>
      </c>
      <c r="AA7" s="5">
        <v>93071666810304</v>
      </c>
      <c r="AB7" s="5">
        <v>793853466867815</v>
      </c>
      <c r="AC7" s="5">
        <v>722283100775244</v>
      </c>
      <c r="AD7" s="5">
        <v>72362344470081</v>
      </c>
      <c r="AE7" s="5">
        <v>760748549422498</v>
      </c>
      <c r="AF7" s="5">
        <v>715951441246085</v>
      </c>
      <c r="AG7" s="5">
        <v>725786204199936</v>
      </c>
      <c r="AH7" s="5">
        <v>661203559477496</v>
      </c>
      <c r="AI7" s="5">
        <v>655724338011632</v>
      </c>
      <c r="AJ7" s="5">
        <v>674708123507534</v>
      </c>
      <c r="AK7" s="5">
        <v>688492360553375</v>
      </c>
      <c r="AL7" s="5">
        <v>627600712993254</v>
      </c>
      <c r="AM7" s="5">
        <v>5574126708423</v>
      </c>
      <c r="AN7" s="5">
        <v>582493433110071</v>
      </c>
      <c r="AO7" s="5">
        <v>628085142235584</v>
      </c>
      <c r="AP7" s="6">
        <v>692442991798387</v>
      </c>
      <c r="AQ7" s="6">
        <v>716515643238912</v>
      </c>
      <c r="AR7" s="6">
        <v>732711965180998</v>
      </c>
      <c r="AS7" s="6">
        <v>71934453706917</v>
      </c>
      <c r="AT7" s="6">
        <v>695360429497733</v>
      </c>
      <c r="AU7" s="6">
        <v>682777417027567</v>
      </c>
      <c r="AV7" s="6">
        <v>692932648142779</v>
      </c>
      <c r="AW7" s="6">
        <v>607467515974245</v>
      </c>
      <c r="AX7" s="6">
        <v>787590521970052</v>
      </c>
      <c r="AY7" s="6">
        <v>797484267285948</v>
      </c>
      <c r="AZ7" s="6">
        <v>765449562305136</v>
      </c>
      <c r="BA7" s="6">
        <v>710085307834566</v>
      </c>
      <c r="BB7" s="6">
        <v>633818120858846</v>
      </c>
      <c r="BC7" s="6">
        <v>711177004737715</v>
      </c>
      <c r="BD7" s="6">
        <v>68627789309512</v>
      </c>
      <c r="BE7" s="6">
        <v>783690912666937</v>
      </c>
      <c r="BF7" s="6">
        <v>853645773874872</v>
      </c>
      <c r="BG7" s="6">
        <v>870572406377036</v>
      </c>
      <c r="BH7" s="6">
        <v>867647244988524</v>
      </c>
      <c r="BI7" s="6">
        <v>92579576356769</v>
      </c>
      <c r="BJ7" s="6">
        <v>871560744644511</v>
      </c>
      <c r="BK7" s="6">
        <v>887021329273533</v>
      </c>
      <c r="BL7" s="6">
        <v>901776981585753</v>
      </c>
      <c r="BM7" s="6">
        <v>922994072031893</v>
      </c>
    </row>
    <row r="8" spans="1:65" x14ac:dyDescent="0.45">
      <c r="A8" s="1" t="s">
        <v>2</v>
      </c>
      <c r="B8" s="2">
        <v>4004092</v>
      </c>
      <c r="C8" s="3" t="s">
        <v>493</v>
      </c>
      <c r="D8" s="3" t="s">
        <v>494</v>
      </c>
      <c r="E8" s="3" t="s">
        <v>495</v>
      </c>
      <c r="F8" s="5">
        <v>17911821112882</v>
      </c>
      <c r="G8" s="5">
        <v>181890184821691</v>
      </c>
      <c r="H8" s="5">
        <v>175223583571928</v>
      </c>
      <c r="I8" s="5">
        <v>172803093174867</v>
      </c>
      <c r="J8" s="5">
        <v>178486391401955</v>
      </c>
      <c r="K8" s="5">
        <v>186837336583559</v>
      </c>
      <c r="L8" s="5">
        <v>181983468920877</v>
      </c>
      <c r="M8" s="5">
        <v>191700981507983</v>
      </c>
      <c r="N8" s="5">
        <v>18992730467824</v>
      </c>
      <c r="O8" s="5">
        <v>187894930162132</v>
      </c>
      <c r="P8" s="5">
        <v>189419351246053</v>
      </c>
      <c r="Q8" s="5">
        <v>195157019408504</v>
      </c>
      <c r="R8" s="5">
        <v>212231918873562</v>
      </c>
      <c r="S8" s="5">
        <v>197311019495251</v>
      </c>
      <c r="T8" s="5">
        <v>197605440631785</v>
      </c>
      <c r="U8" s="5">
        <v>180690089713763</v>
      </c>
      <c r="V8" s="5">
        <v>18979900253466</v>
      </c>
      <c r="W8" s="5">
        <v>181211028368749</v>
      </c>
      <c r="X8" s="5">
        <v>173729233179594</v>
      </c>
      <c r="Y8" s="5">
        <v>170061810651776</v>
      </c>
      <c r="Z8" s="5">
        <v>176838496425072</v>
      </c>
      <c r="AA8" s="5">
        <v>180879666679837</v>
      </c>
      <c r="AB8" s="5">
        <v>175378164543275</v>
      </c>
      <c r="AC8" s="5">
        <v>174447215767082</v>
      </c>
      <c r="AD8" s="5">
        <v>153363192184595</v>
      </c>
      <c r="AE8" s="5">
        <v>160483218646513</v>
      </c>
      <c r="AF8" s="5">
        <v>159692760272035</v>
      </c>
      <c r="AG8" s="5">
        <v>16409206167016</v>
      </c>
      <c r="AH8" s="5">
        <v>162130362235578</v>
      </c>
      <c r="AI8" s="5">
        <v>150620743380689</v>
      </c>
      <c r="AJ8" s="5">
        <v>143709304319582</v>
      </c>
      <c r="AK8" s="5">
        <v>151024969110356</v>
      </c>
      <c r="AL8" s="5">
        <v>148900460285812</v>
      </c>
      <c r="AM8" s="5">
        <v>126628790656668</v>
      </c>
      <c r="AN8" s="5">
        <v>123516822980648</v>
      </c>
      <c r="AO8" s="5">
        <v>139001113580597</v>
      </c>
      <c r="AP8" s="6">
        <v>136880144526097</v>
      </c>
      <c r="AQ8" s="6">
        <v>137151556496966</v>
      </c>
      <c r="AR8" s="6">
        <v>132645727659209</v>
      </c>
      <c r="AS8" s="6">
        <v>13561905911179</v>
      </c>
      <c r="AT8" s="6">
        <v>137102236214129</v>
      </c>
      <c r="AU8" s="6">
        <v>13831538854145</v>
      </c>
      <c r="AV8" s="6">
        <v>130385485665135</v>
      </c>
      <c r="AW8" s="6">
        <v>120486916881973</v>
      </c>
      <c r="AX8" s="6">
        <v>124722211331964</v>
      </c>
      <c r="AY8" s="6">
        <v>125107299873739</v>
      </c>
      <c r="AZ8" s="6">
        <v>119717714883875</v>
      </c>
      <c r="BA8" s="6">
        <v>111898682221589</v>
      </c>
      <c r="BB8" s="6">
        <v>110952865269863</v>
      </c>
      <c r="BC8" s="6">
        <v>114865866372511</v>
      </c>
      <c r="BD8" s="6">
        <v>106975592916242</v>
      </c>
      <c r="BE8" s="6">
        <v>110769389703718</v>
      </c>
      <c r="BF8" s="6">
        <v>101018370862015</v>
      </c>
      <c r="BG8" s="6">
        <v>981854049239204</v>
      </c>
      <c r="BH8" s="6">
        <v>916470647162122</v>
      </c>
      <c r="BI8" s="6">
        <v>925232238086462</v>
      </c>
      <c r="BJ8" s="6">
        <v>840742170873713</v>
      </c>
      <c r="BK8" s="6">
        <v>850935137607861</v>
      </c>
      <c r="BL8" s="6">
        <v>862868291138708</v>
      </c>
      <c r="BM8" s="6">
        <v>869785543440813</v>
      </c>
    </row>
    <row r="9" spans="1:65" x14ac:dyDescent="0.45">
      <c r="A9" s="1" t="s">
        <v>3</v>
      </c>
      <c r="B9" s="2">
        <v>4558282</v>
      </c>
      <c r="C9" s="3" t="s">
        <v>496</v>
      </c>
      <c r="D9" s="3" t="s">
        <v>497</v>
      </c>
      <c r="E9" s="3" t="s">
        <v>498</v>
      </c>
      <c r="F9" s="5">
        <v>267336191435352</v>
      </c>
      <c r="G9" s="5">
        <v>276313080056234</v>
      </c>
      <c r="H9" s="5">
        <v>261742340086859</v>
      </c>
      <c r="I9" s="5">
        <v>24199469595971</v>
      </c>
      <c r="J9" s="5">
        <v>236050313109204</v>
      </c>
      <c r="K9" s="5">
        <v>248627447838308</v>
      </c>
      <c r="L9" s="5">
        <v>258904345126727</v>
      </c>
      <c r="M9" s="5">
        <v>242736561953647</v>
      </c>
      <c r="N9" s="5">
        <v>246174958032663</v>
      </c>
      <c r="O9" s="5">
        <v>257756470616482</v>
      </c>
      <c r="P9" s="5">
        <v>232748874823739</v>
      </c>
      <c r="Q9" s="5">
        <v>216062204039117</v>
      </c>
      <c r="R9" s="5">
        <v>210478933455207</v>
      </c>
      <c r="S9" s="5">
        <v>180812477876613</v>
      </c>
      <c r="T9" s="5">
        <v>17524481738644</v>
      </c>
      <c r="U9" s="5">
        <v>164471443816666</v>
      </c>
      <c r="V9" s="5">
        <v>180825911151602</v>
      </c>
      <c r="W9" s="5">
        <v>173162027421542</v>
      </c>
      <c r="X9" s="5">
        <v>167792139264066</v>
      </c>
      <c r="Y9" s="5">
        <v>164047790301082</v>
      </c>
      <c r="Z9" s="5">
        <v>16358161562416</v>
      </c>
      <c r="AA9" s="5">
        <v>162723010221769</v>
      </c>
      <c r="AB9" s="5">
        <v>157246661096416</v>
      </c>
      <c r="AC9" s="5">
        <v>149046647372803</v>
      </c>
      <c r="AD9" s="5">
        <v>154646908969425</v>
      </c>
      <c r="AE9" s="5">
        <v>154482651041103</v>
      </c>
      <c r="AF9" s="5">
        <v>12887573005421</v>
      </c>
      <c r="AG9" s="5">
        <v>131641813204996</v>
      </c>
      <c r="AH9" s="5">
        <v>14138362389442</v>
      </c>
      <c r="AI9" s="5">
        <v>141388174353562</v>
      </c>
      <c r="AJ9" s="5">
        <v>153751577753007</v>
      </c>
      <c r="AK9" s="5">
        <v>146902969631113</v>
      </c>
      <c r="AL9" s="5">
        <v>110955747653768</v>
      </c>
      <c r="AM9" s="5">
        <v>102382008129783</v>
      </c>
      <c r="AN9" s="5">
        <v>115279707599426</v>
      </c>
      <c r="AO9" s="5">
        <v>108072305798564</v>
      </c>
      <c r="AP9" s="6">
        <v>116676018984955</v>
      </c>
      <c r="AQ9" s="6">
        <v>117749279320097</v>
      </c>
      <c r="AR9" s="6">
        <v>105510971552603</v>
      </c>
      <c r="AS9" s="6">
        <v>102670075207272</v>
      </c>
      <c r="AT9" s="6">
        <v>883701736122011</v>
      </c>
      <c r="AU9" s="6">
        <v>884920894827642</v>
      </c>
      <c r="AV9" s="6">
        <v>944769051830036</v>
      </c>
      <c r="AW9" s="6">
        <v>10173370687014</v>
      </c>
      <c r="AX9" s="6">
        <v>104736211109458</v>
      </c>
      <c r="AY9" s="6">
        <v>106140637581451</v>
      </c>
      <c r="AZ9" s="6">
        <v>102637260857903</v>
      </c>
      <c r="BA9" s="6">
        <v>105435290725187</v>
      </c>
      <c r="BB9" s="6">
        <v>121117612362766</v>
      </c>
      <c r="BC9" s="6">
        <v>125239944282803</v>
      </c>
      <c r="BD9" s="6">
        <v>104152395447972</v>
      </c>
      <c r="BE9" s="6">
        <v>123269378066326</v>
      </c>
      <c r="BF9" s="6">
        <v>125210318296805</v>
      </c>
      <c r="BG9" s="6">
        <v>119324187322966</v>
      </c>
      <c r="BH9" s="6">
        <v>120232292579104</v>
      </c>
      <c r="BI9" s="6">
        <v>13466392001684</v>
      </c>
      <c r="BJ9" s="6">
        <v>12687581131297</v>
      </c>
      <c r="BK9" s="6">
        <v>122126332808834</v>
      </c>
      <c r="BL9" s="6">
        <v>150642660682864</v>
      </c>
      <c r="BM9" s="6">
        <v>144019766585389</v>
      </c>
    </row>
    <row r="10" spans="1:65" x14ac:dyDescent="0.45">
      <c r="A10" s="1" t="s">
        <v>4</v>
      </c>
      <c r="B10" s="2">
        <v>4142760</v>
      </c>
      <c r="C10" s="3" t="s">
        <v>499</v>
      </c>
      <c r="D10" s="3" t="s">
        <v>500</v>
      </c>
      <c r="E10" s="3" t="s">
        <v>501</v>
      </c>
      <c r="F10" s="5">
        <v>157234896525991</v>
      </c>
      <c r="G10" s="5">
        <v>183864780503207</v>
      </c>
      <c r="H10" s="5">
        <v>180901041261277</v>
      </c>
      <c r="I10" s="5">
        <v>16583334928</v>
      </c>
      <c r="J10" s="5">
        <v>181169212681959</v>
      </c>
      <c r="K10" s="5">
        <v>189927069755717</v>
      </c>
      <c r="L10" s="5">
        <v>168004665184923</v>
      </c>
      <c r="M10" s="5">
        <v>176208642855601</v>
      </c>
      <c r="N10" s="5">
        <v>180526559742141</v>
      </c>
      <c r="O10" s="5">
        <v>192284277527192</v>
      </c>
      <c r="P10" s="5">
        <v>177854999042036</v>
      </c>
      <c r="Q10" s="5">
        <v>199507605905701</v>
      </c>
      <c r="R10" s="5">
        <v>230372999362168</v>
      </c>
      <c r="S10" s="5">
        <v>200283968853067</v>
      </c>
      <c r="T10" s="5">
        <v>195986482588558</v>
      </c>
      <c r="U10" s="5">
        <v>174725075808</v>
      </c>
      <c r="V10" s="5">
        <v>180813681636675</v>
      </c>
      <c r="W10" s="5">
        <v>169824479324528</v>
      </c>
      <c r="X10" s="5">
        <v>157662782473308</v>
      </c>
      <c r="Y10" s="5">
        <v>147160133705177</v>
      </c>
      <c r="Z10" s="5">
        <v>153224068834139</v>
      </c>
      <c r="AA10" s="5">
        <v>149609104404825</v>
      </c>
      <c r="AB10" s="5">
        <v>131520882020369</v>
      </c>
      <c r="AC10" s="5">
        <v>126399325062657</v>
      </c>
      <c r="AD10" s="5">
        <v>135434327006694</v>
      </c>
      <c r="AE10" s="5">
        <v>13204376133555</v>
      </c>
      <c r="AF10" s="5">
        <v>11792592775241</v>
      </c>
      <c r="AG10" s="5">
        <v>122438004243719</v>
      </c>
      <c r="AH10" s="5">
        <v>127685583747936</v>
      </c>
      <c r="AI10" s="5">
        <v>120881517368807</v>
      </c>
      <c r="AJ10" s="5">
        <v>121386439916954</v>
      </c>
      <c r="AK10" s="5">
        <v>11552949831022</v>
      </c>
      <c r="AL10" s="5">
        <v>107837385508294</v>
      </c>
      <c r="AM10" s="5">
        <v>94640994182007</v>
      </c>
      <c r="AN10" s="5">
        <v>104272963156746</v>
      </c>
      <c r="AO10" s="5">
        <v>117537347063559</v>
      </c>
      <c r="AP10" s="6">
        <v>119149923243588</v>
      </c>
      <c r="AQ10" s="6">
        <v>115945246454884</v>
      </c>
      <c r="AR10" s="6">
        <v>105636564163336</v>
      </c>
      <c r="AS10" s="6">
        <v>112394371822668</v>
      </c>
      <c r="AT10" s="6">
        <v>114797655000067</v>
      </c>
      <c r="AU10" s="6">
        <v>110246533838525</v>
      </c>
      <c r="AV10" s="6">
        <v>103456358374805</v>
      </c>
      <c r="AW10" s="6">
        <v>101891583791237</v>
      </c>
      <c r="AX10" s="6">
        <v>10398774274326</v>
      </c>
      <c r="AY10" s="6">
        <v>100033719728188</v>
      </c>
      <c r="AZ10" s="6">
        <v>903314239866719</v>
      </c>
      <c r="BA10" s="6">
        <v>854494423284442</v>
      </c>
      <c r="BB10" s="6">
        <v>785069794811217</v>
      </c>
      <c r="BC10" s="6">
        <v>927533986839291</v>
      </c>
      <c r="BD10" s="6">
        <v>888934880991736</v>
      </c>
      <c r="BE10" s="6">
        <v>938639165455201</v>
      </c>
      <c r="BF10" s="6">
        <v>933273957527906</v>
      </c>
      <c r="BG10" s="6">
        <v>872362394744313</v>
      </c>
      <c r="BH10" s="6">
        <v>898412033525981</v>
      </c>
      <c r="BI10" s="6">
        <v>859024330730551</v>
      </c>
      <c r="BJ10" s="6">
        <v>805298521451155</v>
      </c>
      <c r="BK10" s="6">
        <v>802741349397736</v>
      </c>
      <c r="BL10" s="6">
        <v>813182734218418</v>
      </c>
      <c r="BM10" s="6">
        <v>796653195735319</v>
      </c>
    </row>
    <row r="11" spans="1:65" x14ac:dyDescent="0.45">
      <c r="A11" s="1" t="s">
        <v>5</v>
      </c>
      <c r="B11" s="2">
        <v>4047847</v>
      </c>
      <c r="C11" s="3" t="s">
        <v>502</v>
      </c>
      <c r="D11" s="3" t="s">
        <v>503</v>
      </c>
      <c r="E11" s="3" t="s">
        <v>504</v>
      </c>
      <c r="F11" s="5">
        <v>1463928821529</v>
      </c>
      <c r="G11" s="5">
        <v>1554991109029</v>
      </c>
      <c r="H11" s="5">
        <v>149743848345</v>
      </c>
      <c r="I11" s="5">
        <v>130473701504</v>
      </c>
      <c r="J11" s="5">
        <v>173529053568</v>
      </c>
      <c r="K11" s="5">
        <v>188174211264</v>
      </c>
      <c r="L11" s="5">
        <v>163880962128</v>
      </c>
      <c r="M11" s="5">
        <v>18342497628</v>
      </c>
      <c r="N11" s="5">
        <v>1775262612375</v>
      </c>
      <c r="O11" s="5">
        <v>19379546109</v>
      </c>
      <c r="P11" s="5">
        <v>196448446168</v>
      </c>
      <c r="Q11" s="5">
        <v>225011767968</v>
      </c>
      <c r="R11" s="5">
        <v>2372414252364</v>
      </c>
      <c r="S11" s="5">
        <v>282763619736</v>
      </c>
      <c r="T11" s="5">
        <v>2676048258624</v>
      </c>
      <c r="U11" s="5">
        <v>2363447125728</v>
      </c>
      <c r="V11" s="5">
        <v>267873355296</v>
      </c>
      <c r="W11" s="5">
        <v>249649840476</v>
      </c>
      <c r="X11" s="5">
        <v>2353076688864</v>
      </c>
      <c r="Y11" s="5">
        <v>19789577142</v>
      </c>
      <c r="Z11" s="5">
        <v>201994694076</v>
      </c>
      <c r="AA11" s="5">
        <v>19359728472</v>
      </c>
      <c r="AB11" s="5">
        <v>1818663899685</v>
      </c>
      <c r="AC11" s="5">
        <v>1809173533362</v>
      </c>
      <c r="AD11" s="5">
        <v>196132194733482</v>
      </c>
      <c r="AE11" s="5">
        <v>192048706340722</v>
      </c>
      <c r="AF11" s="5">
        <v>184047310798529</v>
      </c>
      <c r="AG11" s="5">
        <v>200354723437119</v>
      </c>
      <c r="AH11" s="5">
        <v>205992589442501</v>
      </c>
      <c r="AI11" s="5">
        <v>180154443306343</v>
      </c>
      <c r="AJ11" s="5">
        <v>185542412613025</v>
      </c>
      <c r="AK11" s="5">
        <v>167544655644695</v>
      </c>
      <c r="AL11" s="5">
        <v>155748062476175</v>
      </c>
      <c r="AM11" s="5">
        <v>13952875527864</v>
      </c>
      <c r="AN11" s="5">
        <v>151658079119875</v>
      </c>
      <c r="AO11" s="5">
        <v>152704514446473</v>
      </c>
      <c r="AP11" s="6">
        <v>141756389023249</v>
      </c>
      <c r="AQ11" s="6">
        <v>135991926733406</v>
      </c>
      <c r="AR11" s="6">
        <v>120695805112815</v>
      </c>
      <c r="AS11" s="6">
        <v>122640771001715</v>
      </c>
      <c r="AT11" s="6">
        <v>125571596034983</v>
      </c>
      <c r="AU11" s="6">
        <v>130352788227571</v>
      </c>
      <c r="AV11" s="6">
        <v>125698746039036</v>
      </c>
      <c r="AW11" s="6">
        <v>1185839802725</v>
      </c>
      <c r="AX11" s="6">
        <v>125967280659504</v>
      </c>
      <c r="AY11" s="6">
        <v>115860335698862</v>
      </c>
      <c r="AZ11" s="6">
        <v>112421433064894</v>
      </c>
      <c r="BA11" s="6">
        <v>105517970250877</v>
      </c>
      <c r="BB11" s="6">
        <v>964542164782824</v>
      </c>
      <c r="BC11" s="6">
        <v>108163579144231</v>
      </c>
      <c r="BD11" s="6">
        <v>105987925058642</v>
      </c>
      <c r="BE11" s="6">
        <v>113415855379669</v>
      </c>
      <c r="BF11" s="6">
        <v>111160212084725</v>
      </c>
      <c r="BG11" s="6">
        <v>102378207833583</v>
      </c>
      <c r="BH11" s="6">
        <v>102324585365787</v>
      </c>
      <c r="BI11" s="6">
        <v>105293829481818</v>
      </c>
      <c r="BJ11" s="6">
        <v>903826472086552</v>
      </c>
      <c r="BK11" s="6">
        <v>865350434572658</v>
      </c>
      <c r="BL11" s="6">
        <v>841963267534416</v>
      </c>
      <c r="BM11" s="6">
        <v>789411526975489</v>
      </c>
    </row>
    <row r="12" spans="1:65" x14ac:dyDescent="0.45">
      <c r="A12" s="1" t="s">
        <v>6</v>
      </c>
      <c r="B12" s="2">
        <v>4066743</v>
      </c>
      <c r="C12" s="3" t="s">
        <v>505</v>
      </c>
      <c r="D12" s="3" t="s">
        <v>506</v>
      </c>
      <c r="E12" s="3" t="s">
        <v>507</v>
      </c>
      <c r="F12" s="5">
        <v>977173111689408</v>
      </c>
      <c r="G12" s="5">
        <v>121374642427721</v>
      </c>
      <c r="H12" s="5">
        <v>980517173337702</v>
      </c>
      <c r="I12" s="5">
        <v>104308582994035</v>
      </c>
      <c r="J12" s="5">
        <v>136034662138041</v>
      </c>
      <c r="K12" s="5">
        <v>150088829809739</v>
      </c>
      <c r="L12" s="5">
        <v>118542101028101</v>
      </c>
      <c r="M12" s="5">
        <v>153857026008052</v>
      </c>
      <c r="N12" s="5">
        <v>131475694661433</v>
      </c>
      <c r="O12" s="5">
        <v>159468685164377</v>
      </c>
      <c r="P12" s="5">
        <v>178740443942859</v>
      </c>
      <c r="Q12" s="5">
        <v>123179164675092</v>
      </c>
      <c r="R12" s="5">
        <v>152800484536428</v>
      </c>
      <c r="S12" s="5">
        <v>169676350355208</v>
      </c>
      <c r="T12" s="5">
        <v>125561181128021</v>
      </c>
      <c r="U12" s="5">
        <v>107689629222358</v>
      </c>
      <c r="V12" s="5">
        <v>113778549974719</v>
      </c>
      <c r="W12" s="5">
        <v>108582432318174</v>
      </c>
      <c r="X12" s="5">
        <v>962546445605085</v>
      </c>
      <c r="Y12" s="5">
        <v>798337308415046</v>
      </c>
      <c r="Z12" s="5">
        <v>824400310264091</v>
      </c>
      <c r="AA12" s="5">
        <v>81235386372666</v>
      </c>
      <c r="AB12" s="5">
        <v>846080258806167</v>
      </c>
      <c r="AC12" s="5">
        <v>854560856519121</v>
      </c>
      <c r="AD12" s="5">
        <v>902729709887607</v>
      </c>
      <c r="AE12" s="5">
        <v>932445759575028</v>
      </c>
      <c r="AF12" s="5">
        <v>777028078309897</v>
      </c>
      <c r="AG12" s="5">
        <v>819757908698777</v>
      </c>
      <c r="AH12" s="5">
        <v>891941803593531</v>
      </c>
      <c r="AI12" s="5">
        <v>768438657013998</v>
      </c>
      <c r="AJ12" s="5">
        <v>547522679821907</v>
      </c>
      <c r="AK12" s="5">
        <v>566775340010607</v>
      </c>
      <c r="AL12" s="5">
        <v>560879555840205</v>
      </c>
      <c r="AM12" s="5">
        <v>484578298454796</v>
      </c>
      <c r="AN12" s="5">
        <v>483713107134647</v>
      </c>
      <c r="AO12" s="5">
        <v>48269777537168</v>
      </c>
      <c r="AP12" s="6">
        <v>465298225052641</v>
      </c>
      <c r="AQ12" s="6">
        <v>404573241763109</v>
      </c>
      <c r="AR12" s="6">
        <v>338972662146634</v>
      </c>
      <c r="AS12" s="6">
        <v>288611268636697</v>
      </c>
      <c r="AT12" s="6">
        <v>310404816750081</v>
      </c>
      <c r="AU12" s="6">
        <v>296998156384477</v>
      </c>
      <c r="AV12" s="6">
        <v>288670104258598</v>
      </c>
      <c r="AW12" s="6">
        <v>265960328758165</v>
      </c>
      <c r="AX12" s="6">
        <v>266711180573423</v>
      </c>
      <c r="AY12" s="6">
        <v>245929420339654</v>
      </c>
      <c r="AZ12" s="6">
        <v>223208038481272</v>
      </c>
      <c r="BA12" s="6">
        <v>212972978144549</v>
      </c>
      <c r="BB12" s="6">
        <v>161134065649082</v>
      </c>
      <c r="BC12" s="6">
        <v>188010084525466</v>
      </c>
      <c r="BD12" s="6">
        <v>160789979738686</v>
      </c>
      <c r="BE12" s="6">
        <v>259189551601484</v>
      </c>
      <c r="BF12" s="6">
        <v>211390894474976</v>
      </c>
      <c r="BG12" s="6">
        <v>151828203438842</v>
      </c>
      <c r="BH12" s="6">
        <v>124540627344009</v>
      </c>
      <c r="BI12" s="6">
        <v>114152090277093</v>
      </c>
      <c r="BJ12" s="6">
        <v>873266777087821</v>
      </c>
      <c r="BK12" s="6">
        <v>792038418988308</v>
      </c>
      <c r="BL12" s="6">
        <v>961172209425519</v>
      </c>
      <c r="BM12" s="6">
        <v>106567659421164</v>
      </c>
    </row>
    <row r="13" spans="1:65" x14ac:dyDescent="0.45">
      <c r="A13" s="1" t="s">
        <v>7</v>
      </c>
      <c r="B13" s="2">
        <v>103316</v>
      </c>
      <c r="C13" s="3" t="s">
        <v>508</v>
      </c>
      <c r="D13" s="3" t="s">
        <v>509</v>
      </c>
      <c r="E13" s="3" t="s">
        <v>510</v>
      </c>
      <c r="F13" s="5">
        <v>418552355492885</v>
      </c>
      <c r="G13" s="5">
        <v>433700760118398</v>
      </c>
      <c r="H13" s="5">
        <v>41079051993924</v>
      </c>
      <c r="I13" s="5">
        <v>362168774436593</v>
      </c>
      <c r="J13" s="5">
        <v>372818829351884</v>
      </c>
      <c r="K13" s="5">
        <v>36187179718063</v>
      </c>
      <c r="L13" s="5">
        <v>340947774108208</v>
      </c>
      <c r="M13" s="5">
        <v>363677886387338</v>
      </c>
      <c r="N13" s="5">
        <v>350122699805977</v>
      </c>
      <c r="O13" s="5">
        <v>37639887992815</v>
      </c>
      <c r="P13" s="5">
        <v>353528507602644</v>
      </c>
      <c r="Q13" s="5">
        <v>371022705862554</v>
      </c>
      <c r="R13" s="5">
        <v>339643981396256</v>
      </c>
      <c r="S13" s="5">
        <v>317751902354527</v>
      </c>
      <c r="T13" s="5">
        <v>307040490354737</v>
      </c>
      <c r="U13" s="5">
        <v>301684461003636</v>
      </c>
      <c r="V13" s="5">
        <v>322085273770703</v>
      </c>
      <c r="W13" s="5">
        <v>31098922646385</v>
      </c>
      <c r="X13" s="5">
        <v>307595939810495</v>
      </c>
      <c r="Y13" s="5">
        <v>3160856360437</v>
      </c>
      <c r="Z13" s="5">
        <v>303578460773683</v>
      </c>
      <c r="AA13" s="5">
        <v>299830523384362</v>
      </c>
      <c r="AB13" s="5">
        <v>272550238621251</v>
      </c>
      <c r="AC13" s="5">
        <v>261445090681046</v>
      </c>
      <c r="AD13" s="5">
        <v>255368524869101</v>
      </c>
      <c r="AE13" s="5">
        <v>258192396900716</v>
      </c>
      <c r="AF13" s="5">
        <v>204639825877363</v>
      </c>
      <c r="AG13" s="5">
        <v>220686731831595</v>
      </c>
      <c r="AH13" s="5">
        <v>21659475736435</v>
      </c>
      <c r="AI13" s="5">
        <v>214353653141993</v>
      </c>
      <c r="AJ13" s="5">
        <v>229719186517471</v>
      </c>
      <c r="AK13" s="5">
        <v>23537678668434</v>
      </c>
      <c r="AL13" s="5">
        <v>244247473413442</v>
      </c>
      <c r="AM13" s="5">
        <v>2251258897888</v>
      </c>
      <c r="AN13" s="5">
        <v>281519389070535</v>
      </c>
      <c r="AO13" s="5">
        <v>341436845156814</v>
      </c>
      <c r="AP13" s="6">
        <v>346010144368119</v>
      </c>
      <c r="AQ13" s="6">
        <v>365341198638398</v>
      </c>
      <c r="AR13" s="6">
        <v>350051985179464</v>
      </c>
      <c r="AS13" s="6">
        <v>355255707175711</v>
      </c>
      <c r="AT13" s="6">
        <v>337789945841728</v>
      </c>
      <c r="AU13" s="6">
        <v>350179402108284</v>
      </c>
      <c r="AV13" s="6">
        <v>359070319280083</v>
      </c>
      <c r="AW13" s="6">
        <v>343074057833964</v>
      </c>
      <c r="AX13" s="6">
        <v>335193852870838</v>
      </c>
      <c r="AY13" s="6">
        <v>3336126006015</v>
      </c>
      <c r="AZ13" s="6">
        <v>323767174260757</v>
      </c>
      <c r="BA13" s="6">
        <v>314516951406</v>
      </c>
      <c r="BB13" s="6">
        <v>302929068692919</v>
      </c>
      <c r="BC13" s="6">
        <v>30753834106633</v>
      </c>
      <c r="BD13" s="6">
        <v>29038239149985</v>
      </c>
      <c r="BE13" s="6">
        <v>311060062545924</v>
      </c>
      <c r="BF13" s="6">
        <v>305859068056261</v>
      </c>
      <c r="BG13" s="6">
        <v>3059273968296</v>
      </c>
      <c r="BH13" s="6">
        <v>285454297969259</v>
      </c>
      <c r="BI13" s="6">
        <v>29919978884644</v>
      </c>
      <c r="BJ13" s="6">
        <v>29277902343018</v>
      </c>
      <c r="BK13" s="6">
        <v>278218492601684</v>
      </c>
      <c r="BL13" s="6">
        <v>283660842702838</v>
      </c>
      <c r="BM13" s="6">
        <v>276848135109</v>
      </c>
    </row>
    <row r="14" spans="1:65" x14ac:dyDescent="0.45">
      <c r="A14" s="1" t="s">
        <v>8</v>
      </c>
      <c r="B14" s="2">
        <v>4075849</v>
      </c>
      <c r="C14" s="3" t="s">
        <v>511</v>
      </c>
      <c r="D14" s="3" t="s">
        <v>512</v>
      </c>
      <c r="E14" s="3" t="s">
        <v>513</v>
      </c>
      <c r="F14" s="5">
        <v>414582290614602</v>
      </c>
      <c r="G14" s="5">
        <v>4433381127</v>
      </c>
      <c r="H14" s="5">
        <v>414200293648124</v>
      </c>
      <c r="I14" s="5">
        <v>366962091629133</v>
      </c>
      <c r="J14" s="5">
        <v>380373120939078</v>
      </c>
      <c r="K14" s="5">
        <v>392716380035318</v>
      </c>
      <c r="L14" s="5">
        <v>339378298889174</v>
      </c>
      <c r="M14" s="5">
        <v>355159923689339</v>
      </c>
      <c r="N14" s="5">
        <v>339654223763282</v>
      </c>
      <c r="O14" s="5">
        <v>357505456612047</v>
      </c>
      <c r="P14" s="5">
        <v>348681740916938</v>
      </c>
      <c r="Q14" s="5">
        <v>375643377267621</v>
      </c>
      <c r="R14" s="5">
        <v>423949458730553</v>
      </c>
      <c r="S14" s="5">
        <v>405280506533846</v>
      </c>
      <c r="T14" s="5">
        <v>412300257719751</v>
      </c>
      <c r="U14" s="5">
        <v>411451217507265</v>
      </c>
      <c r="V14" s="5">
        <v>451093187756034</v>
      </c>
      <c r="W14" s="5">
        <v>391966383241702</v>
      </c>
      <c r="X14" s="5">
        <v>378281287997867</v>
      </c>
      <c r="Y14" s="5">
        <v>345330954863725</v>
      </c>
      <c r="Z14" s="5">
        <v>33850349709494</v>
      </c>
      <c r="AA14" s="5">
        <v>330058342326492</v>
      </c>
      <c r="AB14" s="5">
        <v>30810992831176</v>
      </c>
      <c r="AC14" s="5">
        <v>303768897909742</v>
      </c>
      <c r="AD14" s="5">
        <v>297231557744674</v>
      </c>
      <c r="AE14" s="5">
        <v>301558363105661</v>
      </c>
      <c r="AF14" s="5">
        <v>270089812197384</v>
      </c>
      <c r="AG14" s="5">
        <v>26502451612656</v>
      </c>
      <c r="AH14" s="5">
        <v>259377119379367</v>
      </c>
      <c r="AI14" s="5">
        <v>251430482983616</v>
      </c>
      <c r="AJ14" s="5">
        <v>242469247293445</v>
      </c>
      <c r="AK14" s="5">
        <v>2441883444</v>
      </c>
      <c r="AL14" s="5">
        <v>216987898746973</v>
      </c>
      <c r="AM14" s="5">
        <v>201812796017378</v>
      </c>
      <c r="AN14" s="5">
        <v>217785781876067</v>
      </c>
      <c r="AO14" s="5">
        <v>230990859536448</v>
      </c>
      <c r="AP14" s="6">
        <v>235800628707955</v>
      </c>
      <c r="AQ14" s="6">
        <v>226861012699297</v>
      </c>
      <c r="AR14" s="6">
        <v>210299766354854</v>
      </c>
      <c r="AS14" s="6">
        <v>217485754382499</v>
      </c>
      <c r="AT14" s="6">
        <v>200080793928817</v>
      </c>
      <c r="AU14" s="6">
        <v>197068890582445</v>
      </c>
      <c r="AV14" s="6">
        <v>207354824942666</v>
      </c>
      <c r="AW14" s="6">
        <v>190071754991104</v>
      </c>
      <c r="AX14" s="6">
        <v>222455586769762</v>
      </c>
      <c r="AY14" s="6">
        <v>22740035665246</v>
      </c>
      <c r="AZ14" s="6">
        <v>221556713660546</v>
      </c>
      <c r="BA14" s="6">
        <v>211479350345991</v>
      </c>
      <c r="BB14" s="6">
        <v>187678286612685</v>
      </c>
      <c r="BC14" s="6">
        <v>203692210439174</v>
      </c>
      <c r="BD14" s="6">
        <v>182469952524399</v>
      </c>
      <c r="BE14" s="6">
        <v>193537035097186</v>
      </c>
      <c r="BF14" s="6">
        <v>185478324185734</v>
      </c>
      <c r="BG14" s="6">
        <v>180552760136887</v>
      </c>
      <c r="BH14" s="6">
        <v>169584430113141</v>
      </c>
      <c r="BI14" s="6">
        <v>169922683500748</v>
      </c>
      <c r="BJ14" s="6">
        <v>175575172533256</v>
      </c>
      <c r="BK14" s="6">
        <v>175437191254633</v>
      </c>
      <c r="BL14" s="6">
        <v>181434693258</v>
      </c>
      <c r="BM14" s="6">
        <v>190678759116062</v>
      </c>
    </row>
    <row r="15" spans="1:65" x14ac:dyDescent="0.45">
      <c r="A15" s="1" t="s">
        <v>9</v>
      </c>
      <c r="B15" s="2">
        <v>4014726</v>
      </c>
      <c r="C15" s="3" t="s">
        <v>514</v>
      </c>
      <c r="D15" s="3" t="s">
        <v>515</v>
      </c>
      <c r="E15" s="3" t="s">
        <v>516</v>
      </c>
      <c r="F15" s="5">
        <v>640298860248236</v>
      </c>
      <c r="G15" s="5">
        <v>667288868935296</v>
      </c>
      <c r="H15" s="5">
        <v>561660497483486</v>
      </c>
      <c r="I15" s="5">
        <v>52641338767061</v>
      </c>
      <c r="J15" s="5">
        <v>555956016195581</v>
      </c>
      <c r="K15" s="5">
        <v>539717974191703</v>
      </c>
      <c r="L15" s="5">
        <v>510174387209799</v>
      </c>
      <c r="M15" s="5">
        <v>508849442386837</v>
      </c>
      <c r="N15" s="5">
        <v>492454322086829</v>
      </c>
      <c r="O15" s="5">
        <v>4987953484509</v>
      </c>
      <c r="P15" s="5">
        <v>46654914417083</v>
      </c>
      <c r="Q15" s="5">
        <v>558371310040351</v>
      </c>
      <c r="R15" s="5">
        <v>593085044501199</v>
      </c>
      <c r="S15" s="5">
        <v>564761108576854</v>
      </c>
      <c r="T15" s="5">
        <v>573944745203861</v>
      </c>
      <c r="U15" s="5">
        <v>489153270110393</v>
      </c>
      <c r="V15" s="5">
        <v>505439431184635</v>
      </c>
      <c r="W15" s="5">
        <v>542968616103388</v>
      </c>
      <c r="X15" s="5">
        <v>536973261543305</v>
      </c>
      <c r="Y15" s="5">
        <v>544147645681457</v>
      </c>
      <c r="Z15" s="5">
        <v>530651686429714</v>
      </c>
      <c r="AA15" s="5">
        <v>530404422781752</v>
      </c>
      <c r="AB15" s="5">
        <v>467491530609177</v>
      </c>
      <c r="AC15" s="5">
        <v>485770541801959</v>
      </c>
      <c r="AD15" s="5">
        <v>493729329316631</v>
      </c>
      <c r="AE15" s="5">
        <v>518071164803257</v>
      </c>
      <c r="AF15" s="5">
        <v>523611439479565</v>
      </c>
      <c r="AG15" s="5">
        <v>560315319681926</v>
      </c>
      <c r="AH15" s="5">
        <v>540032608108442</v>
      </c>
      <c r="AI15" s="5">
        <v>535201314554815</v>
      </c>
      <c r="AJ15" s="5">
        <v>473868725392213</v>
      </c>
      <c r="AK15" s="5">
        <v>480058881400712</v>
      </c>
      <c r="AL15" s="5">
        <v>455408196601447</v>
      </c>
      <c r="AM15" s="5">
        <v>400851649307382</v>
      </c>
      <c r="AN15" s="5">
        <v>440675890621358</v>
      </c>
      <c r="AO15" s="5">
        <v>475157007152744</v>
      </c>
      <c r="AP15" s="6">
        <v>46169750651311</v>
      </c>
      <c r="AQ15" s="6">
        <v>472815576818889</v>
      </c>
      <c r="AR15" s="6">
        <v>421573637316909</v>
      </c>
      <c r="AS15" s="6">
        <v>44835176673155</v>
      </c>
      <c r="AT15" s="6">
        <v>452623699262185</v>
      </c>
      <c r="AU15" s="6">
        <v>451949701202077</v>
      </c>
      <c r="AV15" s="6">
        <v>437918412041413</v>
      </c>
      <c r="AW15" s="6">
        <v>402051405991184</v>
      </c>
      <c r="AX15" s="6">
        <v>404312136574096</v>
      </c>
      <c r="AY15" s="6">
        <v>373692246570166</v>
      </c>
      <c r="AZ15" s="6">
        <v>34942036220799</v>
      </c>
      <c r="BA15" s="6">
        <v>315198118392024</v>
      </c>
      <c r="BB15" s="6">
        <v>306902620321655</v>
      </c>
      <c r="BC15" s="6">
        <v>311914085274363</v>
      </c>
      <c r="BD15" s="6">
        <v>299018010708396</v>
      </c>
      <c r="BE15" s="6">
        <v>315269852221678</v>
      </c>
      <c r="BF15" s="6">
        <v>314127223245022</v>
      </c>
      <c r="BG15" s="6">
        <v>307602616635794</v>
      </c>
      <c r="BH15" s="6">
        <v>292571321402665</v>
      </c>
      <c r="BI15" s="6">
        <v>303454667671071</v>
      </c>
      <c r="BJ15" s="6">
        <v>294615072063554</v>
      </c>
      <c r="BK15" s="6">
        <v>283139303939724</v>
      </c>
      <c r="BL15" s="6">
        <v>28831462183554</v>
      </c>
      <c r="BM15" s="6">
        <v>296340133176278</v>
      </c>
    </row>
    <row r="16" spans="1:65" x14ac:dyDescent="0.45">
      <c r="A16" s="1" t="s">
        <v>10</v>
      </c>
      <c r="B16" s="2">
        <v>4186103</v>
      </c>
      <c r="C16" s="3" t="s">
        <v>517</v>
      </c>
      <c r="D16" s="3" t="s">
        <v>518</v>
      </c>
      <c r="E16" s="3" t="s">
        <v>519</v>
      </c>
      <c r="F16" s="5">
        <v>124031949442369</v>
      </c>
      <c r="G16" s="5">
        <v>144640489034007</v>
      </c>
      <c r="H16" s="5">
        <v>141993441753754</v>
      </c>
      <c r="I16" s="5">
        <v>1302023299273</v>
      </c>
      <c r="J16" s="5">
        <v>142487612488627</v>
      </c>
      <c r="K16" s="5">
        <v>15122244183319</v>
      </c>
      <c r="L16" s="5">
        <v>140052680564817</v>
      </c>
      <c r="M16" s="5">
        <v>150974443287411</v>
      </c>
      <c r="N16" s="5">
        <v>171428126829406</v>
      </c>
      <c r="O16" s="5">
        <v>17292834690556</v>
      </c>
      <c r="P16" s="5">
        <v>154583043554077</v>
      </c>
      <c r="Q16" s="5">
        <v>166168600044998</v>
      </c>
      <c r="R16" s="5">
        <v>167213397898452</v>
      </c>
      <c r="S16" s="5">
        <v>16245950852255</v>
      </c>
      <c r="T16" s="5">
        <v>148503758955525</v>
      </c>
      <c r="U16" s="5">
        <v>146938058849599</v>
      </c>
      <c r="V16" s="5">
        <v>156227742266814</v>
      </c>
      <c r="W16" s="5">
        <v>164772466953636</v>
      </c>
      <c r="X16" s="5">
        <v>160286740192414</v>
      </c>
      <c r="Y16" s="5">
        <v>152738375221289</v>
      </c>
      <c r="Z16" s="5">
        <v>147527394071033</v>
      </c>
      <c r="AA16" s="5">
        <v>14170587977076</v>
      </c>
      <c r="AB16" s="5">
        <v>127481967731475</v>
      </c>
      <c r="AC16" s="5">
        <v>148901985825178</v>
      </c>
      <c r="AD16" s="5">
        <v>139724981040981</v>
      </c>
      <c r="AE16" s="5">
        <v>140990691274162</v>
      </c>
      <c r="AF16" s="5">
        <v>132803729612364</v>
      </c>
      <c r="AG16" s="5">
        <v>153163626672349</v>
      </c>
      <c r="AH16" s="5">
        <v>158464276072514</v>
      </c>
      <c r="AI16" s="5">
        <v>154234635212591</v>
      </c>
      <c r="AJ16" s="5">
        <v>154420669912781</v>
      </c>
      <c r="AK16" s="5">
        <v>154431909042712</v>
      </c>
      <c r="AL16" s="5">
        <v>145121203435675</v>
      </c>
      <c r="AM16" s="5">
        <v>134776196982063</v>
      </c>
      <c r="AN16" s="5">
        <v>127342004190394</v>
      </c>
      <c r="AO16" s="5">
        <v>13607096604057</v>
      </c>
      <c r="AP16" s="6">
        <v>124389651663938</v>
      </c>
      <c r="AQ16" s="6">
        <v>127778257740355</v>
      </c>
      <c r="AR16" s="6">
        <v>125710623</v>
      </c>
      <c r="AS16" s="6">
        <v>138262910838798</v>
      </c>
      <c r="AT16" s="6">
        <v>13369685220126</v>
      </c>
      <c r="AU16" s="6">
        <v>129939809484197</v>
      </c>
      <c r="AV16" s="6">
        <v>115568575569738</v>
      </c>
      <c r="AW16" s="6">
        <v>110938456850809</v>
      </c>
      <c r="AX16" s="6">
        <v>117085519064052</v>
      </c>
      <c r="AY16" s="6">
        <v>104282356304442</v>
      </c>
      <c r="AZ16" s="6">
        <v>998345480926966</v>
      </c>
      <c r="BA16" s="6">
        <v>92560508494398</v>
      </c>
      <c r="BB16" s="6">
        <v>868845818858107</v>
      </c>
      <c r="BC16" s="6">
        <v>988922509872</v>
      </c>
      <c r="BD16" s="6">
        <v>104685915</v>
      </c>
      <c r="BE16" s="6">
        <v>106720461273287</v>
      </c>
      <c r="BF16" s="6">
        <v>109725617298331</v>
      </c>
      <c r="BG16" s="6">
        <v>1086833423</v>
      </c>
      <c r="BH16" s="6">
        <v>106707916225034</v>
      </c>
      <c r="BI16" s="6">
        <v>109917705264129</v>
      </c>
      <c r="BJ16" s="6">
        <v>10120934823579</v>
      </c>
      <c r="BK16" s="6">
        <v>981438223576356</v>
      </c>
      <c r="BL16" s="6">
        <v>934558954504812</v>
      </c>
      <c r="BM16" s="6">
        <v>910937269511762</v>
      </c>
    </row>
    <row r="17" spans="1:65" x14ac:dyDescent="0.45">
      <c r="A17" s="1" t="s">
        <v>11</v>
      </c>
      <c r="B17" s="2">
        <v>4121019</v>
      </c>
      <c r="C17" s="3" t="s">
        <v>520</v>
      </c>
      <c r="D17" s="3" t="s">
        <v>521</v>
      </c>
      <c r="E17" s="3" t="s">
        <v>522</v>
      </c>
      <c r="F17" s="5">
        <v>237721648663302</v>
      </c>
      <c r="G17" s="5">
        <v>31580515856377</v>
      </c>
      <c r="H17" s="5">
        <v>331512502447892</v>
      </c>
      <c r="I17" s="5">
        <v>315868059834569</v>
      </c>
      <c r="J17" s="5">
        <v>311629839878123</v>
      </c>
      <c r="K17" s="5">
        <v>280510104675826</v>
      </c>
      <c r="L17" s="5">
        <v>234120296439215</v>
      </c>
      <c r="M17" s="5">
        <v>284276399663215</v>
      </c>
      <c r="N17" s="5">
        <v>214288027270405</v>
      </c>
      <c r="O17" s="5">
        <v>233146452209766</v>
      </c>
      <c r="P17" s="5">
        <v>204158723872477</v>
      </c>
      <c r="Q17" s="5">
        <v>230533034542537</v>
      </c>
      <c r="R17" s="5">
        <v>240449455080956</v>
      </c>
      <c r="S17" s="5">
        <v>276567024424451</v>
      </c>
      <c r="T17" s="5">
        <v>253320962205414</v>
      </c>
      <c r="U17" s="5">
        <v>22095024478867</v>
      </c>
      <c r="V17" s="5">
        <v>23456181994305</v>
      </c>
      <c r="W17" s="5">
        <v>202736147194807</v>
      </c>
      <c r="X17" s="5">
        <v>165837394586335</v>
      </c>
      <c r="Y17" s="5">
        <v>160012947455696</v>
      </c>
      <c r="Z17" s="5">
        <v>16317154879856</v>
      </c>
      <c r="AA17" s="5">
        <v>145297341013319</v>
      </c>
      <c r="AB17" s="5">
        <v>151545269101345</v>
      </c>
      <c r="AC17" s="5">
        <v>142651901936224</v>
      </c>
      <c r="AD17" s="5">
        <v>128384819785368</v>
      </c>
      <c r="AE17" s="5">
        <v>121112195581001</v>
      </c>
      <c r="AF17" s="5">
        <v>850688431953949</v>
      </c>
      <c r="AG17" s="5">
        <v>808648809524467</v>
      </c>
      <c r="AH17" s="5">
        <v>809701934424148</v>
      </c>
      <c r="AI17" s="5">
        <v>741077291919493</v>
      </c>
      <c r="AJ17" s="5">
        <v>729439316211488</v>
      </c>
      <c r="AK17" s="5">
        <v>731788255878036</v>
      </c>
      <c r="AL17" s="5">
        <v>597012646187608</v>
      </c>
      <c r="AM17" s="5">
        <v>54537940467738</v>
      </c>
      <c r="AN17" s="5">
        <v>790452121314418</v>
      </c>
      <c r="AO17" s="5">
        <v>767812336409448</v>
      </c>
      <c r="AP17" s="6">
        <v>690126004798815</v>
      </c>
      <c r="AQ17" s="6">
        <v>62918822694873</v>
      </c>
      <c r="AR17" s="6">
        <v>577517605136546</v>
      </c>
      <c r="AS17" s="6">
        <v>675734418870509</v>
      </c>
      <c r="AT17" s="6">
        <v>594847016415382</v>
      </c>
      <c r="AU17" s="6">
        <v>694594635530688</v>
      </c>
      <c r="AV17" s="6">
        <v>655621082701868</v>
      </c>
      <c r="AW17" s="6">
        <v>601690403366889</v>
      </c>
      <c r="AX17" s="6">
        <v>709340822411445</v>
      </c>
      <c r="AY17" s="6">
        <v>773434939645962</v>
      </c>
      <c r="AZ17" s="6">
        <v>847741470174814</v>
      </c>
      <c r="BA17" s="6">
        <v>748510295685165</v>
      </c>
      <c r="BB17" s="6">
        <v>714903015224013</v>
      </c>
      <c r="BC17" s="6">
        <v>903491594471424</v>
      </c>
      <c r="BD17" s="6">
        <v>950680057587381</v>
      </c>
      <c r="BE17" s="6">
        <v>93137357049869</v>
      </c>
      <c r="BF17" s="6">
        <v>892438305315624</v>
      </c>
      <c r="BG17" s="6">
        <v>89157657276933</v>
      </c>
      <c r="BH17" s="6">
        <v>895523543541902</v>
      </c>
      <c r="BI17" s="6">
        <v>887980300589409</v>
      </c>
      <c r="BJ17" s="6">
        <v>889179340807661</v>
      </c>
      <c r="BK17" s="6">
        <v>835075980770255</v>
      </c>
      <c r="BL17" s="6">
        <v>910025251568433</v>
      </c>
      <c r="BM17" s="6">
        <v>991225557388285</v>
      </c>
    </row>
    <row r="18" spans="1:65" x14ac:dyDescent="0.45">
      <c r="A18" s="1" t="s">
        <v>12</v>
      </c>
      <c r="B18" s="2">
        <v>111908</v>
      </c>
      <c r="C18" s="3" t="s">
        <v>523</v>
      </c>
      <c r="D18" s="3" t="s">
        <v>524</v>
      </c>
      <c r="E18" s="3" t="s">
        <v>525</v>
      </c>
      <c r="F18" s="5">
        <v>223656567331966</v>
      </c>
      <c r="G18" s="5">
        <v>247599523015037</v>
      </c>
      <c r="H18" s="5">
        <v>241112944603916</v>
      </c>
      <c r="I18" s="5">
        <v>233274793429843</v>
      </c>
      <c r="J18" s="5">
        <v>24852303031562</v>
      </c>
      <c r="K18" s="5">
        <v>265198588371146</v>
      </c>
      <c r="L18" s="5">
        <v>226441496988013</v>
      </c>
      <c r="M18" s="5">
        <v>252468708557565</v>
      </c>
      <c r="N18" s="5">
        <v>282124795994245</v>
      </c>
      <c r="O18" s="5">
        <v>289761735464477</v>
      </c>
      <c r="P18" s="5">
        <v>269761541667917</v>
      </c>
      <c r="Q18" s="5">
        <v>278226465688293</v>
      </c>
      <c r="R18" s="5">
        <v>303805631147006</v>
      </c>
      <c r="S18" s="5">
        <v>275064976374861</v>
      </c>
      <c r="T18" s="5">
        <v>273574479696824</v>
      </c>
      <c r="U18" s="5">
        <v>251178320632928</v>
      </c>
      <c r="V18" s="5">
        <v>266386384621953</v>
      </c>
      <c r="W18" s="5">
        <v>258605139223304</v>
      </c>
      <c r="X18" s="5">
        <v>226345764008758</v>
      </c>
      <c r="Y18" s="5">
        <v>21574174585541</v>
      </c>
      <c r="Z18" s="5">
        <v>222063884282378</v>
      </c>
      <c r="AA18" s="5">
        <v>203559024920568</v>
      </c>
      <c r="AB18" s="5">
        <v>191925986900793</v>
      </c>
      <c r="AC18" s="5">
        <v>200187718715317</v>
      </c>
      <c r="AD18" s="5">
        <v>196605929511695</v>
      </c>
      <c r="AE18" s="5">
        <v>184863189546846</v>
      </c>
      <c r="AF18" s="5">
        <v>175452788415177</v>
      </c>
      <c r="AG18" s="5">
        <v>17183867258688</v>
      </c>
      <c r="AH18" s="5">
        <v>177632212121555</v>
      </c>
      <c r="AI18" s="5">
        <v>189276553512776</v>
      </c>
      <c r="AJ18" s="5">
        <v>181941853693693</v>
      </c>
      <c r="AK18" s="5">
        <v>174491045271887</v>
      </c>
      <c r="AL18" s="5">
        <v>181210704761959</v>
      </c>
      <c r="AM18" s="5">
        <v>15303692829425</v>
      </c>
      <c r="AN18" s="5">
        <v>169454029237395</v>
      </c>
      <c r="AO18" s="5">
        <v>179666476974336</v>
      </c>
      <c r="AP18" s="6">
        <v>165798547050711</v>
      </c>
      <c r="AQ18" s="6">
        <v>16985094745082</v>
      </c>
      <c r="AR18" s="6">
        <v>163991471769385</v>
      </c>
      <c r="AS18" s="6">
        <v>160225013060409</v>
      </c>
      <c r="AT18" s="6">
        <v>154513810780198</v>
      </c>
      <c r="AU18" s="6">
        <v>149149085385991</v>
      </c>
      <c r="AV18" s="6">
        <v>140772795531141</v>
      </c>
      <c r="AW18" s="6">
        <v>148334733914059</v>
      </c>
      <c r="AX18" s="6">
        <v>143522164145267</v>
      </c>
      <c r="AY18" s="6">
        <v>143188723817251</v>
      </c>
      <c r="AZ18" s="6">
        <v>134513199697058</v>
      </c>
      <c r="BA18" s="6">
        <v>123637128832608</v>
      </c>
      <c r="BB18" s="6">
        <v>108226186270362</v>
      </c>
      <c r="BC18" s="6">
        <v>118234530033984</v>
      </c>
      <c r="BD18" s="6">
        <v>116118196849432</v>
      </c>
      <c r="BE18" s="6">
        <v>114500811941461</v>
      </c>
      <c r="BF18" s="6">
        <v>116939653062028</v>
      </c>
      <c r="BG18" s="6">
        <v>115167111933251</v>
      </c>
      <c r="BH18" s="6">
        <v>111365698715179</v>
      </c>
      <c r="BI18" s="6">
        <v>110339556412745</v>
      </c>
      <c r="BJ18" s="6">
        <v>10388692936304</v>
      </c>
      <c r="BK18" s="6">
        <v>1097666402784</v>
      </c>
      <c r="BL18" s="6">
        <v>107380603512</v>
      </c>
      <c r="BM18" s="6">
        <v>112690509064</v>
      </c>
    </row>
    <row r="19" spans="1:65" x14ac:dyDescent="0.45">
      <c r="A19" s="1" t="s">
        <v>13</v>
      </c>
      <c r="B19" s="2">
        <v>4811737</v>
      </c>
      <c r="C19" s="3" t="s">
        <v>526</v>
      </c>
      <c r="D19" s="3" t="s">
        <v>527</v>
      </c>
      <c r="E19" s="3" t="s">
        <v>528</v>
      </c>
      <c r="F19" s="5">
        <v>154146233885946</v>
      </c>
      <c r="G19" s="5">
        <v>148961192267459</v>
      </c>
      <c r="H19" s="5">
        <v>15365955138</v>
      </c>
      <c r="I19" s="5">
        <v>164972905220179</v>
      </c>
      <c r="J19" s="5">
        <v>1889981643524</v>
      </c>
      <c r="K19" s="5">
        <v>217080114475944</v>
      </c>
      <c r="L19" s="5">
        <v>178414593662015</v>
      </c>
      <c r="M19" s="5">
        <v>203939491255895</v>
      </c>
      <c r="N19" s="5">
        <v>21678972501374</v>
      </c>
      <c r="O19" s="5">
        <v>309262228126768</v>
      </c>
      <c r="P19" s="5">
        <v>358878119631842</v>
      </c>
      <c r="Q19" s="5">
        <v>348451939007839</v>
      </c>
      <c r="R19" s="5">
        <v>455659062372498</v>
      </c>
      <c r="S19" s="5">
        <v>427816865357577</v>
      </c>
      <c r="T19" s="5">
        <v>426626916065966</v>
      </c>
      <c r="U19" s="5">
        <v>453631345332652</v>
      </c>
      <c r="V19" s="5">
        <v>474594526737864</v>
      </c>
      <c r="W19" s="5">
        <v>46418301950055</v>
      </c>
      <c r="X19" s="5">
        <v>40780454073905</v>
      </c>
      <c r="Y19" s="5">
        <v>383193600085931</v>
      </c>
      <c r="Z19" s="5">
        <v>391771862955071</v>
      </c>
      <c r="AA19" s="5">
        <v>365118579299826</v>
      </c>
      <c r="AB19" s="5">
        <v>37090806233748</v>
      </c>
      <c r="AC19" s="5">
        <v>341270839301532</v>
      </c>
      <c r="AD19" s="5">
        <v>344462392499148</v>
      </c>
      <c r="AE19" s="5">
        <v>317526856521245</v>
      </c>
      <c r="AF19" s="5">
        <v>288292210275452</v>
      </c>
      <c r="AG19" s="5">
        <v>21964133838523</v>
      </c>
      <c r="AH19" s="5">
        <v>195724848166549</v>
      </c>
      <c r="AI19" s="5">
        <v>195679369341654</v>
      </c>
      <c r="AJ19" s="5">
        <v>192077165235619</v>
      </c>
      <c r="AK19" s="5">
        <v>17401509090692</v>
      </c>
      <c r="AL19" s="5">
        <v>154677678246602</v>
      </c>
      <c r="AM19" s="5">
        <v>124661922439145</v>
      </c>
      <c r="AN19" s="5">
        <v>156360979340655</v>
      </c>
      <c r="AO19" s="5">
        <v>182770559746236</v>
      </c>
      <c r="AP19" s="6">
        <v>195970425068651</v>
      </c>
      <c r="AQ19" s="6">
        <v>198383078864131</v>
      </c>
      <c r="AR19" s="6">
        <v>178376862650339</v>
      </c>
      <c r="AS19" s="6">
        <v>131361696994859</v>
      </c>
      <c r="AT19" s="6">
        <v>131806542341022</v>
      </c>
      <c r="AU19" s="6">
        <v>15029589403195</v>
      </c>
      <c r="AV19" s="6">
        <v>192433814608235</v>
      </c>
      <c r="AW19" s="6">
        <v>204084787021634</v>
      </c>
      <c r="AX19" s="6">
        <v>231804565153581</v>
      </c>
      <c r="AY19" s="6">
        <v>202643435899664</v>
      </c>
      <c r="AZ19" s="6">
        <v>181897020512133</v>
      </c>
      <c r="BA19" s="6">
        <v>173832734704063</v>
      </c>
      <c r="BB19" s="6">
        <v>146304359924657</v>
      </c>
      <c r="BC19" s="6">
        <v>162399365762331</v>
      </c>
      <c r="BD19" s="6">
        <v>156969696892764</v>
      </c>
      <c r="BE19" s="6">
        <v>270456233085704</v>
      </c>
      <c r="BF19" s="6">
        <v>267434656660131</v>
      </c>
      <c r="BG19" s="6">
        <v>244261982058344</v>
      </c>
      <c r="BH19" s="6">
        <v>235037374729984</v>
      </c>
      <c r="BI19" s="6">
        <v>228196860150981</v>
      </c>
      <c r="BJ19" s="6">
        <v>165838545654388</v>
      </c>
      <c r="BK19" s="6">
        <v>163651295997918</v>
      </c>
      <c r="BL19" s="6">
        <v>172293851596885</v>
      </c>
      <c r="BM19" s="6">
        <v>168871723363472</v>
      </c>
    </row>
    <row r="20" spans="1:65" x14ac:dyDescent="0.45">
      <c r="A20" s="1" t="s">
        <v>14</v>
      </c>
      <c r="B20" s="2">
        <v>4987299</v>
      </c>
      <c r="C20" s="3" t="s">
        <v>529</v>
      </c>
      <c r="D20" s="3" t="s">
        <v>530</v>
      </c>
      <c r="E20" s="3" t="s">
        <v>492</v>
      </c>
      <c r="F20" s="5">
        <v>86519930582528</v>
      </c>
      <c r="G20" s="5">
        <v>968106203048491</v>
      </c>
      <c r="H20" s="5">
        <v>930750157355062</v>
      </c>
      <c r="I20" s="5">
        <v>803328663848122</v>
      </c>
      <c r="J20" s="5">
        <v>829408885871076</v>
      </c>
      <c r="K20" s="5">
        <v>910250541828432</v>
      </c>
      <c r="L20" s="5">
        <v>82230308556088</v>
      </c>
      <c r="M20" s="5">
        <v>91377671463078</v>
      </c>
      <c r="N20" s="5">
        <v>951825844029312</v>
      </c>
      <c r="O20" s="5">
        <v>871928131806855</v>
      </c>
      <c r="P20" s="5">
        <v>899774576898652</v>
      </c>
      <c r="Q20" s="5">
        <v>982827554230253</v>
      </c>
      <c r="R20" s="5">
        <v>104454860437121</v>
      </c>
      <c r="S20" s="5">
        <v>983904478627769</v>
      </c>
      <c r="T20" s="5">
        <v>995210032101008</v>
      </c>
      <c r="U20" s="5">
        <v>10229389500189</v>
      </c>
      <c r="V20" s="5">
        <v>109418840984672</v>
      </c>
      <c r="W20" s="5">
        <v>103288532087928</v>
      </c>
      <c r="X20" s="5">
        <v>105711325124651</v>
      </c>
      <c r="Y20" s="5">
        <v>103712209761125</v>
      </c>
      <c r="Z20" s="5">
        <v>100514616738111</v>
      </c>
      <c r="AA20" s="5">
        <v>971091805906728</v>
      </c>
      <c r="AB20" s="5">
        <v>815743868472099</v>
      </c>
      <c r="AC20" s="5">
        <v>811368445700457</v>
      </c>
      <c r="AD20" s="5">
        <v>875665171245975</v>
      </c>
      <c r="AE20" s="5">
        <v>878211136071102</v>
      </c>
      <c r="AF20" s="5">
        <v>777939985899275</v>
      </c>
      <c r="AG20" s="5">
        <v>77689841077301</v>
      </c>
      <c r="AH20" s="5">
        <v>797687633106399</v>
      </c>
      <c r="AI20" s="5">
        <v>775439111826949</v>
      </c>
      <c r="AJ20" s="5">
        <v>837661156609377</v>
      </c>
      <c r="AK20" s="5">
        <v>82703238800742</v>
      </c>
      <c r="AL20" s="5">
        <v>847537223710399</v>
      </c>
      <c r="AM20" s="5">
        <v>77542010313404</v>
      </c>
      <c r="AN20" s="5">
        <v>968234826873245</v>
      </c>
      <c r="AO20" s="5">
        <v>108384039411252</v>
      </c>
      <c r="AP20" s="6">
        <v>103116557166687</v>
      </c>
      <c r="AQ20" s="6">
        <v>101222577701195</v>
      </c>
      <c r="AR20" s="6">
        <v>967256543055762</v>
      </c>
      <c r="AS20" s="6">
        <v>887611388279076</v>
      </c>
      <c r="AT20" s="6">
        <v>81731085070513</v>
      </c>
      <c r="AU20" s="6">
        <v>868686571199736</v>
      </c>
      <c r="AV20" s="6">
        <v>912695122514604</v>
      </c>
      <c r="AW20" s="6">
        <v>817924714134483</v>
      </c>
      <c r="AX20" s="6">
        <v>832009242269415</v>
      </c>
      <c r="AY20" s="6">
        <v>763436917095435</v>
      </c>
      <c r="AZ20" s="6">
        <v>746163000215646</v>
      </c>
      <c r="BA20" s="6">
        <v>712497885916014</v>
      </c>
      <c r="BB20" s="6">
        <v>661765997834878</v>
      </c>
      <c r="BC20" s="6">
        <v>768927815665574</v>
      </c>
      <c r="BD20" s="6">
        <v>719975685151816</v>
      </c>
      <c r="BE20" s="6">
        <v>740585016527349</v>
      </c>
      <c r="BF20" s="6">
        <v>713855178891939</v>
      </c>
      <c r="BG20" s="6">
        <v>661944418635609</v>
      </c>
      <c r="BH20" s="6">
        <v>629630679616435</v>
      </c>
      <c r="BI20" s="6">
        <v>622496902772131</v>
      </c>
      <c r="BJ20" s="6">
        <v>606984953731059</v>
      </c>
      <c r="BK20" s="6">
        <v>66018538497521</v>
      </c>
      <c r="BL20" s="6">
        <v>655695127103562</v>
      </c>
      <c r="BM20" s="6">
        <v>657921545906856</v>
      </c>
    </row>
    <row r="21" spans="1:65" x14ac:dyDescent="0.45">
      <c r="A21" s="1" t="s">
        <v>15</v>
      </c>
      <c r="B21" s="2">
        <v>4057038</v>
      </c>
      <c r="C21" s="3" t="s">
        <v>531</v>
      </c>
      <c r="D21" s="3" t="s">
        <v>532</v>
      </c>
      <c r="E21" s="3" t="s">
        <v>533</v>
      </c>
      <c r="F21" s="5">
        <v>129677869847345</v>
      </c>
      <c r="G21" s="5">
        <v>137043133994213</v>
      </c>
      <c r="H21" s="5">
        <v>132387478066549</v>
      </c>
      <c r="I21" s="5">
        <v>135598533381469</v>
      </c>
      <c r="J21" s="5">
        <v>152077897871509</v>
      </c>
      <c r="K21" s="5">
        <v>14982551670278</v>
      </c>
      <c r="L21" s="5">
        <v>140622042393233</v>
      </c>
      <c r="M21" s="5">
        <v>149200614299468</v>
      </c>
      <c r="N21" s="5">
        <v>13996612185618</v>
      </c>
      <c r="O21" s="5">
        <v>141062737629635</v>
      </c>
      <c r="P21" s="5">
        <v>130261939011412</v>
      </c>
      <c r="Q21" s="5">
        <v>133800335425273</v>
      </c>
      <c r="R21" s="5">
        <v>135321434933594</v>
      </c>
      <c r="S21" s="5">
        <v>121699597435045</v>
      </c>
      <c r="T21" s="5">
        <v>12243048763158</v>
      </c>
      <c r="U21" s="5">
        <v>120873403272177</v>
      </c>
      <c r="V21" s="5">
        <v>128886019161185</v>
      </c>
      <c r="W21" s="5">
        <v>123418364019761</v>
      </c>
      <c r="X21" s="5">
        <v>117633237093032</v>
      </c>
      <c r="Y21" s="5">
        <v>117292031051994</v>
      </c>
      <c r="Z21" s="5">
        <v>116792510269284</v>
      </c>
      <c r="AA21" s="5">
        <v>11530591133136</v>
      </c>
      <c r="AB21" s="5">
        <v>9533271910002</v>
      </c>
      <c r="AC21" s="5">
        <v>100098753828278</v>
      </c>
      <c r="AD21" s="5">
        <v>105213614933888</v>
      </c>
      <c r="AE21" s="5">
        <v>109920716781085</v>
      </c>
      <c r="AF21" s="5">
        <v>118420715639823</v>
      </c>
      <c r="AG21" s="5">
        <v>109806417729293</v>
      </c>
      <c r="AH21" s="5">
        <v>113080091492592</v>
      </c>
      <c r="AI21" s="5">
        <v>113572624273464</v>
      </c>
      <c r="AJ21" s="5">
        <v>106065602728825</v>
      </c>
      <c r="AK21" s="5">
        <v>110777970150473</v>
      </c>
      <c r="AL21" s="5">
        <v>10883137339521</v>
      </c>
      <c r="AM21" s="5">
        <v>107676185958341</v>
      </c>
      <c r="AN21" s="5">
        <v>116126854946576</v>
      </c>
      <c r="AO21" s="5">
        <v>128686152222813</v>
      </c>
      <c r="AP21" s="6">
        <v>117193606134454</v>
      </c>
      <c r="AQ21" s="6">
        <v>115611688071572</v>
      </c>
      <c r="AR21" s="6">
        <v>113656954935912</v>
      </c>
      <c r="AS21" s="6">
        <v>11747603015744</v>
      </c>
      <c r="AT21" s="6">
        <v>11326795717218</v>
      </c>
      <c r="AU21" s="6">
        <v>105668263411412</v>
      </c>
      <c r="AV21" s="6">
        <v>102391779013611</v>
      </c>
      <c r="AW21" s="6">
        <v>101073912439377</v>
      </c>
      <c r="AX21" s="6">
        <v>10006833108835</v>
      </c>
      <c r="AY21" s="6">
        <v>991343529601425</v>
      </c>
      <c r="AZ21" s="6">
        <v>950871322934032</v>
      </c>
      <c r="BA21" s="6">
        <v>916429845220506</v>
      </c>
      <c r="BB21" s="6">
        <v>87107941755549</v>
      </c>
      <c r="BC21" s="6">
        <v>945832598686426</v>
      </c>
      <c r="BD21" s="6">
        <v>887701889408964</v>
      </c>
      <c r="BE21" s="6">
        <v>856543911534709</v>
      </c>
      <c r="BF21" s="6">
        <v>862777723276728</v>
      </c>
      <c r="BG21" s="6">
        <v>849951851045722</v>
      </c>
      <c r="BH21" s="6">
        <v>839641812463882</v>
      </c>
      <c r="BI21" s="6">
        <v>822360814372735</v>
      </c>
      <c r="BJ21" s="6">
        <v>823408408533532</v>
      </c>
      <c r="BK21" s="6">
        <v>768735841370227</v>
      </c>
      <c r="BL21" s="6">
        <v>73234344344616</v>
      </c>
      <c r="BM21" s="6">
        <v>7388141103909</v>
      </c>
    </row>
    <row r="22" spans="1:65" x14ac:dyDescent="0.45">
      <c r="A22" s="1" t="s">
        <v>16</v>
      </c>
      <c r="B22" s="2">
        <v>4633618</v>
      </c>
      <c r="C22" s="3" t="s">
        <v>534</v>
      </c>
      <c r="D22" s="3" t="s">
        <v>535</v>
      </c>
      <c r="E22" s="3" t="s">
        <v>536</v>
      </c>
      <c r="F22" s="5">
        <v>1071380139873</v>
      </c>
      <c r="G22" s="5">
        <v>1270222762161</v>
      </c>
      <c r="H22" s="5">
        <v>1237988790879</v>
      </c>
      <c r="I22" s="5">
        <v>127550475398</v>
      </c>
      <c r="J22" s="5">
        <v>1407290061783</v>
      </c>
      <c r="K22" s="5">
        <v>1489472935296</v>
      </c>
      <c r="L22" s="5">
        <v>137521676443166</v>
      </c>
      <c r="M22" s="5">
        <v>13981326307785</v>
      </c>
      <c r="N22" s="5">
        <v>143112443835742</v>
      </c>
      <c r="O22" s="5">
        <v>165822837780446</v>
      </c>
      <c r="P22" s="5">
        <v>158894421840821</v>
      </c>
      <c r="Q22" s="5">
        <v>160588110961104</v>
      </c>
      <c r="R22" s="5">
        <v>168988679009033</v>
      </c>
      <c r="S22" s="5">
        <v>167437062980154</v>
      </c>
      <c r="T22" s="5">
        <v>170087024374756</v>
      </c>
      <c r="U22" s="5">
        <v>1535744300528</v>
      </c>
      <c r="V22" s="5">
        <v>163886665901362</v>
      </c>
      <c r="W22" s="5">
        <v>151719562126849</v>
      </c>
      <c r="X22" s="5">
        <v>139774983862511</v>
      </c>
      <c r="Y22" s="5">
        <v>131048503915584</v>
      </c>
      <c r="Z22" s="5">
        <v>132638203384259</v>
      </c>
      <c r="AA22" s="5">
        <v>118634330913744</v>
      </c>
      <c r="AB22" s="5">
        <v>113060293365928</v>
      </c>
      <c r="AC22" s="5">
        <v>102055523838218</v>
      </c>
      <c r="AD22" s="5">
        <v>968967252061415</v>
      </c>
      <c r="AE22" s="5">
        <v>99468034725346</v>
      </c>
      <c r="AF22" s="5">
        <v>939444114469036</v>
      </c>
      <c r="AG22" s="5">
        <v>850052087478453</v>
      </c>
      <c r="AH22" s="5">
        <v>928430039051421</v>
      </c>
      <c r="AI22" s="5">
        <v>854078154318934</v>
      </c>
      <c r="AJ22" s="5">
        <v>858829263106451</v>
      </c>
      <c r="AK22" s="5">
        <v>878814541444234</v>
      </c>
      <c r="AL22" s="5">
        <v>840920370637441</v>
      </c>
      <c r="AM22" s="5">
        <v>726985636587228</v>
      </c>
      <c r="AN22" s="5">
        <v>836988076099251</v>
      </c>
      <c r="AO22" s="5">
        <v>891779015511426</v>
      </c>
      <c r="AP22" s="6">
        <v>822437409875191</v>
      </c>
      <c r="AQ22" s="6">
        <v>816579876780085</v>
      </c>
      <c r="AR22" s="6">
        <v>779246727952786</v>
      </c>
      <c r="AS22" s="6">
        <v>775860312097707</v>
      </c>
      <c r="AT22" s="6">
        <v>749787682170586</v>
      </c>
      <c r="AU22" s="6">
        <v>75848666072415</v>
      </c>
      <c r="AV22" s="6">
        <v>660039423887832</v>
      </c>
      <c r="AW22" s="6">
        <v>688238312858</v>
      </c>
      <c r="AX22" s="6">
        <v>73963328086019</v>
      </c>
      <c r="AY22" s="6">
        <v>727864542015277</v>
      </c>
      <c r="AZ22" s="6">
        <v>685661252621097</v>
      </c>
      <c r="BA22" s="6">
        <v>680669262847823</v>
      </c>
      <c r="BB22" s="6">
        <v>631874548126655</v>
      </c>
      <c r="BC22" s="6">
        <v>676886867904131</v>
      </c>
      <c r="BD22" s="6">
        <v>665834865343249</v>
      </c>
      <c r="BE22" s="6">
        <v>718664541937829</v>
      </c>
      <c r="BF22" s="6">
        <v>734147872030874</v>
      </c>
      <c r="BG22" s="6">
        <v>726551303166067</v>
      </c>
      <c r="BH22" s="6">
        <v>668154623083064</v>
      </c>
      <c r="BI22" s="6">
        <v>650793483613639</v>
      </c>
      <c r="BJ22" s="6">
        <v>585551718530567</v>
      </c>
      <c r="BK22" s="6">
        <v>584893462758793</v>
      </c>
      <c r="BL22" s="6">
        <v>628857866414535</v>
      </c>
      <c r="BM22" s="6">
        <v>656880635819583</v>
      </c>
    </row>
    <row r="23" spans="1:65" x14ac:dyDescent="0.45">
      <c r="A23" s="1" t="s">
        <v>17</v>
      </c>
      <c r="B23" s="2">
        <v>4087349</v>
      </c>
      <c r="C23" s="3" t="s">
        <v>537</v>
      </c>
      <c r="D23" s="3" t="s">
        <v>538</v>
      </c>
      <c r="E23" s="3" t="s">
        <v>539</v>
      </c>
      <c r="F23" s="5">
        <v>766527408420674</v>
      </c>
      <c r="G23" s="5">
        <v>809499747098829</v>
      </c>
      <c r="H23" s="5">
        <v>838608662803539</v>
      </c>
      <c r="I23" s="5">
        <v>741570497200097</v>
      </c>
      <c r="J23" s="5">
        <v>806762536685692</v>
      </c>
      <c r="K23" s="5">
        <v>774360249522438</v>
      </c>
      <c r="L23" s="5">
        <v>723447663987703</v>
      </c>
      <c r="M23" s="5">
        <v>912833891830583</v>
      </c>
      <c r="N23" s="5">
        <v>954713602376921</v>
      </c>
      <c r="O23" s="5">
        <v>854755159060649</v>
      </c>
      <c r="P23" s="5">
        <v>830009475244109</v>
      </c>
      <c r="Q23" s="5">
        <v>828189630362603</v>
      </c>
      <c r="R23" s="5">
        <v>765473738114382</v>
      </c>
      <c r="S23" s="5">
        <v>69493669229935</v>
      </c>
      <c r="T23" s="5">
        <v>700743781363456</v>
      </c>
      <c r="U23" s="5">
        <v>724255250418784</v>
      </c>
      <c r="V23" s="5">
        <v>784744693596178</v>
      </c>
      <c r="W23" s="5">
        <v>746809503308948</v>
      </c>
      <c r="X23" s="5">
        <v>744202822475099</v>
      </c>
      <c r="Y23" s="5">
        <v>747380330863697</v>
      </c>
      <c r="Z23" s="5">
        <v>734602878567911</v>
      </c>
      <c r="AA23" s="5">
        <v>810171594192413</v>
      </c>
      <c r="AB23" s="5">
        <v>669786251577516</v>
      </c>
      <c r="AC23" s="5">
        <v>628920712898572</v>
      </c>
      <c r="AD23" s="5">
        <v>622895643628875</v>
      </c>
      <c r="AE23" s="5">
        <v>619332329306096</v>
      </c>
      <c r="AF23" s="5">
        <v>575371182363529</v>
      </c>
      <c r="AG23" s="5">
        <v>611520912511045</v>
      </c>
      <c r="AH23" s="5">
        <v>67995984609349</v>
      </c>
      <c r="AI23" s="5">
        <v>646426648221022</v>
      </c>
      <c r="AJ23" s="5">
        <v>648153248612979</v>
      </c>
      <c r="AK23" s="5">
        <v>652760607620775</v>
      </c>
      <c r="AL23" s="5">
        <v>666753189913487</v>
      </c>
      <c r="AM23" s="5">
        <v>653953703227188</v>
      </c>
      <c r="AN23" s="5">
        <v>682177481809926</v>
      </c>
      <c r="AO23" s="5">
        <v>796554966619812</v>
      </c>
      <c r="AP23" s="6">
        <v>830845547750745</v>
      </c>
      <c r="AQ23" s="6">
        <v>842669275376572</v>
      </c>
      <c r="AR23" s="6">
        <v>750633949240996</v>
      </c>
      <c r="AS23" s="6">
        <v>700711372578977</v>
      </c>
      <c r="AT23" s="6">
        <v>742911994968747</v>
      </c>
      <c r="AU23" s="6">
        <v>790062492354641</v>
      </c>
      <c r="AV23" s="6">
        <v>778511831848683</v>
      </c>
      <c r="AW23" s="6">
        <v>823424123783135</v>
      </c>
      <c r="AX23" s="6">
        <v>907200154699351</v>
      </c>
      <c r="AY23" s="6">
        <v>959148701170001</v>
      </c>
      <c r="AZ23" s="6">
        <v>862635962590042</v>
      </c>
      <c r="BA23" s="6">
        <v>807391800394672</v>
      </c>
      <c r="BB23" s="6">
        <v>810570045153</v>
      </c>
      <c r="BC23" s="6">
        <v>909946047168</v>
      </c>
      <c r="BD23" s="6">
        <v>107975549502</v>
      </c>
      <c r="BE23" s="6">
        <v>9785694454389</v>
      </c>
      <c r="BF23" s="6">
        <v>950408078466</v>
      </c>
      <c r="BG23" s="6">
        <v>945263072502</v>
      </c>
      <c r="BH23" s="6">
        <v>922117905397463</v>
      </c>
      <c r="BI23" s="6">
        <v>905702289880915</v>
      </c>
      <c r="BJ23" s="6">
        <v>88035652238676</v>
      </c>
      <c r="BK23" s="6">
        <v>963121909808</v>
      </c>
      <c r="BL23" s="6">
        <v>979796623297401</v>
      </c>
      <c r="BM23" s="6">
        <v>10790113380994</v>
      </c>
    </row>
    <row r="24" spans="1:65" x14ac:dyDescent="0.45">
      <c r="A24" s="1" t="s">
        <v>18</v>
      </c>
      <c r="B24" s="2">
        <v>3001792</v>
      </c>
      <c r="C24" s="3" t="s">
        <v>540</v>
      </c>
      <c r="D24" s="3" t="s">
        <v>541</v>
      </c>
      <c r="E24" s="3" t="s">
        <v>542</v>
      </c>
      <c r="F24" s="5">
        <v>801837776248589</v>
      </c>
      <c r="G24" s="5">
        <v>955026203018264</v>
      </c>
      <c r="H24" s="5">
        <v>105686660301726</v>
      </c>
      <c r="I24" s="5">
        <v>117398732958379</v>
      </c>
      <c r="J24" s="5">
        <v>128230684237549</v>
      </c>
      <c r="K24" s="5">
        <v>134786423644439</v>
      </c>
      <c r="L24" s="5">
        <v>103372496215508</v>
      </c>
      <c r="M24" s="5">
        <v>114001487214607</v>
      </c>
      <c r="N24" s="5">
        <v>119987540475052</v>
      </c>
      <c r="O24" s="5">
        <v>149325836240843</v>
      </c>
      <c r="P24" s="5">
        <v>13916675963057</v>
      </c>
      <c r="Q24" s="5">
        <v>135448196010749</v>
      </c>
      <c r="R24" s="5">
        <v>148689858202161</v>
      </c>
      <c r="S24" s="5">
        <v>157797587509904</v>
      </c>
      <c r="T24" s="5">
        <v>147908460465124</v>
      </c>
      <c r="U24" s="5">
        <v>143542083123019</v>
      </c>
      <c r="V24" s="5">
        <v>148916469221043</v>
      </c>
      <c r="W24" s="5">
        <v>142064586358515</v>
      </c>
      <c r="X24" s="5">
        <v>146326049342409</v>
      </c>
      <c r="Y24" s="5">
        <v>13336987124593</v>
      </c>
      <c r="Z24" s="5">
        <v>145369614607662</v>
      </c>
      <c r="AA24" s="5">
        <v>132747529921827</v>
      </c>
      <c r="AB24" s="5">
        <v>128726589871862</v>
      </c>
      <c r="AC24" s="5">
        <v>132525912284952</v>
      </c>
      <c r="AD24" s="5">
        <v>13359327327664</v>
      </c>
      <c r="AE24" s="5">
        <v>1329991393146</v>
      </c>
      <c r="AF24" s="5">
        <v>130722255014518</v>
      </c>
      <c r="AG24" s="5">
        <v>134311479620751</v>
      </c>
      <c r="AH24" s="5">
        <v>144593220048751</v>
      </c>
      <c r="AI24" s="5">
        <v>133993191095226</v>
      </c>
      <c r="AJ24" s="5">
        <v>122274318380635</v>
      </c>
      <c r="AK24" s="5">
        <v>109576695773962</v>
      </c>
      <c r="AL24" s="5">
        <v>112740606399912</v>
      </c>
      <c r="AM24" s="5">
        <v>883318847168831</v>
      </c>
      <c r="AN24" s="5">
        <v>852696460438631</v>
      </c>
      <c r="AO24" s="5">
        <v>901965539154655</v>
      </c>
      <c r="AP24" s="6">
        <v>816384771482777</v>
      </c>
      <c r="AQ24" s="6">
        <v>810333990815098</v>
      </c>
      <c r="AR24" s="6">
        <v>790222277038913</v>
      </c>
      <c r="AS24" s="6">
        <v>787493890022062</v>
      </c>
      <c r="AT24" s="6">
        <v>798870882898451</v>
      </c>
      <c r="AU24" s="6">
        <v>829687439180007</v>
      </c>
      <c r="AV24" s="6">
        <v>81930016140327</v>
      </c>
      <c r="AW24" s="6">
        <v>783996651301577</v>
      </c>
      <c r="AX24" s="6">
        <v>846524659191322</v>
      </c>
      <c r="AY24" s="6">
        <v>779366205813442</v>
      </c>
      <c r="AZ24" s="6">
        <v>707300097348949</v>
      </c>
      <c r="BA24" s="6">
        <v>73672158339</v>
      </c>
      <c r="BB24" s="6">
        <v>6414391179862</v>
      </c>
      <c r="BC24" s="6">
        <v>729911901607506</v>
      </c>
      <c r="BD24" s="6">
        <v>690346365012952</v>
      </c>
      <c r="BE24" s="6">
        <v>840857079268717</v>
      </c>
      <c r="BF24" s="6">
        <v>845718671273252</v>
      </c>
      <c r="BG24" s="6">
        <v>740792282275129</v>
      </c>
      <c r="BH24" s="6">
        <v>706926387415396</v>
      </c>
      <c r="BI24" s="6">
        <v>678213810300191</v>
      </c>
      <c r="BJ24" s="6">
        <v>629372710123971</v>
      </c>
      <c r="BK24" s="6">
        <v>569782965705786</v>
      </c>
      <c r="BL24" s="6">
        <v>599661897412319</v>
      </c>
      <c r="BM24" s="6">
        <v>562041475716544</v>
      </c>
    </row>
    <row r="25" spans="1:65" x14ac:dyDescent="0.45">
      <c r="A25" s="1" t="s">
        <v>19</v>
      </c>
      <c r="B25" s="2">
        <v>4160328</v>
      </c>
      <c r="C25" s="3" t="s">
        <v>543</v>
      </c>
      <c r="D25" s="3" t="s">
        <v>544</v>
      </c>
      <c r="E25" s="3" t="s">
        <v>545</v>
      </c>
      <c r="F25" s="5">
        <v>163067712453348</v>
      </c>
      <c r="G25" s="5">
        <v>175236246077012</v>
      </c>
      <c r="H25" s="5">
        <v>17346744119586</v>
      </c>
      <c r="I25" s="5">
        <v>16208548887924</v>
      </c>
      <c r="J25" s="5">
        <v>176635472236616</v>
      </c>
      <c r="K25" s="5">
        <v>187935655799199</v>
      </c>
      <c r="L25" s="5">
        <v>176417107328086</v>
      </c>
      <c r="M25" s="5">
        <v>18242510487357</v>
      </c>
      <c r="N25" s="5">
        <v>168134151537678</v>
      </c>
      <c r="O25" s="5">
        <v>152377105434862</v>
      </c>
      <c r="P25" s="5">
        <v>155861533975657</v>
      </c>
      <c r="Q25" s="5">
        <v>161262662387515</v>
      </c>
      <c r="R25" s="5">
        <v>160107331662156</v>
      </c>
      <c r="S25" s="5">
        <v>152996937083861</v>
      </c>
      <c r="T25" s="5">
        <v>159119247368037</v>
      </c>
      <c r="U25" s="5">
        <v>153501806639638</v>
      </c>
      <c r="V25" s="5">
        <v>166515179259108</v>
      </c>
      <c r="W25" s="5">
        <v>148958789678532</v>
      </c>
      <c r="X25" s="5">
        <v>14807598081233</v>
      </c>
      <c r="Y25" s="5">
        <v>148329316787955</v>
      </c>
      <c r="Z25" s="5">
        <v>149596106051974</v>
      </c>
      <c r="AA25" s="5">
        <v>153551738285472</v>
      </c>
      <c r="AB25" s="5">
        <v>14030437040042</v>
      </c>
      <c r="AC25" s="5">
        <v>140271848675636</v>
      </c>
      <c r="AD25" s="5">
        <v>149759932364171</v>
      </c>
      <c r="AE25" s="5">
        <v>147677966550677</v>
      </c>
      <c r="AF25" s="5">
        <v>139263124069862</v>
      </c>
      <c r="AG25" s="5">
        <v>146423860789427</v>
      </c>
      <c r="AH25" s="5">
        <v>143957731799704</v>
      </c>
      <c r="AI25" s="5">
        <v>136171826379318</v>
      </c>
      <c r="AJ25" s="5">
        <v>142219571900751</v>
      </c>
      <c r="AK25" s="5">
        <v>143964106374888</v>
      </c>
      <c r="AL25" s="5">
        <v>128532651891866</v>
      </c>
      <c r="AM25" s="5">
        <v>1174203621682</v>
      </c>
      <c r="AN25" s="5">
        <v>135355938188919</v>
      </c>
      <c r="AO25" s="5">
        <v>153382064213466</v>
      </c>
      <c r="AP25" s="6">
        <v>168374129396122</v>
      </c>
      <c r="AQ25" s="6">
        <v>165976391931631</v>
      </c>
      <c r="AR25" s="6">
        <v>171336395146184</v>
      </c>
      <c r="AS25" s="6">
        <v>180453695132402</v>
      </c>
      <c r="AT25" s="6">
        <v>172418200151039</v>
      </c>
      <c r="AU25" s="6">
        <v>167024399907695</v>
      </c>
      <c r="AV25" s="6">
        <v>162110499378362</v>
      </c>
      <c r="AW25" s="6">
        <v>16158650802215</v>
      </c>
      <c r="AX25" s="6">
        <v>159392778814442</v>
      </c>
      <c r="AY25" s="6">
        <v>160830504208391</v>
      </c>
      <c r="AZ25" s="6">
        <v>153035915510589</v>
      </c>
      <c r="BA25" s="6">
        <v>147881574996854</v>
      </c>
      <c r="BB25" s="6">
        <v>139179910349205</v>
      </c>
      <c r="BC25" s="6">
        <v>148055914245857</v>
      </c>
      <c r="BD25" s="6">
        <v>139240500360714</v>
      </c>
      <c r="BE25" s="6">
        <v>132790582258909</v>
      </c>
      <c r="BF25" s="6">
        <v>132935031963471</v>
      </c>
      <c r="BG25" s="6">
        <v>129210271717379</v>
      </c>
      <c r="BH25" s="6">
        <v>127076510050647</v>
      </c>
      <c r="BI25" s="6">
        <v>123696369009202</v>
      </c>
      <c r="BJ25" s="6">
        <v>118140987790529</v>
      </c>
      <c r="BK25" s="6">
        <v>112063321101823</v>
      </c>
      <c r="BL25" s="6">
        <v>107903819462166</v>
      </c>
      <c r="BM25" s="6">
        <v>110459144821739</v>
      </c>
    </row>
    <row r="26" spans="1:65" x14ac:dyDescent="0.45">
      <c r="A26" s="1" t="s">
        <v>20</v>
      </c>
      <c r="B26" s="2">
        <v>4007308</v>
      </c>
      <c r="C26" s="3" t="s">
        <v>546</v>
      </c>
      <c r="D26" s="3" t="s">
        <v>547</v>
      </c>
      <c r="E26" s="3" t="s">
        <v>548</v>
      </c>
      <c r="F26" s="5">
        <v>21509676288981</v>
      </c>
      <c r="G26" s="5">
        <v>223915367709871</v>
      </c>
      <c r="H26" s="5">
        <v>213003765200315</v>
      </c>
      <c r="I26" s="5">
        <v>212238249269585</v>
      </c>
      <c r="J26" s="5">
        <v>237603804085108</v>
      </c>
      <c r="K26" s="5">
        <v>235747496148411</v>
      </c>
      <c r="L26" s="5">
        <v>223206798187943</v>
      </c>
      <c r="M26" s="5">
        <v>229115596490331</v>
      </c>
      <c r="N26" s="5">
        <v>227514931659352</v>
      </c>
      <c r="O26" s="5">
        <v>217836349778768</v>
      </c>
      <c r="P26" s="5">
        <v>197258618605259</v>
      </c>
      <c r="Q26" s="5">
        <v>204093842420028</v>
      </c>
      <c r="R26" s="5">
        <v>201619331446582</v>
      </c>
      <c r="S26" s="5">
        <v>186472486705378</v>
      </c>
      <c r="T26" s="5">
        <v>187444831696507</v>
      </c>
      <c r="U26" s="5">
        <v>179711922812616</v>
      </c>
      <c r="V26" s="5">
        <v>191102472357022</v>
      </c>
      <c r="W26" s="5">
        <v>180789575880026</v>
      </c>
      <c r="X26" s="5">
        <v>172512676323226</v>
      </c>
      <c r="Y26" s="5">
        <v>176551337914959</v>
      </c>
      <c r="Z26" s="5">
        <v>180134265201375</v>
      </c>
      <c r="AA26" s="5">
        <v>177046940672438</v>
      </c>
      <c r="AB26" s="5">
        <v>147143970582313</v>
      </c>
      <c r="AC26" s="5">
        <v>148093631684038</v>
      </c>
      <c r="AD26" s="5">
        <v>157752784544409</v>
      </c>
      <c r="AE26" s="5">
        <v>160878657451544</v>
      </c>
      <c r="AF26" s="5">
        <v>172072820607037</v>
      </c>
      <c r="AG26" s="5">
        <v>166394542589673</v>
      </c>
      <c r="AH26" s="5">
        <v>163506150775324</v>
      </c>
      <c r="AI26" s="5">
        <v>16745846357585</v>
      </c>
      <c r="AJ26" s="5">
        <v>154360953635148</v>
      </c>
      <c r="AK26" s="5">
        <v>165959249885937</v>
      </c>
      <c r="AL26" s="5">
        <v>164082185458711</v>
      </c>
      <c r="AM26" s="5">
        <v>163525854637509</v>
      </c>
      <c r="AN26" s="5">
        <v>176879811620064</v>
      </c>
      <c r="AO26" s="5">
        <v>182084434791072</v>
      </c>
      <c r="AP26" s="6">
        <v>415995650437141</v>
      </c>
      <c r="AQ26" s="6">
        <v>409531792085791</v>
      </c>
      <c r="AR26" s="6">
        <v>418264904577614</v>
      </c>
      <c r="AS26" s="6">
        <v>42428406208169</v>
      </c>
      <c r="AT26" s="6">
        <v>409225686350674</v>
      </c>
      <c r="AU26" s="6">
        <v>389590936041736</v>
      </c>
      <c r="AV26" s="6">
        <v>381638769626696</v>
      </c>
      <c r="AW26" s="6">
        <v>381219665224936</v>
      </c>
      <c r="AX26" s="6">
        <v>376754680604137</v>
      </c>
      <c r="AY26" s="6">
        <v>368097341874075</v>
      </c>
      <c r="AZ26" s="6">
        <v>351505935497658</v>
      </c>
      <c r="BA26" s="6">
        <v>340598945524255</v>
      </c>
      <c r="BB26" s="6">
        <v>321891165877645</v>
      </c>
      <c r="BC26" s="6">
        <v>338568362823375</v>
      </c>
      <c r="BD26" s="6">
        <v>319601385452941</v>
      </c>
      <c r="BE26" s="6">
        <v>300721402029161</v>
      </c>
      <c r="BF26" s="6">
        <v>304610548230629</v>
      </c>
      <c r="BG26" s="6">
        <v>299650325331895</v>
      </c>
      <c r="BH26" s="6">
        <v>292333242299873</v>
      </c>
      <c r="BI26" s="6">
        <v>287046199858811</v>
      </c>
      <c r="BJ26" s="6">
        <v>285453974910229</v>
      </c>
      <c r="BK26" s="6">
        <v>2745865033852</v>
      </c>
      <c r="BL26" s="6">
        <v>26425630508692</v>
      </c>
      <c r="BM26" s="6">
        <v>272039130560609</v>
      </c>
    </row>
    <row r="27" spans="1:65" x14ac:dyDescent="0.45">
      <c r="A27" s="1" t="s">
        <v>21</v>
      </c>
      <c r="B27" s="2">
        <v>4006321</v>
      </c>
      <c r="C27" s="3" t="s">
        <v>549</v>
      </c>
      <c r="D27" s="3" t="s">
        <v>550</v>
      </c>
      <c r="E27" s="3" t="s">
        <v>533</v>
      </c>
      <c r="F27" s="5">
        <v>456540720207618</v>
      </c>
      <c r="G27" s="5">
        <v>482348213082789</v>
      </c>
      <c r="H27" s="5">
        <v>456894160783983</v>
      </c>
      <c r="I27" s="5">
        <v>452916665145526</v>
      </c>
      <c r="J27" s="5">
        <v>511106645659027</v>
      </c>
      <c r="K27" s="5">
        <v>496412024823644</v>
      </c>
      <c r="L27" s="5">
        <v>471311350595879</v>
      </c>
      <c r="M27" s="5">
        <v>488391619336527</v>
      </c>
      <c r="N27" s="5">
        <v>482965080195803</v>
      </c>
      <c r="O27" s="5">
        <v>452871401344206</v>
      </c>
      <c r="P27" s="5">
        <v>407019224617574</v>
      </c>
      <c r="Q27" s="5">
        <v>406492836371942</v>
      </c>
      <c r="R27" s="5">
        <v>394013360155753</v>
      </c>
      <c r="S27" s="5">
        <v>362163631829781</v>
      </c>
      <c r="T27" s="5">
        <v>368961156615378</v>
      </c>
      <c r="U27" s="5">
        <v>350386563123773</v>
      </c>
      <c r="V27" s="5">
        <v>379609245342796</v>
      </c>
      <c r="W27" s="5">
        <v>371612507578292</v>
      </c>
      <c r="X27" s="5">
        <v>356537957357824</v>
      </c>
      <c r="Y27" s="5">
        <v>352638874752</v>
      </c>
      <c r="Z27" s="5">
        <v>368539048420992</v>
      </c>
      <c r="AA27" s="5">
        <v>358413064287432</v>
      </c>
      <c r="AB27" s="5">
        <v>307216859706239</v>
      </c>
      <c r="AC27" s="5">
        <v>330861782340154</v>
      </c>
      <c r="AD27" s="5">
        <v>337908364356271</v>
      </c>
      <c r="AE27" s="5">
        <v>352572892597722</v>
      </c>
      <c r="AF27" s="5">
        <v>383055974227091</v>
      </c>
      <c r="AG27" s="5">
        <v>345330474706929</v>
      </c>
      <c r="AH27" s="5">
        <v>327171319711296</v>
      </c>
      <c r="AI27" s="5">
        <v>363954587715873</v>
      </c>
      <c r="AJ27" s="5">
        <v>350714786967898</v>
      </c>
      <c r="AK27" s="5">
        <v>380024916483809</v>
      </c>
      <c r="AL27" s="5">
        <v>375928646643451</v>
      </c>
      <c r="AM27" s="5">
        <v>360148178072592</v>
      </c>
      <c r="AN27" s="5">
        <v>401088292562416</v>
      </c>
      <c r="AO27" s="5">
        <v>464346513776693</v>
      </c>
      <c r="AP27" s="6">
        <v>907732685657559</v>
      </c>
      <c r="AQ27" s="6">
        <v>89208630841346</v>
      </c>
      <c r="AR27" s="6">
        <v>860918176570844</v>
      </c>
      <c r="AS27" s="6">
        <v>89998511371766</v>
      </c>
      <c r="AT27" s="6">
        <v>907998234934496</v>
      </c>
      <c r="AU27" s="6">
        <v>927130850322927</v>
      </c>
      <c r="AV27" s="6">
        <v>905887620244589</v>
      </c>
      <c r="AW27" s="6">
        <v>859350828117041</v>
      </c>
      <c r="AX27" s="6">
        <v>873726188459985</v>
      </c>
      <c r="AY27" s="6">
        <v>81682536110373</v>
      </c>
      <c r="AZ27" s="6">
        <v>797881531127495</v>
      </c>
      <c r="BA27" s="6">
        <v>759395637</v>
      </c>
      <c r="BB27" s="6">
        <v>711194205031159</v>
      </c>
      <c r="BC27" s="6">
        <v>847059214204658</v>
      </c>
      <c r="BD27" s="6">
        <v>775344713221049</v>
      </c>
      <c r="BE27" s="6">
        <v>789179324779653</v>
      </c>
      <c r="BF27" s="6">
        <v>786129811569198</v>
      </c>
      <c r="BG27" s="6">
        <v>732213114762997</v>
      </c>
      <c r="BH27" s="6">
        <v>72266811698739</v>
      </c>
      <c r="BI27" s="6">
        <v>725387807953615</v>
      </c>
      <c r="BJ27" s="6">
        <v>703645078453738</v>
      </c>
      <c r="BK27" s="6">
        <v>652465283181064</v>
      </c>
      <c r="BL27" s="6">
        <v>687024615950782</v>
      </c>
      <c r="BM27" s="6">
        <v>6864067994</v>
      </c>
    </row>
    <row r="28" spans="1:65" x14ac:dyDescent="0.45">
      <c r="A28" s="1" t="s">
        <v>22</v>
      </c>
      <c r="B28" s="2">
        <v>102700</v>
      </c>
      <c r="C28" s="3" t="s">
        <v>551</v>
      </c>
      <c r="D28" s="3" t="s">
        <v>552</v>
      </c>
      <c r="E28" s="3" t="s">
        <v>553</v>
      </c>
      <c r="F28" s="5">
        <v>103304677371374</v>
      </c>
      <c r="G28" s="5">
        <v>114188381625592</v>
      </c>
      <c r="H28" s="5">
        <v>11218016536025</v>
      </c>
      <c r="I28" s="5">
        <v>103151214003427</v>
      </c>
      <c r="J28" s="5">
        <v>113152536114111</v>
      </c>
      <c r="K28" s="5">
        <v>113212821834329</v>
      </c>
      <c r="L28" s="5">
        <v>99858723773402</v>
      </c>
      <c r="M28" s="5">
        <v>1184993980386</v>
      </c>
      <c r="N28" s="5">
        <v>124844079233625</v>
      </c>
      <c r="O28" s="5">
        <v>127480045484884</v>
      </c>
      <c r="P28" s="5">
        <v>131549041734423</v>
      </c>
      <c r="Q28" s="5">
        <v>122173448256</v>
      </c>
      <c r="R28" s="5">
        <v>111422541673898</v>
      </c>
      <c r="S28" s="5">
        <v>104658408177546</v>
      </c>
      <c r="T28" s="5">
        <v>116404069166762</v>
      </c>
      <c r="U28" s="5">
        <v>114831236816183</v>
      </c>
      <c r="V28" s="5">
        <v>111698332781796</v>
      </c>
      <c r="W28" s="5">
        <v>114205148875586</v>
      </c>
      <c r="X28" s="5">
        <v>111944255456494</v>
      </c>
      <c r="Y28" s="5">
        <v>105543283628975</v>
      </c>
      <c r="Z28" s="5">
        <v>102404931986405</v>
      </c>
      <c r="AA28" s="5">
        <v>968177350196659</v>
      </c>
      <c r="AB28" s="5">
        <v>900565777255176</v>
      </c>
      <c r="AC28" s="5">
        <v>771170595229204</v>
      </c>
      <c r="AD28" s="5">
        <v>795881368077444</v>
      </c>
      <c r="AE28" s="5">
        <v>798943730978939</v>
      </c>
      <c r="AF28" s="5">
        <v>630407735929826</v>
      </c>
      <c r="AG28" s="5">
        <v>687364848839085</v>
      </c>
      <c r="AH28" s="5">
        <v>684201765573328</v>
      </c>
      <c r="AI28" s="5">
        <v>635115751807115</v>
      </c>
      <c r="AJ28" s="5">
        <v>680963385658853</v>
      </c>
      <c r="AK28" s="5">
        <v>68837512048732</v>
      </c>
      <c r="AL28" s="5">
        <v>671439808102759</v>
      </c>
      <c r="AM28" s="5">
        <v>627742252501273</v>
      </c>
      <c r="AN28" s="5">
        <v>807712187389677</v>
      </c>
      <c r="AO28" s="5">
        <v>948856194</v>
      </c>
      <c r="AP28" s="6">
        <v>397917282605518</v>
      </c>
      <c r="AQ28" s="6">
        <v>415786549667109</v>
      </c>
      <c r="AR28" s="6">
        <v>413297053098736</v>
      </c>
      <c r="AS28" s="6">
        <v>444370647396659</v>
      </c>
      <c r="AT28" s="6">
        <v>411595094904039</v>
      </c>
      <c r="AU28" s="6">
        <v>437547065965918</v>
      </c>
      <c r="AV28" s="6">
        <v>40724005875711</v>
      </c>
      <c r="AW28" s="6">
        <v>398476708663408</v>
      </c>
      <c r="AX28" s="6">
        <v>369257281526065</v>
      </c>
      <c r="AY28" s="6">
        <v>333591126539576</v>
      </c>
      <c r="AZ28" s="6">
        <v>329830250350493</v>
      </c>
      <c r="BA28" s="6">
        <v>333864474816213</v>
      </c>
      <c r="BB28" s="6">
        <v>304502142834382</v>
      </c>
      <c r="BC28" s="6">
        <v>33792156116448</v>
      </c>
      <c r="BD28" s="6">
        <v>324102666859333</v>
      </c>
      <c r="BE28" s="6">
        <v>407118668664947</v>
      </c>
      <c r="BF28" s="6">
        <v>406961298177319</v>
      </c>
      <c r="BG28" s="6">
        <v>423499588323738</v>
      </c>
      <c r="BH28" s="6">
        <v>407938220226292</v>
      </c>
      <c r="BI28" s="6">
        <v>406452922304088</v>
      </c>
      <c r="BJ28" s="6">
        <v>418833907849952</v>
      </c>
      <c r="BK28" s="6">
        <v>399645096009765</v>
      </c>
      <c r="BL28" s="6">
        <v>423812566320179</v>
      </c>
      <c r="BM28" s="6">
        <v>461932861791338</v>
      </c>
    </row>
    <row r="29" spans="1:65" x14ac:dyDescent="0.45">
      <c r="A29" s="1" t="s">
        <v>23</v>
      </c>
      <c r="B29" s="2">
        <v>103330</v>
      </c>
      <c r="C29" s="3" t="s">
        <v>554</v>
      </c>
      <c r="D29" s="3" t="s">
        <v>555</v>
      </c>
      <c r="E29" s="3" t="s">
        <v>556</v>
      </c>
      <c r="F29" s="5">
        <v>439648524423767</v>
      </c>
      <c r="G29" s="5">
        <v>454687175376377</v>
      </c>
      <c r="H29" s="5">
        <v>438335041887063</v>
      </c>
      <c r="I29" s="5">
        <v>368194287273389</v>
      </c>
      <c r="J29" s="5">
        <v>390721394989082</v>
      </c>
      <c r="K29" s="5">
        <v>402079475339874</v>
      </c>
      <c r="L29" s="5">
        <v>387468682704292</v>
      </c>
      <c r="M29" s="5">
        <v>433294374050984</v>
      </c>
      <c r="N29" s="5">
        <v>447629777655338</v>
      </c>
      <c r="O29" s="5">
        <v>455574662255649</v>
      </c>
      <c r="P29" s="5">
        <v>444321855291878</v>
      </c>
      <c r="Q29" s="5">
        <v>428094804303936</v>
      </c>
      <c r="R29" s="5">
        <v>415123878465808</v>
      </c>
      <c r="S29" s="5">
        <v>387472659892058</v>
      </c>
      <c r="T29" s="5">
        <v>43701727099615</v>
      </c>
      <c r="U29" s="5">
        <v>405016108925072</v>
      </c>
      <c r="V29" s="5">
        <v>395302206524164</v>
      </c>
      <c r="W29" s="5">
        <v>342535849726844</v>
      </c>
      <c r="X29" s="5">
        <v>344507771119585</v>
      </c>
      <c r="Y29" s="5">
        <v>372048765416273</v>
      </c>
      <c r="Z29" s="5">
        <v>347322088231367</v>
      </c>
      <c r="AA29" s="5">
        <v>3395129974721</v>
      </c>
      <c r="AB29" s="5">
        <v>314132399944576</v>
      </c>
      <c r="AC29" s="5">
        <v>265721002436148</v>
      </c>
      <c r="AD29" s="5">
        <v>266646953064537</v>
      </c>
      <c r="AE29" s="5">
        <v>27709035078157</v>
      </c>
      <c r="AF29" s="5">
        <v>232772955677891</v>
      </c>
      <c r="AG29" s="5">
        <v>201959284173772</v>
      </c>
      <c r="AH29" s="5">
        <v>20997976787179</v>
      </c>
      <c r="AI29" s="5">
        <v>233994943971744</v>
      </c>
      <c r="AJ29" s="5">
        <v>238633907084697</v>
      </c>
      <c r="AK29" s="5">
        <v>232884120195915</v>
      </c>
      <c r="AL29" s="5">
        <v>200211739084565</v>
      </c>
      <c r="AM29" s="5">
        <v>190065198775725</v>
      </c>
      <c r="AN29" s="5">
        <v>33483583534866</v>
      </c>
      <c r="AO29" s="5">
        <v>394388384812391</v>
      </c>
      <c r="AP29" s="6">
        <v>907109242146619</v>
      </c>
      <c r="AQ29" s="6">
        <v>860427864866482</v>
      </c>
      <c r="AR29" s="6">
        <v>866566753531321</v>
      </c>
      <c r="AS29" s="6">
        <v>897757963026839</v>
      </c>
      <c r="AT29" s="6">
        <v>926490107558323</v>
      </c>
      <c r="AU29" s="6">
        <v>841723976247881</v>
      </c>
      <c r="AV29" s="6">
        <v>794186423019171</v>
      </c>
      <c r="AW29" s="6">
        <v>827854936981326</v>
      </c>
      <c r="AX29" s="6">
        <v>77037205379463</v>
      </c>
      <c r="AY29" s="6">
        <v>774546697175368</v>
      </c>
      <c r="AZ29" s="6">
        <v>682335628128574</v>
      </c>
      <c r="BA29" s="6">
        <v>664649138145445</v>
      </c>
      <c r="BB29" s="6">
        <v>608591886505707</v>
      </c>
      <c r="BC29" s="6">
        <v>63993005179602</v>
      </c>
      <c r="BD29" s="6">
        <v>606367374353992</v>
      </c>
      <c r="BE29" s="6">
        <v>551307045113132</v>
      </c>
      <c r="BF29" s="6">
        <v>566327044958791</v>
      </c>
      <c r="BG29" s="6">
        <v>558410528987226</v>
      </c>
      <c r="BH29" s="6">
        <v>545750801286033</v>
      </c>
      <c r="BI29" s="6">
        <v>524161766622641</v>
      </c>
      <c r="BJ29" s="6">
        <v>48864601741859</v>
      </c>
      <c r="BK29" s="6">
        <v>51051317577208</v>
      </c>
      <c r="BL29" s="6">
        <v>489331948014</v>
      </c>
      <c r="BM29" s="6">
        <v>509207035264273</v>
      </c>
    </row>
    <row r="30" spans="1:65" x14ac:dyDescent="0.45">
      <c r="A30" s="1" t="s">
        <v>24</v>
      </c>
      <c r="B30" s="2">
        <v>4290489</v>
      </c>
      <c r="C30" s="3" t="s">
        <v>557</v>
      </c>
      <c r="D30" s="3" t="s">
        <v>558</v>
      </c>
      <c r="E30" s="3" t="s">
        <v>559</v>
      </c>
      <c r="F30" s="5">
        <v>923004450953634</v>
      </c>
      <c r="G30" s="5">
        <v>998938779019384</v>
      </c>
      <c r="H30" s="5">
        <v>975589226067769</v>
      </c>
      <c r="I30" s="5">
        <v>101940747028722</v>
      </c>
      <c r="J30" s="5">
        <v>11744254926416</v>
      </c>
      <c r="K30" s="5">
        <v>123623442208685</v>
      </c>
      <c r="L30" s="5">
        <v>113821463023519</v>
      </c>
      <c r="M30" s="5">
        <v>108932347587772</v>
      </c>
      <c r="N30" s="5">
        <v>104353599626515</v>
      </c>
      <c r="O30" s="5">
        <v>103097548343181</v>
      </c>
      <c r="P30" s="5">
        <v>921013747770944</v>
      </c>
      <c r="Q30" s="5">
        <v>102258227193422</v>
      </c>
      <c r="R30" s="5">
        <v>117130239653339</v>
      </c>
      <c r="S30" s="5">
        <v>10605321503369</v>
      </c>
      <c r="T30" s="5">
        <v>111051562523744</v>
      </c>
      <c r="U30" s="5">
        <v>104225417630282</v>
      </c>
      <c r="V30" s="5">
        <v>112659493205656</v>
      </c>
      <c r="W30" s="5">
        <v>108505862970112</v>
      </c>
      <c r="X30" s="5">
        <v>10359617132329</v>
      </c>
      <c r="Y30" s="5">
        <v>953065406484892</v>
      </c>
      <c r="Z30" s="5">
        <v>942037741710659</v>
      </c>
      <c r="AA30" s="5">
        <v>905118310698554</v>
      </c>
      <c r="AB30" s="5">
        <v>793810341168215</v>
      </c>
      <c r="AC30" s="5">
        <v>832007927424845</v>
      </c>
      <c r="AD30" s="5">
        <v>81511396917228</v>
      </c>
      <c r="AE30" s="5">
        <v>859308711937344</v>
      </c>
      <c r="AF30" s="5">
        <v>875378685502044</v>
      </c>
      <c r="AG30" s="5">
        <v>913116694790646</v>
      </c>
      <c r="AH30" s="5">
        <v>924457425521553</v>
      </c>
      <c r="AI30" s="5">
        <v>980076365004644</v>
      </c>
      <c r="AJ30" s="5">
        <v>101844619712851</v>
      </c>
      <c r="AK30" s="5">
        <v>102946356344841</v>
      </c>
      <c r="AL30" s="5">
        <v>964438865466846</v>
      </c>
      <c r="AM30" s="5">
        <v>8776408124211</v>
      </c>
      <c r="AN30" s="5">
        <v>91341364725949</v>
      </c>
      <c r="AO30" s="5">
        <v>925876087990238</v>
      </c>
      <c r="AP30" s="6">
        <v>197898627894663</v>
      </c>
      <c r="AQ30" s="6">
        <v>198576887426419</v>
      </c>
      <c r="AR30" s="6">
        <v>199912261101444</v>
      </c>
      <c r="AS30" s="6">
        <v>205820007563538</v>
      </c>
      <c r="AT30" s="6">
        <v>209122358444013</v>
      </c>
      <c r="AU30" s="6">
        <v>186306802805742</v>
      </c>
      <c r="AV30" s="6">
        <v>18402231906448</v>
      </c>
      <c r="AW30" s="6">
        <v>18302845831452</v>
      </c>
      <c r="AX30" s="6">
        <v>174300720088761</v>
      </c>
      <c r="AY30" s="6">
        <v>167686947991649</v>
      </c>
      <c r="AZ30" s="6">
        <v>161289297790898</v>
      </c>
      <c r="BA30" s="6">
        <v>150835950209885</v>
      </c>
      <c r="BB30" s="6">
        <v>143176047409073</v>
      </c>
      <c r="BC30" s="6">
        <v>152183582022689</v>
      </c>
      <c r="BD30" s="6">
        <v>141257613241965</v>
      </c>
      <c r="BE30" s="6">
        <v>136661073749922</v>
      </c>
      <c r="BF30" s="6">
        <v>136103923213448</v>
      </c>
      <c r="BG30" s="6">
        <v>134265240136643</v>
      </c>
      <c r="BH30" s="6">
        <v>130294012103586</v>
      </c>
      <c r="BI30" s="6">
        <v>12696448110061</v>
      </c>
      <c r="BJ30" s="6">
        <v>127663661241839</v>
      </c>
      <c r="BK30" s="6">
        <v>118908713517327</v>
      </c>
      <c r="BL30" s="6">
        <v>116051322190003</v>
      </c>
      <c r="BM30" s="6">
        <v>119262439942702</v>
      </c>
    </row>
    <row r="31" spans="1:65" x14ac:dyDescent="0.45">
      <c r="A31" s="1" t="s">
        <v>25</v>
      </c>
      <c r="B31" s="2">
        <v>4004387</v>
      </c>
      <c r="C31" s="3" t="s">
        <v>560</v>
      </c>
      <c r="D31" s="3" t="s">
        <v>561</v>
      </c>
      <c r="E31" s="3" t="s">
        <v>562</v>
      </c>
      <c r="F31" s="5">
        <v>259321812021884</v>
      </c>
      <c r="G31" s="5">
        <v>267580939540453</v>
      </c>
      <c r="H31" s="5">
        <v>267254867614009</v>
      </c>
      <c r="I31" s="5">
        <v>241298216067285</v>
      </c>
      <c r="J31" s="5">
        <v>267945998832404</v>
      </c>
      <c r="K31" s="5">
        <v>277030543316028</v>
      </c>
      <c r="L31" s="5">
        <v>258659233971394</v>
      </c>
      <c r="M31" s="5">
        <v>256235995696395</v>
      </c>
      <c r="N31" s="5">
        <v>265735125285333</v>
      </c>
      <c r="O31" s="5">
        <v>270829683803815</v>
      </c>
      <c r="P31" s="5">
        <v>244503061267142</v>
      </c>
      <c r="Q31" s="5">
        <v>260619657474355</v>
      </c>
      <c r="R31" s="5">
        <v>301469931434453</v>
      </c>
      <c r="S31" s="5">
        <v>271499330896154</v>
      </c>
      <c r="T31" s="5">
        <v>273388571159021</v>
      </c>
      <c r="U31" s="5">
        <v>264707354997926</v>
      </c>
      <c r="V31" s="5">
        <v>28023338458584</v>
      </c>
      <c r="W31" s="5">
        <v>260231781173051</v>
      </c>
      <c r="X31" s="5">
        <v>235897691111734</v>
      </c>
      <c r="Y31" s="5">
        <v>230817765837964</v>
      </c>
      <c r="Z31" s="5">
        <v>235316734587722</v>
      </c>
      <c r="AA31" s="5">
        <v>231791466363629</v>
      </c>
      <c r="AB31" s="5">
        <v>212762601392541</v>
      </c>
      <c r="AC31" s="5">
        <v>237467538848686</v>
      </c>
      <c r="AD31" s="5">
        <v>227426971868914</v>
      </c>
      <c r="AE31" s="5">
        <v>232631872728468</v>
      </c>
      <c r="AF31" s="5">
        <v>234029821301029</v>
      </c>
      <c r="AG31" s="5">
        <v>223569231186589</v>
      </c>
      <c r="AH31" s="5">
        <v>214239218553419</v>
      </c>
      <c r="AI31" s="5">
        <v>225350604096012</v>
      </c>
      <c r="AJ31" s="5">
        <v>206958575658205</v>
      </c>
      <c r="AK31" s="5">
        <v>20679425029053</v>
      </c>
      <c r="AL31" s="5">
        <v>201360484043481</v>
      </c>
      <c r="AM31" s="5">
        <v>196948621393524</v>
      </c>
      <c r="AN31" s="5">
        <v>203495281802753</v>
      </c>
      <c r="AO31" s="5">
        <v>222087862244556</v>
      </c>
      <c r="AP31" s="6">
        <v>188066212860418</v>
      </c>
      <c r="AQ31" s="6">
        <v>188432330157326</v>
      </c>
      <c r="AR31" s="6">
        <v>172452995806</v>
      </c>
      <c r="AS31" s="6">
        <v>176551198424584</v>
      </c>
      <c r="AT31" s="6">
        <v>15346986227159</v>
      </c>
      <c r="AU31" s="6">
        <v>17506746340179</v>
      </c>
      <c r="AV31" s="6">
        <v>170817170924812</v>
      </c>
      <c r="AW31" s="6">
        <v>166049541870596</v>
      </c>
      <c r="AX31" s="6">
        <v>177367036948442</v>
      </c>
      <c r="AY31" s="6">
        <v>154544739070491</v>
      </c>
      <c r="AZ31" s="6">
        <v>156612408867911</v>
      </c>
      <c r="BA31" s="6">
        <v>15401916301257</v>
      </c>
      <c r="BB31" s="6">
        <v>127032744400647</v>
      </c>
      <c r="BC31" s="6">
        <v>15969570518448</v>
      </c>
      <c r="BD31" s="6">
        <v>159478433929121</v>
      </c>
      <c r="BE31" s="6">
        <v>180296134237056</v>
      </c>
      <c r="BF31" s="6">
        <v>173497419783761</v>
      </c>
      <c r="BG31" s="6">
        <v>17700347133</v>
      </c>
      <c r="BH31" s="6">
        <v>173377948472767</v>
      </c>
      <c r="BI31" s="6">
        <v>171948889101787</v>
      </c>
      <c r="BJ31" s="6">
        <v>1683767869</v>
      </c>
      <c r="BK31" s="6">
        <v>175756466444987</v>
      </c>
      <c r="BL31" s="6">
        <v>18748714859915</v>
      </c>
      <c r="BM31" s="6">
        <v>19881588538</v>
      </c>
    </row>
    <row r="32" spans="1:65" x14ac:dyDescent="0.45">
      <c r="A32" s="1" t="s">
        <v>26</v>
      </c>
      <c r="B32" s="2">
        <v>113901</v>
      </c>
      <c r="C32" s="3" t="s">
        <v>563</v>
      </c>
      <c r="D32" s="3" t="s">
        <v>564</v>
      </c>
      <c r="E32" s="3" t="s">
        <v>565</v>
      </c>
      <c r="F32" s="5">
        <v>310045348274859</v>
      </c>
      <c r="G32" s="5">
        <v>342548359750461</v>
      </c>
      <c r="H32" s="5">
        <v>338139543862552</v>
      </c>
      <c r="I32" s="5">
        <v>277918988726044</v>
      </c>
      <c r="J32" s="5">
        <v>287836165162063</v>
      </c>
      <c r="K32" s="5">
        <v>286858451712</v>
      </c>
      <c r="L32" s="5">
        <v>249883996239197</v>
      </c>
      <c r="M32" s="5">
        <v>283016439538663</v>
      </c>
      <c r="N32" s="5">
        <v>277367730561</v>
      </c>
      <c r="O32" s="5">
        <v>298983127952062</v>
      </c>
      <c r="P32" s="5">
        <v>295664039762803</v>
      </c>
      <c r="Q32" s="5">
        <v>303991170206219</v>
      </c>
      <c r="R32" s="5">
        <v>296787334551362</v>
      </c>
      <c r="S32" s="5">
        <v>28748199778039</v>
      </c>
      <c r="T32" s="5">
        <v>293674690240761</v>
      </c>
      <c r="U32" s="5">
        <v>259207353324436</v>
      </c>
      <c r="V32" s="5">
        <v>262991243864028</v>
      </c>
      <c r="W32" s="5">
        <v>251656243155073</v>
      </c>
      <c r="X32" s="5">
        <v>243290590612076</v>
      </c>
      <c r="Y32" s="5">
        <v>247107718445549</v>
      </c>
      <c r="Z32" s="5">
        <v>250464496695293</v>
      </c>
      <c r="AA32" s="5">
        <v>230921850380616</v>
      </c>
      <c r="AB32" s="5">
        <v>213487230940648</v>
      </c>
      <c r="AC32" s="5">
        <v>192310129323872</v>
      </c>
      <c r="AD32" s="5">
        <v>187425220533974</v>
      </c>
      <c r="AE32" s="5">
        <v>182854208288329</v>
      </c>
      <c r="AF32" s="5">
        <v>163677752478</v>
      </c>
      <c r="AG32" s="5">
        <v>157840952455139</v>
      </c>
      <c r="AH32" s="5">
        <v>157748494560944</v>
      </c>
      <c r="AI32" s="5">
        <v>156615307434</v>
      </c>
      <c r="AJ32" s="5">
        <v>163106801410629</v>
      </c>
      <c r="AK32" s="5">
        <v>154136326054603</v>
      </c>
      <c r="AL32" s="5">
        <v>129198961970648</v>
      </c>
      <c r="AM32" s="5">
        <v>11467655338776</v>
      </c>
      <c r="AN32" s="5">
        <v>158349452240165</v>
      </c>
      <c r="AO32" s="5">
        <v>189029583275949</v>
      </c>
      <c r="AP32" s="6">
        <v>203169490557778</v>
      </c>
      <c r="AQ32" s="6">
        <v>205416928809991</v>
      </c>
      <c r="AR32" s="6">
        <v>18774413575616</v>
      </c>
      <c r="AS32" s="6">
        <v>192285721635013</v>
      </c>
      <c r="AT32" s="6">
        <v>178401003706506</v>
      </c>
      <c r="AU32" s="6">
        <v>18344516958789</v>
      </c>
      <c r="AV32" s="6">
        <v>181885842293963</v>
      </c>
      <c r="AW32" s="6">
        <v>167379956084704</v>
      </c>
      <c r="AX32" s="6">
        <v>179038418056596</v>
      </c>
      <c r="AY32" s="6">
        <v>168196115075947</v>
      </c>
      <c r="AZ32" s="6">
        <v>158717901206723</v>
      </c>
      <c r="BA32" s="6">
        <v>147722550552324</v>
      </c>
      <c r="BB32" s="6">
        <v>13724827089263</v>
      </c>
      <c r="BC32" s="6">
        <v>150535044077215</v>
      </c>
      <c r="BD32" s="6">
        <v>137434271066843</v>
      </c>
      <c r="BE32" s="6">
        <v>157918684339172</v>
      </c>
      <c r="BF32" s="6">
        <v>153750230799495</v>
      </c>
      <c r="BG32" s="6">
        <v>153953956762209</v>
      </c>
      <c r="BH32" s="6">
        <v>14322776359179</v>
      </c>
      <c r="BI32" s="6">
        <v>145056068288895</v>
      </c>
      <c r="BJ32" s="6">
        <v>133849476744</v>
      </c>
      <c r="BK32" s="6">
        <v>1430426427816</v>
      </c>
      <c r="BL32" s="6">
        <v>143499310109555</v>
      </c>
      <c r="BM32" s="6">
        <v>141761677398918</v>
      </c>
    </row>
    <row r="33" spans="1:65" x14ac:dyDescent="0.45">
      <c r="A33" s="1" t="s">
        <v>27</v>
      </c>
      <c r="B33" s="2">
        <v>4107063</v>
      </c>
      <c r="C33" s="3" t="s">
        <v>566</v>
      </c>
      <c r="D33" s="3" t="s">
        <v>567</v>
      </c>
      <c r="E33" s="3" t="s">
        <v>568</v>
      </c>
      <c r="F33" s="5">
        <v>300240981648096</v>
      </c>
      <c r="G33" s="5">
        <v>317163456303516</v>
      </c>
      <c r="H33" s="5">
        <v>301034929588739</v>
      </c>
      <c r="I33" s="5">
        <v>265519990585477</v>
      </c>
      <c r="J33" s="5">
        <v>27390268924361</v>
      </c>
      <c r="K33" s="5">
        <v>279584453437146</v>
      </c>
      <c r="L33" s="5">
        <v>24273438870427</v>
      </c>
      <c r="M33" s="5">
        <v>261441362191697</v>
      </c>
      <c r="N33" s="5">
        <v>276961471445203</v>
      </c>
      <c r="O33" s="5">
        <v>277147614861197</v>
      </c>
      <c r="P33" s="5">
        <v>267795246526495</v>
      </c>
      <c r="Q33" s="5">
        <v>282467125891705</v>
      </c>
      <c r="R33" s="5">
        <v>299085562829171</v>
      </c>
      <c r="S33" s="5">
        <v>280141253130648</v>
      </c>
      <c r="T33" s="5">
        <v>264729323968029</v>
      </c>
      <c r="U33" s="5">
        <v>247380366431575</v>
      </c>
      <c r="V33" s="5">
        <v>266334501346723</v>
      </c>
      <c r="W33" s="5">
        <v>270681495294204</v>
      </c>
      <c r="X33" s="5">
        <v>260000906106264</v>
      </c>
      <c r="Y33" s="5">
        <v>255972867459708</v>
      </c>
      <c r="Z33" s="5">
        <v>258881945027498</v>
      </c>
      <c r="AA33" s="5">
        <v>251170117616753</v>
      </c>
      <c r="AB33" s="5">
        <v>224804877658797</v>
      </c>
      <c r="AC33" s="5">
        <v>214658765375033</v>
      </c>
      <c r="AD33" s="5">
        <v>227461557121932</v>
      </c>
      <c r="AE33" s="5">
        <v>228164637622517</v>
      </c>
      <c r="AF33" s="5">
        <v>193865117180795</v>
      </c>
      <c r="AG33" s="5">
        <v>194379924915708</v>
      </c>
      <c r="AH33" s="5">
        <v>193430426195423</v>
      </c>
      <c r="AI33" s="5">
        <v>180848069996771</v>
      </c>
      <c r="AJ33" s="5">
        <v>182201620695571</v>
      </c>
      <c r="AK33" s="5">
        <v>189265749979956</v>
      </c>
      <c r="AL33" s="5">
        <v>175709921872405</v>
      </c>
      <c r="AM33" s="5">
        <v>150207093644244</v>
      </c>
      <c r="AN33" s="5">
        <v>179174587169802</v>
      </c>
      <c r="AO33" s="5">
        <v>200314333583496</v>
      </c>
      <c r="AP33" s="6">
        <v>127641009152546</v>
      </c>
      <c r="AQ33" s="6">
        <v>126580032050819</v>
      </c>
      <c r="AR33" s="6">
        <v>113671218150082</v>
      </c>
      <c r="AS33" s="6">
        <v>106427789059622</v>
      </c>
      <c r="AT33" s="6">
        <v>113749710994465</v>
      </c>
      <c r="AU33" s="6">
        <v>100535190219683</v>
      </c>
      <c r="AV33" s="6">
        <v>987761950445101</v>
      </c>
      <c r="AW33" s="6">
        <v>912137891637108</v>
      </c>
      <c r="AX33" s="6">
        <v>985784483783211</v>
      </c>
      <c r="AY33" s="6">
        <v>105334359381294</v>
      </c>
      <c r="AZ33" s="6">
        <v>103863958701858</v>
      </c>
      <c r="BA33" s="6">
        <v>104087870966245</v>
      </c>
      <c r="BB33" s="6">
        <v>108343060498428</v>
      </c>
      <c r="BC33" s="6">
        <v>117201441559642</v>
      </c>
      <c r="BD33" s="6">
        <v>108537531527846</v>
      </c>
      <c r="BE33" s="6">
        <v>115482724139588</v>
      </c>
      <c r="BF33" s="6">
        <v>111419028415813</v>
      </c>
      <c r="BG33" s="6">
        <v>108710622014982</v>
      </c>
      <c r="BH33" s="6">
        <v>104689889671319</v>
      </c>
      <c r="BI33" s="6">
        <v>101942476404665</v>
      </c>
      <c r="BJ33" s="6">
        <v>956193871687464</v>
      </c>
      <c r="BK33" s="6">
        <v>926741302337568</v>
      </c>
      <c r="BL33" s="6">
        <v>108450115912937</v>
      </c>
      <c r="BM33" s="6">
        <v>108571247066667</v>
      </c>
    </row>
    <row r="34" spans="1:65" x14ac:dyDescent="0.45">
      <c r="A34" s="1" t="s">
        <v>28</v>
      </c>
      <c r="B34" s="2">
        <v>4092820</v>
      </c>
      <c r="C34" s="3" t="s">
        <v>569</v>
      </c>
      <c r="D34" s="3" t="s">
        <v>570</v>
      </c>
      <c r="E34" s="3" t="s">
        <v>498</v>
      </c>
      <c r="F34" s="5">
        <v>131128289360555</v>
      </c>
      <c r="G34" s="5">
        <v>148186726935068</v>
      </c>
      <c r="H34" s="5">
        <v>146252744972362</v>
      </c>
      <c r="I34" s="5">
        <v>122960767179082</v>
      </c>
      <c r="J34" s="5">
        <v>127631221683889</v>
      </c>
      <c r="K34" s="5">
        <v>129607367654088</v>
      </c>
      <c r="L34" s="5">
        <v>124330109082368</v>
      </c>
      <c r="M34" s="5">
        <v>127837972473207</v>
      </c>
      <c r="N34" s="5">
        <v>118204551166843</v>
      </c>
      <c r="O34" s="5">
        <v>121257698196511</v>
      </c>
      <c r="P34" s="5">
        <v>112341928434523</v>
      </c>
      <c r="Q34" s="5">
        <v>114225025719994</v>
      </c>
      <c r="R34" s="5">
        <v>111423075825206</v>
      </c>
      <c r="S34" s="5">
        <v>993862046016351</v>
      </c>
      <c r="T34" s="5">
        <v>101638561617555</v>
      </c>
      <c r="U34" s="5">
        <v>10418638111231</v>
      </c>
      <c r="V34" s="5">
        <v>108498990320995</v>
      </c>
      <c r="W34" s="5">
        <v>116989659923225</v>
      </c>
      <c r="X34" s="5">
        <v>118116090249398</v>
      </c>
      <c r="Y34" s="5">
        <v>112170042539363</v>
      </c>
      <c r="Z34" s="5">
        <v>11445846923255</v>
      </c>
      <c r="AA34" s="5">
        <v>122436056574604</v>
      </c>
      <c r="AB34" s="5">
        <v>107367499809394</v>
      </c>
      <c r="AC34" s="5">
        <v>115787535034413</v>
      </c>
      <c r="AD34" s="5">
        <v>109424179444075</v>
      </c>
      <c r="AE34" s="5">
        <v>108155790059715</v>
      </c>
      <c r="AF34" s="5">
        <v>108374304719555</v>
      </c>
      <c r="AG34" s="5">
        <v>126769116263666</v>
      </c>
      <c r="AH34" s="5">
        <v>12410978773493</v>
      </c>
      <c r="AI34" s="5">
        <v>121132923568995</v>
      </c>
      <c r="AJ34" s="5">
        <v>123287946415905</v>
      </c>
      <c r="AK34" s="5">
        <v>121540824581495</v>
      </c>
      <c r="AL34" s="5">
        <v>128526623341194</v>
      </c>
      <c r="AM34" s="5">
        <v>108810098138442</v>
      </c>
      <c r="AN34" s="5">
        <v>1071174640414</v>
      </c>
      <c r="AO34" s="5">
        <v>115792765337811</v>
      </c>
      <c r="AP34" s="6">
        <v>285947729564564</v>
      </c>
      <c r="AQ34" s="6">
        <v>279859708204128</v>
      </c>
      <c r="AR34" s="6">
        <v>266860453293854</v>
      </c>
      <c r="AS34" s="6">
        <v>263242083702267</v>
      </c>
      <c r="AT34" s="6">
        <v>236743073961275</v>
      </c>
      <c r="AU34" s="6">
        <v>249404407779076</v>
      </c>
      <c r="AV34" s="6">
        <v>251867358981548</v>
      </c>
      <c r="AW34" s="6">
        <v>233153658868497</v>
      </c>
      <c r="AX34" s="6">
        <v>265445421353553</v>
      </c>
      <c r="AY34" s="6">
        <v>250828582961484</v>
      </c>
      <c r="AZ34" s="6">
        <v>24596683124121</v>
      </c>
      <c r="BA34" s="6">
        <v>231281113623941</v>
      </c>
      <c r="BB34" s="6">
        <v>213227724911118</v>
      </c>
      <c r="BC34" s="6">
        <v>234036593610839</v>
      </c>
      <c r="BD34" s="6">
        <v>238269161148585</v>
      </c>
      <c r="BE34" s="6">
        <v>243054345796619</v>
      </c>
      <c r="BF34" s="6">
        <v>244729279879765</v>
      </c>
      <c r="BG34" s="6">
        <v>239994597180538</v>
      </c>
      <c r="BH34" s="6">
        <v>225161300406048</v>
      </c>
      <c r="BI34" s="6">
        <v>224750129887407</v>
      </c>
      <c r="BJ34" s="6">
        <v>209373263450602</v>
      </c>
      <c r="BK34" s="6">
        <v>213963637743425</v>
      </c>
      <c r="BL34" s="6">
        <v>228649752137898</v>
      </c>
      <c r="BM34" s="6">
        <v>227715189496861</v>
      </c>
    </row>
    <row r="35" spans="1:65" x14ac:dyDescent="0.45">
      <c r="A35" s="1" t="s">
        <v>29</v>
      </c>
      <c r="B35" s="2">
        <v>4122605</v>
      </c>
      <c r="C35" s="3" t="s">
        <v>571</v>
      </c>
      <c r="D35" s="3" t="s">
        <v>572</v>
      </c>
      <c r="E35" s="3" t="s">
        <v>573</v>
      </c>
      <c r="F35" s="5">
        <v>423970332364789</v>
      </c>
      <c r="G35" s="5">
        <v>464131912004783</v>
      </c>
      <c r="H35" s="5">
        <v>456359429825407</v>
      </c>
      <c r="I35" s="5">
        <v>406183206390378</v>
      </c>
      <c r="J35" s="5">
        <v>434271758820027</v>
      </c>
      <c r="K35" s="5">
        <v>44979864716539</v>
      </c>
      <c r="L35" s="5">
        <v>367753182023198</v>
      </c>
      <c r="M35" s="5">
        <v>394401670990975</v>
      </c>
      <c r="N35" s="5">
        <v>405136692977874</v>
      </c>
      <c r="O35" s="5">
        <v>406261267283741</v>
      </c>
      <c r="P35" s="5">
        <v>405403795157726</v>
      </c>
      <c r="Q35" s="5">
        <v>424946294280225</v>
      </c>
      <c r="R35" s="5">
        <v>45990476179204</v>
      </c>
      <c r="S35" s="5">
        <v>427533505991824</v>
      </c>
      <c r="T35" s="5">
        <v>397034806743163</v>
      </c>
      <c r="U35" s="5">
        <v>377950443861083</v>
      </c>
      <c r="V35" s="5">
        <v>3883474535758</v>
      </c>
      <c r="W35" s="5">
        <v>365545433985815</v>
      </c>
      <c r="X35" s="5">
        <v>344806306111457</v>
      </c>
      <c r="Y35" s="5">
        <v>329805171449676</v>
      </c>
      <c r="Z35" s="5">
        <v>334543738207442</v>
      </c>
      <c r="AA35" s="5">
        <v>336762808644377</v>
      </c>
      <c r="AB35" s="5">
        <v>311183870583037</v>
      </c>
      <c r="AC35" s="5">
        <v>307758872421601</v>
      </c>
      <c r="AD35" s="5">
        <v>319809815994107</v>
      </c>
      <c r="AE35" s="5">
        <v>32742106672952</v>
      </c>
      <c r="AF35" s="5">
        <v>28966557426447</v>
      </c>
      <c r="AG35" s="5">
        <v>275111619341897</v>
      </c>
      <c r="AH35" s="5">
        <v>274052285997651</v>
      </c>
      <c r="AI35" s="5">
        <v>266745716922029</v>
      </c>
      <c r="AJ35" s="5">
        <v>251914896542707</v>
      </c>
      <c r="AK35" s="5">
        <v>257001184634407</v>
      </c>
      <c r="AL35" s="5">
        <v>23872303788958</v>
      </c>
      <c r="AM35" s="5">
        <v>19770307080524</v>
      </c>
      <c r="AN35" s="5">
        <v>248510907005407</v>
      </c>
      <c r="AO35" s="5">
        <v>266018111459516</v>
      </c>
      <c r="AP35" s="6">
        <v>390026036023296</v>
      </c>
      <c r="AQ35" s="6">
        <v>37755935440292</v>
      </c>
      <c r="AR35" s="6">
        <v>353365683022951</v>
      </c>
      <c r="AS35" s="6">
        <v>378521539012893</v>
      </c>
      <c r="AT35" s="6">
        <v>368879495836273</v>
      </c>
      <c r="AU35" s="6">
        <v>390237901204929</v>
      </c>
      <c r="AV35" s="6">
        <v>366766737888814</v>
      </c>
      <c r="AW35" s="6">
        <v>320500904211831</v>
      </c>
      <c r="AX35" s="6">
        <v>382104738544788</v>
      </c>
      <c r="AY35" s="6">
        <v>34546251020789</v>
      </c>
      <c r="AZ35" s="6">
        <v>345926608342389</v>
      </c>
      <c r="BA35" s="6">
        <v>31872355254</v>
      </c>
      <c r="BB35" s="6">
        <v>277486118586469</v>
      </c>
      <c r="BC35" s="6">
        <v>300509383899064</v>
      </c>
      <c r="BD35" s="6">
        <v>274878874363853</v>
      </c>
      <c r="BE35" s="6">
        <v>295776155720091</v>
      </c>
      <c r="BF35" s="6">
        <v>316511448438346</v>
      </c>
      <c r="BG35" s="6">
        <v>30469817100386</v>
      </c>
      <c r="BH35" s="6">
        <v>304925909359093</v>
      </c>
      <c r="BI35" s="6">
        <v>309147662621175</v>
      </c>
      <c r="BJ35" s="6">
        <v>26752800885996</v>
      </c>
      <c r="BK35" s="6">
        <v>274050035065215</v>
      </c>
      <c r="BL35" s="6">
        <v>273036529160986</v>
      </c>
      <c r="BM35" s="6">
        <v>2752996838304</v>
      </c>
    </row>
    <row r="36" spans="1:65" x14ac:dyDescent="0.45">
      <c r="A36" s="1" t="s">
        <v>30</v>
      </c>
      <c r="B36" s="2">
        <v>4113211</v>
      </c>
      <c r="C36" s="3" t="s">
        <v>574</v>
      </c>
      <c r="D36" s="3" t="s">
        <v>575</v>
      </c>
      <c r="E36" s="3" t="s">
        <v>507</v>
      </c>
      <c r="F36" s="5">
        <v>781682032133266</v>
      </c>
      <c r="G36" s="5">
        <v>849002073412255</v>
      </c>
      <c r="H36" s="5">
        <v>741843050486288</v>
      </c>
      <c r="I36" s="5">
        <v>730873822383449</v>
      </c>
      <c r="J36" s="5">
        <v>773848111698638</v>
      </c>
      <c r="K36" s="5">
        <v>876338820212124</v>
      </c>
      <c r="L36" s="5">
        <v>726427333523554</v>
      </c>
      <c r="M36" s="5">
        <v>815916858608779</v>
      </c>
      <c r="N36" s="5">
        <v>766610519521837</v>
      </c>
      <c r="O36" s="5">
        <v>778143620946947</v>
      </c>
      <c r="P36" s="5">
        <v>746970832381468</v>
      </c>
      <c r="Q36" s="5">
        <v>769695095596812</v>
      </c>
      <c r="R36" s="5">
        <v>81192251390795</v>
      </c>
      <c r="S36" s="5">
        <v>859415971294706</v>
      </c>
      <c r="T36" s="5">
        <v>806300152131017</v>
      </c>
      <c r="U36" s="5">
        <v>776568378714183</v>
      </c>
      <c r="V36" s="5">
        <v>741902655695855</v>
      </c>
      <c r="W36" s="5">
        <v>520544092015451</v>
      </c>
      <c r="X36" s="5">
        <v>53553574073909</v>
      </c>
      <c r="Y36" s="5">
        <v>498116612316474</v>
      </c>
      <c r="Z36" s="5">
        <v>469682550806997</v>
      </c>
      <c r="AA36" s="5">
        <v>487412513659747</v>
      </c>
      <c r="AB36" s="5">
        <v>475080654090307</v>
      </c>
      <c r="AC36" s="5">
        <v>448346780291571</v>
      </c>
      <c r="AD36" s="5">
        <v>446224233756782</v>
      </c>
      <c r="AE36" s="5">
        <v>429963059252682</v>
      </c>
      <c r="AF36" s="5">
        <v>375881430505118</v>
      </c>
      <c r="AG36" s="5">
        <v>367009528660005</v>
      </c>
      <c r="AH36" s="5">
        <v>360934292468408</v>
      </c>
      <c r="AI36" s="5">
        <v>357676582127836</v>
      </c>
      <c r="AJ36" s="5">
        <v>40150142324707</v>
      </c>
      <c r="AK36" s="5">
        <v>374313974576929</v>
      </c>
      <c r="AL36" s="5">
        <v>368902623760678</v>
      </c>
      <c r="AM36" s="5">
        <v>300399473539165</v>
      </c>
      <c r="AN36" s="5">
        <v>36512396759784</v>
      </c>
      <c r="AO36" s="5">
        <v>36524456746778</v>
      </c>
      <c r="AP36" s="6">
        <v>434575931627484</v>
      </c>
      <c r="AQ36" s="6">
        <v>432677585326779</v>
      </c>
      <c r="AR36" s="6">
        <v>405722282093371</v>
      </c>
      <c r="AS36" s="6">
        <v>418673702129466</v>
      </c>
      <c r="AT36" s="6">
        <v>417811872200713</v>
      </c>
      <c r="AU36" s="6">
        <v>401028196175617</v>
      </c>
      <c r="AV36" s="6">
        <v>407902668484295</v>
      </c>
      <c r="AW36" s="6">
        <v>388540609752446</v>
      </c>
      <c r="AX36" s="6">
        <v>386698581819669</v>
      </c>
      <c r="AY36" s="6">
        <v>365024031317154</v>
      </c>
      <c r="AZ36" s="6">
        <v>361488342737649</v>
      </c>
      <c r="BA36" s="6">
        <v>328484372870821</v>
      </c>
      <c r="BB36" s="6">
        <v>305769482990023</v>
      </c>
      <c r="BC36" s="6">
        <v>351211295323553</v>
      </c>
      <c r="BD36" s="6">
        <v>332328822956134</v>
      </c>
      <c r="BE36" s="6">
        <v>32117484113077</v>
      </c>
      <c r="BF36" s="6">
        <v>304289654528794</v>
      </c>
      <c r="BG36" s="6">
        <v>297649475996969</v>
      </c>
      <c r="BH36" s="6">
        <v>287469471152504</v>
      </c>
      <c r="BI36" s="6">
        <v>29333310626168</v>
      </c>
      <c r="BJ36" s="6">
        <v>28878403219736</v>
      </c>
      <c r="BK36" s="6">
        <v>280932227194216</v>
      </c>
      <c r="BL36" s="6">
        <v>282915762646608</v>
      </c>
      <c r="BM36" s="6">
        <v>285609252071207</v>
      </c>
    </row>
    <row r="37" spans="1:65" x14ac:dyDescent="0.45">
      <c r="A37" s="1" t="s">
        <v>31</v>
      </c>
      <c r="B37" s="2">
        <v>103317</v>
      </c>
      <c r="C37" s="3" t="s">
        <v>576</v>
      </c>
      <c r="D37" s="3" t="s">
        <v>577</v>
      </c>
      <c r="E37" s="3" t="s">
        <v>578</v>
      </c>
      <c r="F37" s="5">
        <v>580927849854701</v>
      </c>
      <c r="G37" s="5">
        <v>618364338298446</v>
      </c>
      <c r="H37" s="5">
        <v>588849984270274</v>
      </c>
      <c r="I37" s="5">
        <v>576193414068711</v>
      </c>
      <c r="J37" s="5">
        <v>584848592433805</v>
      </c>
      <c r="K37" s="5">
        <v>601845737367381</v>
      </c>
      <c r="L37" s="5">
        <v>54789925715355</v>
      </c>
      <c r="M37" s="5">
        <v>545724698733913</v>
      </c>
      <c r="N37" s="5">
        <v>580389370562003</v>
      </c>
      <c r="O37" s="5">
        <v>62713994405722</v>
      </c>
      <c r="P37" s="5">
        <v>556577946117882</v>
      </c>
      <c r="Q37" s="5">
        <v>543792787129106</v>
      </c>
      <c r="R37" s="5">
        <v>582299788181136</v>
      </c>
      <c r="S37" s="5">
        <v>578167973891085</v>
      </c>
      <c r="T37" s="5">
        <v>609586652296393</v>
      </c>
      <c r="U37" s="5">
        <v>556607484245983</v>
      </c>
      <c r="V37" s="5">
        <v>548628306857094</v>
      </c>
      <c r="W37" s="5">
        <v>494849688248076</v>
      </c>
      <c r="X37" s="5">
        <v>454320635835956</v>
      </c>
      <c r="Y37" s="5">
        <v>469030487657453</v>
      </c>
      <c r="Z37" s="5">
        <v>47165255736102</v>
      </c>
      <c r="AA37" s="5">
        <v>443050716950671</v>
      </c>
      <c r="AB37" s="5">
        <v>42530777070961</v>
      </c>
      <c r="AC37" s="5">
        <v>378380115143138</v>
      </c>
      <c r="AD37" s="5">
        <v>390615139916132</v>
      </c>
      <c r="AE37" s="5">
        <v>390320543049282</v>
      </c>
      <c r="AF37" s="5">
        <v>360982883891414</v>
      </c>
      <c r="AG37" s="5">
        <v>403357551910141</v>
      </c>
      <c r="AH37" s="5">
        <v>387531634577394</v>
      </c>
      <c r="AI37" s="5">
        <v>401849550356486</v>
      </c>
      <c r="AJ37" s="5">
        <v>395492083093562</v>
      </c>
      <c r="AK37" s="5">
        <v>409385404846918</v>
      </c>
      <c r="AL37" s="5">
        <v>364735152217999</v>
      </c>
      <c r="AM37" s="5">
        <v>349633535198584</v>
      </c>
      <c r="AN37" s="5">
        <v>438001403994336</v>
      </c>
      <c r="AO37" s="5">
        <v>46515025229024</v>
      </c>
      <c r="AP37" s="6">
        <v>857484908549646</v>
      </c>
      <c r="AQ37" s="6">
        <v>760395309932914</v>
      </c>
      <c r="AR37" s="6">
        <v>730683103544638</v>
      </c>
      <c r="AS37" s="6">
        <v>882667463185152</v>
      </c>
      <c r="AT37" s="6">
        <v>737309842373279</v>
      </c>
      <c r="AU37" s="6">
        <v>824821282163241</v>
      </c>
      <c r="AV37" s="6">
        <v>957050072620975</v>
      </c>
      <c r="AW37" s="6">
        <v>879180414896642</v>
      </c>
      <c r="AX37" s="6">
        <v>110412050715823</v>
      </c>
      <c r="AY37" s="6">
        <v>115932978620692</v>
      </c>
      <c r="AZ37" s="6">
        <v>1092575925</v>
      </c>
      <c r="BA37" s="6">
        <v>108746312944741</v>
      </c>
      <c r="BB37" s="6">
        <v>87017021942235</v>
      </c>
      <c r="BC37" s="6">
        <v>117760307443039</v>
      </c>
      <c r="BD37" s="6">
        <v>127837534223582</v>
      </c>
      <c r="BE37" s="6">
        <v>156932338001443</v>
      </c>
      <c r="BF37" s="6">
        <v>144424955541714</v>
      </c>
      <c r="BG37" s="6">
        <v>15021338755644</v>
      </c>
      <c r="BH37" s="6">
        <v>153127027417221</v>
      </c>
      <c r="BI37" s="6">
        <v>13110949449936</v>
      </c>
      <c r="BJ37" s="6">
        <v>129604234517831</v>
      </c>
      <c r="BK37" s="6">
        <v>119362408333634</v>
      </c>
      <c r="BL37" s="6">
        <v>106686569163447</v>
      </c>
      <c r="BM37" s="6">
        <v>137409789040606</v>
      </c>
    </row>
    <row r="38" spans="1:65" x14ac:dyDescent="0.45">
      <c r="A38" s="1" t="s">
        <v>32</v>
      </c>
      <c r="B38" s="2">
        <v>4010203</v>
      </c>
      <c r="C38" s="3" t="s">
        <v>579</v>
      </c>
      <c r="D38" s="3" t="s">
        <v>580</v>
      </c>
      <c r="E38" s="3" t="s">
        <v>581</v>
      </c>
      <c r="F38" s="5">
        <v>140431454836953</v>
      </c>
      <c r="G38" s="5">
        <v>146064241921814</v>
      </c>
      <c r="H38" s="5">
        <v>150118031933119</v>
      </c>
      <c r="I38" s="5">
        <v>113851178883344</v>
      </c>
      <c r="J38" s="5">
        <v>126799269088144</v>
      </c>
      <c r="K38" s="5">
        <v>124696002638864</v>
      </c>
      <c r="L38" s="5">
        <v>114238494583681</v>
      </c>
      <c r="M38" s="5">
        <v>149937210604299</v>
      </c>
      <c r="N38" s="5">
        <v>134741238060051</v>
      </c>
      <c r="O38" s="5">
        <v>129019074232118</v>
      </c>
      <c r="P38" s="5">
        <v>110026995427472</v>
      </c>
      <c r="Q38" s="5">
        <v>10771041092633</v>
      </c>
      <c r="R38" s="5">
        <v>858939353419164</v>
      </c>
      <c r="S38" s="5">
        <v>83055916950103</v>
      </c>
      <c r="T38" s="5">
        <v>856839043576191</v>
      </c>
      <c r="U38" s="5">
        <v>698954416388836</v>
      </c>
      <c r="V38" s="5">
        <v>623866183593878</v>
      </c>
      <c r="W38" s="5">
        <v>597501728094375</v>
      </c>
      <c r="X38" s="5">
        <v>68960505307583</v>
      </c>
      <c r="Y38" s="5">
        <v>6450635591244</v>
      </c>
      <c r="Z38" s="5">
        <v>6282316503846</v>
      </c>
      <c r="AA38" s="5">
        <v>57626820965268</v>
      </c>
      <c r="AB38" s="5">
        <v>61617202856465</v>
      </c>
      <c r="AC38" s="5">
        <v>444060199601525</v>
      </c>
      <c r="AD38" s="5">
        <v>437886959160915</v>
      </c>
      <c r="AE38" s="5">
        <v>407112597399547</v>
      </c>
      <c r="AF38" s="5">
        <v>268834736352288</v>
      </c>
      <c r="AG38" s="5">
        <v>304407270502771</v>
      </c>
      <c r="AH38" s="5">
        <v>46730136530112</v>
      </c>
      <c r="AI38" s="5">
        <v>489766005942288</v>
      </c>
      <c r="AJ38" s="5">
        <v>45279875056365</v>
      </c>
      <c r="AK38" s="5">
        <v>366314799301496</v>
      </c>
      <c r="AL38" s="5">
        <v>451256840488199</v>
      </c>
      <c r="AM38" s="5">
        <v>14352352056042</v>
      </c>
      <c r="AN38" s="5">
        <v>85498920977972</v>
      </c>
      <c r="AO38" s="5">
        <v>930722901518256</v>
      </c>
      <c r="AP38" s="6">
        <v>945783686191362</v>
      </c>
      <c r="AQ38" s="6">
        <v>884350765523856</v>
      </c>
      <c r="AR38" s="6">
        <v>821216075000026</v>
      </c>
      <c r="AS38" s="6">
        <v>771399649364371</v>
      </c>
      <c r="AT38" s="6">
        <v>688785717608789</v>
      </c>
      <c r="AU38" s="6">
        <v>59430153723435</v>
      </c>
      <c r="AV38" s="6">
        <v>604171341309536</v>
      </c>
      <c r="AW38" s="6">
        <v>529060122040006</v>
      </c>
      <c r="AX38" s="6">
        <v>590513067065775</v>
      </c>
      <c r="AY38" s="6">
        <v>50945112204525</v>
      </c>
      <c r="AZ38" s="6">
        <v>5181698526165</v>
      </c>
      <c r="BA38" s="6">
        <v>514808679672</v>
      </c>
      <c r="BB38" s="6">
        <v>431725124615321</v>
      </c>
      <c r="BC38" s="6">
        <v>501503206114022</v>
      </c>
      <c r="BD38" s="6">
        <v>522683199527505</v>
      </c>
      <c r="BE38" s="6">
        <v>599414344198559</v>
      </c>
      <c r="BF38" s="6">
        <v>59962417923584</v>
      </c>
      <c r="BG38" s="6">
        <v>61139887014265</v>
      </c>
      <c r="BH38" s="6">
        <v>550551271886816</v>
      </c>
      <c r="BI38" s="6">
        <v>541428827270926</v>
      </c>
      <c r="BJ38" s="6">
        <v>481376914434427</v>
      </c>
      <c r="BK38" s="6">
        <v>48544183498861</v>
      </c>
      <c r="BL38" s="6">
        <v>54139285772208</v>
      </c>
      <c r="BM38" s="6">
        <v>556225282922952</v>
      </c>
    </row>
    <row r="39" spans="1:65" x14ac:dyDescent="0.45">
      <c r="A39" s="1" t="s">
        <v>33</v>
      </c>
      <c r="B39" s="2">
        <v>4204256</v>
      </c>
      <c r="C39" s="3" t="s">
        <v>582</v>
      </c>
      <c r="D39" s="3" t="s">
        <v>583</v>
      </c>
      <c r="E39" s="3" t="s">
        <v>565</v>
      </c>
      <c r="F39" s="5">
        <v>341586384109384</v>
      </c>
      <c r="G39" s="5">
        <v>385075246883659</v>
      </c>
      <c r="H39" s="5">
        <v>320504521953732</v>
      </c>
      <c r="I39" s="5">
        <v>271472619233073</v>
      </c>
      <c r="J39" s="5">
        <v>315923640834439</v>
      </c>
      <c r="K39" s="5">
        <v>32158669711025</v>
      </c>
      <c r="L39" s="5">
        <v>266410692915838</v>
      </c>
      <c r="M39" s="5">
        <v>308634978612315</v>
      </c>
      <c r="N39" s="5">
        <v>269573321130013</v>
      </c>
      <c r="O39" s="5">
        <v>318593371466842</v>
      </c>
      <c r="P39" s="5">
        <v>331785257005769</v>
      </c>
      <c r="Q39" s="5">
        <v>35680284815616</v>
      </c>
      <c r="R39" s="5">
        <v>157040798291919</v>
      </c>
      <c r="S39" s="5">
        <v>154842090969437</v>
      </c>
      <c r="T39" s="5">
        <v>162925108477855</v>
      </c>
      <c r="U39" s="5">
        <v>130102024387167</v>
      </c>
      <c r="V39" s="5">
        <v>119284281307625</v>
      </c>
      <c r="W39" s="5">
        <v>114801608543726</v>
      </c>
      <c r="X39" s="5">
        <v>121873534490466</v>
      </c>
      <c r="Y39" s="5">
        <v>109300386845888</v>
      </c>
      <c r="Z39" s="5">
        <v>106889915766163</v>
      </c>
      <c r="AA39" s="5">
        <v>930109920948144</v>
      </c>
      <c r="AB39" s="5">
        <v>948246677684166</v>
      </c>
      <c r="AC39" s="5">
        <v>865961986523041</v>
      </c>
      <c r="AD39" s="5">
        <v>916204861103415</v>
      </c>
      <c r="AE39" s="5">
        <v>835105761192713</v>
      </c>
      <c r="AF39" s="5">
        <v>723517788593093</v>
      </c>
      <c r="AG39" s="5">
        <v>8731438091608</v>
      </c>
      <c r="AH39" s="5">
        <v>89829293805244</v>
      </c>
      <c r="AI39" s="5">
        <v>951234264499445</v>
      </c>
      <c r="AJ39" s="5">
        <v>101508316601403</v>
      </c>
      <c r="AK39" s="5">
        <v>97978065496038</v>
      </c>
      <c r="AL39" s="5">
        <v>855023020919773</v>
      </c>
      <c r="AM39" s="5">
        <v>704242971978</v>
      </c>
      <c r="AN39" s="5">
        <v>875110266685922</v>
      </c>
      <c r="AO39" s="5">
        <v>951798999599448</v>
      </c>
      <c r="AP39" s="6">
        <v>116267588409648</v>
      </c>
      <c r="AQ39" s="6">
        <v>10777410296665</v>
      </c>
      <c r="AR39" s="6">
        <v>99157055211594</v>
      </c>
      <c r="AS39" s="6">
        <v>92825261887266</v>
      </c>
      <c r="AT39" s="6">
        <v>85767893930544</v>
      </c>
      <c r="AU39" s="6">
        <v>8650453473192</v>
      </c>
      <c r="AV39" s="6">
        <v>8002746186032</v>
      </c>
      <c r="AW39" s="6">
        <v>722623200644275</v>
      </c>
      <c r="AX39" s="6">
        <v>8251552346499</v>
      </c>
      <c r="AY39" s="6">
        <v>798039685476</v>
      </c>
      <c r="AZ39" s="6">
        <v>7169253877692</v>
      </c>
      <c r="BA39" s="6">
        <v>6851401803936</v>
      </c>
      <c r="BB39" s="6">
        <v>653774032926168</v>
      </c>
      <c r="BC39" s="6">
        <v>748452980018688</v>
      </c>
      <c r="BD39" s="6">
        <v>9339288369033</v>
      </c>
      <c r="BE39" s="6">
        <v>93842843833074</v>
      </c>
      <c r="BF39" s="6">
        <v>94716494612285</v>
      </c>
      <c r="BG39" s="6">
        <v>787471888582185</v>
      </c>
      <c r="BH39" s="6">
        <v>779824888388778</v>
      </c>
      <c r="BI39" s="6">
        <v>787790449504062</v>
      </c>
      <c r="BJ39" s="6">
        <v>694471695856316</v>
      </c>
      <c r="BK39" s="6">
        <v>692291717207048</v>
      </c>
      <c r="BL39" s="6">
        <v>74019843716364</v>
      </c>
      <c r="BM39" s="6">
        <v>684702359429712</v>
      </c>
    </row>
    <row r="40" spans="1:65" x14ac:dyDescent="0.45">
      <c r="A40" s="1" t="s">
        <v>34</v>
      </c>
      <c r="B40" s="2">
        <v>4004205</v>
      </c>
      <c r="C40" s="3" t="s">
        <v>584</v>
      </c>
      <c r="D40" s="3" t="s">
        <v>585</v>
      </c>
      <c r="E40" s="3" t="s">
        <v>586</v>
      </c>
      <c r="F40" s="5">
        <v>193403741581712</v>
      </c>
      <c r="G40" s="5">
        <v>228352588270154</v>
      </c>
      <c r="H40" s="5">
        <v>246691547831956</v>
      </c>
      <c r="I40" s="5">
        <v>226495328934272</v>
      </c>
      <c r="J40" s="5">
        <v>250870445967098</v>
      </c>
      <c r="K40" s="5">
        <v>256046941253261</v>
      </c>
      <c r="L40" s="5">
        <v>211680077944971</v>
      </c>
      <c r="M40" s="5">
        <v>224543108115128</v>
      </c>
      <c r="N40" s="5">
        <v>242120734225438</v>
      </c>
      <c r="O40" s="5">
        <v>25651537412276</v>
      </c>
      <c r="P40" s="5">
        <v>239960016019776</v>
      </c>
      <c r="Q40" s="5">
        <v>254654406251654</v>
      </c>
      <c r="R40" s="5">
        <v>25616505467145</v>
      </c>
      <c r="S40" s="5">
        <v>240606637066152</v>
      </c>
      <c r="T40" s="5">
        <v>212540016841488</v>
      </c>
      <c r="U40" s="5">
        <v>20181051523092</v>
      </c>
      <c r="V40" s="5">
        <v>212628146792242</v>
      </c>
      <c r="W40" s="5">
        <v>203254888075668</v>
      </c>
      <c r="X40" s="5">
        <v>192762270008038</v>
      </c>
      <c r="Y40" s="5">
        <v>170618519595566</v>
      </c>
      <c r="Z40" s="5">
        <v>182366933890844</v>
      </c>
      <c r="AA40" s="5">
        <v>17471673692928</v>
      </c>
      <c r="AB40" s="5">
        <v>168252631657344</v>
      </c>
      <c r="AC40" s="5">
        <v>182501121865421</v>
      </c>
      <c r="AD40" s="5">
        <v>184425474528315</v>
      </c>
      <c r="AE40" s="5">
        <v>169353479066127</v>
      </c>
      <c r="AF40" s="5">
        <v>158818535180433</v>
      </c>
      <c r="AG40" s="5">
        <v>168671702154666</v>
      </c>
      <c r="AH40" s="5">
        <v>184608125681056</v>
      </c>
      <c r="AI40" s="5">
        <v>153617677132181</v>
      </c>
      <c r="AJ40" s="5">
        <v>14050235815488</v>
      </c>
      <c r="AK40" s="5">
        <v>123956359367505</v>
      </c>
      <c r="AL40" s="5">
        <v>116126110460646</v>
      </c>
      <c r="AM40" s="5">
        <v>1012503136372</v>
      </c>
      <c r="AN40" s="5">
        <v>108759664679904</v>
      </c>
      <c r="AO40" s="5">
        <v>12215378429496</v>
      </c>
      <c r="AP40" s="6">
        <v>497859014846649</v>
      </c>
      <c r="AQ40" s="6">
        <v>485432968279502</v>
      </c>
      <c r="AR40" s="6">
        <v>449652345719824</v>
      </c>
      <c r="AS40" s="6">
        <v>422740110244172</v>
      </c>
      <c r="AT40" s="6">
        <v>403308894561487</v>
      </c>
      <c r="AU40" s="6">
        <v>41524630209225</v>
      </c>
      <c r="AV40" s="6">
        <v>369451671111895</v>
      </c>
      <c r="AW40" s="6">
        <v>324910778235703</v>
      </c>
      <c r="AX40" s="6">
        <v>375176746035</v>
      </c>
      <c r="AY40" s="6">
        <v>337066080516</v>
      </c>
      <c r="AZ40" s="6">
        <v>3211298842644</v>
      </c>
      <c r="BA40" s="6">
        <v>325097994474853</v>
      </c>
      <c r="BB40" s="6">
        <v>274114524276418</v>
      </c>
      <c r="BC40" s="6">
        <v>323656470653276</v>
      </c>
      <c r="BD40" s="6">
        <v>285553634799791</v>
      </c>
      <c r="BE40" s="6">
        <v>327002167360647</v>
      </c>
      <c r="BF40" s="6">
        <v>364313292818613</v>
      </c>
      <c r="BG40" s="6">
        <v>4188876428808</v>
      </c>
      <c r="BH40" s="6">
        <v>399080554632631</v>
      </c>
      <c r="BI40" s="6">
        <v>439045182744346</v>
      </c>
      <c r="BJ40" s="6">
        <v>432218102182617</v>
      </c>
      <c r="BK40" s="6">
        <v>475142448059721</v>
      </c>
      <c r="BL40" s="6">
        <v>495569473165412</v>
      </c>
      <c r="BM40" s="6">
        <v>454210979791002</v>
      </c>
    </row>
    <row r="41" spans="1:65" x14ac:dyDescent="0.45">
      <c r="A41" s="1" t="s">
        <v>35</v>
      </c>
      <c r="B41" s="2">
        <v>4073928</v>
      </c>
      <c r="C41" s="3" t="s">
        <v>587</v>
      </c>
      <c r="D41" s="3" t="s">
        <v>588</v>
      </c>
      <c r="E41" s="3" t="s">
        <v>589</v>
      </c>
      <c r="F41" s="5">
        <v>769167165583064</v>
      </c>
      <c r="G41" s="5">
        <v>914329235153082</v>
      </c>
      <c r="H41" s="5">
        <v>768150257736472</v>
      </c>
      <c r="I41" s="5">
        <v>718807531733107</v>
      </c>
      <c r="J41" s="5">
        <v>803547050424198</v>
      </c>
      <c r="K41" s="5">
        <v>903899509730974</v>
      </c>
      <c r="L41" s="5">
        <v>757127885999126</v>
      </c>
      <c r="M41" s="5">
        <v>951078638348275</v>
      </c>
      <c r="N41" s="5">
        <v>925012376347125</v>
      </c>
      <c r="O41" s="5">
        <v>104811558360864</v>
      </c>
      <c r="P41" s="5">
        <v>105570164673159</v>
      </c>
      <c r="Q41" s="5">
        <v>109549054092921</v>
      </c>
      <c r="R41" s="5">
        <v>122940599829353</v>
      </c>
      <c r="S41" s="5">
        <v>117910695135788</v>
      </c>
      <c r="T41" s="5">
        <v>10670350325322</v>
      </c>
      <c r="U41" s="5">
        <v>100286682952554</v>
      </c>
      <c r="V41" s="5">
        <v>103369183335276</v>
      </c>
      <c r="W41" s="5">
        <v>107814074818708</v>
      </c>
      <c r="X41" s="5">
        <v>109769235032521</v>
      </c>
      <c r="Y41" s="5">
        <v>103586616778463</v>
      </c>
      <c r="Z41" s="5">
        <v>101238015881937</v>
      </c>
      <c r="AA41" s="5">
        <v>10445476305623</v>
      </c>
      <c r="AB41" s="5">
        <v>896408128312171</v>
      </c>
      <c r="AC41" s="5">
        <v>730870822820667</v>
      </c>
      <c r="AD41" s="5">
        <v>645072111199972</v>
      </c>
      <c r="AE41" s="5">
        <v>630265714389282</v>
      </c>
      <c r="AF41" s="5">
        <v>464178366736669</v>
      </c>
      <c r="AG41" s="5">
        <v>462373327283417</v>
      </c>
      <c r="AH41" s="5">
        <v>470599995764976</v>
      </c>
      <c r="AI41" s="5">
        <v>498364475501687</v>
      </c>
      <c r="AJ41" s="5">
        <v>492294825604799</v>
      </c>
      <c r="AK41" s="5">
        <v>463132821093256</v>
      </c>
      <c r="AL41" s="5">
        <v>417025199698636</v>
      </c>
      <c r="AM41" s="5">
        <v>382898336943668</v>
      </c>
      <c r="AN41" s="5">
        <v>485310625101108</v>
      </c>
      <c r="AO41" s="5">
        <v>480495368971471</v>
      </c>
      <c r="AP41" s="6">
        <v>216044604906284</v>
      </c>
      <c r="AQ41" s="6">
        <v>21751945777805</v>
      </c>
      <c r="AR41" s="6">
        <v>205086460910056</v>
      </c>
      <c r="AS41" s="6">
        <v>205397116762157</v>
      </c>
      <c r="AT41" s="6">
        <v>193728259144381</v>
      </c>
      <c r="AU41" s="6">
        <v>201760826932184</v>
      </c>
      <c r="AV41" s="6">
        <v>183149229371984</v>
      </c>
      <c r="AW41" s="6">
        <v>148127143699908</v>
      </c>
      <c r="AX41" s="6">
        <v>197260099166445</v>
      </c>
      <c r="AY41" s="6">
        <v>1826587164125</v>
      </c>
      <c r="AZ41" s="6">
        <v>189770340294096</v>
      </c>
      <c r="BA41" s="6">
        <v>182007949637026</v>
      </c>
      <c r="BB41" s="6">
        <v>141682851549303</v>
      </c>
      <c r="BC41" s="6">
        <v>167310385008653</v>
      </c>
      <c r="BD41" s="6">
        <v>178773326667648</v>
      </c>
      <c r="BE41" s="6">
        <v>19117452631549</v>
      </c>
      <c r="BF41" s="6">
        <v>200725968365608</v>
      </c>
      <c r="BG41" s="6">
        <v>221852589044578</v>
      </c>
      <c r="BH41" s="6">
        <v>20793926151105</v>
      </c>
      <c r="BI41" s="6">
        <v>221415154005825</v>
      </c>
      <c r="BJ41" s="6">
        <v>186080371957285</v>
      </c>
      <c r="BK41" s="6">
        <v>183552644855238</v>
      </c>
      <c r="BL41" s="6">
        <v>198846225281504</v>
      </c>
      <c r="BM41" s="6">
        <v>202766729544294</v>
      </c>
    </row>
    <row r="42" spans="1:65" x14ac:dyDescent="0.45">
      <c r="A42" s="1" t="s">
        <v>36</v>
      </c>
      <c r="B42" s="2">
        <v>4306801</v>
      </c>
      <c r="C42" s="3" t="s">
        <v>590</v>
      </c>
      <c r="D42" s="3" t="s">
        <v>591</v>
      </c>
      <c r="E42" s="3" t="s">
        <v>592</v>
      </c>
      <c r="F42" s="5">
        <v>23611018037277</v>
      </c>
      <c r="G42" s="5">
        <v>280264551866945</v>
      </c>
      <c r="H42" s="5">
        <v>249526622075084</v>
      </c>
      <c r="I42" s="5">
        <v>216092073691799</v>
      </c>
      <c r="J42" s="5">
        <v>251335250063888</v>
      </c>
      <c r="K42" s="5">
        <v>278609530066743</v>
      </c>
      <c r="L42" s="5">
        <v>230844966106948</v>
      </c>
      <c r="M42" s="5">
        <v>268292881420512</v>
      </c>
      <c r="N42" s="5">
        <v>273524160492878</v>
      </c>
      <c r="O42" s="5">
        <v>291946355800115</v>
      </c>
      <c r="P42" s="5">
        <v>311811694257648</v>
      </c>
      <c r="Q42" s="5">
        <v>329861220041434</v>
      </c>
      <c r="R42" s="5">
        <v>392355155906649</v>
      </c>
      <c r="S42" s="5">
        <v>384840232520328</v>
      </c>
      <c r="T42" s="5">
        <v>404450135046701</v>
      </c>
      <c r="U42" s="5">
        <v>347686944741874</v>
      </c>
      <c r="V42" s="5">
        <v>348779936004772</v>
      </c>
      <c r="W42" s="5">
        <v>38041816252358</v>
      </c>
      <c r="X42" s="5">
        <v>358882760867634</v>
      </c>
      <c r="Y42" s="5">
        <v>333804070011079</v>
      </c>
      <c r="Z42" s="5">
        <v>32351606461936</v>
      </c>
      <c r="AA42" s="5">
        <v>317768847502092</v>
      </c>
      <c r="AB42" s="5">
        <v>334406875861922</v>
      </c>
      <c r="AC42" s="5">
        <v>297189062543203</v>
      </c>
      <c r="AD42" s="5">
        <v>287609628873911</v>
      </c>
      <c r="AE42" s="5">
        <v>268179183515425</v>
      </c>
      <c r="AF42" s="5">
        <v>223575795482028</v>
      </c>
      <c r="AG42" s="5">
        <v>210821468271333</v>
      </c>
      <c r="AH42" s="5">
        <v>194524605272281</v>
      </c>
      <c r="AI42" s="5">
        <v>177466278819311</v>
      </c>
      <c r="AJ42" s="5">
        <v>186964791284523</v>
      </c>
      <c r="AK42" s="5">
        <v>172748036589879</v>
      </c>
      <c r="AL42" s="5">
        <v>162257112789057</v>
      </c>
      <c r="AM42" s="5">
        <v>11435952351096</v>
      </c>
      <c r="AN42" s="5">
        <v>181319552329255</v>
      </c>
      <c r="AO42" s="5">
        <v>195245807314087</v>
      </c>
      <c r="AP42" s="6">
        <v>154286978192597</v>
      </c>
      <c r="AQ42" s="6">
        <v>153773053993954</v>
      </c>
      <c r="AR42" s="6">
        <v>151204461333284</v>
      </c>
      <c r="AS42" s="6">
        <v>155296306646704</v>
      </c>
      <c r="AT42" s="6">
        <v>144863349343412</v>
      </c>
      <c r="AU42" s="6">
        <v>140188000255983</v>
      </c>
      <c r="AV42" s="6">
        <v>131055333527458</v>
      </c>
      <c r="AW42" s="6">
        <v>124223226648204</v>
      </c>
      <c r="AX42" s="6">
        <v>121233594305533</v>
      </c>
      <c r="AY42" s="6">
        <v>115450644660912</v>
      </c>
      <c r="AZ42" s="6">
        <v>115011274942679</v>
      </c>
      <c r="BA42" s="6">
        <v>104011181215452</v>
      </c>
      <c r="BB42" s="6">
        <v>947343153120179</v>
      </c>
      <c r="BC42" s="6">
        <v>102609215930511</v>
      </c>
      <c r="BD42" s="6">
        <v>101873307067294</v>
      </c>
      <c r="BE42" s="6">
        <v>104281746014095</v>
      </c>
      <c r="BF42" s="6">
        <v>107039786839568</v>
      </c>
      <c r="BG42" s="6">
        <v>106367405337046</v>
      </c>
      <c r="BH42" s="6">
        <v>92377133852753</v>
      </c>
      <c r="BI42" s="6">
        <v>913587716642881</v>
      </c>
      <c r="BJ42" s="6">
        <v>907209531046317</v>
      </c>
      <c r="BK42" s="6">
        <v>951475547650806</v>
      </c>
      <c r="BL42" s="6">
        <v>940715187990722</v>
      </c>
      <c r="BM42" s="6">
        <v>949958271733917</v>
      </c>
    </row>
    <row r="43" spans="1:65" x14ac:dyDescent="0.45">
      <c r="A43" s="1" t="s">
        <v>37</v>
      </c>
      <c r="B43" s="2">
        <v>103577</v>
      </c>
      <c r="C43" s="3" t="s">
        <v>593</v>
      </c>
      <c r="D43" s="3" t="s">
        <v>594</v>
      </c>
      <c r="E43" s="3" t="s">
        <v>556</v>
      </c>
      <c r="F43" s="5">
        <v>216058945265087</v>
      </c>
      <c r="G43" s="5">
        <v>213673678180521</v>
      </c>
      <c r="H43" s="5">
        <v>213555627341618</v>
      </c>
      <c r="I43" s="5">
        <v>170471824167059</v>
      </c>
      <c r="J43" s="5">
        <v>166631194253892</v>
      </c>
      <c r="K43" s="5">
        <v>162618807363581</v>
      </c>
      <c r="L43" s="5">
        <v>162566408926464</v>
      </c>
      <c r="M43" s="5">
        <v>165262660802792</v>
      </c>
      <c r="N43" s="5">
        <v>161930303727382</v>
      </c>
      <c r="O43" s="5">
        <v>163628354906549</v>
      </c>
      <c r="P43" s="5">
        <v>158144929340862</v>
      </c>
      <c r="Q43" s="5">
        <v>159007167848494</v>
      </c>
      <c r="R43" s="5">
        <v>150280561260717</v>
      </c>
      <c r="S43" s="5">
        <v>137746894875641</v>
      </c>
      <c r="T43" s="5">
        <v>1394637720876</v>
      </c>
      <c r="U43" s="5">
        <v>129923130428106</v>
      </c>
      <c r="V43" s="5">
        <v>13733087419085</v>
      </c>
      <c r="W43" s="5">
        <v>12990866743062</v>
      </c>
      <c r="X43" s="5">
        <v>132019318287791</v>
      </c>
      <c r="Y43" s="5">
        <v>131568088085548</v>
      </c>
      <c r="Z43" s="5">
        <v>13259746079682</v>
      </c>
      <c r="AA43" s="5">
        <v>131301308502148</v>
      </c>
      <c r="AB43" s="5">
        <v>118829078424441</v>
      </c>
      <c r="AC43" s="5">
        <v>104791002720771</v>
      </c>
      <c r="AD43" s="5">
        <v>11941755517709</v>
      </c>
      <c r="AE43" s="5">
        <v>109091891138442</v>
      </c>
      <c r="AF43" s="5">
        <v>104981974377314</v>
      </c>
      <c r="AG43" s="5">
        <v>10112485314204</v>
      </c>
      <c r="AH43" s="5">
        <v>107108519174188</v>
      </c>
      <c r="AI43" s="5">
        <v>105251879865818</v>
      </c>
      <c r="AJ43" s="5">
        <v>103005558623282</v>
      </c>
      <c r="AK43" s="5">
        <v>102704128952457</v>
      </c>
      <c r="AL43" s="5">
        <v>894313818022353</v>
      </c>
      <c r="AM43" s="5">
        <v>105443241746206</v>
      </c>
      <c r="AN43" s="5">
        <v>149115422255272</v>
      </c>
      <c r="AO43" s="5">
        <v>160798645291046</v>
      </c>
      <c r="AP43" s="6">
        <v>229925281749928</v>
      </c>
      <c r="AQ43" s="6">
        <v>216903180832774</v>
      </c>
      <c r="AR43" s="6">
        <v>209949144455605</v>
      </c>
      <c r="AS43" s="6">
        <v>209785933535305</v>
      </c>
      <c r="AT43" s="6">
        <v>192685509895485</v>
      </c>
      <c r="AU43" s="6">
        <v>206759102471345</v>
      </c>
      <c r="AV43" s="6">
        <v>200847455091878</v>
      </c>
      <c r="AW43" s="6">
        <v>192567272417469</v>
      </c>
      <c r="AX43" s="6">
        <v>22297655709378</v>
      </c>
      <c r="AY43" s="6">
        <v>215236257987079</v>
      </c>
      <c r="AZ43" s="6">
        <v>209020937628037</v>
      </c>
      <c r="BA43" s="6">
        <v>219759700179375</v>
      </c>
      <c r="BB43" s="6">
        <v>200616486782112</v>
      </c>
      <c r="BC43" s="6">
        <v>2278731437424</v>
      </c>
      <c r="BD43" s="6">
        <v>233664475810342</v>
      </c>
      <c r="BE43" s="6">
        <v>242183757371138</v>
      </c>
      <c r="BF43" s="6">
        <v>243035739262008</v>
      </c>
      <c r="BG43" s="6">
        <v>230825459740817</v>
      </c>
      <c r="BH43" s="6">
        <v>219652541382772</v>
      </c>
      <c r="BI43" s="6">
        <v>209686486837451</v>
      </c>
      <c r="BJ43" s="6">
        <v>210045079510701</v>
      </c>
      <c r="BK43" s="6">
        <v>197105882930839</v>
      </c>
      <c r="BL43" s="6">
        <v>190032625536718</v>
      </c>
      <c r="BM43" s="6">
        <v>193095179438316</v>
      </c>
    </row>
    <row r="44" spans="1:65" x14ac:dyDescent="0.45">
      <c r="A44" s="1" t="s">
        <v>38</v>
      </c>
      <c r="B44" s="2">
        <v>4044801</v>
      </c>
      <c r="C44" s="3" t="s">
        <v>595</v>
      </c>
      <c r="D44" s="3" t="s">
        <v>596</v>
      </c>
      <c r="E44" s="3" t="s">
        <v>597</v>
      </c>
      <c r="F44" s="5">
        <v>477260175615321</v>
      </c>
      <c r="G44" s="5">
        <v>519372164923852</v>
      </c>
      <c r="H44" s="5">
        <v>538764344311394</v>
      </c>
      <c r="I44" s="5">
        <v>459901023549258</v>
      </c>
      <c r="J44" s="5">
        <v>489179552296842</v>
      </c>
      <c r="K44" s="5">
        <v>454882865172338</v>
      </c>
      <c r="L44" s="5">
        <v>417710144035978</v>
      </c>
      <c r="M44" s="5">
        <v>476350834001651</v>
      </c>
      <c r="N44" s="5">
        <v>478208681282064</v>
      </c>
      <c r="O44" s="5">
        <v>457024492912849</v>
      </c>
      <c r="P44" s="5">
        <v>392728021241127</v>
      </c>
      <c r="Q44" s="5">
        <v>374675744664</v>
      </c>
      <c r="R44" s="5">
        <v>332486497474576</v>
      </c>
      <c r="S44" s="5">
        <v>308770803440971</v>
      </c>
      <c r="T44" s="5">
        <v>310796204578675</v>
      </c>
      <c r="U44" s="5">
        <v>289621100470762</v>
      </c>
      <c r="V44" s="5">
        <v>28433716809696</v>
      </c>
      <c r="W44" s="5">
        <v>281607235937729</v>
      </c>
      <c r="X44" s="5">
        <v>285552871901844</v>
      </c>
      <c r="Y44" s="5">
        <v>304983553558951</v>
      </c>
      <c r="Z44" s="5">
        <v>293206694130346</v>
      </c>
      <c r="AA44" s="5">
        <v>27123021341532</v>
      </c>
      <c r="AB44" s="5">
        <v>261133239556694</v>
      </c>
      <c r="AC44" s="5">
        <v>229222484612957</v>
      </c>
      <c r="AD44" s="5">
        <v>229288900773736</v>
      </c>
      <c r="AE44" s="5">
        <v>231694637999364</v>
      </c>
      <c r="AF44" s="5">
        <v>220767073618647</v>
      </c>
      <c r="AG44" s="5">
        <v>219985515273599</v>
      </c>
      <c r="AH44" s="5">
        <v>208043863497469</v>
      </c>
      <c r="AI44" s="5">
        <v>201167505430869</v>
      </c>
      <c r="AJ44" s="5">
        <v>196951958950194</v>
      </c>
      <c r="AK44" s="5">
        <v>196419821355824</v>
      </c>
      <c r="AL44" s="5">
        <v>189170236695023</v>
      </c>
      <c r="AM44" s="5">
        <v>17838339547847</v>
      </c>
      <c r="AN44" s="5">
        <v>190993592507766</v>
      </c>
      <c r="AO44" s="5">
        <v>224753860723788</v>
      </c>
      <c r="AP44" s="6">
        <v>364929535145361</v>
      </c>
      <c r="AQ44" s="6">
        <v>344609524590798</v>
      </c>
      <c r="AR44" s="6">
        <v>304020347507903</v>
      </c>
      <c r="AS44" s="6">
        <v>281788962019072</v>
      </c>
      <c r="AT44" s="6">
        <v>284384433419184</v>
      </c>
      <c r="AU44" s="6">
        <v>271569219401025</v>
      </c>
      <c r="AV44" s="6">
        <v>237645920231793</v>
      </c>
      <c r="AW44" s="6">
        <v>238145046810458</v>
      </c>
      <c r="AX44" s="6">
        <v>22501032565725</v>
      </c>
      <c r="AY44" s="6">
        <v>21300840045738</v>
      </c>
      <c r="AZ44" s="6">
        <v>213632713634076</v>
      </c>
      <c r="BA44" s="6">
        <v>184894366207572</v>
      </c>
      <c r="BB44" s="6">
        <v>157666735161505</v>
      </c>
      <c r="BC44" s="6">
        <v>201222733074739</v>
      </c>
      <c r="BD44" s="6">
        <v>17047940437779</v>
      </c>
      <c r="BE44" s="6">
        <v>19648416687216</v>
      </c>
      <c r="BF44" s="6">
        <v>1805604619083</v>
      </c>
      <c r="BG44" s="6">
        <v>177916500858652</v>
      </c>
      <c r="BH44" s="6">
        <v>173024707094919</v>
      </c>
      <c r="BI44" s="6">
        <v>185274403110149</v>
      </c>
      <c r="BJ44" s="6">
        <v>15989960301832</v>
      </c>
      <c r="BK44" s="6">
        <v>144020415042384</v>
      </c>
      <c r="BL44" s="6">
        <v>16428777746472</v>
      </c>
      <c r="BM44" s="6">
        <v>154319369357663</v>
      </c>
    </row>
    <row r="45" spans="1:65" x14ac:dyDescent="0.45">
      <c r="A45" s="1" t="s">
        <v>39</v>
      </c>
      <c r="B45" s="2">
        <v>4438507</v>
      </c>
      <c r="C45" s="3" t="s">
        <v>598</v>
      </c>
      <c r="D45" s="3" t="s">
        <v>599</v>
      </c>
      <c r="E45" s="3" t="s">
        <v>565</v>
      </c>
      <c r="F45" s="5">
        <v>113291930176904</v>
      </c>
      <c r="G45" s="5">
        <v>134477741203083</v>
      </c>
      <c r="H45" s="5">
        <v>134559530240703</v>
      </c>
      <c r="I45" s="5">
        <v>110853578534603</v>
      </c>
      <c r="J45" s="5">
        <v>129166975783226</v>
      </c>
      <c r="K45" s="5">
        <v>122970190183553</v>
      </c>
      <c r="L45" s="5">
        <v>952176764263633</v>
      </c>
      <c r="M45" s="5">
        <v>116128768675564</v>
      </c>
      <c r="N45" s="5">
        <v>109969376634219</v>
      </c>
      <c r="O45" s="5">
        <v>127708977688755</v>
      </c>
      <c r="P45" s="5">
        <v>126115129670195</v>
      </c>
      <c r="Q45" s="5">
        <v>121781205420434</v>
      </c>
      <c r="R45" s="5">
        <v>122271750490815</v>
      </c>
      <c r="S45" s="5">
        <v>123203307890362</v>
      </c>
      <c r="T45" s="5">
        <v>122345535600866</v>
      </c>
      <c r="U45" s="5">
        <v>10634742794409</v>
      </c>
      <c r="V45" s="5">
        <v>109162810196784</v>
      </c>
      <c r="W45" s="5">
        <v>100072139580567</v>
      </c>
      <c r="X45" s="5">
        <v>889066729745574</v>
      </c>
      <c r="Y45" s="5">
        <v>75053719264851</v>
      </c>
      <c r="Z45" s="5">
        <v>723759762563604</v>
      </c>
      <c r="AA45" s="5">
        <v>71521923285774</v>
      </c>
      <c r="AB45" s="5">
        <v>642443420833827</v>
      </c>
      <c r="AC45" s="5">
        <v>535094349144168</v>
      </c>
      <c r="AD45" s="5">
        <v>553225299862125</v>
      </c>
      <c r="AE45" s="5">
        <v>542149682865285</v>
      </c>
      <c r="AF45" s="5">
        <v>491237398471509</v>
      </c>
      <c r="AG45" s="5">
        <v>46584894397567</v>
      </c>
      <c r="AH45" s="5">
        <v>457928448512378</v>
      </c>
      <c r="AI45" s="5">
        <v>447202738138255</v>
      </c>
      <c r="AJ45" s="5">
        <v>467285537867112</v>
      </c>
      <c r="AK45" s="5">
        <v>449902781096832</v>
      </c>
      <c r="AL45" s="5">
        <v>406035559503783</v>
      </c>
      <c r="AM45" s="5">
        <v>33441760362465</v>
      </c>
      <c r="AN45" s="5">
        <v>373702128311579</v>
      </c>
      <c r="AO45" s="5">
        <v>37322289924414</v>
      </c>
      <c r="AP45" s="6">
        <v>138473083112465</v>
      </c>
      <c r="AQ45" s="6">
        <v>135302711924114</v>
      </c>
      <c r="AR45" s="6">
        <v>168160470449996</v>
      </c>
      <c r="AS45" s="6">
        <v>167938037188947</v>
      </c>
      <c r="AT45" s="6">
        <v>15792014559133</v>
      </c>
      <c r="AU45" s="6">
        <v>188257625391348</v>
      </c>
      <c r="AV45" s="6">
        <v>174817441946385</v>
      </c>
      <c r="AW45" s="6">
        <v>168126480199568</v>
      </c>
      <c r="AX45" s="6">
        <v>213237939807354</v>
      </c>
      <c r="AY45" s="6">
        <v>212185683183098</v>
      </c>
      <c r="AZ45" s="6">
        <v>189689195005658</v>
      </c>
      <c r="BA45" s="6">
        <v>14142840506262</v>
      </c>
      <c r="BB45" s="6">
        <v>13880537544874</v>
      </c>
      <c r="BC45" s="6">
        <v>158869154915328</v>
      </c>
      <c r="BD45" s="6">
        <v>15227685078476</v>
      </c>
      <c r="BE45" s="6">
        <v>171215831616547</v>
      </c>
      <c r="BF45" s="6">
        <v>19272432601815</v>
      </c>
      <c r="BG45" s="6">
        <v>162560156013073</v>
      </c>
      <c r="BH45" s="6">
        <v>164176965413209</v>
      </c>
      <c r="BI45" s="6">
        <v>160508249311139</v>
      </c>
      <c r="BJ45" s="6">
        <v>162927652970597</v>
      </c>
      <c r="BK45" s="6">
        <v>153372640639549</v>
      </c>
      <c r="BL45" s="6">
        <v>163203310932316</v>
      </c>
      <c r="BM45" s="6">
        <v>162087299190135</v>
      </c>
    </row>
    <row r="46" spans="1:65" x14ac:dyDescent="0.45">
      <c r="A46" s="1" t="s">
        <v>40</v>
      </c>
      <c r="B46" s="2">
        <v>4970981</v>
      </c>
      <c r="C46" s="3" t="s">
        <v>600</v>
      </c>
      <c r="D46" s="3" t="s">
        <v>601</v>
      </c>
      <c r="E46" s="3" t="s">
        <v>602</v>
      </c>
      <c r="F46" s="5">
        <v>346969134156121</v>
      </c>
      <c r="G46" s="5">
        <v>412765075669134</v>
      </c>
      <c r="H46" s="5">
        <v>371908974524189</v>
      </c>
      <c r="I46" s="5">
        <v>350303552775117</v>
      </c>
      <c r="J46" s="5">
        <v>362181536017742</v>
      </c>
      <c r="K46" s="5">
        <v>35248102018776</v>
      </c>
      <c r="L46" s="5">
        <v>27642510568258</v>
      </c>
      <c r="M46" s="5">
        <v>293883623487751</v>
      </c>
      <c r="N46" s="5">
        <v>337990038993107</v>
      </c>
      <c r="O46" s="5">
        <v>38493907143076</v>
      </c>
      <c r="P46" s="5">
        <v>33626784170265</v>
      </c>
      <c r="Q46" s="5">
        <v>341035510096454</v>
      </c>
      <c r="R46" s="5">
        <v>388404524597625</v>
      </c>
      <c r="S46" s="5">
        <v>338214843493546</v>
      </c>
      <c r="T46" s="5">
        <v>271806963208363</v>
      </c>
      <c r="U46" s="5">
        <v>227459133676827</v>
      </c>
      <c r="V46" s="5">
        <v>240173553109175</v>
      </c>
      <c r="W46" s="5">
        <v>244740225402175</v>
      </c>
      <c r="X46" s="5">
        <v>23321829038921</v>
      </c>
      <c r="Y46" s="5">
        <v>212526710600413</v>
      </c>
      <c r="Z46" s="5">
        <v>199831594627882</v>
      </c>
      <c r="AA46" s="5">
        <v>196332652641704</v>
      </c>
      <c r="AB46" s="5">
        <v>176545585364465</v>
      </c>
      <c r="AC46" s="5">
        <v>191701883631266</v>
      </c>
      <c r="AD46" s="5">
        <v>179726979284874</v>
      </c>
      <c r="AE46" s="5">
        <v>171369198336262</v>
      </c>
      <c r="AF46" s="5">
        <v>13628127821504</v>
      </c>
      <c r="AG46" s="5">
        <v>133973519606528</v>
      </c>
      <c r="AH46" s="5">
        <v>1421039534768</v>
      </c>
      <c r="AI46" s="5">
        <v>166234687211518</v>
      </c>
      <c r="AJ46" s="5">
        <v>141289350436835</v>
      </c>
      <c r="AK46" s="5">
        <v>158977416866713</v>
      </c>
      <c r="AL46" s="5">
        <v>151667123739783</v>
      </c>
      <c r="AM46" s="5">
        <v>140966893602535</v>
      </c>
      <c r="AN46" s="5">
        <v>134300594017756</v>
      </c>
      <c r="AO46" s="5">
        <v>153907937748594</v>
      </c>
      <c r="AP46" s="6">
        <v>15828239751919</v>
      </c>
      <c r="AQ46" s="6">
        <v>15789517390596</v>
      </c>
      <c r="AR46" s="6">
        <v>15263822832626</v>
      </c>
      <c r="AS46" s="6">
        <v>1528465446729</v>
      </c>
      <c r="AT46" s="6">
        <v>1534585009924</v>
      </c>
      <c r="AU46" s="6">
        <v>1511843962485</v>
      </c>
      <c r="AV46" s="6">
        <v>14259604491184</v>
      </c>
      <c r="AW46" s="6">
        <v>1399316172664</v>
      </c>
      <c r="AX46" s="6">
        <v>138255142242</v>
      </c>
      <c r="AY46" s="6">
        <v>128892520177443</v>
      </c>
      <c r="AZ46" s="6">
        <v>1297510134408</v>
      </c>
      <c r="BA46" s="6">
        <v>1199879484327</v>
      </c>
      <c r="BB46" s="6">
        <v>1182160210616</v>
      </c>
      <c r="BC46" s="6">
        <v>12500865474048</v>
      </c>
      <c r="BD46" s="6">
        <v>1200860667342</v>
      </c>
      <c r="BE46" s="6">
        <v>11700043606896</v>
      </c>
      <c r="BF46" s="6">
        <v>1134908196932</v>
      </c>
      <c r="BG46" s="6">
        <v>111335934179</v>
      </c>
      <c r="BH46" s="6">
        <v>10198445572224</v>
      </c>
      <c r="BI46" s="6">
        <v>10361920393188</v>
      </c>
      <c r="BJ46" s="6">
        <v>105524197373818</v>
      </c>
      <c r="BK46" s="6">
        <v>10174768850669</v>
      </c>
      <c r="BL46" s="6">
        <v>1026890935434</v>
      </c>
      <c r="BM46" s="6">
        <v>9943105063472</v>
      </c>
    </row>
    <row r="47" spans="1:65" x14ac:dyDescent="0.45">
      <c r="A47" s="1" t="s">
        <v>41</v>
      </c>
      <c r="B47" s="2">
        <v>103437</v>
      </c>
      <c r="C47" s="3" t="s">
        <v>603</v>
      </c>
      <c r="D47" s="3" t="s">
        <v>604</v>
      </c>
      <c r="E47" s="3" t="s">
        <v>578</v>
      </c>
      <c r="F47" s="5">
        <v>3719573455752</v>
      </c>
      <c r="G47" s="5">
        <v>4070834772228</v>
      </c>
      <c r="H47" s="5">
        <v>3988966380336</v>
      </c>
      <c r="I47" s="5">
        <v>36726801772416</v>
      </c>
      <c r="J47" s="5">
        <v>37919553496608</v>
      </c>
      <c r="K47" s="5">
        <v>36910139043456</v>
      </c>
      <c r="L47" s="5">
        <v>32763058996352</v>
      </c>
      <c r="M47" s="5">
        <v>31708561750632</v>
      </c>
      <c r="N47" s="5">
        <v>33585705660948</v>
      </c>
      <c r="O47" s="5">
        <v>329460877286428</v>
      </c>
      <c r="P47" s="5">
        <v>2937693512169</v>
      </c>
      <c r="Q47" s="5">
        <v>29393855065728</v>
      </c>
      <c r="R47" s="5">
        <v>30923977068018</v>
      </c>
      <c r="S47" s="5">
        <v>2995682807664</v>
      </c>
      <c r="T47" s="5">
        <v>30055520594448</v>
      </c>
      <c r="U47" s="5">
        <v>26516766735</v>
      </c>
      <c r="V47" s="5">
        <v>25156278132</v>
      </c>
      <c r="W47" s="5">
        <v>242803747275</v>
      </c>
      <c r="X47" s="5">
        <v>243655528719946</v>
      </c>
      <c r="Y47" s="5">
        <v>248089691848149</v>
      </c>
      <c r="Z47" s="5">
        <v>235193543984016</v>
      </c>
      <c r="AA47" s="5">
        <v>207490953254692</v>
      </c>
      <c r="AB47" s="5">
        <v>19183107978</v>
      </c>
      <c r="AC47" s="5">
        <v>18411321961458</v>
      </c>
      <c r="AD47" s="5">
        <v>1945008640185</v>
      </c>
      <c r="AE47" s="5">
        <v>18571294486134</v>
      </c>
      <c r="AF47" s="5">
        <v>17115417715422</v>
      </c>
      <c r="AG47" s="5">
        <v>17215346942232</v>
      </c>
      <c r="AH47" s="5">
        <v>1686525008805</v>
      </c>
      <c r="AI47" s="5">
        <v>17397121675293</v>
      </c>
      <c r="AJ47" s="5">
        <v>16426794036294</v>
      </c>
      <c r="AK47" s="5">
        <v>1608078235806</v>
      </c>
      <c r="AL47" s="5">
        <v>1360660565385</v>
      </c>
      <c r="AM47" s="5">
        <v>140639655915759</v>
      </c>
      <c r="AN47" s="5">
        <v>16687655487279</v>
      </c>
      <c r="AO47" s="5">
        <v>1740469753308</v>
      </c>
      <c r="AP47" s="6">
        <v>708259188346282</v>
      </c>
      <c r="AQ47" s="6">
        <v>731224548883958</v>
      </c>
      <c r="AR47" s="6">
        <v>69137456662673</v>
      </c>
      <c r="AS47" s="6">
        <v>70538653304298</v>
      </c>
      <c r="AT47" s="6">
        <v>683636635644</v>
      </c>
      <c r="AU47" s="6">
        <v>626143980144072</v>
      </c>
      <c r="AV47" s="6">
        <v>574706785861541</v>
      </c>
      <c r="AW47" s="6">
        <v>551268776473111</v>
      </c>
      <c r="AX47" s="6">
        <v>52299501604875</v>
      </c>
      <c r="AY47" s="6">
        <v>521621396586873</v>
      </c>
      <c r="AZ47" s="6">
        <v>557951475417755</v>
      </c>
      <c r="BA47" s="6">
        <v>522174368772945</v>
      </c>
      <c r="BB47" s="6">
        <v>484746078678576</v>
      </c>
      <c r="BC47" s="6">
        <v>532933888151808</v>
      </c>
      <c r="BD47" s="6">
        <v>536679454505427</v>
      </c>
      <c r="BE47" s="6">
        <v>580593169705293</v>
      </c>
      <c r="BF47" s="6">
        <v>556627477894423</v>
      </c>
      <c r="BG47" s="6">
        <v>59463020257759</v>
      </c>
      <c r="BH47" s="6">
        <v>559614896769769</v>
      </c>
      <c r="BI47" s="6">
        <v>505136926054503</v>
      </c>
      <c r="BJ47" s="6">
        <v>403911537312083</v>
      </c>
      <c r="BK47" s="6">
        <v>390571497781436</v>
      </c>
      <c r="BL47" s="6">
        <v>367327488672144</v>
      </c>
      <c r="BM47" s="6">
        <v>385593410258952</v>
      </c>
    </row>
    <row r="48" spans="1:65" x14ac:dyDescent="0.45">
      <c r="A48" s="1" t="s">
        <v>42</v>
      </c>
      <c r="B48" s="2">
        <v>4090153</v>
      </c>
      <c r="C48" s="3" t="s">
        <v>605</v>
      </c>
      <c r="D48" s="3" t="s">
        <v>606</v>
      </c>
      <c r="E48" s="3" t="s">
        <v>556</v>
      </c>
      <c r="F48" s="5">
        <v>618226207649942</v>
      </c>
      <c r="G48" s="5">
        <v>656879223784069</v>
      </c>
      <c r="H48" s="5">
        <v>731070653321742</v>
      </c>
      <c r="I48" s="5">
        <v>788276677558376</v>
      </c>
      <c r="J48" s="5">
        <v>837327026849388</v>
      </c>
      <c r="K48" s="5">
        <v>932073616829283</v>
      </c>
      <c r="L48" s="5">
        <v>894287607816987</v>
      </c>
      <c r="M48" s="5">
        <v>890742001100667</v>
      </c>
      <c r="N48" s="5">
        <v>995965868857253</v>
      </c>
      <c r="O48" s="5">
        <v>944590581320786</v>
      </c>
      <c r="P48" s="5">
        <v>833639799128389</v>
      </c>
      <c r="Q48" s="5">
        <v>775800157182595</v>
      </c>
      <c r="R48" s="5">
        <v>780852680806588</v>
      </c>
      <c r="S48" s="5">
        <v>768861487979208</v>
      </c>
      <c r="T48" s="5">
        <v>820454872897236</v>
      </c>
      <c r="U48" s="5">
        <v>80049243305865</v>
      </c>
      <c r="V48" s="5">
        <v>847605016282524</v>
      </c>
      <c r="W48" s="5">
        <v>805741115819439</v>
      </c>
      <c r="X48" s="5">
        <v>79779708721522</v>
      </c>
      <c r="Y48" s="5">
        <v>800833674097297</v>
      </c>
      <c r="Z48" s="5">
        <v>78281521823256</v>
      </c>
      <c r="AA48" s="5">
        <v>73099738085208</v>
      </c>
      <c r="AB48" s="5">
        <v>589692413226315</v>
      </c>
      <c r="AC48" s="5">
        <v>646586468082317</v>
      </c>
      <c r="AD48" s="5">
        <v>654341469588135</v>
      </c>
      <c r="AE48" s="5">
        <v>634803180696446</v>
      </c>
      <c r="AF48" s="5">
        <v>636575592984207</v>
      </c>
      <c r="AG48" s="5">
        <v>616209944089289</v>
      </c>
      <c r="AH48" s="5">
        <v>606531113086038</v>
      </c>
      <c r="AI48" s="5">
        <v>541907250471853</v>
      </c>
      <c r="AJ48" s="5">
        <v>547509211352849</v>
      </c>
      <c r="AK48" s="5">
        <v>550415564513892</v>
      </c>
      <c r="AL48" s="5">
        <v>580117705818394</v>
      </c>
      <c r="AM48" s="5">
        <v>56582841168126</v>
      </c>
      <c r="AN48" s="5">
        <v>65598234077762</v>
      </c>
      <c r="AO48" s="5">
        <v>714078603177984</v>
      </c>
      <c r="AP48" s="6">
        <v>25439069334</v>
      </c>
      <c r="AQ48" s="6">
        <v>24783007284</v>
      </c>
      <c r="AR48" s="6">
        <v>252168054837</v>
      </c>
      <c r="AS48" s="6">
        <v>253575288648</v>
      </c>
      <c r="AT48" s="6">
        <v>234250670344</v>
      </c>
      <c r="AU48" s="6">
        <v>223278505832147</v>
      </c>
      <c r="AV48" s="6">
        <v>214919685117438</v>
      </c>
      <c r="AW48" s="6">
        <v>200211978458408</v>
      </c>
      <c r="AX48" s="6">
        <v>201286330729079</v>
      </c>
      <c r="AY48" s="6">
        <v>203544262209214</v>
      </c>
      <c r="AZ48" s="6">
        <v>199062141469283</v>
      </c>
      <c r="BA48" s="6">
        <v>19099204164</v>
      </c>
      <c r="BB48" s="6">
        <v>181417512408</v>
      </c>
      <c r="BC48" s="6">
        <v>200808520704</v>
      </c>
      <c r="BD48" s="6">
        <v>1970590206</v>
      </c>
      <c r="BE48" s="6">
        <v>209888546172</v>
      </c>
      <c r="BF48" s="6">
        <v>19982344322</v>
      </c>
      <c r="BG48" s="6">
        <v>198358648265</v>
      </c>
      <c r="BH48" s="6">
        <v>2016306262503</v>
      </c>
      <c r="BI48" s="6">
        <v>170233825824</v>
      </c>
      <c r="BJ48" s="6">
        <v>16650099672</v>
      </c>
      <c r="BK48" s="6">
        <v>178046595235909</v>
      </c>
      <c r="BL48" s="6">
        <v>182585924889568</v>
      </c>
      <c r="BM48" s="6">
        <v>184831118968841</v>
      </c>
    </row>
    <row r="49" spans="1:65" x14ac:dyDescent="0.45">
      <c r="A49" s="1" t="s">
        <v>43</v>
      </c>
      <c r="B49" s="2">
        <v>4024242</v>
      </c>
      <c r="C49" s="3" t="s">
        <v>607</v>
      </c>
      <c r="D49" s="3" t="s">
        <v>608</v>
      </c>
      <c r="E49" s="3" t="s">
        <v>609</v>
      </c>
      <c r="F49" s="5">
        <v>122757409027535</v>
      </c>
      <c r="G49" s="5">
        <v>13322990574294</v>
      </c>
      <c r="H49" s="5">
        <v>131373268675418</v>
      </c>
      <c r="I49" s="5">
        <v>111475825482646</v>
      </c>
      <c r="J49" s="5">
        <v>124101042418456</v>
      </c>
      <c r="K49" s="5">
        <v>131808151958721</v>
      </c>
      <c r="L49" s="5">
        <v>143537386791302</v>
      </c>
      <c r="M49" s="5">
        <v>142063185887648</v>
      </c>
      <c r="N49" s="5">
        <v>128191426946278</v>
      </c>
      <c r="O49" s="5">
        <v>152370038419785</v>
      </c>
      <c r="P49" s="5">
        <v>150686072405035</v>
      </c>
      <c r="Q49" s="5">
        <v>1625748624</v>
      </c>
      <c r="R49" s="5">
        <v>15446539998</v>
      </c>
      <c r="S49" s="5">
        <v>144639355416</v>
      </c>
      <c r="T49" s="5">
        <v>155969084418816</v>
      </c>
      <c r="U49" s="5">
        <v>16638884849404</v>
      </c>
      <c r="V49" s="5">
        <v>165860470538591</v>
      </c>
      <c r="W49" s="5">
        <v>168830115980368</v>
      </c>
      <c r="X49" s="5">
        <v>173306106252286</v>
      </c>
      <c r="Y49" s="5">
        <v>172408362125102</v>
      </c>
      <c r="Z49" s="5">
        <v>186393230587362</v>
      </c>
      <c r="AA49" s="5">
        <v>184101121639467</v>
      </c>
      <c r="AB49" s="5">
        <v>164394886546193</v>
      </c>
      <c r="AC49" s="5">
        <v>16804699989003</v>
      </c>
      <c r="AD49" s="5">
        <v>167519076786017</v>
      </c>
      <c r="AE49" s="5">
        <v>171393854528343</v>
      </c>
      <c r="AF49" s="5">
        <v>165206748734924</v>
      </c>
      <c r="AG49" s="5">
        <v>172996536273617</v>
      </c>
      <c r="AH49" s="5">
        <v>177677509893431</v>
      </c>
      <c r="AI49" s="5">
        <v>17815331475</v>
      </c>
      <c r="AJ49" s="5">
        <v>19139444325</v>
      </c>
      <c r="AK49" s="5">
        <v>19777981125</v>
      </c>
      <c r="AL49" s="5">
        <v>198449967375</v>
      </c>
      <c r="AM49" s="5">
        <v>190271509282855</v>
      </c>
      <c r="AN49" s="5">
        <v>229715528736452</v>
      </c>
      <c r="AO49" s="5">
        <v>2461856562</v>
      </c>
      <c r="AP49" s="6">
        <v>12186616634334</v>
      </c>
      <c r="AQ49" s="6">
        <v>115855009062363</v>
      </c>
      <c r="AR49" s="6">
        <v>119271360297017</v>
      </c>
      <c r="AS49" s="6">
        <v>123458869108296</v>
      </c>
      <c r="AT49" s="6">
        <v>118462049635489</v>
      </c>
      <c r="AU49" s="6">
        <v>1146162028696</v>
      </c>
      <c r="AV49" s="6">
        <v>108525431705848</v>
      </c>
      <c r="AW49" s="6">
        <v>10683922449519</v>
      </c>
      <c r="AX49" s="6">
        <v>106764277482387</v>
      </c>
      <c r="AY49" s="6">
        <v>10719931364507</v>
      </c>
      <c r="AZ49" s="6">
        <v>101459560971995</v>
      </c>
      <c r="BA49" s="6">
        <v>101873267258361</v>
      </c>
      <c r="BB49" s="6">
        <v>967941950425137</v>
      </c>
      <c r="BC49" s="6">
        <v>987397179745651</v>
      </c>
      <c r="BD49" s="6">
        <v>914471518926576</v>
      </c>
      <c r="BE49" s="6">
        <v>898816215790898</v>
      </c>
      <c r="BF49" s="6">
        <v>883557354028364</v>
      </c>
      <c r="BG49" s="6">
        <v>871889948498099</v>
      </c>
      <c r="BH49" s="6">
        <v>858074382329305</v>
      </c>
      <c r="BI49" s="6">
        <v>84981586973478</v>
      </c>
      <c r="BJ49" s="6">
        <v>798548609018753</v>
      </c>
      <c r="BK49" s="6">
        <v>760172338557965</v>
      </c>
      <c r="BL49" s="6">
        <v>731513193272316</v>
      </c>
      <c r="BM49" s="6">
        <v>739462045341911</v>
      </c>
    </row>
    <row r="50" spans="1:65" x14ac:dyDescent="0.45">
      <c r="A50" s="1" t="s">
        <v>44</v>
      </c>
      <c r="B50" s="2">
        <v>4057157</v>
      </c>
      <c r="C50" s="3" t="s">
        <v>610</v>
      </c>
      <c r="D50" s="3" t="s">
        <v>611</v>
      </c>
      <c r="E50" s="3" t="s">
        <v>612</v>
      </c>
      <c r="F50" s="5">
        <v>147874848549226</v>
      </c>
      <c r="G50" s="5">
        <v>164230808833734</v>
      </c>
      <c r="H50" s="5">
        <v>150739158305508</v>
      </c>
      <c r="I50" s="5">
        <v>145301020868963</v>
      </c>
      <c r="J50" s="5">
        <v>157483329486338</v>
      </c>
      <c r="K50" s="5">
        <v>165442816734691</v>
      </c>
      <c r="L50" s="5">
        <v>149072553497183</v>
      </c>
      <c r="M50" s="5">
        <v>150709720782156</v>
      </c>
      <c r="N50" s="5">
        <v>14573225378977</v>
      </c>
      <c r="O50" s="5">
        <v>145677590614127</v>
      </c>
      <c r="P50" s="5">
        <v>13243354229428</v>
      </c>
      <c r="Q50" s="5">
        <v>127033436403458</v>
      </c>
      <c r="R50" s="5">
        <v>122253718894549</v>
      </c>
      <c r="S50" s="5">
        <v>106115328549656</v>
      </c>
      <c r="T50" s="5">
        <v>104194992949907</v>
      </c>
      <c r="U50" s="5">
        <v>995304484685448</v>
      </c>
      <c r="V50" s="5">
        <v>108046907951937</v>
      </c>
      <c r="W50" s="5">
        <v>108698834237352</v>
      </c>
      <c r="X50" s="5">
        <v>10601482947571</v>
      </c>
      <c r="Y50" s="5">
        <v>106326434512568</v>
      </c>
      <c r="Z50" s="5">
        <v>110364771242051</v>
      </c>
      <c r="AA50" s="5">
        <v>10793719365039</v>
      </c>
      <c r="AB50" s="5">
        <v>896229854786468</v>
      </c>
      <c r="AC50" s="5">
        <v>92407785523932</v>
      </c>
      <c r="AD50" s="5">
        <v>983262449167965</v>
      </c>
      <c r="AE50" s="5">
        <v>101002574643173</v>
      </c>
      <c r="AF50" s="5">
        <v>970335292466851</v>
      </c>
      <c r="AG50" s="5">
        <v>1004164372434</v>
      </c>
      <c r="AH50" s="5">
        <v>103000706846603</v>
      </c>
      <c r="AI50" s="5">
        <v>10958297826304</v>
      </c>
      <c r="AJ50" s="5">
        <v>108229529207902</v>
      </c>
      <c r="AK50" s="5">
        <v>113077739868729</v>
      </c>
      <c r="AL50" s="5">
        <v>113966428045685</v>
      </c>
      <c r="AM50" s="5">
        <v>110406639738941</v>
      </c>
      <c r="AN50" s="5">
        <v>114791058329183</v>
      </c>
      <c r="AO50" s="5">
        <v>129058208806138</v>
      </c>
      <c r="AP50" s="6">
        <v>359712605267604</v>
      </c>
      <c r="AQ50" s="6">
        <v>360529562854627</v>
      </c>
      <c r="AR50" s="6">
        <v>290287474766388</v>
      </c>
      <c r="AS50" s="6">
        <v>297443865653374</v>
      </c>
      <c r="AT50" s="6">
        <v>285180294034635</v>
      </c>
      <c r="AU50" s="6">
        <v>308167438430271</v>
      </c>
      <c r="AV50" s="6">
        <v>314399747966616</v>
      </c>
      <c r="AW50" s="6">
        <v>317816840052314</v>
      </c>
      <c r="AX50" s="6">
        <v>349176084776988</v>
      </c>
      <c r="AY50" s="6">
        <v>304793078251939</v>
      </c>
      <c r="AZ50" s="6">
        <v>313487235159197</v>
      </c>
      <c r="BA50" s="6">
        <v>281438618754816</v>
      </c>
      <c r="BB50" s="6">
        <v>246008188359783</v>
      </c>
      <c r="BC50" s="6">
        <v>279003793833792</v>
      </c>
      <c r="BD50" s="6">
        <v>249643525367734</v>
      </c>
      <c r="BE50" s="6">
        <v>293741783865661</v>
      </c>
      <c r="BF50" s="6">
        <v>290700056970083</v>
      </c>
      <c r="BG50" s="6">
        <v>241035421717142</v>
      </c>
      <c r="BH50" s="6">
        <v>246225369157348</v>
      </c>
      <c r="BI50" s="6">
        <v>242617273832207</v>
      </c>
      <c r="BJ50" s="6">
        <v>227651291353276</v>
      </c>
      <c r="BK50" s="6">
        <v>222960028183795</v>
      </c>
      <c r="BL50" s="6">
        <v>211914149922985</v>
      </c>
      <c r="BM50" s="6">
        <v>204731222425546</v>
      </c>
    </row>
    <row r="51" spans="1:65" x14ac:dyDescent="0.45">
      <c r="A51" s="1" t="s">
        <v>45</v>
      </c>
      <c r="B51" s="2">
        <v>4208149</v>
      </c>
      <c r="C51" s="3" t="s">
        <v>613</v>
      </c>
      <c r="D51" s="3" t="s">
        <v>614</v>
      </c>
      <c r="E51" s="3" t="s">
        <v>504</v>
      </c>
      <c r="F51" s="5">
        <v>377278652796569</v>
      </c>
      <c r="G51" s="5">
        <v>422718748808689</v>
      </c>
      <c r="H51" s="5">
        <v>467813160984463</v>
      </c>
      <c r="I51" s="5">
        <v>411208550756947</v>
      </c>
      <c r="J51" s="5">
        <v>43238217772681</v>
      </c>
      <c r="K51" s="5">
        <v>460791170472422</v>
      </c>
      <c r="L51" s="5">
        <v>357406120004639</v>
      </c>
      <c r="M51" s="5">
        <v>421227765545535</v>
      </c>
      <c r="N51" s="5">
        <v>390302053941334</v>
      </c>
      <c r="O51" s="5">
        <v>419312837970554</v>
      </c>
      <c r="P51" s="5">
        <v>431400459798729</v>
      </c>
      <c r="Q51" s="5">
        <v>490568242983935</v>
      </c>
      <c r="R51" s="5">
        <v>54388508083494</v>
      </c>
      <c r="S51" s="5">
        <v>495800928079593</v>
      </c>
      <c r="T51" s="5">
        <v>603861289198855</v>
      </c>
      <c r="U51" s="5">
        <v>540930305243021</v>
      </c>
      <c r="V51" s="5">
        <v>577993125203221</v>
      </c>
      <c r="W51" s="5">
        <v>595603743381358</v>
      </c>
      <c r="X51" s="5">
        <v>541647391993449</v>
      </c>
      <c r="Y51" s="5">
        <v>516153531702354</v>
      </c>
      <c r="Z51" s="5">
        <v>532873163719822</v>
      </c>
      <c r="AA51" s="5">
        <v>518527236483492</v>
      </c>
      <c r="AB51" s="5">
        <v>50159851275942</v>
      </c>
      <c r="AC51" s="5">
        <v>502550268858001</v>
      </c>
      <c r="AD51" s="5">
        <v>548877922800763</v>
      </c>
      <c r="AE51" s="5">
        <v>514140481817637</v>
      </c>
      <c r="AF51" s="5">
        <v>443200230012339</v>
      </c>
      <c r="AG51" s="5">
        <v>431383805496092</v>
      </c>
      <c r="AH51" s="5">
        <v>450510740169399</v>
      </c>
      <c r="AI51" s="5">
        <v>438074020350563</v>
      </c>
      <c r="AJ51" s="5">
        <v>46588998522624</v>
      </c>
      <c r="AK51" s="5">
        <v>4147759732037</v>
      </c>
      <c r="AL51" s="5">
        <v>375503543582945</v>
      </c>
      <c r="AM51" s="5">
        <v>31183237942675</v>
      </c>
      <c r="AN51" s="5">
        <v>381905085442064</v>
      </c>
      <c r="AO51" s="5">
        <v>390687737922174</v>
      </c>
      <c r="AP51" s="6">
        <v>657409240418969</v>
      </c>
      <c r="AQ51" s="6">
        <v>670681726407376</v>
      </c>
      <c r="AR51" s="6">
        <v>630755334022</v>
      </c>
      <c r="AS51" s="6">
        <v>642040683366017</v>
      </c>
      <c r="AT51" s="6">
        <v>670088141256839</v>
      </c>
      <c r="AU51" s="6">
        <v>64964231124</v>
      </c>
      <c r="AV51" s="6">
        <v>63235182751117</v>
      </c>
      <c r="AW51" s="6">
        <v>625177734162015</v>
      </c>
      <c r="AX51" s="6">
        <v>639147445412322</v>
      </c>
      <c r="AY51" s="6">
        <v>62002445793251</v>
      </c>
      <c r="AZ51" s="6">
        <v>585380151348688</v>
      </c>
      <c r="BA51" s="6">
        <v>531818078059699</v>
      </c>
      <c r="BB51" s="6">
        <v>501292168338398</v>
      </c>
      <c r="BC51" s="6">
        <v>569933596822787</v>
      </c>
      <c r="BD51" s="6">
        <v>556837645793459</v>
      </c>
      <c r="BE51" s="6">
        <v>567241636232631</v>
      </c>
      <c r="BF51" s="6">
        <v>553846671876445</v>
      </c>
      <c r="BG51" s="6">
        <v>508137897275714</v>
      </c>
      <c r="BH51" s="6">
        <v>506474656783997</v>
      </c>
      <c r="BI51" s="6">
        <v>491262363682699</v>
      </c>
      <c r="BJ51" s="6">
        <v>433490490058274</v>
      </c>
      <c r="BK51" s="6">
        <v>40905782118016</v>
      </c>
      <c r="BL51" s="6">
        <v>418655247562516</v>
      </c>
      <c r="BM51" s="6">
        <v>440767399336676</v>
      </c>
    </row>
    <row r="52" spans="1:65" x14ac:dyDescent="0.45">
      <c r="A52" s="1" t="s">
        <v>46</v>
      </c>
      <c r="B52" s="2">
        <v>1031164</v>
      </c>
      <c r="C52" s="3" t="s">
        <v>615</v>
      </c>
      <c r="D52" s="3" t="s">
        <v>616</v>
      </c>
      <c r="E52" s="3" t="s">
        <v>617</v>
      </c>
      <c r="F52" s="5">
        <v>927145464772552</v>
      </c>
      <c r="G52" s="5">
        <v>106252556914479</v>
      </c>
      <c r="H52" s="5">
        <v>101510245889883</v>
      </c>
      <c r="I52" s="5">
        <v>957947327908157</v>
      </c>
      <c r="J52" s="5">
        <v>100835454866418</v>
      </c>
      <c r="K52" s="5">
        <v>983635633728</v>
      </c>
      <c r="L52" s="5">
        <v>839355390536961</v>
      </c>
      <c r="M52" s="5">
        <v>868088499173388</v>
      </c>
      <c r="N52" s="5">
        <v>864866114612063</v>
      </c>
      <c r="O52" s="5">
        <v>860385050582096</v>
      </c>
      <c r="P52" s="5">
        <v>764708450661623</v>
      </c>
      <c r="Q52" s="5">
        <v>773171337840926</v>
      </c>
      <c r="R52" s="5">
        <v>913635584132433</v>
      </c>
      <c r="S52" s="5">
        <v>863186702849875</v>
      </c>
      <c r="T52" s="5">
        <v>81807056303404</v>
      </c>
      <c r="U52" s="5">
        <v>72915960632125</v>
      </c>
      <c r="V52" s="5">
        <v>749270113859105</v>
      </c>
      <c r="W52" s="5">
        <v>74875454733</v>
      </c>
      <c r="X52" s="5">
        <v>712811728490986</v>
      </c>
      <c r="Y52" s="5">
        <v>684379879413912</v>
      </c>
      <c r="Z52" s="5">
        <v>661446046169978</v>
      </c>
      <c r="AA52" s="5">
        <v>687171170604168</v>
      </c>
      <c r="AB52" s="5">
        <v>615495848302566</v>
      </c>
      <c r="AC52" s="5">
        <v>582326689536</v>
      </c>
      <c r="AD52" s="5">
        <v>617678692649565</v>
      </c>
      <c r="AE52" s="5">
        <v>623861744548586</v>
      </c>
      <c r="AF52" s="5">
        <v>581237976099185</v>
      </c>
      <c r="AG52" s="5">
        <v>510612794178903</v>
      </c>
      <c r="AH52" s="5">
        <v>500259524637829</v>
      </c>
      <c r="AI52" s="5">
        <v>482987590077</v>
      </c>
      <c r="AJ52" s="5">
        <v>568607203403699</v>
      </c>
      <c r="AK52" s="5">
        <v>566304046820459</v>
      </c>
      <c r="AL52" s="5">
        <v>576315936042</v>
      </c>
      <c r="AM52" s="5">
        <v>537010757586576</v>
      </c>
      <c r="AN52" s="5">
        <v>607500174315087</v>
      </c>
      <c r="AO52" s="5">
        <v>667465218477526</v>
      </c>
      <c r="AP52" s="6">
        <v>250454638176505</v>
      </c>
      <c r="AQ52" s="6">
        <v>254735039985592</v>
      </c>
      <c r="AR52" s="6">
        <v>244618625266018</v>
      </c>
      <c r="AS52" s="6">
        <v>23910718838076</v>
      </c>
      <c r="AT52" s="6">
        <v>245693379772103</v>
      </c>
      <c r="AU52" s="6">
        <v>247507251015852</v>
      </c>
      <c r="AV52" s="6">
        <v>236999839616444</v>
      </c>
      <c r="AW52" s="6">
        <v>22677076996791</v>
      </c>
      <c r="AX52" s="6">
        <v>228409805321964</v>
      </c>
      <c r="AY52" s="6">
        <v>227096798208826</v>
      </c>
      <c r="AZ52" s="6">
        <v>20578109523606</v>
      </c>
      <c r="BA52" s="6">
        <v>186449321690775</v>
      </c>
      <c r="BB52" s="6">
        <v>184553476877495</v>
      </c>
      <c r="BC52" s="6">
        <v>182639628222463</v>
      </c>
      <c r="BD52" s="6">
        <v>16562990972778</v>
      </c>
      <c r="BE52" s="6">
        <v>1718651733258</v>
      </c>
      <c r="BF52" s="6">
        <v>17465462051032</v>
      </c>
      <c r="BG52" s="6">
        <v>159376739653985</v>
      </c>
      <c r="BH52" s="6">
        <v>152021877723183</v>
      </c>
      <c r="BI52" s="6">
        <v>14848648071768</v>
      </c>
      <c r="BJ52" s="6">
        <v>139138703211761</v>
      </c>
      <c r="BK52" s="6">
        <v>141906061655401</v>
      </c>
      <c r="BL52" s="6">
        <v>1483559918568</v>
      </c>
      <c r="BM52" s="6">
        <v>168313280993062</v>
      </c>
    </row>
    <row r="53" spans="1:65" x14ac:dyDescent="0.45">
      <c r="A53" s="1" t="s">
        <v>47</v>
      </c>
      <c r="B53" s="2">
        <v>4344582</v>
      </c>
      <c r="C53" s="3" t="s">
        <v>618</v>
      </c>
      <c r="D53" s="3" t="s">
        <v>619</v>
      </c>
      <c r="E53" s="3" t="s">
        <v>620</v>
      </c>
      <c r="F53" s="5">
        <v>43303749209594</v>
      </c>
      <c r="G53" s="5">
        <v>474698187950838</v>
      </c>
      <c r="H53" s="5">
        <v>486209520063217</v>
      </c>
      <c r="I53" s="5">
        <v>41777690932964</v>
      </c>
      <c r="J53" s="5">
        <v>410050966425848</v>
      </c>
      <c r="K53" s="5">
        <v>408362082817684</v>
      </c>
      <c r="L53" s="5">
        <v>40063545170571</v>
      </c>
      <c r="M53" s="5">
        <v>3758200019964</v>
      </c>
      <c r="N53" s="5">
        <v>368304773600632</v>
      </c>
      <c r="O53" s="5">
        <v>365324552016031</v>
      </c>
      <c r="P53" s="5">
        <v>342396601381528</v>
      </c>
      <c r="Q53" s="5">
        <v>365933118911789</v>
      </c>
      <c r="R53" s="5">
        <v>380365320397859</v>
      </c>
      <c r="S53" s="5">
        <v>338025459799008</v>
      </c>
      <c r="T53" s="5">
        <v>3236467066965</v>
      </c>
      <c r="U53" s="5">
        <v>30967714768536</v>
      </c>
      <c r="V53" s="5">
        <v>282761917295098</v>
      </c>
      <c r="W53" s="5">
        <v>294876451629115</v>
      </c>
      <c r="X53" s="5">
        <v>271148965901497</v>
      </c>
      <c r="Y53" s="5">
        <v>24951972786</v>
      </c>
      <c r="Z53" s="5">
        <v>268214708143217</v>
      </c>
      <c r="AA53" s="5">
        <v>26366205131208</v>
      </c>
      <c r="AB53" s="5">
        <v>218185604543513</v>
      </c>
      <c r="AC53" s="5">
        <v>209682649145538</v>
      </c>
      <c r="AD53" s="5">
        <v>220557858991032</v>
      </c>
      <c r="AE53" s="5">
        <v>220601552590773</v>
      </c>
      <c r="AF53" s="5">
        <v>224519607810169</v>
      </c>
      <c r="AG53" s="5">
        <v>23443281364224</v>
      </c>
      <c r="AH53" s="5">
        <v>233760385932914</v>
      </c>
      <c r="AI53" s="5">
        <v>238413295889134</v>
      </c>
      <c r="AJ53" s="5">
        <v>234165464843224</v>
      </c>
      <c r="AK53" s="5">
        <v>2410681163436</v>
      </c>
      <c r="AL53" s="5">
        <v>217802162542642</v>
      </c>
      <c r="AM53" s="5">
        <v>179781017598</v>
      </c>
      <c r="AN53" s="5">
        <v>221502843344709</v>
      </c>
      <c r="AO53" s="5">
        <v>225140503656631</v>
      </c>
      <c r="AP53" s="6">
        <v>260393359984336</v>
      </c>
      <c r="AQ53" s="6">
        <v>271171819697245</v>
      </c>
      <c r="AR53" s="6">
        <v>272051796027686</v>
      </c>
      <c r="AS53" s="6">
        <v>275139757204726</v>
      </c>
      <c r="AT53" s="6">
        <v>269260770565396</v>
      </c>
      <c r="AU53" s="6">
        <v>260897905502994</v>
      </c>
      <c r="AV53" s="6">
        <v>248321213035228</v>
      </c>
      <c r="AW53" s="6">
        <v>253280120845425</v>
      </c>
      <c r="AX53" s="6">
        <v>249399550623337</v>
      </c>
      <c r="AY53" s="6">
        <v>247380860462848</v>
      </c>
      <c r="AZ53" s="6">
        <v>236105308919657</v>
      </c>
      <c r="BA53" s="6">
        <v>232168526976859</v>
      </c>
      <c r="BB53" s="6">
        <v>209555500181152</v>
      </c>
      <c r="BC53" s="6">
        <v>232020011164155</v>
      </c>
      <c r="BD53" s="6">
        <v>213591568730662</v>
      </c>
      <c r="BE53" s="6">
        <v>214925342353727</v>
      </c>
      <c r="BF53" s="6">
        <v>217666472356748</v>
      </c>
      <c r="BG53" s="6">
        <v>208296036252551</v>
      </c>
      <c r="BH53" s="6">
        <v>203070099281478</v>
      </c>
      <c r="BI53" s="6">
        <v>195705141477963</v>
      </c>
      <c r="BJ53" s="6">
        <v>186082527709046</v>
      </c>
      <c r="BK53" s="6">
        <v>184195797397003</v>
      </c>
      <c r="BL53" s="6">
        <v>175989288931583</v>
      </c>
      <c r="BM53" s="6">
        <v>188652616885942</v>
      </c>
    </row>
    <row r="54" spans="1:65" x14ac:dyDescent="0.45">
      <c r="A54" s="1" t="s">
        <v>48</v>
      </c>
      <c r="B54" s="2">
        <v>103145</v>
      </c>
      <c r="C54" s="3" t="s">
        <v>621</v>
      </c>
      <c r="D54" s="3" t="s">
        <v>622</v>
      </c>
      <c r="E54" s="3" t="s">
        <v>623</v>
      </c>
      <c r="F54" s="5">
        <v>211150801650639</v>
      </c>
      <c r="G54" s="5">
        <v>236950158898933</v>
      </c>
      <c r="H54" s="5">
        <v>24734712199145</v>
      </c>
      <c r="I54" s="5">
        <v>26234461929171</v>
      </c>
      <c r="J54" s="5">
        <v>278610942898011</v>
      </c>
      <c r="K54" s="5">
        <v>292943057031983</v>
      </c>
      <c r="L54" s="5">
        <v>259505906047836</v>
      </c>
      <c r="M54" s="5">
        <v>270706172883607</v>
      </c>
      <c r="N54" s="5">
        <v>30145259267159</v>
      </c>
      <c r="O54" s="5">
        <v>311944319775405</v>
      </c>
      <c r="P54" s="5">
        <v>296432008746652</v>
      </c>
      <c r="Q54" s="5">
        <v>304198468379447</v>
      </c>
      <c r="R54" s="5">
        <v>309853965128147</v>
      </c>
      <c r="S54" s="5">
        <v>295656189107154</v>
      </c>
      <c r="T54" s="5">
        <v>285340514370164</v>
      </c>
      <c r="U54" s="5">
        <v>266542273525631</v>
      </c>
      <c r="V54" s="5">
        <v>271098939402957</v>
      </c>
      <c r="W54" s="5">
        <v>267676347283899</v>
      </c>
      <c r="X54" s="5">
        <v>245305196445137</v>
      </c>
      <c r="Y54" s="5">
        <v>236643479638317</v>
      </c>
      <c r="Z54" s="5">
        <v>22244815489536</v>
      </c>
      <c r="AA54" s="5">
        <v>21890364448614</v>
      </c>
      <c r="AB54" s="5">
        <v>202270095771937</v>
      </c>
      <c r="AC54" s="5">
        <v>187852048321585</v>
      </c>
      <c r="AD54" s="5">
        <v>182725184778245</v>
      </c>
      <c r="AE54" s="5">
        <v>19419755694719</v>
      </c>
      <c r="AF54" s="5">
        <v>166597338548716</v>
      </c>
      <c r="AG54" s="5">
        <v>178631974302014</v>
      </c>
      <c r="AH54" s="5">
        <v>185710013415254</v>
      </c>
      <c r="AI54" s="5">
        <v>181797886704963</v>
      </c>
      <c r="AJ54" s="5">
        <v>192994474353322</v>
      </c>
      <c r="AK54" s="5">
        <v>197092604905451</v>
      </c>
      <c r="AL54" s="5">
        <v>209164061452604</v>
      </c>
      <c r="AM54" s="5">
        <v>188061404239527</v>
      </c>
      <c r="AN54" s="5">
        <v>255958135657038</v>
      </c>
      <c r="AO54" s="5">
        <v>272364460849213</v>
      </c>
      <c r="AP54" s="6">
        <v>973424148129359</v>
      </c>
      <c r="AQ54" s="6">
        <v>988038073111193</v>
      </c>
      <c r="AR54" s="6">
        <v>957804965207816</v>
      </c>
      <c r="AS54" s="6">
        <v>877270828491257</v>
      </c>
      <c r="AT54" s="6">
        <v>885029830850438</v>
      </c>
      <c r="AU54" s="6">
        <v>869316797598953</v>
      </c>
      <c r="AV54" s="6">
        <v>858168049898515</v>
      </c>
      <c r="AW54" s="6">
        <v>788040778723878</v>
      </c>
      <c r="AX54" s="6">
        <v>833649811499662</v>
      </c>
      <c r="AY54" s="6">
        <v>8454640168161</v>
      </c>
      <c r="AZ54" s="6">
        <v>796724803405247</v>
      </c>
      <c r="BA54" s="6">
        <v>79066609573428</v>
      </c>
      <c r="BB54" s="6">
        <v>680307119008545</v>
      </c>
      <c r="BC54" s="6">
        <v>738255213563904</v>
      </c>
      <c r="BD54" s="6">
        <v>694992349267776</v>
      </c>
      <c r="BE54" s="6">
        <v>815233079299749</v>
      </c>
      <c r="BF54" s="6">
        <v>792117344998794</v>
      </c>
      <c r="BG54" s="6">
        <v>856644885283052</v>
      </c>
      <c r="BH54" s="6">
        <v>770357499859017</v>
      </c>
      <c r="BI54" s="6">
        <v>79301947596429</v>
      </c>
      <c r="BJ54" s="6">
        <v>764753922520535</v>
      </c>
      <c r="BK54" s="6">
        <v>7612197975585</v>
      </c>
      <c r="BL54" s="6">
        <v>85083219260676</v>
      </c>
      <c r="BM54" s="6">
        <v>868236247733433</v>
      </c>
    </row>
    <row r="55" spans="1:65" x14ac:dyDescent="0.45">
      <c r="A55" s="1" t="s">
        <v>49</v>
      </c>
      <c r="B55" s="2">
        <v>3001622</v>
      </c>
      <c r="C55" s="3" t="s">
        <v>624</v>
      </c>
      <c r="D55" s="3" t="s">
        <v>625</v>
      </c>
      <c r="E55" s="3" t="s">
        <v>545</v>
      </c>
      <c r="F55" s="5">
        <v>137130498583638</v>
      </c>
      <c r="G55" s="5">
        <v>151794311704784</v>
      </c>
      <c r="H55" s="5">
        <v>139327041758674</v>
      </c>
      <c r="I55" s="5">
        <v>134821816837942</v>
      </c>
      <c r="J55" s="5">
        <v>148143673130213</v>
      </c>
      <c r="K55" s="5">
        <v>152582621744934</v>
      </c>
      <c r="L55" s="5">
        <v>126530357048128</v>
      </c>
      <c r="M55" s="5">
        <v>131431852848123</v>
      </c>
      <c r="N55" s="5">
        <v>140548691292068</v>
      </c>
      <c r="O55" s="5">
        <v>128974870252654</v>
      </c>
      <c r="P55" s="5">
        <v>129386745507799</v>
      </c>
      <c r="Q55" s="5">
        <v>15184625139523</v>
      </c>
      <c r="R55" s="5">
        <v>157667629534856</v>
      </c>
      <c r="S55" s="5">
        <v>150636713905946</v>
      </c>
      <c r="T55" s="5">
        <v>15605562483774</v>
      </c>
      <c r="U55" s="5">
        <v>148178866215577</v>
      </c>
      <c r="V55" s="5">
        <v>158265411386607</v>
      </c>
      <c r="W55" s="5">
        <v>14742441615442</v>
      </c>
      <c r="X55" s="5">
        <v>147186330065793</v>
      </c>
      <c r="Y55" s="5">
        <v>150198223178616</v>
      </c>
      <c r="Z55" s="5">
        <v>147807441799206</v>
      </c>
      <c r="AA55" s="5">
        <v>129900376764288</v>
      </c>
      <c r="AB55" s="5">
        <v>120256928332702</v>
      </c>
      <c r="AC55" s="5">
        <v>103677138894037</v>
      </c>
      <c r="AD55" s="5">
        <v>105775694375759</v>
      </c>
      <c r="AE55" s="5">
        <v>104232760983317</v>
      </c>
      <c r="AF55" s="5">
        <v>99060596116784</v>
      </c>
      <c r="AG55" s="5">
        <v>908640329395232</v>
      </c>
      <c r="AH55" s="5">
        <v>805607893174893</v>
      </c>
      <c r="AI55" s="5">
        <v>799620042750081</v>
      </c>
      <c r="AJ55" s="5">
        <v>844904391747309</v>
      </c>
      <c r="AK55" s="5">
        <v>829630588526828</v>
      </c>
      <c r="AL55" s="5">
        <v>840518760584903</v>
      </c>
      <c r="AM55" s="5">
        <v>77216776513422</v>
      </c>
      <c r="AN55" s="5">
        <v>867175470720686</v>
      </c>
      <c r="AO55" s="5">
        <v>988494566732112</v>
      </c>
      <c r="AP55" s="6">
        <v>387495362103472</v>
      </c>
      <c r="AQ55" s="6">
        <v>39747100557492</v>
      </c>
      <c r="AR55" s="6">
        <v>27179637493951</v>
      </c>
      <c r="AS55" s="6">
        <v>308559620917501</v>
      </c>
      <c r="AT55" s="6">
        <v>323087746039438</v>
      </c>
      <c r="AU55" s="6">
        <v>373050799677213</v>
      </c>
      <c r="AV55" s="6">
        <v>333642822777737</v>
      </c>
      <c r="AW55" s="6">
        <v>354222660068638</v>
      </c>
      <c r="AX55" s="6">
        <v>335036978054625</v>
      </c>
      <c r="AY55" s="6">
        <v>285200794404504</v>
      </c>
      <c r="AZ55" s="6">
        <v>278075455892623</v>
      </c>
      <c r="BA55" s="6">
        <v>261894764638206</v>
      </c>
      <c r="BB55" s="6">
        <v>22472350221475</v>
      </c>
      <c r="BC55" s="6">
        <v>22439988008041</v>
      </c>
      <c r="BD55" s="6">
        <v>31801508068659</v>
      </c>
      <c r="BE55" s="6">
        <v>34348959585212</v>
      </c>
      <c r="BF55" s="6">
        <v>342954740097305</v>
      </c>
      <c r="BG55" s="6">
        <v>338088059985303</v>
      </c>
      <c r="BH55" s="6">
        <v>315404051983137</v>
      </c>
      <c r="BI55" s="6">
        <v>313996225723776</v>
      </c>
      <c r="BJ55" s="6">
        <v>185336885981282</v>
      </c>
      <c r="BK55" s="6">
        <v>169534170842871</v>
      </c>
      <c r="BL55" s="6">
        <v>150937747855713</v>
      </c>
      <c r="BM55" s="6">
        <v>112551777447619</v>
      </c>
    </row>
    <row r="56" spans="1:65" x14ac:dyDescent="0.45">
      <c r="A56" s="1" t="s">
        <v>50</v>
      </c>
      <c r="B56" s="2">
        <v>4142027</v>
      </c>
      <c r="C56" s="3" t="s">
        <v>626</v>
      </c>
      <c r="D56" s="3" t="s">
        <v>627</v>
      </c>
      <c r="E56" s="3" t="s">
        <v>628</v>
      </c>
      <c r="F56" s="5">
        <v>110491827489532</v>
      </c>
      <c r="G56" s="5">
        <v>126997343256924</v>
      </c>
      <c r="H56" s="5">
        <v>104543706357059</v>
      </c>
      <c r="I56" s="5">
        <v>839015583222295</v>
      </c>
      <c r="J56" s="5">
        <v>823447567526261</v>
      </c>
      <c r="K56" s="5">
        <v>767138665069048</v>
      </c>
      <c r="L56" s="5">
        <v>632899654865832</v>
      </c>
      <c r="M56" s="5">
        <v>670899543963886</v>
      </c>
      <c r="N56" s="5">
        <v>755863402680144</v>
      </c>
      <c r="O56" s="5">
        <v>880232846958293</v>
      </c>
      <c r="P56" s="5">
        <v>885886794002925</v>
      </c>
      <c r="Q56" s="5">
        <v>855361968511479</v>
      </c>
      <c r="R56" s="5">
        <v>94519550233071</v>
      </c>
      <c r="S56" s="5">
        <v>102530521694246</v>
      </c>
      <c r="T56" s="5">
        <v>102210679765445</v>
      </c>
      <c r="U56" s="5">
        <v>991750497777036</v>
      </c>
      <c r="V56" s="5">
        <v>101193268831808</v>
      </c>
      <c r="W56" s="5">
        <v>10143469484849</v>
      </c>
      <c r="X56" s="5">
        <v>964528733125568</v>
      </c>
      <c r="Y56" s="5">
        <v>746160626987058</v>
      </c>
      <c r="Z56" s="5">
        <v>815096909452776</v>
      </c>
      <c r="AA56" s="5">
        <v>773964959994216</v>
      </c>
      <c r="AB56" s="5">
        <v>872419444983977</v>
      </c>
      <c r="AC56" s="5">
        <v>859417096442918</v>
      </c>
      <c r="AD56" s="5">
        <v>636568365908595</v>
      </c>
      <c r="AE56" s="5">
        <v>668321377483805</v>
      </c>
      <c r="AF56" s="5">
        <v>538692420021611</v>
      </c>
      <c r="AG56" s="5">
        <v>490286133902948</v>
      </c>
      <c r="AH56" s="5">
        <v>454937853469428</v>
      </c>
      <c r="AI56" s="5">
        <v>445976512581585</v>
      </c>
      <c r="AJ56" s="5">
        <v>553415661524471</v>
      </c>
      <c r="AK56" s="5">
        <v>408761835831216</v>
      </c>
      <c r="AL56" s="5">
        <v>397617230602307</v>
      </c>
      <c r="AM56" s="5">
        <v>383365774974</v>
      </c>
      <c r="AN56" s="5">
        <v>41879601311562</v>
      </c>
      <c r="AO56" s="5">
        <v>41112975285283</v>
      </c>
      <c r="AP56" s="6">
        <v>148422843983385</v>
      </c>
      <c r="AQ56" s="6">
        <v>132237854572407</v>
      </c>
      <c r="AR56" s="6">
        <v>124761425758349</v>
      </c>
      <c r="AS56" s="6">
        <v>13811573063371</v>
      </c>
      <c r="AT56" s="6">
        <v>101831452407546</v>
      </c>
      <c r="AU56" s="6">
        <v>117613924889696</v>
      </c>
      <c r="AV56" s="6">
        <v>111591835434673</v>
      </c>
      <c r="AW56" s="6">
        <v>990228643606952</v>
      </c>
      <c r="AX56" s="6">
        <v>110524660250413</v>
      </c>
      <c r="AY56" s="6">
        <v>127173169251652</v>
      </c>
      <c r="AZ56" s="6">
        <v>119266212324931</v>
      </c>
      <c r="BA56" s="6">
        <v>105639409957628</v>
      </c>
      <c r="BB56" s="6">
        <v>96405938788038</v>
      </c>
      <c r="BC56" s="6">
        <v>103472952409452</v>
      </c>
      <c r="BD56" s="6">
        <v>971963432086143</v>
      </c>
      <c r="BE56" s="6">
        <v>119862560401581</v>
      </c>
      <c r="BF56" s="6">
        <v>11692408464397</v>
      </c>
      <c r="BG56" s="6">
        <v>121637309591024</v>
      </c>
      <c r="BH56" s="6">
        <v>116529097703235</v>
      </c>
      <c r="BI56" s="6">
        <v>123540376509913</v>
      </c>
      <c r="BJ56" s="6">
        <v>124533347742846</v>
      </c>
      <c r="BK56" s="6">
        <v>947151587461362</v>
      </c>
      <c r="BL56" s="6">
        <v>91368962252568</v>
      </c>
      <c r="BM56" s="6">
        <v>11066375712927</v>
      </c>
    </row>
    <row r="57" spans="1:65" x14ac:dyDescent="0.45">
      <c r="A57" s="1" t="s">
        <v>51</v>
      </c>
      <c r="B57" s="2">
        <v>6893503</v>
      </c>
      <c r="C57" s="3" t="s">
        <v>629</v>
      </c>
      <c r="D57" s="3" t="s">
        <v>630</v>
      </c>
      <c r="E57" s="3" t="s">
        <v>631</v>
      </c>
      <c r="F57" s="5">
        <v>276717711707473</v>
      </c>
      <c r="G57" s="5">
        <v>28181991847339</v>
      </c>
      <c r="H57" s="5">
        <v>280136090995203</v>
      </c>
      <c r="I57" s="5">
        <v>216262567481596</v>
      </c>
      <c r="J57" s="5">
        <v>253754601081672</v>
      </c>
      <c r="K57" s="5">
        <v>254825259741358</v>
      </c>
      <c r="L57" s="5">
        <v>271910784840656</v>
      </c>
      <c r="M57" s="5">
        <v>330196860726364</v>
      </c>
      <c r="N57" s="5">
        <v>289808762961253</v>
      </c>
      <c r="O57" s="5">
        <v>312469726715312</v>
      </c>
      <c r="P57" s="5">
        <v>249421550875806</v>
      </c>
      <c r="Q57" s="5">
        <v>213128531150976</v>
      </c>
      <c r="R57" s="5">
        <v>184050075271419</v>
      </c>
      <c r="S57" s="5">
        <v>180146441634264</v>
      </c>
      <c r="T57" s="5">
        <v>188688971105712</v>
      </c>
      <c r="U57" s="5">
        <v>176774662608955</v>
      </c>
      <c r="V57" s="5">
        <v>159891519978932</v>
      </c>
      <c r="W57" s="5">
        <v>148343271069103</v>
      </c>
      <c r="X57" s="5">
        <v>149263269879318</v>
      </c>
      <c r="Y57" s="5">
        <v>154925034605382</v>
      </c>
      <c r="Z57" s="5">
        <v>129173872381419</v>
      </c>
      <c r="AA57" s="5">
        <v>141096087088699</v>
      </c>
      <c r="AB57" s="5">
        <v>147489072233371</v>
      </c>
      <c r="AC57" s="5">
        <v>119793908767157</v>
      </c>
      <c r="AD57" s="5">
        <v>116896652594584</v>
      </c>
      <c r="AE57" s="5">
        <v>107419683342273</v>
      </c>
      <c r="AF57" s="5">
        <v>869213877969278</v>
      </c>
      <c r="AG57" s="5">
        <v>742813347186199</v>
      </c>
      <c r="AH57" s="5">
        <v>783994864274916</v>
      </c>
      <c r="AI57" s="5">
        <v>859372301420307</v>
      </c>
      <c r="AJ57" s="5">
        <v>895796379295475</v>
      </c>
      <c r="AK57" s="5">
        <v>972775479577675</v>
      </c>
      <c r="AL57" s="5">
        <v>83528039967377</v>
      </c>
      <c r="AM57" s="5">
        <v>6246494423715</v>
      </c>
      <c r="AN57" s="5">
        <v>956126632763522</v>
      </c>
      <c r="AO57" s="5">
        <v>126966950552878</v>
      </c>
      <c r="AP57" s="6">
        <v>188516361504049</v>
      </c>
      <c r="AQ57" s="6">
        <v>196133961801095</v>
      </c>
      <c r="AR57" s="6">
        <v>208398516077233</v>
      </c>
      <c r="AS57" s="6">
        <v>221691793112625</v>
      </c>
      <c r="AT57" s="6">
        <v>242723251236353</v>
      </c>
      <c r="AU57" s="6">
        <v>214988643162794</v>
      </c>
      <c r="AV57" s="6">
        <v>205891745407401</v>
      </c>
      <c r="AW57" s="6">
        <v>184353498451168</v>
      </c>
      <c r="AX57" s="6">
        <v>178768836066649</v>
      </c>
      <c r="AY57" s="6">
        <v>172275287157211</v>
      </c>
      <c r="AZ57" s="6">
        <v>160824388082737</v>
      </c>
      <c r="BA57" s="6">
        <v>154808359316111</v>
      </c>
      <c r="BB57" s="6">
        <v>136215566169109</v>
      </c>
      <c r="BC57" s="6">
        <v>147120631312401</v>
      </c>
      <c r="BD57" s="6">
        <v>136122896868672</v>
      </c>
      <c r="BE57" s="6">
        <v>130212410890148</v>
      </c>
      <c r="BF57" s="6">
        <v>124081938523751</v>
      </c>
      <c r="BG57" s="6">
        <v>116296456850966</v>
      </c>
      <c r="BH57" s="6">
        <v>106413103839476</v>
      </c>
      <c r="BI57" s="6">
        <v>110681201109004</v>
      </c>
      <c r="BJ57" s="6">
        <v>116392097924938</v>
      </c>
      <c r="BK57" s="6">
        <v>113200793434313</v>
      </c>
      <c r="BL57" s="6">
        <v>114534881515372</v>
      </c>
      <c r="BM57" s="6">
        <v>107723645798333</v>
      </c>
    </row>
    <row r="58" spans="1:65" x14ac:dyDescent="0.45">
      <c r="A58" s="1" t="s">
        <v>52</v>
      </c>
      <c r="B58" s="2">
        <v>4014079</v>
      </c>
      <c r="C58" s="3" t="s">
        <v>632</v>
      </c>
      <c r="D58" s="3" t="s">
        <v>633</v>
      </c>
      <c r="E58" s="3" t="s">
        <v>634</v>
      </c>
      <c r="F58" s="5">
        <v>150216122139147</v>
      </c>
      <c r="G58" s="5">
        <v>170712213590364</v>
      </c>
      <c r="H58" s="5">
        <v>156990620436009</v>
      </c>
      <c r="I58" s="5">
        <v>154880451379297</v>
      </c>
      <c r="J58" s="5">
        <v>174169540323026</v>
      </c>
      <c r="K58" s="5">
        <v>230187134979407</v>
      </c>
      <c r="L58" s="5">
        <v>210374339590791</v>
      </c>
      <c r="M58" s="5">
        <v>211305523251356</v>
      </c>
      <c r="N58" s="5">
        <v>247374277362364</v>
      </c>
      <c r="O58" s="5">
        <v>26023971315888</v>
      </c>
      <c r="P58" s="5">
        <v>256918399338774</v>
      </c>
      <c r="Q58" s="5">
        <v>280786716644602</v>
      </c>
      <c r="R58" s="5">
        <v>274177108479724</v>
      </c>
      <c r="S58" s="5">
        <v>268536909123689</v>
      </c>
      <c r="T58" s="5">
        <v>258387630154588</v>
      </c>
      <c r="U58" s="5">
        <v>253534893450993</v>
      </c>
      <c r="V58" s="5">
        <v>265525397867028</v>
      </c>
      <c r="W58" s="5">
        <v>223809972300986</v>
      </c>
      <c r="X58" s="5">
        <v>224303759011836</v>
      </c>
      <c r="Y58" s="5">
        <v>221283856809179</v>
      </c>
      <c r="Z58" s="5">
        <v>255377870810305</v>
      </c>
      <c r="AA58" s="5">
        <v>236860221274044</v>
      </c>
      <c r="AB58" s="5">
        <v>231433668163084</v>
      </c>
      <c r="AC58" s="5">
        <v>237191535965012</v>
      </c>
      <c r="AD58" s="5">
        <v>249176168208162</v>
      </c>
      <c r="AE58" s="5">
        <v>262773928744238</v>
      </c>
      <c r="AF58" s="5">
        <v>249402089796608</v>
      </c>
      <c r="AG58" s="5">
        <v>231160362533847</v>
      </c>
      <c r="AH58" s="5">
        <v>219549318431386</v>
      </c>
      <c r="AI58" s="5">
        <v>202901671533282</v>
      </c>
      <c r="AJ58" s="5">
        <v>201302225359032</v>
      </c>
      <c r="AK58" s="5">
        <v>208961819459182</v>
      </c>
      <c r="AL58" s="5">
        <v>195327144670389</v>
      </c>
      <c r="AM58" s="5">
        <v>191693926967998</v>
      </c>
      <c r="AN58" s="5">
        <v>208720543564424</v>
      </c>
      <c r="AO58" s="5">
        <v>212982126863854</v>
      </c>
      <c r="AP58" s="6">
        <v>282307326021195</v>
      </c>
      <c r="AQ58" s="6">
        <v>272023129778558</v>
      </c>
      <c r="AR58" s="6">
        <v>252333604261898</v>
      </c>
      <c r="AS58" s="6">
        <v>249013859437069</v>
      </c>
      <c r="AT58" s="6">
        <v>232820069370081</v>
      </c>
      <c r="AU58" s="6">
        <v>256592426409365</v>
      </c>
      <c r="AV58" s="6">
        <v>242318460651374</v>
      </c>
      <c r="AW58" s="6">
        <v>226892922242683</v>
      </c>
      <c r="AX58" s="6">
        <v>259504062557748</v>
      </c>
      <c r="AY58" s="6">
        <v>236951237325158</v>
      </c>
      <c r="AZ58" s="6">
        <v>246637860070185</v>
      </c>
      <c r="BA58" s="6">
        <v>240323440918755</v>
      </c>
      <c r="BB58" s="6">
        <v>211207169490674</v>
      </c>
      <c r="BC58" s="6">
        <v>246168322236088</v>
      </c>
      <c r="BD58" s="6">
        <v>23844818055696</v>
      </c>
      <c r="BE58" s="6">
        <v>25320292233426</v>
      </c>
      <c r="BF58" s="6">
        <v>26608437341685</v>
      </c>
      <c r="BG58" s="6">
        <v>263559545673329</v>
      </c>
      <c r="BH58" s="6">
        <v>244983522437669</v>
      </c>
      <c r="BI58" s="6">
        <v>252547065116982</v>
      </c>
      <c r="BJ58" s="6">
        <v>25125060670419</v>
      </c>
      <c r="BK58" s="6">
        <v>249342114695271</v>
      </c>
      <c r="BL58" s="6">
        <v>26930555670695</v>
      </c>
      <c r="BM58" s="6">
        <v>264638797576989</v>
      </c>
    </row>
    <row r="59" spans="1:65" x14ac:dyDescent="0.45">
      <c r="A59" s="1" t="s">
        <v>53</v>
      </c>
      <c r="B59" s="2">
        <v>100369</v>
      </c>
      <c r="C59" s="3" t="s">
        <v>635</v>
      </c>
      <c r="D59" s="3" t="s">
        <v>636</v>
      </c>
      <c r="E59" s="3" t="s">
        <v>637</v>
      </c>
      <c r="F59" s="5">
        <v>24861825570059</v>
      </c>
      <c r="G59" s="5">
        <v>294448493720692</v>
      </c>
      <c r="H59" s="5">
        <v>292395609467757</v>
      </c>
      <c r="I59" s="5">
        <v>247468970082389</v>
      </c>
      <c r="J59" s="5">
        <v>268146926506475</v>
      </c>
      <c r="K59" s="5">
        <v>266346671379119</v>
      </c>
      <c r="L59" s="5">
        <v>23992553171976</v>
      </c>
      <c r="M59" s="5">
        <v>279365271206426</v>
      </c>
      <c r="N59" s="5">
        <v>272779834200513</v>
      </c>
      <c r="O59" s="5">
        <v>299256471888683</v>
      </c>
      <c r="P59" s="5">
        <v>31762818618749</v>
      </c>
      <c r="Q59" s="5">
        <v>332756509097878</v>
      </c>
      <c r="R59" s="5">
        <v>32016183382463</v>
      </c>
      <c r="S59" s="5">
        <v>322893083636377</v>
      </c>
      <c r="T59" s="5">
        <v>338167530710341</v>
      </c>
      <c r="U59" s="5">
        <v>308203091458963</v>
      </c>
      <c r="V59" s="5">
        <v>297640199213299</v>
      </c>
      <c r="W59" s="5">
        <v>27211678595376</v>
      </c>
      <c r="X59" s="5">
        <v>297984154488443</v>
      </c>
      <c r="Y59" s="5">
        <v>298049392703355</v>
      </c>
      <c r="Z59" s="5">
        <v>288722496008344</v>
      </c>
      <c r="AA59" s="5">
        <v>284387717853822</v>
      </c>
      <c r="AB59" s="5">
        <v>247667238869672</v>
      </c>
      <c r="AC59" s="5">
        <v>211301930560075</v>
      </c>
      <c r="AD59" s="5">
        <v>214352943623552</v>
      </c>
      <c r="AE59" s="5">
        <v>20382533915307</v>
      </c>
      <c r="AF59" s="5">
        <v>175930850483187</v>
      </c>
      <c r="AG59" s="5">
        <v>177744346930822</v>
      </c>
      <c r="AH59" s="5">
        <v>18655110773267</v>
      </c>
      <c r="AI59" s="5">
        <v>182215194661065</v>
      </c>
      <c r="AJ59" s="5">
        <v>183092262349329</v>
      </c>
      <c r="AK59" s="5">
        <v>188225534591151</v>
      </c>
      <c r="AL59" s="5">
        <v>190722826697221</v>
      </c>
      <c r="AM59" s="5">
        <v>168556473132848</v>
      </c>
      <c r="AN59" s="5">
        <v>226200299358335</v>
      </c>
      <c r="AO59" s="5">
        <v>261661874684158</v>
      </c>
      <c r="AP59" s="6">
        <v>380434487214866</v>
      </c>
      <c r="AQ59" s="6">
        <v>379833001345597</v>
      </c>
      <c r="AR59" s="6">
        <v>351301086951283</v>
      </c>
      <c r="AS59" s="6">
        <v>409561469791175</v>
      </c>
      <c r="AT59" s="6">
        <v>408261609865377</v>
      </c>
      <c r="AU59" s="6">
        <v>385199316234571</v>
      </c>
      <c r="AV59" s="6">
        <v>366755381646872</v>
      </c>
      <c r="AW59" s="6">
        <v>335719115410042</v>
      </c>
      <c r="AX59" s="6">
        <v>34805937571293</v>
      </c>
      <c r="AY59" s="6">
        <v>370290217881553</v>
      </c>
      <c r="AZ59" s="6">
        <v>336329684935174</v>
      </c>
      <c r="BA59" s="6">
        <v>336758885250025</v>
      </c>
      <c r="BB59" s="6">
        <v>305912895945336</v>
      </c>
      <c r="BC59" s="6">
        <v>322176040126733</v>
      </c>
      <c r="BD59" s="6">
        <v>295062233023962</v>
      </c>
      <c r="BE59" s="6">
        <v>354492801576666</v>
      </c>
      <c r="BF59" s="6">
        <v>342302944798295</v>
      </c>
      <c r="BG59" s="6">
        <v>331511419177549</v>
      </c>
      <c r="BH59" s="6">
        <v>338899726910363</v>
      </c>
      <c r="BI59" s="6">
        <v>325358381017039</v>
      </c>
      <c r="BJ59" s="6">
        <v>309561227801702</v>
      </c>
      <c r="BK59" s="6">
        <v>284449013753677</v>
      </c>
      <c r="BL59" s="6">
        <v>299885124101881</v>
      </c>
      <c r="BM59" s="6">
        <v>315484472802654</v>
      </c>
    </row>
    <row r="60" spans="1:65" x14ac:dyDescent="0.45">
      <c r="A60" s="1" t="s">
        <v>54</v>
      </c>
      <c r="B60" s="2">
        <v>4081442</v>
      </c>
      <c r="C60" s="3" t="s">
        <v>638</v>
      </c>
      <c r="D60" s="3" t="s">
        <v>639</v>
      </c>
      <c r="E60" s="3" t="s">
        <v>495</v>
      </c>
      <c r="F60" s="5">
        <v>240428443301854</v>
      </c>
      <c r="G60" s="5">
        <v>2763445872713</v>
      </c>
      <c r="H60" s="5">
        <v>277085715363936</v>
      </c>
      <c r="I60" s="5">
        <v>27661538061961</v>
      </c>
      <c r="J60" s="5">
        <v>287320160343085</v>
      </c>
      <c r="K60" s="5">
        <v>289627855754506</v>
      </c>
      <c r="L60" s="5">
        <v>309380195086634</v>
      </c>
      <c r="M60" s="5">
        <v>35693237092087</v>
      </c>
      <c r="N60" s="5">
        <v>339523516431015</v>
      </c>
      <c r="O60" s="5">
        <v>35123909421076</v>
      </c>
      <c r="P60" s="5">
        <v>380064413604548</v>
      </c>
      <c r="Q60" s="5">
        <v>381933122564229</v>
      </c>
      <c r="R60" s="5">
        <v>377918963109044</v>
      </c>
      <c r="S60" s="5">
        <v>331251290191723</v>
      </c>
      <c r="T60" s="5">
        <v>341896553468561</v>
      </c>
      <c r="U60" s="5">
        <v>34691274145366</v>
      </c>
      <c r="V60" s="5">
        <v>322809968437039</v>
      </c>
      <c r="W60" s="5">
        <v>325971730830428</v>
      </c>
      <c r="X60" s="5">
        <v>341404823571441</v>
      </c>
      <c r="Y60" s="5">
        <v>338818957482638</v>
      </c>
      <c r="Z60" s="5">
        <v>358202076460053</v>
      </c>
      <c r="AA60" s="5">
        <v>3634360252896</v>
      </c>
      <c r="AB60" s="5">
        <v>324331175402968</v>
      </c>
      <c r="AC60" s="5">
        <v>323254873087668</v>
      </c>
      <c r="AD60" s="5">
        <v>335020313859246</v>
      </c>
      <c r="AE60" s="5">
        <v>325124513968541</v>
      </c>
      <c r="AF60" s="5">
        <v>340015115463072</v>
      </c>
      <c r="AG60" s="5">
        <v>346696203537439</v>
      </c>
      <c r="AH60" s="5">
        <v>368709098112333</v>
      </c>
      <c r="AI60" s="5">
        <v>369635294626883</v>
      </c>
      <c r="AJ60" s="5">
        <v>389302759669635</v>
      </c>
      <c r="AK60" s="5">
        <v>411974135767189</v>
      </c>
      <c r="AL60" s="5">
        <v>412939922187326</v>
      </c>
      <c r="AM60" s="5">
        <v>374781155110999</v>
      </c>
      <c r="AN60" s="5">
        <v>387508182618715</v>
      </c>
      <c r="AO60" s="5">
        <v>410877187582264</v>
      </c>
      <c r="AP60" s="6">
        <v>656803657137823</v>
      </c>
      <c r="AQ60" s="6">
        <v>634538393776232</v>
      </c>
      <c r="AR60" s="6">
        <v>619970201321216</v>
      </c>
      <c r="AS60" s="6">
        <v>626265575081999</v>
      </c>
      <c r="AT60" s="6">
        <v>62322710084889</v>
      </c>
      <c r="AU60" s="6">
        <v>612671202329424</v>
      </c>
      <c r="AV60" s="6">
        <v>597365502857764</v>
      </c>
      <c r="AW60" s="6">
        <v>564869918679227</v>
      </c>
      <c r="AX60" s="6">
        <v>578110786904605</v>
      </c>
      <c r="AY60" s="6">
        <v>59869139095164</v>
      </c>
      <c r="AZ60" s="6">
        <v>587802581657241</v>
      </c>
      <c r="BA60" s="6">
        <v>586809118316329</v>
      </c>
      <c r="BB60" s="6">
        <v>530267026228169</v>
      </c>
      <c r="BC60" s="6">
        <v>59882898036672</v>
      </c>
      <c r="BD60" s="6">
        <v>544884522634845</v>
      </c>
      <c r="BE60" s="6">
        <v>601062036850098</v>
      </c>
      <c r="BF60" s="6">
        <v>603626111957919</v>
      </c>
      <c r="BG60" s="6">
        <v>571654729397436</v>
      </c>
      <c r="BH60" s="6">
        <v>548637190686518</v>
      </c>
      <c r="BI60" s="6">
        <v>507837786358471</v>
      </c>
      <c r="BJ60" s="6">
        <v>511278022900225</v>
      </c>
      <c r="BK60" s="6">
        <v>469173655625277</v>
      </c>
      <c r="BL60" s="6">
        <v>484120348257874</v>
      </c>
      <c r="BM60" s="6">
        <v>520307585981496</v>
      </c>
    </row>
    <row r="61" spans="1:65" x14ac:dyDescent="0.45">
      <c r="A61" s="1" t="s">
        <v>55</v>
      </c>
      <c r="B61" s="2">
        <v>4133271</v>
      </c>
      <c r="C61" s="3" t="s">
        <v>640</v>
      </c>
      <c r="D61" s="3" t="s">
        <v>641</v>
      </c>
      <c r="E61" s="3" t="s">
        <v>495</v>
      </c>
      <c r="F61" s="5">
        <v>676411408540187</v>
      </c>
      <c r="G61" s="5">
        <v>685160155437534</v>
      </c>
      <c r="H61" s="5">
        <v>680579522221786</v>
      </c>
      <c r="I61" s="5">
        <v>648083173377378</v>
      </c>
      <c r="J61" s="5">
        <v>714778286248256</v>
      </c>
      <c r="K61" s="5">
        <v>682791143765746</v>
      </c>
      <c r="L61" s="5">
        <v>672269619257181</v>
      </c>
      <c r="M61" s="5">
        <v>679682958687322</v>
      </c>
      <c r="N61" s="5">
        <v>667955025786725</v>
      </c>
      <c r="O61" s="5">
        <v>681893456550964</v>
      </c>
      <c r="P61" s="5">
        <v>687935273629027</v>
      </c>
      <c r="Q61" s="5">
        <v>64675255207847</v>
      </c>
      <c r="R61" s="5">
        <v>630306039904067</v>
      </c>
      <c r="S61" s="5">
        <v>597558941033178</v>
      </c>
      <c r="T61" s="5">
        <v>595050677916178</v>
      </c>
      <c r="U61" s="5">
        <v>609111692930693</v>
      </c>
      <c r="V61" s="5">
        <v>612405029088432</v>
      </c>
      <c r="W61" s="5">
        <v>62699669711514</v>
      </c>
      <c r="X61" s="5">
        <v>596487497864768</v>
      </c>
      <c r="Y61" s="5">
        <v>577189651486655</v>
      </c>
      <c r="Z61" s="5">
        <v>600981945301582</v>
      </c>
      <c r="AA61" s="5">
        <v>601935118635258</v>
      </c>
      <c r="AB61" s="5">
        <v>579116498222057</v>
      </c>
      <c r="AC61" s="5">
        <v>627258139301762</v>
      </c>
      <c r="AD61" s="5">
        <v>594951064330342</v>
      </c>
      <c r="AE61" s="5">
        <v>56988444655566</v>
      </c>
      <c r="AF61" s="5">
        <v>574903987410958</v>
      </c>
      <c r="AG61" s="5">
        <v>574375368627927</v>
      </c>
      <c r="AH61" s="5">
        <v>588656661676249</v>
      </c>
      <c r="AI61" s="5">
        <v>703495329536481</v>
      </c>
      <c r="AJ61" s="5">
        <v>628946094857942</v>
      </c>
      <c r="AK61" s="5">
        <v>657043147875029</v>
      </c>
      <c r="AL61" s="5">
        <v>625969784644046</v>
      </c>
      <c r="AM61" s="5">
        <v>566997833365236</v>
      </c>
      <c r="AN61" s="5">
        <v>586411189535574</v>
      </c>
      <c r="AO61" s="5">
        <v>672684655588053</v>
      </c>
      <c r="AP61" s="6">
        <v>493393172371401</v>
      </c>
      <c r="AQ61" s="6">
        <v>488902236143162</v>
      </c>
      <c r="AR61" s="6">
        <v>466327857506658</v>
      </c>
      <c r="AS61" s="6">
        <v>467473467524943</v>
      </c>
      <c r="AT61" s="6">
        <v>451986315423602</v>
      </c>
      <c r="AU61" s="6">
        <v>453089386161624</v>
      </c>
      <c r="AV61" s="6">
        <v>458620945194378</v>
      </c>
      <c r="AW61" s="6">
        <v>43502790065262</v>
      </c>
      <c r="AX61" s="6">
        <v>475583966829438</v>
      </c>
      <c r="AY61" s="6">
        <v>440038535751392</v>
      </c>
      <c r="AZ61" s="6">
        <v>435251180446601</v>
      </c>
      <c r="BA61" s="6">
        <v>443907668558037</v>
      </c>
      <c r="BB61" s="6">
        <v>43897046229562</v>
      </c>
      <c r="BC61" s="6">
        <v>473769213831365</v>
      </c>
      <c r="BD61" s="6">
        <v>450405464743434</v>
      </c>
      <c r="BE61" s="6">
        <v>45399383541105</v>
      </c>
      <c r="BF61" s="6">
        <v>445455997990473</v>
      </c>
      <c r="BG61" s="6">
        <v>420251856932073</v>
      </c>
      <c r="BH61" s="6">
        <v>396083132310887</v>
      </c>
      <c r="BI61" s="6">
        <v>405303523409332</v>
      </c>
      <c r="BJ61" s="6">
        <v>395935947187221</v>
      </c>
      <c r="BK61" s="6">
        <v>400196166820636</v>
      </c>
      <c r="BL61" s="6">
        <v>418381018744525</v>
      </c>
      <c r="BM61" s="6">
        <v>426288170821745</v>
      </c>
    </row>
    <row r="62" spans="1:65" x14ac:dyDescent="0.45">
      <c r="A62" s="1" t="s">
        <v>56</v>
      </c>
      <c r="B62" s="2">
        <v>103462</v>
      </c>
      <c r="C62" s="3" t="s">
        <v>642</v>
      </c>
      <c r="D62" s="3" t="s">
        <v>643</v>
      </c>
      <c r="E62" s="3" t="s">
        <v>644</v>
      </c>
      <c r="F62" s="5">
        <v>638073416639397</v>
      </c>
      <c r="G62" s="5">
        <v>680200773632411</v>
      </c>
      <c r="H62" s="5">
        <v>658301241514273</v>
      </c>
      <c r="I62" s="5">
        <v>602985173455029</v>
      </c>
      <c r="J62" s="5">
        <v>613720490924455</v>
      </c>
      <c r="K62" s="5">
        <v>650692083827576</v>
      </c>
      <c r="L62" s="5">
        <v>575889346406095</v>
      </c>
      <c r="M62" s="5">
        <v>649859662558279</v>
      </c>
      <c r="N62" s="5">
        <v>676951633557068</v>
      </c>
      <c r="O62" s="5">
        <v>701743999258482</v>
      </c>
      <c r="P62" s="5">
        <v>630549657898242</v>
      </c>
      <c r="Q62" s="5">
        <v>624303123217037</v>
      </c>
      <c r="R62" s="5">
        <v>588359004803076</v>
      </c>
      <c r="S62" s="5">
        <v>549262187453075</v>
      </c>
      <c r="T62" s="5">
        <v>562375126172642</v>
      </c>
      <c r="U62" s="5">
        <v>533407245484694</v>
      </c>
      <c r="V62" s="5">
        <v>547951934827226</v>
      </c>
      <c r="W62" s="5">
        <v>536494437046994</v>
      </c>
      <c r="X62" s="5">
        <v>536171964981637</v>
      </c>
      <c r="Y62" s="5">
        <v>543274933020879</v>
      </c>
      <c r="Z62" s="5">
        <v>524528961698847</v>
      </c>
      <c r="AA62" s="5">
        <v>500825317721704</v>
      </c>
      <c r="AB62" s="5">
        <v>468135479027798</v>
      </c>
      <c r="AC62" s="5">
        <v>44137802576589</v>
      </c>
      <c r="AD62" s="5">
        <v>444457185065246</v>
      </c>
      <c r="AE62" s="5">
        <v>449258797684047</v>
      </c>
      <c r="AF62" s="5">
        <v>413561672256508</v>
      </c>
      <c r="AG62" s="5">
        <v>433409404711599</v>
      </c>
      <c r="AH62" s="5">
        <v>435862884418669</v>
      </c>
      <c r="AI62" s="5">
        <v>402130515223192</v>
      </c>
      <c r="AJ62" s="5">
        <v>385175517809277</v>
      </c>
      <c r="AK62" s="5">
        <v>405812078637078</v>
      </c>
      <c r="AL62" s="5">
        <v>416775201125799</v>
      </c>
      <c r="AM62" s="5">
        <v>403036215224461</v>
      </c>
      <c r="AN62" s="5">
        <v>456901246627715</v>
      </c>
      <c r="AO62" s="5">
        <v>494550978794144</v>
      </c>
      <c r="AP62" s="6">
        <v>202463799893053</v>
      </c>
      <c r="AQ62" s="6">
        <v>192906273337989</v>
      </c>
      <c r="AR62" s="6">
        <v>169843162552718</v>
      </c>
      <c r="AS62" s="6">
        <v>166764721785651</v>
      </c>
      <c r="AT62" s="6">
        <v>154539415125624</v>
      </c>
      <c r="AU62" s="6">
        <v>183624752740481</v>
      </c>
      <c r="AV62" s="6">
        <v>163640629947108</v>
      </c>
      <c r="AW62" s="6">
        <v>150625916627804</v>
      </c>
      <c r="AX62" s="6">
        <v>177851371261389</v>
      </c>
      <c r="AY62" s="6">
        <v>169558902118505</v>
      </c>
      <c r="AZ62" s="6">
        <v>162667603599459</v>
      </c>
      <c r="BA62" s="6">
        <v>139169966752199</v>
      </c>
      <c r="BB62" s="6">
        <v>124473641169092</v>
      </c>
      <c r="BC62" s="6">
        <v>156623795320838</v>
      </c>
      <c r="BD62" s="6">
        <v>170188234449498</v>
      </c>
      <c r="BE62" s="6">
        <v>187536955270234</v>
      </c>
      <c r="BF62" s="6">
        <v>191497846881229</v>
      </c>
      <c r="BG62" s="6">
        <v>179126917566429</v>
      </c>
      <c r="BH62" s="6">
        <v>178594349074095</v>
      </c>
      <c r="BI62" s="6">
        <v>165021196731709</v>
      </c>
      <c r="BJ62" s="6">
        <v>179189942277106</v>
      </c>
      <c r="BK62" s="6">
        <v>1610662148532</v>
      </c>
      <c r="BL62" s="6">
        <v>173432516515549</v>
      </c>
      <c r="BM62" s="6">
        <v>171691928547522</v>
      </c>
    </row>
    <row r="63" spans="1:65" x14ac:dyDescent="0.45">
      <c r="A63" s="1" t="s">
        <v>57</v>
      </c>
      <c r="B63" s="2">
        <v>4095864</v>
      </c>
      <c r="C63" s="3" t="s">
        <v>645</v>
      </c>
      <c r="D63" s="3" t="s">
        <v>646</v>
      </c>
      <c r="E63" s="3" t="s">
        <v>647</v>
      </c>
      <c r="F63" s="5">
        <v>166064497700416</v>
      </c>
      <c r="G63" s="5">
        <v>186217870046359</v>
      </c>
      <c r="H63" s="5">
        <v>155752320499976</v>
      </c>
      <c r="I63" s="5">
        <v>145421290646245</v>
      </c>
      <c r="J63" s="5">
        <v>158041428925251</v>
      </c>
      <c r="K63" s="5">
        <v>169959356280934</v>
      </c>
      <c r="L63" s="5">
        <v>140416716374989</v>
      </c>
      <c r="M63" s="5">
        <v>172073596192452</v>
      </c>
      <c r="N63" s="5">
        <v>191975255661927</v>
      </c>
      <c r="O63" s="5">
        <v>184299773589641</v>
      </c>
      <c r="P63" s="5">
        <v>207021705152122</v>
      </c>
      <c r="Q63" s="5">
        <v>213226405792312</v>
      </c>
      <c r="R63" s="5">
        <v>214909600773182</v>
      </c>
      <c r="S63" s="5">
        <v>233189310664502</v>
      </c>
      <c r="T63" s="5">
        <v>260016529754214</v>
      </c>
      <c r="U63" s="5">
        <v>224335572762814</v>
      </c>
      <c r="V63" s="5">
        <v>242784571658078</v>
      </c>
      <c r="W63" s="5">
        <v>237225601636726</v>
      </c>
      <c r="X63" s="5">
        <v>242894010856171</v>
      </c>
      <c r="Y63" s="5">
        <v>23881742818865</v>
      </c>
      <c r="Z63" s="5">
        <v>241681502510439</v>
      </c>
      <c r="AA63" s="5">
        <v>244589196859531</v>
      </c>
      <c r="AB63" s="5">
        <v>214766982898623</v>
      </c>
      <c r="AC63" s="5">
        <v>232133484510244</v>
      </c>
      <c r="AD63" s="5">
        <v>211242872935329</v>
      </c>
      <c r="AE63" s="5">
        <v>235725163543219</v>
      </c>
      <c r="AF63" s="5">
        <v>247756857958709</v>
      </c>
      <c r="AG63" s="5">
        <v>245307035020107</v>
      </c>
      <c r="AH63" s="5">
        <v>240134665478787</v>
      </c>
      <c r="AI63" s="5">
        <v>217453406331972</v>
      </c>
      <c r="AJ63" s="5">
        <v>200313813353635</v>
      </c>
      <c r="AK63" s="5">
        <v>18144132314983</v>
      </c>
      <c r="AL63" s="5">
        <v>180609997023749</v>
      </c>
      <c r="AM63" s="5">
        <v>133290971814</v>
      </c>
      <c r="AN63" s="5">
        <v>178009240579446</v>
      </c>
      <c r="AO63" s="5">
        <v>197681075117599</v>
      </c>
      <c r="AP63" s="6">
        <v>745494750981842</v>
      </c>
      <c r="AQ63" s="6">
        <v>75494024218008</v>
      </c>
      <c r="AR63" s="6">
        <v>707638410929947</v>
      </c>
      <c r="AS63" s="6">
        <v>679975614445072</v>
      </c>
      <c r="AT63" s="6">
        <v>662972770939578</v>
      </c>
      <c r="AU63" s="6">
        <v>715112470009058</v>
      </c>
      <c r="AV63" s="6">
        <v>693908413188604</v>
      </c>
      <c r="AW63" s="6">
        <v>672887683216322</v>
      </c>
      <c r="AX63" s="6">
        <v>689594225145</v>
      </c>
      <c r="AY63" s="6">
        <v>66811094163</v>
      </c>
      <c r="AZ63" s="6">
        <v>643017473994</v>
      </c>
      <c r="BA63" s="6">
        <v>57518612109387</v>
      </c>
      <c r="BB63" s="6">
        <v>477353408353272</v>
      </c>
      <c r="BC63" s="6">
        <v>538411949126016</v>
      </c>
      <c r="BD63" s="6">
        <v>55950445996305</v>
      </c>
      <c r="BE63" s="6">
        <v>663327848787217</v>
      </c>
      <c r="BF63" s="6">
        <v>624659275455534</v>
      </c>
      <c r="BG63" s="6">
        <v>51576472180912</v>
      </c>
      <c r="BH63" s="6">
        <v>476466460635743</v>
      </c>
      <c r="BI63" s="6">
        <v>484437827485836</v>
      </c>
      <c r="BJ63" s="6">
        <v>468363912460828</v>
      </c>
      <c r="BK63" s="6">
        <v>460277268215501</v>
      </c>
      <c r="BL63" s="6">
        <v>433789632937206</v>
      </c>
      <c r="BM63" s="6">
        <v>422495188020732</v>
      </c>
    </row>
    <row r="64" spans="1:65" x14ac:dyDescent="0.45">
      <c r="A64" s="1" t="s">
        <v>58</v>
      </c>
      <c r="B64" s="2">
        <v>4810610</v>
      </c>
      <c r="C64" s="3" t="s">
        <v>648</v>
      </c>
      <c r="D64" s="3" t="s">
        <v>649</v>
      </c>
      <c r="E64" s="3" t="s">
        <v>513</v>
      </c>
      <c r="F64" s="5">
        <v>121731156039414</v>
      </c>
      <c r="G64" s="5">
        <v>129366133864414</v>
      </c>
      <c r="H64" s="5">
        <v>117514061491806</v>
      </c>
      <c r="I64" s="5">
        <v>113597862196248</v>
      </c>
      <c r="J64" s="5">
        <v>129185669625749</v>
      </c>
      <c r="K64" s="5">
        <v>148196157305656</v>
      </c>
      <c r="L64" s="5">
        <v>130096684084581</v>
      </c>
      <c r="M64" s="5">
        <v>135208617931342</v>
      </c>
      <c r="N64" s="5">
        <v>141550802103196</v>
      </c>
      <c r="O64" s="5">
        <v>153154496380464</v>
      </c>
      <c r="P64" s="5">
        <v>146735580263297</v>
      </c>
      <c r="Q64" s="5">
        <v>132055295531671</v>
      </c>
      <c r="R64" s="5">
        <v>178753115165409</v>
      </c>
      <c r="S64" s="5">
        <v>164562782325896</v>
      </c>
      <c r="T64" s="5">
        <v>177691689225988</v>
      </c>
      <c r="U64" s="5">
        <v>164050284102778</v>
      </c>
      <c r="V64" s="5">
        <v>165256196809209</v>
      </c>
      <c r="W64" s="5">
        <v>158105624213962</v>
      </c>
      <c r="X64" s="5">
        <v>147690811778193</v>
      </c>
      <c r="Y64" s="5">
        <v>132055675258674</v>
      </c>
      <c r="Z64" s="5">
        <v>137880361913385</v>
      </c>
      <c r="AA64" s="5">
        <v>126253097465162</v>
      </c>
      <c r="AB64" s="5">
        <v>115983986977087</v>
      </c>
      <c r="AC64" s="5">
        <v>103342002384054</v>
      </c>
      <c r="AD64" s="5">
        <v>100228650954424</v>
      </c>
      <c r="AE64" s="5">
        <v>979824973779244</v>
      </c>
      <c r="AF64" s="5">
        <v>835106318276795</v>
      </c>
      <c r="AG64" s="5">
        <v>813413856090343</v>
      </c>
      <c r="AH64" s="5">
        <v>823791705933959</v>
      </c>
      <c r="AI64" s="5">
        <v>889039470013873</v>
      </c>
      <c r="AJ64" s="5">
        <v>896912851811942</v>
      </c>
      <c r="AK64" s="5">
        <v>91042467784884</v>
      </c>
      <c r="AL64" s="5">
        <v>78878832310575</v>
      </c>
      <c r="AM64" s="5">
        <v>66177412178514</v>
      </c>
      <c r="AN64" s="5">
        <v>658719323299756</v>
      </c>
      <c r="AO64" s="5">
        <v>721817857758096</v>
      </c>
      <c r="AP64" s="6">
        <v>477117381987614</v>
      </c>
      <c r="AQ64" s="6">
        <v>490995984226302</v>
      </c>
      <c r="AR64" s="6">
        <v>483535046388476</v>
      </c>
      <c r="AS64" s="6">
        <v>393830264874244</v>
      </c>
      <c r="AT64" s="6">
        <v>368519454805806</v>
      </c>
      <c r="AU64" s="6">
        <v>394129157902069</v>
      </c>
      <c r="AV64" s="6">
        <v>398499318871155</v>
      </c>
      <c r="AW64" s="6">
        <v>381436899645354</v>
      </c>
      <c r="AX64" s="6">
        <v>396699491779899</v>
      </c>
      <c r="AY64" s="6">
        <v>414297379244707</v>
      </c>
      <c r="AZ64" s="6">
        <v>566571617994035</v>
      </c>
      <c r="BA64" s="6">
        <v>587100012680943</v>
      </c>
      <c r="BB64" s="6">
        <v>529543664484952</v>
      </c>
      <c r="BC64" s="6">
        <v>593852830801229</v>
      </c>
      <c r="BD64" s="6">
        <v>541630639611043</v>
      </c>
      <c r="BE64" s="6">
        <v>612575453081434</v>
      </c>
      <c r="BF64" s="6">
        <v>613457204695598</v>
      </c>
      <c r="BG64" s="6">
        <v>575560828972203</v>
      </c>
      <c r="BH64" s="6">
        <v>524913289795733</v>
      </c>
      <c r="BI64" s="6">
        <v>532013259808139</v>
      </c>
      <c r="BJ64" s="6">
        <v>478134550214064</v>
      </c>
      <c r="BK64" s="6">
        <v>471087529941989</v>
      </c>
      <c r="BL64" s="6">
        <v>500732510136277</v>
      </c>
      <c r="BM64" s="6">
        <v>591298942812576</v>
      </c>
    </row>
    <row r="65" spans="1:65" x14ac:dyDescent="0.45">
      <c r="A65" s="1" t="s">
        <v>59</v>
      </c>
      <c r="B65" s="2">
        <v>4152157</v>
      </c>
      <c r="C65" s="3" t="s">
        <v>650</v>
      </c>
      <c r="D65" s="3" t="s">
        <v>651</v>
      </c>
      <c r="E65" s="3" t="s">
        <v>498</v>
      </c>
      <c r="F65" s="5">
        <v>373127861321178</v>
      </c>
      <c r="G65" s="5">
        <v>42613377732382</v>
      </c>
      <c r="H65" s="5">
        <v>412769760145923</v>
      </c>
      <c r="I65" s="5">
        <v>395123381832702</v>
      </c>
      <c r="J65" s="5">
        <v>281508865942877</v>
      </c>
      <c r="K65" s="5">
        <v>305963348548187</v>
      </c>
      <c r="L65" s="5">
        <v>285711773499651</v>
      </c>
      <c r="M65" s="5">
        <v>2730158426346</v>
      </c>
      <c r="N65" s="5">
        <v>289651615917492</v>
      </c>
      <c r="O65" s="5">
        <v>278615178580612</v>
      </c>
      <c r="P65" s="5">
        <v>276149561758032</v>
      </c>
      <c r="Q65" s="5">
        <v>296389537998336</v>
      </c>
      <c r="R65" s="5">
        <v>309887297778511</v>
      </c>
      <c r="S65" s="5">
        <v>307223944887279</v>
      </c>
      <c r="T65" s="5">
        <v>338771117275912</v>
      </c>
      <c r="U65" s="5">
        <v>36388567597027</v>
      </c>
      <c r="V65" s="5">
        <v>427911605543925</v>
      </c>
      <c r="W65" s="5">
        <v>410487864288618</v>
      </c>
      <c r="X65" s="5">
        <v>439686291744605</v>
      </c>
      <c r="Y65" s="5">
        <v>33041850506865</v>
      </c>
      <c r="Z65" s="5">
        <v>334579972352378</v>
      </c>
      <c r="AA65" s="5">
        <v>36308764476657</v>
      </c>
      <c r="AB65" s="5">
        <v>343570878385189</v>
      </c>
      <c r="AC65" s="5">
        <v>358258082819864</v>
      </c>
      <c r="AD65" s="5">
        <v>308029486103609</v>
      </c>
      <c r="AE65" s="5">
        <v>309225436948517</v>
      </c>
      <c r="AF65" s="5">
        <v>332847843990834</v>
      </c>
      <c r="AG65" s="5">
        <v>382456672200132</v>
      </c>
      <c r="AH65" s="5">
        <v>380919404068951</v>
      </c>
      <c r="AI65" s="5">
        <v>367596687481012</v>
      </c>
      <c r="AJ65" s="5">
        <v>38796997435946</v>
      </c>
      <c r="AK65" s="5">
        <v>450768639456281</v>
      </c>
      <c r="AL65" s="5">
        <v>442780363971603</v>
      </c>
      <c r="AM65" s="5">
        <v>501140383381638</v>
      </c>
      <c r="AN65" s="5">
        <v>488108606003373</v>
      </c>
      <c r="AO65" s="5">
        <v>437576426080706</v>
      </c>
      <c r="AP65" s="6">
        <v>695107178722749</v>
      </c>
      <c r="AQ65" s="6">
        <v>697007034402405</v>
      </c>
      <c r="AR65" s="6">
        <v>642713135667902</v>
      </c>
      <c r="AS65" s="6">
        <v>647281935463195</v>
      </c>
      <c r="AT65" s="6">
        <v>608471776591158</v>
      </c>
      <c r="AU65" s="6">
        <v>665517541905302</v>
      </c>
      <c r="AV65" s="6">
        <v>640586495790025</v>
      </c>
      <c r="AW65" s="6">
        <v>579044273347826</v>
      </c>
      <c r="AX65" s="6">
        <v>672669901116801</v>
      </c>
      <c r="AY65" s="6">
        <v>603077320099356</v>
      </c>
      <c r="AZ65" s="6">
        <v>616388583061631</v>
      </c>
      <c r="BA65" s="6">
        <v>574421277044315</v>
      </c>
      <c r="BB65" s="6">
        <v>544402098953742</v>
      </c>
      <c r="BC65" s="6">
        <v>599826969159391</v>
      </c>
      <c r="BD65" s="6">
        <v>580872195544835</v>
      </c>
      <c r="BE65" s="6">
        <v>652240585779927</v>
      </c>
      <c r="BF65" s="6">
        <v>663553776132832</v>
      </c>
      <c r="BG65" s="6">
        <v>692256598921593</v>
      </c>
      <c r="BH65" s="6">
        <v>689225238327849</v>
      </c>
      <c r="BI65" s="6">
        <v>738342728677159</v>
      </c>
      <c r="BJ65" s="6">
        <v>696162153200241</v>
      </c>
      <c r="BK65" s="6">
        <v>712726876874158</v>
      </c>
      <c r="BL65" s="6">
        <v>724683608319352</v>
      </c>
      <c r="BM65" s="6">
        <v>728931156550042</v>
      </c>
    </row>
    <row r="66" spans="1:65" x14ac:dyDescent="0.45">
      <c r="A66" s="1" t="s">
        <v>60</v>
      </c>
      <c r="B66" s="2">
        <v>4048287</v>
      </c>
      <c r="C66" s="3" t="s">
        <v>652</v>
      </c>
      <c r="D66" s="3" t="s">
        <v>653</v>
      </c>
      <c r="E66" s="3" t="s">
        <v>565</v>
      </c>
      <c r="F66" s="5">
        <v>995894439313025</v>
      </c>
      <c r="G66" s="5">
        <v>1042815701281</v>
      </c>
      <c r="H66" s="5">
        <v>982830104181427</v>
      </c>
      <c r="I66" s="5">
        <v>84607729126519</v>
      </c>
      <c r="J66" s="5">
        <v>997574374443363</v>
      </c>
      <c r="K66" s="5">
        <v>990436685148329</v>
      </c>
      <c r="L66" s="5">
        <v>882669574839463</v>
      </c>
      <c r="M66" s="5">
        <v>944849243810183</v>
      </c>
      <c r="N66" s="5">
        <v>899367179636418</v>
      </c>
      <c r="O66" s="5">
        <v>104590854663267</v>
      </c>
      <c r="P66" s="5">
        <v>100718062705942</v>
      </c>
      <c r="Q66" s="5">
        <v>111445755429017</v>
      </c>
      <c r="R66" s="5">
        <v>122301213201824</v>
      </c>
      <c r="S66" s="5">
        <v>121924167529553</v>
      </c>
      <c r="T66" s="5">
        <v>124007839687089</v>
      </c>
      <c r="U66" s="5">
        <v>110128244621463</v>
      </c>
      <c r="V66" s="5">
        <v>121628073586459</v>
      </c>
      <c r="W66" s="5">
        <v>111334113487439</v>
      </c>
      <c r="X66" s="5">
        <v>112556811554977</v>
      </c>
      <c r="Y66" s="5">
        <v>109759724758459</v>
      </c>
      <c r="Z66" s="5">
        <v>103960549497043</v>
      </c>
      <c r="AA66" s="5">
        <v>980480071186877</v>
      </c>
      <c r="AB66" s="5">
        <v>876124808898795</v>
      </c>
      <c r="AC66" s="5">
        <v>881179407683354</v>
      </c>
      <c r="AD66" s="5">
        <v>899598054947777</v>
      </c>
      <c r="AE66" s="5">
        <v>891134465637276</v>
      </c>
      <c r="AF66" s="5">
        <v>784109208894827</v>
      </c>
      <c r="AG66" s="5">
        <v>731797845987616</v>
      </c>
      <c r="AH66" s="5">
        <v>757904182539287</v>
      </c>
      <c r="AI66" s="5">
        <v>741042067617528</v>
      </c>
      <c r="AJ66" s="5">
        <v>736990012832929</v>
      </c>
      <c r="AK66" s="5">
        <v>724845986897043</v>
      </c>
      <c r="AL66" s="5">
        <v>711711660602398</v>
      </c>
      <c r="AM66" s="5">
        <v>623182998240894</v>
      </c>
      <c r="AN66" s="5">
        <v>65531287633275</v>
      </c>
      <c r="AO66" s="5">
        <v>738234465488696</v>
      </c>
      <c r="AP66" s="6">
        <v>336793991876879</v>
      </c>
      <c r="AQ66" s="6">
        <v>332482989020786</v>
      </c>
      <c r="AR66" s="6">
        <v>322211664701305</v>
      </c>
      <c r="AS66" s="6">
        <v>296253652578579</v>
      </c>
      <c r="AT66" s="6">
        <v>299234155406194</v>
      </c>
      <c r="AU66" s="6">
        <v>288648289830838</v>
      </c>
      <c r="AV66" s="6">
        <v>260759396053668</v>
      </c>
      <c r="AW66" s="6">
        <v>226818307030471</v>
      </c>
      <c r="AX66" s="6">
        <v>237530807048829</v>
      </c>
      <c r="AY66" s="6">
        <v>208178850795845</v>
      </c>
      <c r="AZ66" s="6">
        <v>197250384496079</v>
      </c>
      <c r="BA66" s="6">
        <v>197925434411418</v>
      </c>
      <c r="BB66" s="6">
        <v>174870543802289</v>
      </c>
      <c r="BC66" s="6">
        <v>200086090479491</v>
      </c>
      <c r="BD66" s="6">
        <v>194061283180718</v>
      </c>
      <c r="BE66" s="6">
        <v>221695421964381</v>
      </c>
      <c r="BF66" s="6">
        <v>215083606107071</v>
      </c>
      <c r="BG66" s="6">
        <v>200979761589695</v>
      </c>
      <c r="BH66" s="6">
        <v>184982944083772</v>
      </c>
      <c r="BI66" s="6">
        <v>183731431927762</v>
      </c>
      <c r="BJ66" s="6">
        <v>17332091393883</v>
      </c>
      <c r="BK66" s="6">
        <v>173634645949434</v>
      </c>
      <c r="BL66" s="6">
        <v>1782438805602</v>
      </c>
      <c r="BM66" s="6">
        <v>188079395300391</v>
      </c>
    </row>
    <row r="67" spans="1:65" x14ac:dyDescent="0.45">
      <c r="A67" s="1" t="s">
        <v>61</v>
      </c>
      <c r="B67" s="2">
        <v>4157397</v>
      </c>
      <c r="C67" s="3" t="s">
        <v>654</v>
      </c>
      <c r="D67" s="3" t="s">
        <v>655</v>
      </c>
      <c r="E67" s="3" t="s">
        <v>565</v>
      </c>
      <c r="F67" s="5">
        <v>514814128065007</v>
      </c>
      <c r="G67" s="5">
        <v>658217332512554</v>
      </c>
      <c r="H67" s="5">
        <v>683529854042549</v>
      </c>
      <c r="I67" s="5">
        <v>633511202570039</v>
      </c>
      <c r="J67" s="5">
        <v>692261055106578</v>
      </c>
      <c r="K67" s="5">
        <v>742703124172167</v>
      </c>
      <c r="L67" s="5">
        <v>641040967848467</v>
      </c>
      <c r="M67" s="5">
        <v>806470830347919</v>
      </c>
      <c r="N67" s="5">
        <v>707951706781033</v>
      </c>
      <c r="O67" s="5">
        <v>836509065688194</v>
      </c>
      <c r="P67" s="5">
        <v>830950319271659</v>
      </c>
      <c r="Q67" s="5">
        <v>862506839672868</v>
      </c>
      <c r="R67" s="5">
        <v>816489876588591</v>
      </c>
      <c r="S67" s="5">
        <v>905278486351471</v>
      </c>
      <c r="T67" s="5">
        <v>863519681511392</v>
      </c>
      <c r="U67" s="5">
        <v>723199027878719</v>
      </c>
      <c r="V67" s="5">
        <v>767438354815918</v>
      </c>
      <c r="W67" s="5">
        <v>700103913931768</v>
      </c>
      <c r="X67" s="5">
        <v>582560896347767</v>
      </c>
      <c r="Y67" s="5">
        <v>540663911951791</v>
      </c>
      <c r="Z67" s="5">
        <v>523072164639282</v>
      </c>
      <c r="AA67" s="5">
        <v>447011368591928</v>
      </c>
      <c r="AB67" s="5">
        <v>402795900630765</v>
      </c>
      <c r="AC67" s="5">
        <v>389649641640333</v>
      </c>
      <c r="AD67" s="5">
        <v>371219150841686</v>
      </c>
      <c r="AE67" s="5">
        <v>349101829662055</v>
      </c>
      <c r="AF67" s="5">
        <v>303138664867273</v>
      </c>
      <c r="AG67" s="5">
        <v>310106437917667</v>
      </c>
      <c r="AH67" s="5">
        <v>308984387965113</v>
      </c>
      <c r="AI67" s="5">
        <v>31418085107001</v>
      </c>
      <c r="AJ67" s="5">
        <v>346329262550528</v>
      </c>
      <c r="AK67" s="5">
        <v>35144374038298</v>
      </c>
      <c r="AL67" s="5">
        <v>328475654195845</v>
      </c>
      <c r="AM67" s="5">
        <v>282176847786288</v>
      </c>
      <c r="AN67" s="5">
        <v>333129581350299</v>
      </c>
      <c r="AO67" s="5">
        <v>374830924650794</v>
      </c>
      <c r="AP67" s="6">
        <v>23953546109518</v>
      </c>
      <c r="AQ67" s="6">
        <v>269553421572618</v>
      </c>
      <c r="AR67" s="6">
        <v>235386820212366</v>
      </c>
      <c r="AS67" s="6">
        <v>242671499840476</v>
      </c>
      <c r="AT67" s="6">
        <v>240153918982658</v>
      </c>
      <c r="AU67" s="6">
        <v>30558670087076</v>
      </c>
      <c r="AV67" s="6">
        <v>269596364823387</v>
      </c>
      <c r="AW67" s="6">
        <v>23506527278505</v>
      </c>
      <c r="AX67" s="6">
        <v>274858970891967</v>
      </c>
      <c r="AY67" s="6">
        <v>28016162930444</v>
      </c>
      <c r="AZ67" s="6">
        <v>299396744398315</v>
      </c>
      <c r="BA67" s="6">
        <v>257561661816342</v>
      </c>
      <c r="BB67" s="6">
        <v>202568366033416</v>
      </c>
      <c r="BC67" s="6">
        <v>255056436962796</v>
      </c>
      <c r="BD67" s="6">
        <v>26633941086049</v>
      </c>
      <c r="BE67" s="6">
        <v>349758231446793</v>
      </c>
      <c r="BF67" s="6">
        <v>313416682962358</v>
      </c>
      <c r="BG67" s="6">
        <v>221357603133352</v>
      </c>
      <c r="BH67" s="6">
        <v>211693718943649</v>
      </c>
      <c r="BI67" s="6">
        <v>200191294151033</v>
      </c>
      <c r="BJ67" s="6">
        <v>156965380334338</v>
      </c>
      <c r="BK67" s="6">
        <v>158579930433398</v>
      </c>
      <c r="BL67" s="6">
        <v>149485575086757</v>
      </c>
      <c r="BM67" s="6">
        <v>146532545305123</v>
      </c>
    </row>
    <row r="68" spans="1:65" x14ac:dyDescent="0.45">
      <c r="A68" s="1" t="s">
        <v>62</v>
      </c>
      <c r="B68" s="2">
        <v>4340737</v>
      </c>
      <c r="C68" s="3" t="s">
        <v>656</v>
      </c>
      <c r="D68" s="3" t="s">
        <v>657</v>
      </c>
      <c r="E68" s="3" t="s">
        <v>553</v>
      </c>
      <c r="F68" s="5">
        <v>35166214542888</v>
      </c>
      <c r="G68" s="5">
        <v>393031805786228</v>
      </c>
      <c r="H68" s="5">
        <v>362388968591101</v>
      </c>
      <c r="I68" s="5">
        <v>334120707219534</v>
      </c>
      <c r="J68" s="5">
        <v>403814855492659</v>
      </c>
      <c r="K68" s="5">
        <v>436505645803897</v>
      </c>
      <c r="L68" s="5">
        <v>342038734498988</v>
      </c>
      <c r="M68" s="5">
        <v>47350588061925</v>
      </c>
      <c r="N68" s="5">
        <v>548200552873047</v>
      </c>
      <c r="O68" s="5">
        <v>707683183400491</v>
      </c>
      <c r="P68" s="5">
        <v>65859066151515</v>
      </c>
      <c r="Q68" s="5">
        <v>631425491465812</v>
      </c>
      <c r="R68" s="5">
        <v>655084023163533</v>
      </c>
      <c r="S68" s="5">
        <v>852577494263495</v>
      </c>
      <c r="T68" s="5">
        <v>101637334677876</v>
      </c>
      <c r="U68" s="5">
        <v>952469876680506</v>
      </c>
      <c r="V68" s="5">
        <v>104401497822656</v>
      </c>
      <c r="W68" s="5">
        <v>954287954476951</v>
      </c>
      <c r="X68" s="5">
        <v>936333209577789</v>
      </c>
      <c r="Y68" s="5">
        <v>831401427369367</v>
      </c>
      <c r="Z68" s="5">
        <v>926750930550643</v>
      </c>
      <c r="AA68" s="5">
        <v>87943660287156</v>
      </c>
      <c r="AB68" s="5">
        <v>864312459631947</v>
      </c>
      <c r="AC68" s="5">
        <v>802251956720064</v>
      </c>
      <c r="AD68" s="5">
        <v>8023099111176</v>
      </c>
      <c r="AE68" s="5">
        <v>795949591853376</v>
      </c>
      <c r="AF68" s="5">
        <v>58946490557459</v>
      </c>
      <c r="AG68" s="5">
        <v>613970265288098</v>
      </c>
      <c r="AH68" s="5">
        <v>591990428571511</v>
      </c>
      <c r="AI68" s="5">
        <v>482241620792685</v>
      </c>
      <c r="AJ68" s="5">
        <v>409693653207547</v>
      </c>
      <c r="AK68" s="5">
        <v>320425281882565</v>
      </c>
      <c r="AL68" s="5">
        <v>261573530760903</v>
      </c>
      <c r="AM68" s="5">
        <v>20745811116576</v>
      </c>
      <c r="AN68" s="5">
        <v>329785917115637</v>
      </c>
      <c r="AO68" s="5">
        <v>289478043844513</v>
      </c>
      <c r="AP68" s="6">
        <v>765992293547271</v>
      </c>
      <c r="AQ68" s="6">
        <v>723307358882796</v>
      </c>
      <c r="AR68" s="6">
        <v>78134818735002</v>
      </c>
      <c r="AS68" s="6">
        <v>765175836418378</v>
      </c>
      <c r="AT68" s="6">
        <v>760053297072467</v>
      </c>
      <c r="AU68" s="6">
        <v>733839851248193</v>
      </c>
      <c r="AV68" s="6">
        <v>713222808378941</v>
      </c>
      <c r="AW68" s="6">
        <v>643220622992039</v>
      </c>
      <c r="AX68" s="6">
        <v>726742770976593</v>
      </c>
      <c r="AY68" s="6">
        <v>699819501959573</v>
      </c>
      <c r="AZ68" s="6">
        <v>670766495037354</v>
      </c>
      <c r="BA68" s="6">
        <v>741293357950442</v>
      </c>
      <c r="BB68" s="6">
        <v>69696451419526</v>
      </c>
      <c r="BC68" s="6">
        <v>774124951571958</v>
      </c>
      <c r="BD68" s="6">
        <v>786227626259372</v>
      </c>
      <c r="BE68" s="6">
        <v>810645987919488</v>
      </c>
      <c r="BF68" s="6">
        <v>798128338611684</v>
      </c>
      <c r="BG68" s="6">
        <v>835132885630566</v>
      </c>
      <c r="BH68" s="6">
        <v>837000917591656</v>
      </c>
      <c r="BI68" s="6">
        <v>871398731429761</v>
      </c>
      <c r="BJ68" s="6">
        <v>869477430241332</v>
      </c>
      <c r="BK68" s="6">
        <v>816933433003276</v>
      </c>
      <c r="BL68" s="6">
        <v>804429397631059</v>
      </c>
      <c r="BM68" s="6">
        <v>749635226041143</v>
      </c>
    </row>
    <row r="69" spans="1:65" x14ac:dyDescent="0.45">
      <c r="A69" s="1" t="s">
        <v>63</v>
      </c>
      <c r="B69" s="2">
        <v>4122589</v>
      </c>
      <c r="C69" s="3" t="s">
        <v>658</v>
      </c>
      <c r="D69" s="3" t="s">
        <v>659</v>
      </c>
      <c r="E69" s="3" t="s">
        <v>660</v>
      </c>
      <c r="F69" s="5">
        <v>731450518229725</v>
      </c>
      <c r="G69" s="5">
        <v>78216576912439</v>
      </c>
      <c r="H69" s="5">
        <v>750688359236148</v>
      </c>
      <c r="I69" s="5">
        <v>665375687108464</v>
      </c>
      <c r="J69" s="5">
        <v>739525592837477</v>
      </c>
      <c r="K69" s="5">
        <v>770928034106699</v>
      </c>
      <c r="L69" s="5">
        <v>679661128980435</v>
      </c>
      <c r="M69" s="5">
        <v>849522578708507</v>
      </c>
      <c r="N69" s="5">
        <v>855322817457894</v>
      </c>
      <c r="O69" s="5">
        <v>864396559304624</v>
      </c>
      <c r="P69" s="5">
        <v>790927056511898</v>
      </c>
      <c r="Q69" s="5">
        <v>90045359418371</v>
      </c>
      <c r="R69" s="5">
        <v>866292911809824</v>
      </c>
      <c r="S69" s="5">
        <v>765735984924002</v>
      </c>
      <c r="T69" s="5">
        <v>859583888716435</v>
      </c>
      <c r="U69" s="5">
        <v>840977413183293</v>
      </c>
      <c r="V69" s="5">
        <v>799960844328526</v>
      </c>
      <c r="W69" s="5">
        <v>753841794754553</v>
      </c>
      <c r="X69" s="5">
        <v>757603023102532</v>
      </c>
      <c r="Y69" s="5">
        <v>795460559781931</v>
      </c>
      <c r="Z69" s="5">
        <v>841601104685902</v>
      </c>
      <c r="AA69" s="5">
        <v>813101350353293</v>
      </c>
      <c r="AB69" s="5">
        <v>788315300006729</v>
      </c>
      <c r="AC69" s="5">
        <v>655990820035332</v>
      </c>
      <c r="AD69" s="5">
        <v>745704263000712</v>
      </c>
      <c r="AE69" s="5">
        <v>695088451758629</v>
      </c>
      <c r="AF69" s="5">
        <v>570114378736347</v>
      </c>
      <c r="AG69" s="5">
        <v>596545834737445</v>
      </c>
      <c r="AH69" s="5">
        <v>654396560665892</v>
      </c>
      <c r="AI69" s="5">
        <v>575078681083935</v>
      </c>
      <c r="AJ69" s="5">
        <v>579153285737982</v>
      </c>
      <c r="AK69" s="5">
        <v>603591072234022</v>
      </c>
      <c r="AL69" s="5">
        <v>553951552431798</v>
      </c>
      <c r="AM69" s="5">
        <v>502695644455368</v>
      </c>
      <c r="AN69" s="5">
        <v>633117179169193</v>
      </c>
      <c r="AO69" s="5">
        <v>6911029437477</v>
      </c>
      <c r="AP69" s="6">
        <v>561648770920269</v>
      </c>
      <c r="AQ69" s="6">
        <v>547127331332904</v>
      </c>
      <c r="AR69" s="6">
        <v>521098404013738</v>
      </c>
      <c r="AS69" s="6">
        <v>519813093503834</v>
      </c>
      <c r="AT69" s="6">
        <v>541171791850174</v>
      </c>
      <c r="AU69" s="6">
        <v>531423680236621</v>
      </c>
      <c r="AV69" s="6">
        <v>52526091049285</v>
      </c>
      <c r="AW69" s="6">
        <v>479185630879232</v>
      </c>
      <c r="AX69" s="6">
        <v>460717612627776</v>
      </c>
      <c r="AY69" s="6">
        <v>475503390869404</v>
      </c>
      <c r="AZ69" s="6">
        <v>488265682688905</v>
      </c>
      <c r="BA69" s="6">
        <v>460874158211659</v>
      </c>
      <c r="BB69" s="6">
        <v>427123340191116</v>
      </c>
      <c r="BC69" s="6">
        <v>460392512511825</v>
      </c>
      <c r="BD69" s="6">
        <v>441843299590879</v>
      </c>
      <c r="BE69" s="6">
        <v>458259091892102</v>
      </c>
      <c r="BF69" s="6">
        <v>423658175679084</v>
      </c>
      <c r="BG69" s="6">
        <v>397172469496219</v>
      </c>
      <c r="BH69" s="6">
        <v>386721835073393</v>
      </c>
      <c r="BI69" s="6">
        <v>359654547793125</v>
      </c>
      <c r="BJ69" s="6">
        <v>32812540348089</v>
      </c>
      <c r="BK69" s="6">
        <v>306477261237716</v>
      </c>
      <c r="BL69" s="6">
        <v>306961759591742</v>
      </c>
      <c r="BM69" s="6">
        <v>308653760562117</v>
      </c>
    </row>
    <row r="70" spans="1:65" x14ac:dyDescent="0.45">
      <c r="A70" s="1" t="s">
        <v>64</v>
      </c>
      <c r="B70" s="2">
        <v>4810597</v>
      </c>
      <c r="C70" s="3" t="s">
        <v>661</v>
      </c>
      <c r="D70" s="3" t="s">
        <v>662</v>
      </c>
      <c r="E70" s="3" t="s">
        <v>495</v>
      </c>
      <c r="F70" s="5">
        <v>620116863520736</v>
      </c>
      <c r="G70" s="5">
        <v>62876057564535</v>
      </c>
      <c r="H70" s="5">
        <v>624142939247078</v>
      </c>
      <c r="I70" s="5">
        <v>565442615048713</v>
      </c>
      <c r="J70" s="5">
        <v>572986435090351</v>
      </c>
      <c r="K70" s="5">
        <v>575336933236586</v>
      </c>
      <c r="L70" s="5">
        <v>509677614400659</v>
      </c>
      <c r="M70" s="5">
        <v>546459609312498</v>
      </c>
      <c r="N70" s="5">
        <v>571181074482724</v>
      </c>
      <c r="O70" s="5">
        <v>569918572413263</v>
      </c>
      <c r="P70" s="5">
        <v>561179123861101</v>
      </c>
      <c r="Q70" s="5">
        <v>545788078606742</v>
      </c>
      <c r="R70" s="5">
        <v>532272651959087</v>
      </c>
      <c r="S70" s="5">
        <v>481301241053788</v>
      </c>
      <c r="T70" s="5">
        <v>531080293196859</v>
      </c>
      <c r="U70" s="5">
        <v>5330461780709</v>
      </c>
      <c r="V70" s="5">
        <v>544639015468598</v>
      </c>
      <c r="W70" s="5">
        <v>54620949994884</v>
      </c>
      <c r="X70" s="5">
        <v>512434221579753</v>
      </c>
      <c r="Y70" s="5">
        <v>496072305202451</v>
      </c>
      <c r="Z70" s="5">
        <v>514861768868687</v>
      </c>
      <c r="AA70" s="5">
        <v>467773341535698</v>
      </c>
      <c r="AB70" s="5">
        <v>454225275760807</v>
      </c>
      <c r="AC70" s="5">
        <v>418056228624337</v>
      </c>
      <c r="AD70" s="5">
        <v>420829187487334</v>
      </c>
      <c r="AE70" s="5">
        <v>397166398993067</v>
      </c>
      <c r="AF70" s="5">
        <v>420719744305721</v>
      </c>
      <c r="AG70" s="5">
        <v>465536329311408</v>
      </c>
      <c r="AH70" s="5">
        <v>490910689382576</v>
      </c>
      <c r="AI70" s="5">
        <v>46456333580493</v>
      </c>
      <c r="AJ70" s="5">
        <v>44455096981647</v>
      </c>
      <c r="AK70" s="5">
        <v>486916940934846</v>
      </c>
      <c r="AL70" s="5">
        <v>479372394938599</v>
      </c>
      <c r="AM70" s="5">
        <v>415468590056338</v>
      </c>
      <c r="AN70" s="5">
        <v>474688645093207</v>
      </c>
      <c r="AO70" s="5">
        <v>526401732049301</v>
      </c>
      <c r="AP70" s="6">
        <v>134086688287824</v>
      </c>
      <c r="AQ70" s="6">
        <v>121144526064534</v>
      </c>
      <c r="AR70" s="6">
        <v>838537929754364</v>
      </c>
      <c r="AS70" s="6">
        <v>760731888872607</v>
      </c>
      <c r="AT70" s="6">
        <v>714915753206833</v>
      </c>
      <c r="AU70" s="6">
        <v>65270985850174</v>
      </c>
      <c r="AV70" s="6">
        <v>651894820011396</v>
      </c>
      <c r="AW70" s="6">
        <v>665763262130327</v>
      </c>
      <c r="AX70" s="6">
        <v>677824244901405</v>
      </c>
      <c r="AY70" s="6">
        <v>694033147665</v>
      </c>
      <c r="AZ70" s="6">
        <v>740613239919</v>
      </c>
      <c r="BA70" s="6">
        <v>703592413173462</v>
      </c>
      <c r="BB70" s="6">
        <v>74100734030819</v>
      </c>
      <c r="BC70" s="6">
        <v>770656883917409</v>
      </c>
      <c r="BD70" s="6">
        <v>728810865545377</v>
      </c>
      <c r="BE70" s="6">
        <v>871948647621767</v>
      </c>
      <c r="BF70" s="6">
        <v>851249415026169</v>
      </c>
      <c r="BG70" s="6">
        <v>819232806010044</v>
      </c>
      <c r="BH70" s="6">
        <v>775292875695486</v>
      </c>
      <c r="BI70" s="6">
        <v>737702740961477</v>
      </c>
      <c r="BJ70" s="6">
        <v>705696712652302</v>
      </c>
      <c r="BK70" s="6">
        <v>840973120367237</v>
      </c>
      <c r="BL70" s="6">
        <v>885150315769356</v>
      </c>
      <c r="BM70" s="6">
        <v>823655046394614</v>
      </c>
    </row>
    <row r="71" spans="1:65" x14ac:dyDescent="0.45">
      <c r="A71" s="1" t="s">
        <v>65</v>
      </c>
      <c r="B71" s="2">
        <v>4623856</v>
      </c>
      <c r="C71" s="3" t="s">
        <v>663</v>
      </c>
      <c r="D71" s="3" t="s">
        <v>664</v>
      </c>
      <c r="E71" s="3" t="s">
        <v>665</v>
      </c>
      <c r="F71" s="5">
        <v>14943452104064</v>
      </c>
      <c r="G71" s="5">
        <v>172793844591731</v>
      </c>
      <c r="H71" s="5">
        <v>173898994706643</v>
      </c>
      <c r="I71" s="5">
        <v>154800835908028</v>
      </c>
      <c r="J71" s="5">
        <v>142915593594354</v>
      </c>
      <c r="K71" s="5">
        <v>154451358696318</v>
      </c>
      <c r="L71" s="5">
        <v>156823041886172</v>
      </c>
      <c r="M71" s="5">
        <v>149730585888082</v>
      </c>
      <c r="N71" s="5">
        <v>152065654159815</v>
      </c>
      <c r="O71" s="5">
        <v>139714227134497</v>
      </c>
      <c r="P71" s="5">
        <v>133290823060641</v>
      </c>
      <c r="Q71" s="5">
        <v>128592447978144</v>
      </c>
      <c r="R71" s="5">
        <v>121690601890392</v>
      </c>
      <c r="S71" s="5">
        <v>105611895736985</v>
      </c>
      <c r="T71" s="5">
        <v>112101658083619</v>
      </c>
      <c r="U71" s="5">
        <v>113443065565675</v>
      </c>
      <c r="V71" s="5">
        <v>125868937896513</v>
      </c>
      <c r="W71" s="5">
        <v>127136915887899</v>
      </c>
      <c r="X71" s="5">
        <v>125834115862655</v>
      </c>
      <c r="Y71" s="5">
        <v>120402214340241</v>
      </c>
      <c r="Z71" s="5">
        <v>115861695304636</v>
      </c>
      <c r="AA71" s="5">
        <v>120155745750927</v>
      </c>
      <c r="AB71" s="5">
        <v>113567993946829</v>
      </c>
      <c r="AC71" s="5">
        <v>11435706215146</v>
      </c>
      <c r="AD71" s="5">
        <v>114590926095809</v>
      </c>
      <c r="AE71" s="5">
        <v>117981807534901</v>
      </c>
      <c r="AF71" s="5">
        <v>113048221586655</v>
      </c>
      <c r="AG71" s="5">
        <v>115723684823158</v>
      </c>
      <c r="AH71" s="5">
        <v>11727289523944</v>
      </c>
      <c r="AI71" s="5">
        <v>112196145783222</v>
      </c>
      <c r="AJ71" s="5">
        <v>118224815638028</v>
      </c>
      <c r="AK71" s="5">
        <v>121547485035656</v>
      </c>
      <c r="AL71" s="5">
        <v>12576224043693</v>
      </c>
      <c r="AM71" s="5">
        <v>11475983363956</v>
      </c>
      <c r="AN71" s="5">
        <v>121235684715373</v>
      </c>
      <c r="AO71" s="5">
        <v>133104922596758</v>
      </c>
      <c r="AP71" s="6">
        <v>112020465412191</v>
      </c>
      <c r="AQ71" s="6">
        <v>113841416232287</v>
      </c>
      <c r="AR71" s="6">
        <v>104211653681713</v>
      </c>
      <c r="AS71" s="6">
        <v>100430612467065</v>
      </c>
      <c r="AT71" s="6">
        <v>102295469911366</v>
      </c>
      <c r="AU71" s="6">
        <v>10372046463936</v>
      </c>
      <c r="AV71" s="6">
        <v>100701217085372</v>
      </c>
      <c r="AW71" s="6">
        <v>893606709487011</v>
      </c>
      <c r="AX71" s="6">
        <v>11248825289352</v>
      </c>
      <c r="AY71" s="6">
        <v>106059960840973</v>
      </c>
      <c r="AZ71" s="6">
        <v>957753940509088</v>
      </c>
      <c r="BA71" s="6">
        <v>953756159557073</v>
      </c>
      <c r="BB71" s="6">
        <v>904500417664649</v>
      </c>
      <c r="BC71" s="6">
        <v>866917272731386</v>
      </c>
      <c r="BD71" s="6">
        <v>816364736954183</v>
      </c>
      <c r="BE71" s="6">
        <v>877997641630918</v>
      </c>
      <c r="BF71" s="6">
        <v>789061932955749</v>
      </c>
      <c r="BG71" s="6">
        <v>792441243179699</v>
      </c>
      <c r="BH71" s="6">
        <v>897752670606547</v>
      </c>
      <c r="BI71" s="6">
        <v>88747469603793</v>
      </c>
      <c r="BJ71" s="6">
        <v>77994846788628</v>
      </c>
      <c r="BK71" s="6">
        <v>78709612592015</v>
      </c>
      <c r="BL71" s="6">
        <v>826301185069815</v>
      </c>
      <c r="BM71" s="6">
        <v>816233230206296</v>
      </c>
    </row>
    <row r="72" spans="1:65" x14ac:dyDescent="0.45">
      <c r="A72" s="1" t="s">
        <v>66</v>
      </c>
      <c r="B72" s="2">
        <v>4970473</v>
      </c>
      <c r="C72" s="3" t="s">
        <v>666</v>
      </c>
      <c r="D72" s="3" t="s">
        <v>667</v>
      </c>
      <c r="E72" s="3" t="s">
        <v>507</v>
      </c>
      <c r="F72" s="5">
        <v>218628810297638</v>
      </c>
      <c r="G72" s="5">
        <v>216409344609229</v>
      </c>
      <c r="H72" s="5">
        <v>192553804945459</v>
      </c>
      <c r="I72" s="5">
        <v>183385225468836</v>
      </c>
      <c r="J72" s="5">
        <v>200118451136046</v>
      </c>
      <c r="K72" s="5">
        <v>211998070476878</v>
      </c>
      <c r="L72" s="5">
        <v>187664522262274</v>
      </c>
      <c r="M72" s="5">
        <v>220773622217272</v>
      </c>
      <c r="N72" s="5">
        <v>214780666246865</v>
      </c>
      <c r="O72" s="5">
        <v>231429255710465</v>
      </c>
      <c r="P72" s="5">
        <v>214274700607407</v>
      </c>
      <c r="Q72" s="5">
        <v>215963499211979</v>
      </c>
      <c r="R72" s="5">
        <v>241570499674322</v>
      </c>
      <c r="S72" s="5">
        <v>202196168264706</v>
      </c>
      <c r="T72" s="5">
        <v>189256318736062</v>
      </c>
      <c r="U72" s="5">
        <v>172219268666574</v>
      </c>
      <c r="V72" s="5">
        <v>172816645253455</v>
      </c>
      <c r="W72" s="5">
        <v>167875421119632</v>
      </c>
      <c r="X72" s="5">
        <v>164993199555999</v>
      </c>
      <c r="Y72" s="5">
        <v>158236245583275</v>
      </c>
      <c r="Z72" s="5">
        <v>154844190308054</v>
      </c>
      <c r="AA72" s="5">
        <v>161295064915132</v>
      </c>
      <c r="AB72" s="5">
        <v>158533703744032</v>
      </c>
      <c r="AC72" s="5">
        <v>150940145107084</v>
      </c>
      <c r="AD72" s="5">
        <v>145579859400575</v>
      </c>
      <c r="AE72" s="5">
        <v>135913250555643</v>
      </c>
      <c r="AF72" s="5">
        <v>121357479286797</v>
      </c>
      <c r="AG72" s="5">
        <v>125498524853288</v>
      </c>
      <c r="AH72" s="5">
        <v>116790976461021</v>
      </c>
      <c r="AI72" s="5">
        <v>107684616846278</v>
      </c>
      <c r="AJ72" s="5">
        <v>112793283303156</v>
      </c>
      <c r="AK72" s="5">
        <v>104744278939806</v>
      </c>
      <c r="AL72" s="5">
        <v>992633303003275</v>
      </c>
      <c r="AM72" s="5">
        <v>86259380388545</v>
      </c>
      <c r="AN72" s="5">
        <v>990231334611405</v>
      </c>
      <c r="AO72" s="5">
        <v>109494046009938</v>
      </c>
      <c r="AP72" s="6">
        <v>126209903922817</v>
      </c>
      <c r="AQ72" s="6">
        <v>128723751886323</v>
      </c>
      <c r="AR72" s="6">
        <v>12857005793055</v>
      </c>
      <c r="AS72" s="6">
        <v>130413452778862</v>
      </c>
      <c r="AT72" s="6">
        <v>134495740391613</v>
      </c>
      <c r="AU72" s="6">
        <v>132650742484</v>
      </c>
      <c r="AV72" s="6">
        <v>130313869806732</v>
      </c>
      <c r="AW72" s="6">
        <v>130099817678779</v>
      </c>
      <c r="AX72" s="6">
        <v>121963429973374</v>
      </c>
      <c r="AY72" s="6">
        <v>106874914249006</v>
      </c>
      <c r="AZ72" s="6">
        <v>102849032301322</v>
      </c>
      <c r="BA72" s="6">
        <v>102769160391147</v>
      </c>
      <c r="BB72" s="6">
        <v>981460268771675</v>
      </c>
      <c r="BC72" s="6">
        <v>10916684799749</v>
      </c>
      <c r="BD72" s="6">
        <v>120364757446044</v>
      </c>
      <c r="BE72" s="6">
        <v>132309460682667</v>
      </c>
      <c r="BF72" s="6">
        <v>135429368984476</v>
      </c>
      <c r="BG72" s="6">
        <v>113841513856894</v>
      </c>
      <c r="BH72" s="6">
        <v>116330566662826</v>
      </c>
      <c r="BI72" s="6">
        <v>116765991712027</v>
      </c>
      <c r="BJ72" s="6">
        <v>10357878859026</v>
      </c>
      <c r="BK72" s="6">
        <v>104055421238154</v>
      </c>
      <c r="BL72" s="6">
        <v>95902824558996</v>
      </c>
      <c r="BM72" s="6">
        <v>90332846109355</v>
      </c>
    </row>
    <row r="73" spans="1:65" x14ac:dyDescent="0.45">
      <c r="A73" s="1" t="s">
        <v>67</v>
      </c>
      <c r="B73" s="2">
        <v>4157226</v>
      </c>
      <c r="C73" s="3" t="s">
        <v>668</v>
      </c>
      <c r="D73" s="3" t="s">
        <v>669</v>
      </c>
      <c r="E73" s="3" t="s">
        <v>670</v>
      </c>
      <c r="F73" s="5">
        <v>147663831991124</v>
      </c>
      <c r="G73" s="5">
        <v>170120145805903</v>
      </c>
      <c r="H73" s="5">
        <v>178533361947863</v>
      </c>
      <c r="I73" s="5">
        <v>17264276432756</v>
      </c>
      <c r="J73" s="5">
        <v>199360913407069</v>
      </c>
      <c r="K73" s="5">
        <v>18451880827199</v>
      </c>
      <c r="L73" s="5">
        <v>159854411768706</v>
      </c>
      <c r="M73" s="5">
        <v>159770397642748</v>
      </c>
      <c r="N73" s="5">
        <v>159703959251244</v>
      </c>
      <c r="O73" s="5">
        <v>163680281391154</v>
      </c>
      <c r="P73" s="5">
        <v>152037895884629</v>
      </c>
      <c r="Q73" s="5">
        <v>169982156043579</v>
      </c>
      <c r="R73" s="5">
        <v>192226080210746</v>
      </c>
      <c r="S73" s="5">
        <v>178835343114727</v>
      </c>
      <c r="T73" s="5">
        <v>179371498722977</v>
      </c>
      <c r="U73" s="5">
        <v>167023323341784</v>
      </c>
      <c r="V73" s="5">
        <v>169495143667668</v>
      </c>
      <c r="W73" s="5">
        <v>169836222501742</v>
      </c>
      <c r="X73" s="5">
        <v>158203136615186</v>
      </c>
      <c r="Y73" s="5">
        <v>151954341345979</v>
      </c>
      <c r="Z73" s="5">
        <v>152702879790322</v>
      </c>
      <c r="AA73" s="5">
        <v>151049366480604</v>
      </c>
      <c r="AB73" s="5">
        <v>136373933434737</v>
      </c>
      <c r="AC73" s="5">
        <v>134593997501363</v>
      </c>
      <c r="AD73" s="5">
        <v>14480299169439</v>
      </c>
      <c r="AE73" s="5">
        <v>142089975994876</v>
      </c>
      <c r="AF73" s="5">
        <v>136517191103542</v>
      </c>
      <c r="AG73" s="5">
        <v>129454427460336</v>
      </c>
      <c r="AH73" s="5">
        <v>132360988634553</v>
      </c>
      <c r="AI73" s="5">
        <v>130383975829254</v>
      </c>
      <c r="AJ73" s="5">
        <v>128747633860139</v>
      </c>
      <c r="AK73" s="5">
        <v>125070048378565</v>
      </c>
      <c r="AL73" s="5">
        <v>121731571647444</v>
      </c>
      <c r="AM73" s="5">
        <v>99069204067197</v>
      </c>
      <c r="AN73" s="5">
        <v>108941359966029</v>
      </c>
      <c r="AO73" s="5">
        <v>123382087894417</v>
      </c>
      <c r="AP73" s="6">
        <v>991201103188321</v>
      </c>
      <c r="AQ73" s="6">
        <v>96506057072419</v>
      </c>
      <c r="AR73" s="6">
        <v>952379283404911</v>
      </c>
      <c r="AS73" s="6">
        <v>930193857540682</v>
      </c>
      <c r="AT73" s="6">
        <v>943407085705944</v>
      </c>
      <c r="AU73" s="6">
        <v>908042864787043</v>
      </c>
      <c r="AV73" s="6">
        <v>83032729367926</v>
      </c>
      <c r="AW73" s="6">
        <v>798784993124634</v>
      </c>
      <c r="AX73" s="6">
        <v>799235892</v>
      </c>
      <c r="AY73" s="6">
        <v>741025067927859</v>
      </c>
      <c r="AZ73" s="6">
        <v>72748550124779</v>
      </c>
      <c r="BA73" s="6">
        <v>662910304644</v>
      </c>
      <c r="BB73" s="6">
        <v>680219676136</v>
      </c>
      <c r="BC73" s="6">
        <v>724291282176</v>
      </c>
      <c r="BD73" s="6">
        <v>695179851066</v>
      </c>
      <c r="BE73" s="6">
        <v>710777899938962</v>
      </c>
      <c r="BF73" s="6">
        <v>733332669353064</v>
      </c>
      <c r="BG73" s="6">
        <v>690568744866</v>
      </c>
      <c r="BH73" s="6">
        <v>656554371051408</v>
      </c>
      <c r="BI73" s="6">
        <v>658198644879456</v>
      </c>
      <c r="BJ73" s="6">
        <v>6225989375564</v>
      </c>
      <c r="BK73" s="6">
        <v>571273204588109</v>
      </c>
      <c r="BL73" s="6">
        <v>59408808686136</v>
      </c>
      <c r="BM73" s="6">
        <v>582646654656</v>
      </c>
    </row>
    <row r="74" spans="1:65" x14ac:dyDescent="0.45">
      <c r="A74" s="1" t="s">
        <v>68</v>
      </c>
      <c r="B74" s="2">
        <v>103448</v>
      </c>
      <c r="C74" s="3" t="s">
        <v>671</v>
      </c>
      <c r="D74" s="3" t="s">
        <v>672</v>
      </c>
      <c r="E74" s="3" t="s">
        <v>578</v>
      </c>
      <c r="F74" s="5">
        <v>150976862866442</v>
      </c>
      <c r="G74" s="5">
        <v>163658410577892</v>
      </c>
      <c r="H74" s="5">
        <v>168374654064</v>
      </c>
      <c r="I74" s="5">
        <v>174210743060646</v>
      </c>
      <c r="J74" s="5">
        <v>176794951062239</v>
      </c>
      <c r="K74" s="5">
        <v>180273725628268</v>
      </c>
      <c r="L74" s="5">
        <v>157531017158822</v>
      </c>
      <c r="M74" s="5">
        <v>156206403312311</v>
      </c>
      <c r="N74" s="5">
        <v>166512054958558</v>
      </c>
      <c r="O74" s="5">
        <v>184191983780542</v>
      </c>
      <c r="P74" s="5">
        <v>169912722184919</v>
      </c>
      <c r="Q74" s="5">
        <v>16716639780864</v>
      </c>
      <c r="R74" s="5">
        <v>174531889847582</v>
      </c>
      <c r="S74" s="5">
        <v>161391551874311</v>
      </c>
      <c r="T74" s="5">
        <v>15414158713474</v>
      </c>
      <c r="U74" s="5">
        <v>134727206223109</v>
      </c>
      <c r="V74" s="5">
        <v>138494264546956</v>
      </c>
      <c r="W74" s="5">
        <v>129142768247712</v>
      </c>
      <c r="X74" s="5">
        <v>12631951358887</v>
      </c>
      <c r="Y74" s="5">
        <v>121455895591579</v>
      </c>
      <c r="Z74" s="5">
        <v>12460096660918</v>
      </c>
      <c r="AA74" s="5">
        <v>110403573110586</v>
      </c>
      <c r="AB74" s="5">
        <v>107014333325841</v>
      </c>
      <c r="AC74" s="5">
        <v>10045946376168</v>
      </c>
      <c r="AD74" s="5">
        <v>10997296492875</v>
      </c>
      <c r="AE74" s="5">
        <v>10690547150745</v>
      </c>
      <c r="AF74" s="5">
        <v>10593883741595</v>
      </c>
      <c r="AG74" s="5">
        <v>109030214318642</v>
      </c>
      <c r="AH74" s="5">
        <v>109770247739544</v>
      </c>
      <c r="AI74" s="5">
        <v>108701751451433</v>
      </c>
      <c r="AJ74" s="5">
        <v>102646929284598</v>
      </c>
      <c r="AK74" s="5">
        <v>102478485476325</v>
      </c>
      <c r="AL74" s="5">
        <v>930281943849143</v>
      </c>
      <c r="AM74" s="5">
        <v>93450893542552</v>
      </c>
      <c r="AN74" s="5">
        <v>110112417130333</v>
      </c>
      <c r="AO74" s="5">
        <v>11406971169</v>
      </c>
      <c r="AP74" s="6">
        <v>287846552161132</v>
      </c>
      <c r="AQ74" s="6">
        <v>293941755665726</v>
      </c>
      <c r="AR74" s="6">
        <v>280687942192825</v>
      </c>
      <c r="AS74" s="6">
        <v>274945753197299</v>
      </c>
      <c r="AT74" s="6">
        <v>256121970459469</v>
      </c>
      <c r="AU74" s="6">
        <v>23516739135649</v>
      </c>
      <c r="AV74" s="6">
        <v>23261308709472</v>
      </c>
      <c r="AW74" s="6">
        <v>213894332836527</v>
      </c>
      <c r="AX74" s="6">
        <v>226890396771712</v>
      </c>
      <c r="AY74" s="6">
        <v>22434131410711</v>
      </c>
      <c r="AZ74" s="6">
        <v>207273210703481</v>
      </c>
      <c r="BA74" s="6">
        <v>19674232545177</v>
      </c>
      <c r="BB74" s="6">
        <v>198207173818162</v>
      </c>
      <c r="BC74" s="6">
        <v>202790950230973</v>
      </c>
      <c r="BD74" s="6">
        <v>196993391920603</v>
      </c>
      <c r="BE74" s="6">
        <v>209344732509997</v>
      </c>
      <c r="BF74" s="6">
        <v>216461779358978</v>
      </c>
      <c r="BG74" s="6">
        <v>218811300835558</v>
      </c>
      <c r="BH74" s="6">
        <v>202115215202869</v>
      </c>
      <c r="BI74" s="6">
        <v>249302331874704</v>
      </c>
      <c r="BJ74" s="6">
        <v>238514552960823</v>
      </c>
      <c r="BK74" s="6">
        <v>227341017564237</v>
      </c>
      <c r="BL74" s="6">
        <v>219679764080999</v>
      </c>
      <c r="BM74" s="6">
        <v>21411555389155</v>
      </c>
    </row>
    <row r="75" spans="1:65" x14ac:dyDescent="0.45">
      <c r="A75" s="1" t="s">
        <v>69</v>
      </c>
      <c r="B75" s="2">
        <v>4086734</v>
      </c>
      <c r="C75" s="3" t="s">
        <v>673</v>
      </c>
      <c r="D75" s="3" t="s">
        <v>674</v>
      </c>
      <c r="E75" s="3" t="s">
        <v>675</v>
      </c>
      <c r="F75" s="5">
        <v>294470233160028</v>
      </c>
      <c r="G75" s="5">
        <v>339254271489631</v>
      </c>
      <c r="H75" s="5">
        <v>329484523820424</v>
      </c>
      <c r="I75" s="5">
        <v>325266745900588</v>
      </c>
      <c r="J75" s="5">
        <v>345848599866864</v>
      </c>
      <c r="K75" s="5">
        <v>34861707224662</v>
      </c>
      <c r="L75" s="5">
        <v>321546921196655</v>
      </c>
      <c r="M75" s="5">
        <v>295191885628238</v>
      </c>
      <c r="N75" s="5">
        <v>306511709724058</v>
      </c>
      <c r="O75" s="5">
        <v>288969824679511</v>
      </c>
      <c r="P75" s="5">
        <v>278168297075755</v>
      </c>
      <c r="Q75" s="5">
        <v>288292716733064</v>
      </c>
      <c r="R75" s="5">
        <v>306798032073944</v>
      </c>
      <c r="S75" s="5">
        <v>298916105514391</v>
      </c>
      <c r="T75" s="5">
        <v>281140518221697</v>
      </c>
      <c r="U75" s="5">
        <v>276854575754103</v>
      </c>
      <c r="V75" s="5">
        <v>284856434453849</v>
      </c>
      <c r="W75" s="5">
        <v>286269818890842</v>
      </c>
      <c r="X75" s="5">
        <v>302640152505472</v>
      </c>
      <c r="Y75" s="5">
        <v>315629630373166</v>
      </c>
      <c r="Z75" s="5">
        <v>30354823930194</v>
      </c>
      <c r="AA75" s="5">
        <v>281293096620136</v>
      </c>
      <c r="AB75" s="5">
        <v>283132277411132</v>
      </c>
      <c r="AC75" s="5">
        <v>282562173397882</v>
      </c>
      <c r="AD75" s="5">
        <v>310761460737838</v>
      </c>
      <c r="AE75" s="5">
        <v>322898366614986</v>
      </c>
      <c r="AF75" s="5">
        <v>286200801849967</v>
      </c>
      <c r="AG75" s="5">
        <v>306890769109047</v>
      </c>
      <c r="AH75" s="5">
        <v>292816385700398</v>
      </c>
      <c r="AI75" s="5">
        <v>280408440257138</v>
      </c>
      <c r="AJ75" s="5">
        <v>270625875443263</v>
      </c>
      <c r="AK75" s="5">
        <v>283556418510182</v>
      </c>
      <c r="AL75" s="5">
        <v>271856256633496</v>
      </c>
      <c r="AM75" s="5">
        <v>241528207655098</v>
      </c>
      <c r="AN75" s="5">
        <v>266829707836302</v>
      </c>
      <c r="AO75" s="5">
        <v>291539918931017</v>
      </c>
      <c r="AP75" s="6">
        <v>262174258088127</v>
      </c>
      <c r="AQ75" s="6">
        <v>267028792100532</v>
      </c>
      <c r="AR75" s="6">
        <v>2348151956577</v>
      </c>
      <c r="AS75" s="6">
        <v>217994767987549</v>
      </c>
      <c r="AT75" s="6">
        <v>204300093678764</v>
      </c>
      <c r="AU75" s="6">
        <v>178454184496149</v>
      </c>
      <c r="AV75" s="6">
        <v>171290435519018</v>
      </c>
      <c r="AW75" s="6">
        <v>146025602408998</v>
      </c>
      <c r="AX75" s="6">
        <v>142175666670765</v>
      </c>
      <c r="AY75" s="6">
        <v>137115747419904</v>
      </c>
      <c r="AZ75" s="6">
        <v>1407626385774</v>
      </c>
      <c r="BA75" s="6">
        <v>13240480507947</v>
      </c>
      <c r="BB75" s="6">
        <v>109319084400603</v>
      </c>
      <c r="BC75" s="6">
        <v>137092881385152</v>
      </c>
      <c r="BD75" s="6">
        <v>125483080080675</v>
      </c>
      <c r="BE75" s="6">
        <v>14495587782231</v>
      </c>
      <c r="BF75" s="6">
        <v>154381154033425</v>
      </c>
      <c r="BG75" s="6">
        <v>175615911577205</v>
      </c>
      <c r="BH75" s="6">
        <v>179687020031187</v>
      </c>
      <c r="BI75" s="6">
        <v>192495066465438</v>
      </c>
      <c r="BJ75" s="6">
        <v>173053467572676</v>
      </c>
      <c r="BK75" s="6">
        <v>18412042677975</v>
      </c>
      <c r="BL75" s="6">
        <v>178403667624</v>
      </c>
      <c r="BM75" s="6">
        <v>194479707599755</v>
      </c>
    </row>
    <row r="76" spans="1:65" x14ac:dyDescent="0.45">
      <c r="A76" s="1" t="s">
        <v>70</v>
      </c>
      <c r="B76" s="2">
        <v>4073448</v>
      </c>
      <c r="C76" s="3" t="s">
        <v>676</v>
      </c>
      <c r="D76" s="3" t="s">
        <v>677</v>
      </c>
      <c r="E76" s="3" t="s">
        <v>492</v>
      </c>
      <c r="F76" s="5">
        <v>893477442838406</v>
      </c>
      <c r="G76" s="5">
        <v>912385179119138</v>
      </c>
      <c r="H76" s="5">
        <v>973234478569352</v>
      </c>
      <c r="I76" s="5">
        <v>937803187134214</v>
      </c>
      <c r="J76" s="5">
        <v>908262096502005</v>
      </c>
      <c r="K76" s="5">
        <v>115176720739728</v>
      </c>
      <c r="L76" s="5">
        <v>887477101468458</v>
      </c>
      <c r="M76" s="5">
        <v>104816408234089</v>
      </c>
      <c r="N76" s="5">
        <v>101650291653803</v>
      </c>
      <c r="O76" s="5">
        <v>102702915964852</v>
      </c>
      <c r="P76" s="5">
        <v>11716714568</v>
      </c>
      <c r="Q76" s="5">
        <v>116243979312015</v>
      </c>
      <c r="R76" s="5">
        <v>144324417714057</v>
      </c>
      <c r="S76" s="5">
        <v>117978397005988</v>
      </c>
      <c r="T76" s="5">
        <v>104416259572347</v>
      </c>
      <c r="U76" s="5">
        <v>925004815217059</v>
      </c>
      <c r="V76" s="5">
        <v>935489893612157</v>
      </c>
      <c r="W76" s="5">
        <v>77703034150605</v>
      </c>
      <c r="X76" s="5">
        <v>745254899130121</v>
      </c>
      <c r="Y76" s="5">
        <v>756970909738161</v>
      </c>
      <c r="Z76" s="5">
        <v>837964491528404</v>
      </c>
      <c r="AA76" s="5">
        <v>815554596487044</v>
      </c>
      <c r="AB76" s="5">
        <v>738169190975132</v>
      </c>
      <c r="AC76" s="5">
        <v>646376053994145</v>
      </c>
      <c r="AD76" s="5">
        <v>389740895112607</v>
      </c>
      <c r="AE76" s="5">
        <v>365624480720085</v>
      </c>
      <c r="AF76" s="5">
        <v>303709460204157</v>
      </c>
      <c r="AG76" s="5">
        <v>324246132178668</v>
      </c>
      <c r="AH76" s="5">
        <v>298969115392395</v>
      </c>
      <c r="AI76" s="5">
        <v>233696605988707</v>
      </c>
      <c r="AJ76" s="5">
        <v>214494199441866</v>
      </c>
      <c r="AK76" s="5">
        <v>218279095553963</v>
      </c>
      <c r="AL76" s="5">
        <v>195599921087125</v>
      </c>
      <c r="AM76" s="5">
        <v>12924487697212</v>
      </c>
      <c r="AN76" s="5">
        <v>239811393904765</v>
      </c>
      <c r="AO76" s="5">
        <v>25895815318593</v>
      </c>
      <c r="AP76" s="6">
        <v>726484897867677</v>
      </c>
      <c r="AQ76" s="6">
        <v>686321929321242</v>
      </c>
      <c r="AR76" s="6">
        <v>68626118445282</v>
      </c>
      <c r="AS76" s="6">
        <v>735051436479428</v>
      </c>
      <c r="AT76" s="6">
        <v>687405776270242</v>
      </c>
      <c r="AU76" s="6">
        <v>743164815077241</v>
      </c>
      <c r="AV76" s="6">
        <v>692646248180671</v>
      </c>
      <c r="AW76" s="6">
        <v>663663262927405</v>
      </c>
      <c r="AX76" s="6">
        <v>66170740916007</v>
      </c>
      <c r="AY76" s="6">
        <v>667282578059493</v>
      </c>
      <c r="AZ76" s="6">
        <v>657745500386857</v>
      </c>
      <c r="BA76" s="6">
        <v>678296566915992</v>
      </c>
      <c r="BB76" s="6">
        <v>658521465221171</v>
      </c>
      <c r="BC76" s="6">
        <v>711143478481613</v>
      </c>
      <c r="BD76" s="6">
        <v>77034510576216</v>
      </c>
      <c r="BE76" s="6">
        <v>834272389925498</v>
      </c>
      <c r="BF76" s="6">
        <v>789716311158744</v>
      </c>
      <c r="BG76" s="6">
        <v>832585382206385</v>
      </c>
      <c r="BH76" s="6">
        <v>842125339725024</v>
      </c>
      <c r="BI76" s="6">
        <v>84078063836015</v>
      </c>
      <c r="BJ76" s="6">
        <v>842898985766237</v>
      </c>
      <c r="BK76" s="6">
        <v>846000032345462</v>
      </c>
      <c r="BL76" s="6">
        <v>869203713154959</v>
      </c>
      <c r="BM76" s="6">
        <v>897944032789874</v>
      </c>
    </row>
    <row r="77" spans="1:65" x14ac:dyDescent="0.45">
      <c r="A77" s="1" t="s">
        <v>71</v>
      </c>
      <c r="B77" s="2">
        <v>4500439</v>
      </c>
      <c r="C77" s="3" t="s">
        <v>678</v>
      </c>
      <c r="D77" s="3" t="s">
        <v>679</v>
      </c>
      <c r="E77" s="3" t="s">
        <v>597</v>
      </c>
      <c r="F77" s="5">
        <v>139845626090306</v>
      </c>
      <c r="G77" s="5">
        <v>152291861015257</v>
      </c>
      <c r="H77" s="5">
        <v>149523497078955</v>
      </c>
      <c r="I77" s="5">
        <v>127905679200488</v>
      </c>
      <c r="J77" s="5">
        <v>14956788757184</v>
      </c>
      <c r="K77" s="5">
        <v>137498725975518</v>
      </c>
      <c r="L77" s="5">
        <v>131633521541253</v>
      </c>
      <c r="M77" s="5">
        <v>167339085206464</v>
      </c>
      <c r="N77" s="5">
        <v>162868300501056</v>
      </c>
      <c r="O77" s="5">
        <v>142376706849422</v>
      </c>
      <c r="P77" s="5">
        <v>131554841417766</v>
      </c>
      <c r="Q77" s="5">
        <v>124026230323394</v>
      </c>
      <c r="R77" s="5">
        <v>115355066091582</v>
      </c>
      <c r="S77" s="5">
        <v>107926403942559</v>
      </c>
      <c r="T77" s="5">
        <v>112577858603393</v>
      </c>
      <c r="U77" s="5">
        <v>994326944923742</v>
      </c>
      <c r="V77" s="5">
        <v>908993746064153</v>
      </c>
      <c r="W77" s="5">
        <v>927425136772071</v>
      </c>
      <c r="X77" s="5">
        <v>932218144311954</v>
      </c>
      <c r="Y77" s="5">
        <v>100751921937329</v>
      </c>
      <c r="Z77" s="5">
        <v>989110696951251</v>
      </c>
      <c r="AA77" s="5">
        <v>95189758127274</v>
      </c>
      <c r="AB77" s="5">
        <v>887138823954978</v>
      </c>
      <c r="AC77" s="5">
        <v>752903281713782</v>
      </c>
      <c r="AD77" s="5">
        <v>748743879797055</v>
      </c>
      <c r="AE77" s="5">
        <v>688153677584642</v>
      </c>
      <c r="AF77" s="5">
        <v>679868308514867</v>
      </c>
      <c r="AG77" s="5">
        <v>543463956744732</v>
      </c>
      <c r="AH77" s="5">
        <v>532893128024943</v>
      </c>
      <c r="AI77" s="5">
        <v>512766423191095</v>
      </c>
      <c r="AJ77" s="5">
        <v>519534709949572</v>
      </c>
      <c r="AK77" s="5">
        <v>498928120507271</v>
      </c>
      <c r="AL77" s="5">
        <v>515456055858223</v>
      </c>
      <c r="AM77" s="5">
        <v>52964595050367</v>
      </c>
      <c r="AN77" s="5">
        <v>605599537141966</v>
      </c>
      <c r="AO77" s="5">
        <v>669948184036978</v>
      </c>
      <c r="AP77" s="6">
        <v>189948161441691</v>
      </c>
      <c r="AQ77" s="6">
        <v>194419600748831</v>
      </c>
      <c r="AR77" s="6">
        <v>190250584376348</v>
      </c>
      <c r="AS77" s="6">
        <v>183798344698515</v>
      </c>
      <c r="AT77" s="6">
        <v>18047247641686</v>
      </c>
      <c r="AU77" s="6">
        <v>184634275679497</v>
      </c>
      <c r="AV77" s="6">
        <v>175171756264284</v>
      </c>
      <c r="AW77" s="6">
        <v>181356248604701</v>
      </c>
      <c r="AX77" s="6">
        <v>189784959061131</v>
      </c>
      <c r="AY77" s="6">
        <v>184309532097293</v>
      </c>
      <c r="AZ77" s="6">
        <v>180026550535602</v>
      </c>
      <c r="BA77" s="6">
        <v>177816476781398</v>
      </c>
      <c r="BB77" s="6">
        <v>15181681845385</v>
      </c>
      <c r="BC77" s="6">
        <v>1789592266752</v>
      </c>
      <c r="BD77" s="6">
        <v>164774545816589</v>
      </c>
      <c r="BE77" s="6">
        <v>163597844454088</v>
      </c>
      <c r="BF77" s="6">
        <v>173541108712611</v>
      </c>
      <c r="BG77" s="6">
        <v>165579100285861</v>
      </c>
      <c r="BH77" s="6">
        <v>165937374415386</v>
      </c>
      <c r="BI77" s="6">
        <v>161221010410394</v>
      </c>
      <c r="BJ77" s="6">
        <v>155201644647</v>
      </c>
      <c r="BK77" s="6">
        <v>154652153883834</v>
      </c>
      <c r="BL77" s="6">
        <v>150256601919333</v>
      </c>
      <c r="BM77" s="6">
        <v>153477220712591</v>
      </c>
    </row>
    <row r="78" spans="1:65" x14ac:dyDescent="0.45">
      <c r="A78" s="1" t="s">
        <v>72</v>
      </c>
      <c r="B78" s="2">
        <v>112885</v>
      </c>
      <c r="C78" s="3" t="s">
        <v>680</v>
      </c>
      <c r="D78" s="3" t="s">
        <v>681</v>
      </c>
      <c r="E78" s="3" t="s">
        <v>682</v>
      </c>
      <c r="F78" s="5">
        <v>991232245196347</v>
      </c>
      <c r="G78" s="5">
        <v>109565235878389</v>
      </c>
      <c r="H78" s="5">
        <v>115248431258551</v>
      </c>
      <c r="I78" s="5">
        <v>119830568590001</v>
      </c>
      <c r="J78" s="5">
        <v>1236104463941</v>
      </c>
      <c r="K78" s="5">
        <v>140071526041675</v>
      </c>
      <c r="L78" s="5">
        <v>133390700170504</v>
      </c>
      <c r="M78" s="5">
        <v>162402216357411</v>
      </c>
      <c r="N78" s="5">
        <v>174870540624326</v>
      </c>
      <c r="O78" s="5">
        <v>181568018902715</v>
      </c>
      <c r="P78" s="5">
        <v>170561251235647</v>
      </c>
      <c r="Q78" s="5">
        <v>156646640722614</v>
      </c>
      <c r="R78" s="5">
        <v>158202915716627</v>
      </c>
      <c r="S78" s="5">
        <v>149452005892997</v>
      </c>
      <c r="T78" s="5">
        <v>153513291150852</v>
      </c>
      <c r="U78" s="5">
        <v>145993787804396</v>
      </c>
      <c r="V78" s="5">
        <v>149493145537048</v>
      </c>
      <c r="W78" s="5">
        <v>154498623652351</v>
      </c>
      <c r="X78" s="5">
        <v>150838282358359</v>
      </c>
      <c r="Y78" s="5">
        <v>15054607077931</v>
      </c>
      <c r="Z78" s="5">
        <v>14187559157001</v>
      </c>
      <c r="AA78" s="5">
        <v>134419015162939</v>
      </c>
      <c r="AB78" s="5">
        <v>127653038131155</v>
      </c>
      <c r="AC78" s="5">
        <v>117082222065544</v>
      </c>
      <c r="AD78" s="5">
        <v>120291006612152</v>
      </c>
      <c r="AE78" s="5">
        <v>127843914093724</v>
      </c>
      <c r="AF78" s="5">
        <v>96704647688623</v>
      </c>
      <c r="AG78" s="5">
        <v>10642780849624</v>
      </c>
      <c r="AH78" s="5">
        <v>11309403214319</v>
      </c>
      <c r="AI78" s="5">
        <v>117195684103182</v>
      </c>
      <c r="AJ78" s="5">
        <v>124779548694372</v>
      </c>
      <c r="AK78" s="5">
        <v>120160955494904</v>
      </c>
      <c r="AL78" s="5">
        <v>137969395146241</v>
      </c>
      <c r="AM78" s="5">
        <v>13019243945708</v>
      </c>
      <c r="AN78" s="5">
        <v>181484104692323</v>
      </c>
      <c r="AO78" s="5">
        <v>200146486749066</v>
      </c>
      <c r="AP78" s="6">
        <v>942479311165644</v>
      </c>
      <c r="AQ78" s="6">
        <v>943358979910332</v>
      </c>
      <c r="AR78" s="6">
        <v>91862888800613</v>
      </c>
      <c r="AS78" s="6">
        <v>105258657677624</v>
      </c>
      <c r="AT78" s="6">
        <v>103994999895003</v>
      </c>
      <c r="AU78" s="6">
        <v>102737910022546</v>
      </c>
      <c r="AV78" s="6">
        <v>101229406175534</v>
      </c>
      <c r="AW78" s="6">
        <v>975549086214469</v>
      </c>
      <c r="AX78" s="6">
        <v>99299985423975</v>
      </c>
      <c r="AY78" s="6">
        <v>106464048237924</v>
      </c>
      <c r="AZ78" s="6">
        <v>108610769198354</v>
      </c>
      <c r="BA78" s="6">
        <v>104159866456725</v>
      </c>
      <c r="BB78" s="6">
        <v>10098900965397</v>
      </c>
      <c r="BC78" s="6">
        <v>112129134309454</v>
      </c>
      <c r="BD78" s="6">
        <v>108976338950645</v>
      </c>
      <c r="BE78" s="6">
        <v>116764949083283</v>
      </c>
      <c r="BF78" s="6">
        <v>114677327321671</v>
      </c>
      <c r="BG78" s="6">
        <v>110613906948445</v>
      </c>
      <c r="BH78" s="6">
        <v>10064096949911</v>
      </c>
      <c r="BI78" s="6">
        <v>104732174132586</v>
      </c>
      <c r="BJ78" s="6">
        <v>106267009198665</v>
      </c>
      <c r="BK78" s="6">
        <v>106247107987765</v>
      </c>
      <c r="BL78" s="6">
        <v>10685449927021</v>
      </c>
      <c r="BM78" s="6">
        <v>102717610521463</v>
      </c>
    </row>
    <row r="79" spans="1:65" x14ac:dyDescent="0.45">
      <c r="A79" s="1" t="s">
        <v>73</v>
      </c>
      <c r="B79" s="2">
        <v>4095936</v>
      </c>
      <c r="C79" s="3" t="s">
        <v>683</v>
      </c>
      <c r="D79" s="3" t="s">
        <v>684</v>
      </c>
      <c r="E79" s="3" t="s">
        <v>685</v>
      </c>
      <c r="F79" s="5">
        <v>100844869974479</v>
      </c>
      <c r="G79" s="5">
        <v>114393985436063</v>
      </c>
      <c r="H79" s="5">
        <v>122426723768346</v>
      </c>
      <c r="I79" s="5">
        <v>121674382971185</v>
      </c>
      <c r="J79" s="5">
        <v>14040875502926</v>
      </c>
      <c r="K79" s="5">
        <v>134450891277937</v>
      </c>
      <c r="L79" s="5">
        <v>122867050821438</v>
      </c>
      <c r="M79" s="5">
        <v>128152735956117</v>
      </c>
      <c r="N79" s="5">
        <v>128189772044504</v>
      </c>
      <c r="O79" s="5">
        <v>122717758985138</v>
      </c>
      <c r="P79" s="5">
        <v>110887238912089</v>
      </c>
      <c r="Q79" s="5">
        <v>120966919465392</v>
      </c>
      <c r="R79" s="5">
        <v>122530334819914</v>
      </c>
      <c r="S79" s="5">
        <v>109662424860738</v>
      </c>
      <c r="T79" s="5">
        <v>109029521107758</v>
      </c>
      <c r="U79" s="5">
        <v>98867578170456</v>
      </c>
      <c r="V79" s="5">
        <v>100494523804807</v>
      </c>
      <c r="W79" s="5">
        <v>990081277746126</v>
      </c>
      <c r="X79" s="5">
        <v>105062748895203</v>
      </c>
      <c r="Y79" s="5">
        <v>105865511063697</v>
      </c>
      <c r="Z79" s="5">
        <v>107325319714967</v>
      </c>
      <c r="AA79" s="5">
        <v>106627002093054</v>
      </c>
      <c r="AB79" s="5">
        <v>100478713226989</v>
      </c>
      <c r="AC79" s="5">
        <v>958207140579766</v>
      </c>
      <c r="AD79" s="5">
        <v>104323324546681</v>
      </c>
      <c r="AE79" s="5">
        <v>106887233155908</v>
      </c>
      <c r="AF79" s="5">
        <v>103158345087044</v>
      </c>
      <c r="AG79" s="5">
        <v>117330071853686</v>
      </c>
      <c r="AH79" s="5">
        <v>110862520407139</v>
      </c>
      <c r="AI79" s="5">
        <v>106809143779389</v>
      </c>
      <c r="AJ79" s="5">
        <v>945671655520025</v>
      </c>
      <c r="AK79" s="5">
        <v>982335630986843</v>
      </c>
      <c r="AL79" s="5">
        <v>874000154332569</v>
      </c>
      <c r="AM79" s="5">
        <v>8124019309042</v>
      </c>
      <c r="AN79" s="5">
        <v>84511384139637</v>
      </c>
      <c r="AO79" s="5">
        <v>881054250010968</v>
      </c>
      <c r="AP79" s="6">
        <v>17342526250728</v>
      </c>
      <c r="AQ79" s="6">
        <v>178903010277</v>
      </c>
      <c r="AR79" s="6">
        <v>16449900712605</v>
      </c>
      <c r="AS79" s="6">
        <v>16977823141104</v>
      </c>
      <c r="AT79" s="6">
        <v>17442890568448</v>
      </c>
      <c r="AU79" s="6">
        <v>18604438244655</v>
      </c>
      <c r="AV79" s="6">
        <v>1748788650284</v>
      </c>
      <c r="AW79" s="6">
        <v>1602676066641</v>
      </c>
      <c r="AX79" s="6">
        <v>174018412995</v>
      </c>
      <c r="AY79" s="6">
        <v>159115994647909</v>
      </c>
      <c r="AZ79" s="6">
        <v>14095297421625</v>
      </c>
      <c r="BA79" s="6">
        <v>1183026766698</v>
      </c>
      <c r="BB79" s="6">
        <v>10714464335344</v>
      </c>
      <c r="BC79" s="6">
        <v>11223419160576</v>
      </c>
      <c r="BD79" s="6">
        <v>1111007340849</v>
      </c>
      <c r="BE79" s="6">
        <v>11031470162592</v>
      </c>
      <c r="BF79" s="6">
        <v>1146078288768</v>
      </c>
      <c r="BG79" s="6">
        <v>1065476453324</v>
      </c>
      <c r="BH79" s="6">
        <v>10464632907906</v>
      </c>
      <c r="BI79" s="6">
        <v>1026401844969</v>
      </c>
      <c r="BJ79" s="6">
        <v>9352990440952</v>
      </c>
      <c r="BK79" s="6">
        <v>846913510905618</v>
      </c>
      <c r="BL79" s="6">
        <v>898183469547</v>
      </c>
      <c r="BM79" s="6">
        <v>1018273569144</v>
      </c>
    </row>
    <row r="80" spans="1:65" x14ac:dyDescent="0.45">
      <c r="A80" s="1" t="s">
        <v>74</v>
      </c>
      <c r="B80" s="2">
        <v>4963284</v>
      </c>
      <c r="C80" s="3" t="s">
        <v>686</v>
      </c>
      <c r="D80" s="3" t="s">
        <v>687</v>
      </c>
      <c r="E80" s="3" t="s">
        <v>504</v>
      </c>
      <c r="F80" s="5">
        <v>41232670579968</v>
      </c>
      <c r="G80" s="5">
        <v>45763366903408</v>
      </c>
      <c r="H80" s="5">
        <v>41997973541412</v>
      </c>
      <c r="I80" s="5">
        <v>4564479386718</v>
      </c>
      <c r="J80" s="5">
        <v>4725249813171</v>
      </c>
      <c r="K80" s="5">
        <v>4996287969984</v>
      </c>
      <c r="L80" s="5">
        <v>39576572641782</v>
      </c>
      <c r="M80" s="5">
        <v>39513985000347</v>
      </c>
      <c r="N80" s="5">
        <v>39472574822835</v>
      </c>
      <c r="O80" s="5">
        <v>41212720853488</v>
      </c>
      <c r="P80" s="5">
        <v>3739832002244</v>
      </c>
      <c r="Q80" s="5">
        <v>37644226097472</v>
      </c>
      <c r="R80" s="5">
        <v>45411646650255</v>
      </c>
      <c r="S80" s="5">
        <v>43633775218192</v>
      </c>
      <c r="T80" s="5">
        <v>41489539735448</v>
      </c>
      <c r="U80" s="5">
        <v>3616474792896</v>
      </c>
      <c r="V80" s="5">
        <v>3833410085568</v>
      </c>
      <c r="W80" s="5">
        <v>34450515981</v>
      </c>
      <c r="X80" s="5">
        <v>3211010807082</v>
      </c>
      <c r="Y80" s="5">
        <v>28993903763175</v>
      </c>
      <c r="Z80" s="5">
        <v>30481259684265</v>
      </c>
      <c r="AA80" s="5">
        <v>325718673196871</v>
      </c>
      <c r="AB80" s="5">
        <v>3253140503199</v>
      </c>
      <c r="AC80" s="5">
        <v>29961452023542</v>
      </c>
      <c r="AD80" s="5">
        <v>31109599799775</v>
      </c>
      <c r="AE80" s="5">
        <v>2714227632351</v>
      </c>
      <c r="AF80" s="5">
        <v>26177785085607</v>
      </c>
      <c r="AG80" s="5">
        <v>25316198073752</v>
      </c>
      <c r="AH80" s="5">
        <v>2586545208471</v>
      </c>
      <c r="AI80" s="5">
        <v>2574635407585</v>
      </c>
      <c r="AJ80" s="5">
        <v>23806291124472</v>
      </c>
      <c r="AK80" s="5">
        <v>22925539616385</v>
      </c>
      <c r="AL80" s="5">
        <v>20704768401471</v>
      </c>
      <c r="AM80" s="5">
        <v>168770670849144</v>
      </c>
      <c r="AN80" s="5">
        <v>16849612265136</v>
      </c>
      <c r="AO80" s="5">
        <v>1825067222946</v>
      </c>
      <c r="AP80" s="6">
        <v>915501832881573</v>
      </c>
      <c r="AQ80" s="6">
        <v>980350675414314</v>
      </c>
      <c r="AR80" s="6">
        <v>993457181514009</v>
      </c>
      <c r="AS80" s="6">
        <v>985768580802984</v>
      </c>
      <c r="AT80" s="6">
        <v>95297938900997</v>
      </c>
      <c r="AU80" s="6">
        <v>902266621745485</v>
      </c>
      <c r="AV80" s="6">
        <v>886918941446309</v>
      </c>
      <c r="AW80" s="6">
        <v>896454685482954</v>
      </c>
      <c r="AX80" s="6">
        <v>868067493132262</v>
      </c>
      <c r="AY80" s="6">
        <v>87392715798465</v>
      </c>
      <c r="AZ80" s="6">
        <v>832338916888069</v>
      </c>
      <c r="BA80" s="6">
        <v>8077788684</v>
      </c>
      <c r="BB80" s="6">
        <v>73396099128</v>
      </c>
      <c r="BC80" s="6">
        <v>802128457728</v>
      </c>
      <c r="BD80" s="6">
        <v>76116783348</v>
      </c>
      <c r="BE80" s="6">
        <v>747404233874461</v>
      </c>
      <c r="BF80" s="6">
        <v>760011586113129</v>
      </c>
      <c r="BG80" s="6">
        <v>756587548140656</v>
      </c>
      <c r="BH80" s="6">
        <v>74692312172737</v>
      </c>
      <c r="BI80" s="6">
        <v>72177381188352</v>
      </c>
      <c r="BJ80" s="6">
        <v>656197878131572</v>
      </c>
      <c r="BK80" s="6">
        <v>635108633184962</v>
      </c>
      <c r="BL80" s="6">
        <v>605304006373521</v>
      </c>
      <c r="BM80" s="6">
        <v>644885394793851</v>
      </c>
    </row>
    <row r="81" spans="1:65" x14ac:dyDescent="0.45">
      <c r="A81" s="1" t="s">
        <v>75</v>
      </c>
      <c r="B81" s="2">
        <v>103094</v>
      </c>
      <c r="C81" s="3" t="s">
        <v>688</v>
      </c>
      <c r="D81" s="3" t="s">
        <v>689</v>
      </c>
      <c r="E81" s="3" t="s">
        <v>623</v>
      </c>
      <c r="F81" s="5">
        <v>11371843408848</v>
      </c>
      <c r="G81" s="5">
        <v>12675149660628</v>
      </c>
      <c r="H81" s="5">
        <v>1269380260902</v>
      </c>
      <c r="I81" s="5">
        <v>1323265358419</v>
      </c>
      <c r="J81" s="5">
        <v>13860797409191</v>
      </c>
      <c r="K81" s="5">
        <v>1502713188276</v>
      </c>
      <c r="L81" s="5">
        <v>137034051415465</v>
      </c>
      <c r="M81" s="5">
        <v>142470374023299</v>
      </c>
      <c r="N81" s="5">
        <v>158582817841965</v>
      </c>
      <c r="O81" s="5">
        <v>157923459539563</v>
      </c>
      <c r="P81" s="5">
        <v>152072802701434</v>
      </c>
      <c r="Q81" s="5">
        <v>146068892380676</v>
      </c>
      <c r="R81" s="5">
        <v>160565548358987</v>
      </c>
      <c r="S81" s="5">
        <v>149794964439943</v>
      </c>
      <c r="T81" s="5">
        <v>14414812306193</v>
      </c>
      <c r="U81" s="5">
        <v>127968640351019</v>
      </c>
      <c r="V81" s="5">
        <v>127844703876278</v>
      </c>
      <c r="W81" s="5">
        <v>126659812522461</v>
      </c>
      <c r="X81" s="5">
        <v>109300887315147</v>
      </c>
      <c r="Y81" s="5">
        <v>100490316180799</v>
      </c>
      <c r="Z81" s="5">
        <v>978340655265322</v>
      </c>
      <c r="AA81" s="5">
        <v>935567963816196</v>
      </c>
      <c r="AB81" s="5">
        <v>839821276764728</v>
      </c>
      <c r="AC81" s="5">
        <v>819595024265403</v>
      </c>
      <c r="AD81" s="5">
        <v>79557172786914</v>
      </c>
      <c r="AE81" s="5">
        <v>80537421103981</v>
      </c>
      <c r="AF81" s="5">
        <v>77089699153695</v>
      </c>
      <c r="AG81" s="5">
        <v>738020773937942</v>
      </c>
      <c r="AH81" s="5">
        <v>740903126734708</v>
      </c>
      <c r="AI81" s="5">
        <v>747627171888453</v>
      </c>
      <c r="AJ81" s="5">
        <v>789352989153343</v>
      </c>
      <c r="AK81" s="5">
        <v>802101378952839</v>
      </c>
      <c r="AL81" s="5">
        <v>802065554064628</v>
      </c>
      <c r="AM81" s="5">
        <v>71841272990032</v>
      </c>
      <c r="AN81" s="5">
        <v>937910109399308</v>
      </c>
      <c r="AO81" s="5">
        <v>981987905172318</v>
      </c>
      <c r="AP81" s="6">
        <v>427080586169776</v>
      </c>
      <c r="AQ81" s="6">
        <v>422730635730289</v>
      </c>
      <c r="AR81" s="6">
        <v>38959691152411</v>
      </c>
      <c r="AS81" s="6">
        <v>392435344543621</v>
      </c>
      <c r="AT81" s="6">
        <v>370410334919831</v>
      </c>
      <c r="AU81" s="6">
        <v>390561594148242</v>
      </c>
      <c r="AV81" s="6">
        <v>374467117335004</v>
      </c>
      <c r="AW81" s="6">
        <v>361748870587562</v>
      </c>
      <c r="AX81" s="6">
        <v>387642763655716</v>
      </c>
      <c r="AY81" s="6">
        <v>340550644100367</v>
      </c>
      <c r="AZ81" s="6">
        <v>343385102647855</v>
      </c>
      <c r="BA81" s="6">
        <v>32905066239</v>
      </c>
      <c r="BB81" s="6">
        <v>31266754779458</v>
      </c>
      <c r="BC81" s="6">
        <v>37511111635968</v>
      </c>
      <c r="BD81" s="6">
        <v>3736800966615</v>
      </c>
      <c r="BE81" s="6">
        <v>39085247347113</v>
      </c>
      <c r="BF81" s="6">
        <v>40835952600705</v>
      </c>
      <c r="BG81" s="6">
        <v>3855193693452</v>
      </c>
      <c r="BH81" s="6">
        <v>3830959273887</v>
      </c>
      <c r="BI81" s="6">
        <v>392124332394</v>
      </c>
      <c r="BJ81" s="6">
        <v>36491757704932</v>
      </c>
      <c r="BK81" s="6">
        <v>37886896807752</v>
      </c>
      <c r="BL81" s="6">
        <v>3899735526141</v>
      </c>
      <c r="BM81" s="6">
        <v>40569307641252</v>
      </c>
    </row>
    <row r="82" spans="1:65" x14ac:dyDescent="0.45">
      <c r="A82" s="1" t="s">
        <v>76</v>
      </c>
      <c r="B82" s="2">
        <v>103239</v>
      </c>
      <c r="C82" s="3" t="s">
        <v>690</v>
      </c>
      <c r="D82" s="3" t="s">
        <v>691</v>
      </c>
      <c r="E82" s="3" t="s">
        <v>692</v>
      </c>
      <c r="F82" s="5">
        <v>332011616911444</v>
      </c>
      <c r="G82" s="5">
        <v>382125417879096</v>
      </c>
      <c r="H82" s="5">
        <v>40957285932</v>
      </c>
      <c r="I82" s="5">
        <v>360769336355925</v>
      </c>
      <c r="J82" s="5">
        <v>403272205384428</v>
      </c>
      <c r="K82" s="5">
        <v>413284681716004</v>
      </c>
      <c r="L82" s="5">
        <v>39174633312009</v>
      </c>
      <c r="M82" s="5">
        <v>468431113542687</v>
      </c>
      <c r="N82" s="5">
        <v>486761087852542</v>
      </c>
      <c r="O82" s="5">
        <v>486494927502056</v>
      </c>
      <c r="P82" s="5">
        <v>564593353947546</v>
      </c>
      <c r="Q82" s="5">
        <v>557567211363996</v>
      </c>
      <c r="R82" s="5">
        <v>542998564147169</v>
      </c>
      <c r="S82" s="5">
        <v>530657988816885</v>
      </c>
      <c r="T82" s="5">
        <v>562148642176</v>
      </c>
      <c r="U82" s="5">
        <v>623433802939016</v>
      </c>
      <c r="V82" s="5">
        <v>627279606985159</v>
      </c>
      <c r="W82" s="5">
        <v>608111508050739</v>
      </c>
      <c r="X82" s="5">
        <v>589038036476763</v>
      </c>
      <c r="Y82" s="5">
        <v>595604696136666</v>
      </c>
      <c r="Z82" s="5">
        <v>565902561165416</v>
      </c>
      <c r="AA82" s="5">
        <v>494986799135977</v>
      </c>
      <c r="AB82" s="5">
        <v>456192161146659</v>
      </c>
      <c r="AC82" s="5">
        <v>392855562189703</v>
      </c>
      <c r="AD82" s="5">
        <v>369622017490736</v>
      </c>
      <c r="AE82" s="5">
        <v>327747830668399</v>
      </c>
      <c r="AF82" s="5">
        <v>286356050780902</v>
      </c>
      <c r="AG82" s="5">
        <v>279442713156816</v>
      </c>
      <c r="AH82" s="5">
        <v>263677906766752</v>
      </c>
      <c r="AI82" s="5">
        <v>24608322882</v>
      </c>
      <c r="AJ82" s="5">
        <v>253231967031903</v>
      </c>
      <c r="AK82" s="5">
        <v>278658785935643</v>
      </c>
      <c r="AL82" s="5">
        <v>269524469148</v>
      </c>
      <c r="AM82" s="5">
        <v>209737967059348</v>
      </c>
      <c r="AN82" s="5">
        <v>366863018208324</v>
      </c>
      <c r="AO82" s="5">
        <v>4110294936</v>
      </c>
      <c r="AP82" s="6">
        <v>131829877083747</v>
      </c>
      <c r="AQ82" s="6">
        <v>146083975278747</v>
      </c>
      <c r="AR82" s="6">
        <v>12971517140315</v>
      </c>
      <c r="AS82" s="6">
        <v>126546544877653</v>
      </c>
      <c r="AT82" s="6">
        <v>116909532298217</v>
      </c>
      <c r="AU82" s="6">
        <v>122468030503596</v>
      </c>
      <c r="AV82" s="6">
        <v>123371375336399</v>
      </c>
      <c r="AW82" s="6">
        <v>112490751875915</v>
      </c>
      <c r="AX82" s="6">
        <v>129558791171098</v>
      </c>
      <c r="AY82" s="6">
        <v>127854061411774</v>
      </c>
      <c r="AZ82" s="6">
        <v>14220148905782</v>
      </c>
      <c r="BA82" s="6">
        <v>129973357965721</v>
      </c>
      <c r="BB82" s="6">
        <v>116058991541266</v>
      </c>
      <c r="BC82" s="6">
        <v>144280637493251</v>
      </c>
      <c r="BD82" s="6">
        <v>134054925315399</v>
      </c>
      <c r="BE82" s="6">
        <v>139370631266322</v>
      </c>
      <c r="BF82" s="6">
        <v>138854636741449</v>
      </c>
      <c r="BG82" s="6">
        <v>132607446998065</v>
      </c>
      <c r="BH82" s="6">
        <v>130028506329625</v>
      </c>
      <c r="BI82" s="6">
        <v>138806601704071</v>
      </c>
      <c r="BJ82" s="6">
        <v>167252858804369</v>
      </c>
      <c r="BK82" s="6">
        <v>160410444432937</v>
      </c>
      <c r="BL82" s="6">
        <v>178385288591929</v>
      </c>
      <c r="BM82" s="6">
        <v>181563993519228</v>
      </c>
    </row>
    <row r="83" spans="1:65" x14ac:dyDescent="0.45">
      <c r="A83" s="1" t="s">
        <v>77</v>
      </c>
      <c r="B83" s="2">
        <v>4073203</v>
      </c>
      <c r="C83" s="3" t="s">
        <v>693</v>
      </c>
      <c r="D83" s="3" t="s">
        <v>694</v>
      </c>
      <c r="E83" s="3" t="s">
        <v>695</v>
      </c>
      <c r="F83" s="5">
        <v>188545839228507</v>
      </c>
      <c r="G83" s="5">
        <v>20378523832031</v>
      </c>
      <c r="H83" s="5">
        <v>201115417003885</v>
      </c>
      <c r="I83" s="5">
        <v>1781698356755</v>
      </c>
      <c r="J83" s="5">
        <v>191352426539672</v>
      </c>
      <c r="K83" s="5">
        <v>159077485165779</v>
      </c>
      <c r="L83" s="5">
        <v>136217718373505</v>
      </c>
      <c r="M83" s="5">
        <v>143013119248497</v>
      </c>
      <c r="N83" s="5">
        <v>152615513601338</v>
      </c>
      <c r="O83" s="5">
        <v>141415847099453</v>
      </c>
      <c r="P83" s="5">
        <v>133255183887998</v>
      </c>
      <c r="Q83" s="5">
        <v>129739975245314</v>
      </c>
      <c r="R83" s="5">
        <v>127579960312663</v>
      </c>
      <c r="S83" s="5">
        <v>115576070397585</v>
      </c>
      <c r="T83" s="5">
        <v>117324014058235</v>
      </c>
      <c r="U83" s="5">
        <v>121092358252475</v>
      </c>
      <c r="V83" s="5">
        <v>129157923254154</v>
      </c>
      <c r="W83" s="5">
        <v>145240334321342</v>
      </c>
      <c r="X83" s="5">
        <v>139705373815595</v>
      </c>
      <c r="Y83" s="5">
        <v>133483815959832</v>
      </c>
      <c r="Z83" s="5">
        <v>147305533441735</v>
      </c>
      <c r="AA83" s="5">
        <v>1519993923804</v>
      </c>
      <c r="AB83" s="5">
        <v>125047405992768</v>
      </c>
      <c r="AC83" s="5">
        <v>129876079784962</v>
      </c>
      <c r="AD83" s="5">
        <v>128475072895533</v>
      </c>
      <c r="AE83" s="5">
        <v>134021170431891</v>
      </c>
      <c r="AF83" s="5">
        <v>115281362734569</v>
      </c>
      <c r="AG83" s="5">
        <v>117306426601705</v>
      </c>
      <c r="AH83" s="5">
        <v>124173920029585</v>
      </c>
      <c r="AI83" s="5">
        <v>134810966118567</v>
      </c>
      <c r="AJ83" s="5">
        <v>135411722342103</v>
      </c>
      <c r="AK83" s="5">
        <v>143638793085524</v>
      </c>
      <c r="AL83" s="5">
        <v>13197272325457</v>
      </c>
      <c r="AM83" s="5">
        <v>127291733405382</v>
      </c>
      <c r="AN83" s="5">
        <v>138284141129456</v>
      </c>
      <c r="AO83" s="5">
        <v>135104524047227</v>
      </c>
      <c r="AP83" s="6">
        <v>306074218038924</v>
      </c>
      <c r="AQ83" s="6">
        <v>285345597965452</v>
      </c>
      <c r="AR83" s="6">
        <v>268622429398706</v>
      </c>
      <c r="AS83" s="6">
        <v>281689560480075</v>
      </c>
      <c r="AT83" s="6">
        <v>28215298296403</v>
      </c>
      <c r="AU83" s="6">
        <v>299926633975981</v>
      </c>
      <c r="AV83" s="6">
        <v>279038077104829</v>
      </c>
      <c r="AW83" s="6">
        <v>314475285099722</v>
      </c>
      <c r="AX83" s="6">
        <v>334900449024047</v>
      </c>
      <c r="AY83" s="6">
        <v>309960932670866</v>
      </c>
      <c r="AZ83" s="6">
        <v>348248109661375</v>
      </c>
      <c r="BA83" s="6">
        <v>346516443274169</v>
      </c>
      <c r="BB83" s="6">
        <v>297097765854651</v>
      </c>
      <c r="BC83" s="6">
        <v>36742458280303</v>
      </c>
      <c r="BD83" s="6">
        <v>342554571656139</v>
      </c>
      <c r="BE83" s="6">
        <v>381477742356305</v>
      </c>
      <c r="BF83" s="6">
        <v>361825406856937</v>
      </c>
      <c r="BG83" s="6">
        <v>356085922807035</v>
      </c>
      <c r="BH83" s="6">
        <v>348949855384807</v>
      </c>
      <c r="BI83" s="6">
        <v>384611873664701</v>
      </c>
      <c r="BJ83" s="6">
        <v>375938971501475</v>
      </c>
      <c r="BK83" s="6">
        <v>379208010094568</v>
      </c>
      <c r="BL83" s="6">
        <v>390729455328988</v>
      </c>
      <c r="BM83" s="6">
        <v>410641498095055</v>
      </c>
    </row>
    <row r="84" spans="1:65" x14ac:dyDescent="0.45">
      <c r="A84" s="1" t="s">
        <v>78</v>
      </c>
      <c r="B84" s="2">
        <v>4980730</v>
      </c>
      <c r="C84" s="3" t="s">
        <v>696</v>
      </c>
      <c r="D84" s="3" t="s">
        <v>697</v>
      </c>
      <c r="E84" s="3" t="s">
        <v>660</v>
      </c>
      <c r="F84" s="5">
        <v>935245490762341</v>
      </c>
      <c r="G84" s="5">
        <v>119201092235659</v>
      </c>
      <c r="H84" s="5">
        <v>113731739962741</v>
      </c>
      <c r="I84" s="5">
        <v>8944482117652</v>
      </c>
      <c r="J84" s="5">
        <v>115334476183192</v>
      </c>
      <c r="K84" s="5">
        <v>108837438977201</v>
      </c>
      <c r="L84" s="5">
        <v>928216419541273</v>
      </c>
      <c r="M84" s="5">
        <v>14521719595996</v>
      </c>
      <c r="N84" s="5">
        <v>185274252354167</v>
      </c>
      <c r="O84" s="5">
        <v>204217406789131</v>
      </c>
      <c r="P84" s="5">
        <v>203772171571371</v>
      </c>
      <c r="Q84" s="5">
        <v>19834983612406</v>
      </c>
      <c r="R84" s="5">
        <v>198327483184432</v>
      </c>
      <c r="S84" s="5">
        <v>174321516387313</v>
      </c>
      <c r="T84" s="5">
        <v>214568413802558</v>
      </c>
      <c r="U84" s="5">
        <v>241978702002217</v>
      </c>
      <c r="V84" s="5">
        <v>227433490420294</v>
      </c>
      <c r="W84" s="5">
        <v>204190588833835</v>
      </c>
      <c r="X84" s="5">
        <v>247123237532898</v>
      </c>
      <c r="Y84" s="5">
        <v>268660245676801</v>
      </c>
      <c r="Z84" s="5">
        <v>256857402562933</v>
      </c>
      <c r="AA84" s="5">
        <v>249466602096678</v>
      </c>
      <c r="AB84" s="5">
        <v>243809792081407</v>
      </c>
      <c r="AC84" s="5">
        <v>164239414899482</v>
      </c>
      <c r="AD84" s="5">
        <v>188549751149011</v>
      </c>
      <c r="AE84" s="5">
        <v>178657458790896</v>
      </c>
      <c r="AF84" s="5">
        <v>995837868526237</v>
      </c>
      <c r="AG84" s="5">
        <v>107767736720157</v>
      </c>
      <c r="AH84" s="5">
        <v>114981611397055</v>
      </c>
      <c r="AI84" s="5">
        <v>849184332453993</v>
      </c>
      <c r="AJ84" s="5">
        <v>11705362326691</v>
      </c>
      <c r="AK84" s="5">
        <v>115486050098496</v>
      </c>
      <c r="AL84" s="5">
        <v>119438859916102</v>
      </c>
      <c r="AM84" s="5">
        <v>909957564073621</v>
      </c>
      <c r="AN84" s="5">
        <v>204873476907469</v>
      </c>
      <c r="AO84" s="5">
        <v>265041757922479</v>
      </c>
      <c r="AP84" s="6">
        <v>412646785221839</v>
      </c>
      <c r="AQ84" s="6">
        <v>43521790133505</v>
      </c>
      <c r="AR84" s="6">
        <v>362031721990606</v>
      </c>
      <c r="AS84" s="6">
        <v>3012677599437</v>
      </c>
      <c r="AT84" s="6">
        <v>367276799036824</v>
      </c>
      <c r="AU84" s="6">
        <v>279459594402324</v>
      </c>
      <c r="AV84" s="6">
        <v>269160951084969</v>
      </c>
      <c r="AW84" s="6">
        <v>254089333207367</v>
      </c>
      <c r="AX84" s="6">
        <v>26314173203052</v>
      </c>
      <c r="AY84" s="6">
        <v>213140464445304</v>
      </c>
      <c r="AZ84" s="6">
        <v>162298467363338</v>
      </c>
      <c r="BA84" s="6">
        <v>12933181237689</v>
      </c>
      <c r="BB84" s="6">
        <v>113926835273843</v>
      </c>
      <c r="BC84" s="6">
        <v>148535716316083</v>
      </c>
      <c r="BD84" s="6">
        <v>117280176025312</v>
      </c>
      <c r="BE84" s="6">
        <v>174225669228169</v>
      </c>
      <c r="BF84" s="6">
        <v>191062002529515</v>
      </c>
      <c r="BG84" s="6">
        <v>1169656202935</v>
      </c>
      <c r="BH84" s="6">
        <v>11350174314336</v>
      </c>
      <c r="BI84" s="6">
        <v>78769653173145</v>
      </c>
      <c r="BJ84" s="6">
        <v>652652603410258</v>
      </c>
      <c r="BK84" s="6">
        <v>36378340962004</v>
      </c>
      <c r="BL84" s="6">
        <v>263764131813</v>
      </c>
      <c r="BM84" s="6">
        <v>246627826424425</v>
      </c>
    </row>
    <row r="85" spans="1:65" x14ac:dyDescent="0.45">
      <c r="A85" s="1" t="s">
        <v>79</v>
      </c>
      <c r="B85" s="2">
        <v>6676338</v>
      </c>
      <c r="C85" s="3" t="s">
        <v>698</v>
      </c>
      <c r="D85" s="3" t="s">
        <v>699</v>
      </c>
      <c r="E85" s="3" t="s">
        <v>620</v>
      </c>
      <c r="F85" s="5">
        <v>46990134568341</v>
      </c>
      <c r="G85" s="5">
        <v>792106343397315</v>
      </c>
      <c r="H85" s="5">
        <v>14476814962827</v>
      </c>
      <c r="I85" s="5">
        <v>219031342541438</v>
      </c>
      <c r="J85" s="5">
        <v>346563679447912</v>
      </c>
      <c r="K85" s="5">
        <v>302201836502214</v>
      </c>
      <c r="L85" s="5">
        <v>228407074722861</v>
      </c>
      <c r="M85" s="5">
        <v>29017203214921</v>
      </c>
      <c r="N85" s="5">
        <v>581477668411147</v>
      </c>
      <c r="O85" s="5">
        <v>96754810503457</v>
      </c>
      <c r="P85" s="5">
        <v>120729489511578</v>
      </c>
      <c r="Q85" s="5">
        <v>123833789897155</v>
      </c>
      <c r="R85" s="5">
        <v>1744379270532</v>
      </c>
      <c r="S85" s="5">
        <v>212931378912734</v>
      </c>
      <c r="T85" s="5">
        <v>221555981598213</v>
      </c>
      <c r="U85" s="5">
        <v>219847897700283</v>
      </c>
      <c r="V85" s="5">
        <v>23485860543418</v>
      </c>
      <c r="W85" s="5">
        <v>230416505352155</v>
      </c>
      <c r="X85" s="5">
        <v>206118343795406</v>
      </c>
      <c r="Y85" s="5">
        <v>176119305100367</v>
      </c>
      <c r="Z85" s="5">
        <v>185752619196711</v>
      </c>
      <c r="AA85" s="5">
        <v>175121598713856</v>
      </c>
      <c r="AB85" s="5">
        <v>18354062615868</v>
      </c>
      <c r="AC85" s="5">
        <v>151863086243376</v>
      </c>
      <c r="AD85" s="5">
        <v>138210072611751</v>
      </c>
      <c r="AE85" s="5">
        <v>147757086994678</v>
      </c>
      <c r="AF85" s="5">
        <v>112254660546702</v>
      </c>
      <c r="AG85" s="5">
        <v>131896465364858</v>
      </c>
      <c r="AH85" s="5">
        <v>125433941910227</v>
      </c>
      <c r="AI85" s="5">
        <v>905851799853443</v>
      </c>
      <c r="AJ85" s="5">
        <v>73869554287626</v>
      </c>
      <c r="AK85" s="5">
        <v>578422810800205</v>
      </c>
      <c r="AL85" s="5">
        <v>468190145946121</v>
      </c>
      <c r="AM85" s="5">
        <v>32052063378335</v>
      </c>
      <c r="AN85" s="5">
        <v>38110500105988</v>
      </c>
      <c r="AO85" s="5">
        <v>3596118861863</v>
      </c>
      <c r="AP85" s="6">
        <v>727285438766738</v>
      </c>
      <c r="AQ85" s="6">
        <v>725955190029229</v>
      </c>
      <c r="AR85" s="6">
        <v>683198398111271</v>
      </c>
      <c r="AS85" s="6">
        <v>651697135999191</v>
      </c>
      <c r="AT85" s="6">
        <v>608692250024068</v>
      </c>
      <c r="AU85" s="6">
        <v>676560184831758</v>
      </c>
      <c r="AV85" s="6">
        <v>684944778048771</v>
      </c>
      <c r="AW85" s="6">
        <v>614660696957179</v>
      </c>
      <c r="AX85" s="6">
        <v>711598169764219</v>
      </c>
      <c r="AY85" s="6">
        <v>694804344443134</v>
      </c>
      <c r="AZ85" s="6">
        <v>694094493051795</v>
      </c>
      <c r="BA85" s="6">
        <v>685526267408915</v>
      </c>
      <c r="BB85" s="6">
        <v>654473833450969</v>
      </c>
      <c r="BC85" s="6">
        <v>70660865973946</v>
      </c>
      <c r="BD85" s="6">
        <v>632084332607224</v>
      </c>
      <c r="BE85" s="6">
        <v>780041035127545</v>
      </c>
      <c r="BF85" s="6">
        <v>710927720266537</v>
      </c>
      <c r="BG85" s="6">
        <v>734743331917586</v>
      </c>
      <c r="BH85" s="6">
        <v>695312473379849</v>
      </c>
      <c r="BI85" s="6">
        <v>779087926370396</v>
      </c>
      <c r="BJ85" s="6">
        <v>714902473716052</v>
      </c>
      <c r="BK85" s="6">
        <v>716250997607491</v>
      </c>
      <c r="BL85" s="6">
        <v>756845050888508</v>
      </c>
      <c r="BM85" s="6">
        <v>77852319607432</v>
      </c>
    </row>
    <row r="86" spans="1:65" x14ac:dyDescent="0.45">
      <c r="A86" s="1" t="s">
        <v>80</v>
      </c>
      <c r="B86" s="2">
        <v>114523</v>
      </c>
      <c r="C86" s="3" t="s">
        <v>700</v>
      </c>
      <c r="D86" s="3" t="s">
        <v>701</v>
      </c>
      <c r="E86" s="3" t="s">
        <v>702</v>
      </c>
      <c r="F86" s="5">
        <v>116653031338912</v>
      </c>
      <c r="G86" s="5">
        <v>119302167354399</v>
      </c>
      <c r="H86" s="5">
        <v>11556247780174</v>
      </c>
      <c r="I86" s="5">
        <v>883343949606721</v>
      </c>
      <c r="J86" s="5">
        <v>968177761091249</v>
      </c>
      <c r="K86" s="5">
        <v>103668944809384</v>
      </c>
      <c r="L86" s="5">
        <v>912079935729376</v>
      </c>
      <c r="M86" s="5">
        <v>107311617376011</v>
      </c>
      <c r="N86" s="5">
        <v>106558290553127</v>
      </c>
      <c r="O86" s="5">
        <v>107489799286543</v>
      </c>
      <c r="P86" s="5">
        <v>895147346801595</v>
      </c>
      <c r="Q86" s="5">
        <v>973439382463488</v>
      </c>
      <c r="R86" s="5">
        <v>983358704314512</v>
      </c>
      <c r="S86" s="5">
        <v>92793186976992</v>
      </c>
      <c r="T86" s="5">
        <v>96589212764213</v>
      </c>
      <c r="U86" s="5">
        <v>906786385402474</v>
      </c>
      <c r="V86" s="5">
        <v>978052651462569</v>
      </c>
      <c r="W86" s="5">
        <v>95473959668868</v>
      </c>
      <c r="X86" s="5">
        <v>100545861748224</v>
      </c>
      <c r="Y86" s="5">
        <v>108355662078713</v>
      </c>
      <c r="Z86" s="5">
        <v>103875696056873</v>
      </c>
      <c r="AA86" s="5">
        <v>107726541759314</v>
      </c>
      <c r="AB86" s="5">
        <v>972957407462825</v>
      </c>
      <c r="AC86" s="5">
        <v>818275139692125</v>
      </c>
      <c r="AD86" s="5">
        <v>808375659090821</v>
      </c>
      <c r="AE86" s="5">
        <v>789043286129731</v>
      </c>
      <c r="AF86" s="5">
        <v>729759196847779</v>
      </c>
      <c r="AG86" s="5">
        <v>687800749411205</v>
      </c>
      <c r="AH86" s="5">
        <v>644621962757211</v>
      </c>
      <c r="AI86" s="5">
        <v>607938746014637</v>
      </c>
      <c r="AJ86" s="5">
        <v>608395746841806</v>
      </c>
      <c r="AK86" s="5">
        <v>584846613723426</v>
      </c>
      <c r="AL86" s="5">
        <v>575786392092108</v>
      </c>
      <c r="AM86" s="5">
        <v>58086743318604</v>
      </c>
      <c r="AN86" s="5">
        <v>621436201699975</v>
      </c>
      <c r="AO86" s="5">
        <v>654776945774699</v>
      </c>
      <c r="AP86" s="6">
        <v>1184559440148</v>
      </c>
      <c r="AQ86" s="6">
        <v>119634431807228</v>
      </c>
      <c r="AR86" s="6">
        <v>115368866893068</v>
      </c>
      <c r="AS86" s="6">
        <v>117695090261395</v>
      </c>
      <c r="AT86" s="6">
        <v>120996762419892</v>
      </c>
      <c r="AU86" s="6">
        <v>109640429307564</v>
      </c>
      <c r="AV86" s="6">
        <v>101664258646538</v>
      </c>
      <c r="AW86" s="6">
        <v>108698468599714</v>
      </c>
      <c r="AX86" s="6">
        <v>101301426921303</v>
      </c>
      <c r="AY86" s="6">
        <v>948980176443288</v>
      </c>
      <c r="AZ86" s="6">
        <v>939846381851739</v>
      </c>
      <c r="BA86" s="6">
        <v>913600839031965</v>
      </c>
      <c r="BB86" s="6">
        <v>958706143504263</v>
      </c>
      <c r="BC86" s="6">
        <v>106647902255194</v>
      </c>
      <c r="BD86" s="6">
        <v>111486620357812</v>
      </c>
      <c r="BE86" s="6">
        <v>9235420524075</v>
      </c>
      <c r="BF86" s="6">
        <v>9710250795</v>
      </c>
      <c r="BG86" s="6">
        <v>933641900304867</v>
      </c>
      <c r="BH86" s="6">
        <v>100339498889309</v>
      </c>
      <c r="BI86" s="6">
        <v>941287041350579</v>
      </c>
      <c r="BJ86" s="6">
        <v>996360636403191</v>
      </c>
      <c r="BK86" s="6">
        <v>104574545513634</v>
      </c>
      <c r="BL86" s="6">
        <v>103391222484595</v>
      </c>
      <c r="BM86" s="6">
        <v>122575432020607</v>
      </c>
    </row>
    <row r="87" spans="1:65" x14ac:dyDescent="0.45">
      <c r="A87" s="1" t="s">
        <v>81</v>
      </c>
      <c r="B87" s="2">
        <v>4253262</v>
      </c>
      <c r="C87" s="3" t="s">
        <v>703</v>
      </c>
      <c r="D87" s="3" t="s">
        <v>704</v>
      </c>
      <c r="E87" s="3" t="s">
        <v>705</v>
      </c>
      <c r="F87" s="5">
        <v>124542891062768</v>
      </c>
      <c r="G87" s="5">
        <v>130477625457669</v>
      </c>
      <c r="H87" s="5">
        <v>133539632977851</v>
      </c>
      <c r="I87" s="5">
        <v>126950066241178</v>
      </c>
      <c r="J87" s="5">
        <v>124233268021796</v>
      </c>
      <c r="K87" s="5">
        <v>12829475097215</v>
      </c>
      <c r="L87" s="5">
        <v>114978386223578</v>
      </c>
      <c r="M87" s="5">
        <v>111162602963541</v>
      </c>
      <c r="N87" s="5">
        <v>113841285035675</v>
      </c>
      <c r="O87" s="5">
        <v>109375140056738</v>
      </c>
      <c r="P87" s="5">
        <v>111342503975639</v>
      </c>
      <c r="Q87" s="5">
        <v>112853420345696</v>
      </c>
      <c r="R87" s="5">
        <v>122277605257634</v>
      </c>
      <c r="S87" s="5">
        <v>121994839271259</v>
      </c>
      <c r="T87" s="5">
        <v>121681462484766</v>
      </c>
      <c r="U87" s="5">
        <v>113944261038287</v>
      </c>
      <c r="V87" s="5">
        <v>113952654407538</v>
      </c>
      <c r="W87" s="5">
        <v>106484698897978</v>
      </c>
      <c r="X87" s="5">
        <v>107119750767644</v>
      </c>
      <c r="Y87" s="5">
        <v>974272191774525</v>
      </c>
      <c r="Z87" s="5">
        <v>925635539976808</v>
      </c>
      <c r="AA87" s="5">
        <v>901463941742652</v>
      </c>
      <c r="AB87" s="5">
        <v>876875953384476</v>
      </c>
      <c r="AC87" s="5">
        <v>816442264350125</v>
      </c>
      <c r="AD87" s="5">
        <v>82247560612776</v>
      </c>
      <c r="AE87" s="5">
        <v>825520702845992</v>
      </c>
      <c r="AF87" s="5">
        <v>753645868921703</v>
      </c>
      <c r="AG87" s="5">
        <v>812632202290407</v>
      </c>
      <c r="AH87" s="5">
        <v>835068420639681</v>
      </c>
      <c r="AI87" s="5">
        <v>806252747644123</v>
      </c>
      <c r="AJ87" s="5">
        <v>909456583744368</v>
      </c>
      <c r="AK87" s="5">
        <v>105069037642579</v>
      </c>
      <c r="AL87" s="5">
        <v>996730618850333</v>
      </c>
      <c r="AM87" s="5">
        <v>89692702874775</v>
      </c>
      <c r="AN87" s="5">
        <v>114477341934186</v>
      </c>
      <c r="AO87" s="5">
        <v>123122354039916</v>
      </c>
      <c r="AP87" s="6">
        <v>178903694033564</v>
      </c>
      <c r="AQ87" s="6">
        <v>16952156115245</v>
      </c>
      <c r="AR87" s="6">
        <v>158124283445309</v>
      </c>
      <c r="AS87" s="6">
        <v>160019436343983</v>
      </c>
      <c r="AT87" s="6">
        <v>15642644150371</v>
      </c>
      <c r="AU87" s="6">
        <v>156746402741038</v>
      </c>
      <c r="AV87" s="6">
        <v>148364197026037</v>
      </c>
      <c r="AW87" s="6">
        <v>134920752218581</v>
      </c>
      <c r="AX87" s="6">
        <v>152932996779985</v>
      </c>
      <c r="AY87" s="6">
        <v>144804070336414</v>
      </c>
      <c r="AZ87" s="6">
        <v>145091300277381</v>
      </c>
      <c r="BA87" s="6">
        <v>13262407443792</v>
      </c>
      <c r="BB87" s="6">
        <v>116124613179295</v>
      </c>
      <c r="BC87" s="6">
        <v>12810282702078</v>
      </c>
      <c r="BD87" s="6">
        <v>118200916827677</v>
      </c>
      <c r="BE87" s="6">
        <v>126039716130182</v>
      </c>
      <c r="BF87" s="6">
        <v>139630763704349</v>
      </c>
      <c r="BG87" s="6">
        <v>141305294250432</v>
      </c>
      <c r="BH87" s="6">
        <v>135872302083598</v>
      </c>
      <c r="BI87" s="6">
        <v>131552890910214</v>
      </c>
      <c r="BJ87" s="6">
        <v>124608110975812</v>
      </c>
      <c r="BK87" s="6">
        <v>12750886402795</v>
      </c>
      <c r="BL87" s="6">
        <v>128122004873362</v>
      </c>
      <c r="BM87" s="6">
        <v>122908352047992</v>
      </c>
    </row>
    <row r="88" spans="1:65" x14ac:dyDescent="0.45">
      <c r="A88" s="1" t="s">
        <v>82</v>
      </c>
      <c r="B88" s="2">
        <v>4025774</v>
      </c>
      <c r="C88" s="3" t="s">
        <v>706</v>
      </c>
      <c r="D88" s="3" t="s">
        <v>707</v>
      </c>
      <c r="E88" s="3" t="s">
        <v>708</v>
      </c>
      <c r="F88" s="5">
        <v>222587277762976</v>
      </c>
      <c r="G88" s="5">
        <v>238588283634056</v>
      </c>
      <c r="H88" s="5">
        <v>221753172095696</v>
      </c>
      <c r="I88" s="5">
        <v>216400788998974</v>
      </c>
      <c r="J88" s="5">
        <v>246427048028267</v>
      </c>
      <c r="K88" s="5">
        <v>26862378767958</v>
      </c>
      <c r="L88" s="5">
        <v>225337326154797</v>
      </c>
      <c r="M88" s="5">
        <v>247097607619741</v>
      </c>
      <c r="N88" s="5">
        <v>255158412690191</v>
      </c>
      <c r="O88" s="5">
        <v>268145824421996</v>
      </c>
      <c r="P88" s="5">
        <v>282868221465459</v>
      </c>
      <c r="Q88" s="5">
        <v>296746559579278</v>
      </c>
      <c r="R88" s="5">
        <v>312937383902567</v>
      </c>
      <c r="S88" s="5">
        <v>278095351918536</v>
      </c>
      <c r="T88" s="5">
        <v>295211706648943</v>
      </c>
      <c r="U88" s="5">
        <v>276411778770063</v>
      </c>
      <c r="V88" s="5">
        <v>268459068113971</v>
      </c>
      <c r="W88" s="5">
        <v>267572007058138</v>
      </c>
      <c r="X88" s="5">
        <v>23786358865565</v>
      </c>
      <c r="Y88" s="5">
        <v>236938540147432</v>
      </c>
      <c r="Z88" s="5">
        <v>233001609860513</v>
      </c>
      <c r="AA88" s="5">
        <v>221693531556672</v>
      </c>
      <c r="AB88" s="5">
        <v>205978640594328</v>
      </c>
      <c r="AC88" s="5">
        <v>164644539784262</v>
      </c>
      <c r="AD88" s="5">
        <v>168047453522592</v>
      </c>
      <c r="AE88" s="5">
        <v>167661492633914</v>
      </c>
      <c r="AF88" s="5">
        <v>141744613238273</v>
      </c>
      <c r="AG88" s="5">
        <v>131026099263019</v>
      </c>
      <c r="AH88" s="5">
        <v>128867238783383</v>
      </c>
      <c r="AI88" s="5">
        <v>121265859166188</v>
      </c>
      <c r="AJ88" s="5">
        <v>131580427431006</v>
      </c>
      <c r="AK88" s="5">
        <v>129542065857311</v>
      </c>
      <c r="AL88" s="5">
        <v>128905056918812</v>
      </c>
      <c r="AM88" s="5">
        <v>112241492113023</v>
      </c>
      <c r="AN88" s="5">
        <v>167217929782965</v>
      </c>
      <c r="AO88" s="5">
        <v>180382934925798</v>
      </c>
      <c r="AP88" s="6">
        <v>182883522612448</v>
      </c>
      <c r="AQ88" s="6">
        <v>176111359175111</v>
      </c>
      <c r="AR88" s="6">
        <v>164870763349638</v>
      </c>
      <c r="AS88" s="6">
        <v>163561328577027</v>
      </c>
      <c r="AT88" s="6">
        <v>151968528335316</v>
      </c>
      <c r="AU88" s="6">
        <v>153638765970262</v>
      </c>
      <c r="AV88" s="6">
        <v>142439787320532</v>
      </c>
      <c r="AW88" s="6">
        <v>128952792472175</v>
      </c>
      <c r="AX88" s="6">
        <v>13788696625704</v>
      </c>
      <c r="AY88" s="6">
        <v>126273363083357</v>
      </c>
      <c r="AZ88" s="6">
        <v>121242672434688</v>
      </c>
      <c r="BA88" s="6">
        <v>10903099286872</v>
      </c>
      <c r="BB88" s="6">
        <v>106172823116748</v>
      </c>
      <c r="BC88" s="6">
        <v>122769996668605</v>
      </c>
      <c r="BD88" s="6">
        <v>119273640224691</v>
      </c>
      <c r="BE88" s="6">
        <v>115844461782042</v>
      </c>
      <c r="BF88" s="6">
        <v>114178689448982</v>
      </c>
      <c r="BG88" s="6">
        <v>109046518088842</v>
      </c>
      <c r="BH88" s="6">
        <v>105085909321463</v>
      </c>
      <c r="BI88" s="6">
        <v>104196259741937</v>
      </c>
      <c r="BJ88" s="6">
        <v>897131156049984</v>
      </c>
      <c r="BK88" s="6">
        <v>870888817506377</v>
      </c>
      <c r="BL88" s="6">
        <v>914239208624742</v>
      </c>
      <c r="BM88" s="6">
        <v>920270052338251</v>
      </c>
    </row>
    <row r="89" spans="1:65" x14ac:dyDescent="0.45">
      <c r="A89" s="1" t="s">
        <v>83</v>
      </c>
      <c r="B89" s="2">
        <v>4114659</v>
      </c>
      <c r="C89" s="3" t="s">
        <v>709</v>
      </c>
      <c r="D89" s="3" t="s">
        <v>710</v>
      </c>
      <c r="E89" s="3" t="s">
        <v>711</v>
      </c>
      <c r="F89" s="5">
        <v>226234683488945</v>
      </c>
      <c r="G89" s="5">
        <v>247662881526923</v>
      </c>
      <c r="H89" s="5">
        <v>236354798984632</v>
      </c>
      <c r="I89" s="5">
        <v>215267174891819</v>
      </c>
      <c r="J89" s="5">
        <v>22922109301489</v>
      </c>
      <c r="K89" s="5">
        <v>240468165412286</v>
      </c>
      <c r="L89" s="5">
        <v>203648974978051</v>
      </c>
      <c r="M89" s="5">
        <v>213923998532743</v>
      </c>
      <c r="N89" s="5">
        <v>20896052543521</v>
      </c>
      <c r="O89" s="5">
        <v>217309997904952</v>
      </c>
      <c r="P89" s="5">
        <v>207241601875266</v>
      </c>
      <c r="Q89" s="5">
        <v>229078538422675</v>
      </c>
      <c r="R89" s="5">
        <v>244387029198075</v>
      </c>
      <c r="S89" s="5">
        <v>228014947628214</v>
      </c>
      <c r="T89" s="5">
        <v>221938193219229</v>
      </c>
      <c r="U89" s="5">
        <v>215932303354612</v>
      </c>
      <c r="V89" s="5">
        <v>233682879759915</v>
      </c>
      <c r="W89" s="5">
        <v>216704271213011</v>
      </c>
      <c r="X89" s="5">
        <v>206519549506272</v>
      </c>
      <c r="Y89" s="5">
        <v>190294214316965</v>
      </c>
      <c r="Z89" s="5">
        <v>20832066959703</v>
      </c>
      <c r="AA89" s="5">
        <v>19844643645567</v>
      </c>
      <c r="AB89" s="5">
        <v>182822567773456</v>
      </c>
      <c r="AC89" s="5">
        <v>155087169912822</v>
      </c>
      <c r="AD89" s="5">
        <v>154053103478866</v>
      </c>
      <c r="AE89" s="5">
        <v>156115934343914</v>
      </c>
      <c r="AF89" s="5">
        <v>150092846959565</v>
      </c>
      <c r="AG89" s="5">
        <v>145225939761739</v>
      </c>
      <c r="AH89" s="5">
        <v>135633512424853</v>
      </c>
      <c r="AI89" s="5">
        <v>139850474182335</v>
      </c>
      <c r="AJ89" s="5">
        <v>146925708541184</v>
      </c>
      <c r="AK89" s="5">
        <v>141981573755561</v>
      </c>
      <c r="AL89" s="5">
        <v>14408189976646</v>
      </c>
      <c r="AM89" s="5">
        <v>121178343127023</v>
      </c>
      <c r="AN89" s="5">
        <v>148282871623386</v>
      </c>
      <c r="AO89" s="5">
        <v>169063133478327</v>
      </c>
      <c r="AP89" s="6">
        <v>156009370404899</v>
      </c>
      <c r="AQ89" s="6">
        <v>164299373413556</v>
      </c>
      <c r="AR89" s="6">
        <v>159565663371434</v>
      </c>
      <c r="AS89" s="6">
        <v>157295842459013</v>
      </c>
      <c r="AT89" s="6">
        <v>155827233090419</v>
      </c>
      <c r="AU89" s="6">
        <v>164577537697655</v>
      </c>
      <c r="AV89" s="6">
        <v>157478207969781</v>
      </c>
      <c r="AW89" s="6">
        <v>146804829698999</v>
      </c>
      <c r="AX89" s="6">
        <v>140846142576069</v>
      </c>
      <c r="AY89" s="6">
        <v>149562086476018</v>
      </c>
      <c r="AZ89" s="6">
        <v>154403243191069</v>
      </c>
      <c r="BA89" s="6">
        <v>153635467032249</v>
      </c>
      <c r="BB89" s="6">
        <v>137716418312933</v>
      </c>
      <c r="BC89" s="6">
        <v>166402718644646</v>
      </c>
      <c r="BD89" s="6">
        <v>16821296357712</v>
      </c>
      <c r="BE89" s="6">
        <v>171730390371216</v>
      </c>
      <c r="BF89" s="6">
        <v>167696206550758</v>
      </c>
      <c r="BG89" s="6">
        <v>153695214726777</v>
      </c>
      <c r="BH89" s="6">
        <v>160643621391273</v>
      </c>
      <c r="BI89" s="6">
        <v>15485521531464</v>
      </c>
      <c r="BJ89" s="6">
        <v>164792140708344</v>
      </c>
      <c r="BK89" s="6">
        <v>154001151429115</v>
      </c>
      <c r="BL89" s="6">
        <v>171201390629396</v>
      </c>
      <c r="BM89" s="6">
        <v>175077890298185</v>
      </c>
    </row>
    <row r="90" spans="1:65" x14ac:dyDescent="0.45">
      <c r="A90" s="1" t="s">
        <v>84</v>
      </c>
      <c r="B90" s="2">
        <v>4022647</v>
      </c>
      <c r="C90" s="3" t="s">
        <v>712</v>
      </c>
      <c r="D90" s="3" t="s">
        <v>713</v>
      </c>
      <c r="E90" s="3" t="s">
        <v>695</v>
      </c>
      <c r="F90" s="5">
        <v>313332409759793</v>
      </c>
      <c r="G90" s="5">
        <v>340430279575699</v>
      </c>
      <c r="H90" s="5">
        <v>329533290488739</v>
      </c>
      <c r="I90" s="5">
        <v>286035926946491</v>
      </c>
      <c r="J90" s="5">
        <v>30160078167179</v>
      </c>
      <c r="K90" s="5">
        <v>299679738756966</v>
      </c>
      <c r="L90" s="5">
        <v>283488159313404</v>
      </c>
      <c r="M90" s="5">
        <v>30221422653164</v>
      </c>
      <c r="N90" s="5">
        <v>300235771099428</v>
      </c>
      <c r="O90" s="5">
        <v>291265576068591</v>
      </c>
      <c r="P90" s="5">
        <v>26544342581157</v>
      </c>
      <c r="Q90" s="5">
        <v>254233785312403</v>
      </c>
      <c r="R90" s="5">
        <v>243204200724549</v>
      </c>
      <c r="S90" s="5">
        <v>213739224945174</v>
      </c>
      <c r="T90" s="5">
        <v>219262982318079</v>
      </c>
      <c r="U90" s="5">
        <v>214148435441494</v>
      </c>
      <c r="V90" s="5">
        <v>215135116717562</v>
      </c>
      <c r="W90" s="5">
        <v>213610866304353</v>
      </c>
      <c r="X90" s="5">
        <v>200277584512009</v>
      </c>
      <c r="Y90" s="5">
        <v>193382214610699</v>
      </c>
      <c r="Z90" s="5">
        <v>20556804477396</v>
      </c>
      <c r="AA90" s="5">
        <v>20592546171186</v>
      </c>
      <c r="AB90" s="5">
        <v>171253746497295</v>
      </c>
      <c r="AC90" s="5">
        <v>175641640169904</v>
      </c>
      <c r="AD90" s="5">
        <v>163233946805436</v>
      </c>
      <c r="AE90" s="5">
        <v>176210621553993</v>
      </c>
      <c r="AF90" s="5">
        <v>168289733169923</v>
      </c>
      <c r="AG90" s="5">
        <v>168492660321242</v>
      </c>
      <c r="AH90" s="5">
        <v>16569290255543</v>
      </c>
      <c r="AI90" s="5">
        <v>172263040567814</v>
      </c>
      <c r="AJ90" s="5">
        <v>182135427922949</v>
      </c>
      <c r="AK90" s="5">
        <v>174434818725741</v>
      </c>
      <c r="AL90" s="5">
        <v>168745187880333</v>
      </c>
      <c r="AM90" s="5">
        <v>1658149240839</v>
      </c>
      <c r="AN90" s="5">
        <v>157861687996367</v>
      </c>
      <c r="AO90" s="5">
        <v>158897208219605</v>
      </c>
      <c r="AP90" s="6">
        <v>231822864464609</v>
      </c>
      <c r="AQ90" s="6">
        <v>227101927148572</v>
      </c>
      <c r="AR90" s="6">
        <v>197041694946289</v>
      </c>
      <c r="AS90" s="6">
        <v>164092746713322</v>
      </c>
      <c r="AT90" s="6">
        <v>175314514087828</v>
      </c>
      <c r="AU90" s="6">
        <v>193579166230051</v>
      </c>
      <c r="AV90" s="6">
        <v>19049714037925</v>
      </c>
      <c r="AW90" s="6">
        <v>21413094522204</v>
      </c>
      <c r="AX90" s="6">
        <v>19019877798768</v>
      </c>
      <c r="AY90" s="6">
        <v>195489159798141</v>
      </c>
      <c r="AZ90" s="6">
        <v>220911911181184</v>
      </c>
      <c r="BA90" s="6">
        <v>2350242138024</v>
      </c>
      <c r="BB90" s="6">
        <v>2076335147568</v>
      </c>
      <c r="BC90" s="6">
        <v>257998626041184</v>
      </c>
      <c r="BD90" s="6">
        <v>236441487461432</v>
      </c>
      <c r="BE90" s="6">
        <v>25577474254126</v>
      </c>
      <c r="BF90" s="6">
        <v>259018565603009</v>
      </c>
      <c r="BG90" s="6">
        <v>228588166004069</v>
      </c>
      <c r="BH90" s="6">
        <v>2166768324738</v>
      </c>
      <c r="BI90" s="6">
        <v>2061815492376</v>
      </c>
      <c r="BJ90" s="6">
        <v>160547739933706</v>
      </c>
      <c r="BK90" s="6">
        <v>1520953876684</v>
      </c>
      <c r="BL90" s="6">
        <v>144110611375731</v>
      </c>
      <c r="BM90" s="6">
        <v>148770013632113</v>
      </c>
    </row>
    <row r="91" spans="1:65" x14ac:dyDescent="0.45">
      <c r="A91" s="1" t="s">
        <v>85</v>
      </c>
      <c r="B91" s="2">
        <v>4022661</v>
      </c>
      <c r="C91" s="3" t="s">
        <v>714</v>
      </c>
      <c r="D91" s="3" t="s">
        <v>715</v>
      </c>
      <c r="E91" s="3" t="s">
        <v>716</v>
      </c>
      <c r="F91" s="5">
        <v>434529324606356</v>
      </c>
      <c r="G91" s="5">
        <v>477993312154978</v>
      </c>
      <c r="H91" s="5">
        <v>487504119357055</v>
      </c>
      <c r="I91" s="5">
        <v>453553045606278</v>
      </c>
      <c r="J91" s="5">
        <v>509294798303792</v>
      </c>
      <c r="K91" s="5">
        <v>528721542613797</v>
      </c>
      <c r="L91" s="5">
        <v>47339539672169</v>
      </c>
      <c r="M91" s="5">
        <v>443989021978551</v>
      </c>
      <c r="N91" s="5">
        <v>447051905512244</v>
      </c>
      <c r="O91" s="5">
        <v>441748387268243</v>
      </c>
      <c r="P91" s="5">
        <v>428832547687557</v>
      </c>
      <c r="Q91" s="5">
        <v>405091822395433</v>
      </c>
      <c r="R91" s="5">
        <v>422773081560662</v>
      </c>
      <c r="S91" s="5">
        <v>369678002487193</v>
      </c>
      <c r="T91" s="5">
        <v>359486540276881</v>
      </c>
      <c r="U91" s="5">
        <v>313450446374053</v>
      </c>
      <c r="V91" s="5">
        <v>311092548240053</v>
      </c>
      <c r="W91" s="5">
        <v>337222076968135</v>
      </c>
      <c r="X91" s="5">
        <v>358435278015269</v>
      </c>
      <c r="Y91" s="5">
        <v>351906539012976</v>
      </c>
      <c r="Z91" s="5">
        <v>29908548918215</v>
      </c>
      <c r="AA91" s="5">
        <v>316685087852641</v>
      </c>
      <c r="AB91" s="5">
        <v>281393962030125</v>
      </c>
      <c r="AC91" s="5">
        <v>288015310250255</v>
      </c>
      <c r="AD91" s="5">
        <v>28453295840251</v>
      </c>
      <c r="AE91" s="5">
        <v>299074458206375</v>
      </c>
      <c r="AF91" s="5">
        <v>294036915036202</v>
      </c>
      <c r="AG91" s="5">
        <v>287844702115253</v>
      </c>
      <c r="AH91" s="5">
        <v>29723414837983</v>
      </c>
      <c r="AI91" s="5">
        <v>319611204859147</v>
      </c>
      <c r="AJ91" s="5">
        <v>327037451730515</v>
      </c>
      <c r="AK91" s="5">
        <v>345114078862788</v>
      </c>
      <c r="AL91" s="5">
        <v>352462669421672</v>
      </c>
      <c r="AM91" s="5">
        <v>317248065823689</v>
      </c>
      <c r="AN91" s="5">
        <v>282887686480573</v>
      </c>
      <c r="AO91" s="5">
        <v>330808253003626</v>
      </c>
      <c r="AP91" s="6">
        <v>122046230346917</v>
      </c>
      <c r="AQ91" s="6">
        <v>111952974762403</v>
      </c>
      <c r="AR91" s="6">
        <v>130976436196537</v>
      </c>
      <c r="AS91" s="6">
        <v>139009093023696</v>
      </c>
      <c r="AT91" s="6">
        <v>126441507089948</v>
      </c>
      <c r="AU91" s="6">
        <v>130894052412876</v>
      </c>
      <c r="AV91" s="6">
        <v>126347164384099</v>
      </c>
      <c r="AW91" s="6">
        <v>128122248547962</v>
      </c>
      <c r="AX91" s="6">
        <v>138735988638975</v>
      </c>
      <c r="AY91" s="6">
        <v>137162469049749</v>
      </c>
      <c r="AZ91" s="6">
        <v>132648929620479</v>
      </c>
      <c r="BA91" s="6">
        <v>135287392999129</v>
      </c>
      <c r="BB91" s="6">
        <v>123574159355657</v>
      </c>
      <c r="BC91" s="6">
        <v>123986890462852</v>
      </c>
      <c r="BD91" s="6">
        <v>119600381417148</v>
      </c>
      <c r="BE91" s="6">
        <v>117113207107168</v>
      </c>
      <c r="BF91" s="6">
        <v>103318635982947</v>
      </c>
      <c r="BG91" s="6">
        <v>105004030698387</v>
      </c>
      <c r="BH91" s="6">
        <v>102475946700634</v>
      </c>
      <c r="BI91" s="6">
        <v>967005040978969</v>
      </c>
      <c r="BJ91" s="6">
        <v>90515282136642</v>
      </c>
      <c r="BK91" s="6">
        <v>961389614432344</v>
      </c>
      <c r="BL91" s="6">
        <v>954941860884375</v>
      </c>
      <c r="BM91" s="6">
        <v>976459087160212</v>
      </c>
    </row>
    <row r="92" spans="1:65" x14ac:dyDescent="0.45">
      <c r="A92" s="1" t="s">
        <v>86</v>
      </c>
      <c r="B92" s="2">
        <v>4074390</v>
      </c>
      <c r="C92" s="3" t="s">
        <v>717</v>
      </c>
      <c r="D92" s="3" t="s">
        <v>718</v>
      </c>
      <c r="E92" s="3" t="s">
        <v>548</v>
      </c>
      <c r="F92" s="5">
        <v>176658041329017</v>
      </c>
      <c r="G92" s="5">
        <v>189914324199536</v>
      </c>
      <c r="H92" s="5">
        <v>182135921683159</v>
      </c>
      <c r="I92" s="5">
        <v>180906319942132</v>
      </c>
      <c r="J92" s="5">
        <v>197073043736648</v>
      </c>
      <c r="K92" s="5">
        <v>195562663116534</v>
      </c>
      <c r="L92" s="5">
        <v>178110263912754</v>
      </c>
      <c r="M92" s="5">
        <v>188040303203245</v>
      </c>
      <c r="N92" s="5">
        <v>182823860317346</v>
      </c>
      <c r="O92" s="5">
        <v>1736108518964</v>
      </c>
      <c r="P92" s="5">
        <v>153178479755967</v>
      </c>
      <c r="Q92" s="5">
        <v>159227596426591</v>
      </c>
      <c r="R92" s="5">
        <v>15433159369782</v>
      </c>
      <c r="S92" s="5">
        <v>144559579881964</v>
      </c>
      <c r="T92" s="5">
        <v>133515308126908</v>
      </c>
      <c r="U92" s="5">
        <v>125840271049798</v>
      </c>
      <c r="V92" s="5">
        <v>126026248903255</v>
      </c>
      <c r="W92" s="5">
        <v>124590547838513</v>
      </c>
      <c r="X92" s="5">
        <v>120047517633433</v>
      </c>
      <c r="Y92" s="5">
        <v>120503102388785</v>
      </c>
      <c r="Z92" s="5">
        <v>112293808940506</v>
      </c>
      <c r="AA92" s="5">
        <v>106442985867408</v>
      </c>
      <c r="AB92" s="5">
        <v>886232285956152</v>
      </c>
      <c r="AC92" s="5">
        <v>946569053925504</v>
      </c>
      <c r="AD92" s="5">
        <v>9638266987584</v>
      </c>
      <c r="AE92" s="5">
        <v>105712039633018</v>
      </c>
      <c r="AF92" s="5">
        <v>987846858438402</v>
      </c>
      <c r="AG92" s="5">
        <v>897777767030004</v>
      </c>
      <c r="AH92" s="5">
        <v>914672331004257</v>
      </c>
      <c r="AI92" s="5">
        <v>875274596347348</v>
      </c>
      <c r="AJ92" s="5">
        <v>903653562069334</v>
      </c>
      <c r="AK92" s="5">
        <v>871132044752746</v>
      </c>
      <c r="AL92" s="5">
        <v>782426446733003</v>
      </c>
      <c r="AM92" s="5">
        <v>70665110231625</v>
      </c>
      <c r="AN92" s="5">
        <v>105129975413339</v>
      </c>
      <c r="AO92" s="5">
        <v>119960234641861</v>
      </c>
      <c r="AP92" s="6">
        <v>924979145897745</v>
      </c>
      <c r="AQ92" s="6">
        <v>911913276997495</v>
      </c>
      <c r="AR92" s="6">
        <v>884588382134133</v>
      </c>
      <c r="AS92" s="6">
        <v>985115004578748</v>
      </c>
      <c r="AT92" s="6">
        <v>956580428733797</v>
      </c>
      <c r="AU92" s="6">
        <v>984451334510322</v>
      </c>
      <c r="AV92" s="6">
        <v>907496144111092</v>
      </c>
      <c r="AW92" s="6">
        <v>798074990864377</v>
      </c>
      <c r="AX92" s="6">
        <v>888835533860505</v>
      </c>
      <c r="AY92" s="6">
        <v>810060928865496</v>
      </c>
      <c r="AZ92" s="6">
        <v>825939235989174</v>
      </c>
      <c r="BA92" s="6">
        <v>879464326902345</v>
      </c>
      <c r="BB92" s="6">
        <v>877045263124727</v>
      </c>
      <c r="BC92" s="6">
        <v>859979942440589</v>
      </c>
      <c r="BD92" s="6">
        <v>990712714741681</v>
      </c>
      <c r="BE92" s="6">
        <v>109395262756088</v>
      </c>
      <c r="BF92" s="6">
        <v>104488725024153</v>
      </c>
      <c r="BG92" s="6">
        <v>885760667935917</v>
      </c>
      <c r="BH92" s="6">
        <v>888055760123172</v>
      </c>
      <c r="BI92" s="6">
        <v>823427690991503</v>
      </c>
      <c r="BJ92" s="6">
        <v>749876999318528</v>
      </c>
      <c r="BK92" s="6">
        <v>715990493875149</v>
      </c>
      <c r="BL92" s="6">
        <v>787956959852244</v>
      </c>
      <c r="BM92" s="6">
        <v>795825341980077</v>
      </c>
    </row>
    <row r="93" spans="1:65" x14ac:dyDescent="0.45">
      <c r="A93" s="1" t="s">
        <v>87</v>
      </c>
      <c r="B93" s="2">
        <v>4533245</v>
      </c>
      <c r="C93" s="3" t="s">
        <v>719</v>
      </c>
      <c r="D93" s="3" t="s">
        <v>720</v>
      </c>
      <c r="E93" s="3" t="s">
        <v>721</v>
      </c>
      <c r="F93" s="5">
        <v>156405457410793</v>
      </c>
      <c r="G93" s="5">
        <v>205825981405103</v>
      </c>
      <c r="H93" s="5">
        <v>214126841453748</v>
      </c>
      <c r="I93" s="5">
        <v>195585672583262</v>
      </c>
      <c r="J93" s="5">
        <v>204691249369472</v>
      </c>
      <c r="K93" s="5">
        <v>195289584292411</v>
      </c>
      <c r="L93" s="5">
        <v>17107284790827</v>
      </c>
      <c r="M93" s="5">
        <v>192046079954492</v>
      </c>
      <c r="N93" s="5">
        <v>192137828162138</v>
      </c>
      <c r="O93" s="5">
        <v>194004429380321</v>
      </c>
      <c r="P93" s="5">
        <v>14988079740611</v>
      </c>
      <c r="Q93" s="5">
        <v>131874805479398</v>
      </c>
      <c r="R93" s="5">
        <v>133482766458658</v>
      </c>
      <c r="S93" s="5">
        <v>115292233621971</v>
      </c>
      <c r="T93" s="5">
        <v>105652704825338</v>
      </c>
      <c r="U93" s="5">
        <v>103589699174007</v>
      </c>
      <c r="V93" s="5">
        <v>827655642679522</v>
      </c>
      <c r="W93" s="5">
        <v>8544504027402</v>
      </c>
      <c r="X93" s="5">
        <v>930843021322872</v>
      </c>
      <c r="Y93" s="5">
        <v>935842398418044</v>
      </c>
      <c r="Z93" s="5">
        <v>866969678583491</v>
      </c>
      <c r="AA93" s="5">
        <v>829174514131056</v>
      </c>
      <c r="AB93" s="5">
        <v>80146969769808</v>
      </c>
      <c r="AC93" s="5">
        <v>729215580042858</v>
      </c>
      <c r="AD93" s="5">
        <v>676946890515787</v>
      </c>
      <c r="AE93" s="5">
        <v>667609127729745</v>
      </c>
      <c r="AF93" s="5">
        <v>506727371924368</v>
      </c>
      <c r="AG93" s="5">
        <v>559352424467448</v>
      </c>
      <c r="AH93" s="5">
        <v>583785192019529</v>
      </c>
      <c r="AI93" s="5">
        <v>566204652231297</v>
      </c>
      <c r="AJ93" s="5">
        <v>534604452602951</v>
      </c>
      <c r="AK93" s="5">
        <v>564816380992826</v>
      </c>
      <c r="AL93" s="5">
        <v>537437520995925</v>
      </c>
      <c r="AM93" s="5">
        <v>5350668973104</v>
      </c>
      <c r="AN93" s="5">
        <v>724536567293125</v>
      </c>
      <c r="AO93" s="5">
        <v>789985431906616</v>
      </c>
      <c r="AP93" s="6">
        <v>66481711204713</v>
      </c>
      <c r="AQ93" s="6">
        <v>64383817599325</v>
      </c>
      <c r="AR93" s="6">
        <v>569116288866586</v>
      </c>
      <c r="AS93" s="6">
        <v>592502093069859</v>
      </c>
      <c r="AT93" s="6">
        <v>58220628400768</v>
      </c>
      <c r="AU93" s="6">
        <v>59000152116423</v>
      </c>
      <c r="AV93" s="6">
        <v>607975990690068</v>
      </c>
      <c r="AW93" s="6">
        <v>54868805757907</v>
      </c>
      <c r="AX93" s="6">
        <v>611087253519435</v>
      </c>
      <c r="AY93" s="6">
        <v>624134221343325</v>
      </c>
      <c r="AZ93" s="6">
        <v>602054894095307</v>
      </c>
      <c r="BA93" s="6">
        <v>51725232363654</v>
      </c>
      <c r="BB93" s="6">
        <v>475439902914504</v>
      </c>
      <c r="BC93" s="6">
        <v>57282605357184</v>
      </c>
      <c r="BD93" s="6">
        <v>516962701552875</v>
      </c>
      <c r="BE93" s="6">
        <v>556208072296275</v>
      </c>
      <c r="BF93" s="6">
        <v>511083034512938</v>
      </c>
      <c r="BG93" s="6">
        <v>508892165025915</v>
      </c>
      <c r="BH93" s="6">
        <v>460998064230521</v>
      </c>
      <c r="BI93" s="6">
        <v>441842242644634</v>
      </c>
      <c r="BJ93" s="6">
        <v>413754620122755</v>
      </c>
      <c r="BK93" s="6">
        <v>411687581999069</v>
      </c>
      <c r="BL93" s="6">
        <v>414118892576844</v>
      </c>
      <c r="BM93" s="6">
        <v>401451500413797</v>
      </c>
    </row>
    <row r="94" spans="1:65" x14ac:dyDescent="0.45">
      <c r="A94" s="1" t="s">
        <v>88</v>
      </c>
      <c r="B94" s="2">
        <v>4388431</v>
      </c>
      <c r="C94" s="3" t="s">
        <v>722</v>
      </c>
      <c r="D94" s="3" t="s">
        <v>723</v>
      </c>
      <c r="E94" s="3" t="s">
        <v>513</v>
      </c>
      <c r="F94" s="5">
        <v>103735998195437</v>
      </c>
      <c r="G94" s="5">
        <v>112769655695418</v>
      </c>
      <c r="H94" s="5">
        <v>109177287378415</v>
      </c>
      <c r="I94" s="5">
        <v>102080948141885</v>
      </c>
      <c r="J94" s="5">
        <v>103655719360416</v>
      </c>
      <c r="K94" s="5">
        <v>124791680917618</v>
      </c>
      <c r="L94" s="5">
        <v>103989268243917</v>
      </c>
      <c r="M94" s="5">
        <v>110849075582045</v>
      </c>
      <c r="N94" s="5">
        <v>116415522065689</v>
      </c>
      <c r="O94" s="5">
        <v>129057377944843</v>
      </c>
      <c r="P94" s="5">
        <v>130899202843451</v>
      </c>
      <c r="Q94" s="5">
        <v>148572099832735</v>
      </c>
      <c r="R94" s="5">
        <v>167189893212149</v>
      </c>
      <c r="S94" s="5">
        <v>163807370522417</v>
      </c>
      <c r="T94" s="5">
        <v>195548198592286</v>
      </c>
      <c r="U94" s="5">
        <v>179438017278385</v>
      </c>
      <c r="V94" s="5">
        <v>189510546197874</v>
      </c>
      <c r="W94" s="5">
        <v>172384016864378</v>
      </c>
      <c r="X94" s="5">
        <v>156784019733458</v>
      </c>
      <c r="Y94" s="5">
        <v>139361503294671</v>
      </c>
      <c r="Z94" s="5">
        <v>138763495095156</v>
      </c>
      <c r="AA94" s="5">
        <v>123986398179215</v>
      </c>
      <c r="AB94" s="5">
        <v>117718143692592</v>
      </c>
      <c r="AC94" s="5">
        <v>106153445011541</v>
      </c>
      <c r="AD94" s="5">
        <v>101604561452043</v>
      </c>
      <c r="AE94" s="5">
        <v>976064153145338</v>
      </c>
      <c r="AF94" s="5">
        <v>971918035628562</v>
      </c>
      <c r="AG94" s="5">
        <v>958025913209344</v>
      </c>
      <c r="AH94" s="5">
        <v>90987173364416</v>
      </c>
      <c r="AI94" s="5">
        <v>832409605141894</v>
      </c>
      <c r="AJ94" s="5">
        <v>766696044194817</v>
      </c>
      <c r="AK94" s="5">
        <v>799737618181229</v>
      </c>
      <c r="AL94" s="5">
        <v>654400567775457</v>
      </c>
      <c r="AM94" s="5">
        <v>56833792340871</v>
      </c>
      <c r="AN94" s="5">
        <v>692581187800438</v>
      </c>
      <c r="AO94" s="5">
        <v>6809667965903</v>
      </c>
      <c r="AP94" s="6">
        <v>928397352372146</v>
      </c>
      <c r="AQ94" s="6">
        <v>916211346930091</v>
      </c>
      <c r="AR94" s="6">
        <v>901469118707447</v>
      </c>
      <c r="AS94" s="6">
        <v>837086466874466</v>
      </c>
      <c r="AT94" s="6">
        <v>824781114652426</v>
      </c>
      <c r="AU94" s="6">
        <v>766897266901234</v>
      </c>
      <c r="AV94" s="6">
        <v>775860910253858</v>
      </c>
      <c r="AW94" s="6">
        <v>75518023922286</v>
      </c>
      <c r="AX94" s="6">
        <v>740122076981306</v>
      </c>
      <c r="AY94" s="6">
        <v>695381099208018</v>
      </c>
      <c r="AZ94" s="6">
        <v>682518872015636</v>
      </c>
      <c r="BA94" s="6">
        <v>651287491148232</v>
      </c>
      <c r="BB94" s="6">
        <v>56975965122475</v>
      </c>
      <c r="BC94" s="6">
        <v>665576910458419</v>
      </c>
      <c r="BD94" s="6">
        <v>647944422142132</v>
      </c>
      <c r="BE94" s="6">
        <v>650343354904497</v>
      </c>
      <c r="BF94" s="6">
        <v>620026413105472</v>
      </c>
      <c r="BG94" s="6">
        <v>603457439711145</v>
      </c>
      <c r="BH94" s="6">
        <v>596770087213639</v>
      </c>
      <c r="BI94" s="6">
        <v>531666435740076</v>
      </c>
      <c r="BJ94" s="6">
        <v>533538526340841</v>
      </c>
      <c r="BK94" s="6">
        <v>601805757656835</v>
      </c>
      <c r="BL94" s="6">
        <v>667913968414602</v>
      </c>
      <c r="BM94" s="6">
        <v>757783937875213</v>
      </c>
    </row>
    <row r="95" spans="1:65" x14ac:dyDescent="0.45">
      <c r="A95" s="1" t="s">
        <v>89</v>
      </c>
      <c r="B95" s="2">
        <v>4121481</v>
      </c>
      <c r="C95" s="3" t="s">
        <v>724</v>
      </c>
      <c r="D95" s="3" t="s">
        <v>725</v>
      </c>
      <c r="E95" s="3" t="s">
        <v>726</v>
      </c>
      <c r="F95" s="5">
        <v>492355242170753</v>
      </c>
      <c r="G95" s="5">
        <v>588776261483995</v>
      </c>
      <c r="H95" s="5">
        <v>576890364165299</v>
      </c>
      <c r="I95" s="5">
        <v>494520778649985</v>
      </c>
      <c r="J95" s="5">
        <v>654925421184023</v>
      </c>
      <c r="K95" s="5">
        <v>677194007495975</v>
      </c>
      <c r="L95" s="5">
        <v>720368697677235</v>
      </c>
      <c r="M95" s="5">
        <v>759447145235826</v>
      </c>
      <c r="N95" s="5">
        <v>653503909563066</v>
      </c>
      <c r="O95" s="5">
        <v>940376717137529</v>
      </c>
      <c r="P95" s="5">
        <v>925694533364563</v>
      </c>
      <c r="Q95" s="5">
        <v>915068981493786</v>
      </c>
      <c r="R95" s="5">
        <v>102783488652825</v>
      </c>
      <c r="S95" s="5">
        <v>102801847162348</v>
      </c>
      <c r="T95" s="5">
        <v>104642315935473</v>
      </c>
      <c r="U95" s="5">
        <v>115392325125482</v>
      </c>
      <c r="V95" s="5">
        <v>127181869659461</v>
      </c>
      <c r="W95" s="5">
        <v>115299565131535</v>
      </c>
      <c r="X95" s="5">
        <v>1147978744432</v>
      </c>
      <c r="Y95" s="5">
        <v>10751365036985</v>
      </c>
      <c r="Z95" s="5">
        <v>105622672078087</v>
      </c>
      <c r="AA95" s="5">
        <v>101844584500333</v>
      </c>
      <c r="AB95" s="5">
        <v>982199919225886</v>
      </c>
      <c r="AC95" s="5">
        <v>969638978958125</v>
      </c>
      <c r="AD95" s="5">
        <v>108095892624784</v>
      </c>
      <c r="AE95" s="5">
        <v>109035886967959</v>
      </c>
      <c r="AF95" s="5">
        <v>103562887997045</v>
      </c>
      <c r="AG95" s="5">
        <v>108942422146422</v>
      </c>
      <c r="AH95" s="5">
        <v>105514422238259</v>
      </c>
      <c r="AI95" s="5">
        <v>100456739104498</v>
      </c>
      <c r="AJ95" s="5">
        <v>935710055024633</v>
      </c>
      <c r="AK95" s="5">
        <v>101025455622448</v>
      </c>
      <c r="AL95" s="5">
        <v>106017943259592</v>
      </c>
      <c r="AM95" s="5">
        <v>929855104525074</v>
      </c>
      <c r="AN95" s="5">
        <v>941615123186347</v>
      </c>
      <c r="AO95" s="5">
        <v>980060544229589</v>
      </c>
      <c r="AP95" s="6">
        <v>201532621093199</v>
      </c>
      <c r="AQ95" s="6">
        <v>199507144934103</v>
      </c>
      <c r="AR95" s="6">
        <v>19631853786761</v>
      </c>
      <c r="AS95" s="6">
        <v>204946268284756</v>
      </c>
      <c r="AT95" s="6">
        <v>201673257383612</v>
      </c>
      <c r="AU95" s="6">
        <v>210710541371677</v>
      </c>
      <c r="AV95" s="6">
        <v>208317090297334</v>
      </c>
      <c r="AW95" s="6">
        <v>194557842577609</v>
      </c>
      <c r="AX95" s="6">
        <v>204118051520149</v>
      </c>
      <c r="AY95" s="6">
        <v>207287882181052</v>
      </c>
      <c r="AZ95" s="6">
        <v>198316357415669</v>
      </c>
      <c r="BA95" s="6">
        <v>189830288339707</v>
      </c>
      <c r="BB95" s="6">
        <v>180210200132058</v>
      </c>
      <c r="BC95" s="6">
        <v>199234341702289</v>
      </c>
      <c r="BD95" s="6">
        <v>187616496416002</v>
      </c>
      <c r="BE95" s="6">
        <v>200176445542324</v>
      </c>
      <c r="BF95" s="6">
        <v>194103224666239</v>
      </c>
      <c r="BG95" s="6">
        <v>20618821508265</v>
      </c>
      <c r="BH95" s="6">
        <v>207077648472891</v>
      </c>
      <c r="BI95" s="6">
        <v>203731475380134</v>
      </c>
      <c r="BJ95" s="6">
        <v>198006223998366</v>
      </c>
      <c r="BK95" s="6">
        <v>175323060988359</v>
      </c>
      <c r="BL95" s="6">
        <v>173291024423135</v>
      </c>
      <c r="BM95" s="6">
        <v>189970061655832</v>
      </c>
    </row>
    <row r="96" spans="1:65" x14ac:dyDescent="0.45">
      <c r="A96" s="1" t="s">
        <v>90</v>
      </c>
      <c r="B96" s="2">
        <v>4004170</v>
      </c>
      <c r="C96" s="3" t="s">
        <v>727</v>
      </c>
      <c r="D96" s="3" t="s">
        <v>728</v>
      </c>
      <c r="E96" s="3" t="s">
        <v>729</v>
      </c>
      <c r="F96" s="5">
        <v>322372761399751</v>
      </c>
      <c r="G96" s="5">
        <v>341196843969906</v>
      </c>
      <c r="H96" s="5">
        <v>355509334375774</v>
      </c>
      <c r="I96" s="5">
        <v>284717088202094</v>
      </c>
      <c r="J96" s="5">
        <v>304971968077232</v>
      </c>
      <c r="K96" s="5">
        <v>31321496921312</v>
      </c>
      <c r="L96" s="5">
        <v>270157662027886</v>
      </c>
      <c r="M96" s="5">
        <v>317566223315037</v>
      </c>
      <c r="N96" s="5">
        <v>292104573411692</v>
      </c>
      <c r="O96" s="5">
        <v>280793395008143</v>
      </c>
      <c r="P96" s="5">
        <v>245646099325224</v>
      </c>
      <c r="Q96" s="5">
        <v>224362700852267</v>
      </c>
      <c r="R96" s="5">
        <v>197447982529836</v>
      </c>
      <c r="S96" s="5">
        <v>191616362541553</v>
      </c>
      <c r="T96" s="5">
        <v>190075675491675</v>
      </c>
      <c r="U96" s="5">
        <v>168037222346901</v>
      </c>
      <c r="V96" s="5">
        <v>157387412101658</v>
      </c>
      <c r="W96" s="5">
        <v>165477279326794</v>
      </c>
      <c r="X96" s="5">
        <v>170320344185695</v>
      </c>
      <c r="Y96" s="5">
        <v>16419293162559</v>
      </c>
      <c r="Z96" s="5">
        <v>165200142028463</v>
      </c>
      <c r="AA96" s="5">
        <v>172129370779823</v>
      </c>
      <c r="AB96" s="5">
        <v>15794566390005</v>
      </c>
      <c r="AC96" s="5">
        <v>135134140090596</v>
      </c>
      <c r="AD96" s="5">
        <v>132920239537593</v>
      </c>
      <c r="AE96" s="5">
        <v>140439842481129</v>
      </c>
      <c r="AF96" s="5">
        <v>114822343525652</v>
      </c>
      <c r="AG96" s="5">
        <v>113623186819046</v>
      </c>
      <c r="AH96" s="5">
        <v>130101404534649</v>
      </c>
      <c r="AI96" s="5">
        <v>131465219914833</v>
      </c>
      <c r="AJ96" s="5">
        <v>146908945114536</v>
      </c>
      <c r="AK96" s="5">
        <v>152827511576198</v>
      </c>
      <c r="AL96" s="5">
        <v>15700767692478</v>
      </c>
      <c r="AM96" s="5">
        <v>123173311459799</v>
      </c>
      <c r="AN96" s="5">
        <v>15854475638828</v>
      </c>
      <c r="AO96" s="5">
        <v>181365218205493</v>
      </c>
      <c r="AP96" s="6">
        <v>207337968737341</v>
      </c>
      <c r="AQ96" s="6">
        <v>205327005462536</v>
      </c>
      <c r="AR96" s="6">
        <v>194034799139365</v>
      </c>
      <c r="AS96" s="6">
        <v>21368605901284</v>
      </c>
      <c r="AT96" s="6">
        <v>211328629456768</v>
      </c>
      <c r="AU96" s="6">
        <v>198158142743785</v>
      </c>
      <c r="AV96" s="6">
        <v>178490527576209</v>
      </c>
      <c r="AW96" s="6">
        <v>164080626628834</v>
      </c>
      <c r="AX96" s="6">
        <v>170182213001892</v>
      </c>
      <c r="AY96" s="6">
        <v>175470663629963</v>
      </c>
      <c r="AZ96" s="6">
        <v>147554486577521</v>
      </c>
      <c r="BA96" s="6">
        <v>12847445094969</v>
      </c>
      <c r="BB96" s="6">
        <v>104792962383978</v>
      </c>
      <c r="BC96" s="6">
        <v>116133983753856</v>
      </c>
      <c r="BD96" s="6">
        <v>113011381192515</v>
      </c>
      <c r="BE96" s="6">
        <v>108771150172192</v>
      </c>
      <c r="BF96" s="6">
        <v>113820988998749</v>
      </c>
      <c r="BG96" s="6">
        <v>103031578249393</v>
      </c>
      <c r="BH96" s="6">
        <v>102759597034494</v>
      </c>
      <c r="BI96" s="6">
        <v>102547855868446</v>
      </c>
      <c r="BJ96" s="6">
        <v>974440288653273</v>
      </c>
      <c r="BK96" s="6">
        <v>733876421119014</v>
      </c>
      <c r="BL96" s="6">
        <v>728359460625888</v>
      </c>
      <c r="BM96" s="6">
        <v>737089806267057</v>
      </c>
    </row>
    <row r="97" spans="1:65" x14ac:dyDescent="0.45">
      <c r="A97" s="1" t="s">
        <v>91</v>
      </c>
      <c r="B97" s="2">
        <v>4225889</v>
      </c>
      <c r="C97" s="3" t="s">
        <v>730</v>
      </c>
      <c r="D97" s="3" t="s">
        <v>731</v>
      </c>
      <c r="E97" s="3" t="s">
        <v>732</v>
      </c>
      <c r="F97" s="5">
        <v>35989609855085</v>
      </c>
      <c r="G97" s="5">
        <v>437345758260205</v>
      </c>
      <c r="H97" s="5">
        <v>420047234662555</v>
      </c>
      <c r="I97" s="5">
        <v>425497282240493</v>
      </c>
      <c r="J97" s="5">
        <v>440198127524598</v>
      </c>
      <c r="K97" s="5">
        <v>425787878141853</v>
      </c>
      <c r="L97" s="5">
        <v>349677379363544</v>
      </c>
      <c r="M97" s="5">
        <v>36555779577461</v>
      </c>
      <c r="N97" s="5">
        <v>386225253257894</v>
      </c>
      <c r="O97" s="5">
        <v>399215139015349</v>
      </c>
      <c r="P97" s="5">
        <v>380265477413549</v>
      </c>
      <c r="Q97" s="5">
        <v>373167155465245</v>
      </c>
      <c r="R97" s="5">
        <v>432507653082824</v>
      </c>
      <c r="S97" s="5">
        <v>410223603200609</v>
      </c>
      <c r="T97" s="5">
        <v>432864668595285</v>
      </c>
      <c r="U97" s="5">
        <v>440571430156942</v>
      </c>
      <c r="V97" s="5">
        <v>453030076895648</v>
      </c>
      <c r="W97" s="5">
        <v>441336639962506</v>
      </c>
      <c r="X97" s="5">
        <v>368083490010861</v>
      </c>
      <c r="Y97" s="5">
        <v>316892641733936</v>
      </c>
      <c r="Z97" s="5">
        <v>349157298883042</v>
      </c>
      <c r="AA97" s="5">
        <v>340694781691716</v>
      </c>
      <c r="AB97" s="5">
        <v>33542462539845</v>
      </c>
      <c r="AC97" s="5">
        <v>34114313029176</v>
      </c>
      <c r="AD97" s="5">
        <v>317195148302633</v>
      </c>
      <c r="AE97" s="5">
        <v>301870494706423</v>
      </c>
      <c r="AF97" s="5">
        <v>288474596797458</v>
      </c>
      <c r="AG97" s="5">
        <v>296217264392595</v>
      </c>
      <c r="AH97" s="5">
        <v>306538935665025</v>
      </c>
      <c r="AI97" s="5">
        <v>273091761567835</v>
      </c>
      <c r="AJ97" s="5">
        <v>260813876366181</v>
      </c>
      <c r="AK97" s="5">
        <v>251858145206803</v>
      </c>
      <c r="AL97" s="5">
        <v>223985675431233</v>
      </c>
      <c r="AM97" s="5">
        <v>1653593422936</v>
      </c>
      <c r="AN97" s="5">
        <v>195324390322217</v>
      </c>
      <c r="AO97" s="5">
        <v>217307774591741</v>
      </c>
      <c r="AP97" s="6">
        <v>628630690265829</v>
      </c>
      <c r="AQ97" s="6">
        <v>623077248924866</v>
      </c>
      <c r="AR97" s="6">
        <v>619690622188385</v>
      </c>
      <c r="AS97" s="6">
        <v>674767292504989</v>
      </c>
      <c r="AT97" s="6">
        <v>647573413832267</v>
      </c>
      <c r="AU97" s="6">
        <v>625865902077685</v>
      </c>
      <c r="AV97" s="6">
        <v>592660786367484</v>
      </c>
      <c r="AW97" s="6">
        <v>599991044941892</v>
      </c>
      <c r="AX97" s="6">
        <v>59375901355155</v>
      </c>
      <c r="AY97" s="6">
        <v>572111114745694</v>
      </c>
      <c r="AZ97" s="6">
        <v>538953258744018</v>
      </c>
      <c r="BA97" s="6">
        <v>535237650920358</v>
      </c>
      <c r="BB97" s="6">
        <v>519907402698621</v>
      </c>
      <c r="BC97" s="6">
        <v>544299471505705</v>
      </c>
      <c r="BD97" s="6">
        <v>508535523310954</v>
      </c>
      <c r="BE97" s="6">
        <v>532858695795443</v>
      </c>
      <c r="BF97" s="6">
        <v>539739536080714</v>
      </c>
      <c r="BG97" s="6">
        <v>553378663515614</v>
      </c>
      <c r="BH97" s="6">
        <v>502152470235159</v>
      </c>
      <c r="BI97" s="6">
        <v>517022886525767</v>
      </c>
      <c r="BJ97" s="6">
        <v>523417080517945</v>
      </c>
      <c r="BK97" s="6">
        <v>516168622903505</v>
      </c>
      <c r="BL97" s="6">
        <v>539424773987299</v>
      </c>
      <c r="BM97" s="6">
        <v>582245081691933</v>
      </c>
    </row>
    <row r="98" spans="1:65" x14ac:dyDescent="0.45">
      <c r="A98" s="1" t="s">
        <v>92</v>
      </c>
      <c r="B98" s="2">
        <v>103417</v>
      </c>
      <c r="C98" s="3" t="s">
        <v>733</v>
      </c>
      <c r="D98" s="3" t="s">
        <v>734</v>
      </c>
      <c r="E98" s="3" t="s">
        <v>556</v>
      </c>
      <c r="F98" s="5">
        <v>856727766288251</v>
      </c>
      <c r="G98" s="5">
        <v>883793207107299</v>
      </c>
      <c r="H98" s="5">
        <v>901980021130524</v>
      </c>
      <c r="I98" s="5">
        <v>752751850522822</v>
      </c>
      <c r="J98" s="5">
        <v>761787901540999</v>
      </c>
      <c r="K98" s="5">
        <v>77239710511329</v>
      </c>
      <c r="L98" s="5">
        <v>801098248116147</v>
      </c>
      <c r="M98" s="5">
        <v>83899143218534</v>
      </c>
      <c r="N98" s="5">
        <v>830052287902044</v>
      </c>
      <c r="O98" s="5">
        <v>820716277750261</v>
      </c>
      <c r="P98" s="5">
        <v>772930181659007</v>
      </c>
      <c r="Q98" s="5">
        <v>758909167727432</v>
      </c>
      <c r="R98" s="5">
        <v>732163185985982</v>
      </c>
      <c r="S98" s="5">
        <v>685851180091635</v>
      </c>
      <c r="T98" s="5">
        <v>727800384164787</v>
      </c>
      <c r="U98" s="5">
        <v>645969073873761</v>
      </c>
      <c r="V98" s="5">
        <v>683631662517218</v>
      </c>
      <c r="W98" s="5">
        <v>624098132409781</v>
      </c>
      <c r="X98" s="5">
        <v>602810197799877</v>
      </c>
      <c r="Y98" s="5">
        <v>627214001427071</v>
      </c>
      <c r="Z98" s="5">
        <v>64145107911821</v>
      </c>
      <c r="AA98" s="5">
        <v>605798279773434</v>
      </c>
      <c r="AB98" s="5">
        <v>604977876522472</v>
      </c>
      <c r="AC98" s="5">
        <v>54159491742881</v>
      </c>
      <c r="AD98" s="5">
        <v>567891656777328</v>
      </c>
      <c r="AE98" s="5">
        <v>558232372542065</v>
      </c>
      <c r="AF98" s="5">
        <v>503110240227419</v>
      </c>
      <c r="AG98" s="5">
        <v>446345763451027</v>
      </c>
      <c r="AH98" s="5">
        <v>471959459776875</v>
      </c>
      <c r="AI98" s="5">
        <v>485470971341511</v>
      </c>
      <c r="AJ98" s="5">
        <v>507842452479757</v>
      </c>
      <c r="AK98" s="5">
        <v>495071291195663</v>
      </c>
      <c r="AL98" s="5">
        <v>445633734276446</v>
      </c>
      <c r="AM98" s="5">
        <v>459309593790684</v>
      </c>
      <c r="AN98" s="5">
        <v>595956926336731</v>
      </c>
      <c r="AO98" s="5">
        <v>621317609399289</v>
      </c>
      <c r="AP98" s="6">
        <v>153817894125486</v>
      </c>
      <c r="AQ98" s="6">
        <v>156443327155024</v>
      </c>
      <c r="AR98" s="6">
        <v>153972988173687</v>
      </c>
      <c r="AS98" s="6">
        <v>170502897948277</v>
      </c>
      <c r="AT98" s="6">
        <v>179233730273522</v>
      </c>
      <c r="AU98" s="6">
        <v>167488905942802</v>
      </c>
      <c r="AV98" s="6">
        <v>158085277400576</v>
      </c>
      <c r="AW98" s="6">
        <v>164359143997255</v>
      </c>
      <c r="AX98" s="6">
        <v>164511590725519</v>
      </c>
      <c r="AY98" s="6">
        <v>156083605334266</v>
      </c>
      <c r="AZ98" s="6">
        <v>142079127743927</v>
      </c>
      <c r="BA98" s="6">
        <v>138886405037944</v>
      </c>
      <c r="BB98" s="6">
        <v>141423227423238</v>
      </c>
      <c r="BC98" s="6">
        <v>143945201975877</v>
      </c>
      <c r="BD98" s="6">
        <v>12872480504664</v>
      </c>
      <c r="BE98" s="6">
        <v>125402874593824</v>
      </c>
      <c r="BF98" s="6">
        <v>119620844713822</v>
      </c>
      <c r="BG98" s="6">
        <v>116885731363265</v>
      </c>
      <c r="BH98" s="6">
        <v>111494666043147</v>
      </c>
      <c r="BI98" s="6">
        <v>985391088440188</v>
      </c>
      <c r="BJ98" s="6">
        <v>934097906347452</v>
      </c>
      <c r="BK98" s="6">
        <v>999765827689906</v>
      </c>
      <c r="BL98" s="6">
        <v>982761374129535</v>
      </c>
      <c r="BM98" s="6">
        <v>981469689189113</v>
      </c>
    </row>
    <row r="99" spans="1:65" x14ac:dyDescent="0.45">
      <c r="A99" s="1" t="s">
        <v>93</v>
      </c>
      <c r="B99" s="2">
        <v>4438978</v>
      </c>
      <c r="C99" s="3" t="s">
        <v>735</v>
      </c>
      <c r="D99" s="3" t="s">
        <v>736</v>
      </c>
      <c r="E99" s="3" t="s">
        <v>737</v>
      </c>
      <c r="F99" s="5">
        <v>183942034265276</v>
      </c>
      <c r="G99" s="5">
        <v>193605468713526</v>
      </c>
      <c r="H99" s="5">
        <v>182822415174731</v>
      </c>
      <c r="I99" s="5">
        <v>176970433201594</v>
      </c>
      <c r="J99" s="5">
        <v>201895720323622</v>
      </c>
      <c r="K99" s="5">
        <v>209499096832504</v>
      </c>
      <c r="L99" s="5">
        <v>215188819584955</v>
      </c>
      <c r="M99" s="5">
        <v>203794041230618</v>
      </c>
      <c r="N99" s="5">
        <v>224744601811995</v>
      </c>
      <c r="O99" s="5">
        <v>217119977684618</v>
      </c>
      <c r="P99" s="5">
        <v>211470399795658</v>
      </c>
      <c r="Q99" s="5">
        <v>2217831264</v>
      </c>
      <c r="R99" s="5">
        <v>220046649679395</v>
      </c>
      <c r="S99" s="5">
        <v>193604615015726</v>
      </c>
      <c r="T99" s="5">
        <v>184451473242516</v>
      </c>
      <c r="U99" s="5">
        <v>17492840844997</v>
      </c>
      <c r="V99" s="5">
        <v>174033049878237</v>
      </c>
      <c r="W99" s="5">
        <v>179214473167166</v>
      </c>
      <c r="X99" s="5">
        <v>176269383551023</v>
      </c>
      <c r="Y99" s="5">
        <v>172509560319264</v>
      </c>
      <c r="Z99" s="5">
        <v>174800640178371</v>
      </c>
      <c r="AA99" s="5">
        <v>18239998572708</v>
      </c>
      <c r="AB99" s="5">
        <v>15951073206915</v>
      </c>
      <c r="AC99" s="5">
        <v>172805768989446</v>
      </c>
      <c r="AD99" s="5">
        <v>177171268203179</v>
      </c>
      <c r="AE99" s="5">
        <v>182454898393589</v>
      </c>
      <c r="AF99" s="5">
        <v>18844329783042</v>
      </c>
      <c r="AG99" s="5">
        <v>197363428950396</v>
      </c>
      <c r="AH99" s="5">
        <v>198249693559795</v>
      </c>
      <c r="AI99" s="5">
        <v>201380549007341</v>
      </c>
      <c r="AJ99" s="5">
        <v>168900708789928</v>
      </c>
      <c r="AK99" s="5">
        <v>166040201905893</v>
      </c>
      <c r="AL99" s="5">
        <v>157316897053086</v>
      </c>
      <c r="AM99" s="5">
        <v>143542740750136</v>
      </c>
      <c r="AN99" s="5">
        <v>155292561740113</v>
      </c>
      <c r="AO99" s="5">
        <v>16428788595219</v>
      </c>
      <c r="AP99" s="6">
        <v>586038004214225</v>
      </c>
      <c r="AQ99" s="6">
        <v>532967059069266</v>
      </c>
      <c r="AR99" s="6">
        <v>515143827936627</v>
      </c>
      <c r="AS99" s="6">
        <v>556563444509076</v>
      </c>
      <c r="AT99" s="6">
        <v>577139547283134</v>
      </c>
      <c r="AU99" s="6">
        <v>630127309516908</v>
      </c>
      <c r="AV99" s="6">
        <v>560568152387506</v>
      </c>
      <c r="AW99" s="6">
        <v>48883023386355</v>
      </c>
      <c r="AX99" s="6">
        <v>53392606781052</v>
      </c>
      <c r="AY99" s="6">
        <v>518855373988776</v>
      </c>
      <c r="AZ99" s="6">
        <v>585631471720266</v>
      </c>
      <c r="BA99" s="6">
        <v>520342273978254</v>
      </c>
      <c r="BB99" s="6">
        <v>463452118328307</v>
      </c>
      <c r="BC99" s="6">
        <v>410833970207002</v>
      </c>
      <c r="BD99" s="6">
        <v>393839124114429</v>
      </c>
      <c r="BE99" s="6">
        <v>383430060024673</v>
      </c>
      <c r="BF99" s="6">
        <v>38918475156106</v>
      </c>
      <c r="BG99" s="6">
        <v>30999742073036</v>
      </c>
      <c r="BH99" s="6">
        <v>324529005982909</v>
      </c>
      <c r="BI99" s="6">
        <v>283556893410036</v>
      </c>
      <c r="BJ99" s="6">
        <v>306215630058875</v>
      </c>
      <c r="BK99" s="6">
        <v>3024210583919</v>
      </c>
      <c r="BL99" s="6">
        <v>273126578660208</v>
      </c>
      <c r="BM99" s="6">
        <v>245792563090726</v>
      </c>
    </row>
    <row r="100" spans="1:65" x14ac:dyDescent="0.45">
      <c r="A100" s="1" t="s">
        <v>94</v>
      </c>
      <c r="B100" s="2">
        <v>4067589</v>
      </c>
      <c r="C100" s="3" t="s">
        <v>738</v>
      </c>
      <c r="D100" s="3" t="s">
        <v>739</v>
      </c>
      <c r="E100" s="3" t="s">
        <v>602</v>
      </c>
      <c r="F100" s="5">
        <v>707969068150787</v>
      </c>
      <c r="G100" s="5">
        <v>645864396753872</v>
      </c>
      <c r="H100" s="5">
        <v>71761774164987</v>
      </c>
      <c r="I100" s="5">
        <v>610796297119034</v>
      </c>
      <c r="J100" s="5">
        <v>754208959746182</v>
      </c>
      <c r="K100" s="5">
        <v>757336203111744</v>
      </c>
      <c r="L100" s="5">
        <v>654458767890952</v>
      </c>
      <c r="M100" s="5">
        <v>7206126368443</v>
      </c>
      <c r="N100" s="5">
        <v>796394286514653</v>
      </c>
      <c r="O100" s="5">
        <v>830292819127057</v>
      </c>
      <c r="P100" s="5">
        <v>932263575372272</v>
      </c>
      <c r="Q100" s="5">
        <v>91692957359952</v>
      </c>
      <c r="R100" s="5">
        <v>104824145397406</v>
      </c>
      <c r="S100" s="5">
        <v>827880572785154</v>
      </c>
      <c r="T100" s="5">
        <v>727392498226635</v>
      </c>
      <c r="U100" s="5">
        <v>686410438740468</v>
      </c>
      <c r="V100" s="5">
        <v>749081311199347</v>
      </c>
      <c r="W100" s="5">
        <v>758545074916704</v>
      </c>
      <c r="X100" s="5">
        <v>742588674405795</v>
      </c>
      <c r="Y100" s="5">
        <v>672401809901352</v>
      </c>
      <c r="Z100" s="5">
        <v>650327416231483</v>
      </c>
      <c r="AA100" s="5">
        <v>722647761020928</v>
      </c>
      <c r="AB100" s="5">
        <v>669019833242901</v>
      </c>
      <c r="AC100" s="5">
        <v>679815461060402</v>
      </c>
      <c r="AD100" s="5">
        <v>667793337800137</v>
      </c>
      <c r="AE100" s="5">
        <v>578453859087552</v>
      </c>
      <c r="AF100" s="5">
        <v>521608695322677</v>
      </c>
      <c r="AG100" s="5">
        <v>521600130587819</v>
      </c>
      <c r="AH100" s="5">
        <v>729628021265938</v>
      </c>
      <c r="AI100" s="5">
        <v>772889637205813</v>
      </c>
      <c r="AJ100" s="5">
        <v>739437769041</v>
      </c>
      <c r="AK100" s="5">
        <v>763009953050835</v>
      </c>
      <c r="AL100" s="5">
        <v>648968475496688</v>
      </c>
      <c r="AM100" s="5">
        <v>55609850146305</v>
      </c>
      <c r="AN100" s="5">
        <v>538114037000641</v>
      </c>
      <c r="AO100" s="5">
        <v>565137195563248</v>
      </c>
      <c r="AP100" s="6">
        <v>153080106621808</v>
      </c>
      <c r="AQ100" s="6">
        <v>158731892494703</v>
      </c>
      <c r="AR100" s="6">
        <v>165923798860582</v>
      </c>
      <c r="AS100" s="6">
        <v>174766603176857</v>
      </c>
      <c r="AT100" s="6">
        <v>167053622553059</v>
      </c>
      <c r="AU100" s="6">
        <v>157514944573212</v>
      </c>
      <c r="AV100" s="6">
        <v>148710854729863</v>
      </c>
      <c r="AW100" s="6">
        <v>143856249473701</v>
      </c>
      <c r="AX100" s="6">
        <v>140117545349082</v>
      </c>
      <c r="AY100" s="6">
        <v>124853029276041</v>
      </c>
      <c r="AZ100" s="6">
        <v>124218382742952</v>
      </c>
      <c r="BA100" s="6">
        <v>115247197356408</v>
      </c>
      <c r="BB100" s="6">
        <v>110041003359687</v>
      </c>
      <c r="BC100" s="6">
        <v>117470480825069</v>
      </c>
      <c r="BD100" s="6">
        <v>113067618725802</v>
      </c>
      <c r="BE100" s="6">
        <v>107530019902971</v>
      </c>
      <c r="BF100" s="6">
        <v>107433791560486</v>
      </c>
      <c r="BG100" s="6">
        <v>105115394742796</v>
      </c>
      <c r="BH100" s="6">
        <v>936065659155047</v>
      </c>
      <c r="BI100" s="6">
        <v>971886501058372</v>
      </c>
      <c r="BJ100" s="6">
        <v>956242046622506</v>
      </c>
      <c r="BK100" s="6">
        <v>990908572503399</v>
      </c>
      <c r="BL100" s="6">
        <v>100179167958488</v>
      </c>
      <c r="BM100" s="6">
        <v>101429023640402</v>
      </c>
    </row>
    <row r="101" spans="1:65" x14ac:dyDescent="0.45">
      <c r="A101" s="1" t="s">
        <v>95</v>
      </c>
      <c r="B101" s="2">
        <v>103262</v>
      </c>
      <c r="C101" s="3" t="s">
        <v>740</v>
      </c>
      <c r="D101" s="3" t="s">
        <v>741</v>
      </c>
      <c r="E101" s="3" t="s">
        <v>556</v>
      </c>
      <c r="F101" s="5">
        <v>150592505827795</v>
      </c>
      <c r="G101" s="5">
        <v>169127033399649</v>
      </c>
      <c r="H101" s="5">
        <v>164237978970989</v>
      </c>
      <c r="I101" s="5">
        <v>145418330063132</v>
      </c>
      <c r="J101" s="5">
        <v>153263835122436</v>
      </c>
      <c r="K101" s="5">
        <v>151927438498216</v>
      </c>
      <c r="L101" s="5">
        <v>182606585917688</v>
      </c>
      <c r="M101" s="5">
        <v>19120942863909</v>
      </c>
      <c r="N101" s="5">
        <v>186640797751123</v>
      </c>
      <c r="O101" s="5">
        <v>196362952407024</v>
      </c>
      <c r="P101" s="5">
        <v>175425494522517</v>
      </c>
      <c r="Q101" s="5">
        <v>169518112595868</v>
      </c>
      <c r="R101" s="5">
        <v>161428874781517</v>
      </c>
      <c r="S101" s="5">
        <v>162836330211758</v>
      </c>
      <c r="T101" s="5">
        <v>169232390269494</v>
      </c>
      <c r="U101" s="5">
        <v>158844141214971</v>
      </c>
      <c r="V101" s="5">
        <v>168507802699579</v>
      </c>
      <c r="W101" s="5">
        <v>160172004456064</v>
      </c>
      <c r="X101" s="5">
        <v>158450310513867</v>
      </c>
      <c r="Y101" s="5">
        <v>160876018217308</v>
      </c>
      <c r="Z101" s="5">
        <v>150900639288627</v>
      </c>
      <c r="AA101" s="5">
        <v>141445833948026</v>
      </c>
      <c r="AB101" s="5">
        <v>130395517357247</v>
      </c>
      <c r="AC101" s="5">
        <v>111458661882598</v>
      </c>
      <c r="AD101" s="5">
        <v>114920572743524</v>
      </c>
      <c r="AE101" s="5">
        <v>102784231978066</v>
      </c>
      <c r="AF101" s="5">
        <v>976676284052458</v>
      </c>
      <c r="AG101" s="5">
        <v>106805524135783</v>
      </c>
      <c r="AH101" s="5">
        <v>106849297200098</v>
      </c>
      <c r="AI101" s="5">
        <v>105961006238226</v>
      </c>
      <c r="AJ101" s="5">
        <v>91491340357958</v>
      </c>
      <c r="AK101" s="5">
        <v>852658560207877</v>
      </c>
      <c r="AL101" s="5">
        <v>967185511025118</v>
      </c>
      <c r="AM101" s="5">
        <v>111397276578315</v>
      </c>
      <c r="AN101" s="5">
        <v>137930506561663</v>
      </c>
      <c r="AO101" s="5">
        <v>154657866858715</v>
      </c>
      <c r="AP101" s="6">
        <v>248655357995779</v>
      </c>
      <c r="AQ101" s="6">
        <v>241472609716281</v>
      </c>
      <c r="AR101" s="6">
        <v>249458850821739</v>
      </c>
      <c r="AS101" s="6">
        <v>25774310863723</v>
      </c>
      <c r="AT101" s="6">
        <v>245812047435514</v>
      </c>
      <c r="AU101" s="6">
        <v>239825144067883</v>
      </c>
      <c r="AV101" s="6">
        <v>218062099530114</v>
      </c>
      <c r="AW101" s="6">
        <v>208099885142081</v>
      </c>
      <c r="AX101" s="6">
        <v>202655671750917</v>
      </c>
      <c r="AY101" s="6">
        <v>188961608316403</v>
      </c>
      <c r="AZ101" s="6">
        <v>189658788016167</v>
      </c>
      <c r="BA101" s="6">
        <v>171134414810159</v>
      </c>
      <c r="BB101" s="6">
        <v>154239810619431</v>
      </c>
      <c r="BC101" s="6">
        <v>17690606629844</v>
      </c>
      <c r="BD101" s="6">
        <v>171762380800195</v>
      </c>
      <c r="BE101" s="6">
        <v>182135029722288</v>
      </c>
      <c r="BF101" s="6">
        <v>195360767553493</v>
      </c>
      <c r="BG101" s="6">
        <v>185699877581851</v>
      </c>
      <c r="BH101" s="6">
        <v>169284426782343</v>
      </c>
      <c r="BI101" s="6">
        <v>166821658408741</v>
      </c>
      <c r="BJ101" s="6">
        <v>150521785514989</v>
      </c>
      <c r="BK101" s="6">
        <v>147983827421646</v>
      </c>
      <c r="BL101" s="6">
        <v>148839969401815</v>
      </c>
      <c r="BM101" s="6">
        <v>14420388902187</v>
      </c>
    </row>
    <row r="102" spans="1:65" x14ac:dyDescent="0.45">
      <c r="A102" s="1" t="s">
        <v>96</v>
      </c>
      <c r="B102" s="2">
        <v>4008247</v>
      </c>
      <c r="C102" s="3" t="s">
        <v>742</v>
      </c>
      <c r="D102" s="3" t="s">
        <v>743</v>
      </c>
      <c r="E102" s="3" t="s">
        <v>744</v>
      </c>
      <c r="F102" s="5">
        <v>429346488378207</v>
      </c>
      <c r="G102" s="5">
        <v>454707837975153</v>
      </c>
      <c r="H102" s="5">
        <v>439063002908397</v>
      </c>
      <c r="I102" s="5">
        <v>4019435263268</v>
      </c>
      <c r="J102" s="5">
        <v>408750726457915</v>
      </c>
      <c r="K102" s="5">
        <v>422106501453821</v>
      </c>
      <c r="L102" s="5">
        <v>36562614203977</v>
      </c>
      <c r="M102" s="5">
        <v>37991540144503</v>
      </c>
      <c r="N102" s="5">
        <v>385723998831088</v>
      </c>
      <c r="O102" s="5">
        <v>392187702593017</v>
      </c>
      <c r="P102" s="5">
        <v>34669756732857</v>
      </c>
      <c r="Q102" s="5">
        <v>362605501416868</v>
      </c>
      <c r="R102" s="5">
        <v>403958944212323</v>
      </c>
      <c r="S102" s="5">
        <v>38733080189764</v>
      </c>
      <c r="T102" s="5">
        <v>387307961221651</v>
      </c>
      <c r="U102" s="5">
        <v>341601366358343</v>
      </c>
      <c r="V102" s="5">
        <v>345245408002523</v>
      </c>
      <c r="W102" s="5">
        <v>342153709385463</v>
      </c>
      <c r="X102" s="5">
        <v>338459129456236</v>
      </c>
      <c r="Y102" s="5">
        <v>304737862128853</v>
      </c>
      <c r="Z102" s="5">
        <v>301413256209778</v>
      </c>
      <c r="AA102" s="5">
        <v>305449842472049</v>
      </c>
      <c r="AB102" s="5">
        <v>281550681418206</v>
      </c>
      <c r="AC102" s="5">
        <v>275249142011915</v>
      </c>
      <c r="AD102" s="5">
        <v>303359999607486</v>
      </c>
      <c r="AE102" s="5">
        <v>311029828890818</v>
      </c>
      <c r="AF102" s="5">
        <v>282399976643713</v>
      </c>
      <c r="AG102" s="5">
        <v>299159638155611</v>
      </c>
      <c r="AH102" s="5">
        <v>288508939998031</v>
      </c>
      <c r="AI102" s="5">
        <v>264099164798375</v>
      </c>
      <c r="AJ102" s="5">
        <v>246273817696742</v>
      </c>
      <c r="AK102" s="5">
        <v>23207359135084</v>
      </c>
      <c r="AL102" s="5">
        <v>210987592126602</v>
      </c>
      <c r="AM102" s="5">
        <v>164014541513004</v>
      </c>
      <c r="AN102" s="5">
        <v>251644118097522</v>
      </c>
      <c r="AO102" s="5">
        <v>261069108264901</v>
      </c>
      <c r="AP102" s="6">
        <v>181302237247051</v>
      </c>
      <c r="AQ102" s="6">
        <v>174456073911585</v>
      </c>
      <c r="AR102" s="6">
        <v>180877213716536</v>
      </c>
      <c r="AS102" s="6">
        <v>19237070365139</v>
      </c>
      <c r="AT102" s="6">
        <v>182186506784916</v>
      </c>
      <c r="AU102" s="6">
        <v>2130816184677</v>
      </c>
      <c r="AV102" s="6">
        <v>205889234003466</v>
      </c>
      <c r="AW102" s="6">
        <v>199807977604238</v>
      </c>
      <c r="AX102" s="6">
        <v>219816904758853</v>
      </c>
      <c r="AY102" s="6">
        <v>211759939460674</v>
      </c>
      <c r="AZ102" s="6">
        <v>200112821222213</v>
      </c>
      <c r="BA102" s="6">
        <v>18561205952154</v>
      </c>
      <c r="BB102" s="6">
        <v>170147083223964</v>
      </c>
      <c r="BC102" s="6">
        <v>190083794854936</v>
      </c>
      <c r="BD102" s="6">
        <v>183110686858878</v>
      </c>
      <c r="BE102" s="6">
        <v>191415725700105</v>
      </c>
      <c r="BF102" s="6">
        <v>193541744240114</v>
      </c>
      <c r="BG102" s="6">
        <v>169947147623592</v>
      </c>
      <c r="BH102" s="6">
        <v>173447070398686</v>
      </c>
      <c r="BI102" s="6">
        <v>172277717478083</v>
      </c>
      <c r="BJ102" s="6">
        <v>176711250130827</v>
      </c>
      <c r="BK102" s="6">
        <v>168026085218557</v>
      </c>
      <c r="BL102" s="6">
        <v>176681583858616</v>
      </c>
      <c r="BM102" s="6">
        <v>165087346870589</v>
      </c>
    </row>
    <row r="103" spans="1:65" x14ac:dyDescent="0.45">
      <c r="A103" s="1" t="s">
        <v>97</v>
      </c>
      <c r="B103" s="2">
        <v>4047857</v>
      </c>
      <c r="C103" s="3" t="s">
        <v>745</v>
      </c>
      <c r="D103" s="3" t="s">
        <v>746</v>
      </c>
      <c r="E103" s="3" t="s">
        <v>602</v>
      </c>
      <c r="F103" s="5">
        <v>183125874997379</v>
      </c>
      <c r="G103" s="5">
        <v>198065961298301</v>
      </c>
      <c r="H103" s="5">
        <v>18864200629374</v>
      </c>
      <c r="I103" s="5">
        <v>167607971260264</v>
      </c>
      <c r="J103" s="5">
        <v>183869105961324</v>
      </c>
      <c r="K103" s="5">
        <v>18419317780686</v>
      </c>
      <c r="L103" s="5">
        <v>168907537873945</v>
      </c>
      <c r="M103" s="5">
        <v>173883655678891</v>
      </c>
      <c r="N103" s="5">
        <v>193073772944496</v>
      </c>
      <c r="O103" s="5">
        <v>208519094193536</v>
      </c>
      <c r="P103" s="5">
        <v>20630921390508</v>
      </c>
      <c r="Q103" s="5">
        <v>209624223295364</v>
      </c>
      <c r="R103" s="5">
        <v>235010271294335</v>
      </c>
      <c r="S103" s="5">
        <v>205203631772085</v>
      </c>
      <c r="T103" s="5">
        <v>204145195827718</v>
      </c>
      <c r="U103" s="5">
        <v>198074174552281</v>
      </c>
      <c r="V103" s="5">
        <v>210717581622894</v>
      </c>
      <c r="W103" s="5">
        <v>196706050749539</v>
      </c>
      <c r="X103" s="5">
        <v>188375790293628</v>
      </c>
      <c r="Y103" s="5">
        <v>182915234630052</v>
      </c>
      <c r="Z103" s="5">
        <v>178672225257006</v>
      </c>
      <c r="AA103" s="5">
        <v>185998868101335</v>
      </c>
      <c r="AB103" s="5">
        <v>1565651492087</v>
      </c>
      <c r="AC103" s="5">
        <v>155182033278783</v>
      </c>
      <c r="AD103" s="5">
        <v>154582521521083</v>
      </c>
      <c r="AE103" s="5">
        <v>152096689428604</v>
      </c>
      <c r="AF103" s="5">
        <v>130031841997223</v>
      </c>
      <c r="AG103" s="5">
        <v>142008236477424</v>
      </c>
      <c r="AH103" s="5">
        <v>14911896163492</v>
      </c>
      <c r="AI103" s="5">
        <v>168104938736833</v>
      </c>
      <c r="AJ103" s="5">
        <v>174990127373733</v>
      </c>
      <c r="AK103" s="5">
        <v>181618228839486</v>
      </c>
      <c r="AL103" s="5">
        <v>164289822968109</v>
      </c>
      <c r="AM103" s="5">
        <v>151705189207308</v>
      </c>
      <c r="AN103" s="5">
        <v>153979356952764</v>
      </c>
      <c r="AO103" s="5">
        <v>175905162929296</v>
      </c>
      <c r="AP103" s="6">
        <v>155421530741527</v>
      </c>
      <c r="AQ103" s="6">
        <v>148847787514193</v>
      </c>
      <c r="AR103" s="6">
        <v>1407413110192</v>
      </c>
      <c r="AS103" s="6">
        <v>143118609717631</v>
      </c>
      <c r="AT103" s="6">
        <v>132170661837391</v>
      </c>
      <c r="AU103" s="6">
        <v>144440664066</v>
      </c>
      <c r="AV103" s="6">
        <v>142314730224032</v>
      </c>
      <c r="AW103" s="6">
        <v>128931094354441</v>
      </c>
      <c r="AX103" s="6">
        <v>14591613507817</v>
      </c>
      <c r="AY103" s="6">
        <v>12975220338835</v>
      </c>
      <c r="AZ103" s="6">
        <v>132110572548488</v>
      </c>
      <c r="BA103" s="6">
        <v>133263536397301</v>
      </c>
      <c r="BB103" s="6">
        <v>111042016946207</v>
      </c>
      <c r="BC103" s="6">
        <v>139745242161723</v>
      </c>
      <c r="BD103" s="6">
        <v>141238320650729</v>
      </c>
      <c r="BE103" s="6">
        <v>1553915388588</v>
      </c>
      <c r="BF103" s="6">
        <v>154451946116</v>
      </c>
      <c r="BG103" s="6">
        <v>154594750583</v>
      </c>
      <c r="BH103" s="6">
        <v>146256871949222</v>
      </c>
      <c r="BI103" s="6">
        <v>145856228948735</v>
      </c>
      <c r="BJ103" s="6">
        <v>1441744415786</v>
      </c>
      <c r="BK103" s="6">
        <v>140538828722121</v>
      </c>
      <c r="BL103" s="6">
        <v>15889768165623</v>
      </c>
      <c r="BM103" s="6">
        <v>162141611157054</v>
      </c>
    </row>
    <row r="104" spans="1:65" x14ac:dyDescent="0.45">
      <c r="A104" s="1" t="s">
        <v>98</v>
      </c>
      <c r="B104" s="2">
        <v>4041896</v>
      </c>
      <c r="C104" s="3" t="s">
        <v>747</v>
      </c>
      <c r="D104" s="3" t="s">
        <v>748</v>
      </c>
      <c r="E104" s="3" t="s">
        <v>637</v>
      </c>
      <c r="F104" s="5">
        <v>819709271597303</v>
      </c>
      <c r="G104" s="5">
        <v>909220268177089</v>
      </c>
      <c r="H104" s="5">
        <v>898211410981918</v>
      </c>
      <c r="I104" s="5">
        <v>823006032522201</v>
      </c>
      <c r="J104" s="5">
        <v>938596280420697</v>
      </c>
      <c r="K104" s="5">
        <v>98544641292</v>
      </c>
      <c r="L104" s="5">
        <v>854329183500464</v>
      </c>
      <c r="M104" s="5">
        <v>966755255677559</v>
      </c>
      <c r="N104" s="5">
        <v>888360078750662</v>
      </c>
      <c r="O104" s="5">
        <v>948181726634377</v>
      </c>
      <c r="P104" s="5">
        <v>104480929449875</v>
      </c>
      <c r="Q104" s="5">
        <v>1153713014784</v>
      </c>
      <c r="R104" s="5">
        <v>105366429806631</v>
      </c>
      <c r="S104" s="5">
        <v>112140148675879</v>
      </c>
      <c r="T104" s="5">
        <v>118678166361143</v>
      </c>
      <c r="U104" s="5">
        <v>122724485758529</v>
      </c>
      <c r="V104" s="5">
        <v>123476114990074</v>
      </c>
      <c r="W104" s="5">
        <v>11782927397692</v>
      </c>
      <c r="X104" s="5">
        <v>123341862334865</v>
      </c>
      <c r="Y104" s="5">
        <v>133493143035912</v>
      </c>
      <c r="Z104" s="5">
        <v>123577356849596</v>
      </c>
      <c r="AA104" s="5">
        <v>129339090631143</v>
      </c>
      <c r="AB104" s="5">
        <v>113654086769169</v>
      </c>
      <c r="AC104" s="5">
        <v>994597150148838</v>
      </c>
      <c r="AD104" s="5">
        <v>10494544558693</v>
      </c>
      <c r="AE104" s="5">
        <v>959305997384238</v>
      </c>
      <c r="AF104" s="5">
        <v>739946871587248</v>
      </c>
      <c r="AG104" s="5">
        <v>764304149562175</v>
      </c>
      <c r="AH104" s="5">
        <v>890244567734407</v>
      </c>
      <c r="AI104" s="5">
        <v>880052130234851</v>
      </c>
      <c r="AJ104" s="5">
        <v>945296138963471</v>
      </c>
      <c r="AK104" s="5">
        <v>897156098292154</v>
      </c>
      <c r="AL104" s="5">
        <v>92417265072</v>
      </c>
      <c r="AM104" s="5">
        <v>804226236097284</v>
      </c>
      <c r="AN104" s="5">
        <v>121553088857921</v>
      </c>
      <c r="AO104" s="5">
        <v>141900088310011</v>
      </c>
      <c r="AP104" s="6">
        <v>157314225424823</v>
      </c>
      <c r="AQ104" s="6">
        <v>151744280313525</v>
      </c>
      <c r="AR104" s="6">
        <v>140019363864369</v>
      </c>
      <c r="AS104" s="6">
        <v>145025151249164</v>
      </c>
      <c r="AT104" s="6">
        <v>137150084374673</v>
      </c>
      <c r="AU104" s="6">
        <v>153297546562489</v>
      </c>
      <c r="AV104" s="6">
        <v>142431097813272</v>
      </c>
      <c r="AW104" s="6">
        <v>133965957894853</v>
      </c>
      <c r="AX104" s="6">
        <v>148979896450455</v>
      </c>
      <c r="AY104" s="6">
        <v>13331743598745</v>
      </c>
      <c r="AZ104" s="6">
        <v>149336770700821</v>
      </c>
      <c r="BA104" s="6">
        <v>137995029834854</v>
      </c>
      <c r="BB104" s="6">
        <v>121498895541578</v>
      </c>
      <c r="BC104" s="6">
        <v>150261309127342</v>
      </c>
      <c r="BD104" s="6">
        <v>156453758242146</v>
      </c>
      <c r="BE104" s="6">
        <v>158000887152188</v>
      </c>
      <c r="BF104" s="6">
        <v>168767466732089</v>
      </c>
      <c r="BG104" s="6">
        <v>164540089949999</v>
      </c>
      <c r="BH104" s="6">
        <v>161613607017595</v>
      </c>
      <c r="BI104" s="6">
        <v>169833866808227</v>
      </c>
      <c r="BJ104" s="6">
        <v>16753251494654</v>
      </c>
      <c r="BK104" s="6">
        <v>166497496851696</v>
      </c>
      <c r="BL104" s="6">
        <v>17357697052474</v>
      </c>
      <c r="BM104" s="6">
        <v>181105105480171</v>
      </c>
    </row>
    <row r="105" spans="1:65" x14ac:dyDescent="0.45">
      <c r="A105" s="1" t="s">
        <v>99</v>
      </c>
      <c r="B105" s="2">
        <v>1019881</v>
      </c>
      <c r="C105" s="3" t="s">
        <v>749</v>
      </c>
      <c r="D105" s="3" t="s">
        <v>750</v>
      </c>
      <c r="E105" s="3" t="s">
        <v>637</v>
      </c>
      <c r="F105" s="5">
        <v>181426328834097</v>
      </c>
      <c r="G105" s="5">
        <v>202393525947659</v>
      </c>
      <c r="H105" s="5">
        <v>205091752595108</v>
      </c>
      <c r="I105" s="5">
        <v>173675073420755</v>
      </c>
      <c r="J105" s="5">
        <v>180511205290444</v>
      </c>
      <c r="K105" s="5">
        <v>184509714636791</v>
      </c>
      <c r="L105" s="5">
        <v>169150497667388</v>
      </c>
      <c r="M105" s="5">
        <v>191095011357278</v>
      </c>
      <c r="N105" s="5">
        <v>158157529923201</v>
      </c>
      <c r="O105" s="5">
        <v>172259855300125</v>
      </c>
      <c r="P105" s="5">
        <v>197055733625358</v>
      </c>
      <c r="Q105" s="5">
        <v>19398224085618</v>
      </c>
      <c r="R105" s="5">
        <v>177072818191038</v>
      </c>
      <c r="S105" s="5">
        <v>178739339511117</v>
      </c>
      <c r="T105" s="5">
        <v>17463196895729</v>
      </c>
      <c r="U105" s="5">
        <v>172710008531006</v>
      </c>
      <c r="V105" s="5">
        <v>158072109492405</v>
      </c>
      <c r="W105" s="5">
        <v>151433699975494</v>
      </c>
      <c r="X105" s="5">
        <v>164778569861345</v>
      </c>
      <c r="Y105" s="5">
        <v>174388372034291</v>
      </c>
      <c r="Z105" s="5">
        <v>163866253016577</v>
      </c>
      <c r="AA105" s="5">
        <v>159907180358202</v>
      </c>
      <c r="AB105" s="5">
        <v>15262663778384</v>
      </c>
      <c r="AC105" s="5">
        <v>12824528117863</v>
      </c>
      <c r="AD105" s="5">
        <v>124849691230392</v>
      </c>
      <c r="AE105" s="5">
        <v>116704647328422</v>
      </c>
      <c r="AF105" s="5">
        <v>99863460146159</v>
      </c>
      <c r="AG105" s="5">
        <v>918895927910157</v>
      </c>
      <c r="AH105" s="5">
        <v>923668171455621</v>
      </c>
      <c r="AI105" s="5">
        <v>895131971513644</v>
      </c>
      <c r="AJ105" s="5">
        <v>956832483782705</v>
      </c>
      <c r="AK105" s="5">
        <v>924822658669315</v>
      </c>
      <c r="AL105" s="5">
        <v>873081816836457</v>
      </c>
      <c r="AM105" s="5">
        <v>73164374367084</v>
      </c>
      <c r="AN105" s="5">
        <v>123168288217277</v>
      </c>
      <c r="AO105" s="5">
        <v>145643720847645</v>
      </c>
      <c r="AP105" s="6">
        <v>640974993929481</v>
      </c>
      <c r="AQ105" s="6">
        <v>659381111889791</v>
      </c>
      <c r="AR105" s="6">
        <v>660966869607616</v>
      </c>
      <c r="AS105" s="6">
        <v>69406059364878</v>
      </c>
      <c r="AT105" s="6">
        <v>707453920743011</v>
      </c>
      <c r="AU105" s="6">
        <v>625333623844412</v>
      </c>
      <c r="AV105" s="6">
        <v>610647690176611</v>
      </c>
      <c r="AW105" s="6">
        <v>616973052069443</v>
      </c>
      <c r="AX105" s="6">
        <v>571355227603755</v>
      </c>
      <c r="AY105" s="6">
        <v>524737862617597</v>
      </c>
      <c r="AZ105" s="6">
        <v>571526070002029</v>
      </c>
      <c r="BA105" s="6">
        <v>569331829475312</v>
      </c>
      <c r="BB105" s="6">
        <v>587841656597986</v>
      </c>
      <c r="BC105" s="6">
        <v>600630918574326</v>
      </c>
      <c r="BD105" s="6">
        <v>549662631995905</v>
      </c>
      <c r="BE105" s="6">
        <v>497400538176461</v>
      </c>
      <c r="BF105" s="6">
        <v>511083823132105</v>
      </c>
      <c r="BG105" s="6">
        <v>461527383251095</v>
      </c>
      <c r="BH105" s="6">
        <v>476896436108408</v>
      </c>
      <c r="BI105" s="6">
        <v>474260692178075</v>
      </c>
      <c r="BJ105" s="6">
        <v>444702651945807</v>
      </c>
      <c r="BK105" s="6">
        <v>446189637211056</v>
      </c>
      <c r="BL105" s="6">
        <v>461489053744555</v>
      </c>
      <c r="BM105" s="6">
        <v>418412680782909</v>
      </c>
    </row>
    <row r="106" spans="1:65" x14ac:dyDescent="0.45">
      <c r="A106" s="1" t="s">
        <v>100</v>
      </c>
      <c r="B106" s="2">
        <v>4054016</v>
      </c>
      <c r="C106" s="3" t="s">
        <v>751</v>
      </c>
      <c r="D106" s="3" t="s">
        <v>752</v>
      </c>
      <c r="E106" s="3" t="s">
        <v>705</v>
      </c>
      <c r="F106" s="5">
        <v>566022522607715</v>
      </c>
      <c r="G106" s="5">
        <v>615682046671898</v>
      </c>
      <c r="H106" s="5">
        <v>629942149617962</v>
      </c>
      <c r="I106" s="5">
        <v>649275818510347</v>
      </c>
      <c r="J106" s="5">
        <v>698101645868925</v>
      </c>
      <c r="K106" s="5">
        <v>702920883473454</v>
      </c>
      <c r="L106" s="5">
        <v>703804441612736</v>
      </c>
      <c r="M106" s="5">
        <v>666113452540882</v>
      </c>
      <c r="N106" s="5">
        <v>748072454770124</v>
      </c>
      <c r="O106" s="5">
        <v>769601314819625</v>
      </c>
      <c r="P106" s="5">
        <v>756999298165697</v>
      </c>
      <c r="Q106" s="5">
        <v>736400554459632</v>
      </c>
      <c r="R106" s="5">
        <v>721978859399795</v>
      </c>
      <c r="S106" s="5">
        <v>703148010513766</v>
      </c>
      <c r="T106" s="5">
        <v>684990312238628</v>
      </c>
      <c r="U106" s="5">
        <v>599215968854633</v>
      </c>
      <c r="V106" s="5">
        <v>613757190096317</v>
      </c>
      <c r="W106" s="5">
        <v>642157650808362</v>
      </c>
      <c r="X106" s="5">
        <v>644128096036402</v>
      </c>
      <c r="Y106" s="5">
        <v>644552793089244</v>
      </c>
      <c r="Z106" s="5">
        <v>602906651442723</v>
      </c>
      <c r="AA106" s="5">
        <v>624771999665362</v>
      </c>
      <c r="AB106" s="5">
        <v>592547711672288</v>
      </c>
      <c r="AC106" s="5">
        <v>53747143115175</v>
      </c>
      <c r="AD106" s="5">
        <v>534270897152974</v>
      </c>
      <c r="AE106" s="5">
        <v>525733117122078</v>
      </c>
      <c r="AF106" s="5">
        <v>463822328670465</v>
      </c>
      <c r="AG106" s="5">
        <v>510975899147348</v>
      </c>
      <c r="AH106" s="5">
        <v>5275948813759</v>
      </c>
      <c r="AI106" s="5">
        <v>503716008682017</v>
      </c>
      <c r="AJ106" s="5">
        <v>517920014449817</v>
      </c>
      <c r="AK106" s="5">
        <v>588976640811944</v>
      </c>
      <c r="AL106" s="5">
        <v>583969573080668</v>
      </c>
      <c r="AM106" s="5">
        <v>564060831620195</v>
      </c>
      <c r="AN106" s="5">
        <v>647950398600075</v>
      </c>
      <c r="AO106" s="5">
        <v>701795145604489</v>
      </c>
      <c r="AP106" s="6">
        <v>158931112705973</v>
      </c>
      <c r="AQ106" s="6">
        <v>157906957463726</v>
      </c>
      <c r="AR106" s="6">
        <v>162751097890104</v>
      </c>
      <c r="AS106" s="6">
        <v>16642503487966</v>
      </c>
      <c r="AT106" s="6">
        <v>162669425302514</v>
      </c>
      <c r="AU106" s="6">
        <v>148440256775823</v>
      </c>
      <c r="AV106" s="6">
        <v>144395729588313</v>
      </c>
      <c r="AW106" s="6">
        <v>142820931616797</v>
      </c>
      <c r="AX106" s="6">
        <v>140670497797541</v>
      </c>
      <c r="AY106" s="6">
        <v>140411314480615</v>
      </c>
      <c r="AZ106" s="6">
        <v>13536667124017</v>
      </c>
      <c r="BA106" s="6">
        <v>12895816978242</v>
      </c>
      <c r="BB106" s="6">
        <v>12285590366841</v>
      </c>
      <c r="BC106" s="6">
        <v>130339787357568</v>
      </c>
      <c r="BD106" s="6">
        <v>12395121271212</v>
      </c>
      <c r="BE106" s="6">
        <v>119456642848473</v>
      </c>
      <c r="BF106" s="6">
        <v>120153312523489</v>
      </c>
      <c r="BG106" s="6">
        <v>116998726748748</v>
      </c>
      <c r="BH106" s="6">
        <v>114481886087362</v>
      </c>
      <c r="BI106" s="6">
        <v>111775514480534</v>
      </c>
      <c r="BJ106" s="6">
        <v>110411171099135</v>
      </c>
      <c r="BK106" s="6">
        <v>104026189493611</v>
      </c>
      <c r="BL106" s="6">
        <v>98180768489895</v>
      </c>
      <c r="BM106" s="6">
        <v>10131865221</v>
      </c>
    </row>
    <row r="107" spans="1:65" x14ac:dyDescent="0.45">
      <c r="A107" s="1" t="s">
        <v>101</v>
      </c>
      <c r="B107" s="2">
        <v>4004172</v>
      </c>
      <c r="C107" s="3" t="s">
        <v>753</v>
      </c>
      <c r="D107" s="3" t="s">
        <v>754</v>
      </c>
      <c r="E107" s="3" t="s">
        <v>548</v>
      </c>
      <c r="F107" s="5">
        <v>171996948913754</v>
      </c>
      <c r="G107" s="5">
        <v>171885776745156</v>
      </c>
      <c r="H107" s="5">
        <v>167459689431033</v>
      </c>
      <c r="I107" s="5">
        <v>172356310835654</v>
      </c>
      <c r="J107" s="5">
        <v>194606518318473</v>
      </c>
      <c r="K107" s="5">
        <v>195542184367607</v>
      </c>
      <c r="L107" s="5">
        <v>187337812452615</v>
      </c>
      <c r="M107" s="5">
        <v>192113000938236</v>
      </c>
      <c r="N107" s="5">
        <v>18911101461327</v>
      </c>
      <c r="O107" s="5">
        <v>18267011335158</v>
      </c>
      <c r="P107" s="5">
        <v>165165973380398</v>
      </c>
      <c r="Q107" s="5">
        <v>166513609445305</v>
      </c>
      <c r="R107" s="5">
        <v>165702459653079</v>
      </c>
      <c r="S107" s="5">
        <v>151255989591991</v>
      </c>
      <c r="T107" s="5">
        <v>151195037261345</v>
      </c>
      <c r="U107" s="5">
        <v>149273439001165</v>
      </c>
      <c r="V107" s="5">
        <v>157371858669068</v>
      </c>
      <c r="W107" s="5">
        <v>150877909135549</v>
      </c>
      <c r="X107" s="5">
        <v>144232117967683</v>
      </c>
      <c r="Y107" s="5">
        <v>149008484378052</v>
      </c>
      <c r="Z107" s="5">
        <v>154940196781609</v>
      </c>
      <c r="AA107" s="5">
        <v>15095679992076</v>
      </c>
      <c r="AB107" s="5">
        <v>129215490539663</v>
      </c>
      <c r="AC107" s="5">
        <v>134164097250831</v>
      </c>
      <c r="AD107" s="5">
        <v>142805101994472</v>
      </c>
      <c r="AE107" s="5">
        <v>147428755094306</v>
      </c>
      <c r="AF107" s="5">
        <v>155597397017661</v>
      </c>
      <c r="AG107" s="5">
        <v>149709072010012</v>
      </c>
      <c r="AH107" s="5">
        <v>144851467023372</v>
      </c>
      <c r="AI107" s="5">
        <v>155272339146891</v>
      </c>
      <c r="AJ107" s="5">
        <v>148576928293098</v>
      </c>
      <c r="AK107" s="5">
        <v>150811357402965</v>
      </c>
      <c r="AL107" s="5">
        <v>149361018294163</v>
      </c>
      <c r="AM107" s="5">
        <v>151763937268125</v>
      </c>
      <c r="AN107" s="5">
        <v>155957847981308</v>
      </c>
      <c r="AO107" s="5">
        <v>175390799993952</v>
      </c>
      <c r="AP107" s="6">
        <v>302617847651001</v>
      </c>
      <c r="AQ107" s="6">
        <v>31860794144426</v>
      </c>
      <c r="AR107" s="6">
        <v>299350259559532</v>
      </c>
      <c r="AS107" s="6">
        <v>305245922133845</v>
      </c>
      <c r="AT107" s="6">
        <v>308265609425184</v>
      </c>
      <c r="AU107" s="6">
        <v>3230761608</v>
      </c>
      <c r="AV107" s="6">
        <v>317131198839281</v>
      </c>
      <c r="AW107" s="6">
        <v>316278817186048</v>
      </c>
      <c r="AX107" s="6">
        <v>370694606091264</v>
      </c>
      <c r="AY107" s="6">
        <v>371243547441113</v>
      </c>
      <c r="AZ107" s="6">
        <v>358445219163349</v>
      </c>
      <c r="BA107" s="6">
        <v>352226443653958</v>
      </c>
      <c r="BB107" s="6">
        <v>321033000430869</v>
      </c>
      <c r="BC107" s="6">
        <v>36426846599601</v>
      </c>
      <c r="BD107" s="6">
        <v>35313763108032</v>
      </c>
      <c r="BE107" s="6">
        <v>385292701802712</v>
      </c>
      <c r="BF107" s="6">
        <v>392049176659341</v>
      </c>
      <c r="BG107" s="6">
        <v>408030249280003</v>
      </c>
      <c r="BH107" s="6">
        <v>396667202916451</v>
      </c>
      <c r="BI107" s="6">
        <v>378652956039186</v>
      </c>
      <c r="BJ107" s="6">
        <v>397024222971217</v>
      </c>
      <c r="BK107" s="6">
        <v>384953691916458</v>
      </c>
      <c r="BL107" s="6">
        <v>395019837024485</v>
      </c>
      <c r="BM107" s="6">
        <v>369637775663356</v>
      </c>
    </row>
    <row r="108" spans="1:65" x14ac:dyDescent="0.45">
      <c r="A108" s="1" t="s">
        <v>102</v>
      </c>
      <c r="B108" s="2">
        <v>4222286</v>
      </c>
      <c r="C108" s="3" t="s">
        <v>755</v>
      </c>
      <c r="D108" s="3" t="s">
        <v>756</v>
      </c>
      <c r="E108" s="3" t="s">
        <v>501</v>
      </c>
      <c r="F108" s="5">
        <v>275013146775221</v>
      </c>
      <c r="G108" s="5">
        <v>31002329400493</v>
      </c>
      <c r="H108" s="5">
        <v>32596334568025</v>
      </c>
      <c r="I108" s="5">
        <v>303304492177762</v>
      </c>
      <c r="J108" s="5">
        <v>32476243674336</v>
      </c>
      <c r="K108" s="5">
        <v>344989658315972</v>
      </c>
      <c r="L108" s="5">
        <v>336474697576447</v>
      </c>
      <c r="M108" s="5">
        <v>362882242396651</v>
      </c>
      <c r="N108" s="5">
        <v>40008233243848</v>
      </c>
      <c r="O108" s="5">
        <v>423409412316894</v>
      </c>
      <c r="P108" s="5">
        <v>402311735070874</v>
      </c>
      <c r="Q108" s="5">
        <v>400572603840004</v>
      </c>
      <c r="R108" s="5">
        <v>409756735459341</v>
      </c>
      <c r="S108" s="5">
        <v>363389403288063</v>
      </c>
      <c r="T108" s="5">
        <v>354714219588903</v>
      </c>
      <c r="U108" s="5">
        <v>336531414533136</v>
      </c>
      <c r="V108" s="5">
        <v>339797706796704</v>
      </c>
      <c r="W108" s="5">
        <v>32579557663788</v>
      </c>
      <c r="X108" s="5">
        <v>308081766121975</v>
      </c>
      <c r="Y108" s="5">
        <v>309669782208223</v>
      </c>
      <c r="Z108" s="5">
        <v>3532525476053</v>
      </c>
      <c r="AA108" s="5">
        <v>353167511313859</v>
      </c>
      <c r="AB108" s="5">
        <v>322248512377348</v>
      </c>
      <c r="AC108" s="5">
        <v>343320864655728</v>
      </c>
      <c r="AD108" s="5">
        <v>358178084629076</v>
      </c>
      <c r="AE108" s="5">
        <v>349502175815517</v>
      </c>
      <c r="AF108" s="5">
        <v>327657443423456</v>
      </c>
      <c r="AG108" s="5">
        <v>320562272268894</v>
      </c>
      <c r="AH108" s="5">
        <v>303266516924654</v>
      </c>
      <c r="AI108" s="5">
        <v>313148886982048</v>
      </c>
      <c r="AJ108" s="5">
        <v>272940230516531</v>
      </c>
      <c r="AK108" s="5">
        <v>25771343109022</v>
      </c>
      <c r="AL108" s="5">
        <v>286954635463345</v>
      </c>
      <c r="AM108" s="5">
        <v>232006013473962</v>
      </c>
      <c r="AN108" s="5">
        <v>303964976491998</v>
      </c>
      <c r="AO108" s="5">
        <v>303158503192327</v>
      </c>
      <c r="AP108" s="6">
        <v>272577904376705</v>
      </c>
      <c r="AQ108" s="6">
        <v>240685357715342</v>
      </c>
      <c r="AR108" s="6">
        <v>19139939461773</v>
      </c>
      <c r="AS108" s="6">
        <v>205406290636898</v>
      </c>
      <c r="AT108" s="6">
        <v>216938939389181</v>
      </c>
      <c r="AU108" s="6">
        <v>226586549466045</v>
      </c>
      <c r="AV108" s="6">
        <v>204090022233053</v>
      </c>
      <c r="AW108" s="6">
        <v>179106264163245</v>
      </c>
      <c r="AX108" s="6">
        <v>22541222394432</v>
      </c>
      <c r="AY108" s="6">
        <v>210347466525504</v>
      </c>
      <c r="AZ108" s="6">
        <v>236471275830413</v>
      </c>
      <c r="BA108" s="6">
        <v>209854274608836</v>
      </c>
      <c r="BB108" s="6">
        <v>179530845242879</v>
      </c>
      <c r="BC108" s="6">
        <v>210136973053517</v>
      </c>
      <c r="BD108" s="6">
        <v>20965671688712</v>
      </c>
      <c r="BE108" s="6">
        <v>259490901202269</v>
      </c>
      <c r="BF108" s="6">
        <v>272569531118725</v>
      </c>
      <c r="BG108" s="6">
        <v>2095016594692</v>
      </c>
      <c r="BH108" s="6">
        <v>232922052900735</v>
      </c>
      <c r="BI108" s="6">
        <v>235767328659495</v>
      </c>
      <c r="BJ108" s="6">
        <v>19717271585952</v>
      </c>
      <c r="BK108" s="6">
        <v>20782954872128</v>
      </c>
      <c r="BL108" s="6">
        <v>197029496664</v>
      </c>
      <c r="BM108" s="6">
        <v>213845781143859</v>
      </c>
    </row>
    <row r="109" spans="1:65" x14ac:dyDescent="0.45">
      <c r="A109" s="1" t="s">
        <v>103</v>
      </c>
      <c r="B109" s="2">
        <v>4964205</v>
      </c>
      <c r="C109" s="3" t="s">
        <v>757</v>
      </c>
      <c r="D109" s="3" t="s">
        <v>758</v>
      </c>
      <c r="E109" s="3" t="s">
        <v>573</v>
      </c>
      <c r="F109" s="5">
        <v>455500616653368</v>
      </c>
      <c r="G109" s="5">
        <v>493166455572358</v>
      </c>
      <c r="H109" s="5">
        <v>470318703159201</v>
      </c>
      <c r="I109" s="5">
        <v>465128109735284</v>
      </c>
      <c r="J109" s="5">
        <v>613731271987548</v>
      </c>
      <c r="K109" s="5">
        <v>668983764439066</v>
      </c>
      <c r="L109" s="5">
        <v>518856213400259</v>
      </c>
      <c r="M109" s="5">
        <v>620176038129375</v>
      </c>
      <c r="N109" s="5">
        <v>617611638638845</v>
      </c>
      <c r="O109" s="5">
        <v>693888602024726</v>
      </c>
      <c r="P109" s="5">
        <v>657720454376973</v>
      </c>
      <c r="Q109" s="5">
        <v>600788476380096</v>
      </c>
      <c r="R109" s="5">
        <v>637715023491684</v>
      </c>
      <c r="S109" s="5">
        <v>588827542904817</v>
      </c>
      <c r="T109" s="5">
        <v>555928646226794</v>
      </c>
      <c r="U109" s="5">
        <v>541444948649741</v>
      </c>
      <c r="V109" s="5">
        <v>564077635327786</v>
      </c>
      <c r="W109" s="5">
        <v>617242192997274</v>
      </c>
      <c r="X109" s="5">
        <v>642126785073287</v>
      </c>
      <c r="Y109" s="5">
        <v>579769715016963</v>
      </c>
      <c r="Z109" s="5">
        <v>585081831432965</v>
      </c>
      <c r="AA109" s="5">
        <v>610636372452828</v>
      </c>
      <c r="AB109" s="5">
        <v>729918492783615</v>
      </c>
      <c r="AC109" s="5">
        <v>719227227557005</v>
      </c>
      <c r="AD109" s="5">
        <v>64487568521763</v>
      </c>
      <c r="AE109" s="5">
        <v>587815257923141</v>
      </c>
      <c r="AF109" s="5">
        <v>405196925225642</v>
      </c>
      <c r="AG109" s="5">
        <v>358704548765098</v>
      </c>
      <c r="AH109" s="5">
        <v>385897676360875</v>
      </c>
      <c r="AI109" s="5">
        <v>441392515753624</v>
      </c>
      <c r="AJ109" s="5">
        <v>387096809783094</v>
      </c>
      <c r="AK109" s="5">
        <v>390132927330786</v>
      </c>
      <c r="AL109" s="5">
        <v>286503864867079</v>
      </c>
      <c r="AM109" s="5">
        <v>236163165966</v>
      </c>
      <c r="AN109" s="5">
        <v>245834764706941</v>
      </c>
      <c r="AO109" s="5">
        <v>27574820517508</v>
      </c>
      <c r="AP109" s="6">
        <v>525739412697873</v>
      </c>
      <c r="AQ109" s="6">
        <v>52754013116763</v>
      </c>
      <c r="AR109" s="6">
        <v>528026262967549</v>
      </c>
      <c r="AS109" s="6">
        <v>578433807165034</v>
      </c>
      <c r="AT109" s="6">
        <v>578443751459766</v>
      </c>
      <c r="AU109" s="6">
        <v>553057142476987</v>
      </c>
      <c r="AV109" s="6">
        <v>540723565663343</v>
      </c>
      <c r="AW109" s="6">
        <v>536194950997613</v>
      </c>
      <c r="AX109" s="6">
        <v>557734858415936</v>
      </c>
      <c r="AY109" s="6">
        <v>5250788779797</v>
      </c>
      <c r="AZ109" s="6">
        <v>498397535823528</v>
      </c>
      <c r="BA109" s="6">
        <v>489737743110832</v>
      </c>
      <c r="BB109" s="6">
        <v>450874247709938</v>
      </c>
      <c r="BC109" s="6">
        <v>4865739682031</v>
      </c>
      <c r="BD109" s="6">
        <v>456318041893936</v>
      </c>
      <c r="BE109" s="6">
        <v>5000245747358</v>
      </c>
      <c r="BF109" s="6">
        <v>496452528393716</v>
      </c>
      <c r="BG109" s="6">
        <v>496867567812013</v>
      </c>
      <c r="BH109" s="6">
        <v>484562404018704</v>
      </c>
      <c r="BI109" s="6">
        <v>472032755269691</v>
      </c>
      <c r="BJ109" s="6">
        <v>471258073389231</v>
      </c>
      <c r="BK109" s="6">
        <v>509122211891651</v>
      </c>
      <c r="BL109" s="6">
        <v>494440824001925</v>
      </c>
      <c r="BM109" s="6">
        <v>524066684782625</v>
      </c>
    </row>
    <row r="110" spans="1:65" x14ac:dyDescent="0.45">
      <c r="A110" s="1" t="s">
        <v>104</v>
      </c>
      <c r="B110" s="2">
        <v>4004173</v>
      </c>
      <c r="C110" s="3" t="s">
        <v>759</v>
      </c>
      <c r="D110" s="3" t="s">
        <v>760</v>
      </c>
      <c r="E110" s="3" t="s">
        <v>737</v>
      </c>
      <c r="F110" s="5">
        <v>615751678808406</v>
      </c>
      <c r="G110" s="5">
        <v>627516113619788</v>
      </c>
      <c r="H110" s="5">
        <v>623691133215103</v>
      </c>
      <c r="I110" s="5">
        <v>597571615362434</v>
      </c>
      <c r="J110" s="5">
        <v>647733592276899</v>
      </c>
      <c r="K110" s="5">
        <v>643913213453517</v>
      </c>
      <c r="L110" s="5">
        <v>642382359543579</v>
      </c>
      <c r="M110" s="5">
        <v>615542050778979</v>
      </c>
      <c r="N110" s="5">
        <v>612642302661331</v>
      </c>
      <c r="O110" s="5">
        <v>573807307828695</v>
      </c>
      <c r="P110" s="5">
        <v>575935253881474</v>
      </c>
      <c r="Q110" s="5">
        <v>620432384187298</v>
      </c>
      <c r="R110" s="5">
        <v>632469123200442</v>
      </c>
      <c r="S110" s="5">
        <v>560981074063131</v>
      </c>
      <c r="T110" s="5">
        <v>555345518003524</v>
      </c>
      <c r="U110" s="5">
        <v>550058723326198</v>
      </c>
      <c r="V110" s="5">
        <v>557049898093476</v>
      </c>
      <c r="W110" s="5">
        <v>56531008829565</v>
      </c>
      <c r="X110" s="5">
        <v>580424171173802</v>
      </c>
      <c r="Y110" s="5">
        <v>581531544306822</v>
      </c>
      <c r="Z110" s="5">
        <v>567525854378898</v>
      </c>
      <c r="AA110" s="5">
        <v>56922354352202</v>
      </c>
      <c r="AB110" s="5">
        <v>527405464131984</v>
      </c>
      <c r="AC110" s="5">
        <v>550785832722684</v>
      </c>
      <c r="AD110" s="5">
        <v>599198942589772</v>
      </c>
      <c r="AE110" s="5">
        <v>61420422299279</v>
      </c>
      <c r="AF110" s="5">
        <v>5802648031348</v>
      </c>
      <c r="AG110" s="5">
        <v>563319983077767</v>
      </c>
      <c r="AH110" s="5">
        <v>568464812905861</v>
      </c>
      <c r="AI110" s="5">
        <v>559515012523461</v>
      </c>
      <c r="AJ110" s="5">
        <v>557590054213784</v>
      </c>
      <c r="AK110" s="5">
        <v>557264564835599</v>
      </c>
      <c r="AL110" s="5">
        <v>550771007195441</v>
      </c>
      <c r="AM110" s="5">
        <v>517791811313868</v>
      </c>
      <c r="AN110" s="5">
        <v>525342273955976</v>
      </c>
      <c r="AO110" s="5">
        <v>570359157415432</v>
      </c>
      <c r="AP110" s="6">
        <v>182301045453233</v>
      </c>
      <c r="AQ110" s="6">
        <v>182290914272917</v>
      </c>
      <c r="AR110" s="6">
        <v>182916354296338</v>
      </c>
      <c r="AS110" s="6">
        <v>187902730131155</v>
      </c>
      <c r="AT110" s="6">
        <v>182895628830879</v>
      </c>
      <c r="AU110" s="6">
        <v>176292005975399</v>
      </c>
      <c r="AV110" s="6">
        <v>168641793696625</v>
      </c>
      <c r="AW110" s="6">
        <v>16694172598113</v>
      </c>
      <c r="AX110" s="6">
        <v>17633441356493</v>
      </c>
      <c r="AY110" s="6">
        <v>161224651631938</v>
      </c>
      <c r="AZ110" s="6">
        <v>153684158194272</v>
      </c>
      <c r="BA110" s="6">
        <v>144494114351988</v>
      </c>
      <c r="BB110" s="6">
        <v>135298950691579</v>
      </c>
      <c r="BC110" s="6">
        <v>156746963093371</v>
      </c>
      <c r="BD110" s="6">
        <v>153303251854515</v>
      </c>
      <c r="BE110" s="6">
        <v>139645356891433</v>
      </c>
      <c r="BF110" s="6">
        <v>146011944161855</v>
      </c>
      <c r="BG110" s="6">
        <v>140088077040602</v>
      </c>
      <c r="BH110" s="6">
        <v>12940479377964</v>
      </c>
      <c r="BI110" s="6">
        <v>12306205426104</v>
      </c>
      <c r="BJ110" s="6">
        <v>11962974620472</v>
      </c>
      <c r="BK110" s="6">
        <v>129057148626732</v>
      </c>
      <c r="BL110" s="6">
        <v>137737483307072</v>
      </c>
      <c r="BM110" s="6">
        <v>158795111381664</v>
      </c>
    </row>
    <row r="111" spans="1:65" x14ac:dyDescent="0.45">
      <c r="A111" s="1" t="s">
        <v>105</v>
      </c>
      <c r="B111" s="2">
        <v>4057180</v>
      </c>
      <c r="C111" s="3" t="s">
        <v>761</v>
      </c>
      <c r="D111" s="3" t="s">
        <v>762</v>
      </c>
      <c r="E111" s="3" t="s">
        <v>609</v>
      </c>
      <c r="F111" s="5">
        <v>141468110618704</v>
      </c>
      <c r="G111" s="5">
        <v>153609880803351</v>
      </c>
      <c r="H111" s="5">
        <v>138775634356567</v>
      </c>
      <c r="I111" s="5">
        <v>132003198515003</v>
      </c>
      <c r="J111" s="5">
        <v>158581118885371</v>
      </c>
      <c r="K111" s="5">
        <v>16233924289924</v>
      </c>
      <c r="L111" s="5">
        <v>168166241877903</v>
      </c>
      <c r="M111" s="5">
        <v>184905386898653</v>
      </c>
      <c r="N111" s="5">
        <v>169023179098709</v>
      </c>
      <c r="O111" s="5">
        <v>191063708603613</v>
      </c>
      <c r="P111" s="5">
        <v>188762713422328</v>
      </c>
      <c r="Q111" s="5">
        <v>203915933383854</v>
      </c>
      <c r="R111" s="5">
        <v>20219846150447</v>
      </c>
      <c r="S111" s="5">
        <v>20259635530569</v>
      </c>
      <c r="T111" s="5">
        <v>203210455114322</v>
      </c>
      <c r="U111" s="5">
        <v>221484213976465</v>
      </c>
      <c r="V111" s="5">
        <v>235949652083206</v>
      </c>
      <c r="W111" s="5">
        <v>227622005316485</v>
      </c>
      <c r="X111" s="5">
        <v>220942436372732</v>
      </c>
      <c r="Y111" s="5">
        <v>216149683073087</v>
      </c>
      <c r="Z111" s="5">
        <v>214449910928167</v>
      </c>
      <c r="AA111" s="5">
        <v>211176128257816</v>
      </c>
      <c r="AB111" s="5">
        <v>19959329783505</v>
      </c>
      <c r="AC111" s="5">
        <v>186836825731962</v>
      </c>
      <c r="AD111" s="5">
        <v>195993117990735</v>
      </c>
      <c r="AE111" s="5">
        <v>192327405681534</v>
      </c>
      <c r="AF111" s="5">
        <v>165837821922664</v>
      </c>
      <c r="AG111" s="5">
        <v>17996039677814</v>
      </c>
      <c r="AH111" s="5">
        <v>171228696291409</v>
      </c>
      <c r="AI111" s="5">
        <v>165268581217808</v>
      </c>
      <c r="AJ111" s="5">
        <v>15809159370565</v>
      </c>
      <c r="AK111" s="5">
        <v>162576207184684</v>
      </c>
      <c r="AL111" s="5">
        <v>156995990490237</v>
      </c>
      <c r="AM111" s="5">
        <v>142445331296541</v>
      </c>
      <c r="AN111" s="5">
        <v>1673832081011</v>
      </c>
      <c r="AO111" s="5">
        <v>17737430081843</v>
      </c>
      <c r="AP111" s="6">
        <v>162572877557255</v>
      </c>
      <c r="AQ111" s="6">
        <v>169735183365972</v>
      </c>
      <c r="AR111" s="6">
        <v>16550611357128</v>
      </c>
      <c r="AS111" s="6">
        <v>149177258903787</v>
      </c>
      <c r="AT111" s="6">
        <v>129267772949703</v>
      </c>
      <c r="AU111" s="6">
        <v>1387830289797</v>
      </c>
      <c r="AV111" s="6">
        <v>165369171519417</v>
      </c>
      <c r="AW111" s="6">
        <v>156199012405349</v>
      </c>
      <c r="AX111" s="6">
        <v>17819067801045</v>
      </c>
      <c r="AY111" s="6">
        <v>172105935260688</v>
      </c>
      <c r="AZ111" s="6">
        <v>173596327002806</v>
      </c>
      <c r="BA111" s="6">
        <v>154764526633353</v>
      </c>
      <c r="BB111" s="6">
        <v>140988366504586</v>
      </c>
      <c r="BC111" s="6">
        <v>171880804075546</v>
      </c>
      <c r="BD111" s="6">
        <v>174616554264054</v>
      </c>
      <c r="BE111" s="6">
        <v>17981201590938</v>
      </c>
      <c r="BF111" s="6">
        <v>18317026648935</v>
      </c>
      <c r="BG111" s="6">
        <v>175826338982663</v>
      </c>
      <c r="BH111" s="6">
        <v>14541074535633</v>
      </c>
      <c r="BI111" s="6">
        <v>148848524100158</v>
      </c>
      <c r="BJ111" s="6">
        <v>12946345849474</v>
      </c>
      <c r="BK111" s="6">
        <v>1244335709793</v>
      </c>
      <c r="BL111" s="6">
        <v>12471345331263</v>
      </c>
      <c r="BM111" s="6">
        <v>12659234621709</v>
      </c>
    </row>
    <row r="112" spans="1:65" x14ac:dyDescent="0.45">
      <c r="A112" s="1" t="s">
        <v>106</v>
      </c>
      <c r="B112" s="2">
        <v>4990366</v>
      </c>
      <c r="C112" s="3" t="s">
        <v>763</v>
      </c>
      <c r="D112" s="3" t="s">
        <v>764</v>
      </c>
      <c r="E112" s="3" t="s">
        <v>765</v>
      </c>
      <c r="F112" s="5">
        <v>38383541567905</v>
      </c>
      <c r="G112" s="5">
        <v>438155418798435</v>
      </c>
      <c r="H112" s="5">
        <v>444407309950022</v>
      </c>
      <c r="I112" s="5">
        <v>353962890402934</v>
      </c>
      <c r="J112" s="5">
        <v>355283966837354</v>
      </c>
      <c r="K112" s="5">
        <v>369411074347306</v>
      </c>
      <c r="L112" s="5">
        <v>285300981807023</v>
      </c>
      <c r="M112" s="5">
        <v>299959353565544</v>
      </c>
      <c r="N112" s="5">
        <v>287326994824561</v>
      </c>
      <c r="O112" s="5">
        <v>287189193686888</v>
      </c>
      <c r="P112" s="5">
        <v>274423721298441</v>
      </c>
      <c r="Q112" s="5">
        <v>287929181767219</v>
      </c>
      <c r="R112" s="5">
        <v>31250781299893</v>
      </c>
      <c r="S112" s="5">
        <v>302344682011923</v>
      </c>
      <c r="T112" s="5">
        <v>284149084051373</v>
      </c>
      <c r="U112" s="5">
        <v>222665214952982</v>
      </c>
      <c r="V112" s="5">
        <v>232925020118966</v>
      </c>
      <c r="W112" s="5">
        <v>22801828610145</v>
      </c>
      <c r="X112" s="5">
        <v>240324317630319</v>
      </c>
      <c r="Y112" s="5">
        <v>245994918862155</v>
      </c>
      <c r="Z112" s="5">
        <v>247609406478397</v>
      </c>
      <c r="AA112" s="5">
        <v>229749760562316</v>
      </c>
      <c r="AB112" s="5">
        <v>184629949527039</v>
      </c>
      <c r="AC112" s="5">
        <v>165834029903273</v>
      </c>
      <c r="AD112" s="5">
        <v>156341978801205</v>
      </c>
      <c r="AE112" s="5">
        <v>153116190605406</v>
      </c>
      <c r="AF112" s="5">
        <v>142728390471598</v>
      </c>
      <c r="AG112" s="5">
        <v>159675614590352</v>
      </c>
      <c r="AH112" s="5">
        <v>154286612339675</v>
      </c>
      <c r="AI112" s="5">
        <v>152955826786506</v>
      </c>
      <c r="AJ112" s="5">
        <v>131780694306045</v>
      </c>
      <c r="AK112" s="5">
        <v>12112136627815</v>
      </c>
      <c r="AL112" s="5">
        <v>110778584572953</v>
      </c>
      <c r="AM112" s="5">
        <v>12151918914135</v>
      </c>
      <c r="AN112" s="5">
        <v>14026247869192</v>
      </c>
      <c r="AO112" s="5">
        <v>15317257191456</v>
      </c>
      <c r="AP112" s="6">
        <v>148484333388794</v>
      </c>
      <c r="AQ112" s="6">
        <v>12751512618417</v>
      </c>
      <c r="AR112" s="6">
        <v>118094197697529</v>
      </c>
      <c r="AS112" s="6">
        <v>13691359575745</v>
      </c>
      <c r="AT112" s="6">
        <v>125470081852361</v>
      </c>
      <c r="AU112" s="6">
        <v>126100591315064</v>
      </c>
      <c r="AV112" s="6">
        <v>113246185939686</v>
      </c>
      <c r="AW112" s="6">
        <v>116694192748261</v>
      </c>
      <c r="AX112" s="6">
        <v>133486349515974</v>
      </c>
      <c r="AY112" s="6">
        <v>120032924442512</v>
      </c>
      <c r="AZ112" s="6">
        <v>996595486617724</v>
      </c>
      <c r="BA112" s="6">
        <v>917461241975592</v>
      </c>
      <c r="BB112" s="6">
        <v>905949469072666</v>
      </c>
      <c r="BC112" s="6">
        <v>138703881580831</v>
      </c>
      <c r="BD112" s="6">
        <v>152737645203744</v>
      </c>
      <c r="BE112" s="6">
        <v>114509156826637</v>
      </c>
      <c r="BF112" s="6">
        <v>123995376656366</v>
      </c>
      <c r="BG112" s="6">
        <v>122616518465755</v>
      </c>
      <c r="BH112" s="6">
        <v>119705246153243</v>
      </c>
      <c r="BI112" s="6">
        <v>125085568093452</v>
      </c>
      <c r="BJ112" s="6">
        <v>120815927536455</v>
      </c>
      <c r="BK112" s="6">
        <v>11776219242772</v>
      </c>
      <c r="BL112" s="6">
        <v>118557428029186</v>
      </c>
      <c r="BM112" s="6">
        <v>122394677168736</v>
      </c>
    </row>
    <row r="113" spans="1:65" x14ac:dyDescent="0.45">
      <c r="A113" s="1" t="s">
        <v>107</v>
      </c>
      <c r="B113" s="2">
        <v>4101861</v>
      </c>
      <c r="C113" s="3" t="s">
        <v>766</v>
      </c>
      <c r="D113" s="3" t="s">
        <v>767</v>
      </c>
      <c r="E113" s="3" t="s">
        <v>768</v>
      </c>
      <c r="F113" s="5">
        <v>173545858189311</v>
      </c>
      <c r="G113" s="5">
        <v>176505813793344</v>
      </c>
      <c r="H113" s="5">
        <v>17787410600853</v>
      </c>
      <c r="I113" s="5">
        <v>159755706961822</v>
      </c>
      <c r="J113" s="5">
        <v>163883670795703</v>
      </c>
      <c r="K113" s="5">
        <v>161020316806445</v>
      </c>
      <c r="L113" s="5">
        <v>157178264242659</v>
      </c>
      <c r="M113" s="5">
        <v>147114248413511</v>
      </c>
      <c r="N113" s="5">
        <v>159055022773696</v>
      </c>
      <c r="O113" s="5">
        <v>144963282372689</v>
      </c>
      <c r="P113" s="5">
        <v>149381639060588</v>
      </c>
      <c r="Q113" s="5">
        <v>148868089060712</v>
      </c>
      <c r="R113" s="5">
        <v>144041703143972</v>
      </c>
      <c r="S113" s="5">
        <v>130014926366328</v>
      </c>
      <c r="T113" s="5">
        <v>133577102680034</v>
      </c>
      <c r="U113" s="5">
        <v>140368049158882</v>
      </c>
      <c r="V113" s="5">
        <v>134778061680998</v>
      </c>
      <c r="W113" s="5">
        <v>135606008402929</v>
      </c>
      <c r="X113" s="5">
        <v>147261578245336</v>
      </c>
      <c r="Y113" s="5">
        <v>150036429441083</v>
      </c>
      <c r="Z113" s="5">
        <v>147981618529552</v>
      </c>
      <c r="AA113" s="5">
        <v>156517252760256</v>
      </c>
      <c r="AB113" s="5">
        <v>137012911240058</v>
      </c>
      <c r="AC113" s="5">
        <v>139262011278434</v>
      </c>
      <c r="AD113" s="5">
        <v>144809214048062</v>
      </c>
      <c r="AE113" s="5">
        <v>149436467005879</v>
      </c>
      <c r="AF113" s="5">
        <v>147096353077052</v>
      </c>
      <c r="AG113" s="5">
        <v>148549909400925</v>
      </c>
      <c r="AH113" s="5">
        <v>15674418285248</v>
      </c>
      <c r="AI113" s="5">
        <v>154244223738907</v>
      </c>
      <c r="AJ113" s="5">
        <v>152221388825909</v>
      </c>
      <c r="AK113" s="5">
        <v>152423734935295</v>
      </c>
      <c r="AL113" s="5">
        <v>148887069013927</v>
      </c>
      <c r="AM113" s="5">
        <v>13004645097717</v>
      </c>
      <c r="AN113" s="5">
        <v>118145900662944</v>
      </c>
      <c r="AO113" s="5">
        <v>144553714730119</v>
      </c>
      <c r="AP113" s="6">
        <v>635847803789154</v>
      </c>
      <c r="AQ113" s="6">
        <v>596931096676218</v>
      </c>
      <c r="AR113" s="6">
        <v>543366566083466</v>
      </c>
      <c r="AS113" s="6">
        <v>58011956619011</v>
      </c>
      <c r="AT113" s="6">
        <v>526673997179193</v>
      </c>
      <c r="AU113" s="6">
        <v>5893008963996</v>
      </c>
      <c r="AV113" s="6">
        <v>60585115312358</v>
      </c>
      <c r="AW113" s="6">
        <v>5977841381277</v>
      </c>
      <c r="AX113" s="6">
        <v>636680128896</v>
      </c>
      <c r="AY113" s="6">
        <v>67457725147102</v>
      </c>
      <c r="AZ113" s="6">
        <v>67586757940774</v>
      </c>
      <c r="BA113" s="6">
        <v>6726887864613</v>
      </c>
      <c r="BB113" s="6">
        <v>626925923614531</v>
      </c>
      <c r="BC113" s="6">
        <v>672902909721723</v>
      </c>
      <c r="BD113" s="6">
        <v>710968423425552</v>
      </c>
      <c r="BE113" s="6">
        <v>774166744054994</v>
      </c>
      <c r="BF113" s="6">
        <v>735140852688381</v>
      </c>
      <c r="BG113" s="6">
        <v>716655635043086</v>
      </c>
      <c r="BH113" s="6">
        <v>698193740575628</v>
      </c>
      <c r="BI113" s="6">
        <v>676302983590818</v>
      </c>
      <c r="BJ113" s="6">
        <v>634726873086</v>
      </c>
      <c r="BK113" s="6">
        <v>566318175089578</v>
      </c>
      <c r="BL113" s="6">
        <v>522450782633543</v>
      </c>
      <c r="BM113" s="6">
        <v>565208308014288</v>
      </c>
    </row>
    <row r="114" spans="1:65" x14ac:dyDescent="0.45">
      <c r="A114" s="1" t="s">
        <v>108</v>
      </c>
      <c r="B114" s="2">
        <v>4980342</v>
      </c>
      <c r="C114" s="3" t="s">
        <v>769</v>
      </c>
      <c r="D114" s="3" t="s">
        <v>770</v>
      </c>
      <c r="E114" s="3" t="s">
        <v>581</v>
      </c>
      <c r="F114" s="5">
        <v>137581946181832</v>
      </c>
      <c r="G114" s="5">
        <v>149238999569602</v>
      </c>
      <c r="H114" s="5">
        <v>162330616572869</v>
      </c>
      <c r="I114" s="5">
        <v>132861822818667</v>
      </c>
      <c r="J114" s="5">
        <v>138344233936475</v>
      </c>
      <c r="K114" s="5">
        <v>121220248155708</v>
      </c>
      <c r="L114" s="5">
        <v>109027043777993</v>
      </c>
      <c r="M114" s="5">
        <v>13290869754836</v>
      </c>
      <c r="N114" s="5">
        <v>117472696567532</v>
      </c>
      <c r="O114" s="5">
        <v>11667053415514</v>
      </c>
      <c r="P114" s="5">
        <v>109774716255692</v>
      </c>
      <c r="Q114" s="5">
        <v>104354991704441</v>
      </c>
      <c r="R114" s="5">
        <v>837107535674508</v>
      </c>
      <c r="S114" s="5">
        <v>820639982840203</v>
      </c>
      <c r="T114" s="5">
        <v>86262264428837</v>
      </c>
      <c r="U114" s="5">
        <v>782987486375643</v>
      </c>
      <c r="V114" s="5">
        <v>629971380200483</v>
      </c>
      <c r="W114" s="5">
        <v>637715999618353</v>
      </c>
      <c r="X114" s="5">
        <v>693102610179092</v>
      </c>
      <c r="Y114" s="5">
        <v>617152076856002</v>
      </c>
      <c r="Z114" s="5">
        <v>574835612277138</v>
      </c>
      <c r="AA114" s="5">
        <v>61023165063396</v>
      </c>
      <c r="AB114" s="5">
        <v>582349859795247</v>
      </c>
      <c r="AC114" s="5">
        <v>445849970732353</v>
      </c>
      <c r="AD114" s="5">
        <v>349134704129592</v>
      </c>
      <c r="AE114" s="5">
        <v>35349225791932</v>
      </c>
      <c r="AF114" s="5">
        <v>262277711713596</v>
      </c>
      <c r="AG114" s="5">
        <v>299959701048782</v>
      </c>
      <c r="AH114" s="5">
        <v>339949699374569</v>
      </c>
      <c r="AI114" s="5">
        <v>338948197951093</v>
      </c>
      <c r="AJ114" s="5">
        <v>400432530960135</v>
      </c>
      <c r="AK114" s="5">
        <v>406887865531774</v>
      </c>
      <c r="AL114" s="5">
        <v>4127078545425</v>
      </c>
      <c r="AM114" s="5">
        <v>301822299779</v>
      </c>
      <c r="AN114" s="5">
        <v>47600428794139</v>
      </c>
      <c r="AO114" s="5">
        <v>588200305455886</v>
      </c>
      <c r="AP114" s="6">
        <v>267998137973793</v>
      </c>
      <c r="AQ114" s="6">
        <v>262159154099565</v>
      </c>
      <c r="AR114" s="6">
        <v>274784769101543</v>
      </c>
      <c r="AS114" s="6">
        <v>287764549530845</v>
      </c>
      <c r="AT114" s="6">
        <v>268465121060912</v>
      </c>
      <c r="AU114" s="6">
        <v>25412579451193</v>
      </c>
      <c r="AV114" s="6">
        <v>256511448821821</v>
      </c>
      <c r="AW114" s="6">
        <v>257731687112297</v>
      </c>
      <c r="AX114" s="6">
        <v>251414694129186</v>
      </c>
      <c r="AY114" s="6">
        <v>242624229556579</v>
      </c>
      <c r="AZ114" s="6">
        <v>232457754992654</v>
      </c>
      <c r="BA114" s="6">
        <v>21114746406</v>
      </c>
      <c r="BB114" s="6">
        <v>2080068548272</v>
      </c>
      <c r="BC114" s="6">
        <v>221042155776</v>
      </c>
      <c r="BD114" s="6">
        <v>20889321299394</v>
      </c>
      <c r="BE114" s="6">
        <v>204011176451549</v>
      </c>
      <c r="BF114" s="6">
        <v>211544417111049</v>
      </c>
      <c r="BG114" s="6">
        <v>209574290622935</v>
      </c>
      <c r="BH114" s="6">
        <v>20768185819386</v>
      </c>
      <c r="BI114" s="6">
        <v>204495823765943</v>
      </c>
      <c r="BJ114" s="6">
        <v>206139168402083</v>
      </c>
      <c r="BK114" s="6">
        <v>196732170974326</v>
      </c>
      <c r="BL114" s="6">
        <v>190381763527137</v>
      </c>
      <c r="BM114" s="6">
        <v>20030879622791</v>
      </c>
    </row>
    <row r="115" spans="1:65" x14ac:dyDescent="0.45">
      <c r="A115" s="1" t="s">
        <v>109</v>
      </c>
      <c r="B115" s="2">
        <v>4057041</v>
      </c>
      <c r="C115" s="3" t="s">
        <v>771</v>
      </c>
      <c r="D115" s="3" t="s">
        <v>772</v>
      </c>
      <c r="E115" s="3" t="s">
        <v>548</v>
      </c>
      <c r="F115" s="5">
        <v>316472248547228</v>
      </c>
      <c r="G115" s="5">
        <v>33736593783297</v>
      </c>
      <c r="H115" s="5">
        <v>315414764397755</v>
      </c>
      <c r="I115" s="5">
        <v>310110570973281</v>
      </c>
      <c r="J115" s="5">
        <v>34410789428732</v>
      </c>
      <c r="K115" s="5">
        <v>344815096687529</v>
      </c>
      <c r="L115" s="5">
        <v>322311529343951</v>
      </c>
      <c r="M115" s="5">
        <v>327794548203147</v>
      </c>
      <c r="N115" s="5">
        <v>311693026099549</v>
      </c>
      <c r="O115" s="5">
        <v>301794563910763</v>
      </c>
      <c r="P115" s="5">
        <v>270447822306804</v>
      </c>
      <c r="Q115" s="5">
        <v>273032330412442</v>
      </c>
      <c r="R115" s="5">
        <v>265388938073487</v>
      </c>
      <c r="S115" s="5">
        <v>243669940128891</v>
      </c>
      <c r="T115" s="5">
        <v>230425859019034</v>
      </c>
      <c r="U115" s="5">
        <v>221325330399788</v>
      </c>
      <c r="V115" s="5">
        <v>225886033608019</v>
      </c>
      <c r="W115" s="5">
        <v>219568680606742</v>
      </c>
      <c r="X115" s="5">
        <v>213568359499037</v>
      </c>
      <c r="Y115" s="5">
        <v>217259342073184</v>
      </c>
      <c r="Z115" s="5">
        <v>220523140211156</v>
      </c>
      <c r="AA115" s="5">
        <v>218222362265952</v>
      </c>
      <c r="AB115" s="5">
        <v>185795695648505</v>
      </c>
      <c r="AC115" s="5">
        <v>199482756553233</v>
      </c>
      <c r="AD115" s="5">
        <v>202124440625283</v>
      </c>
      <c r="AE115" s="5">
        <v>21363449335998</v>
      </c>
      <c r="AF115" s="5">
        <v>225291046460241</v>
      </c>
      <c r="AG115" s="5">
        <v>221618979634956</v>
      </c>
      <c r="AH115" s="5">
        <v>199613886985265</v>
      </c>
      <c r="AI115" s="5">
        <v>216980563223628</v>
      </c>
      <c r="AJ115" s="5">
        <v>213547995503099</v>
      </c>
      <c r="AK115" s="5">
        <v>225573904956317</v>
      </c>
      <c r="AL115" s="5">
        <v>240566575925042</v>
      </c>
      <c r="AM115" s="5">
        <v>2369138300256</v>
      </c>
      <c r="AN115" s="5">
        <v>239220305318743</v>
      </c>
      <c r="AO115" s="5">
        <v>28186109433504</v>
      </c>
      <c r="AP115" s="6">
        <v>322436648220244</v>
      </c>
      <c r="AQ115" s="6">
        <v>322251292601653</v>
      </c>
      <c r="AR115" s="6">
        <v>325876401378623</v>
      </c>
      <c r="AS115" s="6">
        <v>362283110755494</v>
      </c>
      <c r="AT115" s="6">
        <v>35404151640311</v>
      </c>
      <c r="AU115" s="6">
        <v>337535566306594</v>
      </c>
      <c r="AV115" s="6">
        <v>33045044865866</v>
      </c>
      <c r="AW115" s="6">
        <v>301785470064505</v>
      </c>
      <c r="AX115" s="6">
        <v>358666061256767</v>
      </c>
      <c r="AY115" s="6">
        <v>295878958978573</v>
      </c>
      <c r="AZ115" s="6">
        <v>282457162672166</v>
      </c>
      <c r="BA115" s="6">
        <v>287203897883298</v>
      </c>
      <c r="BB115" s="6">
        <v>266894730370856</v>
      </c>
      <c r="BC115" s="6">
        <v>328610609532393</v>
      </c>
      <c r="BD115" s="6">
        <v>333430503355878</v>
      </c>
      <c r="BE115" s="6">
        <v>355835269914389</v>
      </c>
      <c r="BF115" s="6">
        <v>343080570838478</v>
      </c>
      <c r="BG115" s="6">
        <v>343503705738974</v>
      </c>
      <c r="BH115" s="6">
        <v>359176849991428</v>
      </c>
      <c r="BI115" s="6">
        <v>366163224601973</v>
      </c>
      <c r="BJ115" s="6">
        <v>369399952158094</v>
      </c>
      <c r="BK115" s="6">
        <v>361212242659835</v>
      </c>
      <c r="BL115" s="6">
        <v>344301128356021</v>
      </c>
      <c r="BM115" s="6">
        <v>343415612142504</v>
      </c>
    </row>
    <row r="116" spans="1:65" x14ac:dyDescent="0.45">
      <c r="A116" s="1" t="s">
        <v>110</v>
      </c>
      <c r="B116" s="2">
        <v>4276708</v>
      </c>
      <c r="C116" s="3" t="s">
        <v>773</v>
      </c>
      <c r="D116" s="3" t="s">
        <v>774</v>
      </c>
      <c r="E116" s="3" t="s">
        <v>675</v>
      </c>
      <c r="F116" s="5">
        <v>400011003135956</v>
      </c>
      <c r="G116" s="5">
        <v>460338325449741</v>
      </c>
      <c r="H116" s="5">
        <v>469717880567614</v>
      </c>
      <c r="I116" s="5">
        <v>445148558117092</v>
      </c>
      <c r="J116" s="5">
        <v>461608560349298</v>
      </c>
      <c r="K116" s="5">
        <v>453473217105048</v>
      </c>
      <c r="L116" s="5">
        <v>420395626020629</v>
      </c>
      <c r="M116" s="5">
        <v>432494360996182</v>
      </c>
      <c r="N116" s="5">
        <v>439454690304954</v>
      </c>
      <c r="O116" s="5">
        <v>389339194430389</v>
      </c>
      <c r="P116" s="5">
        <v>36053642735665</v>
      </c>
      <c r="Q116" s="5">
        <v>397941463918915</v>
      </c>
      <c r="R116" s="5">
        <v>413541519879329</v>
      </c>
      <c r="S116" s="5">
        <v>374863527594552</v>
      </c>
      <c r="T116" s="5">
        <v>351574855562265</v>
      </c>
      <c r="U116" s="5">
        <v>348356569122313</v>
      </c>
      <c r="V116" s="5">
        <v>343775626528828</v>
      </c>
      <c r="W116" s="5">
        <v>362573140756474</v>
      </c>
      <c r="X116" s="5">
        <v>37796167367145</v>
      </c>
      <c r="Y116" s="5">
        <v>380033327964662</v>
      </c>
      <c r="Z116" s="5">
        <v>385950028877122</v>
      </c>
      <c r="AA116" s="5">
        <v>375797367946754</v>
      </c>
      <c r="AB116" s="5">
        <v>343671176452856</v>
      </c>
      <c r="AC116" s="5">
        <v>336109900352449</v>
      </c>
      <c r="AD116" s="5">
        <v>345269466438097</v>
      </c>
      <c r="AE116" s="5">
        <v>331691310246566</v>
      </c>
      <c r="AF116" s="5">
        <v>274282401084033</v>
      </c>
      <c r="AG116" s="5">
        <v>308541401468966</v>
      </c>
      <c r="AH116" s="5">
        <v>294810829199371</v>
      </c>
      <c r="AI116" s="5">
        <v>288764586882028</v>
      </c>
      <c r="AJ116" s="5">
        <v>296018743575637</v>
      </c>
      <c r="AK116" s="5">
        <v>29784677042741</v>
      </c>
      <c r="AL116" s="5">
        <v>286049610245667</v>
      </c>
      <c r="AM116" s="5">
        <v>250077428718636</v>
      </c>
      <c r="AN116" s="5">
        <v>298160212087004</v>
      </c>
      <c r="AO116" s="5">
        <v>324028596384068</v>
      </c>
      <c r="AP116" s="6">
        <v>188373064133826</v>
      </c>
      <c r="AQ116" s="6">
        <v>187768139255384</v>
      </c>
      <c r="AR116" s="6">
        <v>172181765696335</v>
      </c>
      <c r="AS116" s="6">
        <v>171100174453226</v>
      </c>
      <c r="AT116" s="6">
        <v>157044482392718</v>
      </c>
      <c r="AU116" s="6">
        <v>159601650240232</v>
      </c>
      <c r="AV116" s="6">
        <v>150484806398006</v>
      </c>
      <c r="AW116" s="6">
        <v>146917967855379</v>
      </c>
      <c r="AX116" s="6">
        <v>137113182707886</v>
      </c>
      <c r="AY116" s="6">
        <v>123198532974851</v>
      </c>
      <c r="AZ116" s="6">
        <v>117567408474581</v>
      </c>
      <c r="BA116" s="6">
        <v>103434818758452</v>
      </c>
      <c r="BB116" s="6">
        <v>976571216468496</v>
      </c>
      <c r="BC116" s="6">
        <v>105780089136845</v>
      </c>
      <c r="BD116" s="6">
        <v>101079828935371</v>
      </c>
      <c r="BE116" s="6">
        <v>103019699683443</v>
      </c>
      <c r="BF116" s="6">
        <v>128689207222899</v>
      </c>
      <c r="BG116" s="6">
        <v>113908629303364</v>
      </c>
      <c r="BH116" s="6">
        <v>112602810395559</v>
      </c>
      <c r="BI116" s="6">
        <v>109235044528917</v>
      </c>
      <c r="BJ116" s="6">
        <v>980734101143907</v>
      </c>
      <c r="BK116" s="6">
        <v>960143636301291</v>
      </c>
      <c r="BL116" s="6">
        <v>888766557401268</v>
      </c>
      <c r="BM116" s="6">
        <v>819460777983943</v>
      </c>
    </row>
    <row r="117" spans="1:65" x14ac:dyDescent="0.45">
      <c r="A117" s="1" t="s">
        <v>111</v>
      </c>
      <c r="B117" s="2">
        <v>4988311</v>
      </c>
      <c r="C117" s="3" t="s">
        <v>775</v>
      </c>
      <c r="D117" s="3" t="s">
        <v>776</v>
      </c>
      <c r="E117" s="3" t="s">
        <v>744</v>
      </c>
      <c r="F117" s="5">
        <v>271370850066225</v>
      </c>
      <c r="G117" s="5">
        <v>307419421115756</v>
      </c>
      <c r="H117" s="5">
        <v>276911025862126</v>
      </c>
      <c r="I117" s="5">
        <v>258307577674003</v>
      </c>
      <c r="J117" s="5">
        <v>282356172999994</v>
      </c>
      <c r="K117" s="5">
        <v>298491181886822</v>
      </c>
      <c r="L117" s="5">
        <v>247046753166659</v>
      </c>
      <c r="M117" s="5">
        <v>253723586645019</v>
      </c>
      <c r="N117" s="5">
        <v>25612299336318</v>
      </c>
      <c r="O117" s="5">
        <v>268248677039905</v>
      </c>
      <c r="P117" s="5">
        <v>25954261957079</v>
      </c>
      <c r="Q117" s="5">
        <v>273702201440184</v>
      </c>
      <c r="R117" s="5">
        <v>316218389618818</v>
      </c>
      <c r="S117" s="5">
        <v>305465417532999</v>
      </c>
      <c r="T117" s="5">
        <v>318462909494624</v>
      </c>
      <c r="U117" s="5">
        <v>283779958714727</v>
      </c>
      <c r="V117" s="5">
        <v>289259570819282</v>
      </c>
      <c r="W117" s="5">
        <v>29317044050658</v>
      </c>
      <c r="X117" s="5">
        <v>263040801362562</v>
      </c>
      <c r="Y117" s="5">
        <v>250424739581371</v>
      </c>
      <c r="Z117" s="5">
        <v>244600259819903</v>
      </c>
      <c r="AA117" s="5">
        <v>218677605044898</v>
      </c>
      <c r="AB117" s="5">
        <v>213206914568541</v>
      </c>
      <c r="AC117" s="5">
        <v>213492575723799</v>
      </c>
      <c r="AD117" s="5">
        <v>245641653830962</v>
      </c>
      <c r="AE117" s="5">
        <v>228097311581592</v>
      </c>
      <c r="AF117" s="5">
        <v>223465210023587</v>
      </c>
      <c r="AG117" s="5">
        <v>211322897324915</v>
      </c>
      <c r="AH117" s="5">
        <v>202911594995567</v>
      </c>
      <c r="AI117" s="5">
        <v>185061565343674</v>
      </c>
      <c r="AJ117" s="5">
        <v>173720629906918</v>
      </c>
      <c r="AK117" s="5">
        <v>188775933627014</v>
      </c>
      <c r="AL117" s="5">
        <v>171139136611595</v>
      </c>
      <c r="AM117" s="5">
        <v>14572284535536</v>
      </c>
      <c r="AN117" s="5">
        <v>179527090375987</v>
      </c>
      <c r="AO117" s="5">
        <v>212734929741655</v>
      </c>
      <c r="AP117" s="6">
        <v>199506468557076</v>
      </c>
      <c r="AQ117" s="6">
        <v>20271198735895</v>
      </c>
      <c r="AR117" s="6">
        <v>204437631274507</v>
      </c>
      <c r="AS117" s="6">
        <v>204240931525298</v>
      </c>
      <c r="AT117" s="6">
        <v>197724822579996</v>
      </c>
      <c r="AU117" s="6">
        <v>215744518133798</v>
      </c>
      <c r="AV117" s="6">
        <v>22916804264879</v>
      </c>
      <c r="AW117" s="6">
        <v>203034471149721</v>
      </c>
      <c r="AX117" s="6">
        <v>2222922975</v>
      </c>
      <c r="AY117" s="6">
        <v>231577494544935</v>
      </c>
      <c r="AZ117" s="6">
        <v>240486590063873</v>
      </c>
      <c r="BA117" s="6">
        <v>2288035224</v>
      </c>
      <c r="BB117" s="6">
        <v>211188613548733</v>
      </c>
      <c r="BC117" s="6">
        <v>227767199859994</v>
      </c>
      <c r="BD117" s="6">
        <v>225935254426792</v>
      </c>
      <c r="BE117" s="6">
        <v>246104509925636</v>
      </c>
      <c r="BF117" s="6">
        <v>233842138273193</v>
      </c>
      <c r="BG117" s="6">
        <v>229657965264116</v>
      </c>
      <c r="BH117" s="6">
        <v>195786469724423</v>
      </c>
      <c r="BI117" s="6">
        <v>193502080387958</v>
      </c>
      <c r="BJ117" s="6">
        <v>185815167398753</v>
      </c>
      <c r="BK117" s="6">
        <v>192537726075636</v>
      </c>
      <c r="BL117" s="6">
        <v>20421548857579</v>
      </c>
      <c r="BM117" s="6">
        <v>21533876364</v>
      </c>
    </row>
    <row r="118" spans="1:65" x14ac:dyDescent="0.45">
      <c r="A118" s="1" t="s">
        <v>112</v>
      </c>
      <c r="B118" s="2">
        <v>4004201</v>
      </c>
      <c r="C118" s="3" t="s">
        <v>777</v>
      </c>
      <c r="D118" s="3" t="s">
        <v>778</v>
      </c>
      <c r="E118" s="3" t="s">
        <v>573</v>
      </c>
      <c r="F118" s="5">
        <v>25278137002471</v>
      </c>
      <c r="G118" s="5">
        <v>279928557323147</v>
      </c>
      <c r="H118" s="5">
        <v>275172221631349</v>
      </c>
      <c r="I118" s="5">
        <v>250168489631498</v>
      </c>
      <c r="J118" s="5">
        <v>288053383392952</v>
      </c>
      <c r="K118" s="5">
        <v>304648466319606</v>
      </c>
      <c r="L118" s="5">
        <v>254587035041401</v>
      </c>
      <c r="M118" s="5">
        <v>281997717421994</v>
      </c>
      <c r="N118" s="5">
        <v>282031240092039</v>
      </c>
      <c r="O118" s="5">
        <v>280977597241089</v>
      </c>
      <c r="P118" s="5">
        <v>304304507099476</v>
      </c>
      <c r="Q118" s="5">
        <v>3115264896</v>
      </c>
      <c r="R118" s="5">
        <v>279374686192916</v>
      </c>
      <c r="S118" s="5">
        <v>280824703971518</v>
      </c>
      <c r="T118" s="5">
        <v>262516429891576</v>
      </c>
      <c r="U118" s="5">
        <v>268879820236848</v>
      </c>
      <c r="V118" s="5">
        <v>289342054273551</v>
      </c>
      <c r="W118" s="5">
        <v>301370686875094</v>
      </c>
      <c r="X118" s="5">
        <v>293676050012499</v>
      </c>
      <c r="Y118" s="5">
        <v>304772251850213</v>
      </c>
      <c r="Z118" s="5">
        <v>312888730316631</v>
      </c>
      <c r="AA118" s="5">
        <v>2851330944528</v>
      </c>
      <c r="AB118" s="5">
        <v>24284543744285</v>
      </c>
      <c r="AC118" s="5">
        <v>225999416139519</v>
      </c>
      <c r="AD118" s="5">
        <v>2250838914264</v>
      </c>
      <c r="AE118" s="5">
        <v>239206298971101</v>
      </c>
      <c r="AF118" s="5">
        <v>209594362781403</v>
      </c>
      <c r="AG118" s="5">
        <v>210252973483664</v>
      </c>
      <c r="AH118" s="5">
        <v>206843521724049</v>
      </c>
      <c r="AI118" s="5">
        <v>19961814960133</v>
      </c>
      <c r="AJ118" s="5">
        <v>175130197751368</v>
      </c>
      <c r="AK118" s="5">
        <v>155991328925503</v>
      </c>
      <c r="AL118" s="5">
        <v>15270579819</v>
      </c>
      <c r="AM118" s="5">
        <v>142544372063002</v>
      </c>
      <c r="AN118" s="5">
        <v>165676009690529</v>
      </c>
      <c r="AO118" s="5">
        <v>1834467756</v>
      </c>
      <c r="AP118" s="6">
        <v>22249593018701</v>
      </c>
      <c r="AQ118" s="6">
        <v>241738182680615</v>
      </c>
      <c r="AR118" s="6">
        <v>228491493051798</v>
      </c>
      <c r="AS118" s="6">
        <v>227678772633149</v>
      </c>
      <c r="AT118" s="6">
        <v>234863340459229</v>
      </c>
      <c r="AU118" s="6">
        <v>220074807731365</v>
      </c>
      <c r="AV118" s="6">
        <v>21273478017154</v>
      </c>
      <c r="AW118" s="6">
        <v>199658561022198</v>
      </c>
      <c r="AX118" s="6">
        <v>199962438017554</v>
      </c>
      <c r="AY118" s="6">
        <v>188640987786415</v>
      </c>
      <c r="AZ118" s="6">
        <v>175848322230098</v>
      </c>
      <c r="BA118" s="6">
        <v>156181017877832</v>
      </c>
      <c r="BB118" s="6">
        <v>143794801425181</v>
      </c>
      <c r="BC118" s="6">
        <v>151421259043277</v>
      </c>
      <c r="BD118" s="6">
        <v>156665371043214</v>
      </c>
      <c r="BE118" s="6">
        <v>17333160552073</v>
      </c>
      <c r="BF118" s="6">
        <v>162756023945504</v>
      </c>
      <c r="BG118" s="6">
        <v>166212059061825</v>
      </c>
      <c r="BH118" s="6">
        <v>161839186706761</v>
      </c>
      <c r="BI118" s="6">
        <v>15326478446974</v>
      </c>
      <c r="BJ118" s="6">
        <v>153880417124057</v>
      </c>
      <c r="BK118" s="6">
        <v>14789093085396</v>
      </c>
      <c r="BL118" s="6">
        <v>147047437893119</v>
      </c>
      <c r="BM118" s="6">
        <v>153325617483837</v>
      </c>
    </row>
    <row r="119" spans="1:65" x14ac:dyDescent="0.45">
      <c r="A119" s="1" t="s">
        <v>113</v>
      </c>
      <c r="B119" s="2">
        <v>4256640</v>
      </c>
      <c r="C119" s="3" t="s">
        <v>779</v>
      </c>
      <c r="D119" s="3" t="s">
        <v>780</v>
      </c>
      <c r="E119" s="3" t="s">
        <v>553</v>
      </c>
      <c r="F119" s="5">
        <v>126757724354661</v>
      </c>
      <c r="G119" s="5">
        <v>140317659576407</v>
      </c>
      <c r="H119" s="5">
        <v>141192481615705</v>
      </c>
      <c r="I119" s="5">
        <v>134767596289089</v>
      </c>
      <c r="J119" s="5">
        <v>158293934286967</v>
      </c>
      <c r="K119" s="5">
        <v>16688310597201</v>
      </c>
      <c r="L119" s="5">
        <v>155448258296629</v>
      </c>
      <c r="M119" s="5">
        <v>179365577564652</v>
      </c>
      <c r="N119" s="5">
        <v>183119489729939</v>
      </c>
      <c r="O119" s="5">
        <v>174624715027001</v>
      </c>
      <c r="P119" s="5">
        <v>169343815171947</v>
      </c>
      <c r="Q119" s="5">
        <v>172724460295052</v>
      </c>
      <c r="R119" s="5">
        <v>159817118324157</v>
      </c>
      <c r="S119" s="5">
        <v>149215199398724</v>
      </c>
      <c r="T119" s="5">
        <v>176739881832896</v>
      </c>
      <c r="U119" s="5">
        <v>186209276101184</v>
      </c>
      <c r="V119" s="5">
        <v>184249130251997</v>
      </c>
      <c r="W119" s="5">
        <v>181434872120376</v>
      </c>
      <c r="X119" s="5">
        <v>180002546605582</v>
      </c>
      <c r="Y119" s="5">
        <v>187684888886712</v>
      </c>
      <c r="Z119" s="5">
        <v>199356841206802</v>
      </c>
      <c r="AA119" s="5">
        <v>190917210987156</v>
      </c>
      <c r="AB119" s="5">
        <v>191187442294217</v>
      </c>
      <c r="AC119" s="5">
        <v>166784444933337</v>
      </c>
      <c r="AD119" s="5">
        <v>186017756456417</v>
      </c>
      <c r="AE119" s="5">
        <v>185069214751626</v>
      </c>
      <c r="AF119" s="5">
        <v>159331270595197</v>
      </c>
      <c r="AG119" s="5">
        <v>170428723039624</v>
      </c>
      <c r="AH119" s="5">
        <v>176793106518245</v>
      </c>
      <c r="AI119" s="5">
        <v>183165894405782</v>
      </c>
      <c r="AJ119" s="5">
        <v>187306007277717</v>
      </c>
      <c r="AK119" s="5">
        <v>183769173294388</v>
      </c>
      <c r="AL119" s="5">
        <v>188393816171426</v>
      </c>
      <c r="AM119" s="5">
        <v>145017020264298</v>
      </c>
      <c r="AN119" s="5">
        <v>206257352311981</v>
      </c>
      <c r="AO119" s="5">
        <v>246751417186901</v>
      </c>
      <c r="AP119" s="6">
        <v>195317590420669</v>
      </c>
      <c r="AQ119" s="6">
        <v>203775362987983</v>
      </c>
      <c r="AR119" s="6">
        <v>180601050195346</v>
      </c>
      <c r="AS119" s="6">
        <v>198833347100729</v>
      </c>
      <c r="AT119" s="6">
        <v>204321523686238</v>
      </c>
      <c r="AU119" s="6">
        <v>202090994419326</v>
      </c>
      <c r="AV119" s="6">
        <v>177923830560145</v>
      </c>
      <c r="AW119" s="6">
        <v>167067370718773</v>
      </c>
      <c r="AX119" s="6">
        <v>16184378202825</v>
      </c>
      <c r="AY119" s="6">
        <v>151486591152224</v>
      </c>
      <c r="AZ119" s="6">
        <v>146447808535731</v>
      </c>
      <c r="BA119" s="6">
        <v>124233727906877</v>
      </c>
      <c r="BB119" s="6">
        <v>10730462216743</v>
      </c>
      <c r="BC119" s="6">
        <v>118817824419222</v>
      </c>
      <c r="BD119" s="6">
        <v>116293686253966</v>
      </c>
      <c r="BE119" s="6">
        <v>13181468836535</v>
      </c>
      <c r="BF119" s="6">
        <v>138621222857906</v>
      </c>
      <c r="BG119" s="6">
        <v>129313469844563</v>
      </c>
      <c r="BH119" s="6">
        <v>128705904027846</v>
      </c>
      <c r="BI119" s="6">
        <v>118991862288683</v>
      </c>
      <c r="BJ119" s="6">
        <v>110510853913281</v>
      </c>
      <c r="BK119" s="6">
        <v>106454598322386</v>
      </c>
      <c r="BL119" s="6">
        <v>101138965635135</v>
      </c>
      <c r="BM119" s="6">
        <v>100570426657412</v>
      </c>
    </row>
    <row r="120" spans="1:65" x14ac:dyDescent="0.45">
      <c r="A120" s="1" t="s">
        <v>114</v>
      </c>
      <c r="B120" s="2">
        <v>14170965</v>
      </c>
      <c r="C120" s="3" t="s">
        <v>781</v>
      </c>
      <c r="D120" s="3" t="s">
        <v>782</v>
      </c>
      <c r="E120" s="3" t="s">
        <v>721</v>
      </c>
      <c r="F120" s="5">
        <v>39297378663432</v>
      </c>
      <c r="G120" s="5">
        <v>46531328653584</v>
      </c>
      <c r="H120" s="5">
        <v>474838965612</v>
      </c>
      <c r="I120" s="5">
        <v>41881136202</v>
      </c>
      <c r="J120" s="5">
        <v>438301784542</v>
      </c>
      <c r="K120" s="5">
        <v>40832615874</v>
      </c>
      <c r="L120" s="5">
        <v>374806574788</v>
      </c>
      <c r="M120" s="5">
        <v>422409954174</v>
      </c>
      <c r="N120" s="5">
        <v>397850704826278</v>
      </c>
      <c r="O120" s="5">
        <v>376058071232231</v>
      </c>
      <c r="P120" s="5">
        <v>33684856792015</v>
      </c>
      <c r="Q120" s="5">
        <v>31289019446016</v>
      </c>
      <c r="R120" s="5">
        <v>30303155445336</v>
      </c>
      <c r="S120" s="5">
        <v>29100962916</v>
      </c>
      <c r="T120" s="5">
        <v>273969355622</v>
      </c>
      <c r="U120" s="5">
        <v>2665577874144</v>
      </c>
      <c r="V120" s="5">
        <v>2734940736204</v>
      </c>
      <c r="W120" s="5">
        <v>2658247139754</v>
      </c>
      <c r="X120" s="5">
        <v>2757110811379</v>
      </c>
      <c r="Y120" s="5">
        <v>2751800735775</v>
      </c>
      <c r="Z120" s="5">
        <v>300211636205551</v>
      </c>
      <c r="AA120" s="5">
        <v>294183227276618</v>
      </c>
      <c r="AB120" s="5">
        <v>2776577102145</v>
      </c>
      <c r="AC120" s="5">
        <v>24463843046688</v>
      </c>
      <c r="AD120" s="5">
        <v>235824384576</v>
      </c>
      <c r="AE120" s="5">
        <v>23886959277504</v>
      </c>
      <c r="AF120" s="5">
        <v>21184606002522</v>
      </c>
      <c r="AG120" s="5">
        <v>18365837993124</v>
      </c>
      <c r="AH120" s="5">
        <v>17877381000675</v>
      </c>
      <c r="AI120" s="5">
        <v>1806697491816</v>
      </c>
      <c r="AJ120" s="5">
        <v>1781539238178</v>
      </c>
      <c r="AK120" s="5">
        <v>1838396723765</v>
      </c>
      <c r="AL120" s="5">
        <v>179380521857116</v>
      </c>
      <c r="AM120" s="5">
        <v>16023424204515</v>
      </c>
      <c r="AN120" s="5">
        <v>1853495442288</v>
      </c>
      <c r="AO120" s="5">
        <v>1952725984968</v>
      </c>
      <c r="AP120" s="6">
        <v>115701673079678</v>
      </c>
      <c r="AQ120" s="6">
        <v>120212882342476</v>
      </c>
      <c r="AR120" s="6">
        <v>117176496122125</v>
      </c>
      <c r="AS120" s="6">
        <v>116203597167286</v>
      </c>
      <c r="AT120" s="6">
        <v>117861651215105</v>
      </c>
      <c r="AU120" s="6">
        <v>108915355363456</v>
      </c>
      <c r="AV120" s="6">
        <v>102132985028926</v>
      </c>
      <c r="AW120" s="6">
        <v>94527354675798</v>
      </c>
      <c r="AX120" s="6">
        <v>963933910548299</v>
      </c>
      <c r="AY120" s="6">
        <v>949027314381122</v>
      </c>
      <c r="AZ120" s="6">
        <v>846074702131939</v>
      </c>
      <c r="BA120" s="6">
        <v>825355774389112</v>
      </c>
      <c r="BB120" s="6">
        <v>783722041597701</v>
      </c>
      <c r="BC120" s="6">
        <v>895112894833705</v>
      </c>
      <c r="BD120" s="6">
        <v>885157278178115</v>
      </c>
      <c r="BE120" s="6">
        <v>886560918015575</v>
      </c>
      <c r="BF120" s="6">
        <v>880773393165683</v>
      </c>
      <c r="BG120" s="6">
        <v>819580183199011</v>
      </c>
      <c r="BH120" s="6">
        <v>785501396095943</v>
      </c>
      <c r="BI120" s="6">
        <v>74575694553696</v>
      </c>
      <c r="BJ120" s="6">
        <v>716540459581521</v>
      </c>
      <c r="BK120" s="6">
        <v>672409902132271</v>
      </c>
      <c r="BL120" s="6">
        <v>686529295238241</v>
      </c>
      <c r="BM120" s="6">
        <v>687885662536349</v>
      </c>
    </row>
    <row r="121" spans="1:65" x14ac:dyDescent="0.45">
      <c r="A121" s="1" t="s">
        <v>115</v>
      </c>
      <c r="B121" s="2">
        <v>4094053</v>
      </c>
      <c r="C121" s="3" t="s">
        <v>783</v>
      </c>
      <c r="D121" s="3" t="s">
        <v>784</v>
      </c>
      <c r="E121" s="3" t="s">
        <v>708</v>
      </c>
      <c r="F121" s="5">
        <v>294081226328938</v>
      </c>
      <c r="G121" s="5">
        <v>319595301397893</v>
      </c>
      <c r="H121" s="5">
        <v>340215496031242</v>
      </c>
      <c r="I121" s="5">
        <v>288808361633793</v>
      </c>
      <c r="J121" s="5">
        <v>273781431395053</v>
      </c>
      <c r="K121" s="5">
        <v>281786261730393</v>
      </c>
      <c r="L121" s="5">
        <v>228971487965062</v>
      </c>
      <c r="M121" s="5">
        <v>225064579793848</v>
      </c>
      <c r="N121" s="5">
        <v>239197317848033</v>
      </c>
      <c r="O121" s="5">
        <v>236843798932887</v>
      </c>
      <c r="P121" s="5">
        <v>214594469406361</v>
      </c>
      <c r="Q121" s="5">
        <v>247383216041541</v>
      </c>
      <c r="R121" s="5">
        <v>274445127235047</v>
      </c>
      <c r="S121" s="5">
        <v>272460942286088</v>
      </c>
      <c r="T121" s="5">
        <v>293895559833348</v>
      </c>
      <c r="U121" s="5">
        <v>293264339838201</v>
      </c>
      <c r="V121" s="5">
        <v>283545125574157</v>
      </c>
      <c r="W121" s="5">
        <v>295823578105314</v>
      </c>
      <c r="X121" s="5">
        <v>27586397909974</v>
      </c>
      <c r="Y121" s="5">
        <v>2767340693985</v>
      </c>
      <c r="Z121" s="5">
        <v>280517811750995</v>
      </c>
      <c r="AA121" s="5">
        <v>275971723451735</v>
      </c>
      <c r="AB121" s="5">
        <v>268321116417992</v>
      </c>
      <c r="AC121" s="5">
        <v>292159335919085</v>
      </c>
      <c r="AD121" s="5">
        <v>297842556213153</v>
      </c>
      <c r="AE121" s="5">
        <v>300316048034338</v>
      </c>
      <c r="AF121" s="5">
        <v>278583215296981</v>
      </c>
      <c r="AG121" s="5">
        <v>284463152775014</v>
      </c>
      <c r="AH121" s="5">
        <v>279448880469822</v>
      </c>
      <c r="AI121" s="5">
        <v>282774702665845</v>
      </c>
      <c r="AJ121" s="5">
        <v>246389848889989</v>
      </c>
      <c r="AK121" s="5">
        <v>230506316864404</v>
      </c>
      <c r="AL121" s="5">
        <v>217631523488044</v>
      </c>
      <c r="AM121" s="5">
        <v>195815203694474</v>
      </c>
      <c r="AN121" s="5">
        <v>222448041930849</v>
      </c>
      <c r="AO121" s="5">
        <v>215778902263725</v>
      </c>
      <c r="AP121" s="6">
        <v>632856418108032</v>
      </c>
      <c r="AQ121" s="6">
        <v>590150498544391</v>
      </c>
      <c r="AR121" s="6">
        <v>682129353812431</v>
      </c>
      <c r="AS121" s="6">
        <v>65726750313</v>
      </c>
      <c r="AT121" s="6">
        <v>651246074464845</v>
      </c>
      <c r="AU121" s="6">
        <v>720270316713912</v>
      </c>
      <c r="AV121" s="6">
        <v>854075299311562</v>
      </c>
      <c r="AW121" s="6">
        <v>950084847761711</v>
      </c>
      <c r="AX121" s="6">
        <v>978080285181352</v>
      </c>
      <c r="AY121" s="6">
        <v>9845447735475</v>
      </c>
      <c r="AZ121" s="6">
        <v>91527012183795</v>
      </c>
      <c r="BA121" s="6">
        <v>93916797049872</v>
      </c>
      <c r="BB121" s="6">
        <v>841684237957728</v>
      </c>
      <c r="BC121" s="6">
        <v>958138246383206</v>
      </c>
      <c r="BD121" s="6">
        <v>923035591177776</v>
      </c>
      <c r="BE121" s="6">
        <v>855132535168618</v>
      </c>
      <c r="BF121" s="6">
        <v>905717095781028</v>
      </c>
      <c r="BG121" s="6">
        <v>8859172753758</v>
      </c>
      <c r="BH121" s="6">
        <v>920988966409092</v>
      </c>
      <c r="BI121" s="6">
        <v>884845791494253</v>
      </c>
      <c r="BJ121" s="6">
        <v>894047879449955</v>
      </c>
      <c r="BK121" s="6">
        <v>899256535246379</v>
      </c>
      <c r="BL121" s="6">
        <v>915167248815456</v>
      </c>
      <c r="BM121" s="6">
        <v>979720704428471</v>
      </c>
    </row>
    <row r="122" spans="1:65" x14ac:dyDescent="0.45">
      <c r="A122" s="1" t="s">
        <v>116</v>
      </c>
      <c r="B122" s="2">
        <v>4126080</v>
      </c>
      <c r="C122" s="3" t="s">
        <v>785</v>
      </c>
      <c r="D122" s="3" t="s">
        <v>786</v>
      </c>
      <c r="E122" s="3" t="s">
        <v>787</v>
      </c>
      <c r="F122" s="5">
        <v>189537548726744</v>
      </c>
      <c r="G122" s="5">
        <v>231442454349955</v>
      </c>
      <c r="H122" s="5">
        <v>224474194277008</v>
      </c>
      <c r="I122" s="5">
        <v>213196254440144</v>
      </c>
      <c r="J122" s="5">
        <v>229628931887622</v>
      </c>
      <c r="K122" s="5">
        <v>235076237745544</v>
      </c>
      <c r="L122" s="5">
        <v>203089319749382</v>
      </c>
      <c r="M122" s="5">
        <v>192524304612198</v>
      </c>
      <c r="N122" s="5">
        <v>223628420163433</v>
      </c>
      <c r="O122" s="5">
        <v>229758682798329</v>
      </c>
      <c r="P122" s="5">
        <v>205039689495573</v>
      </c>
      <c r="Q122" s="5">
        <v>199979210915959</v>
      </c>
      <c r="R122" s="5">
        <v>221352011990324</v>
      </c>
      <c r="S122" s="5">
        <v>211429454591594</v>
      </c>
      <c r="T122" s="5">
        <v>187812140975771</v>
      </c>
      <c r="U122" s="5">
        <v>1712951902035</v>
      </c>
      <c r="V122" s="5">
        <v>170590540179925</v>
      </c>
      <c r="W122" s="5">
        <v>16014127880835</v>
      </c>
      <c r="X122" s="5">
        <v>147522026700817</v>
      </c>
      <c r="Y122" s="5">
        <v>137227538715435</v>
      </c>
      <c r="Z122" s="5">
        <v>136883849845218</v>
      </c>
      <c r="AA122" s="5">
        <v>132898630873354</v>
      </c>
      <c r="AB122" s="5">
        <v>121179926430373</v>
      </c>
      <c r="AC122" s="5">
        <v>12860400401546</v>
      </c>
      <c r="AD122" s="5">
        <v>136438028691792</v>
      </c>
      <c r="AE122" s="5">
        <v>144631881792089</v>
      </c>
      <c r="AF122" s="5">
        <v>135401286896206</v>
      </c>
      <c r="AG122" s="5">
        <v>13339932909</v>
      </c>
      <c r="AH122" s="5">
        <v>128402861560876</v>
      </c>
      <c r="AI122" s="5">
        <v>121494304291439</v>
      </c>
      <c r="AJ122" s="5">
        <v>118960795760779</v>
      </c>
      <c r="AK122" s="5">
        <v>122508841529095</v>
      </c>
      <c r="AL122" s="5">
        <v>12230541493933</v>
      </c>
      <c r="AM122" s="5">
        <v>114575999459522</v>
      </c>
      <c r="AN122" s="5">
        <v>112931185704371</v>
      </c>
      <c r="AO122" s="5">
        <v>121739142761338</v>
      </c>
      <c r="AP122" s="6">
        <v>28149175764041</v>
      </c>
      <c r="AQ122" s="6">
        <v>276052113694126</v>
      </c>
      <c r="AR122" s="6">
        <v>254514430678036</v>
      </c>
      <c r="AS122" s="6">
        <v>24618623690283</v>
      </c>
      <c r="AT122" s="6">
        <v>242679504810048</v>
      </c>
      <c r="AU122" s="6">
        <v>236787611801895</v>
      </c>
      <c r="AV122" s="6">
        <v>225134151335808</v>
      </c>
      <c r="AW122" s="6">
        <v>223711297125585</v>
      </c>
      <c r="AX122" s="6">
        <v>237152847559381</v>
      </c>
      <c r="AY122" s="6">
        <v>217473761158632</v>
      </c>
      <c r="AZ122" s="6">
        <v>218910302285583</v>
      </c>
      <c r="BA122" s="6">
        <v>204585381940817</v>
      </c>
      <c r="BB122" s="6">
        <v>177710902924794</v>
      </c>
      <c r="BC122" s="6">
        <v>194691468650097</v>
      </c>
      <c r="BD122" s="6">
        <v>199533588865095</v>
      </c>
      <c r="BE122" s="6">
        <v>230305797728417</v>
      </c>
      <c r="BF122" s="6">
        <v>241255327220274</v>
      </c>
      <c r="BG122" s="6">
        <v>239531699236526</v>
      </c>
      <c r="BH122" s="6">
        <v>253741236988909</v>
      </c>
      <c r="BI122" s="6">
        <v>257074694725585</v>
      </c>
      <c r="BJ122" s="6">
        <v>24740880408566</v>
      </c>
      <c r="BK122" s="6">
        <v>231221833113294</v>
      </c>
      <c r="BL122" s="6">
        <v>23420531038905</v>
      </c>
      <c r="BM122" s="6">
        <v>263152820050325</v>
      </c>
    </row>
    <row r="123" spans="1:65" x14ac:dyDescent="0.45">
      <c r="A123" s="1" t="s">
        <v>117</v>
      </c>
      <c r="B123" s="2">
        <v>4010469</v>
      </c>
      <c r="C123" s="3" t="s">
        <v>788</v>
      </c>
      <c r="D123" s="3" t="s">
        <v>789</v>
      </c>
      <c r="E123" s="3" t="s">
        <v>581</v>
      </c>
      <c r="F123" s="5">
        <v>181269818811253</v>
      </c>
      <c r="G123" s="5">
        <v>213393382162878</v>
      </c>
      <c r="H123" s="5">
        <v>250467435798281</v>
      </c>
      <c r="I123" s="5">
        <v>211924087545002</v>
      </c>
      <c r="J123" s="5">
        <v>244172448079304</v>
      </c>
      <c r="K123" s="5">
        <v>241664480494593</v>
      </c>
      <c r="L123" s="5">
        <v>198797886174135</v>
      </c>
      <c r="M123" s="5">
        <v>257849536422049</v>
      </c>
      <c r="N123" s="5">
        <v>221549926178698</v>
      </c>
      <c r="O123" s="5">
        <v>196892626863768</v>
      </c>
      <c r="P123" s="5">
        <v>169023724060632</v>
      </c>
      <c r="Q123" s="5">
        <v>159073303425725</v>
      </c>
      <c r="R123" s="5">
        <v>135921975414813</v>
      </c>
      <c r="S123" s="5">
        <v>144938661129217</v>
      </c>
      <c r="T123" s="5">
        <v>15001962629098</v>
      </c>
      <c r="U123" s="5">
        <v>750350635678157</v>
      </c>
      <c r="V123" s="5">
        <v>538028240193545</v>
      </c>
      <c r="W123" s="5">
        <v>5390670473328</v>
      </c>
      <c r="X123" s="5">
        <v>588536040865928</v>
      </c>
      <c r="Y123" s="5">
        <v>53779611523722</v>
      </c>
      <c r="Z123" s="5">
        <v>553506740066171</v>
      </c>
      <c r="AA123" s="5">
        <v>639093964305888</v>
      </c>
      <c r="AB123" s="5">
        <v>611052900607422</v>
      </c>
      <c r="AC123" s="5">
        <v>601865744238977</v>
      </c>
      <c r="AD123" s="5">
        <v>53046597782409</v>
      </c>
      <c r="AE123" s="5">
        <v>58427760983009</v>
      </c>
      <c r="AF123" s="5">
        <v>608456063281372</v>
      </c>
      <c r="AG123" s="5">
        <v>589251567881066</v>
      </c>
      <c r="AH123" s="5">
        <v>632482697655981</v>
      </c>
      <c r="AI123" s="5">
        <v>630039602275391</v>
      </c>
      <c r="AJ123" s="5">
        <v>608471272483548</v>
      </c>
      <c r="AK123" s="5">
        <v>71130104375008</v>
      </c>
      <c r="AL123" s="5">
        <v>787698482919942</v>
      </c>
      <c r="AM123" s="5">
        <v>6234876845379</v>
      </c>
      <c r="AN123" s="5">
        <v>504857622761499</v>
      </c>
      <c r="AO123" s="5">
        <v>518438809559814</v>
      </c>
      <c r="AP123" s="6">
        <v>526653357128168</v>
      </c>
      <c r="AQ123" s="6">
        <v>504367963516819</v>
      </c>
      <c r="AR123" s="6">
        <v>517650685275754</v>
      </c>
      <c r="AS123" s="6">
        <v>53003005614872</v>
      </c>
      <c r="AT123" s="6">
        <v>548749407987552</v>
      </c>
      <c r="AU123" s="6">
        <v>497800869917915</v>
      </c>
      <c r="AV123" s="6">
        <v>476238153404013</v>
      </c>
      <c r="AW123" s="6">
        <v>484887196640242</v>
      </c>
      <c r="AX123" s="6">
        <v>466700380032474</v>
      </c>
      <c r="AY123" s="6">
        <v>47394742830336</v>
      </c>
      <c r="AZ123" s="6">
        <v>433331333028112</v>
      </c>
      <c r="BA123" s="6">
        <v>42394968862474</v>
      </c>
      <c r="BB123" s="6">
        <v>393599487495294</v>
      </c>
      <c r="BC123" s="6">
        <v>420988901020186</v>
      </c>
      <c r="BD123" s="6">
        <v>398544171364412</v>
      </c>
      <c r="BE123" s="6">
        <v>397506826718838</v>
      </c>
      <c r="BF123" s="6">
        <v>407525684573788</v>
      </c>
      <c r="BG123" s="6">
        <v>392854893825594</v>
      </c>
      <c r="BH123" s="6">
        <v>383348342536797</v>
      </c>
      <c r="BI123" s="6">
        <v>370559073303566</v>
      </c>
      <c r="BJ123" s="6">
        <v>346542003556433</v>
      </c>
      <c r="BK123" s="6">
        <v>369748220605165</v>
      </c>
      <c r="BL123" s="6">
        <v>366782668705908</v>
      </c>
      <c r="BM123" s="6">
        <v>368317006541954</v>
      </c>
    </row>
    <row r="124" spans="1:65" x14ac:dyDescent="0.45">
      <c r="A124" s="1" t="s">
        <v>118</v>
      </c>
      <c r="B124" s="2">
        <v>4213375</v>
      </c>
      <c r="C124" s="3" t="s">
        <v>790</v>
      </c>
      <c r="D124" s="3" t="s">
        <v>791</v>
      </c>
      <c r="E124" s="3" t="s">
        <v>792</v>
      </c>
      <c r="F124" s="5">
        <v>268922991944532</v>
      </c>
      <c r="G124" s="5">
        <v>277479956189208</v>
      </c>
      <c r="H124" s="5">
        <v>255509155036641</v>
      </c>
      <c r="I124" s="5">
        <v>240560726321461</v>
      </c>
      <c r="J124" s="5">
        <v>287393307060499</v>
      </c>
      <c r="K124" s="5">
        <v>253769589960904</v>
      </c>
      <c r="L124" s="5">
        <v>241497846765641</v>
      </c>
      <c r="M124" s="5">
        <v>289901438895807</v>
      </c>
      <c r="N124" s="5">
        <v>29034320285328</v>
      </c>
      <c r="O124" s="5">
        <v>293802964449341</v>
      </c>
      <c r="P124" s="5">
        <v>308720726579205</v>
      </c>
      <c r="Q124" s="5">
        <v>331793859690696</v>
      </c>
      <c r="R124" s="5">
        <v>358061371068955</v>
      </c>
      <c r="S124" s="5">
        <v>346565262515806</v>
      </c>
      <c r="T124" s="5">
        <v>321448552836459</v>
      </c>
      <c r="U124" s="5">
        <v>317190447589723</v>
      </c>
      <c r="V124" s="5">
        <v>34705665300601</v>
      </c>
      <c r="W124" s="5">
        <v>329417042690983</v>
      </c>
      <c r="X124" s="5">
        <v>342214844842007</v>
      </c>
      <c r="Y124" s="5">
        <v>33915122019528</v>
      </c>
      <c r="Z124" s="5">
        <v>310025341897541</v>
      </c>
      <c r="AA124" s="5">
        <v>293428651822972</v>
      </c>
      <c r="AB124" s="5">
        <v>285066838915407</v>
      </c>
      <c r="AC124" s="5">
        <v>263728308503245</v>
      </c>
      <c r="AD124" s="5">
        <v>275269556386465</v>
      </c>
      <c r="AE124" s="5">
        <v>274718774677609</v>
      </c>
      <c r="AF124" s="5">
        <v>235633403718829</v>
      </c>
      <c r="AG124" s="5">
        <v>246608189341268</v>
      </c>
      <c r="AH124" s="5">
        <v>245637341558631</v>
      </c>
      <c r="AI124" s="5">
        <v>244861985979572</v>
      </c>
      <c r="AJ124" s="5">
        <v>234283836582835</v>
      </c>
      <c r="AK124" s="5">
        <v>228287333643262</v>
      </c>
      <c r="AL124" s="5">
        <v>211572624671975</v>
      </c>
      <c r="AM124" s="5">
        <v>176922455667048</v>
      </c>
      <c r="AN124" s="5">
        <v>238905855716147</v>
      </c>
      <c r="AO124" s="5">
        <v>271816432764144</v>
      </c>
      <c r="AP124" s="6">
        <v>501424956791832</v>
      </c>
      <c r="AQ124" s="6">
        <v>504922070908935</v>
      </c>
      <c r="AR124" s="6">
        <v>490220815314374</v>
      </c>
      <c r="AS124" s="6">
        <v>507061272117087</v>
      </c>
      <c r="AT124" s="6">
        <v>486365108193439</v>
      </c>
      <c r="AU124" s="6">
        <v>504881303952333</v>
      </c>
      <c r="AV124" s="6">
        <v>550172677064035</v>
      </c>
      <c r="AW124" s="6">
        <v>540578262476169</v>
      </c>
      <c r="AX124" s="6">
        <v>575070789586166</v>
      </c>
      <c r="AY124" s="6">
        <v>541774525011449</v>
      </c>
      <c r="AZ124" s="6">
        <v>520466184058239</v>
      </c>
      <c r="BA124" s="6">
        <v>484326586675521</v>
      </c>
      <c r="BB124" s="6">
        <v>458219152610675</v>
      </c>
      <c r="BC124" s="6">
        <v>541668775237206</v>
      </c>
      <c r="BD124" s="6">
        <v>51372684736604</v>
      </c>
      <c r="BE124" s="6">
        <v>547361484074749</v>
      </c>
      <c r="BF124" s="6">
        <v>548684102664839</v>
      </c>
      <c r="BG124" s="6">
        <v>518687739292054</v>
      </c>
      <c r="BH124" s="6">
        <v>478519351383616</v>
      </c>
      <c r="BI124" s="6">
        <v>485386211085315</v>
      </c>
      <c r="BJ124" s="6">
        <v>430558365957501</v>
      </c>
      <c r="BK124" s="6">
        <v>401947861840618</v>
      </c>
      <c r="BL124" s="6">
        <v>390354404429217</v>
      </c>
      <c r="BM124" s="6">
        <v>407871997908095</v>
      </c>
    </row>
    <row r="125" spans="1:65" x14ac:dyDescent="0.45">
      <c r="A125" s="1" t="s">
        <v>119</v>
      </c>
      <c r="B125" s="2">
        <v>12917530</v>
      </c>
      <c r="C125" s="3" t="s">
        <v>793</v>
      </c>
      <c r="D125" s="3" t="s">
        <v>794</v>
      </c>
      <c r="E125" s="3" t="s">
        <v>795</v>
      </c>
      <c r="F125" s="5">
        <v>230924427201114</v>
      </c>
      <c r="G125" s="5">
        <v>26740864723729</v>
      </c>
      <c r="H125" s="5">
        <v>380460538356662</v>
      </c>
      <c r="I125" s="5">
        <v>39225016993352</v>
      </c>
      <c r="J125" s="5">
        <v>423150287772084</v>
      </c>
      <c r="K125" s="5">
        <v>417732338831976</v>
      </c>
      <c r="L125" s="5">
        <v>374202786588058</v>
      </c>
      <c r="M125" s="5">
        <v>346001717844501</v>
      </c>
      <c r="N125" s="5">
        <v>43523594699081</v>
      </c>
      <c r="O125" s="5">
        <v>471729696370498</v>
      </c>
      <c r="P125" s="5">
        <v>398670861262296</v>
      </c>
      <c r="Q125" s="5">
        <v>369867877663611</v>
      </c>
      <c r="R125" s="5">
        <v>412894875393409</v>
      </c>
      <c r="S125" s="5">
        <v>439605247739492</v>
      </c>
      <c r="T125" s="5">
        <v>556106755959454</v>
      </c>
      <c r="U125" s="5">
        <v>483902847626079</v>
      </c>
      <c r="V125" s="5">
        <v>537571983150576</v>
      </c>
      <c r="W125" s="5">
        <v>482767813905161</v>
      </c>
      <c r="X125" s="5">
        <v>478616565698398</v>
      </c>
      <c r="Y125" s="5">
        <v>411490415593793</v>
      </c>
      <c r="Z125" s="5">
        <v>388054435445571</v>
      </c>
      <c r="AA125" s="5">
        <v>348124222726811</v>
      </c>
      <c r="AB125" s="5">
        <v>39500887741236</v>
      </c>
      <c r="AC125" s="5">
        <v>393353913150136</v>
      </c>
      <c r="AD125" s="5">
        <v>383146596468962</v>
      </c>
      <c r="AE125" s="5">
        <v>28144166277475</v>
      </c>
      <c r="AF125" s="5">
        <v>233201839890568</v>
      </c>
      <c r="AG125" s="5">
        <v>256627134567937</v>
      </c>
      <c r="AH125" s="5">
        <v>22716741461978</v>
      </c>
      <c r="AI125" s="5">
        <v>206680008318102</v>
      </c>
      <c r="AJ125" s="5">
        <v>19248864472824</v>
      </c>
      <c r="AK125" s="5">
        <v>170283069039821</v>
      </c>
      <c r="AL125" s="5">
        <v>131867998309981</v>
      </c>
      <c r="AM125" s="5">
        <v>10803247614432</v>
      </c>
      <c r="AN125" s="5">
        <v>115276204306645</v>
      </c>
      <c r="AO125" s="5">
        <v>117130906625018</v>
      </c>
      <c r="AP125" s="6">
        <v>241285752887929</v>
      </c>
      <c r="AQ125" s="6">
        <v>251109108922133</v>
      </c>
      <c r="AR125" s="6">
        <v>234114797396406</v>
      </c>
      <c r="AS125" s="6">
        <v>234945429297616</v>
      </c>
      <c r="AT125" s="6">
        <v>213734584026674</v>
      </c>
      <c r="AU125" s="6">
        <v>23206239491988</v>
      </c>
      <c r="AV125" s="6">
        <v>2371232926816</v>
      </c>
      <c r="AW125" s="6">
        <v>2129866543408</v>
      </c>
      <c r="AX125" s="6">
        <v>23372209161</v>
      </c>
      <c r="AY125" s="6">
        <v>220755209598</v>
      </c>
      <c r="AZ125" s="6">
        <v>2123499096726</v>
      </c>
      <c r="BA125" s="6">
        <v>205560304218</v>
      </c>
      <c r="BB125" s="6">
        <v>1868239143056</v>
      </c>
      <c r="BC125" s="6">
        <v>2135459569152</v>
      </c>
      <c r="BD125" s="6">
        <v>193224984</v>
      </c>
      <c r="BE125" s="6">
        <v>2046887192169</v>
      </c>
      <c r="BF125" s="6">
        <v>19888983567</v>
      </c>
      <c r="BG125" s="6">
        <v>19866670406</v>
      </c>
      <c r="BH125" s="6">
        <v>18725843661</v>
      </c>
      <c r="BI125" s="6">
        <v>2006195062581</v>
      </c>
      <c r="BJ125" s="6">
        <v>217893083762976</v>
      </c>
      <c r="BK125" s="6">
        <v>216931192064661</v>
      </c>
      <c r="BL125" s="6">
        <v>227509037673208</v>
      </c>
      <c r="BM125" s="6">
        <v>25083577204</v>
      </c>
    </row>
    <row r="126" spans="1:65" x14ac:dyDescent="0.45">
      <c r="A126" s="1" t="s">
        <v>120</v>
      </c>
      <c r="B126" s="2">
        <v>4417219</v>
      </c>
      <c r="C126" s="3" t="s">
        <v>796</v>
      </c>
      <c r="D126" s="3" t="s">
        <v>797</v>
      </c>
      <c r="E126" s="3" t="s">
        <v>559</v>
      </c>
      <c r="F126" s="5">
        <v>549617368916223</v>
      </c>
      <c r="G126" s="5">
        <v>593902256243527</v>
      </c>
      <c r="H126" s="5">
        <v>583588992998632</v>
      </c>
      <c r="I126" s="5">
        <v>638352229583018</v>
      </c>
      <c r="J126" s="5">
        <v>734508671770892</v>
      </c>
      <c r="K126" s="5">
        <v>766981656668285</v>
      </c>
      <c r="L126" s="5">
        <v>697494119736451</v>
      </c>
      <c r="M126" s="5">
        <v>765482072294224</v>
      </c>
      <c r="N126" s="5">
        <v>761034854272161</v>
      </c>
      <c r="O126" s="5">
        <v>718240856893706</v>
      </c>
      <c r="P126" s="5">
        <v>641183374584184</v>
      </c>
      <c r="Q126" s="5">
        <v>704253271267262</v>
      </c>
      <c r="R126" s="5">
        <v>793287805948263</v>
      </c>
      <c r="S126" s="5">
        <v>696538235832902</v>
      </c>
      <c r="T126" s="5">
        <v>67389541647444</v>
      </c>
      <c r="U126" s="5">
        <v>646308565483896</v>
      </c>
      <c r="V126" s="5">
        <v>712870572136068</v>
      </c>
      <c r="W126" s="5">
        <v>70349613442996</v>
      </c>
      <c r="X126" s="5">
        <v>711156566248416</v>
      </c>
      <c r="Y126" s="5">
        <v>671988990608985</v>
      </c>
      <c r="Z126" s="5">
        <v>679249542355132</v>
      </c>
      <c r="AA126" s="5">
        <v>633823130241672</v>
      </c>
      <c r="AB126" s="5">
        <v>555216434154401</v>
      </c>
      <c r="AC126" s="5">
        <v>565855821430722</v>
      </c>
      <c r="AD126" s="5">
        <v>56128163605625</v>
      </c>
      <c r="AE126" s="5">
        <v>604704677313659</v>
      </c>
      <c r="AF126" s="5">
        <v>578091016741361</v>
      </c>
      <c r="AG126" s="5">
        <v>595053539493318</v>
      </c>
      <c r="AH126" s="5">
        <v>573093242288254</v>
      </c>
      <c r="AI126" s="5">
        <v>591360920202834</v>
      </c>
      <c r="AJ126" s="5">
        <v>619739126773683</v>
      </c>
      <c r="AK126" s="5">
        <v>645372286352416</v>
      </c>
      <c r="AL126" s="5">
        <v>607349684449847</v>
      </c>
      <c r="AM126" s="5">
        <v>54762547224476</v>
      </c>
      <c r="AN126" s="5">
        <v>541719692148994</v>
      </c>
      <c r="AO126" s="5">
        <v>561934700150982</v>
      </c>
      <c r="AP126" s="6">
        <v>861235817889147</v>
      </c>
      <c r="AQ126" s="6">
        <v>888754237883334</v>
      </c>
      <c r="AR126" s="6">
        <v>774555937018386</v>
      </c>
      <c r="AS126" s="6">
        <v>752226772440728</v>
      </c>
      <c r="AT126" s="6">
        <v>72032515868615</v>
      </c>
      <c r="AU126" s="6">
        <v>652133776508595</v>
      </c>
      <c r="AV126" s="6">
        <v>622080800712852</v>
      </c>
      <c r="AW126" s="6">
        <v>610328109347967</v>
      </c>
      <c r="AX126" s="6">
        <v>629684572286238</v>
      </c>
      <c r="AY126" s="6">
        <v>62326912272179</v>
      </c>
      <c r="AZ126" s="6">
        <v>658665107126723</v>
      </c>
      <c r="BA126" s="6">
        <v>74003511332862</v>
      </c>
      <c r="BB126" s="6">
        <v>740035346104454</v>
      </c>
      <c r="BC126" s="6">
        <v>916007048819712</v>
      </c>
      <c r="BD126" s="6">
        <v>651118626394985</v>
      </c>
      <c r="BE126" s="6">
        <v>689782031802806</v>
      </c>
      <c r="BF126" s="6">
        <v>659901411764991</v>
      </c>
      <c r="BG126" s="6">
        <v>563454583257559</v>
      </c>
      <c r="BH126" s="6">
        <v>560725040312816</v>
      </c>
      <c r="BI126" s="6">
        <v>552746582777902</v>
      </c>
      <c r="BJ126" s="6">
        <v>587886822762954</v>
      </c>
      <c r="BK126" s="6">
        <v>513713185915882</v>
      </c>
      <c r="BL126" s="6">
        <v>562729787802</v>
      </c>
      <c r="BM126" s="6">
        <v>640868649897583</v>
      </c>
    </row>
    <row r="127" spans="1:65" x14ac:dyDescent="0.45">
      <c r="A127" s="1" t="s">
        <v>121</v>
      </c>
      <c r="B127" s="2">
        <v>4004350</v>
      </c>
      <c r="C127" s="3" t="s">
        <v>798</v>
      </c>
      <c r="D127" s="3" t="s">
        <v>799</v>
      </c>
      <c r="E127" s="3" t="s">
        <v>800</v>
      </c>
      <c r="F127" s="5">
        <v>60927586710492</v>
      </c>
      <c r="G127" s="5">
        <v>66626691776246</v>
      </c>
      <c r="H127" s="5">
        <v>61769139424716</v>
      </c>
      <c r="I127" s="5">
        <v>58171860405504</v>
      </c>
      <c r="J127" s="5">
        <v>6728882585112</v>
      </c>
      <c r="K127" s="5">
        <v>67869200361024</v>
      </c>
      <c r="L127" s="5">
        <v>60441615599388</v>
      </c>
      <c r="M127" s="5">
        <v>64426288625127</v>
      </c>
      <c r="N127" s="5">
        <v>70848525386178</v>
      </c>
      <c r="O127" s="5">
        <v>734453655665723</v>
      </c>
      <c r="P127" s="5">
        <v>662334629989986</v>
      </c>
      <c r="Q127" s="5">
        <v>677629774672422</v>
      </c>
      <c r="R127" s="5">
        <v>733302577797905</v>
      </c>
      <c r="S127" s="5">
        <v>682037706184107</v>
      </c>
      <c r="T127" s="5">
        <v>693781129871324</v>
      </c>
      <c r="U127" s="5">
        <v>577726465599415</v>
      </c>
      <c r="V127" s="5">
        <v>620499124059886</v>
      </c>
      <c r="W127" s="5">
        <v>613437172048416</v>
      </c>
      <c r="X127" s="5">
        <v>614772787708643</v>
      </c>
      <c r="Y127" s="5">
        <v>622192607266205</v>
      </c>
      <c r="Z127" s="5">
        <v>634348994261238</v>
      </c>
      <c r="AA127" s="5">
        <v>623924633796624</v>
      </c>
      <c r="AB127" s="5">
        <v>576957636460865</v>
      </c>
      <c r="AC127" s="5">
        <v>540275031998863</v>
      </c>
      <c r="AD127" s="5">
        <v>567372201809737</v>
      </c>
      <c r="AE127" s="5">
        <v>576218417428675</v>
      </c>
      <c r="AF127" s="5">
        <v>518046420655832</v>
      </c>
      <c r="AG127" s="5">
        <v>506034613690748</v>
      </c>
      <c r="AH127" s="5">
        <v>489318340405228</v>
      </c>
      <c r="AI127" s="5">
        <v>461355009292364</v>
      </c>
      <c r="AJ127" s="5">
        <v>474366579999158</v>
      </c>
      <c r="AK127" s="5">
        <v>492854477989217</v>
      </c>
      <c r="AL127" s="5">
        <v>463419491110839</v>
      </c>
      <c r="AM127" s="5">
        <v>40187190034446</v>
      </c>
      <c r="AN127" s="5">
        <v>495714081479899</v>
      </c>
      <c r="AO127" s="5">
        <v>5354755254509</v>
      </c>
      <c r="AP127" s="6">
        <v>173371513389216</v>
      </c>
      <c r="AQ127" s="6">
        <v>185114993084546</v>
      </c>
      <c r="AR127" s="6">
        <v>173745565816687</v>
      </c>
      <c r="AS127" s="6">
        <v>178772209930524</v>
      </c>
      <c r="AT127" s="6">
        <v>16633806174452</v>
      </c>
      <c r="AU127" s="6">
        <v>152617672483835</v>
      </c>
      <c r="AV127" s="6">
        <v>141443936154928</v>
      </c>
      <c r="AW127" s="6">
        <v>143150668463321</v>
      </c>
      <c r="AX127" s="6">
        <v>147579081127947</v>
      </c>
      <c r="AY127" s="6">
        <v>137679535966896</v>
      </c>
      <c r="AZ127" s="6">
        <v>127521415126241</v>
      </c>
      <c r="BA127" s="6">
        <v>12534637855572</v>
      </c>
      <c r="BB127" s="6">
        <v>113084684391995</v>
      </c>
      <c r="BC127" s="6">
        <v>12369164699063</v>
      </c>
      <c r="BD127" s="6">
        <v>11958398395259</v>
      </c>
      <c r="BE127" s="6">
        <v>136648591429753</v>
      </c>
      <c r="BF127" s="6">
        <v>144331012097836</v>
      </c>
      <c r="BG127" s="6">
        <v>140803602517582</v>
      </c>
      <c r="BH127" s="6">
        <v>132627788538987</v>
      </c>
      <c r="BI127" s="6">
        <v>136637509840148</v>
      </c>
      <c r="BJ127" s="6">
        <v>137970656678847</v>
      </c>
      <c r="BK127" s="6">
        <v>134018290215921</v>
      </c>
      <c r="BL127" s="6">
        <v>129001298625108</v>
      </c>
      <c r="BM127" s="6">
        <v>14814099603066</v>
      </c>
    </row>
    <row r="128" spans="1:65" x14ac:dyDescent="0.45">
      <c r="A128" s="1" t="s">
        <v>122</v>
      </c>
      <c r="B128" s="2">
        <v>4074303</v>
      </c>
      <c r="C128" s="3" t="s">
        <v>801</v>
      </c>
      <c r="D128" s="3" t="s">
        <v>802</v>
      </c>
      <c r="E128" s="3" t="s">
        <v>702</v>
      </c>
      <c r="F128" s="5">
        <v>319713085499339</v>
      </c>
      <c r="G128" s="5">
        <v>343459997487756</v>
      </c>
      <c r="H128" s="5">
        <v>348635894684631</v>
      </c>
      <c r="I128" s="5">
        <v>292614759372739</v>
      </c>
      <c r="J128" s="5">
        <v>30149921436618</v>
      </c>
      <c r="K128" s="5">
        <v>306143212658167</v>
      </c>
      <c r="L128" s="5">
        <v>26121551457268</v>
      </c>
      <c r="M128" s="5">
        <v>275028925951984</v>
      </c>
      <c r="N128" s="5">
        <v>255055654295625</v>
      </c>
      <c r="O128" s="5">
        <v>262326506226004</v>
      </c>
      <c r="P128" s="5">
        <v>258887452544721</v>
      </c>
      <c r="Q128" s="5">
        <v>282061184305951</v>
      </c>
      <c r="R128" s="5">
        <v>274350105668677</v>
      </c>
      <c r="S128" s="5">
        <v>266168252006896</v>
      </c>
      <c r="T128" s="5">
        <v>297860830516324</v>
      </c>
      <c r="U128" s="5">
        <v>278239404849356</v>
      </c>
      <c r="V128" s="5">
        <v>287102678047975</v>
      </c>
      <c r="W128" s="5">
        <v>286060402722534</v>
      </c>
      <c r="X128" s="5">
        <v>300635416672746</v>
      </c>
      <c r="Y128" s="5">
        <v>308631068992627</v>
      </c>
      <c r="Z128" s="5">
        <v>307041217912467</v>
      </c>
      <c r="AA128" s="5">
        <v>32351408812165</v>
      </c>
      <c r="AB128" s="5">
        <v>309002730721632</v>
      </c>
      <c r="AC128" s="5">
        <v>285823198991049</v>
      </c>
      <c r="AD128" s="5">
        <v>274780507906192</v>
      </c>
      <c r="AE128" s="5">
        <v>286274238686186</v>
      </c>
      <c r="AF128" s="5">
        <v>279270078851548</v>
      </c>
      <c r="AG128" s="5">
        <v>26537599237429</v>
      </c>
      <c r="AH128" s="5">
        <v>255843748573446</v>
      </c>
      <c r="AI128" s="5">
        <v>241083323178052</v>
      </c>
      <c r="AJ128" s="5">
        <v>226975485965959</v>
      </c>
      <c r="AK128" s="5">
        <v>224906160349472</v>
      </c>
      <c r="AL128" s="5">
        <v>220336172822601</v>
      </c>
      <c r="AM128" s="5">
        <v>182399656497968</v>
      </c>
      <c r="AN128" s="5">
        <v>20672296823911</v>
      </c>
      <c r="AO128" s="5">
        <v>218320414208769</v>
      </c>
      <c r="AP128" s="6">
        <v>984851070764456</v>
      </c>
      <c r="AQ128" s="6">
        <v>954069854466587</v>
      </c>
      <c r="AR128" s="6">
        <v>8880707907755</v>
      </c>
      <c r="AS128" s="6">
        <v>950201828709461</v>
      </c>
      <c r="AT128" s="6">
        <v>926754489394246</v>
      </c>
      <c r="AU128" s="6">
        <v>905599476720607</v>
      </c>
      <c r="AV128" s="6">
        <v>899199031767323</v>
      </c>
      <c r="AW128" s="6">
        <v>84785280741128</v>
      </c>
      <c r="AX128" s="6">
        <v>846252903326523</v>
      </c>
      <c r="AY128" s="6">
        <v>841869074610749</v>
      </c>
      <c r="AZ128" s="6">
        <v>794685061116937</v>
      </c>
      <c r="BA128" s="6">
        <v>679275236203459</v>
      </c>
      <c r="BB128" s="6">
        <v>631268075529166</v>
      </c>
      <c r="BC128" s="6">
        <v>678093422589028</v>
      </c>
      <c r="BD128" s="6">
        <v>615532052871897</v>
      </c>
      <c r="BE128" s="6">
        <v>654436354195951</v>
      </c>
      <c r="BF128" s="6">
        <v>624179290666955</v>
      </c>
      <c r="BG128" s="6">
        <v>613367378587762</v>
      </c>
      <c r="BH128" s="6">
        <v>590843228078786</v>
      </c>
      <c r="BI128" s="6">
        <v>594851833986675</v>
      </c>
      <c r="BJ128" s="6">
        <v>580409317885405</v>
      </c>
      <c r="BK128" s="6">
        <v>556102882073145</v>
      </c>
      <c r="BL128" s="6">
        <v>558626327340354</v>
      </c>
      <c r="BM128" s="6">
        <v>567164698272</v>
      </c>
    </row>
    <row r="129" spans="1:65" x14ac:dyDescent="0.45">
      <c r="A129" s="1" t="s">
        <v>123</v>
      </c>
      <c r="B129" s="2">
        <v>4206348</v>
      </c>
      <c r="C129" s="3" t="s">
        <v>803</v>
      </c>
      <c r="D129" s="3" t="s">
        <v>804</v>
      </c>
      <c r="E129" s="3" t="s">
        <v>805</v>
      </c>
      <c r="F129" s="5">
        <v>114575133058447</v>
      </c>
      <c r="G129" s="5">
        <v>129810780440025</v>
      </c>
      <c r="H129" s="5">
        <v>125729759257559</v>
      </c>
      <c r="I129" s="5">
        <v>127683532093397</v>
      </c>
      <c r="J129" s="5">
        <v>12793928296046</v>
      </c>
      <c r="K129" s="5">
        <v>123006917577194</v>
      </c>
      <c r="L129" s="5">
        <v>116232542789057</v>
      </c>
      <c r="M129" s="5">
        <v>118254737426945</v>
      </c>
      <c r="N129" s="5">
        <v>119724257098834</v>
      </c>
      <c r="O129" s="5">
        <v>119581830029957</v>
      </c>
      <c r="P129" s="5">
        <v>121145138885688</v>
      </c>
      <c r="Q129" s="5">
        <v>125616701088</v>
      </c>
      <c r="R129" s="5">
        <v>119826044748</v>
      </c>
      <c r="S129" s="5">
        <v>104377536272</v>
      </c>
      <c r="T129" s="5">
        <v>101883500343208</v>
      </c>
      <c r="U129" s="5">
        <v>966155785029947</v>
      </c>
      <c r="V129" s="5">
        <v>965791582400604</v>
      </c>
      <c r="W129" s="5">
        <v>914086226682371</v>
      </c>
      <c r="X129" s="5">
        <v>926512204899728</v>
      </c>
      <c r="Y129" s="5">
        <v>933762860141614</v>
      </c>
      <c r="Z129" s="5">
        <v>832963001005819</v>
      </c>
      <c r="AA129" s="5">
        <v>84052552882699</v>
      </c>
      <c r="AB129" s="5">
        <v>738416680810761</v>
      </c>
      <c r="AC129" s="5">
        <v>772589726260945</v>
      </c>
      <c r="AD129" s="5">
        <v>730835123892045</v>
      </c>
      <c r="AE129" s="5">
        <v>742414335528157</v>
      </c>
      <c r="AF129" s="5">
        <v>6298898196366</v>
      </c>
      <c r="AG129" s="5">
        <v>65086324508368</v>
      </c>
      <c r="AH129" s="5">
        <v>68004654679661</v>
      </c>
      <c r="AI129" s="5">
        <v>695413913190211</v>
      </c>
      <c r="AJ129" s="5">
        <v>754614148226239</v>
      </c>
      <c r="AK129" s="5">
        <v>770924981779284</v>
      </c>
      <c r="AL129" s="5">
        <v>734563144245779</v>
      </c>
      <c r="AM129" s="5">
        <v>70411972371104</v>
      </c>
      <c r="AN129" s="5">
        <v>701799284558803</v>
      </c>
      <c r="AO129" s="5">
        <v>795847038171755</v>
      </c>
      <c r="AP129" s="6">
        <v>119093674338137</v>
      </c>
      <c r="AQ129" s="6">
        <v>131791923684772</v>
      </c>
      <c r="AR129" s="6">
        <v>123481100261525</v>
      </c>
      <c r="AS129" s="6">
        <v>13315626243856</v>
      </c>
      <c r="AT129" s="6">
        <v>135091167564665</v>
      </c>
      <c r="AU129" s="6">
        <v>134430533562019</v>
      </c>
      <c r="AV129" s="6">
        <v>131554992389118</v>
      </c>
      <c r="AW129" s="6">
        <v>128326075784389</v>
      </c>
      <c r="AX129" s="6">
        <v>12907294226316</v>
      </c>
      <c r="AY129" s="6">
        <v>133673589966223</v>
      </c>
      <c r="AZ129" s="6">
        <v>121587017627909</v>
      </c>
      <c r="BA129" s="6">
        <v>113139119035095</v>
      </c>
      <c r="BB129" s="6">
        <v>108246314969221</v>
      </c>
      <c r="BC129" s="6">
        <v>121167707728712</v>
      </c>
      <c r="BD129" s="6">
        <v>116833766881878</v>
      </c>
      <c r="BE129" s="6">
        <v>118738863506296</v>
      </c>
      <c r="BF129" s="6">
        <v>124033316549585</v>
      </c>
      <c r="BG129" s="6">
        <v>112891550094442</v>
      </c>
      <c r="BH129" s="6">
        <v>113590650081105</v>
      </c>
      <c r="BI129" s="6">
        <v>928069245491018</v>
      </c>
      <c r="BJ129" s="6">
        <v>952023692063382</v>
      </c>
      <c r="BK129" s="6">
        <v>85640189236701</v>
      </c>
      <c r="BL129" s="6">
        <v>932724914057937</v>
      </c>
      <c r="BM129" s="6">
        <v>951875188136185</v>
      </c>
    </row>
    <row r="130" spans="1:65" x14ac:dyDescent="0.45">
      <c r="A130" s="1" t="s">
        <v>124</v>
      </c>
      <c r="B130" s="2">
        <v>4049266</v>
      </c>
      <c r="C130" s="3" t="s">
        <v>806</v>
      </c>
      <c r="D130" s="3" t="s">
        <v>807</v>
      </c>
      <c r="E130" s="3" t="s">
        <v>808</v>
      </c>
      <c r="F130" s="5">
        <v>28738157505031</v>
      </c>
      <c r="G130" s="5">
        <v>287160611526834</v>
      </c>
      <c r="H130" s="5">
        <v>270162491775023</v>
      </c>
      <c r="I130" s="5">
        <v>238662551368091</v>
      </c>
      <c r="J130" s="5">
        <v>245477723146696</v>
      </c>
      <c r="K130" s="5">
        <v>2658254641417</v>
      </c>
      <c r="L130" s="5">
        <v>222896240212759</v>
      </c>
      <c r="M130" s="5">
        <v>246587738813261</v>
      </c>
      <c r="N130" s="5">
        <v>232459483450517</v>
      </c>
      <c r="O130" s="5">
        <v>237681848321098</v>
      </c>
      <c r="P130" s="5">
        <v>269484777826355</v>
      </c>
      <c r="Q130" s="5">
        <v>283718481874975</v>
      </c>
      <c r="R130" s="5">
        <v>339654878165383</v>
      </c>
      <c r="S130" s="5">
        <v>309037780102361</v>
      </c>
      <c r="T130" s="5">
        <v>276528597625275</v>
      </c>
      <c r="U130" s="5">
        <v>259509418832058</v>
      </c>
      <c r="V130" s="5">
        <v>290170676292551</v>
      </c>
      <c r="W130" s="5">
        <v>288158433081656</v>
      </c>
      <c r="X130" s="5">
        <v>274753543689306</v>
      </c>
      <c r="Y130" s="5">
        <v>281845649736645</v>
      </c>
      <c r="Z130" s="5">
        <v>294545599747584</v>
      </c>
      <c r="AA130" s="5">
        <v>276159582805709</v>
      </c>
      <c r="AB130" s="5">
        <v>231070808720902</v>
      </c>
      <c r="AC130" s="5">
        <v>230106217225421</v>
      </c>
      <c r="AD130" s="5">
        <v>205438523052525</v>
      </c>
      <c r="AE130" s="5">
        <v>227140029409793</v>
      </c>
      <c r="AF130" s="5">
        <v>208509446416211</v>
      </c>
      <c r="AG130" s="5">
        <v>2342481203348</v>
      </c>
      <c r="AH130" s="5">
        <v>217134085321758</v>
      </c>
      <c r="AI130" s="5">
        <v>20340083293498</v>
      </c>
      <c r="AJ130" s="5">
        <v>179125512522147</v>
      </c>
      <c r="AK130" s="5">
        <v>180832249832535</v>
      </c>
      <c r="AL130" s="5">
        <v>156916740503536</v>
      </c>
      <c r="AM130" s="5">
        <v>1133529358962</v>
      </c>
      <c r="AN130" s="5">
        <v>177460765901642</v>
      </c>
      <c r="AO130" s="5">
        <v>195632366262432</v>
      </c>
      <c r="AP130" s="6">
        <v>856545641881247</v>
      </c>
      <c r="AQ130" s="6">
        <v>84484572244</v>
      </c>
      <c r="AR130" s="6">
        <v>727867876121398</v>
      </c>
      <c r="AS130" s="6">
        <v>72466726874435</v>
      </c>
      <c r="AT130" s="6">
        <v>709612965084973</v>
      </c>
      <c r="AU130" s="6">
        <v>86179480809093</v>
      </c>
      <c r="AV130" s="6">
        <v>822690162752734</v>
      </c>
      <c r="AW130" s="6">
        <v>648152505253055</v>
      </c>
      <c r="AX130" s="6">
        <v>82036745476749</v>
      </c>
      <c r="AY130" s="6">
        <v>804855170525373</v>
      </c>
      <c r="AZ130" s="6">
        <v>831335710434423</v>
      </c>
      <c r="BA130" s="6">
        <v>81334868368752</v>
      </c>
      <c r="BB130" s="6">
        <v>746019967505472</v>
      </c>
      <c r="BC130" s="6">
        <v>968423037014016</v>
      </c>
      <c r="BD130" s="6">
        <v>9929697141</v>
      </c>
      <c r="BE130" s="6">
        <v>102897089529</v>
      </c>
      <c r="BF130" s="6">
        <v>99628176115</v>
      </c>
      <c r="BG130" s="6">
        <v>1047946837</v>
      </c>
      <c r="BH130" s="6">
        <v>10385720688</v>
      </c>
      <c r="BI130" s="6">
        <v>10003852566</v>
      </c>
      <c r="BJ130" s="6">
        <v>912348035504178</v>
      </c>
      <c r="BK130" s="6">
        <v>971769289890303</v>
      </c>
      <c r="BL130" s="6">
        <v>106894134756536</v>
      </c>
      <c r="BM130" s="6">
        <v>115022220936504</v>
      </c>
    </row>
    <row r="131" spans="1:65" x14ac:dyDescent="0.45">
      <c r="A131" s="1" t="s">
        <v>125</v>
      </c>
      <c r="B131" s="2">
        <v>4810677</v>
      </c>
      <c r="C131" s="3" t="s">
        <v>809</v>
      </c>
      <c r="D131" s="3" t="s">
        <v>810</v>
      </c>
      <c r="E131" s="3" t="s">
        <v>513</v>
      </c>
      <c r="F131" s="5">
        <v>180792080543381</v>
      </c>
      <c r="G131" s="5">
        <v>193001604198499</v>
      </c>
      <c r="H131" s="5">
        <v>185276605229639</v>
      </c>
      <c r="I131" s="5">
        <v>19161211958566</v>
      </c>
      <c r="J131" s="5">
        <v>194950727860097</v>
      </c>
      <c r="K131" s="5">
        <v>207872739068462</v>
      </c>
      <c r="L131" s="5">
        <v>173616848338331</v>
      </c>
      <c r="M131" s="5">
        <v>176043295336495</v>
      </c>
      <c r="N131" s="5">
        <v>170595789778803</v>
      </c>
      <c r="O131" s="5">
        <v>189036103285225</v>
      </c>
      <c r="P131" s="5">
        <v>174805063732154</v>
      </c>
      <c r="Q131" s="5">
        <v>18243461808</v>
      </c>
      <c r="R131" s="5">
        <v>20672601104506</v>
      </c>
      <c r="S131" s="5">
        <v>203910946192227</v>
      </c>
      <c r="T131" s="5">
        <v>192663283341924</v>
      </c>
      <c r="U131" s="5">
        <v>187520592702988</v>
      </c>
      <c r="V131" s="5">
        <v>196057061029467</v>
      </c>
      <c r="W131" s="5">
        <v>17903463848193</v>
      </c>
      <c r="X131" s="5">
        <v>16143984659903</v>
      </c>
      <c r="Y131" s="5">
        <v>149904733588905</v>
      </c>
      <c r="Z131" s="5">
        <v>150573398288395</v>
      </c>
      <c r="AA131" s="5">
        <v>136743639170741</v>
      </c>
      <c r="AB131" s="5">
        <v>129305839188357</v>
      </c>
      <c r="AC131" s="5">
        <v>139308072912</v>
      </c>
      <c r="AD131" s="5">
        <v>129004157299593</v>
      </c>
      <c r="AE131" s="5">
        <v>133513968047896</v>
      </c>
      <c r="AF131" s="5">
        <v>139921823563482</v>
      </c>
      <c r="AG131" s="5">
        <v>130087865348322</v>
      </c>
      <c r="AH131" s="5">
        <v>122523529014314</v>
      </c>
      <c r="AI131" s="5">
        <v>122211378484901</v>
      </c>
      <c r="AJ131" s="5">
        <v>111094918155642</v>
      </c>
      <c r="AK131" s="5">
        <v>10595810182679</v>
      </c>
      <c r="AL131" s="5">
        <v>10412923071892</v>
      </c>
      <c r="AM131" s="5">
        <v>877761074143863</v>
      </c>
      <c r="AN131" s="5">
        <v>915319218625031</v>
      </c>
      <c r="AO131" s="5">
        <v>10092034667</v>
      </c>
      <c r="AP131" s="6">
        <v>420959457398244</v>
      </c>
      <c r="AQ131" s="6">
        <v>427027538286346</v>
      </c>
      <c r="AR131" s="6">
        <v>396155308744605</v>
      </c>
      <c r="AS131" s="6">
        <v>390313389717691</v>
      </c>
      <c r="AT131" s="6">
        <v>387187517486358</v>
      </c>
      <c r="AU131" s="6">
        <v>406728735494749</v>
      </c>
      <c r="AV131" s="6">
        <v>450659012797689</v>
      </c>
      <c r="AW131" s="6">
        <v>397639440811782</v>
      </c>
      <c r="AX131" s="6">
        <v>411336609624709</v>
      </c>
      <c r="AY131" s="6">
        <v>38152298062615</v>
      </c>
      <c r="AZ131" s="6">
        <v>378454919610642</v>
      </c>
      <c r="BA131" s="6">
        <v>326567273145427</v>
      </c>
      <c r="BB131" s="6">
        <v>325445141272977</v>
      </c>
      <c r="BC131" s="6">
        <v>342703062702477</v>
      </c>
      <c r="BD131" s="6">
        <v>337896015339127</v>
      </c>
      <c r="BE131" s="6">
        <v>306941129465581</v>
      </c>
      <c r="BF131" s="6">
        <v>315672684163704</v>
      </c>
      <c r="BG131" s="6">
        <v>292795454030771</v>
      </c>
      <c r="BH131" s="6">
        <v>294606958497235</v>
      </c>
      <c r="BI131" s="6">
        <v>295518300972826</v>
      </c>
      <c r="BJ131" s="6">
        <v>245329772266938</v>
      </c>
      <c r="BK131" s="6">
        <v>232543523083735</v>
      </c>
      <c r="BL131" s="6">
        <v>246038363661167</v>
      </c>
      <c r="BM131" s="6">
        <v>220221415175517</v>
      </c>
    </row>
    <row r="132" spans="1:65" x14ac:dyDescent="0.45">
      <c r="A132" s="1" t="s">
        <v>126</v>
      </c>
      <c r="B132" s="2">
        <v>4297825</v>
      </c>
      <c r="C132" s="3" t="s">
        <v>811</v>
      </c>
      <c r="D132" s="3" t="s">
        <v>812</v>
      </c>
      <c r="E132" s="3" t="s">
        <v>732</v>
      </c>
      <c r="F132" s="5">
        <v>158412156111345</v>
      </c>
      <c r="G132" s="5">
        <v>17444586686197</v>
      </c>
      <c r="H132" s="5">
        <v>177164424902254</v>
      </c>
      <c r="I132" s="5">
        <v>157908496346613</v>
      </c>
      <c r="J132" s="5">
        <v>150566616463077</v>
      </c>
      <c r="K132" s="5">
        <v>151276470058647</v>
      </c>
      <c r="L132" s="5">
        <v>134975767741293</v>
      </c>
      <c r="M132" s="5">
        <v>1453310978925</v>
      </c>
      <c r="N132" s="5">
        <v>15591617497721</v>
      </c>
      <c r="O132" s="5">
        <v>152861727440064</v>
      </c>
      <c r="P132" s="5">
        <v>165170228289936</v>
      </c>
      <c r="Q132" s="5">
        <v>159496137147367</v>
      </c>
      <c r="R132" s="5">
        <v>171910297406933</v>
      </c>
      <c r="S132" s="5">
        <v>158842878805677</v>
      </c>
      <c r="T132" s="5">
        <v>161779954954768</v>
      </c>
      <c r="U132" s="5">
        <v>170313636794467</v>
      </c>
      <c r="V132" s="5">
        <v>166328910974344</v>
      </c>
      <c r="W132" s="5">
        <v>160807864643353</v>
      </c>
      <c r="X132" s="5">
        <v>161103923156211</v>
      </c>
      <c r="Y132" s="5">
        <v>153766591796549</v>
      </c>
      <c r="Z132" s="5">
        <v>159586632255705</v>
      </c>
      <c r="AA132" s="5">
        <v>15767622956328</v>
      </c>
      <c r="AB132" s="5">
        <v>147926698694019</v>
      </c>
      <c r="AC132" s="5">
        <v>12549818167191</v>
      </c>
      <c r="AD132" s="5">
        <v>12678947790261</v>
      </c>
      <c r="AE132" s="5">
        <v>117631560806537</v>
      </c>
      <c r="AF132" s="5">
        <v>102697219434241</v>
      </c>
      <c r="AG132" s="5">
        <v>111436130882494</v>
      </c>
      <c r="AH132" s="5">
        <v>941722978037845</v>
      </c>
      <c r="AI132" s="5">
        <v>833376155588427</v>
      </c>
      <c r="AJ132" s="5">
        <v>874466858712661</v>
      </c>
      <c r="AK132" s="5">
        <v>897927570338022</v>
      </c>
      <c r="AL132" s="5">
        <v>876054203893499</v>
      </c>
      <c r="AM132" s="5">
        <v>5987841276963</v>
      </c>
      <c r="AN132" s="5">
        <v>10772690203548</v>
      </c>
      <c r="AO132" s="5">
        <v>127609732705066</v>
      </c>
      <c r="AP132" s="6">
        <v>483672659800994</v>
      </c>
      <c r="AQ132" s="6">
        <v>480250910644581</v>
      </c>
      <c r="AR132" s="6">
        <v>49189747111077</v>
      </c>
      <c r="AS132" s="6">
        <v>487097026940369</v>
      </c>
      <c r="AT132" s="6">
        <v>443480035900235</v>
      </c>
      <c r="AU132" s="6">
        <v>471805140187524</v>
      </c>
      <c r="AV132" s="6">
        <v>461627754417681</v>
      </c>
      <c r="AW132" s="6">
        <v>398610813865927</v>
      </c>
      <c r="AX132" s="6">
        <v>470812265764927</v>
      </c>
      <c r="AY132" s="6">
        <v>453590256510389</v>
      </c>
      <c r="AZ132" s="6">
        <v>458769227980929</v>
      </c>
      <c r="BA132" s="6">
        <v>45797951562768</v>
      </c>
      <c r="BB132" s="6">
        <v>415050199631015</v>
      </c>
      <c r="BC132" s="6">
        <v>440017263579464</v>
      </c>
      <c r="BD132" s="6">
        <v>384918526373485</v>
      </c>
      <c r="BE132" s="6">
        <v>416210254393262</v>
      </c>
      <c r="BF132" s="6">
        <v>398501062212751</v>
      </c>
      <c r="BG132" s="6">
        <v>401214757101925</v>
      </c>
      <c r="BH132" s="6">
        <v>388566119144293</v>
      </c>
      <c r="BI132" s="6">
        <v>415845412525068</v>
      </c>
      <c r="BJ132" s="6">
        <v>362902415312427</v>
      </c>
      <c r="BK132" s="6">
        <v>408964209631909</v>
      </c>
      <c r="BL132" s="6">
        <v>425899427417509</v>
      </c>
      <c r="BM132" s="6">
        <v>432469654140454</v>
      </c>
    </row>
    <row r="133" spans="1:65" x14ac:dyDescent="0.45">
      <c r="A133" s="1" t="s">
        <v>127</v>
      </c>
      <c r="B133" s="2">
        <v>5222696</v>
      </c>
      <c r="C133" s="3" t="s">
        <v>813</v>
      </c>
      <c r="D133" s="3" t="s">
        <v>814</v>
      </c>
      <c r="E133" s="3" t="s">
        <v>504</v>
      </c>
      <c r="F133" s="5">
        <v>218398444206201</v>
      </c>
      <c r="G133" s="5">
        <v>233355245825737</v>
      </c>
      <c r="H133" s="5">
        <v>257649328379122</v>
      </c>
      <c r="I133" s="5">
        <v>286503102440788</v>
      </c>
      <c r="J133" s="5">
        <v>329751769292104</v>
      </c>
      <c r="K133" s="5">
        <v>315050785443081</v>
      </c>
      <c r="L133" s="5">
        <v>287001574835365</v>
      </c>
      <c r="M133" s="5">
        <v>280091463821832</v>
      </c>
      <c r="N133" s="5">
        <v>360938993936386</v>
      </c>
      <c r="O133" s="5">
        <v>428026214771985</v>
      </c>
      <c r="P133" s="5">
        <v>45036139525045</v>
      </c>
      <c r="Q133" s="5">
        <v>407016016526269</v>
      </c>
      <c r="R133" s="5">
        <v>488655458032293</v>
      </c>
      <c r="S133" s="5">
        <v>493544021280388</v>
      </c>
      <c r="T133" s="5">
        <v>447863972464912</v>
      </c>
      <c r="U133" s="5">
        <v>378085407908452</v>
      </c>
      <c r="V133" s="5">
        <v>361925457153998</v>
      </c>
      <c r="W133" s="5">
        <v>287783742990249</v>
      </c>
      <c r="X133" s="5">
        <v>270702297402773</v>
      </c>
      <c r="Y133" s="5">
        <v>230382558423047</v>
      </c>
      <c r="Z133" s="5">
        <v>219851274165696</v>
      </c>
      <c r="AA133" s="5">
        <v>21762656898282</v>
      </c>
      <c r="AB133" s="5">
        <v>240143140670514</v>
      </c>
      <c r="AC133" s="5">
        <v>25777277720662</v>
      </c>
      <c r="AD133" s="5">
        <v>245071494260703</v>
      </c>
      <c r="AE133" s="5">
        <v>25205035247109</v>
      </c>
      <c r="AF133" s="5">
        <v>236215131253918</v>
      </c>
      <c r="AG133" s="5">
        <v>263900197445114</v>
      </c>
      <c r="AH133" s="5">
        <v>211999861721608</v>
      </c>
      <c r="AI133" s="5">
        <v>237526567229968</v>
      </c>
      <c r="AJ133" s="5">
        <v>231311203750148</v>
      </c>
      <c r="AK133" s="5">
        <v>191923740808921</v>
      </c>
      <c r="AL133" s="5">
        <v>123271822283259</v>
      </c>
      <c r="AM133" s="5">
        <v>97267124129812</v>
      </c>
      <c r="AN133" s="5">
        <v>121963104291804</v>
      </c>
      <c r="AO133" s="5">
        <v>123306312345308</v>
      </c>
      <c r="AP133" s="6">
        <v>335777235601951</v>
      </c>
      <c r="AQ133" s="6">
        <v>335152402837677</v>
      </c>
      <c r="AR133" s="6">
        <v>31838472964874</v>
      </c>
      <c r="AS133" s="6">
        <v>342200750135501</v>
      </c>
      <c r="AT133" s="6">
        <v>340784345662774</v>
      </c>
      <c r="AU133" s="6">
        <v>355282966778611</v>
      </c>
      <c r="AV133" s="6">
        <v>326484532629411</v>
      </c>
      <c r="AW133" s="6">
        <v>302450831478749</v>
      </c>
      <c r="AX133" s="6">
        <v>340572029353589</v>
      </c>
      <c r="AY133" s="6">
        <v>311349660311894</v>
      </c>
      <c r="AZ133" s="6">
        <v>294544464947883</v>
      </c>
      <c r="BA133" s="6">
        <v>294739664761663</v>
      </c>
      <c r="BB133" s="6">
        <v>297678497015381</v>
      </c>
      <c r="BC133" s="6">
        <v>366229247235471</v>
      </c>
      <c r="BD133" s="6">
        <v>3302674194083</v>
      </c>
      <c r="BE133" s="6">
        <v>342810648429791</v>
      </c>
      <c r="BF133" s="6">
        <v>346986001252938</v>
      </c>
      <c r="BG133" s="6">
        <v>320272693926223</v>
      </c>
      <c r="BH133" s="6">
        <v>296748478046189</v>
      </c>
      <c r="BI133" s="6">
        <v>323990377038059</v>
      </c>
      <c r="BJ133" s="6">
        <v>302254723496356</v>
      </c>
      <c r="BK133" s="6">
        <v>313921692814081</v>
      </c>
      <c r="BL133" s="6">
        <v>310911526133208</v>
      </c>
      <c r="BM133" s="6">
        <v>324114642316038</v>
      </c>
    </row>
    <row r="134" spans="1:65" x14ac:dyDescent="0.45">
      <c r="A134" s="1" t="s">
        <v>128</v>
      </c>
      <c r="B134" s="2">
        <v>4189919</v>
      </c>
      <c r="C134" s="3" t="s">
        <v>815</v>
      </c>
      <c r="D134" s="3" t="s">
        <v>816</v>
      </c>
      <c r="E134" s="3" t="s">
        <v>805</v>
      </c>
      <c r="F134" s="5">
        <v>6295451056776</v>
      </c>
      <c r="G134" s="5">
        <v>6442073872024</v>
      </c>
      <c r="H134" s="5">
        <v>6652830011352</v>
      </c>
      <c r="I134" s="5">
        <v>77065276398</v>
      </c>
      <c r="J134" s="5">
        <v>77316894633</v>
      </c>
      <c r="K134" s="5">
        <v>78054898944</v>
      </c>
      <c r="L134" s="5">
        <v>72359290256</v>
      </c>
      <c r="M134" s="5">
        <v>85963425834</v>
      </c>
      <c r="N134" s="5">
        <v>977761001074722</v>
      </c>
      <c r="O134" s="5">
        <v>98054221986</v>
      </c>
      <c r="P134" s="5">
        <v>96706082655</v>
      </c>
      <c r="Q134" s="5">
        <v>98591037984</v>
      </c>
      <c r="R134" s="5">
        <v>101929722192</v>
      </c>
      <c r="S134" s="5">
        <v>854333676</v>
      </c>
      <c r="T134" s="5">
        <v>90978309088</v>
      </c>
      <c r="U134" s="5">
        <v>105123966144</v>
      </c>
      <c r="V134" s="5">
        <v>116106184512</v>
      </c>
      <c r="W134" s="5">
        <v>1076557365</v>
      </c>
      <c r="X134" s="5">
        <v>107868043044</v>
      </c>
      <c r="Y134" s="5">
        <v>10462551597</v>
      </c>
      <c r="Z134" s="5">
        <v>102877415118</v>
      </c>
      <c r="AA134" s="5">
        <v>10045112376</v>
      </c>
      <c r="AB134" s="5">
        <v>9234502683</v>
      </c>
      <c r="AC134" s="5">
        <v>10829213472</v>
      </c>
      <c r="AD134" s="5">
        <v>10749144</v>
      </c>
      <c r="AE134" s="5">
        <v>1029408744</v>
      </c>
      <c r="AF134" s="5">
        <v>8289246</v>
      </c>
      <c r="AG134" s="5">
        <v>831564702083784</v>
      </c>
      <c r="AH134" s="5">
        <v>88533254009655</v>
      </c>
      <c r="AI134" s="5">
        <v>901107631456418</v>
      </c>
      <c r="AJ134" s="5">
        <v>856584460328245</v>
      </c>
      <c r="AK134" s="5">
        <v>887032441794576</v>
      </c>
      <c r="AL134" s="5">
        <v>879718261518528</v>
      </c>
      <c r="AM134" s="5">
        <v>869335376</v>
      </c>
      <c r="AN134" s="5">
        <v>88648311696</v>
      </c>
      <c r="AO134" s="5">
        <v>922952481016104</v>
      </c>
      <c r="AP134" s="6">
        <v>88887911147</v>
      </c>
      <c r="AQ134" s="6">
        <v>76310545124</v>
      </c>
      <c r="AR134" s="6">
        <v>744724209340036</v>
      </c>
      <c r="AS134" s="6">
        <v>903231304574056</v>
      </c>
      <c r="AT134" s="6">
        <v>81841074210808</v>
      </c>
      <c r="AU134" s="6">
        <v>100738383289515</v>
      </c>
      <c r="AV134" s="6">
        <v>104076505204857</v>
      </c>
      <c r="AW134" s="6">
        <v>937269801854713</v>
      </c>
      <c r="AX134" s="6">
        <v>119115212091781</v>
      </c>
      <c r="AY134" s="6">
        <v>12324978468</v>
      </c>
      <c r="AZ134" s="6">
        <v>113575499973</v>
      </c>
      <c r="BA134" s="6">
        <v>1089288369</v>
      </c>
      <c r="BB134" s="6">
        <v>92171893352</v>
      </c>
      <c r="BC134" s="6">
        <v>111772899072</v>
      </c>
      <c r="BD134" s="6">
        <v>1456460352</v>
      </c>
      <c r="BE134" s="6">
        <v>174906909504</v>
      </c>
      <c r="BF134" s="6">
        <v>18817558416</v>
      </c>
      <c r="BG134" s="6">
        <v>197882076525</v>
      </c>
      <c r="BH134" s="6">
        <v>197207259144</v>
      </c>
      <c r="BI134" s="6">
        <v>186616118826</v>
      </c>
      <c r="BJ134" s="6">
        <v>157858897507605</v>
      </c>
      <c r="BK134" s="6">
        <v>136005414908</v>
      </c>
      <c r="BL134" s="6">
        <v>13214963853</v>
      </c>
      <c r="BM134" s="6">
        <v>174767337465</v>
      </c>
    </row>
    <row r="135" spans="1:65" x14ac:dyDescent="0.45">
      <c r="A135" s="1" t="s">
        <v>129</v>
      </c>
      <c r="B135" s="2">
        <v>4391531</v>
      </c>
      <c r="C135" s="3" t="s">
        <v>817</v>
      </c>
      <c r="D135" s="3" t="s">
        <v>818</v>
      </c>
      <c r="E135" s="3" t="s">
        <v>819</v>
      </c>
      <c r="F135" s="5">
        <v>988518972376563</v>
      </c>
      <c r="G135" s="5">
        <v>102371961981491</v>
      </c>
      <c r="H135" s="5">
        <v>938891812032923</v>
      </c>
      <c r="I135" s="5">
        <v>845808881357775</v>
      </c>
      <c r="J135" s="5">
        <v>847101418413824</v>
      </c>
      <c r="K135" s="5">
        <v>814691695082971</v>
      </c>
      <c r="L135" s="5">
        <v>654390062542005</v>
      </c>
      <c r="M135" s="5">
        <v>670616595389614</v>
      </c>
      <c r="N135" s="5">
        <v>686943899793751</v>
      </c>
      <c r="O135" s="5">
        <v>671355296238318</v>
      </c>
      <c r="P135" s="5">
        <v>700193365828591</v>
      </c>
      <c r="Q135" s="5">
        <v>784745430025055</v>
      </c>
      <c r="R135" s="5">
        <v>884094007560943</v>
      </c>
      <c r="S135" s="5">
        <v>987228937733771</v>
      </c>
      <c r="T135" s="5">
        <v>945691344929326</v>
      </c>
      <c r="U135" s="5">
        <v>859705638728581</v>
      </c>
      <c r="V135" s="5">
        <v>980675776236743</v>
      </c>
      <c r="W135" s="5">
        <v>958091084083485</v>
      </c>
      <c r="X135" s="5">
        <v>900932331313066</v>
      </c>
      <c r="Y135" s="5">
        <v>765493706573362</v>
      </c>
      <c r="Z135" s="5">
        <v>791985065687658</v>
      </c>
      <c r="AA135" s="5">
        <v>79303350313728</v>
      </c>
      <c r="AB135" s="5">
        <v>759263605002704</v>
      </c>
      <c r="AC135" s="5">
        <v>675514664013214</v>
      </c>
      <c r="AD135" s="5">
        <v>658410135732412</v>
      </c>
      <c r="AE135" s="5">
        <v>598233866898745</v>
      </c>
      <c r="AF135" s="5">
        <v>609231450811046</v>
      </c>
      <c r="AG135" s="5">
        <v>525009660825629</v>
      </c>
      <c r="AH135" s="5">
        <v>477868593942432</v>
      </c>
      <c r="AI135" s="5">
        <v>495367273599683</v>
      </c>
      <c r="AJ135" s="5">
        <v>488624737201276</v>
      </c>
      <c r="AK135" s="5">
        <v>459516244177211</v>
      </c>
      <c r="AL135" s="5">
        <v>380579445827499</v>
      </c>
      <c r="AM135" s="5">
        <v>341280630784259</v>
      </c>
      <c r="AN135" s="5">
        <v>442305571311513</v>
      </c>
      <c r="AO135" s="5">
        <v>481750593232657</v>
      </c>
      <c r="AP135" s="6">
        <v>178406804314898</v>
      </c>
      <c r="AQ135" s="6">
        <v>188829477658229</v>
      </c>
      <c r="AR135" s="6">
        <v>126172871208883</v>
      </c>
      <c r="AS135" s="6">
        <v>12480444307196</v>
      </c>
      <c r="AT135" s="6">
        <v>142275503487261</v>
      </c>
      <c r="AU135" s="6">
        <v>128524549658454</v>
      </c>
      <c r="AV135" s="6">
        <v>119894619717538</v>
      </c>
      <c r="AW135" s="6">
        <v>990794391288315</v>
      </c>
      <c r="AX135" s="6">
        <v>983703944275605</v>
      </c>
      <c r="AY135" s="6">
        <v>95508165106827</v>
      </c>
      <c r="AZ135" s="6">
        <v>110113267548042</v>
      </c>
      <c r="BA135" s="6">
        <v>109384437924805</v>
      </c>
      <c r="BB135" s="6">
        <v>92960787805754</v>
      </c>
      <c r="BC135" s="6">
        <v>101685807120634</v>
      </c>
      <c r="BD135" s="6">
        <v>103643302573072</v>
      </c>
      <c r="BE135" s="6">
        <v>10877874364389</v>
      </c>
      <c r="BF135" s="6">
        <v>109899838293602</v>
      </c>
      <c r="BG135" s="6">
        <v>716029956338981</v>
      </c>
      <c r="BH135" s="6">
        <v>717076167513701</v>
      </c>
      <c r="BI135" s="6">
        <v>664768383453046</v>
      </c>
      <c r="BJ135" s="6">
        <v>533799766913706</v>
      </c>
      <c r="BK135" s="6">
        <v>52465299517561</v>
      </c>
      <c r="BL135" s="6">
        <v>400001274864828</v>
      </c>
      <c r="BM135" s="6">
        <v>40659357070521</v>
      </c>
    </row>
    <row r="136" spans="1:65" x14ac:dyDescent="0.45">
      <c r="A136" s="1" t="s">
        <v>130</v>
      </c>
      <c r="B136" s="2">
        <v>114526</v>
      </c>
      <c r="C136" s="3" t="s">
        <v>820</v>
      </c>
      <c r="D136" s="3" t="s">
        <v>821</v>
      </c>
      <c r="E136" s="3" t="s">
        <v>822</v>
      </c>
      <c r="F136" s="5">
        <v>119650023445502</v>
      </c>
      <c r="G136" s="5">
        <v>129069452388051</v>
      </c>
      <c r="H136" s="5">
        <v>120816214525797</v>
      </c>
      <c r="I136" s="5">
        <v>102769892474662</v>
      </c>
      <c r="J136" s="5">
        <v>110840831850694</v>
      </c>
      <c r="K136" s="5">
        <v>102832244138588</v>
      </c>
      <c r="L136" s="5">
        <v>875563684761273</v>
      </c>
      <c r="M136" s="5">
        <v>101925443271718</v>
      </c>
      <c r="N136" s="5">
        <v>109907692460983</v>
      </c>
      <c r="O136" s="5">
        <v>114736446169177</v>
      </c>
      <c r="P136" s="5">
        <v>983543833785239</v>
      </c>
      <c r="Q136" s="5">
        <v>103569439749823</v>
      </c>
      <c r="R136" s="5">
        <v>926842721559349</v>
      </c>
      <c r="S136" s="5">
        <v>950534041655241</v>
      </c>
      <c r="T136" s="5">
        <v>917874025931589</v>
      </c>
      <c r="U136" s="5">
        <v>896382759511893</v>
      </c>
      <c r="V136" s="5">
        <v>993024643356096</v>
      </c>
      <c r="W136" s="5">
        <v>95086303902014</v>
      </c>
      <c r="X136" s="5">
        <v>927951653501445</v>
      </c>
      <c r="Y136" s="5">
        <v>924229984700946</v>
      </c>
      <c r="Z136" s="5">
        <v>966293348854494</v>
      </c>
      <c r="AA136" s="5">
        <v>999140729308394</v>
      </c>
      <c r="AB136" s="5">
        <v>904420740533486</v>
      </c>
      <c r="AC136" s="5">
        <v>748050635604634</v>
      </c>
      <c r="AD136" s="5">
        <v>689233091627843</v>
      </c>
      <c r="AE136" s="5">
        <v>685969386441432</v>
      </c>
      <c r="AF136" s="5">
        <v>607487549692896</v>
      </c>
      <c r="AG136" s="5">
        <v>591463873680548</v>
      </c>
      <c r="AH136" s="5">
        <v>550647067246107</v>
      </c>
      <c r="AI136" s="5">
        <v>466268369522799</v>
      </c>
      <c r="AJ136" s="5">
        <v>436886711094622</v>
      </c>
      <c r="AK136" s="5">
        <v>428090534254741</v>
      </c>
      <c r="AL136" s="5">
        <v>415858067599207</v>
      </c>
      <c r="AM136" s="5">
        <v>394300625462744</v>
      </c>
      <c r="AN136" s="5">
        <v>446241315933927</v>
      </c>
      <c r="AO136" s="5">
        <v>450298730255933</v>
      </c>
      <c r="AP136" s="6">
        <v>13276397580932</v>
      </c>
      <c r="AQ136" s="6">
        <v>112622141579167</v>
      </c>
      <c r="AR136" s="6">
        <v>125437955480641</v>
      </c>
      <c r="AS136" s="6">
        <v>134439852990352</v>
      </c>
      <c r="AT136" s="6">
        <v>145392907686788</v>
      </c>
      <c r="AU136" s="6">
        <v>153032934775903</v>
      </c>
      <c r="AV136" s="6">
        <v>157694773611734</v>
      </c>
      <c r="AW136" s="6">
        <v>144861522864453</v>
      </c>
      <c r="AX136" s="6">
        <v>156309075337816</v>
      </c>
      <c r="AY136" s="6">
        <v>148704834324361</v>
      </c>
      <c r="AZ136" s="6">
        <v>148572676512118</v>
      </c>
      <c r="BA136" s="6">
        <v>147715691850173</v>
      </c>
      <c r="BB136" s="6">
        <v>13285025935133</v>
      </c>
      <c r="BC136" s="6">
        <v>987139234453018</v>
      </c>
      <c r="BD136" s="6">
        <v>97901562660864</v>
      </c>
      <c r="BE136" s="6">
        <v>114753967700275</v>
      </c>
      <c r="BF136" s="6">
        <v>102872438274048</v>
      </c>
      <c r="BG136" s="6">
        <v>111185619815452</v>
      </c>
      <c r="BH136" s="6">
        <v>11120275058925</v>
      </c>
      <c r="BI136" s="6">
        <v>102137606005196</v>
      </c>
      <c r="BJ136" s="6">
        <v>104905074031643</v>
      </c>
      <c r="BK136" s="6">
        <v>101000459787605</v>
      </c>
      <c r="BL136" s="6">
        <v>100209325678862</v>
      </c>
      <c r="BM136" s="6">
        <v>990404379520105</v>
      </c>
    </row>
    <row r="137" spans="1:65" x14ac:dyDescent="0.45">
      <c r="A137" s="1" t="s">
        <v>131</v>
      </c>
      <c r="B137" s="2">
        <v>4625099</v>
      </c>
      <c r="C137" s="3" t="s">
        <v>823</v>
      </c>
      <c r="D137" s="3" t="s">
        <v>824</v>
      </c>
      <c r="E137" s="3" t="s">
        <v>586</v>
      </c>
      <c r="F137" s="5">
        <v>269506677369328</v>
      </c>
      <c r="G137" s="5">
        <v>318345505261213</v>
      </c>
      <c r="H137" s="5">
        <v>284637093430234</v>
      </c>
      <c r="I137" s="5">
        <v>255411384229684</v>
      </c>
      <c r="J137" s="5">
        <v>281150843887816</v>
      </c>
      <c r="K137" s="5">
        <v>326695388601024</v>
      </c>
      <c r="L137" s="5">
        <v>326899953959536</v>
      </c>
      <c r="M137" s="5">
        <v>348254971861299</v>
      </c>
      <c r="N137" s="5">
        <v>339196891081404</v>
      </c>
      <c r="O137" s="5">
        <v>343555867013063</v>
      </c>
      <c r="P137" s="5">
        <v>346650061395492</v>
      </c>
      <c r="Q137" s="5">
        <v>387442188502425</v>
      </c>
      <c r="R137" s="5">
        <v>377284909986334</v>
      </c>
      <c r="S137" s="5">
        <v>383324599464718</v>
      </c>
      <c r="T137" s="5">
        <v>727773524878542</v>
      </c>
      <c r="U137" s="5">
        <v>686811960572145</v>
      </c>
      <c r="V137" s="5">
        <v>635105791976098</v>
      </c>
      <c r="W137" s="5">
        <v>626510461160549</v>
      </c>
      <c r="X137" s="5">
        <v>641970762376268</v>
      </c>
      <c r="Y137" s="5">
        <v>618077108937042</v>
      </c>
      <c r="Z137" s="5">
        <v>623417511105173</v>
      </c>
      <c r="AA137" s="5">
        <v>57279219125082</v>
      </c>
      <c r="AB137" s="5">
        <v>502401587240662</v>
      </c>
      <c r="AC137" s="5">
        <v>450233400284116</v>
      </c>
      <c r="AD137" s="5">
        <v>449242106410093</v>
      </c>
      <c r="AE137" s="5">
        <v>431284452738138</v>
      </c>
      <c r="AF137" s="5">
        <v>386120793122052</v>
      </c>
      <c r="AG137" s="5">
        <v>43044367156232</v>
      </c>
      <c r="AH137" s="5">
        <v>409493116540228</v>
      </c>
      <c r="AI137" s="5">
        <v>37466273405033</v>
      </c>
      <c r="AJ137" s="5">
        <v>361664257232971</v>
      </c>
      <c r="AK137" s="5">
        <v>330348269758889</v>
      </c>
      <c r="AL137" s="5">
        <v>288564289510316</v>
      </c>
      <c r="AM137" s="5">
        <v>266140275160305</v>
      </c>
      <c r="AN137" s="5">
        <v>268471807043454</v>
      </c>
      <c r="AO137" s="5">
        <v>321014692159091</v>
      </c>
      <c r="AP137" s="6">
        <v>222705330718081</v>
      </c>
      <c r="AQ137" s="6">
        <v>229121199862818</v>
      </c>
      <c r="AR137" s="6">
        <v>237872034699559</v>
      </c>
      <c r="AS137" s="6">
        <v>248029797629818</v>
      </c>
      <c r="AT137" s="6">
        <v>234186745836434</v>
      </c>
      <c r="AU137" s="6">
        <v>214058587578635</v>
      </c>
      <c r="AV137" s="6">
        <v>215601683901464</v>
      </c>
      <c r="AW137" s="6">
        <v>219960545747332</v>
      </c>
      <c r="AX137" s="6">
        <v>218741810242583</v>
      </c>
      <c r="AY137" s="6">
        <v>22035354143418</v>
      </c>
      <c r="AZ137" s="6">
        <v>206432818834818</v>
      </c>
      <c r="BA137" s="6">
        <v>195103228865989</v>
      </c>
      <c r="BB137" s="6">
        <v>191967638975377</v>
      </c>
      <c r="BC137" s="6">
        <v>209589400433725</v>
      </c>
      <c r="BD137" s="6">
        <v>188177867437316</v>
      </c>
      <c r="BE137" s="6">
        <v>199525906601952</v>
      </c>
      <c r="BF137" s="6">
        <v>220662588576745</v>
      </c>
      <c r="BG137" s="6">
        <v>213789169155966</v>
      </c>
      <c r="BH137" s="6">
        <v>196963366221256</v>
      </c>
      <c r="BI137" s="6">
        <v>18985877467517</v>
      </c>
      <c r="BJ137" s="6">
        <v>180207372629586</v>
      </c>
      <c r="BK137" s="6">
        <v>176469245868233</v>
      </c>
      <c r="BL137" s="6">
        <v>16935716882448</v>
      </c>
      <c r="BM137" s="6">
        <v>184891338224748</v>
      </c>
    </row>
    <row r="138" spans="1:65" x14ac:dyDescent="0.45">
      <c r="A138" s="1" t="s">
        <v>132</v>
      </c>
      <c r="B138" s="2">
        <v>4004278</v>
      </c>
      <c r="C138" s="3" t="s">
        <v>825</v>
      </c>
      <c r="D138" s="3" t="s">
        <v>826</v>
      </c>
      <c r="E138" s="3" t="s">
        <v>827</v>
      </c>
      <c r="F138" s="5">
        <v>196785701434554</v>
      </c>
      <c r="G138" s="5">
        <v>219513788937574</v>
      </c>
      <c r="H138" s="5">
        <v>219610559026856</v>
      </c>
      <c r="I138" s="5">
        <v>182641643647319</v>
      </c>
      <c r="J138" s="5">
        <v>196899175004146</v>
      </c>
      <c r="K138" s="5">
        <v>198988306105478</v>
      </c>
      <c r="L138" s="5">
        <v>177654497344065</v>
      </c>
      <c r="M138" s="5">
        <v>249110330283307</v>
      </c>
      <c r="N138" s="5">
        <v>261751468671535</v>
      </c>
      <c r="O138" s="5">
        <v>226902056905582</v>
      </c>
      <c r="P138" s="5">
        <v>226442442337186</v>
      </c>
      <c r="Q138" s="5">
        <v>226004860104428</v>
      </c>
      <c r="R138" s="5">
        <v>219166476798637</v>
      </c>
      <c r="S138" s="5">
        <v>204838978625123</v>
      </c>
      <c r="T138" s="5">
        <v>215828119542337</v>
      </c>
      <c r="U138" s="5">
        <v>23444274206647</v>
      </c>
      <c r="V138" s="5">
        <v>218480265896193</v>
      </c>
      <c r="W138" s="5">
        <v>214494219148986</v>
      </c>
      <c r="X138" s="5">
        <v>233378257504915</v>
      </c>
      <c r="Y138" s="5">
        <v>250239067632571</v>
      </c>
      <c r="Z138" s="5">
        <v>249491678640283</v>
      </c>
      <c r="AA138" s="5">
        <v>261586960103256</v>
      </c>
      <c r="AB138" s="5">
        <v>251970746347229</v>
      </c>
      <c r="AC138" s="5">
        <v>198618670021943</v>
      </c>
      <c r="AD138" s="5">
        <v>208782412950419</v>
      </c>
      <c r="AE138" s="5">
        <v>213898496436628</v>
      </c>
      <c r="AF138" s="5">
        <v>166993182344872</v>
      </c>
      <c r="AG138" s="5">
        <v>165435583860428</v>
      </c>
      <c r="AH138" s="5">
        <v>163936971678587</v>
      </c>
      <c r="AI138" s="5">
        <v>134086546701126</v>
      </c>
      <c r="AJ138" s="5">
        <v>158324288527122</v>
      </c>
      <c r="AK138" s="5">
        <v>144039758298519</v>
      </c>
      <c r="AL138" s="5">
        <v>150451308765449</v>
      </c>
      <c r="AM138" s="5">
        <v>165510575334468</v>
      </c>
      <c r="AN138" s="5">
        <v>267407282196676</v>
      </c>
      <c r="AO138" s="5">
        <v>323959666802178</v>
      </c>
      <c r="AP138" s="6">
        <v>353878349209476</v>
      </c>
      <c r="AQ138" s="6">
        <v>367144775823491</v>
      </c>
      <c r="AR138" s="6">
        <v>369769643638921</v>
      </c>
      <c r="AS138" s="6">
        <v>374712707075387</v>
      </c>
      <c r="AT138" s="6">
        <v>364823685613443</v>
      </c>
      <c r="AU138" s="6">
        <v>311064498212518</v>
      </c>
      <c r="AV138" s="6">
        <v>306832235488913</v>
      </c>
      <c r="AW138" s="6">
        <v>294960442537095</v>
      </c>
      <c r="AX138" s="6">
        <v>291666994813199</v>
      </c>
      <c r="AY138" s="6">
        <v>275858883267363</v>
      </c>
      <c r="AZ138" s="6">
        <v>273451560803133</v>
      </c>
      <c r="BA138" s="6">
        <v>264909565597591</v>
      </c>
      <c r="BB138" s="6">
        <v>248155111210788</v>
      </c>
      <c r="BC138" s="6">
        <v>260293729090856</v>
      </c>
      <c r="BD138" s="6">
        <v>261297082689162</v>
      </c>
      <c r="BE138" s="6">
        <v>249800186622185</v>
      </c>
      <c r="BF138" s="6">
        <v>246440871084974</v>
      </c>
      <c r="BG138" s="6">
        <v>224398271255392</v>
      </c>
      <c r="BH138" s="6">
        <v>226113007164902</v>
      </c>
      <c r="BI138" s="6">
        <v>200752665468964</v>
      </c>
      <c r="BJ138" s="6">
        <v>214693138989296</v>
      </c>
      <c r="BK138" s="6">
        <v>20444464381204</v>
      </c>
      <c r="BL138" s="6">
        <v>210378173243484</v>
      </c>
      <c r="BM138" s="6">
        <v>225121246867903</v>
      </c>
    </row>
    <row r="139" spans="1:65" x14ac:dyDescent="0.45">
      <c r="A139" s="1" t="s">
        <v>133</v>
      </c>
      <c r="B139" s="2">
        <v>4010561</v>
      </c>
      <c r="C139" s="3" t="s">
        <v>828</v>
      </c>
      <c r="D139" s="3" t="s">
        <v>829</v>
      </c>
      <c r="E139" s="3" t="s">
        <v>581</v>
      </c>
      <c r="F139" s="5">
        <v>376236427059</v>
      </c>
      <c r="G139" s="5">
        <v>434343408228</v>
      </c>
      <c r="H139" s="5">
        <v>51221111214</v>
      </c>
      <c r="I139" s="5">
        <v>401527118552</v>
      </c>
      <c r="J139" s="5">
        <v>459136579704</v>
      </c>
      <c r="K139" s="5">
        <v>406943532823689</v>
      </c>
      <c r="L139" s="5">
        <v>348165996776885</v>
      </c>
      <c r="M139" s="5">
        <v>461073213410492</v>
      </c>
      <c r="N139" s="5">
        <v>364539905672283</v>
      </c>
      <c r="O139" s="5">
        <v>353571192825717</v>
      </c>
      <c r="P139" s="5">
        <v>352245680121387</v>
      </c>
      <c r="Q139" s="5">
        <v>305550078521576</v>
      </c>
      <c r="R139" s="5">
        <v>262130919151138</v>
      </c>
      <c r="S139" s="5">
        <v>252537609949139</v>
      </c>
      <c r="T139" s="5">
        <v>234599339449951</v>
      </c>
      <c r="U139" s="5">
        <v>207369175007094</v>
      </c>
      <c r="V139" s="5">
        <v>169444245161621</v>
      </c>
      <c r="W139" s="5">
        <v>14744665177153</v>
      </c>
      <c r="X139" s="5">
        <v>166641253097762</v>
      </c>
      <c r="Y139" s="5">
        <v>147510008198918</v>
      </c>
      <c r="Z139" s="5">
        <v>13155795633597</v>
      </c>
      <c r="AA139" s="5">
        <v>125302839344928</v>
      </c>
      <c r="AB139" s="5">
        <v>119828033718926</v>
      </c>
      <c r="AC139" s="5">
        <v>911610084110812</v>
      </c>
      <c r="AD139" s="5">
        <v>494386725887212</v>
      </c>
      <c r="AE139" s="5">
        <v>447749030127421</v>
      </c>
      <c r="AF139" s="5">
        <v>29310336225</v>
      </c>
      <c r="AG139" s="5">
        <v>308233004682082</v>
      </c>
      <c r="AH139" s="5">
        <v>348019042739141</v>
      </c>
      <c r="AI139" s="5">
        <v>339385962969351</v>
      </c>
      <c r="AJ139" s="5">
        <v>385679790165524</v>
      </c>
      <c r="AK139" s="5">
        <v>372164016723545</v>
      </c>
      <c r="AL139" s="5">
        <v>436282387559004</v>
      </c>
      <c r="AM139" s="5">
        <v>24163291490793</v>
      </c>
      <c r="AN139" s="5">
        <v>565460992398607</v>
      </c>
      <c r="AO139" s="5">
        <v>7525072104</v>
      </c>
      <c r="AP139" s="6">
        <v>198341838914442</v>
      </c>
      <c r="AQ139" s="6">
        <v>196451240783354</v>
      </c>
      <c r="AR139" s="6">
        <v>23435274904044</v>
      </c>
      <c r="AS139" s="6">
        <v>247736943895626</v>
      </c>
      <c r="AT139" s="6">
        <v>218430829729541</v>
      </c>
      <c r="AU139" s="6">
        <v>217200338702985</v>
      </c>
      <c r="AV139" s="6">
        <v>224213567797467</v>
      </c>
      <c r="AW139" s="6">
        <v>216520896104121</v>
      </c>
      <c r="AX139" s="6">
        <v>236893840882608</v>
      </c>
      <c r="AY139" s="6">
        <v>222936976608746</v>
      </c>
      <c r="AZ139" s="6">
        <v>201292538539025</v>
      </c>
      <c r="BA139" s="6">
        <v>20116217145529</v>
      </c>
      <c r="BB139" s="6">
        <v>18772376502826</v>
      </c>
      <c r="BC139" s="6">
        <v>182368907853047</v>
      </c>
      <c r="BD139" s="6">
        <v>177177047937448</v>
      </c>
      <c r="BE139" s="6">
        <v>166974096135471</v>
      </c>
      <c r="BF139" s="6">
        <v>164997909311625</v>
      </c>
      <c r="BG139" s="6">
        <v>185461997742907</v>
      </c>
      <c r="BH139" s="6">
        <v>17322782634702</v>
      </c>
      <c r="BI139" s="6">
        <v>168434135283424</v>
      </c>
      <c r="BJ139" s="6">
        <v>188482989555119</v>
      </c>
      <c r="BK139" s="6">
        <v>183158551033073</v>
      </c>
      <c r="BL139" s="6">
        <v>199308452634346</v>
      </c>
      <c r="BM139" s="6">
        <v>21919217259426</v>
      </c>
    </row>
    <row r="140" spans="1:65" x14ac:dyDescent="0.45">
      <c r="A140" s="1" t="s">
        <v>134</v>
      </c>
      <c r="B140" s="2">
        <v>4270258</v>
      </c>
      <c r="C140" s="3" t="s">
        <v>830</v>
      </c>
      <c r="D140" s="3" t="s">
        <v>831</v>
      </c>
      <c r="E140" s="3" t="s">
        <v>495</v>
      </c>
      <c r="F140" s="5">
        <v>409273964291775</v>
      </c>
      <c r="G140" s="5">
        <v>435531977033175</v>
      </c>
      <c r="H140" s="5">
        <v>471794268341138</v>
      </c>
      <c r="I140" s="5">
        <v>32244583256573</v>
      </c>
      <c r="J140" s="5">
        <v>320450013555448</v>
      </c>
      <c r="K140" s="5">
        <v>31591539175468</v>
      </c>
      <c r="L140" s="5">
        <v>279837097894253</v>
      </c>
      <c r="M140" s="5">
        <v>272505404895624</v>
      </c>
      <c r="N140" s="5">
        <v>380435774968073</v>
      </c>
      <c r="O140" s="5">
        <v>447028322746309</v>
      </c>
      <c r="P140" s="5">
        <v>357771167646411</v>
      </c>
      <c r="Q140" s="5">
        <v>372502918968745</v>
      </c>
      <c r="R140" s="5">
        <v>457607822172346</v>
      </c>
      <c r="S140" s="5">
        <v>483766800982708</v>
      </c>
      <c r="T140" s="5">
        <v>522363248437443</v>
      </c>
      <c r="U140" s="5">
        <v>45649112131942</v>
      </c>
      <c r="V140" s="5">
        <v>433942644434382</v>
      </c>
      <c r="W140" s="5">
        <v>420446468796519</v>
      </c>
      <c r="X140" s="5">
        <v>348268601140614</v>
      </c>
      <c r="Y140" s="5">
        <v>293100506817391</v>
      </c>
      <c r="Z140" s="5">
        <v>310391937580339</v>
      </c>
      <c r="AA140" s="5">
        <v>294495354802616</v>
      </c>
      <c r="AB140" s="5">
        <v>316197670968467</v>
      </c>
      <c r="AC140" s="5">
        <v>296534611258723</v>
      </c>
      <c r="AD140" s="5">
        <v>290239684990983</v>
      </c>
      <c r="AE140" s="5">
        <v>256851037230944</v>
      </c>
      <c r="AF140" s="5">
        <v>263338030227996</v>
      </c>
      <c r="AG140" s="5">
        <v>336107869888551</v>
      </c>
      <c r="AH140" s="5">
        <v>340703875921113</v>
      </c>
      <c r="AI140" s="5">
        <v>352486387753301</v>
      </c>
      <c r="AJ140" s="5">
        <v>332661747927103</v>
      </c>
      <c r="AK140" s="5">
        <v>314240242211639</v>
      </c>
      <c r="AL140" s="5">
        <v>28295054238829</v>
      </c>
      <c r="AM140" s="5">
        <v>224438347008694</v>
      </c>
      <c r="AN140" s="5">
        <v>229870887164856</v>
      </c>
      <c r="AO140" s="5">
        <v>19876027820022</v>
      </c>
      <c r="AP140" s="6">
        <v>607450339480297</v>
      </c>
      <c r="AQ140" s="6">
        <v>620864572162203</v>
      </c>
      <c r="AR140" s="6">
        <v>594953070756884</v>
      </c>
      <c r="AS140" s="6">
        <v>597091518122495</v>
      </c>
      <c r="AT140" s="6">
        <v>567040122052794</v>
      </c>
      <c r="AU140" s="6">
        <v>53557470533013</v>
      </c>
      <c r="AV140" s="6">
        <v>545197067677238</v>
      </c>
      <c r="AW140" s="6">
        <v>541146427600566</v>
      </c>
      <c r="AX140" s="6">
        <v>555573617022538</v>
      </c>
      <c r="AY140" s="6">
        <v>546021486957533</v>
      </c>
      <c r="AZ140" s="6">
        <v>520021182573219</v>
      </c>
      <c r="BA140" s="6">
        <v>48371336023801</v>
      </c>
      <c r="BB140" s="6">
        <v>409725820382508</v>
      </c>
      <c r="BC140" s="6">
        <v>431948994283584</v>
      </c>
      <c r="BD140" s="6">
        <v>412526058789</v>
      </c>
      <c r="BE140" s="6">
        <v>3954654468492</v>
      </c>
      <c r="BF140" s="6">
        <v>3985928144835</v>
      </c>
      <c r="BG140" s="6">
        <v>4000293838185</v>
      </c>
      <c r="BH140" s="6">
        <v>3814947763074</v>
      </c>
      <c r="BI140" s="6">
        <v>359267449538302</v>
      </c>
      <c r="BJ140" s="6">
        <v>35996619776</v>
      </c>
      <c r="BK140" s="6">
        <v>357300775407224</v>
      </c>
      <c r="BL140" s="6">
        <v>395236559380244</v>
      </c>
      <c r="BM140" s="6">
        <v>396089751331594</v>
      </c>
    </row>
    <row r="141" spans="1:65" x14ac:dyDescent="0.45">
      <c r="A141" s="1" t="s">
        <v>135</v>
      </c>
      <c r="B141" s="2">
        <v>4337452</v>
      </c>
      <c r="C141" s="3" t="s">
        <v>832</v>
      </c>
      <c r="D141" s="3" t="s">
        <v>833</v>
      </c>
      <c r="E141" s="3" t="s">
        <v>581</v>
      </c>
      <c r="F141" s="5">
        <v>225251859732795</v>
      </c>
      <c r="G141" s="5">
        <v>252619546937035</v>
      </c>
      <c r="H141" s="5">
        <v>282474917172267</v>
      </c>
      <c r="I141" s="5">
        <v>218400646983015</v>
      </c>
      <c r="J141" s="5">
        <v>235269998040654</v>
      </c>
      <c r="K141" s="5">
        <v>21791967664229</v>
      </c>
      <c r="L141" s="5">
        <v>20349674960818</v>
      </c>
      <c r="M141" s="5">
        <v>251503227836023</v>
      </c>
      <c r="N141" s="5">
        <v>212669468750621</v>
      </c>
      <c r="O141" s="5">
        <v>218929035642581</v>
      </c>
      <c r="P141" s="5">
        <v>218181469284304</v>
      </c>
      <c r="Q141" s="5">
        <v>204067127277228</v>
      </c>
      <c r="R141" s="5">
        <v>171812363239152</v>
      </c>
      <c r="S141" s="5">
        <v>171555731302239</v>
      </c>
      <c r="T141" s="5">
        <v>16783295129583</v>
      </c>
      <c r="U141" s="5">
        <v>147886929930948</v>
      </c>
      <c r="V141" s="5">
        <v>118324005061732</v>
      </c>
      <c r="W141" s="5">
        <v>117685556558071</v>
      </c>
      <c r="X141" s="5">
        <v>14332607086274</v>
      </c>
      <c r="Y141" s="5">
        <v>118910628193511</v>
      </c>
      <c r="Z141" s="5">
        <v>122962883453593</v>
      </c>
      <c r="AA141" s="5">
        <v>113220160254842</v>
      </c>
      <c r="AB141" s="5">
        <v>965949925156824</v>
      </c>
      <c r="AC141" s="5">
        <v>737759131345427</v>
      </c>
      <c r="AD141" s="5">
        <v>6250567822389</v>
      </c>
      <c r="AE141" s="5">
        <v>52817416215498</v>
      </c>
      <c r="AF141" s="5">
        <v>351573294373629</v>
      </c>
      <c r="AG141" s="5">
        <v>40482181594249</v>
      </c>
      <c r="AH141" s="5">
        <v>514349334088352</v>
      </c>
      <c r="AI141" s="5">
        <v>531739304102369</v>
      </c>
      <c r="AJ141" s="5">
        <v>586463431131544</v>
      </c>
      <c r="AK141" s="5">
        <v>604445883614853</v>
      </c>
      <c r="AL141" s="5">
        <v>62810569792375</v>
      </c>
      <c r="AM141" s="5">
        <v>3773818715212</v>
      </c>
      <c r="AN141" s="5">
        <v>89235411534276</v>
      </c>
      <c r="AO141" s="5">
        <v>107672451093504</v>
      </c>
      <c r="AP141" s="6">
        <v>1070722284081</v>
      </c>
      <c r="AQ141" s="6">
        <v>109247855468594</v>
      </c>
      <c r="AR141" s="6">
        <v>996622695279832</v>
      </c>
      <c r="AS141" s="6">
        <v>924911450292118</v>
      </c>
      <c r="AT141" s="6">
        <v>850401135033715</v>
      </c>
      <c r="AU141" s="6">
        <v>905930736740172</v>
      </c>
      <c r="AV141" s="6">
        <v>100520622259818</v>
      </c>
      <c r="AW141" s="6">
        <v>103063715355101</v>
      </c>
      <c r="AX141" s="6">
        <v>992629190976885</v>
      </c>
      <c r="AY141" s="6">
        <v>94439650691232</v>
      </c>
      <c r="AZ141" s="6">
        <v>904392158830145</v>
      </c>
      <c r="BA141" s="6">
        <v>103016887011</v>
      </c>
      <c r="BB141" s="6">
        <v>900816384094</v>
      </c>
      <c r="BC141" s="6">
        <v>1018659810816</v>
      </c>
      <c r="BD141" s="6">
        <v>987662538435</v>
      </c>
      <c r="BE141" s="6">
        <v>106245533928151</v>
      </c>
      <c r="BF141" s="6">
        <v>107700645210845</v>
      </c>
      <c r="BG141" s="6">
        <v>939804257652374</v>
      </c>
      <c r="BH141" s="6">
        <v>102256736575317</v>
      </c>
      <c r="BI141" s="6">
        <v>911986599600551</v>
      </c>
      <c r="BJ141" s="6">
        <v>846477411779848</v>
      </c>
      <c r="BK141" s="6">
        <v>818344725205261</v>
      </c>
      <c r="BL141" s="6">
        <v>783593581943718</v>
      </c>
      <c r="BM141" s="6">
        <v>762612629384173</v>
      </c>
    </row>
    <row r="142" spans="1:65" x14ac:dyDescent="0.45">
      <c r="A142" s="1" t="s">
        <v>136</v>
      </c>
      <c r="B142" s="2">
        <v>4094311</v>
      </c>
      <c r="C142" s="3" t="s">
        <v>834</v>
      </c>
      <c r="D142" s="3" t="s">
        <v>835</v>
      </c>
      <c r="E142" s="3" t="s">
        <v>836</v>
      </c>
      <c r="F142" s="5">
        <v>269760986117837</v>
      </c>
      <c r="G142" s="5">
        <v>313550119685911</v>
      </c>
      <c r="H142" s="5">
        <v>291382189491137</v>
      </c>
      <c r="I142" s="5">
        <v>290695109429973</v>
      </c>
      <c r="J142" s="5">
        <v>352799526627641</v>
      </c>
      <c r="K142" s="5">
        <v>369738330127096</v>
      </c>
      <c r="L142" s="5">
        <v>353549916047428</v>
      </c>
      <c r="M142" s="5">
        <v>370392445322937</v>
      </c>
      <c r="N142" s="5">
        <v>394701276970338</v>
      </c>
      <c r="O142" s="5">
        <v>363120144686211</v>
      </c>
      <c r="P142" s="5">
        <v>341778988110048</v>
      </c>
      <c r="Q142" s="5">
        <v>378097247181681</v>
      </c>
      <c r="R142" s="5">
        <v>441351334204537</v>
      </c>
      <c r="S142" s="5">
        <v>422329449817672</v>
      </c>
      <c r="T142" s="5">
        <v>387377334346666</v>
      </c>
      <c r="U142" s="5">
        <v>361398914569793</v>
      </c>
      <c r="V142" s="5">
        <v>392422097773643</v>
      </c>
      <c r="W142" s="5">
        <v>36594257898721</v>
      </c>
      <c r="X142" s="5">
        <v>357329048022591</v>
      </c>
      <c r="Y142" s="5">
        <v>350168318069062</v>
      </c>
      <c r="Z142" s="5">
        <v>360949723207172</v>
      </c>
      <c r="AA142" s="5">
        <v>337333129970122</v>
      </c>
      <c r="AB142" s="5">
        <v>312114788489595</v>
      </c>
      <c r="AC142" s="5">
        <v>332236711928898</v>
      </c>
      <c r="AD142" s="5">
        <v>319526780261698</v>
      </c>
      <c r="AE142" s="5">
        <v>315873146110195</v>
      </c>
      <c r="AF142" s="5">
        <v>346608433881984</v>
      </c>
      <c r="AG142" s="5">
        <v>336191863542556</v>
      </c>
      <c r="AH142" s="5">
        <v>350234490933982</v>
      </c>
      <c r="AI142" s="5">
        <v>364229518027637</v>
      </c>
      <c r="AJ142" s="5">
        <v>338822877629769</v>
      </c>
      <c r="AK142" s="5">
        <v>346478583810166</v>
      </c>
      <c r="AL142" s="5">
        <v>366507720597404</v>
      </c>
      <c r="AM142" s="5">
        <v>327750026710652</v>
      </c>
      <c r="AN142" s="5">
        <v>228153099904454</v>
      </c>
      <c r="AO142" s="5">
        <v>231548117278878</v>
      </c>
      <c r="AP142" s="6">
        <v>149200469928358</v>
      </c>
      <c r="AQ142" s="6">
        <v>146979436951577</v>
      </c>
      <c r="AR142" s="6">
        <v>135387863553455</v>
      </c>
      <c r="AS142" s="6">
        <v>132794097994661</v>
      </c>
      <c r="AT142" s="6">
        <v>123954291740281</v>
      </c>
      <c r="AU142" s="6">
        <v>126559543149146</v>
      </c>
      <c r="AV142" s="6">
        <v>127970940254071</v>
      </c>
      <c r="AW142" s="6">
        <v>116568321415627</v>
      </c>
      <c r="AX142" s="6">
        <v>127164274681059</v>
      </c>
      <c r="AY142" s="6">
        <v>12136041918</v>
      </c>
      <c r="AZ142" s="6">
        <v>115219666079437</v>
      </c>
      <c r="BA142" s="6">
        <v>112201441152277</v>
      </c>
      <c r="BB142" s="6">
        <v>906790363261002</v>
      </c>
      <c r="BC142" s="6">
        <v>109712699905836</v>
      </c>
      <c r="BD142" s="6">
        <v>107099625639604</v>
      </c>
      <c r="BE142" s="6">
        <v>112546866888288</v>
      </c>
      <c r="BF142" s="6">
        <v>109266715092351</v>
      </c>
      <c r="BG142" s="6">
        <v>104731335091106</v>
      </c>
      <c r="BH142" s="6">
        <v>970444104659964</v>
      </c>
      <c r="BI142" s="6">
        <v>102432297180234</v>
      </c>
      <c r="BJ142" s="6">
        <v>118752540740282</v>
      </c>
      <c r="BK142" s="6">
        <v>1234644222649</v>
      </c>
      <c r="BL142" s="6">
        <v>126600086697084</v>
      </c>
      <c r="BM142" s="6">
        <v>133017889646287</v>
      </c>
    </row>
    <row r="143" spans="1:65" x14ac:dyDescent="0.45">
      <c r="A143" s="1" t="s">
        <v>137</v>
      </c>
      <c r="B143" s="2">
        <v>4022058</v>
      </c>
      <c r="C143" s="3" t="s">
        <v>837</v>
      </c>
      <c r="D143" s="3" t="s">
        <v>838</v>
      </c>
      <c r="E143" s="3" t="s">
        <v>787</v>
      </c>
      <c r="F143" s="5">
        <v>515152388332339</v>
      </c>
      <c r="G143" s="5">
        <v>559266520266972</v>
      </c>
      <c r="H143" s="5">
        <v>581821818665904</v>
      </c>
      <c r="I143" s="5">
        <v>551769264893152</v>
      </c>
      <c r="J143" s="5">
        <v>531749976958958</v>
      </c>
      <c r="K143" s="5">
        <v>552875689457779</v>
      </c>
      <c r="L143" s="5">
        <v>532961540704703</v>
      </c>
      <c r="M143" s="5">
        <v>466204010380785</v>
      </c>
      <c r="N143" s="5">
        <v>515663283891801</v>
      </c>
      <c r="O143" s="5">
        <v>458678588840096</v>
      </c>
      <c r="P143" s="5">
        <v>409244128569921</v>
      </c>
      <c r="Q143" s="5">
        <v>431277503204598</v>
      </c>
      <c r="R143" s="5">
        <v>480478931163348</v>
      </c>
      <c r="S143" s="5">
        <v>458075122631445</v>
      </c>
      <c r="T143" s="5">
        <v>446953541841281</v>
      </c>
      <c r="U143" s="5">
        <v>427037938990175</v>
      </c>
      <c r="V143" s="5">
        <v>440604834842787</v>
      </c>
      <c r="W143" s="5">
        <v>463235624982048</v>
      </c>
      <c r="X143" s="5">
        <v>431082875444597</v>
      </c>
      <c r="Y143" s="5">
        <v>393349884584532</v>
      </c>
      <c r="Z143" s="5">
        <v>427138550346621</v>
      </c>
      <c r="AA143" s="5">
        <v>413047237746845</v>
      </c>
      <c r="AB143" s="5">
        <v>382691986238122</v>
      </c>
      <c r="AC143" s="5">
        <v>392784756787053</v>
      </c>
      <c r="AD143" s="5">
        <v>421206164939857</v>
      </c>
      <c r="AE143" s="5">
        <v>455447485025864</v>
      </c>
      <c r="AF143" s="5">
        <v>446004538103306</v>
      </c>
      <c r="AG143" s="5">
        <v>444556011185856</v>
      </c>
      <c r="AH143" s="5">
        <v>420549730495488</v>
      </c>
      <c r="AI143" s="5">
        <v>405133998140794</v>
      </c>
      <c r="AJ143" s="5">
        <v>42613279916896</v>
      </c>
      <c r="AK143" s="5">
        <v>433624189286119</v>
      </c>
      <c r="AL143" s="5">
        <v>40303206412553</v>
      </c>
      <c r="AM143" s="5">
        <v>346215483478592</v>
      </c>
      <c r="AN143" s="5">
        <v>347956380574872</v>
      </c>
      <c r="AO143" s="5">
        <v>352305027294873</v>
      </c>
      <c r="AP143" s="6">
        <v>222317734806588</v>
      </c>
      <c r="AQ143" s="6">
        <v>217838588044125</v>
      </c>
      <c r="AR143" s="6">
        <v>219008863182353</v>
      </c>
      <c r="AS143" s="6">
        <v>223513762087509</v>
      </c>
      <c r="AT143" s="6">
        <v>216088678176623</v>
      </c>
      <c r="AU143" s="6">
        <v>209345856143362</v>
      </c>
      <c r="AV143" s="6">
        <v>205895854987911</v>
      </c>
      <c r="AW143" s="6">
        <v>206222326707955</v>
      </c>
      <c r="AX143" s="6">
        <v>205557335218667</v>
      </c>
      <c r="AY143" s="6">
        <v>203630683544165</v>
      </c>
      <c r="AZ143" s="6">
        <v>197383625243827</v>
      </c>
      <c r="BA143" s="6">
        <v>18701119285848</v>
      </c>
      <c r="BB143" s="6">
        <v>175259327505645</v>
      </c>
      <c r="BC143" s="6">
        <v>192393659365048</v>
      </c>
      <c r="BD143" s="6">
        <v>180661372783296</v>
      </c>
      <c r="BE143" s="6">
        <v>170735690492336</v>
      </c>
      <c r="BF143" s="6">
        <v>174041986377611</v>
      </c>
      <c r="BG143" s="6">
        <v>168589390829848</v>
      </c>
      <c r="BH143" s="6">
        <v>161195655657265</v>
      </c>
      <c r="BI143" s="6">
        <v>159440600951494</v>
      </c>
      <c r="BJ143" s="6">
        <v>158420790798816</v>
      </c>
      <c r="BK143" s="6">
        <v>152555500232597</v>
      </c>
      <c r="BL143" s="6">
        <v>148063056280448</v>
      </c>
      <c r="BM143" s="6">
        <v>152345399307029</v>
      </c>
    </row>
    <row r="144" spans="1:65" x14ac:dyDescent="0.45">
      <c r="A144" s="1" t="s">
        <v>138</v>
      </c>
      <c r="B144" s="2">
        <v>4911259</v>
      </c>
      <c r="C144" s="3" t="s">
        <v>839</v>
      </c>
      <c r="D144" s="3" t="s">
        <v>840</v>
      </c>
      <c r="E144" s="3" t="s">
        <v>787</v>
      </c>
      <c r="F144" s="5">
        <v>292727501165224</v>
      </c>
      <c r="G144" s="5">
        <v>32234588343838</v>
      </c>
      <c r="H144" s="5">
        <v>358950912536633</v>
      </c>
      <c r="I144" s="5">
        <v>310812817910427</v>
      </c>
      <c r="J144" s="5">
        <v>301680426625805</v>
      </c>
      <c r="K144" s="5">
        <v>36404787425146</v>
      </c>
      <c r="L144" s="5">
        <v>3347818588426</v>
      </c>
      <c r="M144" s="5">
        <v>335584608496774</v>
      </c>
      <c r="N144" s="5">
        <v>347711037760773</v>
      </c>
      <c r="O144" s="5">
        <v>324534875542529</v>
      </c>
      <c r="P144" s="5">
        <v>284619444862522</v>
      </c>
      <c r="Q144" s="5">
        <v>263543257705357</v>
      </c>
      <c r="R144" s="5">
        <v>277953987836109</v>
      </c>
      <c r="S144" s="5">
        <v>267099273103606</v>
      </c>
      <c r="T144" s="5">
        <v>209597277041841</v>
      </c>
      <c r="U144" s="5">
        <v>185748450234795</v>
      </c>
      <c r="V144" s="5">
        <v>172519745919316</v>
      </c>
      <c r="W144" s="5">
        <v>195126486156398</v>
      </c>
      <c r="X144" s="5">
        <v>194651746166576</v>
      </c>
      <c r="Y144" s="5">
        <v>1855601981766</v>
      </c>
      <c r="Z144" s="5">
        <v>223517484923157</v>
      </c>
      <c r="AA144" s="5">
        <v>22763189932326</v>
      </c>
      <c r="AB144" s="5">
        <v>190887359982696</v>
      </c>
      <c r="AC144" s="5">
        <v>196967566311572</v>
      </c>
      <c r="AD144" s="5">
        <v>207728058834504</v>
      </c>
      <c r="AE144" s="5">
        <v>214968232857044</v>
      </c>
      <c r="AF144" s="5">
        <v>183921990042512</v>
      </c>
      <c r="AG144" s="5">
        <v>184590134612385</v>
      </c>
      <c r="AH144" s="5">
        <v>191103545103238</v>
      </c>
      <c r="AI144" s="5">
        <v>187197128562095</v>
      </c>
      <c r="AJ144" s="5">
        <v>195373800879825</v>
      </c>
      <c r="AK144" s="5">
        <v>208845319935016</v>
      </c>
      <c r="AL144" s="5">
        <v>172766604251331</v>
      </c>
      <c r="AM144" s="5">
        <v>158326281643257</v>
      </c>
      <c r="AN144" s="5">
        <v>178678098032468</v>
      </c>
      <c r="AO144" s="5">
        <v>185867806590448</v>
      </c>
      <c r="AP144" s="6">
        <v>592537728190285</v>
      </c>
      <c r="AQ144" s="6">
        <v>583394642669879</v>
      </c>
      <c r="AR144" s="6">
        <v>616109763098848</v>
      </c>
      <c r="AS144" s="6">
        <v>640536550795984</v>
      </c>
      <c r="AT144" s="6">
        <v>614350643271605</v>
      </c>
      <c r="AU144" s="6">
        <v>56727904006344</v>
      </c>
      <c r="AV144" s="6">
        <v>564566278883984</v>
      </c>
      <c r="AW144" s="6">
        <v>559145379623204</v>
      </c>
      <c r="AX144" s="6">
        <v>591754830515562</v>
      </c>
      <c r="AY144" s="6">
        <v>5834989641393</v>
      </c>
      <c r="AZ144" s="6">
        <v>572378909867134</v>
      </c>
      <c r="BA144" s="6">
        <v>546291902520025</v>
      </c>
      <c r="BB144" s="6">
        <v>537327324652664</v>
      </c>
      <c r="BC144" s="6">
        <v>557648640836114</v>
      </c>
      <c r="BD144" s="6">
        <v>5200446289078</v>
      </c>
      <c r="BE144" s="6">
        <v>490621593499629</v>
      </c>
      <c r="BF144" s="6">
        <v>498564676355402</v>
      </c>
      <c r="BG144" s="6">
        <v>488912541217554</v>
      </c>
      <c r="BH144" s="6">
        <v>47513899621394</v>
      </c>
      <c r="BI144" s="6">
        <v>463927534630192</v>
      </c>
      <c r="BJ144" s="6">
        <v>465121446276953</v>
      </c>
      <c r="BK144" s="6">
        <v>441371570519747</v>
      </c>
      <c r="BL144" s="6">
        <v>431981398745278</v>
      </c>
      <c r="BM144" s="6">
        <v>44173042877</v>
      </c>
    </row>
    <row r="145" spans="1:65" x14ac:dyDescent="0.45">
      <c r="A145" s="1" t="s">
        <v>139</v>
      </c>
      <c r="B145" s="2">
        <v>4001616</v>
      </c>
      <c r="C145" s="3" t="s">
        <v>841</v>
      </c>
      <c r="D145" s="3" t="s">
        <v>842</v>
      </c>
      <c r="E145" s="3" t="s">
        <v>548</v>
      </c>
      <c r="F145" s="5">
        <v>478109347634104</v>
      </c>
      <c r="G145" s="5">
        <v>493785279098902</v>
      </c>
      <c r="H145" s="5">
        <v>589084482000688</v>
      </c>
      <c r="I145" s="5">
        <v>586734468130233</v>
      </c>
      <c r="J145" s="5">
        <v>676152278201583</v>
      </c>
      <c r="K145" s="5">
        <v>6527672379875</v>
      </c>
      <c r="L145" s="5">
        <v>620061576403911</v>
      </c>
      <c r="M145" s="5">
        <v>637565601820575</v>
      </c>
      <c r="N145" s="5">
        <v>628014446547526</v>
      </c>
      <c r="O145" s="5">
        <v>620084418234466</v>
      </c>
      <c r="P145" s="5">
        <v>573982116199914</v>
      </c>
      <c r="Q145" s="5">
        <v>583241350425892</v>
      </c>
      <c r="R145" s="5">
        <v>559466975054097</v>
      </c>
      <c r="S145" s="5">
        <v>511608126579251</v>
      </c>
      <c r="T145" s="5">
        <v>530887250837895</v>
      </c>
      <c r="U145" s="5">
        <v>509360402670085</v>
      </c>
      <c r="V145" s="5">
        <v>533165438758955</v>
      </c>
      <c r="W145" s="5">
        <v>509041142047332</v>
      </c>
      <c r="X145" s="5">
        <v>500439785820041</v>
      </c>
      <c r="Y145" s="5">
        <v>503858900572372</v>
      </c>
      <c r="Z145" s="5">
        <v>53535419486297</v>
      </c>
      <c r="AA145" s="5">
        <v>521628367029912</v>
      </c>
      <c r="AB145" s="5">
        <v>454921145843472</v>
      </c>
      <c r="AC145" s="5">
        <v>489873113489023</v>
      </c>
      <c r="AD145" s="5">
        <v>5015329468422</v>
      </c>
      <c r="AE145" s="5">
        <v>535769472293724</v>
      </c>
      <c r="AF145" s="5">
        <v>57857757484254</v>
      </c>
      <c r="AG145" s="5">
        <v>56411756545788</v>
      </c>
      <c r="AH145" s="5">
        <v>5506750472006</v>
      </c>
      <c r="AI145" s="5">
        <v>57484211060409</v>
      </c>
      <c r="AJ145" s="5">
        <v>60540670045548</v>
      </c>
      <c r="AK145" s="5">
        <v>64174582395245</v>
      </c>
      <c r="AL145" s="5">
        <v>591020516088444</v>
      </c>
      <c r="AM145" s="5">
        <v>550685892229746</v>
      </c>
      <c r="AN145" s="5">
        <v>595726671159491</v>
      </c>
      <c r="AO145" s="5">
        <v>636633921935165</v>
      </c>
      <c r="AP145" s="6">
        <v>423805299663005</v>
      </c>
      <c r="AQ145" s="6">
        <v>435754037891917</v>
      </c>
      <c r="AR145" s="6">
        <v>438023165906423</v>
      </c>
      <c r="AS145" s="6">
        <v>48753356868244</v>
      </c>
      <c r="AT145" s="6">
        <v>460424511258124</v>
      </c>
      <c r="AU145" s="6">
        <v>47840751505103</v>
      </c>
      <c r="AV145" s="6">
        <v>486787986039021</v>
      </c>
      <c r="AW145" s="6">
        <v>615049577572798</v>
      </c>
      <c r="AX145" s="6">
        <v>770878519319318</v>
      </c>
      <c r="AY145" s="6">
        <v>107099415400492</v>
      </c>
      <c r="AZ145" s="6">
        <v>10539042528035</v>
      </c>
      <c r="BA145" s="6">
        <v>106587792529728</v>
      </c>
      <c r="BB145" s="6">
        <v>107162824440556</v>
      </c>
      <c r="BC145" s="6">
        <v>117220073425004</v>
      </c>
      <c r="BD145" s="6">
        <v>10991955678853</v>
      </c>
      <c r="BE145" s="6">
        <v>127717039731218</v>
      </c>
      <c r="BF145" s="6">
        <v>139404775669983</v>
      </c>
      <c r="BG145" s="6">
        <v>136378626178235</v>
      </c>
      <c r="BH145" s="6">
        <v>131124520668173</v>
      </c>
      <c r="BI145" s="6">
        <v>127613437339033</v>
      </c>
      <c r="BJ145" s="6">
        <v>121822235535957</v>
      </c>
      <c r="BK145" s="6">
        <v>12050482948129</v>
      </c>
      <c r="BL145" s="6">
        <v>134095155622892</v>
      </c>
      <c r="BM145" s="6">
        <v>142174909770689</v>
      </c>
    </row>
    <row r="146" spans="1:65" x14ac:dyDescent="0.45">
      <c r="A146" s="1" t="s">
        <v>140</v>
      </c>
      <c r="B146" s="2">
        <v>4206221</v>
      </c>
      <c r="C146" s="3" t="s">
        <v>843</v>
      </c>
      <c r="D146" s="3" t="s">
        <v>844</v>
      </c>
      <c r="E146" s="3" t="s">
        <v>732</v>
      </c>
      <c r="F146" s="5">
        <v>11793917947555</v>
      </c>
      <c r="G146" s="5">
        <v>137160494789667</v>
      </c>
      <c r="H146" s="5">
        <v>122257501040124</v>
      </c>
      <c r="I146" s="5">
        <v>113519644505058</v>
      </c>
      <c r="J146" s="5">
        <v>132494910757684</v>
      </c>
      <c r="K146" s="5">
        <v>137951187145276</v>
      </c>
      <c r="L146" s="5">
        <v>134374779197413</v>
      </c>
      <c r="M146" s="5">
        <v>122016429162857</v>
      </c>
      <c r="N146" s="5">
        <v>115606694577894</v>
      </c>
      <c r="O146" s="5">
        <v>132034291872346</v>
      </c>
      <c r="P146" s="5">
        <v>140046520740249</v>
      </c>
      <c r="Q146" s="5">
        <v>14769811959971</v>
      </c>
      <c r="R146" s="5">
        <v>180556779757757</v>
      </c>
      <c r="S146" s="5">
        <v>169204701713032</v>
      </c>
      <c r="T146" s="5">
        <v>153865582240119</v>
      </c>
      <c r="U146" s="5">
        <v>151662850081016</v>
      </c>
      <c r="V146" s="5">
        <v>161387983504749</v>
      </c>
      <c r="W146" s="5">
        <v>163259758022628</v>
      </c>
      <c r="X146" s="5">
        <v>152765523164507</v>
      </c>
      <c r="Y146" s="5">
        <v>135995217563862</v>
      </c>
      <c r="Z146" s="5">
        <v>136323087232341</v>
      </c>
      <c r="AA146" s="5">
        <v>121593909367721</v>
      </c>
      <c r="AB146" s="5">
        <v>111129554943646</v>
      </c>
      <c r="AC146" s="5">
        <v>120339955565837</v>
      </c>
      <c r="AD146" s="5">
        <v>123510254030163</v>
      </c>
      <c r="AE146" s="5">
        <v>12941423893048</v>
      </c>
      <c r="AF146" s="5">
        <v>127906433289792</v>
      </c>
      <c r="AG146" s="5">
        <v>142503190653354</v>
      </c>
      <c r="AH146" s="5">
        <v>134604864051235</v>
      </c>
      <c r="AI146" s="5">
        <v>128587255929562</v>
      </c>
      <c r="AJ146" s="5">
        <v>128417884826172</v>
      </c>
      <c r="AK146" s="5">
        <v>135763712217442</v>
      </c>
      <c r="AL146" s="5">
        <v>12941767089628</v>
      </c>
      <c r="AM146" s="5">
        <v>115098389734328</v>
      </c>
      <c r="AN146" s="5">
        <v>119353927444941</v>
      </c>
      <c r="AO146" s="5">
        <v>10394381045433</v>
      </c>
      <c r="AP146" s="6">
        <v>348930236928</v>
      </c>
      <c r="AQ146" s="6">
        <v>347061702</v>
      </c>
      <c r="AR146" s="6">
        <v>323057139054</v>
      </c>
      <c r="AS146" s="6">
        <v>320278833</v>
      </c>
      <c r="AT146" s="6">
        <v>3082406208</v>
      </c>
      <c r="AU146" s="6">
        <v>310160403</v>
      </c>
      <c r="AV146" s="6">
        <v>309651929184</v>
      </c>
      <c r="AW146" s="6">
        <v>282736486149</v>
      </c>
      <c r="AX146" s="6">
        <v>31274219235</v>
      </c>
      <c r="AY146" s="6">
        <v>304503011087774</v>
      </c>
      <c r="AZ146" s="6">
        <v>296715012732</v>
      </c>
      <c r="BA146" s="6">
        <v>288411461570812</v>
      </c>
      <c r="BB146" s="6">
        <v>259821694221894</v>
      </c>
      <c r="BC146" s="6">
        <v>294421598332454</v>
      </c>
      <c r="BD146" s="6">
        <v>274348368576632</v>
      </c>
      <c r="BE146" s="6">
        <v>323429458045104</v>
      </c>
      <c r="BF146" s="6">
        <v>310329974428036</v>
      </c>
      <c r="BG146" s="6">
        <v>307919499531408</v>
      </c>
      <c r="BH146" s="6">
        <v>280132866942</v>
      </c>
      <c r="BI146" s="6">
        <v>287230298418</v>
      </c>
      <c r="BJ146" s="6">
        <v>272236627702337</v>
      </c>
      <c r="BK146" s="6">
        <v>284691751529203</v>
      </c>
      <c r="BL146" s="6">
        <v>2909427066</v>
      </c>
      <c r="BM146" s="6">
        <v>297420346098</v>
      </c>
    </row>
    <row r="147" spans="1:65" x14ac:dyDescent="0.45">
      <c r="A147" s="1" t="s">
        <v>141</v>
      </c>
      <c r="B147" s="2">
        <v>4068060</v>
      </c>
      <c r="C147" s="3" t="s">
        <v>845</v>
      </c>
      <c r="D147" s="3" t="s">
        <v>846</v>
      </c>
      <c r="E147" s="3" t="s">
        <v>847</v>
      </c>
      <c r="F147" s="5">
        <v>177832857553411</v>
      </c>
      <c r="G147" s="5">
        <v>193195689334643</v>
      </c>
      <c r="H147" s="5">
        <v>185501320177982</v>
      </c>
      <c r="I147" s="5">
        <v>166857670037695</v>
      </c>
      <c r="J147" s="5">
        <v>178105627811246</v>
      </c>
      <c r="K147" s="5">
        <v>188135544564081</v>
      </c>
      <c r="L147" s="5">
        <v>167308446532539</v>
      </c>
      <c r="M147" s="5">
        <v>179941197609177</v>
      </c>
      <c r="N147" s="5">
        <v>182349965153789</v>
      </c>
      <c r="O147" s="5">
        <v>203537510687629</v>
      </c>
      <c r="P147" s="5">
        <v>201220992349048</v>
      </c>
      <c r="Q147" s="5">
        <v>218418452388901</v>
      </c>
      <c r="R147" s="5">
        <v>229915960975346</v>
      </c>
      <c r="S147" s="5">
        <v>209307207216012</v>
      </c>
      <c r="T147" s="5">
        <v>210534912517668</v>
      </c>
      <c r="U147" s="5">
        <v>193145761603182</v>
      </c>
      <c r="V147" s="5">
        <v>212655911570199</v>
      </c>
      <c r="W147" s="5">
        <v>202815271966553</v>
      </c>
      <c r="X147" s="5">
        <v>182810721374429</v>
      </c>
      <c r="Y147" s="5">
        <v>17772895164738</v>
      </c>
      <c r="Z147" s="5">
        <v>17850097321657</v>
      </c>
      <c r="AA147" s="5">
        <v>167832252974257</v>
      </c>
      <c r="AB147" s="5">
        <v>146341794120843</v>
      </c>
      <c r="AC147" s="5">
        <v>138287955609601</v>
      </c>
      <c r="AD147" s="5">
        <v>148728114252281</v>
      </c>
      <c r="AE147" s="5">
        <v>147133072302508</v>
      </c>
      <c r="AF147" s="5">
        <v>13689849574928</v>
      </c>
      <c r="AG147" s="5">
        <v>132830247967044</v>
      </c>
      <c r="AH147" s="5">
        <v>132281456737102</v>
      </c>
      <c r="AI147" s="5">
        <v>125263730432336</v>
      </c>
      <c r="AJ147" s="5">
        <v>123511162199777</v>
      </c>
      <c r="AK147" s="5">
        <v>12591962451936</v>
      </c>
      <c r="AL147" s="5">
        <v>123226505551987</v>
      </c>
      <c r="AM147" s="5">
        <v>110059138208292</v>
      </c>
      <c r="AN147" s="5">
        <v>134833369619967</v>
      </c>
      <c r="AO147" s="5">
        <v>149177973975822</v>
      </c>
      <c r="AP147" s="6">
        <v>261773008616165</v>
      </c>
      <c r="AQ147" s="6">
        <v>262263816416494</v>
      </c>
      <c r="AR147" s="6">
        <v>257259197395049</v>
      </c>
      <c r="AS147" s="6">
        <v>299845891671402</v>
      </c>
      <c r="AT147" s="6">
        <v>307253096890531</v>
      </c>
      <c r="AU147" s="6">
        <v>310419823695648</v>
      </c>
      <c r="AV147" s="6">
        <v>302529820599526</v>
      </c>
      <c r="AW147" s="6">
        <v>28091771025535</v>
      </c>
      <c r="AX147" s="6">
        <v>301412304589594</v>
      </c>
      <c r="AY147" s="6">
        <v>302749860155747</v>
      </c>
      <c r="AZ147" s="6">
        <v>298446948674582</v>
      </c>
      <c r="BA147" s="6">
        <v>26875939824779</v>
      </c>
      <c r="BB147" s="6">
        <v>236049970462773</v>
      </c>
      <c r="BC147" s="6">
        <v>253835141173805</v>
      </c>
      <c r="BD147" s="6">
        <v>24694596814088</v>
      </c>
      <c r="BE147" s="6">
        <v>281233106631979</v>
      </c>
      <c r="BF147" s="6">
        <v>295049208196257</v>
      </c>
      <c r="BG147" s="6">
        <v>282843212699533</v>
      </c>
      <c r="BH147" s="6">
        <v>308912926548552</v>
      </c>
      <c r="BI147" s="6">
        <v>321576186822151</v>
      </c>
      <c r="BJ147" s="6">
        <v>311832935819033</v>
      </c>
      <c r="BK147" s="6">
        <v>331184531689641</v>
      </c>
      <c r="BL147" s="6">
        <v>355263647887348</v>
      </c>
      <c r="BM147" s="6">
        <v>340762734393409</v>
      </c>
    </row>
    <row r="148" spans="1:65" x14ac:dyDescent="0.45">
      <c r="A148" s="1" t="s">
        <v>142</v>
      </c>
      <c r="B148" s="2">
        <v>4209300</v>
      </c>
      <c r="C148" s="3" t="s">
        <v>848</v>
      </c>
      <c r="D148" s="3" t="s">
        <v>849</v>
      </c>
      <c r="E148" s="3" t="s">
        <v>850</v>
      </c>
      <c r="F148" s="5">
        <v>331821953438863</v>
      </c>
      <c r="G148" s="5">
        <v>347837304597198</v>
      </c>
      <c r="H148" s="5">
        <v>332654071360936</v>
      </c>
      <c r="I148" s="5">
        <v>321737693904493</v>
      </c>
      <c r="J148" s="5">
        <v>363664928835783</v>
      </c>
      <c r="K148" s="5">
        <v>374647030987271</v>
      </c>
      <c r="L148" s="5">
        <v>359464796803721</v>
      </c>
      <c r="M148" s="5">
        <v>46135560156579</v>
      </c>
      <c r="N148" s="5">
        <v>459445732186077</v>
      </c>
      <c r="O148" s="5">
        <v>421650714319546</v>
      </c>
      <c r="P148" s="5">
        <v>383933148716088</v>
      </c>
      <c r="Q148" s="5">
        <v>391161298061857</v>
      </c>
      <c r="R148" s="5">
        <v>368874522641892</v>
      </c>
      <c r="S148" s="5">
        <v>360442918345092</v>
      </c>
      <c r="T148" s="5">
        <v>357994498795607</v>
      </c>
      <c r="U148" s="5">
        <v>367790283987169</v>
      </c>
      <c r="V148" s="5">
        <v>39464438044529</v>
      </c>
      <c r="W148" s="5">
        <v>38806807015625</v>
      </c>
      <c r="X148" s="5">
        <v>3968218339221</v>
      </c>
      <c r="Y148" s="5">
        <v>417404520285674</v>
      </c>
      <c r="Z148" s="5">
        <v>386307634034625</v>
      </c>
      <c r="AA148" s="5">
        <v>40504914466283</v>
      </c>
      <c r="AB148" s="5">
        <v>363476233282799</v>
      </c>
      <c r="AC148" s="5">
        <v>3142189463803</v>
      </c>
      <c r="AD148" s="5">
        <v>333444813778462</v>
      </c>
      <c r="AE148" s="5">
        <v>325964868595072</v>
      </c>
      <c r="AF148" s="5">
        <v>286877879032494</v>
      </c>
      <c r="AG148" s="5">
        <v>29446826879613</v>
      </c>
      <c r="AH148" s="5">
        <v>277381989543221</v>
      </c>
      <c r="AI148" s="5">
        <v>255078019640841</v>
      </c>
      <c r="AJ148" s="5">
        <v>266185078605936</v>
      </c>
      <c r="AK148" s="5">
        <v>255171222872587</v>
      </c>
      <c r="AL148" s="5">
        <v>247512468913885</v>
      </c>
      <c r="AM148" s="5">
        <v>19636967536004</v>
      </c>
      <c r="AN148" s="5">
        <v>271176282676725</v>
      </c>
      <c r="AO148" s="5">
        <v>307844428182711</v>
      </c>
      <c r="AP148" s="6">
        <v>377172067269628</v>
      </c>
      <c r="AQ148" s="6">
        <v>372612723287445</v>
      </c>
      <c r="AR148" s="6">
        <v>3407949025767</v>
      </c>
      <c r="AS148" s="6">
        <v>353931153207786</v>
      </c>
      <c r="AT148" s="6">
        <v>3741741380091</v>
      </c>
      <c r="AU148" s="6">
        <v>397662505177464</v>
      </c>
      <c r="AV148" s="6">
        <v>378690237469939</v>
      </c>
      <c r="AW148" s="6">
        <v>373143556205896</v>
      </c>
      <c r="AX148" s="6">
        <v>3391068121749</v>
      </c>
      <c r="AY148" s="6">
        <v>30965293474236</v>
      </c>
      <c r="AZ148" s="6">
        <v>322835262899213</v>
      </c>
      <c r="BA148" s="6">
        <v>341249775057252</v>
      </c>
      <c r="BB148" s="6">
        <v>305915890180982</v>
      </c>
      <c r="BC148" s="6">
        <v>352481715539558</v>
      </c>
      <c r="BD148" s="6">
        <v>344514383092275</v>
      </c>
      <c r="BE148" s="6">
        <v>383794586300037</v>
      </c>
      <c r="BF148" s="6">
        <v>397655015736</v>
      </c>
      <c r="BG148" s="6">
        <v>369687182040165</v>
      </c>
      <c r="BH148" s="6">
        <v>365716728323532</v>
      </c>
      <c r="BI148" s="6">
        <v>387676799608694</v>
      </c>
      <c r="BJ148" s="6">
        <v>417280528020642</v>
      </c>
      <c r="BK148" s="6">
        <v>411516533731446</v>
      </c>
      <c r="BL148" s="6">
        <v>45538343751537</v>
      </c>
      <c r="BM148" s="6">
        <v>47004022911055</v>
      </c>
    </row>
    <row r="149" spans="1:65" x14ac:dyDescent="0.45">
      <c r="A149" s="1" t="s">
        <v>143</v>
      </c>
      <c r="B149" s="2">
        <v>4057044</v>
      </c>
      <c r="C149" s="3" t="s">
        <v>851</v>
      </c>
      <c r="D149" s="3" t="s">
        <v>852</v>
      </c>
      <c r="E149" s="3" t="s">
        <v>548</v>
      </c>
      <c r="F149" s="5">
        <v>213063532964266</v>
      </c>
      <c r="G149" s="5">
        <v>217949853221199</v>
      </c>
      <c r="H149" s="5">
        <v>219658552961144</v>
      </c>
      <c r="I149" s="5">
        <v>227307000552762</v>
      </c>
      <c r="J149" s="5">
        <v>250723134108387</v>
      </c>
      <c r="K149" s="5">
        <v>247490708478456</v>
      </c>
      <c r="L149" s="5">
        <v>234906898252923</v>
      </c>
      <c r="M149" s="5">
        <v>239653393513815</v>
      </c>
      <c r="N149" s="5">
        <v>240902749586641</v>
      </c>
      <c r="O149" s="5">
        <v>230582742919565</v>
      </c>
      <c r="P149" s="5">
        <v>209780097505974</v>
      </c>
      <c r="Q149" s="5">
        <v>208295383327413</v>
      </c>
      <c r="R149" s="5">
        <v>203629690434971</v>
      </c>
      <c r="S149" s="5">
        <v>186209202784469</v>
      </c>
      <c r="T149" s="5">
        <v>189901319241322</v>
      </c>
      <c r="U149" s="5">
        <v>18674431204785</v>
      </c>
      <c r="V149" s="5">
        <v>197533677334826</v>
      </c>
      <c r="W149" s="5">
        <v>19162175941781</v>
      </c>
      <c r="X149" s="5">
        <v>21175299452255</v>
      </c>
      <c r="Y149" s="5">
        <v>21933965825672</v>
      </c>
      <c r="Z149" s="5">
        <v>22549598639006</v>
      </c>
      <c r="AA149" s="5">
        <v>219755004234041</v>
      </c>
      <c r="AB149" s="5">
        <v>188533232654035</v>
      </c>
      <c r="AC149" s="5">
        <v>189304255029348</v>
      </c>
      <c r="AD149" s="5">
        <v>192113073771613</v>
      </c>
      <c r="AE149" s="5">
        <v>203750944951726</v>
      </c>
      <c r="AF149" s="5">
        <v>204992581350923</v>
      </c>
      <c r="AG149" s="5">
        <v>188736201239354</v>
      </c>
      <c r="AH149" s="5">
        <v>191239487629342</v>
      </c>
      <c r="AI149" s="5">
        <v>188300762402009</v>
      </c>
      <c r="AJ149" s="5">
        <v>18399153722109</v>
      </c>
      <c r="AK149" s="5">
        <v>186369745019926</v>
      </c>
      <c r="AL149" s="5">
        <v>182651409234174</v>
      </c>
      <c r="AM149" s="5">
        <v>166434504482337</v>
      </c>
      <c r="AN149" s="5">
        <v>195198057493257</v>
      </c>
      <c r="AO149" s="5">
        <v>229784979864812</v>
      </c>
      <c r="AP149" s="6">
        <v>495703627168304</v>
      </c>
      <c r="AQ149" s="6">
        <v>488348503996693</v>
      </c>
      <c r="AR149" s="6">
        <v>496662351032409</v>
      </c>
      <c r="AS149" s="6">
        <v>522622050461055</v>
      </c>
      <c r="AT149" s="6">
        <v>53975642980238</v>
      </c>
      <c r="AU149" s="6">
        <v>522451593941707</v>
      </c>
      <c r="AV149" s="6">
        <v>500129738483648</v>
      </c>
      <c r="AW149" s="6">
        <v>476023664117088</v>
      </c>
      <c r="AX149" s="6">
        <v>473761496342862</v>
      </c>
      <c r="AY149" s="6">
        <v>453592387774726</v>
      </c>
      <c r="AZ149" s="6">
        <v>428456138080163</v>
      </c>
      <c r="BA149" s="6">
        <v>398882872042153</v>
      </c>
      <c r="BB149" s="6">
        <v>371766589749355</v>
      </c>
      <c r="BC149" s="6">
        <v>409462437371919</v>
      </c>
      <c r="BD149" s="6">
        <v>390909839204876</v>
      </c>
      <c r="BE149" s="6">
        <v>389848178916794</v>
      </c>
      <c r="BF149" s="6">
        <v>374530431642602</v>
      </c>
      <c r="BG149" s="6">
        <v>346882831868276</v>
      </c>
      <c r="BH149" s="6">
        <v>347023321144141</v>
      </c>
      <c r="BI149" s="6">
        <v>352908429114568</v>
      </c>
      <c r="BJ149" s="6">
        <v>345725127812729</v>
      </c>
      <c r="BK149" s="6">
        <v>321408181811054</v>
      </c>
      <c r="BL149" s="6">
        <v>308612169917005</v>
      </c>
      <c r="BM149" s="6">
        <v>319773103238184</v>
      </c>
    </row>
    <row r="150" spans="1:65" x14ac:dyDescent="0.45">
      <c r="A150" s="1" t="s">
        <v>144</v>
      </c>
      <c r="B150" s="2">
        <v>4121470</v>
      </c>
      <c r="C150" s="3" t="s">
        <v>853</v>
      </c>
      <c r="D150" s="3" t="s">
        <v>854</v>
      </c>
      <c r="E150" s="3" t="s">
        <v>533</v>
      </c>
      <c r="F150" s="5">
        <v>742092113059636</v>
      </c>
      <c r="G150" s="5">
        <v>746207159099394</v>
      </c>
      <c r="H150" s="5">
        <v>725564119507562</v>
      </c>
      <c r="I150" s="5">
        <v>730406160224683</v>
      </c>
      <c r="J150" s="5">
        <v>817329030532318</v>
      </c>
      <c r="K150" s="5">
        <v>829763108505293</v>
      </c>
      <c r="L150" s="5">
        <v>789587499439154</v>
      </c>
      <c r="M150" s="5">
        <v>80747079402908</v>
      </c>
      <c r="N150" s="5">
        <v>804782256826708</v>
      </c>
      <c r="O150" s="5">
        <v>77387470431595</v>
      </c>
      <c r="P150" s="5">
        <v>687922571113861</v>
      </c>
      <c r="Q150" s="5">
        <v>721625372505193</v>
      </c>
      <c r="R150" s="5">
        <v>70963132472258</v>
      </c>
      <c r="S150" s="5">
        <v>662152852593212</v>
      </c>
      <c r="T150" s="5">
        <v>678696150160883</v>
      </c>
      <c r="U150" s="5">
        <v>647787273597139</v>
      </c>
      <c r="V150" s="5">
        <v>682155892112593</v>
      </c>
      <c r="W150" s="5">
        <v>681587455641299</v>
      </c>
      <c r="X150" s="5">
        <v>640455148866523</v>
      </c>
      <c r="Y150" s="5">
        <v>632532670535476</v>
      </c>
      <c r="Z150" s="5">
        <v>643861894284153</v>
      </c>
      <c r="AA150" s="5">
        <v>632631048511241</v>
      </c>
      <c r="AB150" s="5">
        <v>543753654187833</v>
      </c>
      <c r="AC150" s="5">
        <v>56990570202432</v>
      </c>
      <c r="AD150" s="5">
        <v>55086719003568</v>
      </c>
      <c r="AE150" s="5">
        <v>570578530059043</v>
      </c>
      <c r="AF150" s="5">
        <v>58128255316736</v>
      </c>
      <c r="AG150" s="5">
        <v>554645973368964</v>
      </c>
      <c r="AH150" s="5">
        <v>494242828621242</v>
      </c>
      <c r="AI150" s="5">
        <v>526380179321032</v>
      </c>
      <c r="AJ150" s="5">
        <v>521673683961549</v>
      </c>
      <c r="AK150" s="5">
        <v>566014179116557</v>
      </c>
      <c r="AL150" s="5">
        <v>568047910401457</v>
      </c>
      <c r="AM150" s="5">
        <v>54025093654896</v>
      </c>
      <c r="AN150" s="5">
        <v>611464460764217</v>
      </c>
      <c r="AO150" s="5">
        <v>642002819703617</v>
      </c>
      <c r="AP150" s="6">
        <v>240972256381609</v>
      </c>
      <c r="AQ150" s="6">
        <v>224897275577066</v>
      </c>
      <c r="AR150" s="6">
        <v>202349978193146</v>
      </c>
      <c r="AS150" s="6">
        <v>247682248827676</v>
      </c>
      <c r="AT150" s="6">
        <v>235293073357989</v>
      </c>
      <c r="AU150" s="6">
        <v>237014666974306</v>
      </c>
      <c r="AV150" s="6">
        <v>193010258688091</v>
      </c>
      <c r="AW150" s="6">
        <v>173529742774274</v>
      </c>
      <c r="AX150" s="6">
        <v>185434551914083</v>
      </c>
      <c r="AY150" s="6">
        <v>179752388190883</v>
      </c>
      <c r="AZ150" s="6">
        <v>171342187691173</v>
      </c>
      <c r="BA150" s="6">
        <v>162041584262809</v>
      </c>
      <c r="BB150" s="6">
        <v>161546703105791</v>
      </c>
      <c r="BC150" s="6">
        <v>159186872089405</v>
      </c>
      <c r="BD150" s="6">
        <v>199742029727644</v>
      </c>
      <c r="BE150" s="6">
        <v>189792117146843</v>
      </c>
      <c r="BF150" s="6">
        <v>184495140463824</v>
      </c>
      <c r="BG150" s="6">
        <v>18550170160364</v>
      </c>
      <c r="BH150" s="6">
        <v>176683236856027</v>
      </c>
      <c r="BI150" s="6">
        <v>173705045493662</v>
      </c>
      <c r="BJ150" s="6">
        <v>176797098098188</v>
      </c>
      <c r="BK150" s="6">
        <v>168666961653043</v>
      </c>
      <c r="BL150" s="6">
        <v>161677978956913</v>
      </c>
      <c r="BM150" s="6">
        <v>163778343703176</v>
      </c>
    </row>
    <row r="151" spans="1:65" x14ac:dyDescent="0.45">
      <c r="A151" s="1" t="s">
        <v>145</v>
      </c>
      <c r="B151" s="2">
        <v>4873611</v>
      </c>
      <c r="C151" s="3" t="s">
        <v>855</v>
      </c>
      <c r="D151" s="3" t="s">
        <v>856</v>
      </c>
      <c r="E151" s="3" t="s">
        <v>522</v>
      </c>
      <c r="F151" s="5">
        <v>319023410815103</v>
      </c>
      <c r="G151" s="5">
        <v>339672224851586</v>
      </c>
      <c r="H151" s="5">
        <v>289753523840867</v>
      </c>
      <c r="I151" s="5">
        <v>25745316452221</v>
      </c>
      <c r="J151" s="5">
        <v>276723041440008</v>
      </c>
      <c r="K151" s="5">
        <v>305267938156027</v>
      </c>
      <c r="L151" s="5">
        <v>270372520906656</v>
      </c>
      <c r="M151" s="5">
        <v>321607369105088</v>
      </c>
      <c r="N151" s="5">
        <v>318140568089302</v>
      </c>
      <c r="O151" s="5">
        <v>339733073519825</v>
      </c>
      <c r="P151" s="5">
        <v>353382921390197</v>
      </c>
      <c r="Q151" s="5">
        <v>354323342365402</v>
      </c>
      <c r="R151" s="5">
        <v>368008402540991</v>
      </c>
      <c r="S151" s="5">
        <v>339965814489127</v>
      </c>
      <c r="T151" s="5">
        <v>314828241360154</v>
      </c>
      <c r="U151" s="5">
        <v>306834324091782</v>
      </c>
      <c r="V151" s="5">
        <v>328007512528068</v>
      </c>
      <c r="W151" s="5">
        <v>336671289930624</v>
      </c>
      <c r="X151" s="5">
        <v>347422927829796</v>
      </c>
      <c r="Y151" s="5">
        <v>369339215259379</v>
      </c>
      <c r="Z151" s="5">
        <v>342638940666793</v>
      </c>
      <c r="AA151" s="5">
        <v>351945116347507</v>
      </c>
      <c r="AB151" s="5">
        <v>312734536873927</v>
      </c>
      <c r="AC151" s="5">
        <v>480515263498994</v>
      </c>
      <c r="AD151" s="5">
        <v>426785777565361</v>
      </c>
      <c r="AE151" s="5">
        <v>38952919028102</v>
      </c>
      <c r="AF151" s="5">
        <v>358182657633524</v>
      </c>
      <c r="AG151" s="5">
        <v>346709811880276</v>
      </c>
      <c r="AH151" s="5">
        <v>34228095699343</v>
      </c>
      <c r="AI151" s="5">
        <v>331738819404083</v>
      </c>
      <c r="AJ151" s="5">
        <v>34643535694966</v>
      </c>
      <c r="AK151" s="5">
        <v>334843686410568</v>
      </c>
      <c r="AL151" s="5">
        <v>315392275806219</v>
      </c>
      <c r="AM151" s="5">
        <v>22943963364322</v>
      </c>
      <c r="AN151" s="5">
        <v>288427823325041</v>
      </c>
      <c r="AO151" s="5">
        <v>340953679866941</v>
      </c>
      <c r="AP151" s="6">
        <v>433585185663593</v>
      </c>
      <c r="AQ151" s="6">
        <v>463666871857893</v>
      </c>
      <c r="AR151" s="6">
        <v>446028430757698</v>
      </c>
      <c r="AS151" s="6">
        <v>419431198017824</v>
      </c>
      <c r="AT151" s="6">
        <v>41946752212688</v>
      </c>
      <c r="AU151" s="6">
        <v>397732240653388</v>
      </c>
      <c r="AV151" s="6">
        <v>337410346262037</v>
      </c>
      <c r="AW151" s="6">
        <v>318259800205169</v>
      </c>
      <c r="AX151" s="6">
        <v>327644579368874</v>
      </c>
      <c r="AY151" s="6">
        <v>354774498708051</v>
      </c>
      <c r="AZ151" s="6">
        <v>308852021685516</v>
      </c>
      <c r="BA151" s="6">
        <v>311016516522615</v>
      </c>
      <c r="BB151" s="6">
        <v>279663344785191</v>
      </c>
      <c r="BC151" s="6">
        <v>299122810682011</v>
      </c>
      <c r="BD151" s="6">
        <v>272609863042374</v>
      </c>
      <c r="BE151" s="6">
        <v>313760426309483</v>
      </c>
      <c r="BF151" s="6">
        <v>260188795315793</v>
      </c>
      <c r="BG151" s="6">
        <v>254871991488121</v>
      </c>
      <c r="BH151" s="6">
        <v>262984983462796</v>
      </c>
      <c r="BI151" s="6">
        <v>248236222567135</v>
      </c>
      <c r="BJ151" s="6">
        <v>222328864465892</v>
      </c>
      <c r="BK151" s="6">
        <v>238851869570846</v>
      </c>
      <c r="BL151" s="6">
        <v>22992498406588</v>
      </c>
      <c r="BM151" s="6">
        <v>215339451707336</v>
      </c>
    </row>
    <row r="152" spans="1:65" x14ac:dyDescent="0.45">
      <c r="A152" s="1" t="s">
        <v>146</v>
      </c>
      <c r="B152" s="2">
        <v>4991395</v>
      </c>
      <c r="C152" s="3" t="s">
        <v>857</v>
      </c>
      <c r="D152" s="3" t="s">
        <v>858</v>
      </c>
      <c r="E152" s="3" t="s">
        <v>568</v>
      </c>
      <c r="F152" s="5">
        <v>584054723355</v>
      </c>
      <c r="G152" s="5">
        <v>630344418305</v>
      </c>
      <c r="H152" s="5">
        <v>604483145553</v>
      </c>
      <c r="I152" s="5">
        <v>541690103024</v>
      </c>
      <c r="J152" s="5">
        <v>540373036448</v>
      </c>
      <c r="K152" s="5">
        <v>58047140844</v>
      </c>
      <c r="L152" s="5">
        <v>48088291566</v>
      </c>
      <c r="M152" s="5">
        <v>5154643494</v>
      </c>
      <c r="N152" s="5">
        <v>549846061891691</v>
      </c>
      <c r="O152" s="5">
        <v>545869837868909</v>
      </c>
      <c r="P152" s="5">
        <v>54793223706</v>
      </c>
      <c r="Q152" s="5">
        <v>563804967744</v>
      </c>
      <c r="R152" s="5">
        <v>605715055236</v>
      </c>
      <c r="S152" s="5">
        <v>573105613152</v>
      </c>
      <c r="T152" s="5">
        <v>567943009728</v>
      </c>
      <c r="U152" s="5">
        <v>513495126648</v>
      </c>
      <c r="V152" s="5">
        <v>568541483712</v>
      </c>
      <c r="W152" s="5">
        <v>53094605775</v>
      </c>
      <c r="X152" s="5">
        <v>49802542282</v>
      </c>
      <c r="Y152" s="5">
        <v>474922835625</v>
      </c>
      <c r="Z152" s="5">
        <v>473326317654298</v>
      </c>
      <c r="AA152" s="5">
        <v>469330138749446</v>
      </c>
      <c r="AB152" s="5">
        <v>428363701335</v>
      </c>
      <c r="AC152" s="5">
        <v>38813592378</v>
      </c>
      <c r="AD152" s="5">
        <v>39315244335</v>
      </c>
      <c r="AE152" s="5">
        <v>405634946211</v>
      </c>
      <c r="AF152" s="5">
        <v>356337858199</v>
      </c>
      <c r="AG152" s="5">
        <v>347641880748</v>
      </c>
      <c r="AH152" s="5">
        <v>34171200665</v>
      </c>
      <c r="AI152" s="5">
        <v>314969878789</v>
      </c>
      <c r="AJ152" s="5">
        <v>310938912</v>
      </c>
      <c r="AK152" s="5" t="s">
        <v>859</v>
      </c>
      <c r="AL152" s="5" t="s">
        <v>860</v>
      </c>
      <c r="AM152" s="5">
        <v>290877282767071</v>
      </c>
      <c r="AN152" s="5">
        <v>341020671264</v>
      </c>
      <c r="AO152" s="5">
        <v>35226615996</v>
      </c>
      <c r="AP152" s="6">
        <v>27972210831831</v>
      </c>
      <c r="AQ152" s="6">
        <v>267676562059332</v>
      </c>
      <c r="AR152" s="6">
        <v>25486433492976</v>
      </c>
      <c r="AS152" s="6">
        <v>264384217964185</v>
      </c>
      <c r="AT152" s="6">
        <v>251013734005553</v>
      </c>
      <c r="AU152" s="6">
        <v>2463075231117</v>
      </c>
      <c r="AV152" s="6">
        <v>263721680226293</v>
      </c>
      <c r="AW152" s="6">
        <v>248219265227009</v>
      </c>
      <c r="AX152" s="6">
        <v>253083732251962</v>
      </c>
      <c r="AY152" s="6">
        <v>271290769211781</v>
      </c>
      <c r="AZ152" s="6">
        <v>251973110502283</v>
      </c>
      <c r="BA152" s="6">
        <v>243290703523219</v>
      </c>
      <c r="BB152" s="6">
        <v>208227079155478</v>
      </c>
      <c r="BC152" s="6">
        <v>224332442063063</v>
      </c>
      <c r="BD152" s="6">
        <v>245015447379558</v>
      </c>
      <c r="BE152" s="6">
        <v>316114041332672</v>
      </c>
      <c r="BF152" s="6">
        <v>297815715835759</v>
      </c>
      <c r="BG152" s="6">
        <v>336774793690381</v>
      </c>
      <c r="BH152" s="6">
        <v>369992124056142</v>
      </c>
      <c r="BI152" s="6">
        <v>344516644513146</v>
      </c>
      <c r="BJ152" s="6">
        <v>299707101616528</v>
      </c>
      <c r="BK152" s="6">
        <v>302410393589422</v>
      </c>
      <c r="BL152" s="6">
        <v>310747051918485</v>
      </c>
      <c r="BM152" s="6">
        <v>314278398508042</v>
      </c>
    </row>
    <row r="153" spans="1:65" x14ac:dyDescent="0.45">
      <c r="A153" s="1" t="s">
        <v>147</v>
      </c>
      <c r="B153" s="2">
        <v>4081627</v>
      </c>
      <c r="C153" s="3" t="s">
        <v>861</v>
      </c>
      <c r="D153" s="3" t="s">
        <v>862</v>
      </c>
      <c r="E153" s="3" t="s">
        <v>542</v>
      </c>
      <c r="F153" s="5">
        <v>210570604865637</v>
      </c>
      <c r="G153" s="5">
        <v>239112785172076</v>
      </c>
      <c r="H153" s="5">
        <v>221341355507743</v>
      </c>
      <c r="I153" s="5">
        <v>206226301604757</v>
      </c>
      <c r="J153" s="5">
        <v>240714729803843</v>
      </c>
      <c r="K153" s="5">
        <v>26691510613759</v>
      </c>
      <c r="L153" s="5">
        <v>223161595808295</v>
      </c>
      <c r="M153" s="5">
        <v>253974103258104</v>
      </c>
      <c r="N153" s="5">
        <v>279484138552925</v>
      </c>
      <c r="O153" s="5">
        <v>302844434867446</v>
      </c>
      <c r="P153" s="5">
        <v>285611876899014</v>
      </c>
      <c r="Q153" s="5">
        <v>335728932729054</v>
      </c>
      <c r="R153" s="5">
        <v>366046007881145</v>
      </c>
      <c r="S153" s="5">
        <v>374666468067859</v>
      </c>
      <c r="T153" s="5">
        <v>415337583157311</v>
      </c>
      <c r="U153" s="5">
        <v>390756839097572</v>
      </c>
      <c r="V153" s="5">
        <v>42262811313413</v>
      </c>
      <c r="W153" s="5">
        <v>391732457694851</v>
      </c>
      <c r="X153" s="5">
        <v>403409854395665</v>
      </c>
      <c r="Y153" s="5">
        <v>340304084919374</v>
      </c>
      <c r="Z153" s="5">
        <v>315957068007994</v>
      </c>
      <c r="AA153" s="5">
        <v>355032649529602</v>
      </c>
      <c r="AB153" s="5">
        <v>317299550189267</v>
      </c>
      <c r="AC153" s="5">
        <v>320907338481011</v>
      </c>
      <c r="AD153" s="5">
        <v>283175959758188</v>
      </c>
      <c r="AE153" s="5">
        <v>290864883082119</v>
      </c>
      <c r="AF153" s="5">
        <v>281741639292046</v>
      </c>
      <c r="AG153" s="5">
        <v>310525773118898</v>
      </c>
      <c r="AH153" s="5">
        <v>320709813225925</v>
      </c>
      <c r="AI153" s="5">
        <v>327041735665733</v>
      </c>
      <c r="AJ153" s="5">
        <v>32749795358409</v>
      </c>
      <c r="AK153" s="5">
        <v>28783989204201</v>
      </c>
      <c r="AL153" s="5">
        <v>255170880317786</v>
      </c>
      <c r="AM153" s="5">
        <v>217764725628996</v>
      </c>
      <c r="AN153" s="5">
        <v>250750748616336</v>
      </c>
      <c r="AO153" s="5">
        <v>240982582135451</v>
      </c>
      <c r="AP153" s="6">
        <v>682438628581153</v>
      </c>
      <c r="AQ153" s="6">
        <v>664305991939158</v>
      </c>
      <c r="AR153" s="6">
        <v>612081637630766</v>
      </c>
      <c r="AS153" s="6">
        <v>563298508649948</v>
      </c>
      <c r="AT153" s="6">
        <v>608266757708207</v>
      </c>
      <c r="AU153" s="6">
        <v>677166263636903</v>
      </c>
      <c r="AV153" s="6">
        <v>637861160791943</v>
      </c>
      <c r="AW153" s="6">
        <v>641383996082899</v>
      </c>
      <c r="AX153" s="6">
        <v>603777912603889</v>
      </c>
      <c r="AY153" s="6">
        <v>65779460674985</v>
      </c>
      <c r="AZ153" s="6">
        <v>678694001800431</v>
      </c>
      <c r="BA153" s="6">
        <v>68415748327305</v>
      </c>
      <c r="BB153" s="6">
        <v>59327593256163</v>
      </c>
      <c r="BC153" s="6">
        <v>662614727970413</v>
      </c>
      <c r="BD153" s="6">
        <v>62970580872269</v>
      </c>
      <c r="BE153" s="6">
        <v>613165309058931</v>
      </c>
      <c r="BF153" s="6">
        <v>592863082779338</v>
      </c>
      <c r="BG153" s="6">
        <v>56198995716303</v>
      </c>
      <c r="BH153" s="6">
        <v>520646081501359</v>
      </c>
      <c r="BI153" s="6">
        <v>484653852118808</v>
      </c>
      <c r="BJ153" s="6">
        <v>498779090383276</v>
      </c>
      <c r="BK153" s="6">
        <v>45687284882876</v>
      </c>
      <c r="BL153" s="6">
        <v>49297101253218</v>
      </c>
      <c r="BM153" s="6">
        <v>511586646748864</v>
      </c>
    </row>
    <row r="154" spans="1:65" x14ac:dyDescent="0.45">
      <c r="A154" s="1" t="s">
        <v>148</v>
      </c>
      <c r="B154" s="2">
        <v>4190757</v>
      </c>
      <c r="C154" s="3" t="s">
        <v>863</v>
      </c>
      <c r="D154" s="3" t="s">
        <v>864</v>
      </c>
      <c r="E154" s="3" t="s">
        <v>726</v>
      </c>
      <c r="F154" s="5">
        <v>129746332371121</v>
      </c>
      <c r="G154" s="5">
        <v>140264916755586</v>
      </c>
      <c r="H154" s="5">
        <v>158719724419577</v>
      </c>
      <c r="I154" s="5">
        <v>139697167405352</v>
      </c>
      <c r="J154" s="5">
        <v>152033149557631</v>
      </c>
      <c r="K154" s="5">
        <v>162074682163555</v>
      </c>
      <c r="L154" s="5">
        <v>154458787502394</v>
      </c>
      <c r="M154" s="5">
        <v>190197816059803</v>
      </c>
      <c r="N154" s="5">
        <v>189746733924017</v>
      </c>
      <c r="O154" s="5">
        <v>187640490767299</v>
      </c>
      <c r="P154" s="5">
        <v>186092632791169</v>
      </c>
      <c r="Q154" s="5">
        <v>182767887935078</v>
      </c>
      <c r="R154" s="5">
        <v>200215798511616</v>
      </c>
      <c r="S154" s="5">
        <v>210356536757259</v>
      </c>
      <c r="T154" s="5">
        <v>180413792465256</v>
      </c>
      <c r="U154" s="5">
        <v>195725153436246</v>
      </c>
      <c r="V154" s="5">
        <v>2034116199108</v>
      </c>
      <c r="W154" s="5">
        <v>16957063109358</v>
      </c>
      <c r="X154" s="5">
        <v>184790359474249</v>
      </c>
      <c r="Y154" s="5">
        <v>196502201356514</v>
      </c>
      <c r="Z154" s="5">
        <v>187934605463439</v>
      </c>
      <c r="AA154" s="5">
        <v>1890692707392</v>
      </c>
      <c r="AB154" s="5">
        <v>17579304435066</v>
      </c>
      <c r="AC154" s="5">
        <v>167548550643</v>
      </c>
      <c r="AD154" s="5">
        <v>16825226851875</v>
      </c>
      <c r="AE154" s="5">
        <v>195195413153604</v>
      </c>
      <c r="AF154" s="5">
        <v>194748549521594</v>
      </c>
      <c r="AG154" s="5">
        <v>207710439227494</v>
      </c>
      <c r="AH154" s="5">
        <v>240832731530118</v>
      </c>
      <c r="AI154" s="5">
        <v>225886253910408</v>
      </c>
      <c r="AJ154" s="5">
        <v>243197867860819</v>
      </c>
      <c r="AK154" s="5">
        <v>274328205595472</v>
      </c>
      <c r="AL154" s="5">
        <v>282061735932009</v>
      </c>
      <c r="AM154" s="5">
        <v>28453462976666</v>
      </c>
      <c r="AN154" s="5">
        <v>310550711090105</v>
      </c>
      <c r="AO154" s="5">
        <v>351769958414644</v>
      </c>
      <c r="AP154" s="6">
        <v>112447897622907</v>
      </c>
      <c r="AQ154" s="6">
        <v>102260513608589</v>
      </c>
      <c r="AR154" s="6">
        <v>981489312059742</v>
      </c>
      <c r="AS154" s="6">
        <v>938861563460229</v>
      </c>
      <c r="AT154" s="6">
        <v>940262459661005</v>
      </c>
      <c r="AU154" s="6">
        <v>901415839771371</v>
      </c>
      <c r="AV154" s="6">
        <v>896541670195947</v>
      </c>
      <c r="AW154" s="6">
        <v>957754104729038</v>
      </c>
      <c r="AX154" s="6">
        <v>101409919296701</v>
      </c>
      <c r="AY154" s="6">
        <v>11224226968294</v>
      </c>
      <c r="AZ154" s="6">
        <v>114822999252212</v>
      </c>
      <c r="BA154" s="6">
        <v>105549841397183</v>
      </c>
      <c r="BB154" s="6">
        <v>101950809988872</v>
      </c>
      <c r="BC154" s="6">
        <v>105696173863256</v>
      </c>
      <c r="BD154" s="6">
        <v>95567481828198</v>
      </c>
      <c r="BE154" s="6">
        <v>921310620841359</v>
      </c>
      <c r="BF154" s="6">
        <v>907901770596825</v>
      </c>
      <c r="BG154" s="6">
        <v>842222901069915</v>
      </c>
      <c r="BH154" s="6">
        <v>746486636141883</v>
      </c>
      <c r="BI154" s="6">
        <v>744470439657048</v>
      </c>
      <c r="BJ154" s="6">
        <v>692133824977694</v>
      </c>
      <c r="BK154" s="6">
        <v>655620981667018</v>
      </c>
      <c r="BL154" s="6">
        <v>6591391501968</v>
      </c>
      <c r="BM154" s="6">
        <v>68567401488609</v>
      </c>
    </row>
    <row r="155" spans="1:65" x14ac:dyDescent="0.45">
      <c r="A155" s="1" t="s">
        <v>149</v>
      </c>
      <c r="B155" s="2">
        <v>4051243</v>
      </c>
      <c r="C155" s="3" t="s">
        <v>865</v>
      </c>
      <c r="D155" s="3" t="s">
        <v>866</v>
      </c>
      <c r="E155" s="3" t="s">
        <v>522</v>
      </c>
      <c r="F155" s="5">
        <v>387937219074055</v>
      </c>
      <c r="G155" s="5">
        <v>413827118464371</v>
      </c>
      <c r="H155" s="5">
        <v>452690796809363</v>
      </c>
      <c r="I155" s="5">
        <v>419730726194633</v>
      </c>
      <c r="J155" s="5">
        <v>463582844948189</v>
      </c>
      <c r="K155" s="5">
        <v>462569033202956</v>
      </c>
      <c r="L155" s="5">
        <v>420161089879783</v>
      </c>
      <c r="M155" s="5">
        <v>436425423840503</v>
      </c>
      <c r="N155" s="5">
        <v>460039730129916</v>
      </c>
      <c r="O155" s="5">
        <v>455036953080459</v>
      </c>
      <c r="P155" s="5">
        <v>450083855325404</v>
      </c>
      <c r="Q155" s="5">
        <v>484702694105947</v>
      </c>
      <c r="R155" s="5">
        <v>5911166752605</v>
      </c>
      <c r="S155" s="5">
        <v>563070897462005</v>
      </c>
      <c r="T155" s="5">
        <v>550713175243398</v>
      </c>
      <c r="U155" s="5">
        <v>514949380036379</v>
      </c>
      <c r="V155" s="5">
        <v>546212007625772</v>
      </c>
      <c r="W155" s="5">
        <v>532300169987672</v>
      </c>
      <c r="X155" s="5">
        <v>496716427680048</v>
      </c>
      <c r="Y155" s="5">
        <v>504602701155434</v>
      </c>
      <c r="Z155" s="5">
        <v>53299486910017</v>
      </c>
      <c r="AA155" s="5">
        <v>52177112068111</v>
      </c>
      <c r="AB155" s="5">
        <v>494623444204142</v>
      </c>
      <c r="AC155" s="5">
        <v>480904736863969</v>
      </c>
      <c r="AD155" s="5">
        <v>504879169314969</v>
      </c>
      <c r="AE155" s="5">
        <v>530565253824666</v>
      </c>
      <c r="AF155" s="5">
        <v>44968628512215</v>
      </c>
      <c r="AG155" s="5">
        <v>485678494900976</v>
      </c>
      <c r="AH155" s="5">
        <v>470477977137805</v>
      </c>
      <c r="AI155" s="5">
        <v>449948115231645</v>
      </c>
      <c r="AJ155" s="5">
        <v>503007498334268</v>
      </c>
      <c r="AK155" s="5">
        <v>553287416244022</v>
      </c>
      <c r="AL155" s="5">
        <v>511472498832009</v>
      </c>
      <c r="AM155" s="5">
        <v>410053073983462</v>
      </c>
      <c r="AN155" s="5">
        <v>472832672853114</v>
      </c>
      <c r="AO155" s="5">
        <v>509878998594524</v>
      </c>
      <c r="AP155" s="6">
        <v>431828368803125</v>
      </c>
      <c r="AQ155" s="6">
        <v>45322797659125</v>
      </c>
      <c r="AR155" s="6">
        <v>441838848165312</v>
      </c>
      <c r="AS155" s="6">
        <v>443356026058613</v>
      </c>
      <c r="AT155" s="6">
        <v>446273888637427</v>
      </c>
      <c r="AU155" s="6">
        <v>425638564146306</v>
      </c>
      <c r="AV155" s="6">
        <v>434282929327052</v>
      </c>
      <c r="AW155" s="6">
        <v>405384478380738</v>
      </c>
      <c r="AX155" s="6">
        <v>421228293246705</v>
      </c>
      <c r="AY155" s="6">
        <v>364624516381356</v>
      </c>
      <c r="AZ155" s="6">
        <v>354674146846133</v>
      </c>
      <c r="BA155" s="6">
        <v>327780758786481</v>
      </c>
      <c r="BB155" s="6">
        <v>300079688628119</v>
      </c>
      <c r="BC155" s="6">
        <v>370399218176333</v>
      </c>
      <c r="BD155" s="6">
        <v>360964409160537</v>
      </c>
      <c r="BE155" s="6">
        <v>376117637810191</v>
      </c>
      <c r="BF155" s="6">
        <v>40147816713444</v>
      </c>
      <c r="BG155" s="6">
        <v>38255583117114</v>
      </c>
      <c r="BH155" s="6">
        <v>381677485900035</v>
      </c>
      <c r="BI155" s="6">
        <v>380691245193232</v>
      </c>
      <c r="BJ155" s="6">
        <v>356269060514235</v>
      </c>
      <c r="BK155" s="6">
        <v>369927286167756</v>
      </c>
      <c r="BL155" s="6">
        <v>36482087073159</v>
      </c>
      <c r="BM155" s="6">
        <v>384295170858464</v>
      </c>
    </row>
    <row r="156" spans="1:65" x14ac:dyDescent="0.45">
      <c r="A156" s="1" t="s">
        <v>150</v>
      </c>
      <c r="B156" s="2">
        <v>4056943</v>
      </c>
      <c r="C156" s="3" t="s">
        <v>867</v>
      </c>
      <c r="D156" s="3" t="s">
        <v>868</v>
      </c>
      <c r="E156" s="3" t="s">
        <v>533</v>
      </c>
      <c r="F156" s="5">
        <v>227327068272197</v>
      </c>
      <c r="G156" s="5">
        <v>246844560660441</v>
      </c>
      <c r="H156" s="5">
        <v>231599596724872</v>
      </c>
      <c r="I156" s="5">
        <v>220087338611837</v>
      </c>
      <c r="J156" s="5">
        <v>256661131395235</v>
      </c>
      <c r="K156" s="5">
        <v>253429925692304</v>
      </c>
      <c r="L156" s="5">
        <v>230608559281137</v>
      </c>
      <c r="M156" s="5">
        <v>248401946601195</v>
      </c>
      <c r="N156" s="5">
        <v>248564066865946</v>
      </c>
      <c r="O156" s="5">
        <v>240297701372677</v>
      </c>
      <c r="P156" s="5">
        <v>21500054124317</v>
      </c>
      <c r="Q156" s="5">
        <v>212972434911775</v>
      </c>
      <c r="R156" s="5">
        <v>227991397384296</v>
      </c>
      <c r="S156" s="5">
        <v>220029245963305</v>
      </c>
      <c r="T156" s="5">
        <v>206642429313253</v>
      </c>
      <c r="U156" s="5">
        <v>181724879030173</v>
      </c>
      <c r="V156" s="5">
        <v>186063127864284</v>
      </c>
      <c r="W156" s="5">
        <v>174449674328565</v>
      </c>
      <c r="X156" s="5">
        <v>185034438765096</v>
      </c>
      <c r="Y156" s="5">
        <v>173939468993208</v>
      </c>
      <c r="Z156" s="5">
        <v>187521264381316</v>
      </c>
      <c r="AA156" s="5">
        <v>189393815017128</v>
      </c>
      <c r="AB156" s="5">
        <v>169246594352621</v>
      </c>
      <c r="AC156" s="5">
        <v>181354372826377</v>
      </c>
      <c r="AD156" s="5">
        <v>194387144306292</v>
      </c>
      <c r="AE156" s="5">
        <v>194328709328557</v>
      </c>
      <c r="AF156" s="5">
        <v>182019482331987</v>
      </c>
      <c r="AG156" s="5">
        <v>163752078267752</v>
      </c>
      <c r="AH156" s="5">
        <v>166037198710253</v>
      </c>
      <c r="AI156" s="5">
        <v>177982669454346</v>
      </c>
      <c r="AJ156" s="5">
        <v>182394049393423</v>
      </c>
      <c r="AK156" s="5">
        <v>197549801114689</v>
      </c>
      <c r="AL156" s="5">
        <v>19511142139591</v>
      </c>
      <c r="AM156" s="5">
        <v>180795466820059</v>
      </c>
      <c r="AN156" s="5">
        <v>2215153308038</v>
      </c>
      <c r="AO156" s="5">
        <v>247607270295935</v>
      </c>
      <c r="AP156" s="6">
        <v>415147851006265</v>
      </c>
      <c r="AQ156" s="6">
        <v>408348320049136</v>
      </c>
      <c r="AR156" s="6">
        <v>38709297637448</v>
      </c>
      <c r="AS156" s="6">
        <v>377163645665014</v>
      </c>
      <c r="AT156" s="6">
        <v>333257223528313</v>
      </c>
      <c r="AU156" s="6">
        <v>358527778474784</v>
      </c>
      <c r="AV156" s="6">
        <v>360611832952875</v>
      </c>
      <c r="AW156" s="6">
        <v>332368385399842</v>
      </c>
      <c r="AX156" s="6">
        <v>389414384329409</v>
      </c>
      <c r="AY156" s="6">
        <v>374959723754454</v>
      </c>
      <c r="AZ156" s="6">
        <v>367803981315054</v>
      </c>
      <c r="BA156" s="6">
        <v>356146167672</v>
      </c>
      <c r="BB156" s="6">
        <v>32517922228</v>
      </c>
      <c r="BC156" s="6">
        <v>373401314438431</v>
      </c>
      <c r="BD156" s="6">
        <v>37690323455261</v>
      </c>
      <c r="BE156" s="6">
        <v>414236765545257</v>
      </c>
      <c r="BF156" s="6">
        <v>415433923288701</v>
      </c>
      <c r="BG156" s="6">
        <v>389164194108851</v>
      </c>
      <c r="BH156" s="6">
        <v>373390732475681</v>
      </c>
      <c r="BI156" s="6">
        <v>382839399971804</v>
      </c>
      <c r="BJ156" s="6">
        <v>349165507012367</v>
      </c>
      <c r="BK156" s="6">
        <v>352598695953664</v>
      </c>
      <c r="BL156" s="6">
        <v>369463664162993</v>
      </c>
      <c r="BM156" s="6">
        <v>370828106750563</v>
      </c>
    </row>
    <row r="157" spans="1:65" x14ac:dyDescent="0.45">
      <c r="A157" s="1" t="s">
        <v>151</v>
      </c>
      <c r="B157" s="2">
        <v>4812781</v>
      </c>
      <c r="C157" s="3" t="s">
        <v>869</v>
      </c>
      <c r="D157" s="3" t="s">
        <v>870</v>
      </c>
      <c r="E157" s="3" t="s">
        <v>495</v>
      </c>
      <c r="F157" s="5">
        <v>431623586924959</v>
      </c>
      <c r="G157" s="5">
        <v>463134766542532</v>
      </c>
      <c r="H157" s="5">
        <v>45286628812321</v>
      </c>
      <c r="I157" s="5">
        <v>52240168443875</v>
      </c>
      <c r="J157" s="5">
        <v>554602866467697</v>
      </c>
      <c r="K157" s="5">
        <v>611074261660083</v>
      </c>
      <c r="L157" s="5">
        <v>565564616064312</v>
      </c>
      <c r="M157" s="5">
        <v>584460838867168</v>
      </c>
      <c r="N157" s="5">
        <v>624081079138785</v>
      </c>
      <c r="O157" s="5">
        <v>658418833357775</v>
      </c>
      <c r="P157" s="5">
        <v>623615544390119</v>
      </c>
      <c r="Q157" s="5">
        <v>60868717512745</v>
      </c>
      <c r="R157" s="5">
        <v>711200121082142</v>
      </c>
      <c r="S157" s="5">
        <v>594400354041823</v>
      </c>
      <c r="T157" s="5">
        <v>646937502519106</v>
      </c>
      <c r="U157" s="5">
        <v>608851602374827</v>
      </c>
      <c r="V157" s="5">
        <v>618808067877293</v>
      </c>
      <c r="W157" s="5">
        <v>589939972750332</v>
      </c>
      <c r="X157" s="5">
        <v>543005555662468</v>
      </c>
      <c r="Y157" s="5">
        <v>489140803531831</v>
      </c>
      <c r="Z157" s="5">
        <v>49361550667824</v>
      </c>
      <c r="AA157" s="5">
        <v>443270943218491</v>
      </c>
      <c r="AB157" s="5">
        <v>42893298913217</v>
      </c>
      <c r="AC157" s="5">
        <v>423992085562193</v>
      </c>
      <c r="AD157" s="5">
        <v>464821834056833</v>
      </c>
      <c r="AE157" s="5">
        <v>437462718203023</v>
      </c>
      <c r="AF157" s="5">
        <v>383404818040646</v>
      </c>
      <c r="AG157" s="5">
        <v>422626369321877</v>
      </c>
      <c r="AH157" s="5">
        <v>44644181897198</v>
      </c>
      <c r="AI157" s="5">
        <v>412089489216843</v>
      </c>
      <c r="AJ157" s="5">
        <v>380542919119639</v>
      </c>
      <c r="AK157" s="5">
        <v>417520764168336</v>
      </c>
      <c r="AL157" s="5">
        <v>410665442908792</v>
      </c>
      <c r="AM157" s="5">
        <v>355862892576228</v>
      </c>
      <c r="AN157" s="5">
        <v>389513830103289</v>
      </c>
      <c r="AO157" s="5">
        <v>413622949805318</v>
      </c>
      <c r="AP157" s="6">
        <v>212548999661237</v>
      </c>
      <c r="AQ157" s="6">
        <v>210322608312798</v>
      </c>
      <c r="AR157" s="6">
        <v>216964681919288</v>
      </c>
      <c r="AS157" s="6">
        <v>214002162983969</v>
      </c>
      <c r="AT157" s="6">
        <v>203987649243021</v>
      </c>
      <c r="AU157" s="6">
        <v>18855226783571</v>
      </c>
      <c r="AV157" s="6">
        <v>179439534215538</v>
      </c>
      <c r="AW157" s="6">
        <v>172747590505691</v>
      </c>
      <c r="AX157" s="6">
        <v>164724652328828</v>
      </c>
      <c r="AY157" s="6">
        <v>162292502715443</v>
      </c>
      <c r="AZ157" s="6">
        <v>155367055393134</v>
      </c>
      <c r="BA157" s="6">
        <v>146363847993313</v>
      </c>
      <c r="BB157" s="6">
        <v>141308537547506</v>
      </c>
      <c r="BC157" s="6">
        <v>139282770613133</v>
      </c>
      <c r="BD157" s="6">
        <v>134344779355699</v>
      </c>
      <c r="BE157" s="6">
        <v>126288520598199</v>
      </c>
      <c r="BF157" s="6">
        <v>130238745355841</v>
      </c>
      <c r="BG157" s="6">
        <v>136205768736</v>
      </c>
      <c r="BH157" s="6">
        <v>1357965832599</v>
      </c>
      <c r="BI157" s="6">
        <v>125485278886814</v>
      </c>
      <c r="BJ157" s="6">
        <v>122171195795097</v>
      </c>
      <c r="BK157" s="6">
        <v>116267650621188</v>
      </c>
      <c r="BL157" s="6">
        <v>112252225495901</v>
      </c>
      <c r="BM157" s="6">
        <v>114025041080096</v>
      </c>
    </row>
    <row r="158" spans="1:65" x14ac:dyDescent="0.45">
      <c r="A158" s="1" t="s">
        <v>152</v>
      </c>
      <c r="B158" s="2">
        <v>4100183</v>
      </c>
      <c r="C158" s="3" t="s">
        <v>871</v>
      </c>
      <c r="D158" s="3" t="s">
        <v>872</v>
      </c>
      <c r="E158" s="3" t="s">
        <v>873</v>
      </c>
      <c r="F158" s="5">
        <v>315625486338553</v>
      </c>
      <c r="G158" s="5">
        <v>350117680805436</v>
      </c>
      <c r="H158" s="5">
        <v>354183443942481</v>
      </c>
      <c r="I158" s="5">
        <v>328096425219539</v>
      </c>
      <c r="J158" s="5">
        <v>350251535490325</v>
      </c>
      <c r="K158" s="5">
        <v>359349399670042</v>
      </c>
      <c r="L158" s="5">
        <v>325029651394169</v>
      </c>
      <c r="M158" s="5">
        <v>361722361714223</v>
      </c>
      <c r="N158" s="5">
        <v>315018561829189</v>
      </c>
      <c r="O158" s="5">
        <v>320268016980369</v>
      </c>
      <c r="P158" s="5">
        <v>325782344136889</v>
      </c>
      <c r="Q158" s="5">
        <v>334954706619393</v>
      </c>
      <c r="R158" s="5">
        <v>327999950984528</v>
      </c>
      <c r="S158" s="5">
        <v>311677152988137</v>
      </c>
      <c r="T158" s="5">
        <v>345164151237774</v>
      </c>
      <c r="U158" s="5">
        <v>349276642930731</v>
      </c>
      <c r="V158" s="5">
        <v>35009798017555</v>
      </c>
      <c r="W158" s="5">
        <v>346761426031061</v>
      </c>
      <c r="X158" s="5">
        <v>346612678814832</v>
      </c>
      <c r="Y158" s="5">
        <v>335628025766504</v>
      </c>
      <c r="Z158" s="5">
        <v>339718275881038</v>
      </c>
      <c r="AA158" s="5">
        <v>331734168542915</v>
      </c>
      <c r="AB158" s="5">
        <v>318477384289375</v>
      </c>
      <c r="AC158" s="5">
        <v>341935588563734</v>
      </c>
      <c r="AD158" s="5">
        <v>34026846352662</v>
      </c>
      <c r="AE158" s="5">
        <v>309820518629989</v>
      </c>
      <c r="AF158" s="5">
        <v>296958568211982</v>
      </c>
      <c r="AG158" s="5">
        <v>320729529357581</v>
      </c>
      <c r="AH158" s="5">
        <v>336929583807038</v>
      </c>
      <c r="AI158" s="5">
        <v>345623983485079</v>
      </c>
      <c r="AJ158" s="5">
        <v>338776382902001</v>
      </c>
      <c r="AK158" s="5">
        <v>319088043036672</v>
      </c>
      <c r="AL158" s="5">
        <v>302550514864489</v>
      </c>
      <c r="AM158" s="5">
        <v>264051740053647</v>
      </c>
      <c r="AN158" s="5">
        <v>26700943343332</v>
      </c>
      <c r="AO158" s="5">
        <v>284223485904459</v>
      </c>
      <c r="AP158" s="6">
        <v>434220203481649</v>
      </c>
      <c r="AQ158" s="6">
        <v>374358446668998</v>
      </c>
      <c r="AR158" s="6">
        <v>361044683875211</v>
      </c>
      <c r="AS158" s="6">
        <v>395240866405029</v>
      </c>
      <c r="AT158" s="6">
        <v>391677836569904</v>
      </c>
      <c r="AU158" s="6">
        <v>447640500756784</v>
      </c>
      <c r="AV158" s="6">
        <v>475106005480319</v>
      </c>
      <c r="AW158" s="6">
        <v>42627482288099</v>
      </c>
      <c r="AX158" s="6">
        <v>497252595860029</v>
      </c>
      <c r="AY158" s="6">
        <v>491920441155574</v>
      </c>
      <c r="AZ158" s="6">
        <v>47878405266015</v>
      </c>
      <c r="BA158" s="6">
        <v>502218980285184</v>
      </c>
      <c r="BB158" s="6">
        <v>441719610078843</v>
      </c>
      <c r="BC158" s="6">
        <v>529123204919551</v>
      </c>
      <c r="BD158" s="6">
        <v>539049948532258</v>
      </c>
      <c r="BE158" s="6">
        <v>635959559036072</v>
      </c>
      <c r="BF158" s="6">
        <v>589945798384337</v>
      </c>
      <c r="BG158" s="6">
        <v>637784887850636</v>
      </c>
      <c r="BH158" s="6">
        <v>617349481644524</v>
      </c>
      <c r="BI158" s="6">
        <v>584914055596877</v>
      </c>
      <c r="BJ158" s="6">
        <v>566303592402176</v>
      </c>
      <c r="BK158" s="6">
        <v>495346213843198</v>
      </c>
      <c r="BL158" s="6">
        <v>480632589858821</v>
      </c>
      <c r="BM158" s="6">
        <v>53455500484655</v>
      </c>
    </row>
    <row r="159" spans="1:65" x14ac:dyDescent="0.45">
      <c r="A159" s="1" t="s">
        <v>153</v>
      </c>
      <c r="B159" s="2">
        <v>4072364</v>
      </c>
      <c r="C159" s="3" t="s">
        <v>874</v>
      </c>
      <c r="D159" s="3" t="s">
        <v>875</v>
      </c>
      <c r="E159" s="3" t="s">
        <v>716</v>
      </c>
      <c r="F159" s="5">
        <v>114633902699852</v>
      </c>
      <c r="G159" s="5">
        <v>123419532350957</v>
      </c>
      <c r="H159" s="5">
        <v>132059353464355</v>
      </c>
      <c r="I159" s="5">
        <v>111176469964363</v>
      </c>
      <c r="J159" s="5">
        <v>115600106836009</v>
      </c>
      <c r="K159" s="5">
        <v>112260046217695</v>
      </c>
      <c r="L159" s="5">
        <v>111293420250454</v>
      </c>
      <c r="M159" s="5">
        <v>114517074055239</v>
      </c>
      <c r="N159" s="5">
        <v>114824190992142</v>
      </c>
      <c r="O159" s="5">
        <v>10670388563259</v>
      </c>
      <c r="P159" s="5">
        <v>970942241176248</v>
      </c>
      <c r="Q159" s="5">
        <v>955606203085375</v>
      </c>
      <c r="R159" s="5">
        <v>989282500308361</v>
      </c>
      <c r="S159" s="5">
        <v>874761303680891</v>
      </c>
      <c r="T159" s="5">
        <v>913336354898226</v>
      </c>
      <c r="U159" s="5">
        <v>784236977624832</v>
      </c>
      <c r="V159" s="5">
        <v>774870308577053</v>
      </c>
      <c r="W159" s="5">
        <v>789280520262564</v>
      </c>
      <c r="X159" s="5">
        <v>788411683754185</v>
      </c>
      <c r="Y159" s="5">
        <v>799991153160395</v>
      </c>
      <c r="Z159" s="5">
        <v>772195365729172</v>
      </c>
      <c r="AA159" s="5">
        <v>748983803007006</v>
      </c>
      <c r="AB159" s="5">
        <v>613700680082976</v>
      </c>
      <c r="AC159" s="5">
        <v>608460376894544</v>
      </c>
      <c r="AD159" s="5">
        <v>652826616890333</v>
      </c>
      <c r="AE159" s="5">
        <v>64824475977059</v>
      </c>
      <c r="AF159" s="5">
        <v>582191123425208</v>
      </c>
      <c r="AG159" s="5">
        <v>575273850123738</v>
      </c>
      <c r="AH159" s="5">
        <v>592276280239778</v>
      </c>
      <c r="AI159" s="5">
        <v>582094443697981</v>
      </c>
      <c r="AJ159" s="5">
        <v>589155050705987</v>
      </c>
      <c r="AK159" s="5">
        <v>666978038271587</v>
      </c>
      <c r="AL159" s="5">
        <v>646968461016714</v>
      </c>
      <c r="AM159" s="5">
        <v>520931670491232</v>
      </c>
      <c r="AN159" s="5">
        <v>589876539276831</v>
      </c>
      <c r="AO159" s="5">
        <v>606733705412243</v>
      </c>
      <c r="AP159" s="6">
        <v>103951823107467</v>
      </c>
      <c r="AQ159" s="6">
        <v>105721937980343</v>
      </c>
      <c r="AR159" s="6">
        <v>865832194232392</v>
      </c>
      <c r="AS159" s="6">
        <v>917127943163921</v>
      </c>
      <c r="AT159" s="6">
        <v>95416046682412</v>
      </c>
      <c r="AU159" s="6">
        <v>951246530674297</v>
      </c>
      <c r="AV159" s="6">
        <v>83105689646382</v>
      </c>
      <c r="AW159" s="6">
        <v>845863192378529</v>
      </c>
      <c r="AX159" s="6">
        <v>87389925551796</v>
      </c>
      <c r="AY159" s="6">
        <v>816426071341452</v>
      </c>
      <c r="AZ159" s="6">
        <v>769639449238999</v>
      </c>
      <c r="BA159" s="6">
        <v>667080771483888</v>
      </c>
      <c r="BB159" s="6">
        <v>547239883641185</v>
      </c>
      <c r="BC159" s="6">
        <v>62130653248896</v>
      </c>
      <c r="BD159" s="6">
        <v>567678109969288</v>
      </c>
      <c r="BE159" s="6">
        <v>637415285098347</v>
      </c>
      <c r="BF159" s="6">
        <v>662239995086674</v>
      </c>
      <c r="BG159" s="6">
        <v>594174956637669</v>
      </c>
      <c r="BH159" s="6">
        <v>569069573741139</v>
      </c>
      <c r="BI159" s="6">
        <v>564200604359779</v>
      </c>
      <c r="BJ159" s="6">
        <v>505217811501621</v>
      </c>
      <c r="BK159" s="6">
        <v>493947565311245</v>
      </c>
      <c r="BL159" s="6">
        <v>491389008679296</v>
      </c>
      <c r="BM159" s="6">
        <v>498773533077679</v>
      </c>
    </row>
    <row r="160" spans="1:65" x14ac:dyDescent="0.45">
      <c r="A160" s="1" t="s">
        <v>154</v>
      </c>
      <c r="B160" s="2">
        <v>4059821</v>
      </c>
      <c r="C160" s="3" t="s">
        <v>876</v>
      </c>
      <c r="D160" s="3" t="s">
        <v>877</v>
      </c>
      <c r="E160" s="3" t="s">
        <v>665</v>
      </c>
      <c r="F160" s="5">
        <v>325261561703215</v>
      </c>
      <c r="G160" s="5">
        <v>3419084770735</v>
      </c>
      <c r="H160" s="5">
        <v>347936550921739</v>
      </c>
      <c r="I160" s="5">
        <v>313322359813074</v>
      </c>
      <c r="J160" s="5">
        <v>284188989888023</v>
      </c>
      <c r="K160" s="5">
        <v>290956842348579</v>
      </c>
      <c r="L160" s="5">
        <v>279192064767018</v>
      </c>
      <c r="M160" s="5">
        <v>262988297946416</v>
      </c>
      <c r="N160" s="5">
        <v>249526171398969</v>
      </c>
      <c r="O160" s="5">
        <v>232616312854653</v>
      </c>
      <c r="P160" s="5">
        <v>200844851919965</v>
      </c>
      <c r="Q160" s="5">
        <v>198620061893751</v>
      </c>
      <c r="R160" s="5">
        <v>220193383433569</v>
      </c>
      <c r="S160" s="5">
        <v>199505708376104</v>
      </c>
      <c r="T160" s="5">
        <v>19973721580958</v>
      </c>
      <c r="U160" s="5">
        <v>180726846624696</v>
      </c>
      <c r="V160" s="5">
        <v>198381011844236</v>
      </c>
      <c r="W160" s="5">
        <v>186596107813143</v>
      </c>
      <c r="X160" s="5">
        <v>175966571476617</v>
      </c>
      <c r="Y160" s="5">
        <v>148977153290205</v>
      </c>
      <c r="Z160" s="5">
        <v>138114327390294</v>
      </c>
      <c r="AA160" s="5">
        <v>144684863703012</v>
      </c>
      <c r="AB160" s="5">
        <v>153834246707343</v>
      </c>
      <c r="AC160" s="5">
        <v>155320714192326</v>
      </c>
      <c r="AD160" s="5">
        <v>125132466252667</v>
      </c>
      <c r="AE160" s="5">
        <v>110480888276737</v>
      </c>
      <c r="AF160" s="5">
        <v>101489748329546</v>
      </c>
      <c r="AG160" s="5">
        <v>114264063985066</v>
      </c>
      <c r="AH160" s="5">
        <v>112518567356153</v>
      </c>
      <c r="AI160" s="5">
        <v>115158120245321</v>
      </c>
      <c r="AJ160" s="5">
        <v>132242371303476</v>
      </c>
      <c r="AK160" s="5">
        <v>124708115621429</v>
      </c>
      <c r="AL160" s="5">
        <v>128215711298434</v>
      </c>
      <c r="AM160" s="5">
        <v>114500179764734</v>
      </c>
      <c r="AN160" s="5">
        <v>10395298301951</v>
      </c>
      <c r="AO160" s="5">
        <v>120933540097921</v>
      </c>
      <c r="AP160" s="6">
        <v>248306251624025</v>
      </c>
      <c r="AQ160" s="6">
        <v>20255522163543</v>
      </c>
      <c r="AR160" s="6">
        <v>246308755767765</v>
      </c>
      <c r="AS160" s="6">
        <v>249314423148403</v>
      </c>
      <c r="AT160" s="6">
        <v>236248718968339</v>
      </c>
      <c r="AU160" s="6">
        <v>346873903866888</v>
      </c>
      <c r="AV160" s="6">
        <v>354997265885293</v>
      </c>
      <c r="AW160" s="6">
        <v>419464330797117</v>
      </c>
      <c r="AX160" s="6">
        <v>465935561169225</v>
      </c>
      <c r="AY160" s="6">
        <v>470783361708</v>
      </c>
      <c r="AZ160" s="6">
        <v>4053562001064</v>
      </c>
      <c r="BA160" s="6">
        <v>432455759406</v>
      </c>
      <c r="BB160" s="6">
        <v>4197653976076</v>
      </c>
      <c r="BC160" s="6">
        <v>4204306198272</v>
      </c>
      <c r="BD160" s="6">
        <v>763595905287</v>
      </c>
      <c r="BE160" s="6">
        <v>10062753663891</v>
      </c>
      <c r="BF160" s="6">
        <v>1161833340463</v>
      </c>
      <c r="BG160" s="6">
        <v>1122126330636</v>
      </c>
      <c r="BH160" s="6">
        <v>12542149472598</v>
      </c>
      <c r="BI160" s="6">
        <v>11722995688878</v>
      </c>
      <c r="BJ160" s="6">
        <v>110357957726489</v>
      </c>
      <c r="BK160" s="6">
        <v>10217949265436</v>
      </c>
      <c r="BL160" s="6">
        <v>1089731639997</v>
      </c>
      <c r="BM160" s="6">
        <v>11576194141633</v>
      </c>
    </row>
    <row r="161" spans="1:65" x14ac:dyDescent="0.45">
      <c r="A161" s="1" t="s">
        <v>155</v>
      </c>
      <c r="B161" s="2">
        <v>4279452</v>
      </c>
      <c r="C161" s="3" t="s">
        <v>878</v>
      </c>
      <c r="D161" s="3" t="s">
        <v>879</v>
      </c>
      <c r="E161" s="3" t="s">
        <v>765</v>
      </c>
      <c r="F161" s="5">
        <v>660437572940328</v>
      </c>
      <c r="G161" s="5">
        <v>715812988898903</v>
      </c>
      <c r="H161" s="5">
        <v>680013887795193</v>
      </c>
      <c r="I161" s="5">
        <v>581157347188109</v>
      </c>
      <c r="J161" s="5">
        <v>58268301810457</v>
      </c>
      <c r="K161" s="5">
        <v>563010230775226</v>
      </c>
      <c r="L161" s="5">
        <v>503704861858598</v>
      </c>
      <c r="M161" s="5">
        <v>503531935603351</v>
      </c>
      <c r="N161" s="5">
        <v>516732433364717</v>
      </c>
      <c r="O161" s="5">
        <v>533979588335537</v>
      </c>
      <c r="P161" s="5">
        <v>541873422478713</v>
      </c>
      <c r="Q161" s="5">
        <v>568067241069619</v>
      </c>
      <c r="R161" s="5">
        <v>597867969048437</v>
      </c>
      <c r="S161" s="5">
        <v>565119694087603</v>
      </c>
      <c r="T161" s="5">
        <v>560775574323597</v>
      </c>
      <c r="U161" s="5">
        <v>535117342494694</v>
      </c>
      <c r="V161" s="5">
        <v>55331262558252</v>
      </c>
      <c r="W161" s="5">
        <v>551974319738517</v>
      </c>
      <c r="X161" s="5">
        <v>566832549104974</v>
      </c>
      <c r="Y161" s="5">
        <v>564512859950177</v>
      </c>
      <c r="Z161" s="5">
        <v>543325799010522</v>
      </c>
      <c r="AA161" s="5">
        <v>523638579116928</v>
      </c>
      <c r="AB161" s="5">
        <v>440983224028347</v>
      </c>
      <c r="AC161" s="5">
        <v>399573767373018</v>
      </c>
      <c r="AD161" s="5">
        <v>410708258369535</v>
      </c>
      <c r="AE161" s="5">
        <v>39608713434793</v>
      </c>
      <c r="AF161" s="5">
        <v>321420127930866</v>
      </c>
      <c r="AG161" s="5">
        <v>316597650044014</v>
      </c>
      <c r="AH161" s="5">
        <v>344511982049599</v>
      </c>
      <c r="AI161" s="5">
        <v>317576521396555</v>
      </c>
      <c r="AJ161" s="5">
        <v>3223424083157</v>
      </c>
      <c r="AK161" s="5">
        <v>313518858631947</v>
      </c>
      <c r="AL161" s="5">
        <v>318507388422402</v>
      </c>
      <c r="AM161" s="5">
        <v>31393286947932</v>
      </c>
      <c r="AN161" s="5">
        <v>393495452608432</v>
      </c>
      <c r="AO161" s="5">
        <v>41619202576875</v>
      </c>
      <c r="AP161" s="6">
        <v>151185841759539</v>
      </c>
      <c r="AQ161" s="6">
        <v>153457768040214</v>
      </c>
      <c r="AR161" s="6">
        <v>148499738866387</v>
      </c>
      <c r="AS161" s="6">
        <v>155951007597704</v>
      </c>
      <c r="AT161" s="6">
        <v>16088337713445</v>
      </c>
      <c r="AU161" s="6">
        <v>151072004865681</v>
      </c>
      <c r="AV161" s="6">
        <v>143597992796032</v>
      </c>
      <c r="AW161" s="6">
        <v>131044958189285</v>
      </c>
      <c r="AX161" s="6">
        <v>136426831384882</v>
      </c>
      <c r="AY161" s="6">
        <v>12814139576997</v>
      </c>
      <c r="AZ161" s="6">
        <v>116065894616981</v>
      </c>
      <c r="BA161" s="6">
        <v>112651437584914</v>
      </c>
      <c r="BB161" s="6">
        <v>980754565481013</v>
      </c>
      <c r="BC161" s="6">
        <v>109335241950171</v>
      </c>
      <c r="BD161" s="6">
        <v>108062084889125</v>
      </c>
      <c r="BE161" s="6">
        <v>135321119788966</v>
      </c>
      <c r="BF161" s="6">
        <v>13897389033606</v>
      </c>
      <c r="BG161" s="6">
        <v>12912970793278</v>
      </c>
      <c r="BH161" s="6">
        <v>128983148350194</v>
      </c>
      <c r="BI161" s="6">
        <v>11757021296608</v>
      </c>
      <c r="BJ161" s="6">
        <v>111623732707562</v>
      </c>
      <c r="BK161" s="6">
        <v>115082383606122</v>
      </c>
      <c r="BL161" s="6">
        <v>11112986010672</v>
      </c>
      <c r="BM161" s="6">
        <v>120597190690744</v>
      </c>
    </row>
    <row r="162" spans="1:65" x14ac:dyDescent="0.45">
      <c r="A162" s="1" t="s">
        <v>156</v>
      </c>
      <c r="B162" s="2">
        <v>4136907</v>
      </c>
      <c r="C162" s="3" t="s">
        <v>880</v>
      </c>
      <c r="D162" s="3" t="s">
        <v>881</v>
      </c>
      <c r="E162" s="3" t="s">
        <v>568</v>
      </c>
      <c r="F162" s="5">
        <v>531570084588</v>
      </c>
      <c r="G162" s="5">
        <v>549222351466</v>
      </c>
      <c r="H162" s="5">
        <v>51785214354</v>
      </c>
      <c r="I162" s="5">
        <v>441522267228</v>
      </c>
      <c r="J162" s="5">
        <v>479896986798</v>
      </c>
      <c r="K162" s="5">
        <v>524441185692</v>
      </c>
      <c r="L162" s="5">
        <v>451886418196</v>
      </c>
      <c r="M162" s="5">
        <v>490798876854</v>
      </c>
      <c r="N162" s="5">
        <v>50829650388</v>
      </c>
      <c r="O162" s="5">
        <v>5242917834</v>
      </c>
      <c r="P162" s="5">
        <v>4915068444</v>
      </c>
      <c r="Q162" s="5">
        <v>48837101904</v>
      </c>
      <c r="R162" s="5">
        <v>486321951429</v>
      </c>
      <c r="S162" s="5">
        <v>463615373952</v>
      </c>
      <c r="T162" s="5">
        <v>501519814544</v>
      </c>
      <c r="U162" s="5">
        <v>48586649328</v>
      </c>
      <c r="V162" s="5">
        <v>5343112488</v>
      </c>
      <c r="W162" s="5">
        <v>51004646919</v>
      </c>
      <c r="X162" s="5">
        <v>486769389552</v>
      </c>
      <c r="Y162" s="5">
        <v>470846329065</v>
      </c>
      <c r="Z162" s="5">
        <v>451368342565275</v>
      </c>
      <c r="AA162" s="5">
        <v>461227448106797</v>
      </c>
      <c r="AB162" s="5">
        <v>425999166036972</v>
      </c>
      <c r="AC162" s="5">
        <v>39186382274423</v>
      </c>
      <c r="AD162" s="5">
        <v>393865718217271</v>
      </c>
      <c r="AE162" s="5">
        <v>384391625650283</v>
      </c>
      <c r="AF162" s="5">
        <v>332238991199004</v>
      </c>
      <c r="AG162" s="5">
        <v>333691814845905</v>
      </c>
      <c r="AH162" s="5">
        <v>347270555439393</v>
      </c>
      <c r="AI162" s="5">
        <v>313178944662909</v>
      </c>
      <c r="AJ162" s="5">
        <v>329327536945074</v>
      </c>
      <c r="AK162" s="5">
        <v>32793919553997</v>
      </c>
      <c r="AL162" s="5">
        <v>311470583537619</v>
      </c>
      <c r="AM162" s="5">
        <v>26530345863021</v>
      </c>
      <c r="AN162" s="5">
        <v>35667410683485</v>
      </c>
      <c r="AO162" s="5">
        <v>394712643722168</v>
      </c>
      <c r="AP162" s="6">
        <v>443565252954851</v>
      </c>
      <c r="AQ162" s="6">
        <v>438736755430385</v>
      </c>
      <c r="AR162" s="6">
        <v>43127036072448</v>
      </c>
      <c r="AS162" s="6">
        <v>448679454997586</v>
      </c>
      <c r="AT162" s="6">
        <v>428989943595063</v>
      </c>
      <c r="AU162" s="6">
        <v>379270916715634</v>
      </c>
      <c r="AV162" s="6">
        <v>372573226689319</v>
      </c>
      <c r="AW162" s="6">
        <v>366379078353117</v>
      </c>
      <c r="AX162" s="6">
        <v>341172781512727</v>
      </c>
      <c r="AY162" s="6">
        <v>338561483941534</v>
      </c>
      <c r="AZ162" s="6">
        <v>310373057615544</v>
      </c>
      <c r="BA162" s="6">
        <v>27651276817038</v>
      </c>
      <c r="BB162" s="6">
        <v>247543170775861</v>
      </c>
      <c r="BC162" s="6">
        <v>273552224048087</v>
      </c>
      <c r="BD162" s="6">
        <v>26604724454758</v>
      </c>
      <c r="BE162" s="6">
        <v>296237744942441</v>
      </c>
      <c r="BF162" s="6">
        <v>298732366880478</v>
      </c>
      <c r="BG162" s="6">
        <v>298256475169147</v>
      </c>
      <c r="BH162" s="6">
        <v>292769088857141</v>
      </c>
      <c r="BI162" s="6">
        <v>270456969849701</v>
      </c>
      <c r="BJ162" s="6">
        <v>276908967157166</v>
      </c>
      <c r="BK162" s="6">
        <v>269400360444083</v>
      </c>
      <c r="BL162" s="6">
        <v>254425028385528</v>
      </c>
      <c r="BM162" s="6">
        <v>2862784089644</v>
      </c>
    </row>
    <row r="163" spans="1:65" x14ac:dyDescent="0.45">
      <c r="A163" s="1" t="s">
        <v>157</v>
      </c>
      <c r="B163" s="2">
        <v>4007889</v>
      </c>
      <c r="C163" s="3" t="s">
        <v>882</v>
      </c>
      <c r="D163" s="3" t="s">
        <v>883</v>
      </c>
      <c r="E163" s="3" t="s">
        <v>533</v>
      </c>
      <c r="F163" s="5">
        <v>21419961824475</v>
      </c>
      <c r="G163" s="5">
        <v>229421760802095</v>
      </c>
      <c r="H163" s="5">
        <v>220404784893226</v>
      </c>
      <c r="I163" s="5">
        <v>208752579030196</v>
      </c>
      <c r="J163" s="5">
        <v>232875707502532</v>
      </c>
      <c r="K163" s="5">
        <v>229555601920712</v>
      </c>
      <c r="L163" s="5">
        <v>219138712920146</v>
      </c>
      <c r="M163" s="5">
        <v>228084839600118</v>
      </c>
      <c r="N163" s="5">
        <v>229113578951643</v>
      </c>
      <c r="O163" s="5">
        <v>213891431443267</v>
      </c>
      <c r="P163" s="5">
        <v>190215611540873</v>
      </c>
      <c r="Q163" s="5">
        <v>200555732160363</v>
      </c>
      <c r="R163" s="5">
        <v>199078296530822</v>
      </c>
      <c r="S163" s="5">
        <v>178916863651391</v>
      </c>
      <c r="T163" s="5">
        <v>179033823020587</v>
      </c>
      <c r="U163" s="5">
        <v>172187244996321</v>
      </c>
      <c r="V163" s="5">
        <v>188312087833651</v>
      </c>
      <c r="W163" s="5">
        <v>174095701179989</v>
      </c>
      <c r="X163" s="5">
        <v>16872889034277</v>
      </c>
      <c r="Y163" s="5">
        <v>173301629567768</v>
      </c>
      <c r="Z163" s="5">
        <v>18192799248804</v>
      </c>
      <c r="AA163" s="5">
        <v>170402355215039</v>
      </c>
      <c r="AB163" s="5">
        <v>143841319044577</v>
      </c>
      <c r="AC163" s="5">
        <v>157248314162778</v>
      </c>
      <c r="AD163" s="5">
        <v>163428182596224</v>
      </c>
      <c r="AE163" s="5">
        <v>18236135893483</v>
      </c>
      <c r="AF163" s="5">
        <v>173914936698675</v>
      </c>
      <c r="AG163" s="5">
        <v>167993613215598</v>
      </c>
      <c r="AH163" s="5">
        <v>16603647145297</v>
      </c>
      <c r="AI163" s="5">
        <v>177919734220514</v>
      </c>
      <c r="AJ163" s="5">
        <v>166854119479606</v>
      </c>
      <c r="AK163" s="5">
        <v>183322490638321</v>
      </c>
      <c r="AL163" s="5">
        <v>175323452454137</v>
      </c>
      <c r="AM163" s="5">
        <v>171722846711962</v>
      </c>
      <c r="AN163" s="5">
        <v>212322031379601</v>
      </c>
      <c r="AO163" s="5">
        <v>236196871724563</v>
      </c>
      <c r="AP163" s="6">
        <v>267775540537587</v>
      </c>
      <c r="AQ163" s="6">
        <v>286822115173484</v>
      </c>
      <c r="AR163" s="6">
        <v>295363734533041</v>
      </c>
      <c r="AS163" s="6">
        <v>29337804727487</v>
      </c>
      <c r="AT163" s="6">
        <v>285793167225867</v>
      </c>
      <c r="AU163" s="6">
        <v>262860431382287</v>
      </c>
      <c r="AV163" s="6">
        <v>247215799480125</v>
      </c>
      <c r="AW163" s="6">
        <v>254524433219416</v>
      </c>
      <c r="AX163" s="6">
        <v>252673324908448</v>
      </c>
      <c r="AY163" s="6">
        <v>248262978847792</v>
      </c>
      <c r="AZ163" s="6">
        <v>239373726257784</v>
      </c>
      <c r="BA163" s="6">
        <v>233999255949257</v>
      </c>
      <c r="BB163" s="6">
        <v>212417566088625</v>
      </c>
      <c r="BC163" s="6">
        <v>23185231524144</v>
      </c>
      <c r="BD163" s="6">
        <v>211456031857157</v>
      </c>
      <c r="BE163" s="6">
        <v>210031144051745</v>
      </c>
      <c r="BF163" s="6">
        <v>214953759290844</v>
      </c>
      <c r="BG163" s="6">
        <v>205904178276682</v>
      </c>
      <c r="BH163" s="6">
        <v>201003077649842</v>
      </c>
      <c r="BI163" s="6">
        <v>202091237554869</v>
      </c>
      <c r="BJ163" s="6">
        <v>188186560904322</v>
      </c>
      <c r="BK163" s="6">
        <v>184487504103543</v>
      </c>
      <c r="BL163" s="6">
        <v>169550813064333</v>
      </c>
      <c r="BM163" s="6">
        <v>182273022423409</v>
      </c>
    </row>
    <row r="164" spans="1:65" x14ac:dyDescent="0.45">
      <c r="A164" s="1" t="s">
        <v>158</v>
      </c>
      <c r="B164" s="2">
        <v>4075407</v>
      </c>
      <c r="C164" s="3" t="s">
        <v>884</v>
      </c>
      <c r="D164" s="3" t="s">
        <v>885</v>
      </c>
      <c r="E164" s="3" t="s">
        <v>581</v>
      </c>
      <c r="F164" s="5">
        <v>711868279142605</v>
      </c>
      <c r="G164" s="5">
        <v>808421349749114</v>
      </c>
      <c r="H164" s="5">
        <v>809108749624609</v>
      </c>
      <c r="I164" s="5">
        <v>667752337810326</v>
      </c>
      <c r="J164" s="5">
        <v>705824813949179</v>
      </c>
      <c r="K164" s="5">
        <v>638662486387056</v>
      </c>
      <c r="L164" s="5">
        <v>618788150535376</v>
      </c>
      <c r="M164" s="5">
        <v>747724256199848</v>
      </c>
      <c r="N164" s="5">
        <v>648573840474676</v>
      </c>
      <c r="O164" s="5">
        <v>628303454446289</v>
      </c>
      <c r="P164" s="5">
        <v>599096077760866</v>
      </c>
      <c r="Q164" s="5">
        <v>582374566564681</v>
      </c>
      <c r="R164" s="5">
        <v>457033457241155</v>
      </c>
      <c r="S164" s="5">
        <v>451609893094584</v>
      </c>
      <c r="T164" s="5">
        <v>466851124285477</v>
      </c>
      <c r="U164" s="5">
        <v>404363771342451</v>
      </c>
      <c r="V164" s="5">
        <v>333985198074993</v>
      </c>
      <c r="W164" s="5">
        <v>358455985262596</v>
      </c>
      <c r="X164" s="5">
        <v>410702159976221</v>
      </c>
      <c r="Y164" s="5">
        <v>384706485289643</v>
      </c>
      <c r="Z164" s="5">
        <v>357290582645487</v>
      </c>
      <c r="AA164" s="5">
        <v>36066772567603</v>
      </c>
      <c r="AB164" s="5">
        <v>311382703058044</v>
      </c>
      <c r="AC164" s="5">
        <v>244907218260214</v>
      </c>
      <c r="AD164" s="5">
        <v>237835953951326</v>
      </c>
      <c r="AE164" s="5">
        <v>228827254823887</v>
      </c>
      <c r="AF164" s="5">
        <v>17107098357526</v>
      </c>
      <c r="AG164" s="5">
        <v>178204398787207</v>
      </c>
      <c r="AH164" s="5">
        <v>220826991361265</v>
      </c>
      <c r="AI164" s="5">
        <v>23050360879494</v>
      </c>
      <c r="AJ164" s="5">
        <v>262016571339239</v>
      </c>
      <c r="AK164" s="5">
        <v>266853600106866</v>
      </c>
      <c r="AL164" s="5">
        <v>252780011967049</v>
      </c>
      <c r="AM164" s="5">
        <v>19025746725076</v>
      </c>
      <c r="AN164" s="5">
        <v>334811212237374</v>
      </c>
      <c r="AO164" s="5">
        <v>382596109901379</v>
      </c>
      <c r="AP164" s="6">
        <v>77348532282168</v>
      </c>
      <c r="AQ164" s="6">
        <v>803468751451824</v>
      </c>
      <c r="AR164" s="6">
        <v>864396576219256</v>
      </c>
      <c r="AS164" s="6">
        <v>890285279408082</v>
      </c>
      <c r="AT164" s="6">
        <v>104264246127219</v>
      </c>
      <c r="AU164" s="6">
        <v>104662795840825</v>
      </c>
      <c r="AV164" s="6">
        <v>116847599976732</v>
      </c>
      <c r="AW164" s="6">
        <v>997618819474408</v>
      </c>
      <c r="AX164" s="6">
        <v>88353196452108</v>
      </c>
      <c r="AY164" s="6">
        <v>831729542670576</v>
      </c>
      <c r="AZ164" s="6">
        <v>818310195144238</v>
      </c>
      <c r="BA164" s="6">
        <v>668210863635432</v>
      </c>
      <c r="BB164" s="6">
        <v>608826379551007</v>
      </c>
      <c r="BC164" s="6">
        <v>632006300249856</v>
      </c>
      <c r="BD164" s="6">
        <v>599143137864282</v>
      </c>
      <c r="BE164" s="6">
        <v>573960107360063</v>
      </c>
      <c r="BF164" s="6">
        <v>556474500996546</v>
      </c>
      <c r="BG164" s="6">
        <v>555125343967344</v>
      </c>
      <c r="BH164" s="6">
        <v>525531715387193</v>
      </c>
      <c r="BI164" s="6">
        <v>506838772574464</v>
      </c>
      <c r="BJ164" s="6">
        <v>505689634748335</v>
      </c>
      <c r="BK164" s="6">
        <v>500230227416006</v>
      </c>
      <c r="BL164" s="6">
        <v>495361423684764</v>
      </c>
      <c r="BM164" s="6">
        <v>499217456336635</v>
      </c>
    </row>
    <row r="165" spans="1:65" x14ac:dyDescent="0.45">
      <c r="A165" s="1" t="s">
        <v>159</v>
      </c>
      <c r="B165" s="2">
        <v>4309704</v>
      </c>
      <c r="C165" s="3" t="s">
        <v>886</v>
      </c>
      <c r="D165" s="3" t="s">
        <v>887</v>
      </c>
      <c r="E165" s="3" t="s">
        <v>501</v>
      </c>
      <c r="F165" s="5">
        <v>176374496002972</v>
      </c>
      <c r="G165" s="5">
        <v>205560122684067</v>
      </c>
      <c r="H165" s="5">
        <v>2030548939356</v>
      </c>
      <c r="I165" s="5">
        <v>211893128179624</v>
      </c>
      <c r="J165" s="5">
        <v>242934925587892</v>
      </c>
      <c r="K165" s="5">
        <v>195688165495251</v>
      </c>
      <c r="L165" s="5">
        <v>161158507089589</v>
      </c>
      <c r="M165" s="5">
        <v>180331537183794</v>
      </c>
      <c r="N165" s="5">
        <v>143020523786749</v>
      </c>
      <c r="O165" s="5">
        <v>151870432562016</v>
      </c>
      <c r="P165" s="5">
        <v>10517143167375</v>
      </c>
      <c r="Q165" s="5">
        <v>241113592941137</v>
      </c>
      <c r="R165" s="5">
        <v>333379465754745</v>
      </c>
      <c r="S165" s="5">
        <v>30623205264848</v>
      </c>
      <c r="T165" s="5">
        <v>329712727708897</v>
      </c>
      <c r="U165" s="5">
        <v>278740888402268</v>
      </c>
      <c r="V165" s="5">
        <v>303605336282772</v>
      </c>
      <c r="W165" s="5">
        <v>266180520897324</v>
      </c>
      <c r="X165" s="5">
        <v>243072765271026</v>
      </c>
      <c r="Y165" s="5">
        <v>221033807762328</v>
      </c>
      <c r="Z165" s="5">
        <v>213506411781</v>
      </c>
      <c r="AA165" s="5">
        <v>1896337510704</v>
      </c>
      <c r="AB165" s="5">
        <v>1732551441582</v>
      </c>
      <c r="AC165" s="5">
        <v>158863790025842</v>
      </c>
      <c r="AD165" s="5">
        <v>164020197380951</v>
      </c>
      <c r="AE165" s="5">
        <v>150998508391397</v>
      </c>
      <c r="AF165" s="5">
        <v>14807081446297</v>
      </c>
      <c r="AG165" s="5">
        <v>153765127932238</v>
      </c>
      <c r="AH165" s="5">
        <v>152823398428134</v>
      </c>
      <c r="AI165" s="5">
        <v>136430469839521</v>
      </c>
      <c r="AJ165" s="5">
        <v>124596775250875</v>
      </c>
      <c r="AK165" s="5">
        <v>115429952273765</v>
      </c>
      <c r="AL165" s="5">
        <v>112254050942357</v>
      </c>
      <c r="AM165" s="5">
        <v>93360722923104</v>
      </c>
      <c r="AN165" s="5">
        <v>112006638286654</v>
      </c>
      <c r="AO165" s="5">
        <v>113148847508426</v>
      </c>
      <c r="AP165" s="6">
        <v>177162494388436</v>
      </c>
      <c r="AQ165" s="6">
        <v>187232163221463</v>
      </c>
      <c r="AR165" s="6">
        <v>193928715935096</v>
      </c>
      <c r="AS165" s="6">
        <v>196901264379427</v>
      </c>
      <c r="AT165" s="6">
        <v>191984086217743</v>
      </c>
      <c r="AU165" s="6">
        <v>178480359331834</v>
      </c>
      <c r="AV165" s="6">
        <v>168594549895902</v>
      </c>
      <c r="AW165" s="6">
        <v>171993324430387</v>
      </c>
      <c r="AX165" s="6">
        <v>165691958971875</v>
      </c>
      <c r="AY165" s="6">
        <v>169288580281313</v>
      </c>
      <c r="AZ165" s="6">
        <v>161423574856109</v>
      </c>
      <c r="BA165" s="6">
        <v>156414138094872</v>
      </c>
      <c r="BB165" s="6">
        <v>141489249150522</v>
      </c>
      <c r="BC165" s="6">
        <v>153171155754167</v>
      </c>
      <c r="BD165" s="6">
        <v>146376557401706</v>
      </c>
      <c r="BE165" s="6">
        <v>14025296213523</v>
      </c>
      <c r="BF165" s="6">
        <v>140138644601922</v>
      </c>
      <c r="BG165" s="6">
        <v>135701525493067</v>
      </c>
      <c r="BH165" s="6">
        <v>135333233349897</v>
      </c>
      <c r="BI165" s="6">
        <v>135405312217444</v>
      </c>
      <c r="BJ165" s="6">
        <v>131098428828602</v>
      </c>
      <c r="BK165" s="6">
        <v>129255704189837</v>
      </c>
      <c r="BL165" s="6">
        <v>121062950357813</v>
      </c>
      <c r="BM165" s="6">
        <v>123682483105</v>
      </c>
    </row>
    <row r="166" spans="1:65" x14ac:dyDescent="0.45">
      <c r="A166" s="1" t="s">
        <v>160</v>
      </c>
      <c r="B166" s="2">
        <v>4004341</v>
      </c>
      <c r="C166" s="3" t="s">
        <v>888</v>
      </c>
      <c r="D166" s="3" t="s">
        <v>889</v>
      </c>
      <c r="E166" s="3" t="s">
        <v>581</v>
      </c>
      <c r="F166" s="5">
        <v>116187425528997</v>
      </c>
      <c r="G166" s="5">
        <v>150947585135669</v>
      </c>
      <c r="H166" s="5">
        <v>15530741263996</v>
      </c>
      <c r="I166" s="5">
        <v>153527524410149</v>
      </c>
      <c r="J166" s="5">
        <v>175583786266098</v>
      </c>
      <c r="K166" s="5">
        <v>159699291934115</v>
      </c>
      <c r="L166" s="5">
        <v>121603262258632</v>
      </c>
      <c r="M166" s="5">
        <v>164368786856875</v>
      </c>
      <c r="N166" s="5">
        <v>139384341113614</v>
      </c>
      <c r="O166" s="5">
        <v>116624279055123</v>
      </c>
      <c r="P166" s="5">
        <v>775822854805973</v>
      </c>
      <c r="Q166" s="5">
        <v>7170441939576</v>
      </c>
      <c r="R166" s="5">
        <v>724812286110071</v>
      </c>
      <c r="S166" s="5">
        <v>651519083940677</v>
      </c>
      <c r="T166" s="5">
        <v>650758348881854</v>
      </c>
      <c r="U166" s="5">
        <v>667307647569499</v>
      </c>
      <c r="V166" s="5">
        <v>587027907572558</v>
      </c>
      <c r="W166" s="5">
        <v>586029718169118</v>
      </c>
      <c r="X166" s="5">
        <v>5240058052845</v>
      </c>
      <c r="Y166" s="5">
        <v>478164220441776</v>
      </c>
      <c r="Z166" s="5">
        <v>442760379001095</v>
      </c>
      <c r="AA166" s="5">
        <v>44143107976644</v>
      </c>
      <c r="AB166" s="5">
        <v>410011850058727</v>
      </c>
      <c r="AC166" s="5">
        <v>370299489616321</v>
      </c>
      <c r="AD166" s="5">
        <v>286358894203147</v>
      </c>
      <c r="AE166" s="5">
        <v>343123185363739</v>
      </c>
      <c r="AF166" s="5">
        <v>358047909121332</v>
      </c>
      <c r="AG166" s="5">
        <v>281449440410933</v>
      </c>
      <c r="AH166" s="5">
        <v>339319707470478</v>
      </c>
      <c r="AI166" s="5">
        <v>313721076957394</v>
      </c>
      <c r="AJ166" s="5">
        <v>270229621007556</v>
      </c>
      <c r="AK166" s="5">
        <v>306611673892335</v>
      </c>
      <c r="AL166" s="5">
        <v>340691710847832</v>
      </c>
      <c r="AM166" s="5">
        <v>16435138658029</v>
      </c>
      <c r="AN166" s="5">
        <v>136350852829395</v>
      </c>
      <c r="AO166" s="5">
        <v>13950720074225</v>
      </c>
      <c r="AP166" s="6">
        <v>100606297775599</v>
      </c>
      <c r="AQ166" s="6">
        <v>100403794934657</v>
      </c>
      <c r="AR166" s="6">
        <v>9405543837859</v>
      </c>
      <c r="AS166" s="6">
        <v>99418786292435</v>
      </c>
      <c r="AT166" s="6">
        <v>873722975576968</v>
      </c>
      <c r="AU166" s="6">
        <v>902845167564</v>
      </c>
      <c r="AV166" s="6">
        <v>884823329794841</v>
      </c>
      <c r="AW166" s="6">
        <v>905002781711368</v>
      </c>
      <c r="AX166" s="6">
        <v>854927048185875</v>
      </c>
      <c r="AY166" s="6">
        <v>782674066789956</v>
      </c>
      <c r="AZ166" s="6">
        <v>8071141861341</v>
      </c>
      <c r="BA166" s="6">
        <v>77731430787387</v>
      </c>
      <c r="BB166" s="6">
        <v>773090712604883</v>
      </c>
      <c r="BC166" s="6">
        <v>797274125200589</v>
      </c>
      <c r="BD166" s="6">
        <v>782370651357</v>
      </c>
      <c r="BE166" s="6">
        <v>803398280700002</v>
      </c>
      <c r="BF166" s="6">
        <v>784962675137466</v>
      </c>
      <c r="BG166" s="6">
        <v>76236618645</v>
      </c>
      <c r="BH166" s="6">
        <v>809546406852262</v>
      </c>
      <c r="BI166" s="6">
        <v>791870809963814</v>
      </c>
      <c r="BJ166" s="6">
        <v>7896542410826</v>
      </c>
      <c r="BK166" s="6">
        <v>852922316788243</v>
      </c>
      <c r="BL166" s="6">
        <v>803475088416</v>
      </c>
      <c r="BM166" s="6">
        <v>75870592871718</v>
      </c>
    </row>
    <row r="167" spans="1:65" x14ac:dyDescent="0.45">
      <c r="A167" s="1" t="s">
        <v>161</v>
      </c>
      <c r="B167" s="2">
        <v>4040823</v>
      </c>
      <c r="C167" s="3" t="s">
        <v>890</v>
      </c>
      <c r="D167" s="3" t="s">
        <v>891</v>
      </c>
      <c r="E167" s="3" t="s">
        <v>892</v>
      </c>
      <c r="F167" s="5">
        <v>222678867179137</v>
      </c>
      <c r="G167" s="5">
        <v>234344097964036</v>
      </c>
      <c r="H167" s="5">
        <v>209936363188251</v>
      </c>
      <c r="I167" s="5">
        <v>213985343201248</v>
      </c>
      <c r="J167" s="5">
        <v>229390097427626</v>
      </c>
      <c r="K167" s="5">
        <v>250694454081647</v>
      </c>
      <c r="L167" s="5">
        <v>213899711244144</v>
      </c>
      <c r="M167" s="5">
        <v>230999065801833</v>
      </c>
      <c r="N167" s="5">
        <v>236253738401752</v>
      </c>
      <c r="O167" s="5">
        <v>262334191272653</v>
      </c>
      <c r="P167" s="5">
        <v>237371254510373</v>
      </c>
      <c r="Q167" s="5">
        <v>261153679696888</v>
      </c>
      <c r="R167" s="5">
        <v>314093212009252</v>
      </c>
      <c r="S167" s="5">
        <v>301610056845673</v>
      </c>
      <c r="T167" s="5">
        <v>292707830487038</v>
      </c>
      <c r="U167" s="5">
        <v>26639815161777</v>
      </c>
      <c r="V167" s="5">
        <v>281028245129161</v>
      </c>
      <c r="W167" s="5">
        <v>267659196675666</v>
      </c>
      <c r="X167" s="5">
        <v>245842429867061</v>
      </c>
      <c r="Y167" s="5">
        <v>234703710839083</v>
      </c>
      <c r="Z167" s="5">
        <v>231914993600789</v>
      </c>
      <c r="AA167" s="5">
        <v>18892697068948</v>
      </c>
      <c r="AB167" s="5">
        <v>162944927212532</v>
      </c>
      <c r="AC167" s="5">
        <v>177480985815292</v>
      </c>
      <c r="AD167" s="5">
        <v>191766104339985</v>
      </c>
      <c r="AE167" s="5">
        <v>169868584288547</v>
      </c>
      <c r="AF167" s="5">
        <v>142585565690393</v>
      </c>
      <c r="AG167" s="5">
        <v>162286642991942</v>
      </c>
      <c r="AH167" s="5">
        <v>170960909803169</v>
      </c>
      <c r="AI167" s="5">
        <v>166897080572334</v>
      </c>
      <c r="AJ167" s="5">
        <v>185394636910418</v>
      </c>
      <c r="AK167" s="5">
        <v>167665915231291</v>
      </c>
      <c r="AL167" s="5">
        <v>154120875533331</v>
      </c>
      <c r="AM167" s="5">
        <v>13258176931545</v>
      </c>
      <c r="AN167" s="5">
        <v>156584387517538</v>
      </c>
      <c r="AO167" s="5">
        <v>163716601339632</v>
      </c>
      <c r="AP167" s="6">
        <v>132187723435232</v>
      </c>
      <c r="AQ167" s="6">
        <v>130870791677356</v>
      </c>
      <c r="AR167" s="6">
        <v>135002129041789</v>
      </c>
      <c r="AS167" s="6">
        <v>143734476006052</v>
      </c>
      <c r="AT167" s="6">
        <v>13915657369432</v>
      </c>
      <c r="AU167" s="6">
        <v>132668168023459</v>
      </c>
      <c r="AV167" s="6">
        <v>129030014507745</v>
      </c>
      <c r="AW167" s="6">
        <v>127315403353741</v>
      </c>
      <c r="AX167" s="6">
        <v>130114476856361</v>
      </c>
      <c r="AY167" s="6">
        <v>130412504661467</v>
      </c>
      <c r="AZ167" s="6">
        <v>125009522338508</v>
      </c>
      <c r="BA167" s="6">
        <v>131833871971499</v>
      </c>
      <c r="BB167" s="6">
        <v>130628717770722</v>
      </c>
      <c r="BC167" s="6">
        <v>138144211348735</v>
      </c>
      <c r="BD167" s="6">
        <v>134396276549781</v>
      </c>
      <c r="BE167" s="6">
        <v>128425879013558</v>
      </c>
      <c r="BF167" s="6">
        <v>133530706231652</v>
      </c>
      <c r="BG167" s="6">
        <v>130057507482226</v>
      </c>
      <c r="BH167" s="6">
        <v>130592782467664</v>
      </c>
      <c r="BI167" s="6">
        <v>691702355436624</v>
      </c>
      <c r="BJ167" s="6">
        <v>638226319936741</v>
      </c>
      <c r="BK167" s="6">
        <v>608276480015296</v>
      </c>
      <c r="BL167" s="6">
        <v>567650201637519</v>
      </c>
      <c r="BM167" s="6">
        <v>590109638774342</v>
      </c>
    </row>
    <row r="168" spans="1:65" x14ac:dyDescent="0.45">
      <c r="A168" s="1" t="s">
        <v>162</v>
      </c>
      <c r="B168" s="2">
        <v>4570011</v>
      </c>
      <c r="C168" s="3" t="s">
        <v>893</v>
      </c>
      <c r="D168" s="3" t="s">
        <v>894</v>
      </c>
      <c r="E168" s="3" t="s">
        <v>836</v>
      </c>
      <c r="F168" s="5">
        <v>567176814420287</v>
      </c>
      <c r="G168" s="5">
        <v>619749322162701</v>
      </c>
      <c r="H168" s="5">
        <v>521715792854428</v>
      </c>
      <c r="I168" s="5">
        <v>528329909584609</v>
      </c>
      <c r="J168" s="5">
        <v>594450166934695</v>
      </c>
      <c r="K168" s="5">
        <v>628370229783388</v>
      </c>
      <c r="L168" s="5">
        <v>572076878852483</v>
      </c>
      <c r="M168" s="5">
        <v>582936923975134</v>
      </c>
      <c r="N168" s="5">
        <v>621073623599316</v>
      </c>
      <c r="O168" s="5">
        <v>605659393562506</v>
      </c>
      <c r="P168" s="5">
        <v>57337017999933</v>
      </c>
      <c r="Q168" s="5">
        <v>58273829057664</v>
      </c>
      <c r="R168" s="5">
        <v>669678824610144</v>
      </c>
      <c r="S168" s="5">
        <v>64882233654208</v>
      </c>
      <c r="T168" s="5">
        <v>649700075529142</v>
      </c>
      <c r="U168" s="5">
        <v>611848848359019</v>
      </c>
      <c r="V168" s="5">
        <v>641328808061639</v>
      </c>
      <c r="W168" s="5">
        <v>620717484548654</v>
      </c>
      <c r="X168" s="5">
        <v>60637788577393</v>
      </c>
      <c r="Y168" s="5">
        <v>541491504997966</v>
      </c>
      <c r="Z168" s="5">
        <v>536733941272679</v>
      </c>
      <c r="AA168" s="5">
        <v>516986262713768</v>
      </c>
      <c r="AB168" s="5">
        <v>478451701450176</v>
      </c>
      <c r="AC168" s="5">
        <v>543145422623416</v>
      </c>
      <c r="AD168" s="5">
        <v>520213403573401</v>
      </c>
      <c r="AE168" s="5">
        <v>520212283564769</v>
      </c>
      <c r="AF168" s="5">
        <v>559092845083927</v>
      </c>
      <c r="AG168" s="5">
        <v>573253876649075</v>
      </c>
      <c r="AH168" s="5">
        <v>585053459071045</v>
      </c>
      <c r="AI168" s="5">
        <v>587989370179248</v>
      </c>
      <c r="AJ168" s="5">
        <v>552387209136163</v>
      </c>
      <c r="AK168" s="5">
        <v>555444859969826</v>
      </c>
      <c r="AL168" s="5">
        <v>530341990534541</v>
      </c>
      <c r="AM168" s="5">
        <v>485627742648321</v>
      </c>
      <c r="AN168" s="5">
        <v>445031935466563</v>
      </c>
      <c r="AO168" s="5">
        <v>453629343692991</v>
      </c>
      <c r="AP168" s="6">
        <v>245430163351067</v>
      </c>
      <c r="AQ168" s="6">
        <v>242834202413012</v>
      </c>
      <c r="AR168" s="6">
        <v>243100062612499</v>
      </c>
      <c r="AS168" s="6">
        <v>253653964695782</v>
      </c>
      <c r="AT168" s="6">
        <v>235757668124308</v>
      </c>
      <c r="AU168" s="6">
        <v>2208390804</v>
      </c>
      <c r="AV168" s="6">
        <v>215340251306631</v>
      </c>
      <c r="AW168" s="6">
        <v>212703351977248</v>
      </c>
      <c r="AX168" s="6">
        <v>20293557856803</v>
      </c>
      <c r="AY168" s="6">
        <v>20058722454177</v>
      </c>
      <c r="AZ168" s="6">
        <v>194309917283552</v>
      </c>
      <c r="BA168" s="6">
        <v>192016733537534</v>
      </c>
      <c r="BB168" s="6">
        <v>180009949285563</v>
      </c>
      <c r="BC168" s="6">
        <v>191265581080535</v>
      </c>
      <c r="BD168" s="6">
        <v>177108143551397</v>
      </c>
      <c r="BE168" s="6">
        <v>167573677022577</v>
      </c>
      <c r="BF168" s="6">
        <v>170432104258486</v>
      </c>
      <c r="BG168" s="6">
        <v>164416962006739</v>
      </c>
      <c r="BH168" s="6">
        <v>159186416340168</v>
      </c>
      <c r="BI168" s="6">
        <v>155139420153329</v>
      </c>
      <c r="BJ168" s="6">
        <v>158123007776824</v>
      </c>
      <c r="BK168" s="6">
        <v>151831854817452</v>
      </c>
      <c r="BL168" s="6">
        <v>14793180174864</v>
      </c>
      <c r="BM168" s="6">
        <v>160718305713202</v>
      </c>
    </row>
    <row r="169" spans="1:65" x14ac:dyDescent="0.45">
      <c r="A169" s="1" t="s">
        <v>163</v>
      </c>
      <c r="B169" s="2">
        <v>103054</v>
      </c>
      <c r="C169" s="3" t="s">
        <v>895</v>
      </c>
      <c r="D169" s="3" t="s">
        <v>896</v>
      </c>
      <c r="E169" s="3" t="s">
        <v>623</v>
      </c>
      <c r="F169" s="5">
        <v>20863505273196</v>
      </c>
      <c r="G169" s="5">
        <v>237691129703186</v>
      </c>
      <c r="H169" s="5">
        <v>240855762272239</v>
      </c>
      <c r="I169" s="5">
        <v>257832662920566</v>
      </c>
      <c r="J169" s="5">
        <v>273289114935057</v>
      </c>
      <c r="K169" s="5">
        <v>289060257575326</v>
      </c>
      <c r="L169" s="5">
        <v>259790963174505</v>
      </c>
      <c r="M169" s="5">
        <v>269295763106063</v>
      </c>
      <c r="N169" s="5">
        <v>290813280070622</v>
      </c>
      <c r="O169" s="5">
        <v>304289910562561</v>
      </c>
      <c r="P169" s="5">
        <v>285545421312853</v>
      </c>
      <c r="Q169" s="5">
        <v>29708089076732</v>
      </c>
      <c r="R169" s="5">
        <v>298425346424163</v>
      </c>
      <c r="S169" s="5">
        <v>283838647950331</v>
      </c>
      <c r="T169" s="5">
        <v>280207320870758</v>
      </c>
      <c r="U169" s="5">
        <v>261437784762225</v>
      </c>
      <c r="V169" s="5">
        <v>26670388314051</v>
      </c>
      <c r="W169" s="5">
        <v>265571097272058</v>
      </c>
      <c r="X169" s="5">
        <v>242885825219422</v>
      </c>
      <c r="Y169" s="5">
        <v>237671909732128</v>
      </c>
      <c r="Z169" s="5">
        <v>230788991500992</v>
      </c>
      <c r="AA169" s="5">
        <v>227431739090634</v>
      </c>
      <c r="AB169" s="5">
        <v>201466820881885</v>
      </c>
      <c r="AC169" s="5">
        <v>18902659643075</v>
      </c>
      <c r="AD169" s="5">
        <v>180399136010886</v>
      </c>
      <c r="AE169" s="5">
        <v>180400118759463</v>
      </c>
      <c r="AF169" s="5">
        <v>15006845499185</v>
      </c>
      <c r="AG169" s="5">
        <v>162702833002227</v>
      </c>
      <c r="AH169" s="5">
        <v>175759209056686</v>
      </c>
      <c r="AI169" s="5">
        <v>168735145407523</v>
      </c>
      <c r="AJ169" s="5">
        <v>194500577722504</v>
      </c>
      <c r="AK169" s="5">
        <v>202710666108115</v>
      </c>
      <c r="AL169" s="5">
        <v>221295289434367</v>
      </c>
      <c r="AM169" s="5">
        <v>208888589798889</v>
      </c>
      <c r="AN169" s="5">
        <v>254018242760451</v>
      </c>
      <c r="AO169" s="5">
        <v>278523321725334</v>
      </c>
      <c r="AP169" s="6">
        <v>394921646957324</v>
      </c>
      <c r="AQ169" s="6">
        <v>391734986608056</v>
      </c>
      <c r="AR169" s="6">
        <v>396708674683853</v>
      </c>
      <c r="AS169" s="6">
        <v>430461492253141</v>
      </c>
      <c r="AT169" s="6">
        <v>417478121190488</v>
      </c>
      <c r="AU169" s="6">
        <v>393104773226944</v>
      </c>
      <c r="AV169" s="6">
        <v>409060105790697</v>
      </c>
      <c r="AW169" s="6">
        <v>418797773433993</v>
      </c>
      <c r="AX169" s="6">
        <v>441065136004973</v>
      </c>
      <c r="AY169" s="6">
        <v>433237185546878</v>
      </c>
      <c r="AZ169" s="6">
        <v>413760323840531</v>
      </c>
      <c r="BA169" s="6">
        <v>403189685144021</v>
      </c>
      <c r="BB169" s="6">
        <v>380908426782536</v>
      </c>
      <c r="BC169" s="6">
        <v>396199829256814</v>
      </c>
      <c r="BD169" s="6">
        <v>373865151663106</v>
      </c>
      <c r="BE169" s="6">
        <v>362969984870636</v>
      </c>
      <c r="BF169" s="6">
        <v>363723421074617</v>
      </c>
      <c r="BG169" s="6">
        <v>350590511158838</v>
      </c>
      <c r="BH169" s="6">
        <v>352484687022107</v>
      </c>
      <c r="BI169" s="6">
        <v>342712540970296</v>
      </c>
      <c r="BJ169" s="6">
        <v>317123419594109</v>
      </c>
      <c r="BK169" s="6">
        <v>306122144123265</v>
      </c>
      <c r="BL169" s="6">
        <v>292749002410082</v>
      </c>
      <c r="BM169" s="6">
        <v>297462524602514</v>
      </c>
    </row>
    <row r="170" spans="1:65" x14ac:dyDescent="0.45">
      <c r="A170" s="1" t="s">
        <v>164</v>
      </c>
      <c r="B170" s="2">
        <v>103619</v>
      </c>
      <c r="C170" s="3" t="s">
        <v>897</v>
      </c>
      <c r="D170" s="3" t="s">
        <v>898</v>
      </c>
      <c r="E170" s="3" t="s">
        <v>556</v>
      </c>
      <c r="F170" s="5">
        <v>121692800061559</v>
      </c>
      <c r="G170" s="5">
        <v>14318721909037</v>
      </c>
      <c r="H170" s="5">
        <v>135908798890939</v>
      </c>
      <c r="I170" s="5">
        <v>118547268540706</v>
      </c>
      <c r="J170" s="5">
        <v>111588668338024</v>
      </c>
      <c r="K170" s="5">
        <v>10425247672373</v>
      </c>
      <c r="L170" s="5">
        <v>961343753659807</v>
      </c>
      <c r="M170" s="5">
        <v>81760319952597</v>
      </c>
      <c r="N170" s="5">
        <v>795274991884066</v>
      </c>
      <c r="O170" s="5">
        <v>829067496864617</v>
      </c>
      <c r="P170" s="5">
        <v>81533787171954</v>
      </c>
      <c r="Q170" s="5">
        <v>859459696308864</v>
      </c>
      <c r="R170" s="5">
        <v>885821413643618</v>
      </c>
      <c r="S170" s="5">
        <v>862001778699658</v>
      </c>
      <c r="T170" s="5">
        <v>930678538356758</v>
      </c>
      <c r="U170" s="5">
        <v>804954285685757</v>
      </c>
      <c r="V170" s="5">
        <v>784508277987446</v>
      </c>
      <c r="W170" s="5">
        <v>815001752448036</v>
      </c>
      <c r="X170" s="5">
        <v>852698145767652</v>
      </c>
      <c r="Y170" s="5">
        <v>862924867426422</v>
      </c>
      <c r="Z170" s="5">
        <v>930314276678297</v>
      </c>
      <c r="AA170" s="5">
        <v>984175423837776</v>
      </c>
      <c r="AB170" s="5">
        <v>104629751258742</v>
      </c>
      <c r="AC170" s="5">
        <v>10471871201117</v>
      </c>
      <c r="AD170" s="5">
        <v>10498655117304</v>
      </c>
      <c r="AE170" s="5">
        <v>987064789386892</v>
      </c>
      <c r="AF170" s="5">
        <v>104488619336314</v>
      </c>
      <c r="AG170" s="5">
        <v>936377924809286</v>
      </c>
      <c r="AH170" s="5">
        <v>933596689478208</v>
      </c>
      <c r="AI170" s="5">
        <v>928743541333445</v>
      </c>
      <c r="AJ170" s="5">
        <v>891659064965112</v>
      </c>
      <c r="AK170" s="5">
        <v>847754086458384</v>
      </c>
      <c r="AL170" s="5">
        <v>851094185440673</v>
      </c>
      <c r="AM170" s="5">
        <v>70538195294112</v>
      </c>
      <c r="AN170" s="5">
        <v>679544253289541</v>
      </c>
      <c r="AO170" s="5">
        <v>7853049245844</v>
      </c>
      <c r="AP170" s="6">
        <v>139617560957307</v>
      </c>
      <c r="AQ170" s="6">
        <v>133681660222956</v>
      </c>
      <c r="AR170" s="6">
        <v>199826731331501</v>
      </c>
      <c r="AS170" s="6">
        <v>209887953224916</v>
      </c>
      <c r="AT170" s="6">
        <v>201407649683494</v>
      </c>
      <c r="AU170" s="6">
        <v>203076248835965</v>
      </c>
      <c r="AV170" s="6">
        <v>173910500957332</v>
      </c>
      <c r="AW170" s="6">
        <v>153470484368335</v>
      </c>
      <c r="AX170" s="6">
        <v>172386359561178</v>
      </c>
      <c r="AY170" s="6">
        <v>15606440742816</v>
      </c>
      <c r="AZ170" s="6">
        <v>159375469507573</v>
      </c>
      <c r="BA170" s="6">
        <v>15509020486968</v>
      </c>
      <c r="BB170" s="6">
        <v>146573723925763</v>
      </c>
      <c r="BC170" s="6">
        <v>158928498335785</v>
      </c>
      <c r="BD170" s="6">
        <v>16508959965589</v>
      </c>
      <c r="BE170" s="6">
        <v>167839771089661</v>
      </c>
      <c r="BF170" s="6">
        <v>16802152455528</v>
      </c>
      <c r="BG170" s="6">
        <v>170921668063731</v>
      </c>
      <c r="BH170" s="6">
        <v>154674489271031</v>
      </c>
      <c r="BI170" s="6">
        <v>15586453339812</v>
      </c>
      <c r="BJ170" s="6">
        <v>143179325335154</v>
      </c>
      <c r="BK170" s="6">
        <v>136567309015266</v>
      </c>
      <c r="BL170" s="6">
        <v>131013710837591</v>
      </c>
      <c r="BM170" s="6">
        <v>156928396171195</v>
      </c>
    </row>
    <row r="171" spans="1:65" x14ac:dyDescent="0.45">
      <c r="A171" s="1" t="s">
        <v>165</v>
      </c>
      <c r="B171" s="2">
        <v>103163</v>
      </c>
      <c r="C171" s="3" t="s">
        <v>899</v>
      </c>
      <c r="D171" s="3" t="s">
        <v>900</v>
      </c>
      <c r="E171" s="3" t="s">
        <v>623</v>
      </c>
      <c r="F171" s="5">
        <v>128402628689897</v>
      </c>
      <c r="G171" s="5">
        <v>138380506023766</v>
      </c>
      <c r="H171" s="5">
        <v>145535042040013</v>
      </c>
      <c r="I171" s="5">
        <v>160874189473807</v>
      </c>
      <c r="J171" s="5">
        <v>171393023193923</v>
      </c>
      <c r="K171" s="5">
        <v>182943438419623</v>
      </c>
      <c r="L171" s="5">
        <v>163437397290292</v>
      </c>
      <c r="M171" s="5">
        <v>17285588377643</v>
      </c>
      <c r="N171" s="5">
        <v>204129311465623</v>
      </c>
      <c r="O171" s="5">
        <v>203017428914399</v>
      </c>
      <c r="P171" s="5">
        <v>184373045667911</v>
      </c>
      <c r="Q171" s="5">
        <v>19321713159336</v>
      </c>
      <c r="R171" s="5">
        <v>201587321868552</v>
      </c>
      <c r="S171" s="5">
        <v>196012763282366</v>
      </c>
      <c r="T171" s="5">
        <v>191339649676546</v>
      </c>
      <c r="U171" s="5">
        <v>17941262048774</v>
      </c>
      <c r="V171" s="5">
        <v>182229444641266</v>
      </c>
      <c r="W171" s="5">
        <v>179878678153113</v>
      </c>
      <c r="X171" s="5">
        <v>164465724090069</v>
      </c>
      <c r="Y171" s="5">
        <v>15748289833865</v>
      </c>
      <c r="Z171" s="5">
        <v>156978396948892</v>
      </c>
      <c r="AA171" s="5">
        <v>15053226052583</v>
      </c>
      <c r="AB171" s="5">
        <v>136867981951093</v>
      </c>
      <c r="AC171" s="5">
        <v>1287078754828</v>
      </c>
      <c r="AD171" s="5">
        <v>126556208960904</v>
      </c>
      <c r="AE171" s="5">
        <v>134144035845287</v>
      </c>
      <c r="AF171" s="5">
        <v>114472376541317</v>
      </c>
      <c r="AG171" s="5">
        <v>111504289068307</v>
      </c>
      <c r="AH171" s="5">
        <v>118102134241768</v>
      </c>
      <c r="AI171" s="5">
        <v>122063238346643</v>
      </c>
      <c r="AJ171" s="5">
        <v>13321620395018</v>
      </c>
      <c r="AK171" s="5">
        <v>142852934603783</v>
      </c>
      <c r="AL171" s="5">
        <v>147671695457751</v>
      </c>
      <c r="AM171" s="5">
        <v>13262102398272</v>
      </c>
      <c r="AN171" s="5">
        <v>170498483713958</v>
      </c>
      <c r="AO171" s="5">
        <v>1846633744384</v>
      </c>
      <c r="AP171" s="6">
        <v>118399593835094</v>
      </c>
      <c r="AQ171" s="6">
        <v>115553100487591</v>
      </c>
      <c r="AR171" s="6">
        <v>111709824966719</v>
      </c>
      <c r="AS171" s="6">
        <v>116313950787389</v>
      </c>
      <c r="AT171" s="6">
        <v>110360531519327</v>
      </c>
      <c r="AU171" s="6">
        <v>117990005752534</v>
      </c>
      <c r="AV171" s="6">
        <v>114662388996827</v>
      </c>
      <c r="AW171" s="6">
        <v>107375646731835</v>
      </c>
      <c r="AX171" s="6">
        <v>121816200142445</v>
      </c>
      <c r="AY171" s="6">
        <v>116221485114603</v>
      </c>
      <c r="AZ171" s="6">
        <v>11298190764041</v>
      </c>
      <c r="BA171" s="6">
        <v>104415097489164</v>
      </c>
      <c r="BB171" s="6">
        <v>102638983372453</v>
      </c>
      <c r="BC171" s="6">
        <v>115985170293243</v>
      </c>
      <c r="BD171" s="6">
        <v>103474273886685</v>
      </c>
      <c r="BE171" s="6">
        <v>110332180967078</v>
      </c>
      <c r="BF171" s="6">
        <v>110059256996907</v>
      </c>
      <c r="BG171" s="6">
        <v>113694500240138</v>
      </c>
      <c r="BH171" s="6">
        <v>10944408794855</v>
      </c>
      <c r="BI171" s="6">
        <v>111588261733111</v>
      </c>
      <c r="BJ171" s="6">
        <v>926341562917992</v>
      </c>
      <c r="BK171" s="6">
        <v>901587932036772</v>
      </c>
      <c r="BL171" s="6">
        <v>939240660470112</v>
      </c>
      <c r="BM171" s="6">
        <v>927845310641925</v>
      </c>
    </row>
    <row r="172" spans="1:65" x14ac:dyDescent="0.45">
      <c r="A172" s="1" t="s">
        <v>166</v>
      </c>
      <c r="B172" s="2">
        <v>4050636</v>
      </c>
      <c r="C172" s="3" t="s">
        <v>901</v>
      </c>
      <c r="D172" s="3" t="s">
        <v>902</v>
      </c>
      <c r="E172" s="3" t="s">
        <v>903</v>
      </c>
      <c r="F172" s="5">
        <v>121399597008925</v>
      </c>
      <c r="G172" s="5">
        <v>128343980127842</v>
      </c>
      <c r="H172" s="5">
        <v>128598705413425</v>
      </c>
      <c r="I172" s="5">
        <v>105476690980783</v>
      </c>
      <c r="J172" s="5">
        <v>105280991661737</v>
      </c>
      <c r="K172" s="5">
        <v>1009997717172</v>
      </c>
      <c r="L172" s="5">
        <v>105739428931376</v>
      </c>
      <c r="M172" s="5">
        <v>103847354007248</v>
      </c>
      <c r="N172" s="5">
        <v>10283001639912</v>
      </c>
      <c r="O172" s="5">
        <v>106545460859625</v>
      </c>
      <c r="P172" s="5">
        <v>104292290286922</v>
      </c>
      <c r="Q172" s="5">
        <v>996113206138752</v>
      </c>
      <c r="R172" s="5">
        <v>948233919516826</v>
      </c>
      <c r="S172" s="5">
        <v>895489188195274</v>
      </c>
      <c r="T172" s="5">
        <v>89053718308</v>
      </c>
      <c r="U172" s="5">
        <v>858667380623551</v>
      </c>
      <c r="V172" s="5">
        <v>894838612974696</v>
      </c>
      <c r="W172" s="5">
        <v>852862463535</v>
      </c>
      <c r="X172" s="5">
        <v>851956220066985</v>
      </c>
      <c r="Y172" s="5">
        <v>85497028469595</v>
      </c>
      <c r="Z172" s="5">
        <v>922802013987</v>
      </c>
      <c r="AA172" s="5">
        <v>844360436370744</v>
      </c>
      <c r="AB172" s="5">
        <v>799104090456</v>
      </c>
      <c r="AC172" s="5">
        <v>694953911678479</v>
      </c>
      <c r="AD172" s="5">
        <v>764817389092598</v>
      </c>
      <c r="AE172" s="5">
        <v>76017512039334</v>
      </c>
      <c r="AF172" s="5">
        <v>6758993146516</v>
      </c>
      <c r="AG172" s="5">
        <v>672425794029494</v>
      </c>
      <c r="AH172" s="5">
        <v>735868453046832</v>
      </c>
      <c r="AI172" s="5">
        <v>739532580777362</v>
      </c>
      <c r="AJ172" s="5">
        <v>732679338405048</v>
      </c>
      <c r="AK172" s="5">
        <v>713647419124213</v>
      </c>
      <c r="AL172" s="5">
        <v>645905754964246</v>
      </c>
      <c r="AM172" s="5">
        <v>71465217327504</v>
      </c>
      <c r="AN172" s="5">
        <v>9195983789916</v>
      </c>
      <c r="AO172" s="5">
        <v>101737600531459</v>
      </c>
      <c r="AP172" s="6">
        <v>121892682254627</v>
      </c>
      <c r="AQ172" s="6">
        <v>124655138928037</v>
      </c>
      <c r="AR172" s="6">
        <v>130338503006898</v>
      </c>
      <c r="AS172" s="6">
        <v>137687427329792</v>
      </c>
      <c r="AT172" s="6">
        <v>142460600607068</v>
      </c>
      <c r="AU172" s="6">
        <v>129775626922244</v>
      </c>
      <c r="AV172" s="6">
        <v>118838653674447</v>
      </c>
      <c r="AW172" s="6">
        <v>122525321990443</v>
      </c>
      <c r="AX172" s="6">
        <v>117874330190662</v>
      </c>
      <c r="AY172" s="6">
        <v>115589343010868</v>
      </c>
      <c r="AZ172" s="6">
        <v>107242512690739</v>
      </c>
      <c r="BA172" s="6">
        <v>108912678175816</v>
      </c>
      <c r="BB172" s="6">
        <v>999790520141213</v>
      </c>
      <c r="BC172" s="6">
        <v>107246478554557</v>
      </c>
      <c r="BD172" s="6">
        <v>10065735350584</v>
      </c>
      <c r="BE172" s="6">
        <v>94333941712008</v>
      </c>
      <c r="BF172" s="6">
        <v>100491895692215</v>
      </c>
      <c r="BG172" s="6">
        <v>101291958216451</v>
      </c>
      <c r="BH172" s="6">
        <v>107915485373786</v>
      </c>
      <c r="BI172" s="6">
        <v>104107772194965</v>
      </c>
      <c r="BJ172" s="6">
        <v>935412154465012</v>
      </c>
      <c r="BK172" s="6">
        <v>895385118435226</v>
      </c>
      <c r="BL172" s="6">
        <v>877714363034145</v>
      </c>
      <c r="BM172" s="6">
        <v>845647716772</v>
      </c>
    </row>
    <row r="173" spans="1:65" x14ac:dyDescent="0.45">
      <c r="A173" s="1" t="s">
        <v>167</v>
      </c>
      <c r="B173" s="2">
        <v>8603803</v>
      </c>
      <c r="C173" s="3" t="s">
        <v>904</v>
      </c>
      <c r="D173" s="3" t="s">
        <v>905</v>
      </c>
      <c r="E173" s="3" t="s">
        <v>533</v>
      </c>
      <c r="F173" s="5">
        <v>135159289093224</v>
      </c>
      <c r="G173" s="5">
        <v>131790466203677</v>
      </c>
      <c r="H173" s="5">
        <v>141892264805972</v>
      </c>
      <c r="I173" s="5">
        <v>139035521540639</v>
      </c>
      <c r="J173" s="5">
        <v>156174656790706</v>
      </c>
      <c r="K173" s="5">
        <v>153571690522127</v>
      </c>
      <c r="L173" s="5">
        <v>143236094531094</v>
      </c>
      <c r="M173" s="5">
        <v>149599352721084</v>
      </c>
      <c r="N173" s="5">
        <v>147645251237901</v>
      </c>
      <c r="O173" s="5">
        <v>141079258245688</v>
      </c>
      <c r="P173" s="5">
        <v>127442505055913</v>
      </c>
      <c r="Q173" s="5">
        <v>132987054283776</v>
      </c>
      <c r="R173" s="5">
        <v>138335505365871</v>
      </c>
      <c r="S173" s="5">
        <v>12877584599352</v>
      </c>
      <c r="T173" s="5">
        <v>12641597786349</v>
      </c>
      <c r="U173" s="5">
        <v>123055343544298</v>
      </c>
      <c r="V173" s="5">
        <v>132971741198222</v>
      </c>
      <c r="W173" s="5">
        <v>126052327230109</v>
      </c>
      <c r="X173" s="5">
        <v>116849992820183</v>
      </c>
      <c r="Y173" s="5">
        <v>116611859543881</v>
      </c>
      <c r="Z173" s="5">
        <v>121917883479343</v>
      </c>
      <c r="AA173" s="5">
        <v>115129947197964</v>
      </c>
      <c r="AB173" s="5">
        <v>100593787640885</v>
      </c>
      <c r="AC173" s="5">
        <v>100402046994132</v>
      </c>
      <c r="AD173" s="5">
        <v>10293496655715</v>
      </c>
      <c r="AE173" s="5">
        <v>105162731567946</v>
      </c>
      <c r="AF173" s="5">
        <v>107441673064848</v>
      </c>
      <c r="AG173" s="5">
        <v>981671304631248</v>
      </c>
      <c r="AH173" s="5">
        <v>100980286443162</v>
      </c>
      <c r="AI173" s="5">
        <v>124255588668347</v>
      </c>
      <c r="AJ173" s="5">
        <v>119458429228691</v>
      </c>
      <c r="AK173" s="5">
        <v>125818637695827</v>
      </c>
      <c r="AL173" s="5">
        <v>121061454645643</v>
      </c>
      <c r="AM173" s="5">
        <v>113546828501925</v>
      </c>
      <c r="AN173" s="5">
        <v>13542635541934</v>
      </c>
      <c r="AO173" s="5">
        <v>148338358899174</v>
      </c>
      <c r="AP173" s="6">
        <v>263094228583491</v>
      </c>
      <c r="AQ173" s="6">
        <v>261629546596624</v>
      </c>
      <c r="AR173" s="6">
        <v>256477169085394</v>
      </c>
      <c r="AS173" s="6">
        <v>273991342781077</v>
      </c>
      <c r="AT173" s="6">
        <v>263437207774729</v>
      </c>
      <c r="AU173" s="6">
        <v>282689792885368</v>
      </c>
      <c r="AV173" s="6">
        <v>284932204962286</v>
      </c>
      <c r="AW173" s="6">
        <v>26862270456715</v>
      </c>
      <c r="AX173" s="6">
        <v>3031507269</v>
      </c>
      <c r="AY173" s="6">
        <v>304875284454497</v>
      </c>
      <c r="AZ173" s="6">
        <v>293879378558667</v>
      </c>
      <c r="BA173" s="6">
        <v>270851208961565</v>
      </c>
      <c r="BB173" s="6">
        <v>252153471759537</v>
      </c>
      <c r="BC173" s="6">
        <v>297274230157248</v>
      </c>
      <c r="BD173" s="6">
        <v>298048732535053</v>
      </c>
      <c r="BE173" s="6">
        <v>309816328965836</v>
      </c>
      <c r="BF173" s="6">
        <v>292414271878676</v>
      </c>
      <c r="BG173" s="6">
        <v>294887817518209</v>
      </c>
      <c r="BH173" s="6">
        <v>300212236900167</v>
      </c>
      <c r="BI173" s="6">
        <v>295011669876994</v>
      </c>
      <c r="BJ173" s="6">
        <v>2726380567</v>
      </c>
      <c r="BK173" s="6">
        <v>257098914428607</v>
      </c>
      <c r="BL173" s="6">
        <v>262854269432659</v>
      </c>
      <c r="BM173" s="6">
        <v>297362095923716</v>
      </c>
    </row>
    <row r="174" spans="1:65" x14ac:dyDescent="0.45">
      <c r="A174" s="1" t="s">
        <v>168</v>
      </c>
      <c r="B174" s="2">
        <v>4057052</v>
      </c>
      <c r="C174" s="3" t="s">
        <v>906</v>
      </c>
      <c r="D174" s="3" t="s">
        <v>907</v>
      </c>
      <c r="E174" s="3" t="s">
        <v>533</v>
      </c>
      <c r="F174" s="5">
        <v>273243991288366</v>
      </c>
      <c r="G174" s="5">
        <v>279862716893203</v>
      </c>
      <c r="H174" s="5">
        <v>267253178109126</v>
      </c>
      <c r="I174" s="5">
        <v>275434935894841</v>
      </c>
      <c r="J174" s="5">
        <v>308518862548545</v>
      </c>
      <c r="K174" s="5">
        <v>298288162344248</v>
      </c>
      <c r="L174" s="5">
        <v>278675335911003</v>
      </c>
      <c r="M174" s="5">
        <v>296772712634162</v>
      </c>
      <c r="N174" s="5">
        <v>285997641790099</v>
      </c>
      <c r="O174" s="5">
        <v>273689223027595</v>
      </c>
      <c r="P174" s="5">
        <v>250900015559245</v>
      </c>
      <c r="Q174" s="5">
        <v>274689401930577</v>
      </c>
      <c r="R174" s="5">
        <v>275040228257258</v>
      </c>
      <c r="S174" s="5">
        <v>250943669647545</v>
      </c>
      <c r="T174" s="5">
        <v>252308101198476</v>
      </c>
      <c r="U174" s="5">
        <v>242414639378486</v>
      </c>
      <c r="V174" s="5">
        <v>264146391401543</v>
      </c>
      <c r="W174" s="5">
        <v>249787861458088</v>
      </c>
      <c r="X174" s="5">
        <v>232438719291114</v>
      </c>
      <c r="Y174" s="5">
        <v>22880477516926</v>
      </c>
      <c r="Z174" s="5">
        <v>246074283842656</v>
      </c>
      <c r="AA174" s="5">
        <v>253284005272393</v>
      </c>
      <c r="AB174" s="5">
        <v>225319665732805</v>
      </c>
      <c r="AC174" s="5">
        <v>247116416150625</v>
      </c>
      <c r="AD174" s="5">
        <v>242452032730181</v>
      </c>
      <c r="AE174" s="5">
        <v>251014730967452</v>
      </c>
      <c r="AF174" s="5">
        <v>256611561791485</v>
      </c>
      <c r="AG174" s="5">
        <v>243812208794465</v>
      </c>
      <c r="AH174" s="5">
        <v>245680553770079</v>
      </c>
      <c r="AI174" s="5">
        <v>260800416259352</v>
      </c>
      <c r="AJ174" s="5">
        <v>253461570823922</v>
      </c>
      <c r="AK174" s="5">
        <v>253301364931892</v>
      </c>
      <c r="AL174" s="5">
        <v>243679016061281</v>
      </c>
      <c r="AM174" s="5">
        <v>235101049006824</v>
      </c>
      <c r="AN174" s="5">
        <v>259402441960417</v>
      </c>
      <c r="AO174" s="5">
        <v>269955098583658</v>
      </c>
      <c r="AP174" s="6">
        <v>75653190062562</v>
      </c>
      <c r="AQ174" s="6">
        <v>803977152885648</v>
      </c>
      <c r="AR174" s="6">
        <v>7802686359656</v>
      </c>
      <c r="AS174" s="6">
        <v>774349491802282</v>
      </c>
      <c r="AT174" s="6">
        <v>703769678894764</v>
      </c>
      <c r="AU174" s="6">
        <v>792668100168</v>
      </c>
      <c r="AV174" s="6">
        <v>763977505177599</v>
      </c>
      <c r="AW174" s="6">
        <v>707322690815645</v>
      </c>
      <c r="AX174" s="6">
        <v>835928485875</v>
      </c>
      <c r="AY174" s="6">
        <v>831136239343179</v>
      </c>
      <c r="AZ174" s="6">
        <v>877614035805742</v>
      </c>
      <c r="BA174" s="6">
        <v>84317491470636</v>
      </c>
      <c r="BB174" s="6">
        <v>857978156489243</v>
      </c>
      <c r="BC174" s="6">
        <v>920829795096346</v>
      </c>
      <c r="BD174" s="6">
        <v>93248876742</v>
      </c>
      <c r="BE174" s="6">
        <v>104389052494685</v>
      </c>
      <c r="BF174" s="6">
        <v>990893961322224</v>
      </c>
      <c r="BG174" s="6">
        <v>890644396378</v>
      </c>
      <c r="BH174" s="6">
        <v>903315823051873</v>
      </c>
      <c r="BI174" s="6">
        <v>907407762849107</v>
      </c>
      <c r="BJ174" s="6">
        <v>825487259887</v>
      </c>
      <c r="BK174" s="6">
        <v>727271181049344</v>
      </c>
      <c r="BL174" s="6">
        <v>752262693630084</v>
      </c>
      <c r="BM174" s="6">
        <v>718603791753038</v>
      </c>
    </row>
    <row r="175" spans="1:65" x14ac:dyDescent="0.45">
      <c r="A175" s="1" t="s">
        <v>169</v>
      </c>
      <c r="B175" s="2">
        <v>4057056</v>
      </c>
      <c r="C175" s="3" t="s">
        <v>908</v>
      </c>
      <c r="D175" s="3" t="s">
        <v>909</v>
      </c>
      <c r="E175" s="3" t="s">
        <v>533</v>
      </c>
      <c r="F175" s="5">
        <v>401971741672713</v>
      </c>
      <c r="G175" s="5">
        <v>398654412153327</v>
      </c>
      <c r="H175" s="5">
        <v>387711267196542</v>
      </c>
      <c r="I175" s="5">
        <v>379521528975807</v>
      </c>
      <c r="J175" s="5">
        <v>433134307134452</v>
      </c>
      <c r="K175" s="5">
        <v>446767736235356</v>
      </c>
      <c r="L175" s="5">
        <v>424951367890408</v>
      </c>
      <c r="M175" s="5">
        <v>449060632741276</v>
      </c>
      <c r="N175" s="5">
        <v>435078311067887</v>
      </c>
      <c r="O175" s="5">
        <v>420248681920132</v>
      </c>
      <c r="P175" s="5">
        <v>371468774433702</v>
      </c>
      <c r="Q175" s="5">
        <v>506159708675371</v>
      </c>
      <c r="R175" s="5">
        <v>496871637871016</v>
      </c>
      <c r="S175" s="5">
        <v>457677174972301</v>
      </c>
      <c r="T175" s="5">
        <v>449790429115339</v>
      </c>
      <c r="U175" s="5">
        <v>407832020807803</v>
      </c>
      <c r="V175" s="5">
        <v>40609140044639</v>
      </c>
      <c r="W175" s="5">
        <v>38551908241314</v>
      </c>
      <c r="X175" s="5">
        <v>365180684746477</v>
      </c>
      <c r="Y175" s="5">
        <v>361759652879256</v>
      </c>
      <c r="Z175" s="5">
        <v>364904090817063</v>
      </c>
      <c r="AA175" s="5">
        <v>364004084581927</v>
      </c>
      <c r="AB175" s="5">
        <v>311480071677171</v>
      </c>
      <c r="AC175" s="5">
        <v>334007992890063</v>
      </c>
      <c r="AD175" s="5">
        <v>336717372245755</v>
      </c>
      <c r="AE175" s="5">
        <v>335238589750616</v>
      </c>
      <c r="AF175" s="5">
        <v>333568872948271</v>
      </c>
      <c r="AG175" s="5">
        <v>296767776072763</v>
      </c>
      <c r="AH175" s="5">
        <v>300880172764624</v>
      </c>
      <c r="AI175" s="5">
        <v>31801781090635</v>
      </c>
      <c r="AJ175" s="5">
        <v>314220163503633</v>
      </c>
      <c r="AK175" s="5">
        <v>335779434088636</v>
      </c>
      <c r="AL175" s="5">
        <v>330243940727098</v>
      </c>
      <c r="AM175" s="5">
        <v>326368799007615</v>
      </c>
      <c r="AN175" s="5">
        <v>381932519253935</v>
      </c>
      <c r="AO175" s="5">
        <v>417289201185857</v>
      </c>
      <c r="AP175" s="6">
        <v>907190184995017</v>
      </c>
      <c r="AQ175" s="6">
        <v>894198713472306</v>
      </c>
      <c r="AR175" s="6">
        <v>862987110949753</v>
      </c>
      <c r="AS175" s="6">
        <v>852448800959929</v>
      </c>
      <c r="AT175" s="6">
        <v>946391791500392</v>
      </c>
      <c r="AU175" s="6">
        <v>953162413163535</v>
      </c>
      <c r="AV175" s="6">
        <v>962991881589254</v>
      </c>
      <c r="AW175" s="6">
        <v>954366071566206</v>
      </c>
      <c r="AX175" s="6">
        <v>941520344552392</v>
      </c>
      <c r="AY175" s="6">
        <v>84137719279779</v>
      </c>
      <c r="AZ175" s="6">
        <v>785443017950019</v>
      </c>
      <c r="BA175" s="6">
        <v>72596015657253</v>
      </c>
      <c r="BB175" s="6">
        <v>664867352114889</v>
      </c>
      <c r="BC175" s="6">
        <v>787758343697856</v>
      </c>
      <c r="BD175" s="6">
        <v>75196674016482</v>
      </c>
      <c r="BE175" s="6">
        <v>738581183621745</v>
      </c>
      <c r="BF175" s="6">
        <v>758037693677877</v>
      </c>
      <c r="BG175" s="6">
        <v>660003605485188</v>
      </c>
      <c r="BH175" s="6">
        <v>66005515659195</v>
      </c>
      <c r="BI175" s="6">
        <v>670219919492265</v>
      </c>
      <c r="BJ175" s="6">
        <v>60885514237539</v>
      </c>
      <c r="BK175" s="6">
        <v>632843783388638</v>
      </c>
      <c r="BL175" s="6">
        <v>649374595114518</v>
      </c>
      <c r="BM175" s="6">
        <v>629590546008639</v>
      </c>
    </row>
    <row r="176" spans="1:65" x14ac:dyDescent="0.45">
      <c r="A176" s="1" t="s">
        <v>170</v>
      </c>
      <c r="B176" s="2">
        <v>4122573</v>
      </c>
      <c r="C176" s="3" t="s">
        <v>910</v>
      </c>
      <c r="D176" s="3" t="s">
        <v>911</v>
      </c>
      <c r="E176" s="3" t="s">
        <v>660</v>
      </c>
      <c r="F176" s="5">
        <v>127943507821723</v>
      </c>
      <c r="G176" s="5">
        <v>161714436913272</v>
      </c>
      <c r="H176" s="5">
        <v>14893417657517</v>
      </c>
      <c r="I176" s="5">
        <v>150539463967233</v>
      </c>
      <c r="J176" s="5">
        <v>160585594227834</v>
      </c>
      <c r="K176" s="5">
        <v>1633368456799</v>
      </c>
      <c r="L176" s="5">
        <v>142510320243141</v>
      </c>
      <c r="M176" s="5">
        <v>189379067806187</v>
      </c>
      <c r="N176" s="5">
        <v>269653362752682</v>
      </c>
      <c r="O176" s="5">
        <v>274349048217778</v>
      </c>
      <c r="P176" s="5">
        <v>272003108801059</v>
      </c>
      <c r="Q176" s="5">
        <v>247961814865811</v>
      </c>
      <c r="R176" s="5">
        <v>240788169183192</v>
      </c>
      <c r="S176" s="5">
        <v>216561857686486</v>
      </c>
      <c r="T176" s="5">
        <v>214438260977699</v>
      </c>
      <c r="U176" s="5">
        <v>213278685946418</v>
      </c>
      <c r="V176" s="5">
        <v>184634204887608</v>
      </c>
      <c r="W176" s="5">
        <v>199311853206533</v>
      </c>
      <c r="X176" s="5">
        <v>202926748159725</v>
      </c>
      <c r="Y176" s="5">
        <v>213382914747348</v>
      </c>
      <c r="Z176" s="5">
        <v>215256625245671</v>
      </c>
      <c r="AA176" s="5">
        <v>210971954734382</v>
      </c>
      <c r="AB176" s="5">
        <v>191435522756415</v>
      </c>
      <c r="AC176" s="5">
        <v>144621084208194</v>
      </c>
      <c r="AD176" s="5">
        <v>1531136079891</v>
      </c>
      <c r="AE176" s="5">
        <v>147347333130997</v>
      </c>
      <c r="AF176" s="5">
        <v>114097218996013</v>
      </c>
      <c r="AG176" s="5">
        <v>110274337729292</v>
      </c>
      <c r="AH176" s="5">
        <v>115950621807998</v>
      </c>
      <c r="AI176" s="5">
        <v>967088755894937</v>
      </c>
      <c r="AJ176" s="5">
        <v>102977984495786</v>
      </c>
      <c r="AK176" s="5">
        <v>100791819958029</v>
      </c>
      <c r="AL176" s="5">
        <v>908288891935425</v>
      </c>
      <c r="AM176" s="5">
        <v>71682411380125</v>
      </c>
      <c r="AN176" s="5">
        <v>125535480225698</v>
      </c>
      <c r="AO176" s="5">
        <v>141730504109568</v>
      </c>
      <c r="AP176" s="6">
        <v>966962620836498</v>
      </c>
      <c r="AQ176" s="6">
        <v>96665143410788</v>
      </c>
      <c r="AR176" s="6">
        <v>788165371400594</v>
      </c>
      <c r="AS176" s="6">
        <v>804358723766472</v>
      </c>
      <c r="AT176" s="6">
        <v>926691719227184</v>
      </c>
      <c r="AU176" s="6">
        <v>902025191944545</v>
      </c>
      <c r="AV176" s="6">
        <v>800011007122018</v>
      </c>
      <c r="AW176" s="6">
        <v>769545719284914</v>
      </c>
      <c r="AX176" s="6">
        <v>723813909784875</v>
      </c>
      <c r="AY176" s="6">
        <v>70331689098</v>
      </c>
      <c r="AZ176" s="6">
        <v>632376816252</v>
      </c>
      <c r="BA176" s="6">
        <v>5713184376</v>
      </c>
      <c r="BB176" s="6">
        <v>47291031121224</v>
      </c>
      <c r="BC176" s="6">
        <v>507958102532045</v>
      </c>
      <c r="BD176" s="6">
        <v>496209397941904</v>
      </c>
      <c r="BE176" s="6">
        <v>573306952711595</v>
      </c>
      <c r="BF176" s="6">
        <v>579941034426399</v>
      </c>
      <c r="BG176" s="6">
        <v>501712679381109</v>
      </c>
      <c r="BH176" s="6">
        <v>494438799824993</v>
      </c>
      <c r="BI176" s="6">
        <v>471008015814659</v>
      </c>
      <c r="BJ176" s="6">
        <v>427993549379082</v>
      </c>
      <c r="BK176" s="6">
        <v>414201664012514</v>
      </c>
      <c r="BL176" s="6">
        <v>41855978331531</v>
      </c>
      <c r="BM176" s="6">
        <v>417418551841879</v>
      </c>
    </row>
    <row r="177" spans="1:65" x14ac:dyDescent="0.45">
      <c r="A177" s="1" t="s">
        <v>171</v>
      </c>
      <c r="B177" s="2">
        <v>4077460</v>
      </c>
      <c r="C177" s="3" t="s">
        <v>912</v>
      </c>
      <c r="D177" s="3" t="s">
        <v>913</v>
      </c>
      <c r="E177" s="3" t="s">
        <v>685</v>
      </c>
      <c r="F177" s="5">
        <v>154740947957545</v>
      </c>
      <c r="G177" s="5">
        <v>179097468546107</v>
      </c>
      <c r="H177" s="5">
        <v>161887062561248</v>
      </c>
      <c r="I177" s="5">
        <v>147331699323253</v>
      </c>
      <c r="J177" s="5">
        <v>167128295350648</v>
      </c>
      <c r="K177" s="5">
        <v>1747450271157</v>
      </c>
      <c r="L177" s="5">
        <v>156397341952366</v>
      </c>
      <c r="M177" s="5">
        <v>170185919418834</v>
      </c>
      <c r="N177" s="5">
        <v>157366773516355</v>
      </c>
      <c r="O177" s="5">
        <v>155453596108724</v>
      </c>
      <c r="P177" s="5">
        <v>153903561968</v>
      </c>
      <c r="Q177" s="5">
        <v>173143824715976</v>
      </c>
      <c r="R177" s="5">
        <v>200034060781349</v>
      </c>
      <c r="S177" s="5">
        <v>18278886520231</v>
      </c>
      <c r="T177" s="5">
        <v>181095901200172</v>
      </c>
      <c r="U177" s="5">
        <v>174623245154115</v>
      </c>
      <c r="V177" s="5">
        <v>179396581881393</v>
      </c>
      <c r="W177" s="5">
        <v>18259047342927</v>
      </c>
      <c r="X177" s="5">
        <v>180326880002453</v>
      </c>
      <c r="Y177" s="5">
        <v>174169649512847</v>
      </c>
      <c r="Z177" s="5">
        <v>154062514922992</v>
      </c>
      <c r="AA177" s="5">
        <v>154779906354493</v>
      </c>
      <c r="AB177" s="5">
        <v>128562255200803</v>
      </c>
      <c r="AC177" s="5">
        <v>124827652192706</v>
      </c>
      <c r="AD177" s="5">
        <v>131608180223031</v>
      </c>
      <c r="AE177" s="5">
        <v>126569909038433</v>
      </c>
      <c r="AF177" s="5">
        <v>127136472341036</v>
      </c>
      <c r="AG177" s="5">
        <v>129243168920017</v>
      </c>
      <c r="AH177" s="5">
        <v>123964256252649</v>
      </c>
      <c r="AI177" s="5">
        <v>118888714502304</v>
      </c>
      <c r="AJ177" s="5">
        <v>112452749272048</v>
      </c>
      <c r="AK177" s="5">
        <v>114326160584256</v>
      </c>
      <c r="AL177" s="5">
        <v>10995563128633</v>
      </c>
      <c r="AM177" s="5">
        <v>10199475714792</v>
      </c>
      <c r="AN177" s="5">
        <v>108704990948383</v>
      </c>
      <c r="AO177" s="5">
        <v>112198002471896</v>
      </c>
      <c r="AP177" s="6">
        <v>188840390242688</v>
      </c>
      <c r="AQ177" s="6">
        <v>184893416350595</v>
      </c>
      <c r="AR177" s="6">
        <v>184915336559338</v>
      </c>
      <c r="AS177" s="6">
        <v>171809260367925</v>
      </c>
      <c r="AT177" s="6">
        <v>159641336028309</v>
      </c>
      <c r="AU177" s="6">
        <v>158689991997768</v>
      </c>
      <c r="AV177" s="6">
        <v>164001657433674</v>
      </c>
      <c r="AW177" s="6">
        <v>157142682354997</v>
      </c>
      <c r="AX177" s="6">
        <v>180280633556651</v>
      </c>
      <c r="AY177" s="6">
        <v>16396928505835</v>
      </c>
      <c r="AZ177" s="6">
        <v>158152843671269</v>
      </c>
      <c r="BA177" s="6">
        <v>15090355009852</v>
      </c>
      <c r="BB177" s="6">
        <v>131099004309291</v>
      </c>
      <c r="BC177" s="6">
        <v>15024093281343</v>
      </c>
      <c r="BD177" s="6">
        <v>130383225761742</v>
      </c>
      <c r="BE177" s="6">
        <v>143295825684025</v>
      </c>
      <c r="BF177" s="6">
        <v>144269516669899</v>
      </c>
      <c r="BG177" s="6">
        <v>139590949933565</v>
      </c>
      <c r="BH177" s="6">
        <v>118678041410391</v>
      </c>
      <c r="BI177" s="6">
        <v>131345406771043</v>
      </c>
      <c r="BJ177" s="6">
        <v>119108121840254</v>
      </c>
      <c r="BK177" s="6">
        <v>127694197978556</v>
      </c>
      <c r="BL177" s="6">
        <v>128911211810035</v>
      </c>
      <c r="BM177" s="6">
        <v>127064681750404</v>
      </c>
    </row>
    <row r="178" spans="1:65" x14ac:dyDescent="0.45">
      <c r="A178" s="1" t="s">
        <v>172</v>
      </c>
      <c r="B178" s="2">
        <v>4092889</v>
      </c>
      <c r="C178" s="3" t="s">
        <v>914</v>
      </c>
      <c r="D178" s="3" t="s">
        <v>915</v>
      </c>
      <c r="E178" s="3" t="s">
        <v>916</v>
      </c>
      <c r="F178" s="5">
        <v>184431808084661</v>
      </c>
      <c r="G178" s="5">
        <v>208677988691901</v>
      </c>
      <c r="H178" s="5">
        <v>240298549416866</v>
      </c>
      <c r="I178" s="5">
        <v>235858811027637</v>
      </c>
      <c r="J178" s="5">
        <v>264233913079886</v>
      </c>
      <c r="K178" s="5">
        <v>249499245450937</v>
      </c>
      <c r="L178" s="5">
        <v>218522739720827</v>
      </c>
      <c r="M178" s="5">
        <v>223039146197696</v>
      </c>
      <c r="N178" s="5">
        <v>24204260743116</v>
      </c>
      <c r="O178" s="5">
        <v>248291023540448</v>
      </c>
      <c r="P178" s="5">
        <v>224769327570905</v>
      </c>
      <c r="Q178" s="5">
        <v>236913556515137</v>
      </c>
      <c r="R178" s="5">
        <v>26693163972305</v>
      </c>
      <c r="S178" s="5">
        <v>2375776170176</v>
      </c>
      <c r="T178" s="5">
        <v>228410009164929</v>
      </c>
      <c r="U178" s="5">
        <v>193942703572546</v>
      </c>
      <c r="V178" s="5">
        <v>211884097774129</v>
      </c>
      <c r="W178" s="5">
        <v>196405374770222</v>
      </c>
      <c r="X178" s="5">
        <v>184766980539265</v>
      </c>
      <c r="Y178" s="5">
        <v>164377826162283</v>
      </c>
      <c r="Z178" s="5">
        <v>16525214778094</v>
      </c>
      <c r="AA178" s="5">
        <v>150915369299706</v>
      </c>
      <c r="AB178" s="5">
        <v>137170606143775</v>
      </c>
      <c r="AC178" s="5">
        <v>123135378280227</v>
      </c>
      <c r="AD178" s="5">
        <v>12240595265666</v>
      </c>
      <c r="AE178" s="5">
        <v>121896301505568</v>
      </c>
      <c r="AF178" s="5">
        <v>128420295684441</v>
      </c>
      <c r="AG178" s="5">
        <v>117599060148511</v>
      </c>
      <c r="AH178" s="5">
        <v>115038817777623</v>
      </c>
      <c r="AI178" s="5">
        <v>112761397930669</v>
      </c>
      <c r="AJ178" s="5">
        <v>105954249015614</v>
      </c>
      <c r="AK178" s="5">
        <v>112339701734321</v>
      </c>
      <c r="AL178" s="5">
        <v>104450024461591</v>
      </c>
      <c r="AM178" s="5">
        <v>112947131318112</v>
      </c>
      <c r="AN178" s="5">
        <v>118281689437635</v>
      </c>
      <c r="AO178" s="5">
        <v>12929469767947</v>
      </c>
      <c r="AP178" s="6">
        <v>866331386162237</v>
      </c>
      <c r="AQ178" s="6">
        <v>905266607322012</v>
      </c>
      <c r="AR178" s="6">
        <v>921487679609225</v>
      </c>
      <c r="AS178" s="6">
        <v>935836394882123</v>
      </c>
      <c r="AT178" s="6">
        <v>880548019904018</v>
      </c>
      <c r="AU178" s="6">
        <v>888467408657704</v>
      </c>
      <c r="AV178" s="6">
        <v>847593475746514</v>
      </c>
      <c r="AW178" s="6">
        <v>878481675216435</v>
      </c>
      <c r="AX178" s="6">
        <v>89126614786335</v>
      </c>
      <c r="AY178" s="6">
        <v>91635823192122</v>
      </c>
      <c r="AZ178" s="6">
        <v>872350847094358</v>
      </c>
      <c r="BA178" s="6">
        <v>854844806960262</v>
      </c>
      <c r="BB178" s="6">
        <v>761500453301931</v>
      </c>
      <c r="BC178" s="6">
        <v>86170135993321</v>
      </c>
      <c r="BD178" s="6">
        <v>809526556296585</v>
      </c>
      <c r="BE178" s="6">
        <v>799972888931589</v>
      </c>
      <c r="BF178" s="6">
        <v>826927926158104</v>
      </c>
      <c r="BG178" s="6">
        <v>78522508505555</v>
      </c>
      <c r="BH178" s="6">
        <v>794203902953529</v>
      </c>
      <c r="BI178" s="6">
        <v>746653507376747</v>
      </c>
      <c r="BJ178" s="6">
        <v>70220104467989</v>
      </c>
      <c r="BK178" s="6">
        <v>691030477291324</v>
      </c>
      <c r="BL178" s="6">
        <v>683011536516036</v>
      </c>
      <c r="BM178" s="6">
        <v>70451077981944</v>
      </c>
    </row>
    <row r="179" spans="1:65" x14ac:dyDescent="0.45">
      <c r="A179" s="1" t="s">
        <v>173</v>
      </c>
      <c r="B179" s="2">
        <v>3007562</v>
      </c>
      <c r="C179" s="3" t="s">
        <v>917</v>
      </c>
      <c r="D179" s="3" t="s">
        <v>918</v>
      </c>
      <c r="E179" s="3" t="s">
        <v>729</v>
      </c>
      <c r="F179" s="5">
        <v>425039633089476</v>
      </c>
      <c r="G179" s="5">
        <v>444637306572468</v>
      </c>
      <c r="H179" s="5">
        <v>461471946054</v>
      </c>
      <c r="I179" s="5">
        <v>371081076149796</v>
      </c>
      <c r="J179" s="5">
        <v>395555824529633</v>
      </c>
      <c r="K179" s="5">
        <v>400381596676532</v>
      </c>
      <c r="L179" s="5">
        <v>345159337710229</v>
      </c>
      <c r="M179" s="5">
        <v>376945108826458</v>
      </c>
      <c r="N179" s="5">
        <v>340805263425</v>
      </c>
      <c r="O179" s="5">
        <v>314757089319741</v>
      </c>
      <c r="P179" s="5">
        <v>295644502430281</v>
      </c>
      <c r="Q179" s="5">
        <v>287108174874345</v>
      </c>
      <c r="R179" s="5">
        <v>227784383924586</v>
      </c>
      <c r="S179" s="5">
        <v>224760266693718</v>
      </c>
      <c r="T179" s="5">
        <v>236036829194613</v>
      </c>
      <c r="U179" s="5">
        <v>214852877747207</v>
      </c>
      <c r="V179" s="5">
        <v>195545493918956</v>
      </c>
      <c r="W179" s="5">
        <v>205460036285775</v>
      </c>
      <c r="X179" s="5">
        <v>225231348861469</v>
      </c>
      <c r="Y179" s="5">
        <v>20275512243323</v>
      </c>
      <c r="Z179" s="5">
        <v>201446304738094</v>
      </c>
      <c r="AA179" s="5">
        <v>201376654821532</v>
      </c>
      <c r="AB179" s="5">
        <v>190239207231704</v>
      </c>
      <c r="AC179" s="5">
        <v>156187551757996</v>
      </c>
      <c r="AD179" s="5">
        <v>142480284821398</v>
      </c>
      <c r="AE179" s="5">
        <v>134894921613798</v>
      </c>
      <c r="AF179" s="5">
        <v>118353416632198</v>
      </c>
      <c r="AG179" s="5">
        <v>123614209858527</v>
      </c>
      <c r="AH179" s="5">
        <v>141264470787755</v>
      </c>
      <c r="AI179" s="5">
        <v>15039842135296</v>
      </c>
      <c r="AJ179" s="5">
        <v>168021470548536</v>
      </c>
      <c r="AK179" s="5">
        <v>172934960682782</v>
      </c>
      <c r="AL179" s="5">
        <v>179701182753944</v>
      </c>
      <c r="AM179" s="5">
        <v>146233617120209</v>
      </c>
      <c r="AN179" s="5">
        <v>197958148878628</v>
      </c>
      <c r="AO179" s="5">
        <v>23724050416</v>
      </c>
      <c r="AP179" s="6">
        <v>351840277064881</v>
      </c>
      <c r="AQ179" s="6">
        <v>379001915415664</v>
      </c>
      <c r="AR179" s="6">
        <v>357320023482074</v>
      </c>
      <c r="AS179" s="6">
        <v>348321125169643</v>
      </c>
      <c r="AT179" s="6">
        <v>376190701928826</v>
      </c>
      <c r="AU179" s="6">
        <v>39961378854334</v>
      </c>
      <c r="AV179" s="6">
        <v>375983555843133</v>
      </c>
      <c r="AW179" s="6">
        <v>360647218171199</v>
      </c>
      <c r="AX179" s="6">
        <v>440613558956466</v>
      </c>
      <c r="AY179" s="6">
        <v>421183187633617</v>
      </c>
      <c r="AZ179" s="6">
        <v>414892556873625</v>
      </c>
      <c r="BA179" s="6">
        <v>404666198968612</v>
      </c>
      <c r="BB179" s="6">
        <v>367825143497597</v>
      </c>
      <c r="BC179" s="6">
        <v>532968199226496</v>
      </c>
      <c r="BD179" s="6">
        <v>512987346533742</v>
      </c>
      <c r="BE179" s="6">
        <v>546131219462907</v>
      </c>
      <c r="BF179" s="6">
        <v>555753113432386</v>
      </c>
      <c r="BG179" s="6">
        <v>555567353430961</v>
      </c>
      <c r="BH179" s="6">
        <v>520035867490071</v>
      </c>
      <c r="BI179" s="6">
        <v>570959331358964</v>
      </c>
      <c r="BJ179" s="6">
        <v>547072472329253</v>
      </c>
      <c r="BK179" s="6">
        <v>521757604544726</v>
      </c>
      <c r="BL179" s="6">
        <v>540627485608092</v>
      </c>
      <c r="BM179" s="6">
        <v>565267657021877</v>
      </c>
    </row>
    <row r="180" spans="1:65" x14ac:dyDescent="0.45">
      <c r="A180" s="1" t="s">
        <v>174</v>
      </c>
      <c r="B180" s="2">
        <v>4135450</v>
      </c>
      <c r="C180" s="3" t="s">
        <v>919</v>
      </c>
      <c r="D180" s="3" t="s">
        <v>920</v>
      </c>
      <c r="E180" s="3" t="s">
        <v>602</v>
      </c>
      <c r="F180" s="5">
        <v>810643622118327</v>
      </c>
      <c r="G180" s="5">
        <v>905078299109937</v>
      </c>
      <c r="H180" s="5">
        <v>865125949638</v>
      </c>
      <c r="I180" s="5">
        <v>879112082950922</v>
      </c>
      <c r="J180" s="5">
        <v>928841868254868</v>
      </c>
      <c r="K180" s="5">
        <v>9771933233664</v>
      </c>
      <c r="L180" s="5">
        <v>885298723976153</v>
      </c>
      <c r="M180" s="5">
        <v>918990833091802</v>
      </c>
      <c r="N180" s="5">
        <v>9605188677285</v>
      </c>
      <c r="O180" s="5">
        <v>103946467545642</v>
      </c>
      <c r="P180" s="5">
        <v>108634423163272</v>
      </c>
      <c r="Q180" s="5">
        <v>112575221699674</v>
      </c>
      <c r="R180" s="5">
        <v>131749419025062</v>
      </c>
      <c r="S180" s="5">
        <v>123627630321867</v>
      </c>
      <c r="T180" s="5">
        <v>1107520804304</v>
      </c>
      <c r="U180" s="5">
        <v>103439967351762</v>
      </c>
      <c r="V180" s="5">
        <v>104017227987675</v>
      </c>
      <c r="W180" s="5">
        <v>1049732809107</v>
      </c>
      <c r="X180" s="5">
        <v>938511451114898</v>
      </c>
      <c r="Y180" s="5">
        <v>907012560915909</v>
      </c>
      <c r="Z180" s="5">
        <v>9323288466576</v>
      </c>
      <c r="AA180" s="5">
        <v>109580779685326</v>
      </c>
      <c r="AB180" s="5">
        <v>968031727362693</v>
      </c>
      <c r="AC180" s="5">
        <v>99491650221429</v>
      </c>
      <c r="AD180" s="5">
        <v>88604326836069</v>
      </c>
      <c r="AE180" s="5">
        <v>839176718733995</v>
      </c>
      <c r="AF180" s="5">
        <v>6969918159586</v>
      </c>
      <c r="AG180" s="5">
        <v>639570555928759</v>
      </c>
      <c r="AH180" s="5">
        <v>677149888043591</v>
      </c>
      <c r="AI180" s="5">
        <v>702629217828</v>
      </c>
      <c r="AJ180" s="5">
        <v>754763470007105</v>
      </c>
      <c r="AK180" s="5">
        <v>793820148618714</v>
      </c>
      <c r="AL180" s="5">
        <v>7717924129014</v>
      </c>
      <c r="AM180" s="5">
        <v>5900021506197</v>
      </c>
      <c r="AN180" s="5">
        <v>663193462648815</v>
      </c>
      <c r="AO180" s="5">
        <v>669758433552296</v>
      </c>
      <c r="AP180" s="6">
        <v>761754664480452</v>
      </c>
      <c r="AQ180" s="6">
        <v>770616223664067</v>
      </c>
      <c r="AR180" s="6">
        <v>72510276868153</v>
      </c>
      <c r="AS180" s="6">
        <v>746894149804447</v>
      </c>
      <c r="AT180" s="6">
        <v>759758248099475</v>
      </c>
      <c r="AU180" s="6">
        <v>733853637967417</v>
      </c>
      <c r="AV180" s="6">
        <v>34890979189862</v>
      </c>
      <c r="AW180" s="6">
        <v>349265610604591</v>
      </c>
      <c r="AX180" s="6">
        <v>334852389859806</v>
      </c>
      <c r="AY180" s="6">
        <v>3256291191582</v>
      </c>
      <c r="AZ180" s="6">
        <v>306666424842448</v>
      </c>
      <c r="BA180" s="6">
        <v>298848403749769</v>
      </c>
      <c r="BB180" s="6">
        <v>293321973729616</v>
      </c>
      <c r="BC180" s="6">
        <v>312232030542259</v>
      </c>
      <c r="BD180" s="6">
        <v>301198656053898</v>
      </c>
      <c r="BE180" s="6">
        <v>30868550114974</v>
      </c>
      <c r="BF180" s="6">
        <v>306422905821187</v>
      </c>
      <c r="BG180" s="6">
        <v>289771854356703</v>
      </c>
      <c r="BH180" s="6">
        <v>300820349763795</v>
      </c>
      <c r="BI180" s="6">
        <v>290213921800065</v>
      </c>
      <c r="BJ180" s="6">
        <v>260222321949255</v>
      </c>
      <c r="BK180" s="6">
        <v>259350361690331</v>
      </c>
      <c r="BL180" s="6">
        <v>263587006169815</v>
      </c>
      <c r="BM180" s="6">
        <v>274731095653214</v>
      </c>
    </row>
    <row r="181" spans="1:65" x14ac:dyDescent="0.45">
      <c r="A181" s="1" t="s">
        <v>175</v>
      </c>
      <c r="B181" s="2">
        <v>4047873</v>
      </c>
      <c r="C181" s="3" t="s">
        <v>921</v>
      </c>
      <c r="D181" s="3" t="s">
        <v>922</v>
      </c>
      <c r="E181" s="3" t="s">
        <v>923</v>
      </c>
      <c r="F181" s="5">
        <v>143025357211649</v>
      </c>
      <c r="G181" s="5">
        <v>170334234425571</v>
      </c>
      <c r="H181" s="5">
        <v>163855065608671</v>
      </c>
      <c r="I181" s="5">
        <v>154969160449203</v>
      </c>
      <c r="J181" s="5">
        <v>163412455680236</v>
      </c>
      <c r="K181" s="5">
        <v>159992383600986</v>
      </c>
      <c r="L181" s="5">
        <v>139413806734763</v>
      </c>
      <c r="M181" s="5">
        <v>134857681429309</v>
      </c>
      <c r="N181" s="5">
        <v>145095261479477</v>
      </c>
      <c r="O181" s="5">
        <v>14771954849181</v>
      </c>
      <c r="P181" s="5">
        <v>136683275096451</v>
      </c>
      <c r="Q181" s="5">
        <v>142368061169033</v>
      </c>
      <c r="R181" s="5">
        <v>160863014640054</v>
      </c>
      <c r="S181" s="5">
        <v>156483999547055</v>
      </c>
      <c r="T181" s="5">
        <v>144493379597575</v>
      </c>
      <c r="U181" s="5">
        <v>128683578315423</v>
      </c>
      <c r="V181" s="5">
        <v>121696686698289</v>
      </c>
      <c r="W181" s="5">
        <v>113787388474267</v>
      </c>
      <c r="X181" s="5">
        <v>107141887830455</v>
      </c>
      <c r="Y181" s="5">
        <v>103844549546494</v>
      </c>
      <c r="Z181" s="5">
        <v>10579670188418</v>
      </c>
      <c r="AA181" s="5">
        <v>998528969029632</v>
      </c>
      <c r="AB181" s="5">
        <v>953953211179776</v>
      </c>
      <c r="AC181" s="5">
        <v>945924822501581</v>
      </c>
      <c r="AD181" s="5">
        <v>10326908593575</v>
      </c>
      <c r="AE181" s="5">
        <v>106095014803089</v>
      </c>
      <c r="AF181" s="5">
        <v>99921582339738</v>
      </c>
      <c r="AG181" s="5">
        <v>108351281574099</v>
      </c>
      <c r="AH181" s="5">
        <v>11136256656504</v>
      </c>
      <c r="AI181" s="5">
        <v>111217351646911</v>
      </c>
      <c r="AJ181" s="5">
        <v>110539435913938</v>
      </c>
      <c r="AK181" s="5">
        <v>104755210914606</v>
      </c>
      <c r="AL181" s="5">
        <v>95201025677175</v>
      </c>
      <c r="AM181" s="5">
        <v>89920936405664</v>
      </c>
      <c r="AN181" s="5">
        <v>91682029151659</v>
      </c>
      <c r="AO181" s="5">
        <v>978253231268016</v>
      </c>
      <c r="AP181" s="6">
        <v>194395031409264</v>
      </c>
      <c r="AQ181" s="6">
        <v>194452017701243</v>
      </c>
      <c r="AR181" s="6">
        <v>18746154734444</v>
      </c>
      <c r="AS181" s="6">
        <v>182461019712684</v>
      </c>
      <c r="AT181" s="6">
        <v>17474512302919</v>
      </c>
      <c r="AU181" s="6">
        <v>1951314055941</v>
      </c>
      <c r="AV181" s="6">
        <v>179563725926068</v>
      </c>
      <c r="AW181" s="6">
        <v>174586720305531</v>
      </c>
      <c r="AX181" s="6">
        <v>190188902211</v>
      </c>
      <c r="AY181" s="6">
        <v>173276282322</v>
      </c>
      <c r="AZ181" s="6">
        <v>15660108264738</v>
      </c>
      <c r="BA181" s="6">
        <v>1514012770566</v>
      </c>
      <c r="BB181" s="6">
        <v>134736234588621</v>
      </c>
      <c r="BC181" s="6">
        <v>161725792315933</v>
      </c>
      <c r="BD181" s="6">
        <v>158893204161</v>
      </c>
      <c r="BE181" s="6">
        <v>1601264595696</v>
      </c>
      <c r="BF181" s="6">
        <v>168943477113</v>
      </c>
      <c r="BG181" s="6">
        <v>1714709220411</v>
      </c>
      <c r="BH181" s="6">
        <v>166760303827887</v>
      </c>
      <c r="BI181" s="6">
        <v>17979500031113</v>
      </c>
      <c r="BJ181" s="6">
        <v>18816311549148</v>
      </c>
      <c r="BK181" s="6">
        <v>177372557427023</v>
      </c>
      <c r="BL181" s="6">
        <v>187909220425154</v>
      </c>
      <c r="BM181" s="6">
        <v>187748754625261</v>
      </c>
    </row>
    <row r="182" spans="1:65" x14ac:dyDescent="0.45">
      <c r="A182" s="1" t="s">
        <v>176</v>
      </c>
      <c r="B182" s="2">
        <v>108391</v>
      </c>
      <c r="C182" s="3" t="s">
        <v>924</v>
      </c>
      <c r="D182" s="3" t="s">
        <v>925</v>
      </c>
      <c r="E182" s="3" t="s">
        <v>504</v>
      </c>
      <c r="F182" s="5">
        <v>139886265037771</v>
      </c>
      <c r="G182" s="5">
        <v>150089099203551</v>
      </c>
      <c r="H182" s="5">
        <v>122285524297425</v>
      </c>
      <c r="I182" s="5">
        <v>106102932013442</v>
      </c>
      <c r="J182" s="5">
        <v>112679055850796</v>
      </c>
      <c r="K182" s="5">
        <v>117465408548104</v>
      </c>
      <c r="L182" s="5">
        <v>99449578811082</v>
      </c>
      <c r="M182" s="5">
        <v>989933345650665</v>
      </c>
      <c r="N182" s="5">
        <v>919092443925717</v>
      </c>
      <c r="O182" s="5">
        <v>110350015495453</v>
      </c>
      <c r="P182" s="5">
        <v>110267866210477</v>
      </c>
      <c r="Q182" s="5">
        <v>116136728683102</v>
      </c>
      <c r="R182" s="5">
        <v>104324521641869</v>
      </c>
      <c r="S182" s="5">
        <v>857128816890641</v>
      </c>
      <c r="T182" s="5">
        <v>97755064075416</v>
      </c>
      <c r="U182" s="5">
        <v>974628588833874</v>
      </c>
      <c r="V182" s="5">
        <v>110565737387057</v>
      </c>
      <c r="W182" s="5">
        <v>127094797127447</v>
      </c>
      <c r="X182" s="5">
        <v>122002495117025</v>
      </c>
      <c r="Y182" s="5">
        <v>119487948881534</v>
      </c>
      <c r="Z182" s="5">
        <v>126723372956826</v>
      </c>
      <c r="AA182" s="5">
        <v>12107099998206</v>
      </c>
      <c r="AB182" s="5">
        <v>110560757308583</v>
      </c>
      <c r="AC182" s="5">
        <v>10840767655916</v>
      </c>
      <c r="AD182" s="5">
        <v>121564967158104</v>
      </c>
      <c r="AE182" s="5">
        <v>115105121233276</v>
      </c>
      <c r="AF182" s="5">
        <v>974099054763353</v>
      </c>
      <c r="AG182" s="5">
        <v>105051351063136</v>
      </c>
      <c r="AH182" s="5">
        <v>10207520908554</v>
      </c>
      <c r="AI182" s="5">
        <v>10765946927132</v>
      </c>
      <c r="AJ182" s="5">
        <v>107739360360302</v>
      </c>
      <c r="AK182" s="5">
        <v>105045902338421</v>
      </c>
      <c r="AL182" s="5">
        <v>935717679574201</v>
      </c>
      <c r="AM182" s="5">
        <v>81613939090866</v>
      </c>
      <c r="AN182" s="5">
        <v>996642151859227</v>
      </c>
      <c r="AO182" s="5">
        <v>10579191759605</v>
      </c>
      <c r="AP182" s="6">
        <v>525621314473478</v>
      </c>
      <c r="AQ182" s="6">
        <v>52846590794511</v>
      </c>
      <c r="AR182" s="6">
        <v>489728733929841</v>
      </c>
      <c r="AS182" s="6">
        <v>560710357031196</v>
      </c>
      <c r="AT182" s="6">
        <v>594785252320944</v>
      </c>
      <c r="AU182" s="6">
        <v>610461287023402</v>
      </c>
      <c r="AV182" s="6">
        <v>608094201127504</v>
      </c>
      <c r="AW182" s="6">
        <v>548549634497354</v>
      </c>
      <c r="AX182" s="6">
        <v>578510393312722</v>
      </c>
      <c r="AY182" s="6">
        <v>493848260337168</v>
      </c>
      <c r="AZ182" s="6">
        <v>484027138902666</v>
      </c>
      <c r="BA182" s="6">
        <v>462916079625339</v>
      </c>
      <c r="BB182" s="6">
        <v>388655999571047</v>
      </c>
      <c r="BC182" s="6">
        <v>411485152266048</v>
      </c>
      <c r="BD182" s="6">
        <v>38708485451031</v>
      </c>
      <c r="BE182" s="6">
        <v>43676352851427</v>
      </c>
      <c r="BF182" s="6">
        <v>4702145193186</v>
      </c>
      <c r="BG182" s="6">
        <v>468811796280375</v>
      </c>
      <c r="BH182" s="6">
        <v>472847522439986</v>
      </c>
      <c r="BI182" s="6">
        <v>607512354079769</v>
      </c>
      <c r="BJ182" s="6">
        <v>615249797582139</v>
      </c>
      <c r="BK182" s="6">
        <v>603037493259802</v>
      </c>
      <c r="BL182" s="6">
        <v>53777441141424</v>
      </c>
      <c r="BM182" s="6">
        <v>563916862200344</v>
      </c>
    </row>
    <row r="183" spans="1:65" x14ac:dyDescent="0.45">
      <c r="A183" s="1" t="s">
        <v>177</v>
      </c>
      <c r="B183" s="2">
        <v>4101711</v>
      </c>
      <c r="C183" s="3" t="s">
        <v>926</v>
      </c>
      <c r="D183" s="3" t="s">
        <v>927</v>
      </c>
      <c r="E183" s="3" t="s">
        <v>928</v>
      </c>
      <c r="F183" s="5">
        <v>253602747809611</v>
      </c>
      <c r="G183" s="5">
        <v>286089247178104</v>
      </c>
      <c r="H183" s="5">
        <v>279942857809045</v>
      </c>
      <c r="I183" s="5">
        <v>269819567933678</v>
      </c>
      <c r="J183" s="5">
        <v>287180905819719</v>
      </c>
      <c r="K183" s="5">
        <v>289368622944582</v>
      </c>
      <c r="L183" s="5">
        <v>274871865321431</v>
      </c>
      <c r="M183" s="5">
        <v>287361388028008</v>
      </c>
      <c r="N183" s="5">
        <v>302099107018311</v>
      </c>
      <c r="O183" s="5">
        <v>307759349577557</v>
      </c>
      <c r="P183" s="5">
        <v>263748201916727</v>
      </c>
      <c r="Q183" s="5">
        <v>291207595233185</v>
      </c>
      <c r="R183" s="5">
        <v>323977772472511</v>
      </c>
      <c r="S183" s="5">
        <v>301935591701629</v>
      </c>
      <c r="T183" s="5">
        <v>283916644082175</v>
      </c>
      <c r="U183" s="5">
        <v>255926325027514</v>
      </c>
      <c r="V183" s="5">
        <v>271944380879152</v>
      </c>
      <c r="W183" s="5">
        <v>265363557355362</v>
      </c>
      <c r="X183" s="5">
        <v>251940881541336</v>
      </c>
      <c r="Y183" s="5">
        <v>250002185405216</v>
      </c>
      <c r="Z183" s="5">
        <v>249663505277798</v>
      </c>
      <c r="AA183" s="5">
        <v>246039516273758</v>
      </c>
      <c r="AB183" s="5">
        <v>220115159881334</v>
      </c>
      <c r="AC183" s="5">
        <v>215637352729771</v>
      </c>
      <c r="AD183" s="5">
        <v>229153607279528</v>
      </c>
      <c r="AE183" s="5">
        <v>237513487980158</v>
      </c>
      <c r="AF183" s="5">
        <v>212948875011683</v>
      </c>
      <c r="AG183" s="5">
        <v>220264731195006</v>
      </c>
      <c r="AH183" s="5">
        <v>234449053250845</v>
      </c>
      <c r="AI183" s="5">
        <v>228090531613842</v>
      </c>
      <c r="AJ183" s="5">
        <v>218058540104145</v>
      </c>
      <c r="AK183" s="5">
        <v>212592392962192</v>
      </c>
      <c r="AL183" s="5">
        <v>189652898296547</v>
      </c>
      <c r="AM183" s="5">
        <v>16334392335625</v>
      </c>
      <c r="AN183" s="5">
        <v>178730538962926</v>
      </c>
      <c r="AO183" s="5">
        <v>180631060069434</v>
      </c>
      <c r="AP183" s="6">
        <v>233995276384342</v>
      </c>
      <c r="AQ183" s="6">
        <v>233865515124789</v>
      </c>
      <c r="AR183" s="6">
        <v>234072821992672</v>
      </c>
      <c r="AS183" s="6">
        <v>238845555438948</v>
      </c>
      <c r="AT183" s="6">
        <v>225839793214392</v>
      </c>
      <c r="AU183" s="6">
        <v>210214153394803</v>
      </c>
      <c r="AV183" s="6">
        <v>199936185641973</v>
      </c>
      <c r="AW183" s="6">
        <v>196614543664568</v>
      </c>
      <c r="AX183" s="6">
        <v>199353443206885</v>
      </c>
      <c r="AY183" s="6">
        <v>196551321135593</v>
      </c>
      <c r="AZ183" s="6">
        <v>189702099633506</v>
      </c>
      <c r="BA183" s="6">
        <v>1750247818956</v>
      </c>
      <c r="BB183" s="6">
        <v>167734486443095</v>
      </c>
      <c r="BC183" s="6">
        <v>170881338079296</v>
      </c>
      <c r="BD183" s="6">
        <v>16845414119508</v>
      </c>
      <c r="BE183" s="6">
        <v>155489062347163</v>
      </c>
      <c r="BF183" s="6">
        <v>156512871495021</v>
      </c>
      <c r="BG183" s="6">
        <v>147142692908276</v>
      </c>
      <c r="BH183" s="6">
        <v>146785348445996</v>
      </c>
      <c r="BI183" s="6">
        <v>140793331009128</v>
      </c>
      <c r="BJ183" s="6">
        <v>135871846225654</v>
      </c>
      <c r="BK183" s="6">
        <v>131593383357318</v>
      </c>
      <c r="BL183" s="6">
        <v>125927959015158</v>
      </c>
      <c r="BM183" s="6">
        <v>117657423693249</v>
      </c>
    </row>
    <row r="184" spans="1:65" x14ac:dyDescent="0.45">
      <c r="A184" s="1" t="s">
        <v>178</v>
      </c>
      <c r="B184" s="2">
        <v>102950</v>
      </c>
      <c r="C184" s="3" t="s">
        <v>929</v>
      </c>
      <c r="D184" s="3" t="s">
        <v>930</v>
      </c>
      <c r="E184" s="3" t="s">
        <v>931</v>
      </c>
      <c r="F184" s="5">
        <v>767779816791031</v>
      </c>
      <c r="G184" s="5">
        <v>874899521145793</v>
      </c>
      <c r="H184" s="5">
        <v>809878575251122</v>
      </c>
      <c r="I184" s="5">
        <v>743581616381319</v>
      </c>
      <c r="J184" s="5">
        <v>813539743394487</v>
      </c>
      <c r="K184" s="5">
        <v>822317369452995</v>
      </c>
      <c r="L184" s="5">
        <v>727369218546378</v>
      </c>
      <c r="M184" s="5">
        <v>851095232749936</v>
      </c>
      <c r="N184" s="5">
        <v>874047831275959</v>
      </c>
      <c r="O184" s="5">
        <v>864677555921743</v>
      </c>
      <c r="P184" s="5">
        <v>823157282840685</v>
      </c>
      <c r="Q184" s="5">
        <v>885423883493635</v>
      </c>
      <c r="R184" s="5">
        <v>932432881915642</v>
      </c>
      <c r="S184" s="5">
        <v>846604998305258</v>
      </c>
      <c r="T184" s="5">
        <v>80940053572552</v>
      </c>
      <c r="U184" s="5">
        <v>791693445714408</v>
      </c>
      <c r="V184" s="5">
        <v>802283693268816</v>
      </c>
      <c r="W184" s="5">
        <v>770428845501105</v>
      </c>
      <c r="X184" s="5">
        <v>768433430717411</v>
      </c>
      <c r="Y184" s="5">
        <v>729512935812015</v>
      </c>
      <c r="Z184" s="5">
        <v>728916894436567</v>
      </c>
      <c r="AA184" s="5">
        <v>67165894712964</v>
      </c>
      <c r="AB184" s="5">
        <v>641743313357071</v>
      </c>
      <c r="AC184" s="5">
        <v>545657420014978</v>
      </c>
      <c r="AD184" s="5">
        <v>52639517643552</v>
      </c>
      <c r="AE184" s="5">
        <v>552049951490831</v>
      </c>
      <c r="AF184" s="5">
        <v>446420848155356</v>
      </c>
      <c r="AG184" s="5">
        <v>473056174855354</v>
      </c>
      <c r="AH184" s="5">
        <v>501365916763334</v>
      </c>
      <c r="AI184" s="5">
        <v>487805817371838</v>
      </c>
      <c r="AJ184" s="5">
        <v>572675287473745</v>
      </c>
      <c r="AK184" s="5">
        <v>543643082940489</v>
      </c>
      <c r="AL184" s="5">
        <v>575617384028663</v>
      </c>
      <c r="AM184" s="5">
        <v>51344042608404</v>
      </c>
      <c r="AN184" s="5">
        <v>8003054186726</v>
      </c>
      <c r="AO184" s="5">
        <v>851655328228628</v>
      </c>
      <c r="AP184" s="6">
        <v>700549483642729</v>
      </c>
      <c r="AQ184" s="6">
        <v>717285309859794</v>
      </c>
      <c r="AR184" s="6">
        <v>647184273214781</v>
      </c>
      <c r="AS184" s="6">
        <v>645717477886977</v>
      </c>
      <c r="AT184" s="6">
        <v>660857194084816</v>
      </c>
      <c r="AU184" s="6">
        <v>643722302795941</v>
      </c>
      <c r="AV184" s="6">
        <v>314389079774719</v>
      </c>
      <c r="AW184" s="6">
        <v>30227680876589</v>
      </c>
      <c r="AX184" s="6">
        <v>305286060727179</v>
      </c>
      <c r="AY184" s="6">
        <v>308313724356</v>
      </c>
      <c r="AZ184" s="6">
        <v>2910845284038</v>
      </c>
      <c r="BA184" s="6">
        <v>283185545644058</v>
      </c>
      <c r="BB184" s="6">
        <v>25576311438671</v>
      </c>
      <c r="BC184" s="6">
        <v>278481726501976</v>
      </c>
      <c r="BD184" s="6">
        <v>283698198426357</v>
      </c>
      <c r="BE184" s="6">
        <v>287111393690018</v>
      </c>
      <c r="BF184" s="6">
        <v>279319944468837</v>
      </c>
      <c r="BG184" s="6">
        <v>264077131959722</v>
      </c>
      <c r="BH184" s="6">
        <v>260002740739438</v>
      </c>
      <c r="BI184" s="6">
        <v>254952260462513</v>
      </c>
      <c r="BJ184" s="6">
        <v>241301958967945</v>
      </c>
      <c r="BK184" s="6">
        <v>239620875099846</v>
      </c>
      <c r="BL184" s="6">
        <v>242632858259282</v>
      </c>
      <c r="BM184" s="6">
        <v>235952453063067</v>
      </c>
    </row>
    <row r="185" spans="1:65" x14ac:dyDescent="0.45">
      <c r="A185" s="1" t="s">
        <v>179</v>
      </c>
      <c r="B185" s="2">
        <v>4379438</v>
      </c>
      <c r="C185" s="3" t="s">
        <v>932</v>
      </c>
      <c r="D185" s="3" t="s">
        <v>933</v>
      </c>
      <c r="E185" s="3" t="s">
        <v>685</v>
      </c>
      <c r="F185" s="5">
        <v>409042982751336</v>
      </c>
      <c r="G185" s="5">
        <v>459805078081433</v>
      </c>
      <c r="H185" s="5">
        <v>421793289811179</v>
      </c>
      <c r="I185" s="5">
        <v>393998022021012</v>
      </c>
      <c r="J185" s="5">
        <v>544021154987078</v>
      </c>
      <c r="K185" s="5">
        <v>593803033615678</v>
      </c>
      <c r="L185" s="5">
        <v>56208186237318</v>
      </c>
      <c r="M185" s="5">
        <v>542540425200071</v>
      </c>
      <c r="N185" s="5">
        <v>488769671805324</v>
      </c>
      <c r="O185" s="5">
        <v>539861196175607</v>
      </c>
      <c r="P185" s="5">
        <v>524457620930658</v>
      </c>
      <c r="Q185" s="5">
        <v>581617795722543</v>
      </c>
      <c r="R185" s="5">
        <v>60259897971664</v>
      </c>
      <c r="S185" s="5">
        <v>542946911771188</v>
      </c>
      <c r="T185" s="5">
        <v>541092886900353</v>
      </c>
      <c r="U185" s="5">
        <v>502618969931911</v>
      </c>
      <c r="V185" s="5">
        <v>599175993367305</v>
      </c>
      <c r="W185" s="5">
        <v>630936079533012</v>
      </c>
      <c r="X185" s="5">
        <v>667631233413882</v>
      </c>
      <c r="Y185" s="5">
        <v>685382838465304</v>
      </c>
      <c r="Z185" s="5">
        <v>640362508635287</v>
      </c>
      <c r="AA185" s="5">
        <v>64213334061516</v>
      </c>
      <c r="AB185" s="5">
        <v>55756074871296</v>
      </c>
      <c r="AC185" s="5">
        <v>513900552693105</v>
      </c>
      <c r="AD185" s="5">
        <v>562584101501952</v>
      </c>
      <c r="AE185" s="5">
        <v>62964699492149</v>
      </c>
      <c r="AF185" s="5">
        <v>584664253032416</v>
      </c>
      <c r="AG185" s="5">
        <v>562457438593551</v>
      </c>
      <c r="AH185" s="5">
        <v>481803200195957</v>
      </c>
      <c r="AI185" s="5">
        <v>37294945407864</v>
      </c>
      <c r="AJ185" s="5">
        <v>325515897485123</v>
      </c>
      <c r="AK185" s="5">
        <v>306808396460429</v>
      </c>
      <c r="AL185" s="5">
        <v>30273743781669</v>
      </c>
      <c r="AM185" s="5">
        <v>288280248634014</v>
      </c>
      <c r="AN185" s="5">
        <v>335187799799142</v>
      </c>
      <c r="AO185" s="5">
        <v>340669731027507</v>
      </c>
      <c r="AP185" s="6">
        <v>328580133238738</v>
      </c>
      <c r="AQ185" s="6">
        <v>326027770447177</v>
      </c>
      <c r="AR185" s="6">
        <v>305538491193026</v>
      </c>
      <c r="AS185" s="6">
        <v>335172212687394</v>
      </c>
      <c r="AT185" s="6">
        <v>332647759033986</v>
      </c>
      <c r="AU185" s="6">
        <v>341638511826892</v>
      </c>
      <c r="AV185" s="6">
        <v>358665123536817</v>
      </c>
      <c r="AW185" s="6">
        <v>340722858965332</v>
      </c>
      <c r="AX185" s="6">
        <v>372089985389141</v>
      </c>
      <c r="AY185" s="6">
        <v>312099280428652</v>
      </c>
      <c r="AZ185" s="6">
        <v>306385762778776</v>
      </c>
      <c r="BA185" s="6">
        <v>30559844964924</v>
      </c>
      <c r="BB185" s="6">
        <v>265784012459113</v>
      </c>
      <c r="BC185" s="6">
        <v>330600049772371</v>
      </c>
      <c r="BD185" s="6">
        <v>335632614681836</v>
      </c>
      <c r="BE185" s="6">
        <v>317322621891236</v>
      </c>
      <c r="BF185" s="6">
        <v>325515083503768</v>
      </c>
      <c r="BG185" s="6">
        <v>341942654002788</v>
      </c>
      <c r="BH185" s="6">
        <v>378096269045374</v>
      </c>
      <c r="BI185" s="6">
        <v>394766844504278</v>
      </c>
      <c r="BJ185" s="6">
        <v>370958061396588</v>
      </c>
      <c r="BK185" s="6">
        <v>35979497079463</v>
      </c>
      <c r="BL185" s="6">
        <v>34526796816461</v>
      </c>
      <c r="BM185" s="6">
        <v>347623380763435</v>
      </c>
    </row>
    <row r="186" spans="1:65" x14ac:dyDescent="0.45">
      <c r="A186" s="1" t="s">
        <v>180</v>
      </c>
      <c r="B186" s="2">
        <v>4093074</v>
      </c>
      <c r="C186" s="3" t="s">
        <v>934</v>
      </c>
      <c r="D186" s="3" t="s">
        <v>935</v>
      </c>
      <c r="E186" s="3" t="s">
        <v>553</v>
      </c>
      <c r="F186" s="5">
        <v>376720269010387</v>
      </c>
      <c r="G186" s="5">
        <v>417625362447107</v>
      </c>
      <c r="H186" s="5">
        <v>510262947485356</v>
      </c>
      <c r="I186" s="5">
        <v>46854649278563</v>
      </c>
      <c r="J186" s="5">
        <v>551565885570218</v>
      </c>
      <c r="K186" s="5">
        <v>608904892580563</v>
      </c>
      <c r="L186" s="5">
        <v>533117433565904</v>
      </c>
      <c r="M186" s="5">
        <v>594878905615352</v>
      </c>
      <c r="N186" s="5">
        <v>574596446562072</v>
      </c>
      <c r="O186" s="5">
        <v>551058319370054</v>
      </c>
      <c r="P186" s="5">
        <v>516947031560867</v>
      </c>
      <c r="Q186" s="5">
        <v>651955989531087</v>
      </c>
      <c r="R186" s="5">
        <v>584431063445858</v>
      </c>
      <c r="S186" s="5">
        <v>564560256454964</v>
      </c>
      <c r="T186" s="5">
        <v>5915497407459</v>
      </c>
      <c r="U186" s="5">
        <v>648485702954968</v>
      </c>
      <c r="V186" s="5">
        <v>668630079400548</v>
      </c>
      <c r="W186" s="5">
        <v>779182492559757</v>
      </c>
      <c r="X186" s="5">
        <v>740953785920887</v>
      </c>
      <c r="Y186" s="5">
        <v>758029637701042</v>
      </c>
      <c r="Z186" s="5">
        <v>790750060427844</v>
      </c>
      <c r="AA186" s="5">
        <v>744110373955802</v>
      </c>
      <c r="AB186" s="5">
        <v>70844069520594</v>
      </c>
      <c r="AC186" s="5">
        <v>631096863908148</v>
      </c>
      <c r="AD186" s="5">
        <v>717578432136852</v>
      </c>
      <c r="AE186" s="5">
        <v>770514641805851</v>
      </c>
      <c r="AF186" s="5">
        <v>663390196993315</v>
      </c>
      <c r="AG186" s="5">
        <v>776759932231734</v>
      </c>
      <c r="AH186" s="5">
        <v>78185300469739</v>
      </c>
      <c r="AI186" s="5">
        <v>764111180277069</v>
      </c>
      <c r="AJ186" s="5">
        <v>736163659138792</v>
      </c>
      <c r="AK186" s="5">
        <v>771535948734144</v>
      </c>
      <c r="AL186" s="5">
        <v>744747666387954</v>
      </c>
      <c r="AM186" s="5">
        <v>682221197324576</v>
      </c>
      <c r="AN186" s="5">
        <v>783020574276911</v>
      </c>
      <c r="AO186" s="5">
        <v>796407187943026</v>
      </c>
      <c r="AP186" s="6">
        <v>162710953910913</v>
      </c>
      <c r="AQ186" s="6">
        <v>163162482973953</v>
      </c>
      <c r="AR186" s="6">
        <v>125141067739703</v>
      </c>
      <c r="AS186" s="6">
        <v>120372151099485</v>
      </c>
      <c r="AT186" s="6">
        <v>123097515217253</v>
      </c>
      <c r="AU186" s="6">
        <v>123218355976234</v>
      </c>
      <c r="AV186" s="6">
        <v>115294498361808</v>
      </c>
      <c r="AW186" s="6">
        <v>111031637274265</v>
      </c>
      <c r="AX186" s="6">
        <v>148207529389658</v>
      </c>
      <c r="AY186" s="6">
        <v>127663454342982</v>
      </c>
      <c r="AZ186" s="6">
        <v>130040430863776</v>
      </c>
      <c r="BA186" s="6">
        <v>1138850027905</v>
      </c>
      <c r="BB186" s="6">
        <v>104800781682202</v>
      </c>
      <c r="BC186" s="6">
        <v>11110776059735</v>
      </c>
      <c r="BD186" s="6">
        <v>122803630466567</v>
      </c>
      <c r="BE186" s="6">
        <v>134323141055879</v>
      </c>
      <c r="BF186" s="6">
        <v>122047943451919</v>
      </c>
      <c r="BG186" s="6">
        <v>903632853172343</v>
      </c>
      <c r="BH186" s="6">
        <v>89946670065476</v>
      </c>
      <c r="BI186" s="6">
        <v>882074246886189</v>
      </c>
      <c r="BJ186" s="6">
        <v>770376538905978</v>
      </c>
      <c r="BK186" s="6">
        <v>732102382025873</v>
      </c>
      <c r="BL186" s="6">
        <v>694526701591359</v>
      </c>
      <c r="BM186" s="6">
        <v>643631739783832</v>
      </c>
    </row>
    <row r="187" spans="1:65" x14ac:dyDescent="0.45">
      <c r="A187" s="1" t="s">
        <v>181</v>
      </c>
      <c r="B187" s="2">
        <v>100260</v>
      </c>
      <c r="C187" s="3" t="s">
        <v>936</v>
      </c>
      <c r="D187" s="3" t="s">
        <v>937</v>
      </c>
      <c r="E187" s="3" t="s">
        <v>637</v>
      </c>
      <c r="F187" s="5">
        <v>210725798837846</v>
      </c>
      <c r="G187" s="5">
        <v>242011564485085</v>
      </c>
      <c r="H187" s="5">
        <v>247668431542598</v>
      </c>
      <c r="I187" s="5">
        <v>223648441895708</v>
      </c>
      <c r="J187" s="5">
        <v>232669961154442</v>
      </c>
      <c r="K187" s="5">
        <v>229504818745038</v>
      </c>
      <c r="L187" s="5">
        <v>220520585747549</v>
      </c>
      <c r="M187" s="5">
        <v>252155687596625</v>
      </c>
      <c r="N187" s="5">
        <v>24426597701385</v>
      </c>
      <c r="O187" s="5">
        <v>265661157158947</v>
      </c>
      <c r="P187" s="5">
        <v>291257800564318</v>
      </c>
      <c r="Q187" s="5">
        <v>272447630755079</v>
      </c>
      <c r="R187" s="5">
        <v>261834698878003</v>
      </c>
      <c r="S187" s="5">
        <v>255694319134673</v>
      </c>
      <c r="T187" s="5">
        <v>260019125632071</v>
      </c>
      <c r="U187" s="5">
        <v>252921912490803</v>
      </c>
      <c r="V187" s="5">
        <v>227399596016144</v>
      </c>
      <c r="W187" s="5">
        <v>215154032509405</v>
      </c>
      <c r="X187" s="5">
        <v>226763338437029</v>
      </c>
      <c r="Y187" s="5">
        <v>243402408074933</v>
      </c>
      <c r="Z187" s="5">
        <v>239814111864672</v>
      </c>
      <c r="AA187" s="5">
        <v>226758177866976</v>
      </c>
      <c r="AB187" s="5">
        <v>203192809033658</v>
      </c>
      <c r="AC187" s="5">
        <v>169787719656773</v>
      </c>
      <c r="AD187" s="5">
        <v>16056858556422</v>
      </c>
      <c r="AE187" s="5">
        <v>151047114706018</v>
      </c>
      <c r="AF187" s="5">
        <v>14193193810896</v>
      </c>
      <c r="AG187" s="5">
        <v>129315277664265</v>
      </c>
      <c r="AH187" s="5">
        <v>12309013443896</v>
      </c>
      <c r="AI187" s="5">
        <v>11956203602916</v>
      </c>
      <c r="AJ187" s="5">
        <v>121966209153289</v>
      </c>
      <c r="AK187" s="5">
        <v>124166707148099</v>
      </c>
      <c r="AL187" s="5">
        <v>12152327984874</v>
      </c>
      <c r="AM187" s="5">
        <v>9609891525234</v>
      </c>
      <c r="AN187" s="5">
        <v>155308306212872</v>
      </c>
      <c r="AO187" s="5">
        <v>179633145258743</v>
      </c>
      <c r="AP187" s="6">
        <v>228585698597326</v>
      </c>
      <c r="AQ187" s="6">
        <v>21995675006341</v>
      </c>
      <c r="AR187" s="6">
        <v>207862453472817</v>
      </c>
      <c r="AS187" s="6">
        <v>21097114284491</v>
      </c>
      <c r="AT187" s="6">
        <v>216292377951118</v>
      </c>
      <c r="AU187" s="6">
        <v>229272967941089</v>
      </c>
      <c r="AV187" s="6">
        <v>240064458820946</v>
      </c>
      <c r="AW187" s="6">
        <v>228920356346868</v>
      </c>
      <c r="AX187" s="6">
        <v>258222402828715</v>
      </c>
      <c r="AY187" s="6">
        <v>250123429449977</v>
      </c>
      <c r="AZ187" s="6">
        <v>23968503305582</v>
      </c>
      <c r="BA187" s="6">
        <v>218633062324445</v>
      </c>
      <c r="BB187" s="6">
        <v>197352858677728</v>
      </c>
      <c r="BC187" s="6">
        <v>224373063250149</v>
      </c>
      <c r="BD187" s="6">
        <v>219079253474359</v>
      </c>
      <c r="BE187" s="6">
        <v>25329465645292</v>
      </c>
      <c r="BF187" s="6">
        <v>252867657600982</v>
      </c>
      <c r="BG187" s="6">
        <v>244886244174828</v>
      </c>
      <c r="BH187" s="6">
        <v>230367232274154</v>
      </c>
      <c r="BI187" s="6">
        <v>21731444009864</v>
      </c>
      <c r="BJ187" s="6">
        <v>202969522691913</v>
      </c>
      <c r="BK187" s="6">
        <v>219250560192</v>
      </c>
      <c r="BL187" s="6">
        <v>2187634176</v>
      </c>
      <c r="BM187" s="6">
        <v>21240190335615</v>
      </c>
    </row>
    <row r="188" spans="1:65" x14ac:dyDescent="0.45">
      <c r="A188" s="1" t="s">
        <v>182</v>
      </c>
      <c r="B188" s="2">
        <v>4211343</v>
      </c>
      <c r="C188" s="3" t="s">
        <v>938</v>
      </c>
      <c r="D188" s="3" t="s">
        <v>939</v>
      </c>
      <c r="E188" s="3" t="s">
        <v>507</v>
      </c>
      <c r="F188" s="5">
        <v>149416827090018</v>
      </c>
      <c r="G188" s="5">
        <v>17835368116733</v>
      </c>
      <c r="H188" s="5">
        <v>15693938586419</v>
      </c>
      <c r="I188" s="5">
        <v>143784282524006</v>
      </c>
      <c r="J188" s="5">
        <v>134996039414244</v>
      </c>
      <c r="K188" s="5">
        <v>103627830215029</v>
      </c>
      <c r="L188" s="5">
        <v>694642825517202</v>
      </c>
      <c r="M188" s="5">
        <v>701490039026439</v>
      </c>
      <c r="N188" s="5">
        <v>73860273228111</v>
      </c>
      <c r="O188" s="5">
        <v>801573133550347</v>
      </c>
      <c r="P188" s="5">
        <v>71287528148915</v>
      </c>
      <c r="Q188" s="5">
        <v>74404940868288</v>
      </c>
      <c r="R188" s="5">
        <v>81488557467396</v>
      </c>
      <c r="S188" s="5">
        <v>9772903797664</v>
      </c>
      <c r="T188" s="5">
        <v>109956944620805</v>
      </c>
      <c r="U188" s="5">
        <v>875676476286418</v>
      </c>
      <c r="V188" s="5">
        <v>84669289895136</v>
      </c>
      <c r="W188" s="5">
        <v>771097981371588</v>
      </c>
      <c r="X188" s="5">
        <v>811543402432909</v>
      </c>
      <c r="Y188" s="5">
        <v>66389882069084</v>
      </c>
      <c r="Z188" s="5">
        <v>676343628338299</v>
      </c>
      <c r="AA188" s="5">
        <v>78832258886808</v>
      </c>
      <c r="AB188" s="5">
        <v>709677312417198</v>
      </c>
      <c r="AC188" s="5">
        <v>865610910940113</v>
      </c>
      <c r="AD188" s="5">
        <v>85699854561399</v>
      </c>
      <c r="AE188" s="5">
        <v>828446244807289</v>
      </c>
      <c r="AF188" s="5">
        <v>791571132062215</v>
      </c>
      <c r="AG188" s="5">
        <v>597402477375456</v>
      </c>
      <c r="AH188" s="5">
        <v>678891519305937</v>
      </c>
      <c r="AI188" s="5">
        <v>533111253704541</v>
      </c>
      <c r="AJ188" s="5">
        <v>46583994239838</v>
      </c>
      <c r="AK188" s="5">
        <v>444118283307846</v>
      </c>
      <c r="AL188" s="5">
        <v>425967063298653</v>
      </c>
      <c r="AM188" s="5">
        <v>34605512251674</v>
      </c>
      <c r="AN188" s="5">
        <v>438900697596121</v>
      </c>
      <c r="AO188" s="5">
        <v>471391642506136</v>
      </c>
      <c r="AP188" s="6">
        <v>115560356672661</v>
      </c>
      <c r="AQ188" s="6">
        <v>124268166057058</v>
      </c>
      <c r="AR188" s="6">
        <v>123402519265</v>
      </c>
      <c r="AS188" s="6">
        <v>13330798307552</v>
      </c>
      <c r="AT188" s="6">
        <v>120344965128874</v>
      </c>
      <c r="AU188" s="6">
        <v>147665245820561</v>
      </c>
      <c r="AV188" s="6">
        <v>155223138441821</v>
      </c>
      <c r="AW188" s="6">
        <v>144886592935237</v>
      </c>
      <c r="AX188" s="6">
        <v>156691686421336</v>
      </c>
      <c r="AY188" s="6">
        <v>15044691976772</v>
      </c>
      <c r="AZ188" s="6">
        <v>145897506090491</v>
      </c>
      <c r="BA188" s="6">
        <v>131706055591904</v>
      </c>
      <c r="BB188" s="6">
        <v>132701048092029</v>
      </c>
      <c r="BC188" s="6">
        <v>153577755782154</v>
      </c>
      <c r="BD188" s="6">
        <v>13988057925</v>
      </c>
      <c r="BE188" s="6">
        <v>137951631564394</v>
      </c>
      <c r="BF188" s="6">
        <v>144118861406145</v>
      </c>
      <c r="BG188" s="6">
        <v>154567422331093</v>
      </c>
      <c r="BH188" s="6">
        <v>148395509982351</v>
      </c>
      <c r="BI188" s="6">
        <v>15554210890991</v>
      </c>
      <c r="BJ188" s="6">
        <v>150505525686016</v>
      </c>
      <c r="BK188" s="6">
        <v>15559019907303</v>
      </c>
      <c r="BL188" s="6">
        <v>174728541404208</v>
      </c>
      <c r="BM188" s="6">
        <v>18809449225773</v>
      </c>
    </row>
    <row r="189" spans="1:65" x14ac:dyDescent="0.45">
      <c r="A189" s="1" t="s">
        <v>183</v>
      </c>
      <c r="B189" s="2">
        <v>4056944</v>
      </c>
      <c r="C189" s="3" t="s">
        <v>940</v>
      </c>
      <c r="D189" s="3" t="s">
        <v>941</v>
      </c>
      <c r="E189" s="3" t="s">
        <v>533</v>
      </c>
      <c r="F189" s="5">
        <v>224374581437093</v>
      </c>
      <c r="G189" s="5">
        <v>228646549784175</v>
      </c>
      <c r="H189" s="5">
        <v>21804450170163</v>
      </c>
      <c r="I189" s="5">
        <v>21560229730791</v>
      </c>
      <c r="J189" s="5">
        <v>224382328687456</v>
      </c>
      <c r="K189" s="5">
        <v>230240530277154</v>
      </c>
      <c r="L189" s="5">
        <v>209668443787752</v>
      </c>
      <c r="M189" s="5">
        <v>228618496220962</v>
      </c>
      <c r="N189" s="5">
        <v>234635225877713</v>
      </c>
      <c r="O189" s="5">
        <v>235686725429048</v>
      </c>
      <c r="P189" s="5">
        <v>212552667412283</v>
      </c>
      <c r="Q189" s="5">
        <v>213603277984877</v>
      </c>
      <c r="R189" s="5">
        <v>208518333603264</v>
      </c>
      <c r="S189" s="5">
        <v>181901221778863</v>
      </c>
      <c r="T189" s="5">
        <v>181404667532765</v>
      </c>
      <c r="U189" s="5">
        <v>167246682175282</v>
      </c>
      <c r="V189" s="5">
        <v>17920657810985</v>
      </c>
      <c r="W189" s="5">
        <v>175795006431751</v>
      </c>
      <c r="X189" s="5">
        <v>170691804820188</v>
      </c>
      <c r="Y189" s="5">
        <v>16918107241927</v>
      </c>
      <c r="Z189" s="5">
        <v>171453167522911</v>
      </c>
      <c r="AA189" s="5">
        <v>160785926361287</v>
      </c>
      <c r="AB189" s="5">
        <v>148787753902689</v>
      </c>
      <c r="AC189" s="5">
        <v>137492834666178</v>
      </c>
      <c r="AD189" s="5">
        <v>135776008730324</v>
      </c>
      <c r="AE189" s="5">
        <v>120578474966759</v>
      </c>
      <c r="AF189" s="5">
        <v>138252958885746</v>
      </c>
      <c r="AG189" s="5">
        <v>132542931874423</v>
      </c>
      <c r="AH189" s="5">
        <v>129648599102465</v>
      </c>
      <c r="AI189" s="5">
        <v>132803875531215</v>
      </c>
      <c r="AJ189" s="5">
        <v>186687824883601</v>
      </c>
      <c r="AK189" s="5">
        <v>205936127800546</v>
      </c>
      <c r="AL189" s="5">
        <v>204376077607814</v>
      </c>
      <c r="AM189" s="5">
        <v>197164297636033</v>
      </c>
      <c r="AN189" s="5">
        <v>218941166414133</v>
      </c>
      <c r="AO189" s="5">
        <v>247530733018741</v>
      </c>
      <c r="AP189" s="6">
        <v>169629685617661</v>
      </c>
      <c r="AQ189" s="6">
        <v>149857446362007</v>
      </c>
      <c r="AR189" s="6">
        <v>127816524312456</v>
      </c>
      <c r="AS189" s="6">
        <v>127339544036254</v>
      </c>
      <c r="AT189" s="6">
        <v>121229858338046</v>
      </c>
      <c r="AU189" s="6">
        <v>144155502934529</v>
      </c>
      <c r="AV189" s="6">
        <v>148006328400923</v>
      </c>
      <c r="AW189" s="6">
        <v>126362469228674</v>
      </c>
      <c r="AX189" s="6">
        <v>159375624622079</v>
      </c>
      <c r="AY189" s="6">
        <v>166424268036361</v>
      </c>
      <c r="AZ189" s="6">
        <v>164142000292487</v>
      </c>
      <c r="BA189" s="6">
        <v>147246743641421</v>
      </c>
      <c r="BB189" s="6">
        <v>130481916820387</v>
      </c>
      <c r="BC189" s="6">
        <v>152806511926149</v>
      </c>
      <c r="BD189" s="6">
        <v>149142599491616</v>
      </c>
      <c r="BE189" s="6">
        <v>173604215823574</v>
      </c>
      <c r="BF189" s="6">
        <v>175388387479711</v>
      </c>
      <c r="BG189" s="6">
        <v>204269117230448</v>
      </c>
      <c r="BH189" s="6">
        <v>21432803745788</v>
      </c>
      <c r="BI189" s="6">
        <v>210004603737119</v>
      </c>
      <c r="BJ189" s="6">
        <v>182495389224323</v>
      </c>
      <c r="BK189" s="6">
        <v>206866956517835</v>
      </c>
      <c r="BL189" s="6">
        <v>220555981080162</v>
      </c>
      <c r="BM189" s="6">
        <v>226925036911014</v>
      </c>
    </row>
    <row r="190" spans="1:65" x14ac:dyDescent="0.45">
      <c r="A190" s="1" t="s">
        <v>184</v>
      </c>
      <c r="B190" s="2">
        <v>113881</v>
      </c>
      <c r="C190" s="3" t="s">
        <v>942</v>
      </c>
      <c r="D190" s="3" t="s">
        <v>943</v>
      </c>
      <c r="E190" s="3" t="s">
        <v>944</v>
      </c>
      <c r="F190" s="5">
        <v>600553665459831</v>
      </c>
      <c r="G190" s="5">
        <v>642635026520158</v>
      </c>
      <c r="H190" s="5">
        <v>659800279934091</v>
      </c>
      <c r="I190" s="5">
        <v>610308564097187</v>
      </c>
      <c r="J190" s="5">
        <v>642600314388837</v>
      </c>
      <c r="K190" s="5">
        <v>662664849282659</v>
      </c>
      <c r="L190" s="5">
        <v>550137598526536</v>
      </c>
      <c r="M190" s="5">
        <v>603588415020876</v>
      </c>
      <c r="N190" s="5">
        <v>600605371050307</v>
      </c>
      <c r="O190" s="5">
        <v>595327161035334</v>
      </c>
      <c r="P190" s="5">
        <v>567249138589572</v>
      </c>
      <c r="Q190" s="5">
        <v>623054004041549</v>
      </c>
      <c r="R190" s="5">
        <v>602544473600006</v>
      </c>
      <c r="S190" s="5">
        <v>565373396246648</v>
      </c>
      <c r="T190" s="5">
        <v>562346945907251</v>
      </c>
      <c r="U190" s="5">
        <v>61991499749067</v>
      </c>
      <c r="V190" s="5">
        <v>660825263114089</v>
      </c>
      <c r="W190" s="5">
        <v>642588423388969</v>
      </c>
      <c r="X190" s="5">
        <v>601099438926859</v>
      </c>
      <c r="Y190" s="5">
        <v>630241088176512</v>
      </c>
      <c r="Z190" s="5">
        <v>665807607172628</v>
      </c>
      <c r="AA190" s="5">
        <v>678980132018842</v>
      </c>
      <c r="AB190" s="5">
        <v>638352118368435</v>
      </c>
      <c r="AC190" s="5">
        <v>567163808607622</v>
      </c>
      <c r="AD190" s="5">
        <v>624047301482949</v>
      </c>
      <c r="AE190" s="5">
        <v>646108436619973</v>
      </c>
      <c r="AF190" s="5">
        <v>549241561617958</v>
      </c>
      <c r="AG190" s="5">
        <v>587667253924031</v>
      </c>
      <c r="AH190" s="5">
        <v>557809504504625</v>
      </c>
      <c r="AI190" s="5">
        <v>564726641097568</v>
      </c>
      <c r="AJ190" s="5">
        <v>580745023272701</v>
      </c>
      <c r="AK190" s="5">
        <v>642970125957918</v>
      </c>
      <c r="AL190" s="5">
        <v>637156991817851</v>
      </c>
      <c r="AM190" s="5">
        <v>587019099914247</v>
      </c>
      <c r="AN190" s="5">
        <v>675302946770446</v>
      </c>
      <c r="AO190" s="5">
        <v>727393961538862</v>
      </c>
      <c r="AP190" s="6">
        <v>16526740418748</v>
      </c>
      <c r="AQ190" s="6">
        <v>16855186694732</v>
      </c>
      <c r="AR190" s="6">
        <v>15988256371875</v>
      </c>
      <c r="AS190" s="6">
        <v>14765070068298</v>
      </c>
      <c r="AT190" s="6">
        <v>14098619031288</v>
      </c>
      <c r="AU190" s="6">
        <v>1342369438773</v>
      </c>
      <c r="AV190" s="6">
        <v>13313645025823</v>
      </c>
      <c r="AW190" s="6">
        <v>130254510088928</v>
      </c>
      <c r="AX190" s="6">
        <v>145276623601105</v>
      </c>
      <c r="AY190" s="6">
        <v>1457672199885</v>
      </c>
      <c r="AZ190" s="6">
        <v>13969728173277</v>
      </c>
      <c r="BA190" s="6">
        <v>1140295717926</v>
      </c>
      <c r="BB190" s="6">
        <v>10441834027592</v>
      </c>
      <c r="BC190" s="6">
        <v>11115962212608</v>
      </c>
      <c r="BD190" s="6">
        <v>1103633163924</v>
      </c>
      <c r="BE190" s="6">
        <v>11382955331895</v>
      </c>
      <c r="BF190" s="6">
        <v>1108287666017</v>
      </c>
      <c r="BG190" s="6">
        <v>100602047035824</v>
      </c>
      <c r="BH190" s="6">
        <v>98565206953227</v>
      </c>
      <c r="BI190" s="6">
        <v>971627777283158</v>
      </c>
      <c r="BJ190" s="6">
        <v>91603827949558</v>
      </c>
      <c r="BK190" s="6">
        <v>9018369922564</v>
      </c>
      <c r="BL190" s="6">
        <v>913047109884</v>
      </c>
      <c r="BM190" s="6">
        <v>9487024875</v>
      </c>
    </row>
    <row r="191" spans="1:65" x14ac:dyDescent="0.45">
      <c r="A191" s="1" t="s">
        <v>185</v>
      </c>
      <c r="B191" s="2">
        <v>113873</v>
      </c>
      <c r="C191" s="3" t="s">
        <v>945</v>
      </c>
      <c r="D191" s="3" t="s">
        <v>946</v>
      </c>
      <c r="E191" s="3" t="s">
        <v>947</v>
      </c>
      <c r="F191" s="5">
        <v>437517846996909</v>
      </c>
      <c r="G191" s="5">
        <v>541915564764242</v>
      </c>
      <c r="H191" s="5">
        <v>54361426372601</v>
      </c>
      <c r="I191" s="5">
        <v>459181880735917</v>
      </c>
      <c r="J191" s="5">
        <v>608334139939223</v>
      </c>
      <c r="K191" s="5">
        <v>578997662722874</v>
      </c>
      <c r="L191" s="5">
        <v>427982729045401</v>
      </c>
      <c r="M191" s="5">
        <v>512565425715704</v>
      </c>
      <c r="N191" s="5">
        <v>540112716902905</v>
      </c>
      <c r="O191" s="5">
        <v>611759830737013</v>
      </c>
      <c r="P191" s="5">
        <v>626151397351834</v>
      </c>
      <c r="Q191" s="5">
        <v>724272416017315</v>
      </c>
      <c r="R191" s="5">
        <v>729836023400207</v>
      </c>
      <c r="S191" s="5">
        <v>680374822054481</v>
      </c>
      <c r="T191" s="5">
        <v>590276200526484</v>
      </c>
      <c r="U191" s="5">
        <v>488050272786332</v>
      </c>
      <c r="V191" s="5">
        <v>440982680395183</v>
      </c>
      <c r="W191" s="5">
        <v>469778300352612</v>
      </c>
      <c r="X191" s="5">
        <v>500269766396681</v>
      </c>
      <c r="Y191" s="5">
        <v>47587846368196</v>
      </c>
      <c r="Z191" s="5">
        <v>382926516073677</v>
      </c>
      <c r="AA191" s="5">
        <v>41525639892429</v>
      </c>
      <c r="AB191" s="5">
        <v>384741797491409</v>
      </c>
      <c r="AC191" s="5">
        <v>34511321675039</v>
      </c>
      <c r="AD191" s="5">
        <v>28588282784172</v>
      </c>
      <c r="AE191" s="5">
        <v>30225051562777</v>
      </c>
      <c r="AF191" s="5">
        <v>263893582411717</v>
      </c>
      <c r="AG191" s="5">
        <v>225640538194974</v>
      </c>
      <c r="AH191" s="5">
        <v>226964307349503</v>
      </c>
      <c r="AI191" s="5">
        <v>222289819630873</v>
      </c>
      <c r="AJ191" s="5">
        <v>214867059755668</v>
      </c>
      <c r="AK191" s="5">
        <v>204266538180397</v>
      </c>
      <c r="AL191" s="5">
        <v>185042481585522</v>
      </c>
      <c r="AM191" s="5">
        <v>174270582574725</v>
      </c>
      <c r="AN191" s="5">
        <v>250929655658766</v>
      </c>
      <c r="AO191" s="5">
        <v>315432931293018</v>
      </c>
      <c r="AP191" s="6">
        <v>122835480062007</v>
      </c>
      <c r="AQ191" s="6">
        <v>130273481661491</v>
      </c>
      <c r="AR191" s="6">
        <v>123646512534483</v>
      </c>
      <c r="AS191" s="6">
        <v>118202447982601</v>
      </c>
      <c r="AT191" s="6">
        <v>109546242705484</v>
      </c>
      <c r="AU191" s="6">
        <v>112840974961661</v>
      </c>
      <c r="AV191" s="6">
        <v>127418541001858</v>
      </c>
      <c r="AW191" s="6">
        <v>122280827034292</v>
      </c>
      <c r="AX191" s="6">
        <v>127619661961024</v>
      </c>
      <c r="AY191" s="6">
        <v>121242613549306</v>
      </c>
      <c r="AZ191" s="6">
        <v>112098071917553</v>
      </c>
      <c r="BA191" s="6">
        <v>107828415109795</v>
      </c>
      <c r="BB191" s="6">
        <v>101487237030974</v>
      </c>
      <c r="BC191" s="6">
        <v>122976168001789</v>
      </c>
      <c r="BD191" s="6">
        <v>118366725935899</v>
      </c>
      <c r="BE191" s="6">
        <v>123894847945685</v>
      </c>
      <c r="BF191" s="6">
        <v>117171851002502</v>
      </c>
      <c r="BG191" s="6">
        <v>105587677188112</v>
      </c>
      <c r="BH191" s="6">
        <v>103930440141297</v>
      </c>
      <c r="BI191" s="6">
        <v>103877984318039</v>
      </c>
      <c r="BJ191" s="6">
        <v>914520167047664</v>
      </c>
      <c r="BK191" s="6">
        <v>868812597536513</v>
      </c>
      <c r="BL191" s="6">
        <v>843689834930943</v>
      </c>
      <c r="BM191" s="6">
        <v>101106347420108</v>
      </c>
    </row>
    <row r="192" spans="1:65" x14ac:dyDescent="0.45">
      <c r="A192" s="1" t="s">
        <v>186</v>
      </c>
      <c r="B192" s="2">
        <v>4868602</v>
      </c>
      <c r="C192" s="3" t="s">
        <v>948</v>
      </c>
      <c r="D192" s="3" t="s">
        <v>949</v>
      </c>
      <c r="E192" s="3" t="s">
        <v>795</v>
      </c>
      <c r="F192" s="5">
        <v>357387139602381</v>
      </c>
      <c r="G192" s="5">
        <v>402721320025138</v>
      </c>
      <c r="H192" s="5">
        <v>455811588554855</v>
      </c>
      <c r="I192" s="5">
        <v>395070777332049</v>
      </c>
      <c r="J192" s="5">
        <v>381204852562546</v>
      </c>
      <c r="K192" s="5">
        <v>469388222014461</v>
      </c>
      <c r="L192" s="5">
        <v>434421946367918</v>
      </c>
      <c r="M192" s="5">
        <v>440113843394605</v>
      </c>
      <c r="N192" s="5">
        <v>439524063047714</v>
      </c>
      <c r="O192" s="5">
        <v>494723548785392</v>
      </c>
      <c r="P192" s="5">
        <v>493373844044968</v>
      </c>
      <c r="Q192" s="5">
        <v>433888993430669</v>
      </c>
      <c r="R192" s="5">
        <v>516692723057118</v>
      </c>
      <c r="S192" s="5">
        <v>481748848159217</v>
      </c>
      <c r="T192" s="5">
        <v>475044291756064</v>
      </c>
      <c r="U192" s="5">
        <v>411521357262624</v>
      </c>
      <c r="V192" s="5">
        <v>436043062158816</v>
      </c>
      <c r="W192" s="5">
        <v>374811267603446</v>
      </c>
      <c r="X192" s="5">
        <v>328087926323008</v>
      </c>
      <c r="Y192" s="5">
        <v>292848262476596</v>
      </c>
      <c r="Z192" s="5">
        <v>277265874489668</v>
      </c>
      <c r="AA192" s="5">
        <v>25641510228247</v>
      </c>
      <c r="AB192" s="5">
        <v>227740311853585</v>
      </c>
      <c r="AC192" s="5">
        <v>193572963999787</v>
      </c>
      <c r="AD192" s="5">
        <v>197108921840456</v>
      </c>
      <c r="AE192" s="5">
        <v>167374987466026</v>
      </c>
      <c r="AF192" s="5">
        <v>153268260877692</v>
      </c>
      <c r="AG192" s="5">
        <v>162360766806417</v>
      </c>
      <c r="AH192" s="5">
        <v>178697967027121</v>
      </c>
      <c r="AI192" s="5">
        <v>188975209522146</v>
      </c>
      <c r="AJ192" s="5">
        <v>197175853332419</v>
      </c>
      <c r="AK192" s="5">
        <v>20240078352816</v>
      </c>
      <c r="AL192" s="5">
        <v>158769930057633</v>
      </c>
      <c r="AM192" s="5">
        <v>158825161265134</v>
      </c>
      <c r="AN192" s="5">
        <v>160099110030921</v>
      </c>
      <c r="AO192" s="5">
        <v>177968675100339</v>
      </c>
      <c r="AP192" s="6">
        <v>141731775224794</v>
      </c>
      <c r="AQ192" s="6">
        <v>140849058203712</v>
      </c>
      <c r="AR192" s="6">
        <v>126854996286693</v>
      </c>
      <c r="AS192" s="6">
        <v>133934085050258</v>
      </c>
      <c r="AT192" s="6">
        <v>130645087599903</v>
      </c>
      <c r="AU192" s="6">
        <v>119625449747958</v>
      </c>
      <c r="AV192" s="6">
        <v>11821528595136</v>
      </c>
      <c r="AW192" s="6">
        <v>103873157141666</v>
      </c>
      <c r="AX192" s="6">
        <v>138118360439383</v>
      </c>
      <c r="AY192" s="6">
        <v>130937810770731</v>
      </c>
      <c r="AZ192" s="6">
        <v>126235595378347</v>
      </c>
      <c r="BA192" s="6">
        <v>117238967443319</v>
      </c>
      <c r="BB192" s="6">
        <v>10543507547754</v>
      </c>
      <c r="BC192" s="6">
        <v>124759272147713</v>
      </c>
      <c r="BD192" s="6">
        <v>102434957272222</v>
      </c>
      <c r="BE192" s="6">
        <v>11383912929019</v>
      </c>
      <c r="BF192" s="6">
        <v>107947837922803</v>
      </c>
      <c r="BG192" s="6">
        <v>107389385447575</v>
      </c>
      <c r="BH192" s="6">
        <v>110006840078965</v>
      </c>
      <c r="BI192" s="6">
        <v>110776870525359</v>
      </c>
      <c r="BJ192" s="6">
        <v>143051333869233</v>
      </c>
      <c r="BK192" s="6">
        <v>130655006581106</v>
      </c>
      <c r="BL192" s="6">
        <v>133826656147985</v>
      </c>
      <c r="BM192" s="6">
        <v>13571529451756</v>
      </c>
    </row>
    <row r="193" spans="1:65" x14ac:dyDescent="0.45">
      <c r="A193" s="1" t="s">
        <v>187</v>
      </c>
      <c r="B193" s="2">
        <v>4992262</v>
      </c>
      <c r="C193" s="3" t="s">
        <v>950</v>
      </c>
      <c r="D193" s="3" t="s">
        <v>951</v>
      </c>
      <c r="E193" s="3" t="s">
        <v>847</v>
      </c>
      <c r="F193" s="5">
        <v>212705010648374</v>
      </c>
      <c r="G193" s="5">
        <v>231755851411985</v>
      </c>
      <c r="H193" s="5">
        <v>228638216919437</v>
      </c>
      <c r="I193" s="5">
        <v>21141963304</v>
      </c>
      <c r="J193" s="5">
        <v>223602549492</v>
      </c>
      <c r="K193" s="5">
        <v>22469218968</v>
      </c>
      <c r="L193" s="5">
        <v>186464267287733</v>
      </c>
      <c r="M193" s="5">
        <v>206379306368585</v>
      </c>
      <c r="N193" s="5">
        <v>195575446532632</v>
      </c>
      <c r="O193" s="5">
        <v>196944995405537</v>
      </c>
      <c r="P193" s="5">
        <v>207056611125</v>
      </c>
      <c r="Q193" s="5">
        <v>22582543528353</v>
      </c>
      <c r="R193" s="5">
        <v>240540332602006</v>
      </c>
      <c r="S193" s="5">
        <v>235002699591545</v>
      </c>
      <c r="T193" s="5">
        <v>234775160556692</v>
      </c>
      <c r="U193" s="5">
        <v>218216321901198</v>
      </c>
      <c r="V193" s="5">
        <v>224290574631056</v>
      </c>
      <c r="W193" s="5">
        <v>219522957790991</v>
      </c>
      <c r="X193" s="5">
        <v>199116373019131</v>
      </c>
      <c r="Y193" s="5">
        <v>201431698104231</v>
      </c>
      <c r="Z193" s="5">
        <v>199299007545263</v>
      </c>
      <c r="AA193" s="5">
        <v>203470040218992</v>
      </c>
      <c r="AB193" s="5">
        <v>183912361727359</v>
      </c>
      <c r="AC193" s="5">
        <v>183558287167571</v>
      </c>
      <c r="AD193" s="5">
        <v>195220696700649</v>
      </c>
      <c r="AE193" s="5">
        <v>197858987560506</v>
      </c>
      <c r="AF193" s="5">
        <v>178238200443934</v>
      </c>
      <c r="AG193" s="5">
        <v>218760869886718</v>
      </c>
      <c r="AH193" s="5">
        <v>203321576344724</v>
      </c>
      <c r="AI193" s="5">
        <v>199989934722425</v>
      </c>
      <c r="AJ193" s="5">
        <v>202588853798267</v>
      </c>
      <c r="AK193" s="5">
        <v>184770666701867</v>
      </c>
      <c r="AL193" s="5">
        <v>197068912991808</v>
      </c>
      <c r="AM193" s="5">
        <v>168957501623456</v>
      </c>
      <c r="AN193" s="5">
        <v>211562099532376</v>
      </c>
      <c r="AO193" s="5">
        <v>226959503038354</v>
      </c>
      <c r="AP193" s="6">
        <v>560598834730387</v>
      </c>
      <c r="AQ193" s="6">
        <v>55911566027666</v>
      </c>
      <c r="AR193" s="6">
        <v>540411349223071</v>
      </c>
      <c r="AS193" s="6">
        <v>448122411111674</v>
      </c>
      <c r="AT193" s="6">
        <v>442277402950324</v>
      </c>
      <c r="AU193" s="6">
        <v>40470238827549</v>
      </c>
      <c r="AV193" s="6">
        <v>380006898949506</v>
      </c>
      <c r="AW193" s="6">
        <v>308223510146927</v>
      </c>
      <c r="AX193" s="6">
        <v>305747885719867</v>
      </c>
      <c r="AY193" s="6">
        <v>283596433109253</v>
      </c>
      <c r="AZ193" s="6">
        <v>281290840151716</v>
      </c>
      <c r="BA193" s="6">
        <v>286766086786587</v>
      </c>
      <c r="BB193" s="6">
        <v>269389850086434</v>
      </c>
      <c r="BC193" s="6">
        <v>311986357802035</v>
      </c>
      <c r="BD193" s="6">
        <v>277859007276813</v>
      </c>
      <c r="BE193" s="6">
        <v>300996167779228</v>
      </c>
      <c r="BF193" s="6">
        <v>296362377524261</v>
      </c>
      <c r="BG193" s="6">
        <v>284547616447</v>
      </c>
      <c r="BH193" s="6">
        <v>274687179418277</v>
      </c>
      <c r="BI193" s="6">
        <v>266164945973813</v>
      </c>
      <c r="BJ193" s="6">
        <v>230945048582147</v>
      </c>
      <c r="BK193" s="6">
        <v>232686902905259</v>
      </c>
      <c r="BL193" s="6">
        <v>227047098724992</v>
      </c>
      <c r="BM193" s="6">
        <v>244519106890208</v>
      </c>
    </row>
    <row r="194" spans="1:65" x14ac:dyDescent="0.45">
      <c r="A194" s="1" t="s">
        <v>188</v>
      </c>
      <c r="B194" s="2">
        <v>13518181</v>
      </c>
      <c r="C194" s="3" t="s">
        <v>952</v>
      </c>
      <c r="D194" s="3" t="s">
        <v>953</v>
      </c>
      <c r="E194" s="3" t="s">
        <v>954</v>
      </c>
      <c r="F194" s="5">
        <v>149902730059888</v>
      </c>
      <c r="G194" s="5">
        <v>166272365779495</v>
      </c>
      <c r="H194" s="5">
        <v>155606057484036</v>
      </c>
      <c r="I194" s="5">
        <v>165753141446866</v>
      </c>
      <c r="J194" s="5">
        <v>180188447496943</v>
      </c>
      <c r="K194" s="5">
        <v>175416867188809</v>
      </c>
      <c r="L194" s="5">
        <v>165512836234171</v>
      </c>
      <c r="M194" s="5">
        <v>177881845058913</v>
      </c>
      <c r="N194" s="5">
        <v>185338950793529</v>
      </c>
      <c r="O194" s="5">
        <v>192851761117167</v>
      </c>
      <c r="P194" s="5">
        <v>201823654050192</v>
      </c>
      <c r="Q194" s="5">
        <v>19888014070499</v>
      </c>
      <c r="R194" s="5">
        <v>179045074938469</v>
      </c>
      <c r="S194" s="5">
        <v>175790034366862</v>
      </c>
      <c r="T194" s="5">
        <v>190742991150676</v>
      </c>
      <c r="U194" s="5">
        <v>19167629057894</v>
      </c>
      <c r="V194" s="5">
        <v>176332664686054</v>
      </c>
      <c r="W194" s="5">
        <v>169251566347562</v>
      </c>
      <c r="X194" s="5">
        <v>177571954176321</v>
      </c>
      <c r="Y194" s="5">
        <v>175584997446183</v>
      </c>
      <c r="Z194" s="5">
        <v>181486820867944</v>
      </c>
      <c r="AA194" s="5">
        <v>179109223575266</v>
      </c>
      <c r="AB194" s="5">
        <v>159658723788978</v>
      </c>
      <c r="AC194" s="5">
        <v>150188070389692</v>
      </c>
      <c r="AD194" s="5">
        <v>141226274587482</v>
      </c>
      <c r="AE194" s="5">
        <v>142673734768281</v>
      </c>
      <c r="AF194" s="5">
        <v>135057683398405</v>
      </c>
      <c r="AG194" s="5">
        <v>141841088827486</v>
      </c>
      <c r="AH194" s="5">
        <v>140806989703889</v>
      </c>
      <c r="AI194" s="5">
        <v>131510767404672</v>
      </c>
      <c r="AJ194" s="5">
        <v>143926623384386</v>
      </c>
      <c r="AK194" s="5">
        <v>157490851302982</v>
      </c>
      <c r="AL194" s="5">
        <v>14275998273541</v>
      </c>
      <c r="AM194" s="5">
        <v>128700831138516</v>
      </c>
      <c r="AN194" s="5">
        <v>16893032906378</v>
      </c>
      <c r="AO194" s="5">
        <v>205794532774043</v>
      </c>
      <c r="AP194" s="6">
        <v>453552021214207</v>
      </c>
      <c r="AQ194" s="6">
        <v>476069336887869</v>
      </c>
      <c r="AR194" s="6">
        <v>457771042058814</v>
      </c>
      <c r="AS194" s="6">
        <v>482898683769859</v>
      </c>
      <c r="AT194" s="6">
        <v>501113103200221</v>
      </c>
      <c r="AU194" s="6">
        <v>481415846994809</v>
      </c>
      <c r="AV194" s="6">
        <v>460471947650157</v>
      </c>
      <c r="AW194" s="6">
        <v>415769273408119</v>
      </c>
      <c r="AX194" s="6">
        <v>459677087120244</v>
      </c>
      <c r="AY194" s="6">
        <v>434511205513546</v>
      </c>
      <c r="AZ194" s="6">
        <v>429800024102093</v>
      </c>
      <c r="BA194" s="6">
        <v>430379238958715</v>
      </c>
      <c r="BB194" s="6">
        <v>406635314261</v>
      </c>
      <c r="BC194" s="6">
        <v>483597692352</v>
      </c>
      <c r="BD194" s="6">
        <v>451553024445</v>
      </c>
      <c r="BE194" s="6">
        <v>5220527788512</v>
      </c>
      <c r="BF194" s="6">
        <v>49364425548</v>
      </c>
      <c r="BG194" s="6">
        <v>505734908976</v>
      </c>
      <c r="BH194" s="6">
        <v>4745708042733</v>
      </c>
      <c r="BI194" s="6">
        <v>5138817029901</v>
      </c>
      <c r="BJ194" s="6">
        <v>4952230952226</v>
      </c>
      <c r="BK194" s="6">
        <v>535454734801763</v>
      </c>
      <c r="BL194" s="6">
        <v>540966522915</v>
      </c>
      <c r="BM194" s="6">
        <v>5340153222576</v>
      </c>
    </row>
    <row r="195" spans="1:65" x14ac:dyDescent="0.45">
      <c r="A195" s="1" t="s">
        <v>189</v>
      </c>
      <c r="B195" s="2">
        <v>102719</v>
      </c>
      <c r="C195" s="3" t="s">
        <v>955</v>
      </c>
      <c r="D195" s="3" t="s">
        <v>956</v>
      </c>
      <c r="E195" s="3" t="s">
        <v>565</v>
      </c>
      <c r="F195" s="5">
        <v>123482526951838</v>
      </c>
      <c r="G195" s="5">
        <v>129873525882494</v>
      </c>
      <c r="H195" s="5">
        <v>118185314120083</v>
      </c>
      <c r="I195" s="5">
        <v>109369930002887</v>
      </c>
      <c r="J195" s="5">
        <v>128999254775952</v>
      </c>
      <c r="K195" s="5">
        <v>134117766040898</v>
      </c>
      <c r="L195" s="5">
        <v>111474816035609</v>
      </c>
      <c r="M195" s="5">
        <v>126187193740984</v>
      </c>
      <c r="N195" s="5">
        <v>117162947566361</v>
      </c>
      <c r="O195" s="5">
        <v>126201854339794</v>
      </c>
      <c r="P195" s="5">
        <v>132935246952421</v>
      </c>
      <c r="Q195" s="5">
        <v>143433493685292</v>
      </c>
      <c r="R195" s="5">
        <v>147767401391429</v>
      </c>
      <c r="S195" s="5">
        <v>144242406233827</v>
      </c>
      <c r="T195" s="5">
        <v>136940027141976</v>
      </c>
      <c r="U195" s="5">
        <v>128943961734685</v>
      </c>
      <c r="V195" s="5">
        <v>138200260183749</v>
      </c>
      <c r="W195" s="5">
        <v>125630059180059</v>
      </c>
      <c r="X195" s="5">
        <v>136068106503831</v>
      </c>
      <c r="Y195" s="5">
        <v>141559872917532</v>
      </c>
      <c r="Z195" s="5">
        <v>12604264171128</v>
      </c>
      <c r="AA195" s="5">
        <v>127458783024384</v>
      </c>
      <c r="AB195" s="5">
        <v>109316329809028</v>
      </c>
      <c r="AC195" s="5">
        <v>109565913533936</v>
      </c>
      <c r="AD195" s="5">
        <v>103351577028194</v>
      </c>
      <c r="AE195" s="5">
        <v>92839973895286</v>
      </c>
      <c r="AF195" s="5">
        <v>79658495625</v>
      </c>
      <c r="AG195" s="5">
        <v>858455984201684</v>
      </c>
      <c r="AH195" s="5">
        <v>872654390828766</v>
      </c>
      <c r="AI195" s="5">
        <v>881416010938891</v>
      </c>
      <c r="AJ195" s="5">
        <v>922950856829153</v>
      </c>
      <c r="AK195" s="5">
        <v>840711340638246</v>
      </c>
      <c r="AL195" s="5">
        <v>85299884940109</v>
      </c>
      <c r="AM195" s="5">
        <v>75468303300208</v>
      </c>
      <c r="AN195" s="5">
        <v>983179782217114</v>
      </c>
      <c r="AO195" s="5">
        <v>113395002751712</v>
      </c>
      <c r="AP195" s="6">
        <v>86852315135124</v>
      </c>
      <c r="AQ195" s="6">
        <v>89332433445948</v>
      </c>
      <c r="AR195" s="6">
        <v>78191970742842</v>
      </c>
      <c r="AS195" s="6">
        <v>71552163716928</v>
      </c>
      <c r="AT195" s="6">
        <v>654608943648</v>
      </c>
      <c r="AU195" s="6">
        <v>819413153064</v>
      </c>
      <c r="AV195" s="6">
        <v>804703837392</v>
      </c>
      <c r="AW195" s="6">
        <v>73853243928192</v>
      </c>
      <c r="AX195" s="6">
        <v>791563759938</v>
      </c>
      <c r="AY195" s="6">
        <v>775252709221241</v>
      </c>
      <c r="AZ195" s="6">
        <v>794204413475721</v>
      </c>
      <c r="BA195" s="6">
        <v>771494966532</v>
      </c>
      <c r="BB195" s="6">
        <v>5750878766237</v>
      </c>
      <c r="BC195" s="6">
        <v>5761631376</v>
      </c>
      <c r="BD195" s="6">
        <v>7761632448525</v>
      </c>
      <c r="BE195" s="6">
        <v>84453867474543</v>
      </c>
      <c r="BF195" s="6">
        <v>9688651968261</v>
      </c>
      <c r="BG195" s="6">
        <v>101223586378635</v>
      </c>
      <c r="BH195" s="6">
        <v>101315605549278</v>
      </c>
      <c r="BI195" s="6">
        <v>104887754788608</v>
      </c>
      <c r="BJ195" s="6">
        <v>101187006684398</v>
      </c>
      <c r="BK195" s="6">
        <v>95188106394747</v>
      </c>
      <c r="BL195" s="6">
        <v>10033662968784</v>
      </c>
      <c r="BM195" s="6">
        <v>112728979256355</v>
      </c>
    </row>
    <row r="196" spans="1:65" x14ac:dyDescent="0.45">
      <c r="A196" s="1" t="s">
        <v>190</v>
      </c>
      <c r="B196" s="2">
        <v>4004107</v>
      </c>
      <c r="C196" s="3" t="s">
        <v>957</v>
      </c>
      <c r="D196" s="3" t="s">
        <v>958</v>
      </c>
      <c r="E196" s="3" t="s">
        <v>959</v>
      </c>
      <c r="F196" s="5">
        <v>508220151995106</v>
      </c>
      <c r="G196" s="5">
        <v>551635393690855</v>
      </c>
      <c r="H196" s="5">
        <v>458053936622925</v>
      </c>
      <c r="I196" s="5">
        <v>398353844437161</v>
      </c>
      <c r="J196" s="5">
        <v>420060258452098</v>
      </c>
      <c r="K196" s="5">
        <v>448280332803188</v>
      </c>
      <c r="L196" s="5">
        <v>405650221866163</v>
      </c>
      <c r="M196" s="5">
        <v>527915097815268</v>
      </c>
      <c r="N196" s="5">
        <v>558029332254872</v>
      </c>
      <c r="O196" s="5">
        <v>651392008700651</v>
      </c>
      <c r="P196" s="5">
        <v>608229047589686</v>
      </c>
      <c r="Q196" s="5">
        <v>487973984322563</v>
      </c>
      <c r="R196" s="5">
        <v>538829762640825</v>
      </c>
      <c r="S196" s="5">
        <v>48308925401894</v>
      </c>
      <c r="T196" s="5">
        <v>47888635997942</v>
      </c>
      <c r="U196" s="5">
        <v>412039927421926</v>
      </c>
      <c r="V196" s="5">
        <v>452598494466519</v>
      </c>
      <c r="W196" s="5">
        <v>470702301591609</v>
      </c>
      <c r="X196" s="5">
        <v>458688997186504</v>
      </c>
      <c r="Y196" s="5">
        <v>513692944733585</v>
      </c>
      <c r="Z196" s="5">
        <v>459127355583794</v>
      </c>
      <c r="AA196" s="5">
        <v>409196524459366</v>
      </c>
      <c r="AB196" s="5">
        <v>408762699450703</v>
      </c>
      <c r="AC196" s="5">
        <v>322078525704648</v>
      </c>
      <c r="AD196" s="5">
        <v>309044726870383</v>
      </c>
      <c r="AE196" s="5">
        <v>284332350336279</v>
      </c>
      <c r="AF196" s="5">
        <v>216082202137513</v>
      </c>
      <c r="AG196" s="5">
        <v>19342134706303</v>
      </c>
      <c r="AH196" s="5">
        <v>189627295208154</v>
      </c>
      <c r="AI196" s="5">
        <v>158573735667876</v>
      </c>
      <c r="AJ196" s="5">
        <v>149278596285129</v>
      </c>
      <c r="AK196" s="5">
        <v>118458527407019</v>
      </c>
      <c r="AL196" s="5">
        <v>117195057432233</v>
      </c>
      <c r="AM196" s="5">
        <v>8912598126705</v>
      </c>
      <c r="AN196" s="5">
        <v>131409175005395</v>
      </c>
      <c r="AO196" s="5">
        <v>14526838047018</v>
      </c>
      <c r="AP196" s="6">
        <v>288662831561639</v>
      </c>
      <c r="AQ196" s="6">
        <v>292485678825714</v>
      </c>
      <c r="AR196" s="6">
        <v>275763759276411</v>
      </c>
      <c r="AS196" s="6">
        <v>305524386483105</v>
      </c>
      <c r="AT196" s="6">
        <v>295197251628956</v>
      </c>
      <c r="AU196" s="6">
        <v>287251123337787</v>
      </c>
      <c r="AV196" s="6">
        <v>277831906148299</v>
      </c>
      <c r="AW196" s="6">
        <v>265579379290969</v>
      </c>
      <c r="AX196" s="6">
        <v>2750663254333</v>
      </c>
      <c r="AY196" s="6">
        <v>276097892078993</v>
      </c>
      <c r="AZ196" s="6">
        <v>246963662079542</v>
      </c>
      <c r="BA196" s="6">
        <v>23151542593802</v>
      </c>
      <c r="BB196" s="6">
        <v>202955476299577</v>
      </c>
      <c r="BC196" s="6">
        <v>222800345751229</v>
      </c>
      <c r="BD196" s="6">
        <v>230724885475836</v>
      </c>
      <c r="BE196" s="6">
        <v>220254753981154</v>
      </c>
      <c r="BF196" s="6">
        <v>236229248192893</v>
      </c>
      <c r="BG196" s="6">
        <v>23353931970903</v>
      </c>
      <c r="BH196" s="6">
        <v>225095552823706</v>
      </c>
      <c r="BI196" s="6">
        <v>215053848255536</v>
      </c>
      <c r="BJ196" s="6">
        <v>214777176138436</v>
      </c>
      <c r="BK196" s="6">
        <v>217251448389516</v>
      </c>
      <c r="BL196" s="6">
        <v>23558668934305</v>
      </c>
      <c r="BM196" s="6">
        <v>267565021226406</v>
      </c>
    </row>
    <row r="197" spans="1:65" x14ac:dyDescent="0.45">
      <c r="A197" s="1" t="s">
        <v>191</v>
      </c>
      <c r="B197" s="2">
        <v>4156047</v>
      </c>
      <c r="C197" s="3" t="s">
        <v>960</v>
      </c>
      <c r="D197" s="3" t="s">
        <v>961</v>
      </c>
      <c r="E197" s="3" t="s">
        <v>962</v>
      </c>
      <c r="F197" s="5">
        <v>165512832571565</v>
      </c>
      <c r="G197" s="5">
        <v>17282797407041</v>
      </c>
      <c r="H197" s="5">
        <v>170647699083929</v>
      </c>
      <c r="I197" s="5">
        <v>157948620067084</v>
      </c>
      <c r="J197" s="5">
        <v>169445838890639</v>
      </c>
      <c r="K197" s="5">
        <v>184575183290242</v>
      </c>
      <c r="L197" s="5">
        <v>181510399772442</v>
      </c>
      <c r="M197" s="5">
        <v>190128511803925</v>
      </c>
      <c r="N197" s="5">
        <v>201105514825123</v>
      </c>
      <c r="O197" s="5">
        <v>205844012980318</v>
      </c>
      <c r="P197" s="5">
        <v>189599962550856</v>
      </c>
      <c r="Q197" s="5">
        <v>213635516956986</v>
      </c>
      <c r="R197" s="5">
        <v>230275422574618</v>
      </c>
      <c r="S197" s="5">
        <v>227856793948937</v>
      </c>
      <c r="T197" s="5">
        <v>238835675052387</v>
      </c>
      <c r="U197" s="5">
        <v>257963022660043</v>
      </c>
      <c r="V197" s="5">
        <v>284207664114498</v>
      </c>
      <c r="W197" s="5">
        <v>254864163560148</v>
      </c>
      <c r="X197" s="5">
        <v>234396065651853</v>
      </c>
      <c r="Y197" s="5">
        <v>224248030241676</v>
      </c>
      <c r="Z197" s="5">
        <v>219213248475139</v>
      </c>
      <c r="AA197" s="5">
        <v>215204001839388</v>
      </c>
      <c r="AB197" s="5">
        <v>196365505105762</v>
      </c>
      <c r="AC197" s="5">
        <v>180952060299583</v>
      </c>
      <c r="AD197" s="5">
        <v>187072389066622</v>
      </c>
      <c r="AE197" s="5">
        <v>186825773082299</v>
      </c>
      <c r="AF197" s="5">
        <v>170697705786991</v>
      </c>
      <c r="AG197" s="5">
        <v>154486916822473</v>
      </c>
      <c r="AH197" s="5">
        <v>165745044173504</v>
      </c>
      <c r="AI197" s="5">
        <v>159373704785655</v>
      </c>
      <c r="AJ197" s="5">
        <v>16549499650671</v>
      </c>
      <c r="AK197" s="5">
        <v>154930592168511</v>
      </c>
      <c r="AL197" s="5">
        <v>141712999614012</v>
      </c>
      <c r="AM197" s="5">
        <v>130074710954552</v>
      </c>
      <c r="AN197" s="5">
        <v>153261200927196</v>
      </c>
      <c r="AO197" s="5">
        <v>166242982367</v>
      </c>
      <c r="AP197" s="6">
        <v>465987346862386</v>
      </c>
      <c r="AQ197" s="6">
        <v>466835187321216</v>
      </c>
      <c r="AR197" s="6">
        <v>476302824838532</v>
      </c>
      <c r="AS197" s="6">
        <v>490752060904132</v>
      </c>
      <c r="AT197" s="6">
        <v>481462112233245</v>
      </c>
      <c r="AU197" s="6">
        <v>514103441507104</v>
      </c>
      <c r="AV197" s="6">
        <v>480270147883087</v>
      </c>
      <c r="AW197" s="6">
        <v>424231573652794</v>
      </c>
      <c r="AX197" s="6">
        <v>493074136235467</v>
      </c>
      <c r="AY197" s="6">
        <v>465918763257486</v>
      </c>
      <c r="AZ197" s="6">
        <v>488629528054653</v>
      </c>
      <c r="BA197" s="6">
        <v>480787026001832</v>
      </c>
      <c r="BB197" s="6">
        <v>412344817609306</v>
      </c>
      <c r="BC197" s="6">
        <v>473066365848595</v>
      </c>
      <c r="BD197" s="6">
        <v>456268192659537</v>
      </c>
      <c r="BE197" s="6">
        <v>40887217482479</v>
      </c>
      <c r="BF197" s="6">
        <v>438180642466357</v>
      </c>
      <c r="BG197" s="6">
        <v>45704450142894</v>
      </c>
      <c r="BH197" s="6">
        <v>475964825232767</v>
      </c>
      <c r="BI197" s="6">
        <v>516190998411938</v>
      </c>
      <c r="BJ197" s="6">
        <v>428865903847372</v>
      </c>
      <c r="BK197" s="6">
        <v>413878590117747</v>
      </c>
      <c r="BL197" s="6">
        <v>45216766492443</v>
      </c>
      <c r="BM197" s="6">
        <v>484265216856964</v>
      </c>
    </row>
    <row r="198" spans="1:65" x14ac:dyDescent="0.45">
      <c r="A198" s="1" t="s">
        <v>192</v>
      </c>
      <c r="B198" s="2">
        <v>4094069</v>
      </c>
      <c r="C198" s="3" t="s">
        <v>963</v>
      </c>
      <c r="D198" s="3" t="s">
        <v>964</v>
      </c>
      <c r="E198" s="3" t="s">
        <v>501</v>
      </c>
      <c r="F198" s="5">
        <v>248552377907072</v>
      </c>
      <c r="G198" s="5">
        <v>268488325283758</v>
      </c>
      <c r="H198" s="5">
        <v>241498743249227</v>
      </c>
      <c r="I198" s="5">
        <v>223178038344133</v>
      </c>
      <c r="J198" s="5">
        <v>22406845056715</v>
      </c>
      <c r="K198" s="5">
        <v>209624289363644</v>
      </c>
      <c r="L198" s="5">
        <v>186314666816017</v>
      </c>
      <c r="M198" s="5">
        <v>196984851985459</v>
      </c>
      <c r="N198" s="5">
        <v>223773604067918</v>
      </c>
      <c r="O198" s="5">
        <v>220343849811478</v>
      </c>
      <c r="P198" s="5">
        <v>20548317125902</v>
      </c>
      <c r="Q198" s="5">
        <v>215782819809379</v>
      </c>
      <c r="R198" s="5">
        <v>241756024223398</v>
      </c>
      <c r="S198" s="5">
        <v>22782524910082</v>
      </c>
      <c r="T198" s="5">
        <v>240101826244185</v>
      </c>
      <c r="U198" s="5">
        <v>219316698346447</v>
      </c>
      <c r="V198" s="5">
        <v>218795452884109</v>
      </c>
      <c r="W198" s="5">
        <v>192094743171893</v>
      </c>
      <c r="X198" s="5">
        <v>175829799720929</v>
      </c>
      <c r="Y198" s="5">
        <v>163738836275969</v>
      </c>
      <c r="Z198" s="5">
        <v>14160871929144</v>
      </c>
      <c r="AA198" s="5">
        <v>137990930364648</v>
      </c>
      <c r="AB198" s="5">
        <v>131287094709149</v>
      </c>
      <c r="AC198" s="5">
        <v>111736680412268</v>
      </c>
      <c r="AD198" s="5">
        <v>116925914719487</v>
      </c>
      <c r="AE198" s="5">
        <v>113553616491432</v>
      </c>
      <c r="AF198" s="5">
        <v>919611582131695</v>
      </c>
      <c r="AG198" s="5">
        <v>94950102138549</v>
      </c>
      <c r="AH198" s="5">
        <v>969016279144585</v>
      </c>
      <c r="AI198" s="5">
        <v>939532878243389</v>
      </c>
      <c r="AJ198" s="5">
        <v>961431129442753</v>
      </c>
      <c r="AK198" s="5">
        <v>97619239307331</v>
      </c>
      <c r="AL198" s="5">
        <v>968471613653818</v>
      </c>
      <c r="AM198" s="5">
        <v>80733806875722</v>
      </c>
      <c r="AN198" s="5">
        <v>104831894885492</v>
      </c>
      <c r="AO198" s="5">
        <v>12972787581879</v>
      </c>
      <c r="AP198" s="6">
        <v>137536719061076</v>
      </c>
      <c r="AQ198" s="6">
        <v>137630664136304</v>
      </c>
      <c r="AR198" s="6">
        <v>133705288765936</v>
      </c>
      <c r="AS198" s="6">
        <v>133419201473839</v>
      </c>
      <c r="AT198" s="6">
        <v>119918169699295</v>
      </c>
      <c r="AU198" s="6">
        <v>127471373807561</v>
      </c>
      <c r="AV198" s="6">
        <v>132956287533327</v>
      </c>
      <c r="AW198" s="6">
        <v>129592561277961</v>
      </c>
      <c r="AX198" s="6">
        <v>133673236397914</v>
      </c>
      <c r="AY198" s="6">
        <v>145679212737185</v>
      </c>
      <c r="AZ198" s="6">
        <v>139405072766583</v>
      </c>
      <c r="BA198" s="6">
        <v>127890227807408</v>
      </c>
      <c r="BB198" s="6">
        <v>12307800298648</v>
      </c>
      <c r="BC198" s="6">
        <v>134426609919395</v>
      </c>
      <c r="BD198" s="6">
        <v>126964851887434</v>
      </c>
      <c r="BE198" s="6">
        <v>125552215973806</v>
      </c>
      <c r="BF198" s="6">
        <v>126237837400073</v>
      </c>
      <c r="BG198" s="6">
        <v>122026943858611</v>
      </c>
      <c r="BH198" s="6">
        <v>115443338436198</v>
      </c>
      <c r="BI198" s="6">
        <v>114265582677491</v>
      </c>
      <c r="BJ198" s="6">
        <v>107333749026271</v>
      </c>
      <c r="BK198" s="6">
        <v>107201202647564</v>
      </c>
      <c r="BL198" s="6">
        <v>110369308396838</v>
      </c>
      <c r="BM198" s="6">
        <v>12265959682438</v>
      </c>
    </row>
    <row r="199" spans="1:65" x14ac:dyDescent="0.45">
      <c r="A199" s="1" t="s">
        <v>193</v>
      </c>
      <c r="B199" s="2">
        <v>4048156</v>
      </c>
      <c r="C199" s="3" t="s">
        <v>965</v>
      </c>
      <c r="D199" s="3" t="s">
        <v>966</v>
      </c>
      <c r="E199" s="3" t="s">
        <v>795</v>
      </c>
      <c r="F199" s="5">
        <v>133460437444864</v>
      </c>
      <c r="G199" s="5">
        <v>148184583159545</v>
      </c>
      <c r="H199" s="5">
        <v>151751137949774</v>
      </c>
      <c r="I199" s="5">
        <v>136793427482539</v>
      </c>
      <c r="J199" s="5">
        <v>128231612870621</v>
      </c>
      <c r="K199" s="5">
        <v>137409690406474</v>
      </c>
      <c r="L199" s="5">
        <v>120026507801656</v>
      </c>
      <c r="M199" s="5">
        <v>130918681141285</v>
      </c>
      <c r="N199" s="5">
        <v>138351081361416</v>
      </c>
      <c r="O199" s="5">
        <v>139007972900378</v>
      </c>
      <c r="P199" s="5">
        <v>150241771329413</v>
      </c>
      <c r="Q199" s="5">
        <v>135118250048785</v>
      </c>
      <c r="R199" s="5">
        <v>132921455745491</v>
      </c>
      <c r="S199" s="5">
        <v>128263168110011</v>
      </c>
      <c r="T199" s="5">
        <v>12803939293974</v>
      </c>
      <c r="U199" s="5">
        <v>126986343122192</v>
      </c>
      <c r="V199" s="5">
        <v>130888211944742</v>
      </c>
      <c r="W199" s="5">
        <v>121620308463772</v>
      </c>
      <c r="X199" s="5">
        <v>133139978543338</v>
      </c>
      <c r="Y199" s="5">
        <v>131618678570383</v>
      </c>
      <c r="Z199" s="5">
        <v>104534919276267</v>
      </c>
      <c r="AA199" s="5">
        <v>10540269025561</v>
      </c>
      <c r="AB199" s="5">
        <v>938315667750972</v>
      </c>
      <c r="AC199" s="5">
        <v>102733559550671</v>
      </c>
      <c r="AD199" s="5">
        <v>100544731177982</v>
      </c>
      <c r="AE199" s="5">
        <v>902781083311541</v>
      </c>
      <c r="AF199" s="5">
        <v>10431862200144</v>
      </c>
      <c r="AG199" s="5">
        <v>104887326409175</v>
      </c>
      <c r="AH199" s="5">
        <v>116276757000415</v>
      </c>
      <c r="AI199" s="5">
        <v>107148293538558</v>
      </c>
      <c r="AJ199" s="5">
        <v>103792384319928</v>
      </c>
      <c r="AK199" s="5">
        <v>120695576368849</v>
      </c>
      <c r="AL199" s="5">
        <v>116732138537829</v>
      </c>
      <c r="AM199" s="5">
        <v>102222011552024</v>
      </c>
      <c r="AN199" s="5">
        <v>103890353118681</v>
      </c>
      <c r="AO199" s="5">
        <v>159768340492992</v>
      </c>
      <c r="AP199" s="6">
        <v>732565841403609</v>
      </c>
      <c r="AQ199" s="6">
        <v>772080716270187</v>
      </c>
      <c r="AR199" s="6">
        <v>723833017768449</v>
      </c>
      <c r="AS199" s="6">
        <v>736137354645988</v>
      </c>
      <c r="AT199" s="6">
        <v>731638524840832</v>
      </c>
      <c r="AU199" s="6">
        <v>7458793524</v>
      </c>
      <c r="AV199" s="6">
        <v>754943981231132</v>
      </c>
      <c r="AW199" s="6">
        <v>710093030916372</v>
      </c>
      <c r="AX199" s="6">
        <v>740054179872</v>
      </c>
      <c r="AY199" s="6">
        <v>7384696116336</v>
      </c>
      <c r="AZ199" s="6">
        <v>728240788801066</v>
      </c>
      <c r="BA199" s="6">
        <v>790643877885328</v>
      </c>
      <c r="BB199" s="6">
        <v>70671952938506</v>
      </c>
      <c r="BC199" s="6">
        <v>821932370844457</v>
      </c>
      <c r="BD199" s="6">
        <v>7794671682</v>
      </c>
      <c r="BE199" s="6">
        <v>861478564995857</v>
      </c>
      <c r="BF199" s="6">
        <v>845750686824472</v>
      </c>
      <c r="BG199" s="6">
        <v>8619143256</v>
      </c>
      <c r="BH199" s="6">
        <v>78947890127154</v>
      </c>
      <c r="BI199" s="6">
        <v>751667524318714</v>
      </c>
      <c r="BJ199" s="6">
        <v>779974710047702</v>
      </c>
      <c r="BK199" s="6">
        <v>799353339319508</v>
      </c>
      <c r="BL199" s="6">
        <v>844665522230685</v>
      </c>
      <c r="BM199" s="6">
        <v>879991883251127</v>
      </c>
    </row>
    <row r="200" spans="1:65" x14ac:dyDescent="0.45">
      <c r="A200" s="1" t="s">
        <v>194</v>
      </c>
      <c r="B200" s="2">
        <v>4991196</v>
      </c>
      <c r="C200" s="3" t="s">
        <v>967</v>
      </c>
      <c r="D200" s="3" t="s">
        <v>968</v>
      </c>
      <c r="E200" s="3" t="s">
        <v>568</v>
      </c>
      <c r="F200" s="5">
        <v>596738504147192</v>
      </c>
      <c r="G200" s="5">
        <v>648280090260709</v>
      </c>
      <c r="H200" s="5">
        <v>748224635665079</v>
      </c>
      <c r="I200" s="5">
        <v>115959823592239</v>
      </c>
      <c r="J200" s="5">
        <v>139690829306617</v>
      </c>
      <c r="K200" s="5">
        <v>167899145665753</v>
      </c>
      <c r="L200" s="5">
        <v>128579581806394</v>
      </c>
      <c r="M200" s="5">
        <v>147002463115799</v>
      </c>
      <c r="N200" s="5">
        <v>13309378995733</v>
      </c>
      <c r="O200" s="5">
        <v>170680873522533</v>
      </c>
      <c r="P200" s="5">
        <v>179184881732538</v>
      </c>
      <c r="Q200" s="5">
        <v>159055414228207</v>
      </c>
      <c r="R200" s="5">
        <v>195227666660721</v>
      </c>
      <c r="S200" s="5">
        <v>235782451449685</v>
      </c>
      <c r="T200" s="5">
        <v>2721478097214</v>
      </c>
      <c r="U200" s="5">
        <v>22256384986848</v>
      </c>
      <c r="V200" s="5">
        <v>233678759370352</v>
      </c>
      <c r="W200" s="5">
        <v>222557188454587</v>
      </c>
      <c r="X200" s="5">
        <v>220427455286579</v>
      </c>
      <c r="Y200" s="5">
        <v>169797683772956</v>
      </c>
      <c r="Z200" s="5">
        <v>169536292576002</v>
      </c>
      <c r="AA200" s="5">
        <v>175375502638308</v>
      </c>
      <c r="AB200" s="5">
        <v>171222838062923</v>
      </c>
      <c r="AC200" s="5">
        <v>127567947425212</v>
      </c>
      <c r="AD200" s="5">
        <v>116826440967962</v>
      </c>
      <c r="AE200" s="5">
        <v>113360656513196</v>
      </c>
      <c r="AF200" s="5">
        <v>113228438370332</v>
      </c>
      <c r="AG200" s="5">
        <v>103542571854096</v>
      </c>
      <c r="AH200" s="5">
        <v>997842620702571</v>
      </c>
      <c r="AI200" s="5">
        <v>834932380666676</v>
      </c>
      <c r="AJ200" s="5">
        <v>679135170505501</v>
      </c>
      <c r="AK200" s="5">
        <v>627362556872331</v>
      </c>
      <c r="AL200" s="5">
        <v>558280039930906</v>
      </c>
      <c r="AM200" s="5">
        <v>53047688368675</v>
      </c>
      <c r="AN200" s="5">
        <v>585937407319268</v>
      </c>
      <c r="AO200" s="5">
        <v>584379953441658</v>
      </c>
      <c r="AP200" s="6">
        <v>488929159385939</v>
      </c>
      <c r="AQ200" s="6">
        <v>493999837238745</v>
      </c>
      <c r="AR200" s="6">
        <v>456145868470288</v>
      </c>
      <c r="AS200" s="6">
        <v>437525606721195</v>
      </c>
      <c r="AT200" s="6">
        <v>236441380506586</v>
      </c>
      <c r="AU200" s="6">
        <v>236389839678481</v>
      </c>
      <c r="AV200" s="6">
        <v>220496006714452</v>
      </c>
      <c r="AW200" s="6">
        <v>216527141883335</v>
      </c>
      <c r="AX200" s="6">
        <v>205785507751614</v>
      </c>
      <c r="AY200" s="6">
        <v>192008085059261</v>
      </c>
      <c r="AZ200" s="6">
        <v>180434787167841</v>
      </c>
      <c r="BA200" s="6">
        <v>155080748408317</v>
      </c>
      <c r="BB200" s="6">
        <v>142508065881949</v>
      </c>
      <c r="BC200" s="6">
        <v>156235941331465</v>
      </c>
      <c r="BD200" s="6">
        <v>159671708088819</v>
      </c>
      <c r="BE200" s="6">
        <v>173455405828669</v>
      </c>
      <c r="BF200" s="6">
        <v>169773623032946</v>
      </c>
      <c r="BG200" s="6">
        <v>153467913453508</v>
      </c>
      <c r="BH200" s="6">
        <v>15245801673737</v>
      </c>
      <c r="BI200" s="6">
        <v>152113165278566</v>
      </c>
      <c r="BJ200" s="6">
        <v>14935315635232</v>
      </c>
      <c r="BK200" s="6">
        <v>144663424993025</v>
      </c>
      <c r="BL200" s="6">
        <v>147848772263611</v>
      </c>
      <c r="BM200" s="6">
        <v>14300529619399</v>
      </c>
    </row>
    <row r="201" spans="1:65" x14ac:dyDescent="0.45">
      <c r="A201" s="1" t="s">
        <v>195</v>
      </c>
      <c r="B201" s="2">
        <v>4040505</v>
      </c>
      <c r="C201" s="3" t="s">
        <v>969</v>
      </c>
      <c r="D201" s="3" t="s">
        <v>970</v>
      </c>
      <c r="E201" s="3" t="s">
        <v>628</v>
      </c>
      <c r="F201" s="5">
        <v>636147930386276</v>
      </c>
      <c r="G201" s="5">
        <v>670635840675035</v>
      </c>
      <c r="H201" s="5">
        <v>692228796218641</v>
      </c>
      <c r="I201" s="5">
        <v>592237794646594</v>
      </c>
      <c r="J201" s="5">
        <v>622164681930166</v>
      </c>
      <c r="K201" s="5">
        <v>608267317670789</v>
      </c>
      <c r="L201" s="5">
        <v>586630360962607</v>
      </c>
      <c r="M201" s="5">
        <v>581061570664605</v>
      </c>
      <c r="N201" s="5">
        <v>622096214428714</v>
      </c>
      <c r="O201" s="5">
        <v>602707394298195</v>
      </c>
      <c r="P201" s="5">
        <v>578660503912481</v>
      </c>
      <c r="Q201" s="5">
        <v>524703333731069</v>
      </c>
      <c r="R201" s="5">
        <v>51094152775044</v>
      </c>
      <c r="S201" s="5">
        <v>467309875464587</v>
      </c>
      <c r="T201" s="5">
        <v>48872787097389</v>
      </c>
      <c r="U201" s="5">
        <v>471975374224236</v>
      </c>
      <c r="V201" s="5">
        <v>473560250037407</v>
      </c>
      <c r="W201" s="5">
        <v>461144228640509</v>
      </c>
      <c r="X201" s="5">
        <v>447928950740039</v>
      </c>
      <c r="Y201" s="5">
        <v>439586049091204</v>
      </c>
      <c r="Z201" s="5">
        <v>446122646881988</v>
      </c>
      <c r="AA201" s="5">
        <v>442064757012653</v>
      </c>
      <c r="AB201" s="5">
        <v>38610643914421</v>
      </c>
      <c r="AC201" s="5">
        <v>345370725271177</v>
      </c>
      <c r="AD201" s="5">
        <v>348331171703403</v>
      </c>
      <c r="AE201" s="5">
        <v>357781825017344</v>
      </c>
      <c r="AF201" s="5">
        <v>32265999693699</v>
      </c>
      <c r="AG201" s="5">
        <v>337480673106311</v>
      </c>
      <c r="AH201" s="5">
        <v>357646687682186</v>
      </c>
      <c r="AI201" s="5">
        <v>355093251514836</v>
      </c>
      <c r="AJ201" s="5">
        <v>380111761311483</v>
      </c>
      <c r="AK201" s="5">
        <v>378003644669101</v>
      </c>
      <c r="AL201" s="5">
        <v>341730238098332</v>
      </c>
      <c r="AM201" s="5">
        <v>348630551091368</v>
      </c>
      <c r="AN201" s="5">
        <v>41960159500494</v>
      </c>
      <c r="AO201" s="5">
        <v>457212289826952</v>
      </c>
      <c r="AP201" s="6">
        <v>101561773615197</v>
      </c>
      <c r="AQ201" s="6">
        <v>100995101772996</v>
      </c>
      <c r="AR201" s="6">
        <v>952621134449114</v>
      </c>
      <c r="AS201" s="6">
        <v>958149910016208</v>
      </c>
      <c r="AT201" s="6">
        <v>885419213448016</v>
      </c>
      <c r="AU201" s="6">
        <v>90207322155855</v>
      </c>
      <c r="AV201" s="6">
        <v>86432435072802</v>
      </c>
      <c r="AW201" s="6">
        <v>843364992202602</v>
      </c>
      <c r="AX201" s="6">
        <v>86305342017384</v>
      </c>
      <c r="AY201" s="6">
        <v>80547979115736</v>
      </c>
      <c r="AZ201" s="6">
        <v>808622591730221</v>
      </c>
      <c r="BA201" s="6">
        <v>815611088755944</v>
      </c>
      <c r="BB201" s="6">
        <v>72606669861643</v>
      </c>
      <c r="BC201" s="6">
        <v>851246373635674</v>
      </c>
      <c r="BD201" s="6">
        <v>839946061924623</v>
      </c>
      <c r="BE201" s="6">
        <v>837890731071922</v>
      </c>
      <c r="BF201" s="6">
        <v>853574377255348</v>
      </c>
      <c r="BG201" s="6">
        <v>854582511074571</v>
      </c>
      <c r="BH201" s="6">
        <v>792361174806258</v>
      </c>
      <c r="BI201" s="6">
        <v>826225918319784</v>
      </c>
      <c r="BJ201" s="6">
        <v>817885771864067</v>
      </c>
      <c r="BK201" s="6">
        <v>779278521434538</v>
      </c>
      <c r="BL201" s="6">
        <v>797638002862428</v>
      </c>
      <c r="BM201" s="6">
        <v>843158029404008</v>
      </c>
    </row>
    <row r="202" spans="1:65" x14ac:dyDescent="0.45">
      <c r="A202" s="1" t="s">
        <v>196</v>
      </c>
      <c r="B202" s="2">
        <v>114527</v>
      </c>
      <c r="C202" s="3" t="s">
        <v>971</v>
      </c>
      <c r="D202" s="3" t="s">
        <v>972</v>
      </c>
      <c r="E202" s="3" t="s">
        <v>628</v>
      </c>
      <c r="F202" s="5">
        <v>856676985907264</v>
      </c>
      <c r="G202" s="5">
        <v>910903985919273</v>
      </c>
      <c r="H202" s="5">
        <v>859812397134994</v>
      </c>
      <c r="I202" s="5">
        <v>692317770752074</v>
      </c>
      <c r="J202" s="5">
        <v>799590907062228</v>
      </c>
      <c r="K202" s="5">
        <v>794577334693511</v>
      </c>
      <c r="L202" s="5">
        <v>670378958301821</v>
      </c>
      <c r="M202" s="5">
        <v>803200460770546</v>
      </c>
      <c r="N202" s="5">
        <v>778615853728841</v>
      </c>
      <c r="O202" s="5">
        <v>907493861340465</v>
      </c>
      <c r="P202" s="5">
        <v>934991454418147</v>
      </c>
      <c r="Q202" s="5">
        <v>925897802765046</v>
      </c>
      <c r="R202" s="5">
        <v>911800814457958</v>
      </c>
      <c r="S202" s="5">
        <v>925456470237524</v>
      </c>
      <c r="T202" s="5">
        <v>995917868024337</v>
      </c>
      <c r="U202" s="5">
        <v>975700600553802</v>
      </c>
      <c r="V202" s="5">
        <v>980190516837591</v>
      </c>
      <c r="W202" s="5">
        <v>958641681795588</v>
      </c>
      <c r="X202" s="5">
        <v>99656572329124</v>
      </c>
      <c r="Y202" s="5">
        <v>10127242166343</v>
      </c>
      <c r="Z202" s="5">
        <v>95745617534496</v>
      </c>
      <c r="AA202" s="5">
        <v>982717856425469</v>
      </c>
      <c r="AB202" s="5">
        <v>9087366895002</v>
      </c>
      <c r="AC202" s="5">
        <v>77070974470632</v>
      </c>
      <c r="AD202" s="5">
        <v>77340918717</v>
      </c>
      <c r="AE202" s="5">
        <v>74613146824038</v>
      </c>
      <c r="AF202" s="5">
        <v>55775004898046</v>
      </c>
      <c r="AG202" s="5">
        <v>46440294684252</v>
      </c>
      <c r="AH202" s="5">
        <v>4642228041549</v>
      </c>
      <c r="AI202" s="5">
        <v>44912872013619</v>
      </c>
      <c r="AJ202" s="5">
        <v>53087308446696</v>
      </c>
      <c r="AK202" s="5">
        <v>5169282079878</v>
      </c>
      <c r="AL202" s="5">
        <v>5437087422096</v>
      </c>
      <c r="AM202" s="5">
        <v>63159513874912</v>
      </c>
      <c r="AN202" s="5">
        <v>86468723378688</v>
      </c>
      <c r="AO202" s="5">
        <v>980768819151</v>
      </c>
      <c r="AP202" s="6">
        <v>103340838486939</v>
      </c>
      <c r="AQ202" s="6">
        <v>102867834004961</v>
      </c>
      <c r="AR202" s="6">
        <v>103241638832437</v>
      </c>
      <c r="AS202" s="6">
        <v>10708515848886</v>
      </c>
      <c r="AT202" s="6">
        <v>101914919368744</v>
      </c>
      <c r="AU202" s="6">
        <v>115782583607188</v>
      </c>
      <c r="AV202" s="6">
        <v>108259289138827</v>
      </c>
      <c r="AW202" s="6">
        <v>117209075300818</v>
      </c>
      <c r="AX202" s="6">
        <v>1276092784344</v>
      </c>
      <c r="AY202" s="6">
        <v>11865611203379</v>
      </c>
      <c r="AZ202" s="6">
        <v>116098367817219</v>
      </c>
      <c r="BA202" s="6">
        <v>10018955389719</v>
      </c>
      <c r="BB202" s="6">
        <v>958392957846592</v>
      </c>
      <c r="BC202" s="6">
        <v>96382975625065</v>
      </c>
      <c r="BD202" s="6">
        <v>10722576050277</v>
      </c>
      <c r="BE202" s="6">
        <v>119048877022332</v>
      </c>
      <c r="BF202" s="6">
        <v>116401670724612</v>
      </c>
      <c r="BG202" s="6">
        <v>986576582868066</v>
      </c>
      <c r="BH202" s="6">
        <v>948984499751004</v>
      </c>
      <c r="BI202" s="6">
        <v>962965427412922</v>
      </c>
      <c r="BJ202" s="6">
        <v>78468266354567</v>
      </c>
      <c r="BK202" s="6">
        <v>732997497247613</v>
      </c>
      <c r="BL202" s="6">
        <v>656072319699342</v>
      </c>
      <c r="BM202" s="6">
        <v>602782468291242</v>
      </c>
    </row>
    <row r="203" spans="1:65" x14ac:dyDescent="0.45">
      <c r="A203" s="1" t="s">
        <v>197</v>
      </c>
      <c r="B203" s="2">
        <v>4096376</v>
      </c>
      <c r="C203" s="3" t="s">
        <v>973</v>
      </c>
      <c r="D203" s="3" t="s">
        <v>974</v>
      </c>
      <c r="E203" s="3" t="s">
        <v>768</v>
      </c>
      <c r="F203" s="5">
        <v>462599400111551</v>
      </c>
      <c r="G203" s="5">
        <v>490945446393665</v>
      </c>
      <c r="H203" s="5">
        <v>489677915400951</v>
      </c>
      <c r="I203" s="5">
        <v>463710873162007</v>
      </c>
      <c r="J203" s="5">
        <v>454257205262669</v>
      </c>
      <c r="K203" s="5">
        <v>43786114724939</v>
      </c>
      <c r="L203" s="5">
        <v>431001910714668</v>
      </c>
      <c r="M203" s="5">
        <v>392083301115427</v>
      </c>
      <c r="N203" s="5">
        <v>404178802023506</v>
      </c>
      <c r="O203" s="5">
        <v>367117752251359</v>
      </c>
      <c r="P203" s="5">
        <v>362203998389805</v>
      </c>
      <c r="Q203" s="5">
        <v>369871292400768</v>
      </c>
      <c r="R203" s="5">
        <v>357383285052678</v>
      </c>
      <c r="S203" s="5">
        <v>331933661127075</v>
      </c>
      <c r="T203" s="5">
        <v>323710150478573</v>
      </c>
      <c r="U203" s="5">
        <v>312614203945706</v>
      </c>
      <c r="V203" s="5">
        <v>296934182529883</v>
      </c>
      <c r="W203" s="5">
        <v>301291610903438</v>
      </c>
      <c r="X203" s="5">
        <v>312035482564717</v>
      </c>
      <c r="Y203" s="5">
        <v>314602624518435</v>
      </c>
      <c r="Z203" s="5">
        <v>308602263948729</v>
      </c>
      <c r="AA203" s="5">
        <v>318677293592482</v>
      </c>
      <c r="AB203" s="5">
        <v>277994326770675</v>
      </c>
      <c r="AC203" s="5">
        <v>292650553740224</v>
      </c>
      <c r="AD203" s="5">
        <v>29391145829262</v>
      </c>
      <c r="AE203" s="5">
        <v>311096146277343</v>
      </c>
      <c r="AF203" s="5">
        <v>310134994965407</v>
      </c>
      <c r="AG203" s="5">
        <v>321113426128956</v>
      </c>
      <c r="AH203" s="5">
        <v>326805523698714</v>
      </c>
      <c r="AI203" s="5">
        <v>326171078701216</v>
      </c>
      <c r="AJ203" s="5">
        <v>332056173722704</v>
      </c>
      <c r="AK203" s="5">
        <v>343707921529526</v>
      </c>
      <c r="AL203" s="5">
        <v>331833472222842</v>
      </c>
      <c r="AM203" s="5">
        <v>291072151396026</v>
      </c>
      <c r="AN203" s="5">
        <v>269480364749841</v>
      </c>
      <c r="AO203" s="5">
        <v>284883476453237</v>
      </c>
      <c r="AP203" s="6">
        <v>191407153601392</v>
      </c>
      <c r="AQ203" s="6">
        <v>16722633732354</v>
      </c>
      <c r="AR203" s="6">
        <v>151589577475625</v>
      </c>
      <c r="AS203" s="6">
        <v>151425344332144</v>
      </c>
      <c r="AT203" s="6">
        <v>150041310044506</v>
      </c>
      <c r="AU203" s="6">
        <v>181015781396955</v>
      </c>
      <c r="AV203" s="6">
        <v>174655091341333</v>
      </c>
      <c r="AW203" s="6">
        <v>166923414454426</v>
      </c>
      <c r="AX203" s="6">
        <v>220981308534446</v>
      </c>
      <c r="AY203" s="6">
        <v>227788651961046</v>
      </c>
      <c r="AZ203" s="6">
        <v>235140601968025</v>
      </c>
      <c r="BA203" s="6">
        <v>239837640541229</v>
      </c>
      <c r="BB203" s="6">
        <v>203373896519694</v>
      </c>
      <c r="BC203" s="6">
        <v>243181474115785</v>
      </c>
      <c r="BD203" s="6">
        <v>268418650132604</v>
      </c>
      <c r="BE203" s="6">
        <v>306944289562735</v>
      </c>
      <c r="BF203" s="6">
        <v>302378194474836</v>
      </c>
      <c r="BG203" s="6">
        <v>318943593190108</v>
      </c>
      <c r="BH203" s="6">
        <v>338310193745581</v>
      </c>
      <c r="BI203" s="6">
        <v>373709030408892</v>
      </c>
      <c r="BJ203" s="6">
        <v>384433784559183</v>
      </c>
      <c r="BK203" s="6">
        <v>333967152187931</v>
      </c>
      <c r="BL203" s="6">
        <v>332623045708153</v>
      </c>
      <c r="BM203" s="6">
        <v>376670934341953</v>
      </c>
    </row>
    <row r="204" spans="1:65" x14ac:dyDescent="0.45">
      <c r="A204" s="1" t="s">
        <v>198</v>
      </c>
      <c r="B204" s="2">
        <v>4272273</v>
      </c>
      <c r="C204" s="3" t="s">
        <v>975</v>
      </c>
      <c r="D204" s="3" t="s">
        <v>976</v>
      </c>
      <c r="E204" s="3" t="s">
        <v>947</v>
      </c>
      <c r="F204" s="5">
        <v>447191988881661</v>
      </c>
      <c r="G204" s="5">
        <v>558774707917942</v>
      </c>
      <c r="H204" s="5">
        <v>563924634322042</v>
      </c>
      <c r="I204" s="5">
        <v>47715209125252</v>
      </c>
      <c r="J204" s="5">
        <v>553164951253152</v>
      </c>
      <c r="K204" s="5">
        <v>518326256548252</v>
      </c>
      <c r="L204" s="5">
        <v>44303715879598</v>
      </c>
      <c r="M204" s="5">
        <v>525748759164332</v>
      </c>
      <c r="N204" s="5">
        <v>524570077605447</v>
      </c>
      <c r="O204" s="5">
        <v>572123489829981</v>
      </c>
      <c r="P204" s="5">
        <v>604517321879619</v>
      </c>
      <c r="Q204" s="5">
        <v>683497265005791</v>
      </c>
      <c r="R204" s="5">
        <v>748482749544275</v>
      </c>
      <c r="S204" s="5">
        <v>745417945056656</v>
      </c>
      <c r="T204" s="5">
        <v>683406088179328</v>
      </c>
      <c r="U204" s="5">
        <v>660217684462127</v>
      </c>
      <c r="V204" s="5">
        <v>602774192669289</v>
      </c>
      <c r="W204" s="5">
        <v>695105194874244</v>
      </c>
      <c r="X204" s="5">
        <v>723942471817209</v>
      </c>
      <c r="Y204" s="5">
        <v>705952368704039</v>
      </c>
      <c r="Z204" s="5">
        <v>690314823581212</v>
      </c>
      <c r="AA204" s="5">
        <v>705412127428944</v>
      </c>
      <c r="AB204" s="5">
        <v>611296384993209</v>
      </c>
      <c r="AC204" s="5">
        <v>597573556605984</v>
      </c>
      <c r="AD204" s="5">
        <v>4872271261932</v>
      </c>
      <c r="AE204" s="5">
        <v>525016910214528</v>
      </c>
      <c r="AF204" s="5">
        <v>424036658521868</v>
      </c>
      <c r="AG204" s="5">
        <v>360619777548321</v>
      </c>
      <c r="AH204" s="5">
        <v>354704354426934</v>
      </c>
      <c r="AI204" s="5">
        <v>301095793928647</v>
      </c>
      <c r="AJ204" s="5">
        <v>321728602813121</v>
      </c>
      <c r="AK204" s="5">
        <v>333141151493926</v>
      </c>
      <c r="AL204" s="5">
        <v>291851233683507</v>
      </c>
      <c r="AM204" s="5">
        <v>270221432109174</v>
      </c>
      <c r="AN204" s="5">
        <v>3963144306452</v>
      </c>
      <c r="AO204" s="5">
        <v>430318038661157</v>
      </c>
      <c r="AP204" s="6">
        <v>128783791600446</v>
      </c>
      <c r="AQ204" s="6">
        <v>126312159785242</v>
      </c>
      <c r="AR204" s="6">
        <v>110214954127987</v>
      </c>
      <c r="AS204" s="6">
        <v>137370367017514</v>
      </c>
      <c r="AT204" s="6">
        <v>126755267565142</v>
      </c>
      <c r="AU204" s="6">
        <v>137385083297116</v>
      </c>
      <c r="AV204" s="6">
        <v>116882711058397</v>
      </c>
      <c r="AW204" s="6">
        <v>107416606308869</v>
      </c>
      <c r="AX204" s="6">
        <v>11454362751343</v>
      </c>
      <c r="AY204" s="6">
        <v>95329219782654</v>
      </c>
      <c r="AZ204" s="6">
        <v>93816429698043</v>
      </c>
      <c r="BA204" s="6">
        <v>100015395223046</v>
      </c>
      <c r="BB204" s="6">
        <v>89774450419225</v>
      </c>
      <c r="BC204" s="6">
        <v>101675578158336</v>
      </c>
      <c r="BD204" s="6">
        <v>102853300154446</v>
      </c>
      <c r="BE204" s="6">
        <v>114850301317796</v>
      </c>
      <c r="BF204" s="6">
        <v>108603356410903</v>
      </c>
      <c r="BG204" s="6">
        <v>1089567136352</v>
      </c>
      <c r="BH204" s="6">
        <v>101278960319603</v>
      </c>
      <c r="BI204" s="6">
        <v>929605233655935</v>
      </c>
      <c r="BJ204" s="6">
        <v>912322116017012</v>
      </c>
      <c r="BK204" s="6">
        <v>851272276294956</v>
      </c>
      <c r="BL204" s="6">
        <v>971961433702623</v>
      </c>
      <c r="BM204" s="6">
        <v>946931637931128</v>
      </c>
    </row>
    <row r="205" spans="1:65" x14ac:dyDescent="0.45">
      <c r="A205" s="1" t="s">
        <v>199</v>
      </c>
      <c r="B205" s="2">
        <v>4004397</v>
      </c>
      <c r="C205" s="3" t="s">
        <v>977</v>
      </c>
      <c r="D205" s="3" t="s">
        <v>978</v>
      </c>
      <c r="E205" s="3" t="s">
        <v>979</v>
      </c>
      <c r="F205" s="5">
        <v>229180118307311</v>
      </c>
      <c r="G205" s="5">
        <v>250949730757712</v>
      </c>
      <c r="H205" s="5">
        <v>253906661532645</v>
      </c>
      <c r="I205" s="5">
        <v>215366148446361</v>
      </c>
      <c r="J205" s="5">
        <v>219079832378779</v>
      </c>
      <c r="K205" s="5">
        <v>211967862599531</v>
      </c>
      <c r="L205" s="5">
        <v>180148441325986</v>
      </c>
      <c r="M205" s="5">
        <v>180457448750432</v>
      </c>
      <c r="N205" s="5">
        <v>174734754664062</v>
      </c>
      <c r="O205" s="5">
        <v>161028723362918</v>
      </c>
      <c r="P205" s="5">
        <v>154432571285944</v>
      </c>
      <c r="Q205" s="5">
        <v>169407456211365</v>
      </c>
      <c r="R205" s="5">
        <v>175574483108993</v>
      </c>
      <c r="S205" s="5">
        <v>161407888682221</v>
      </c>
      <c r="T205" s="5">
        <v>161483372208661</v>
      </c>
      <c r="U205" s="5">
        <v>149796327017528</v>
      </c>
      <c r="V205" s="5">
        <v>148252673861806</v>
      </c>
      <c r="W205" s="5">
        <v>153228151045064</v>
      </c>
      <c r="X205" s="5">
        <v>154100997362524</v>
      </c>
      <c r="Y205" s="5">
        <v>155428931072554</v>
      </c>
      <c r="Z205" s="5">
        <v>150088661525052</v>
      </c>
      <c r="AA205" s="5">
        <v>142214197684118</v>
      </c>
      <c r="AB205" s="5">
        <v>125735136419613</v>
      </c>
      <c r="AC205" s="5">
        <v>111591228193546</v>
      </c>
      <c r="AD205" s="5">
        <v>118464005530208</v>
      </c>
      <c r="AE205" s="5">
        <v>118759300076659</v>
      </c>
      <c r="AF205" s="5">
        <v>111965860405699</v>
      </c>
      <c r="AG205" s="5">
        <v>116921468336479</v>
      </c>
      <c r="AH205" s="5">
        <v>113967353226623</v>
      </c>
      <c r="AI205" s="5">
        <v>109934786843973</v>
      </c>
      <c r="AJ205" s="5">
        <v>11147375145449</v>
      </c>
      <c r="AK205" s="5">
        <v>108234587343972</v>
      </c>
      <c r="AL205" s="5">
        <v>105357841208033</v>
      </c>
      <c r="AM205" s="5">
        <v>89075756556969</v>
      </c>
      <c r="AN205" s="5">
        <v>115327362744198</v>
      </c>
      <c r="AO205" s="5">
        <v>122627592470361</v>
      </c>
      <c r="AP205" s="6">
        <v>446743579644453</v>
      </c>
      <c r="AQ205" s="6">
        <v>426848482895928</v>
      </c>
      <c r="AR205" s="6">
        <v>408493077557752</v>
      </c>
      <c r="AS205" s="6">
        <v>376571795424696</v>
      </c>
      <c r="AT205" s="6">
        <v>37264591723552</v>
      </c>
      <c r="AU205" s="6">
        <v>41062762685139</v>
      </c>
      <c r="AV205" s="6">
        <v>406618046775304</v>
      </c>
      <c r="AW205" s="6">
        <v>371448768345984</v>
      </c>
      <c r="AX205" s="6">
        <v>390066912232373</v>
      </c>
      <c r="AY205" s="6">
        <v>399052504872905</v>
      </c>
      <c r="AZ205" s="6">
        <v>418011218967408</v>
      </c>
      <c r="BA205" s="6">
        <v>41892038603595</v>
      </c>
      <c r="BB205" s="6">
        <v>37408398208115</v>
      </c>
      <c r="BC205" s="6">
        <v>43767568092864</v>
      </c>
      <c r="BD205" s="6">
        <v>4082434602273</v>
      </c>
      <c r="BE205" s="6">
        <v>41435750130864</v>
      </c>
      <c r="BF205" s="6">
        <v>3998068933519</v>
      </c>
      <c r="BG205" s="6">
        <v>37079694151872</v>
      </c>
      <c r="BH205" s="6">
        <v>30716833727232</v>
      </c>
      <c r="BI205" s="6">
        <v>309001173048576</v>
      </c>
      <c r="BJ205" s="6">
        <v>279279935080654</v>
      </c>
      <c r="BK205" s="6">
        <v>277830672259304</v>
      </c>
      <c r="BL205" s="6">
        <v>28442184682275</v>
      </c>
      <c r="BM205" s="6">
        <v>2879244292851</v>
      </c>
    </row>
    <row r="206" spans="1:65" x14ac:dyDescent="0.45">
      <c r="A206" s="1" t="s">
        <v>200</v>
      </c>
      <c r="B206" s="2">
        <v>4135343</v>
      </c>
      <c r="C206" s="3" t="s">
        <v>980</v>
      </c>
      <c r="D206" s="3" t="s">
        <v>981</v>
      </c>
      <c r="E206" s="3" t="s">
        <v>498</v>
      </c>
      <c r="F206" s="5">
        <v>100753213661054</v>
      </c>
      <c r="G206" s="5">
        <v>106822381728088</v>
      </c>
      <c r="H206" s="5">
        <v>994504387580256</v>
      </c>
      <c r="I206" s="5">
        <v>7885117517967</v>
      </c>
      <c r="J206" s="5">
        <v>7898641477485</v>
      </c>
      <c r="K206" s="5">
        <v>734763020390472</v>
      </c>
      <c r="L206" s="5">
        <v>741643506636938</v>
      </c>
      <c r="M206" s="5">
        <v>758190898825199</v>
      </c>
      <c r="N206" s="5">
        <v>707105081143607</v>
      </c>
      <c r="O206" s="5">
        <v>672058126552713</v>
      </c>
      <c r="P206" s="5">
        <v>674418021144088</v>
      </c>
      <c r="Q206" s="5">
        <v>769156666277691</v>
      </c>
      <c r="R206" s="5">
        <v>800873364772569</v>
      </c>
      <c r="S206" s="5">
        <v>767114429553193</v>
      </c>
      <c r="T206" s="5">
        <v>7041582112</v>
      </c>
      <c r="U206" s="5">
        <v>755628069205152</v>
      </c>
      <c r="V206" s="5">
        <v>77308907083799</v>
      </c>
      <c r="W206" s="5">
        <v>72201118124026</v>
      </c>
      <c r="X206" s="5">
        <v>72838308357975</v>
      </c>
      <c r="Y206" s="5">
        <v>680307060737703</v>
      </c>
      <c r="Z206" s="5">
        <v>664310842240083</v>
      </c>
      <c r="AA206" s="5">
        <v>693296188343447</v>
      </c>
      <c r="AB206" s="5">
        <v>637684585468476</v>
      </c>
      <c r="AC206" s="5">
        <v>677422656879907</v>
      </c>
      <c r="AD206" s="5">
        <v>597024745929049</v>
      </c>
      <c r="AE206" s="5">
        <v>636323342276178</v>
      </c>
      <c r="AF206" s="5">
        <v>625589842823106</v>
      </c>
      <c r="AG206" s="5">
        <v>674661730479595</v>
      </c>
      <c r="AH206" s="5">
        <v>700034240699588</v>
      </c>
      <c r="AI206" s="5">
        <v>737241771889406</v>
      </c>
      <c r="AJ206" s="5">
        <v>857601094772856</v>
      </c>
      <c r="AK206" s="5">
        <v>87816279608939</v>
      </c>
      <c r="AL206" s="5">
        <v>962876376</v>
      </c>
      <c r="AM206" s="5">
        <v>85652816439372</v>
      </c>
      <c r="AN206" s="5">
        <v>796963609118235</v>
      </c>
      <c r="AO206" s="5">
        <v>721213968159168</v>
      </c>
      <c r="AP206" s="6">
        <v>152030994487879</v>
      </c>
      <c r="AQ206" s="6">
        <v>15668786853636</v>
      </c>
      <c r="AR206" s="6">
        <v>167034854747594</v>
      </c>
      <c r="AS206" s="6">
        <v>160476542359119</v>
      </c>
      <c r="AT206" s="6">
        <v>154986218960196</v>
      </c>
      <c r="AU206" s="6">
        <v>140894657327773</v>
      </c>
      <c r="AV206" s="6">
        <v>134332460127363</v>
      </c>
      <c r="AW206" s="6">
        <v>135972023112205</v>
      </c>
      <c r="AX206" s="6">
        <v>12702669874167</v>
      </c>
      <c r="AY206" s="6">
        <v>13328587729314</v>
      </c>
      <c r="AZ206" s="6">
        <v>129089805300946</v>
      </c>
      <c r="BA206" s="6">
        <v>131472599504701</v>
      </c>
      <c r="BB206" s="6">
        <v>116477875459837</v>
      </c>
      <c r="BC206" s="6">
        <v>121438455906916</v>
      </c>
      <c r="BD206" s="6">
        <v>114380242080857</v>
      </c>
      <c r="BE206" s="6">
        <v>106434103610801</v>
      </c>
      <c r="BF206" s="6">
        <v>109406832939703</v>
      </c>
      <c r="BG206" s="6">
        <v>103972962905332</v>
      </c>
      <c r="BH206" s="6">
        <v>103967193820092</v>
      </c>
      <c r="BI206" s="6">
        <v>965855224105483</v>
      </c>
      <c r="BJ206" s="6">
        <v>908599930349229</v>
      </c>
      <c r="BK206" s="6">
        <v>887178920464408</v>
      </c>
      <c r="BL206" s="6">
        <v>832002203105892</v>
      </c>
      <c r="BM206" s="6">
        <v>908096007419849</v>
      </c>
    </row>
    <row r="207" spans="1:65" x14ac:dyDescent="0.45">
      <c r="A207" s="1" t="s">
        <v>201</v>
      </c>
      <c r="B207" s="2">
        <v>4090258</v>
      </c>
      <c r="C207" s="3" t="s">
        <v>982</v>
      </c>
      <c r="D207" s="3" t="s">
        <v>983</v>
      </c>
      <c r="E207" s="3" t="s">
        <v>553</v>
      </c>
      <c r="F207" s="5">
        <v>251293854716477</v>
      </c>
      <c r="G207" s="5">
        <v>27211945334644</v>
      </c>
      <c r="H207" s="5">
        <v>312451601368041</v>
      </c>
      <c r="I207" s="5">
        <v>305404095593583</v>
      </c>
      <c r="J207" s="5">
        <v>341874787626487</v>
      </c>
      <c r="K207" s="5">
        <v>337629420031791</v>
      </c>
      <c r="L207" s="5">
        <v>297976525197291</v>
      </c>
      <c r="M207" s="5">
        <v>34387919400115</v>
      </c>
      <c r="N207" s="5">
        <v>366133311391943</v>
      </c>
      <c r="O207" s="5">
        <v>346987403479831</v>
      </c>
      <c r="P207" s="5">
        <v>334907188961693</v>
      </c>
      <c r="Q207" s="5">
        <v>388259364362769</v>
      </c>
      <c r="R207" s="5">
        <v>344884430087378</v>
      </c>
      <c r="S207" s="5">
        <v>306435110811003</v>
      </c>
      <c r="T207" s="5">
        <v>363242288346669</v>
      </c>
      <c r="U207" s="5">
        <v>399379977742342</v>
      </c>
      <c r="V207" s="5">
        <v>404751408371245</v>
      </c>
      <c r="W207" s="5">
        <v>481333381636729</v>
      </c>
      <c r="X207" s="5">
        <v>466946356353724</v>
      </c>
      <c r="Y207" s="5">
        <v>469213078758227</v>
      </c>
      <c r="Z207" s="5">
        <v>526506147160449</v>
      </c>
      <c r="AA207" s="5">
        <v>506806616014493</v>
      </c>
      <c r="AB207" s="5">
        <v>483132568203765</v>
      </c>
      <c r="AC207" s="5">
        <v>435287798932808</v>
      </c>
      <c r="AD207" s="5">
        <v>527150436656061</v>
      </c>
      <c r="AE207" s="5">
        <v>488864071833168</v>
      </c>
      <c r="AF207" s="5">
        <v>405173027167586</v>
      </c>
      <c r="AG207" s="5">
        <v>452537018076998</v>
      </c>
      <c r="AH207" s="5">
        <v>442109891970264</v>
      </c>
      <c r="AI207" s="5">
        <v>450095204224306</v>
      </c>
      <c r="AJ207" s="5">
        <v>450825099951034</v>
      </c>
      <c r="AK207" s="5">
        <v>482909940331298</v>
      </c>
      <c r="AL207" s="5">
        <v>455471634917127</v>
      </c>
      <c r="AM207" s="5">
        <v>393916536975598</v>
      </c>
      <c r="AN207" s="5">
        <v>50122826069681</v>
      </c>
      <c r="AO207" s="5">
        <v>529853833265262</v>
      </c>
      <c r="AP207" s="6">
        <v>872431699275461</v>
      </c>
      <c r="AQ207" s="6">
        <v>917619565111236</v>
      </c>
      <c r="AR207" s="6">
        <v>832401476267729</v>
      </c>
      <c r="AS207" s="6">
        <v>86340020464521</v>
      </c>
      <c r="AT207" s="6">
        <v>83062089037643</v>
      </c>
      <c r="AU207" s="6">
        <v>891259548436215</v>
      </c>
      <c r="AV207" s="6">
        <v>91573653535182</v>
      </c>
      <c r="AW207" s="6">
        <v>862054008301101</v>
      </c>
      <c r="AX207" s="6">
        <v>85458103327758</v>
      </c>
      <c r="AY207" s="6">
        <v>810888103931103</v>
      </c>
      <c r="AZ207" s="6">
        <v>788379218213499</v>
      </c>
      <c r="BA207" s="6">
        <v>10340167953528</v>
      </c>
      <c r="BB207" s="6">
        <v>104540797537862</v>
      </c>
      <c r="BC207" s="6">
        <v>120092599406592</v>
      </c>
      <c r="BD207" s="6">
        <v>112277407241655</v>
      </c>
      <c r="BE207" s="6">
        <v>112055121539172</v>
      </c>
      <c r="BF207" s="6">
        <v>102464217464617</v>
      </c>
      <c r="BG207" s="6">
        <v>104514967296925</v>
      </c>
      <c r="BH207" s="6">
        <v>958955725637923</v>
      </c>
      <c r="BI207" s="6">
        <v>914182135905852</v>
      </c>
      <c r="BJ207" s="6">
        <v>97125163775304</v>
      </c>
      <c r="BK207" s="6">
        <v>84001829364024</v>
      </c>
      <c r="BL207" s="6">
        <v>8331702641262</v>
      </c>
      <c r="BM207" s="6">
        <v>954897211195558</v>
      </c>
    </row>
    <row r="208" spans="1:65" x14ac:dyDescent="0.45">
      <c r="A208" s="1" t="s">
        <v>202</v>
      </c>
      <c r="B208" s="2">
        <v>103323</v>
      </c>
      <c r="C208" s="3" t="s">
        <v>984</v>
      </c>
      <c r="D208" s="3" t="s">
        <v>985</v>
      </c>
      <c r="E208" s="3" t="s">
        <v>510</v>
      </c>
      <c r="F208" s="5">
        <v>109719490573374</v>
      </c>
      <c r="G208" s="5">
        <v>113149800097135</v>
      </c>
      <c r="H208" s="5">
        <v>11383173508603</v>
      </c>
      <c r="I208" s="5">
        <v>990686703464248</v>
      </c>
      <c r="J208" s="5">
        <v>940271474756211</v>
      </c>
      <c r="K208" s="5">
        <v>973727192643459</v>
      </c>
      <c r="L208" s="5">
        <v>91934073677588</v>
      </c>
      <c r="M208" s="5">
        <v>896714050809119</v>
      </c>
      <c r="N208" s="5">
        <v>924523743016891</v>
      </c>
      <c r="O208" s="5">
        <v>899609751516812</v>
      </c>
      <c r="P208" s="5">
        <v>893100702129688</v>
      </c>
      <c r="Q208" s="5">
        <v>9222779987784</v>
      </c>
      <c r="R208" s="5">
        <v>83214955698831</v>
      </c>
      <c r="S208" s="5">
        <v>77530120190668</v>
      </c>
      <c r="T208" s="5">
        <v>783090973969357</v>
      </c>
      <c r="U208" s="5">
        <v>781367704805107</v>
      </c>
      <c r="V208" s="5">
        <v>827909155230643</v>
      </c>
      <c r="W208" s="5">
        <v>808883619474588</v>
      </c>
      <c r="X208" s="5">
        <v>82786728429006</v>
      </c>
      <c r="Y208" s="5">
        <v>891381746980116</v>
      </c>
      <c r="Z208" s="5">
        <v>98783028972157</v>
      </c>
      <c r="AA208" s="5">
        <v>954541114780608</v>
      </c>
      <c r="AB208" s="5">
        <v>79729725457302</v>
      </c>
      <c r="AC208" s="5">
        <v>779347594622072</v>
      </c>
      <c r="AD208" s="5">
        <v>81248900499702</v>
      </c>
      <c r="AE208" s="5">
        <v>815283166384323</v>
      </c>
      <c r="AF208" s="5">
        <v>741150741177835</v>
      </c>
      <c r="AG208" s="5">
        <v>724742578755392</v>
      </c>
      <c r="AH208" s="5">
        <v>734879178246976</v>
      </c>
      <c r="AI208" s="5">
        <v>716177570658584</v>
      </c>
      <c r="AJ208" s="5">
        <v>7020734476058</v>
      </c>
      <c r="AK208" s="5">
        <v>737397160365082</v>
      </c>
      <c r="AL208" s="5">
        <v>808346282740993</v>
      </c>
      <c r="AM208" s="5">
        <v>70337312250933</v>
      </c>
      <c r="AN208" s="5">
        <v>906029974172459</v>
      </c>
      <c r="AO208" s="5">
        <v>10183709132557</v>
      </c>
      <c r="AP208" s="6">
        <v>182727225351815</v>
      </c>
      <c r="AQ208" s="6">
        <v>18591296552</v>
      </c>
      <c r="AR208" s="6">
        <v>19220292721135</v>
      </c>
      <c r="AS208" s="6">
        <v>18164056081008</v>
      </c>
      <c r="AT208" s="6">
        <v>164050678133512</v>
      </c>
      <c r="AU208" s="6">
        <v>172903438056017</v>
      </c>
      <c r="AV208" s="6">
        <v>175938149710294</v>
      </c>
      <c r="AW208" s="6">
        <v>164825251637003</v>
      </c>
      <c r="AX208" s="6">
        <v>19336620040342</v>
      </c>
      <c r="AY208" s="6">
        <v>188401388388533</v>
      </c>
      <c r="AZ208" s="6">
        <v>198052301468582</v>
      </c>
      <c r="BA208" s="6">
        <v>190361112717397</v>
      </c>
      <c r="BB208" s="6">
        <v>16137411777778</v>
      </c>
      <c r="BC208" s="6">
        <v>19496396453184</v>
      </c>
      <c r="BD208" s="6">
        <v>198280691849651</v>
      </c>
      <c r="BE208" s="6">
        <v>206590236147748</v>
      </c>
      <c r="BF208" s="6">
        <v>2110456179</v>
      </c>
      <c r="BG208" s="6">
        <v>199744173539087</v>
      </c>
      <c r="BH208" s="6">
        <v>189581723848487</v>
      </c>
      <c r="BI208" s="6">
        <v>19959948396</v>
      </c>
      <c r="BJ208" s="6">
        <v>219325087845856</v>
      </c>
      <c r="BK208" s="6">
        <v>221541790562427</v>
      </c>
      <c r="BL208" s="6">
        <v>238512298099175</v>
      </c>
      <c r="BM208" s="6">
        <v>210137237444808</v>
      </c>
    </row>
    <row r="209" spans="1:65" x14ac:dyDescent="0.45">
      <c r="A209" s="1" t="s">
        <v>203</v>
      </c>
      <c r="B209" s="2">
        <v>4972972</v>
      </c>
      <c r="C209" s="3" t="s">
        <v>986</v>
      </c>
      <c r="D209" s="3" t="s">
        <v>987</v>
      </c>
      <c r="E209" s="3" t="s">
        <v>519</v>
      </c>
      <c r="F209" s="5">
        <v>108560125069966</v>
      </c>
      <c r="G209" s="5">
        <v>118985643304949</v>
      </c>
      <c r="H209" s="5">
        <v>127140204085906</v>
      </c>
      <c r="I209" s="5">
        <v>113027875545983</v>
      </c>
      <c r="J209" s="5">
        <v>117716174207198</v>
      </c>
      <c r="K209" s="5">
        <v>117636419245198</v>
      </c>
      <c r="L209" s="5">
        <v>107632050663907</v>
      </c>
      <c r="M209" s="5">
        <v>113152686476764</v>
      </c>
      <c r="N209" s="5">
        <v>124024031344668</v>
      </c>
      <c r="O209" s="5">
        <v>125960992462544</v>
      </c>
      <c r="P209" s="5">
        <v>124171993141951</v>
      </c>
      <c r="Q209" s="5">
        <v>112345733547766</v>
      </c>
      <c r="R209" s="5">
        <v>124019294669595</v>
      </c>
      <c r="S209" s="5">
        <v>103471838595334</v>
      </c>
      <c r="T209" s="5">
        <v>100991348300218</v>
      </c>
      <c r="U209" s="5">
        <v>10152982281093</v>
      </c>
      <c r="V209" s="5">
        <v>104857592045586</v>
      </c>
      <c r="W209" s="5">
        <v>118594105826333</v>
      </c>
      <c r="X209" s="5">
        <v>12305112571859</v>
      </c>
      <c r="Y209" s="5">
        <v>111450378637752</v>
      </c>
      <c r="Z209" s="5">
        <v>121162775098651</v>
      </c>
      <c r="AA209" s="5">
        <v>112144853033698</v>
      </c>
      <c r="AB209" s="5">
        <v>113693834204683</v>
      </c>
      <c r="AC209" s="5">
        <v>108691221430196</v>
      </c>
      <c r="AD209" s="5">
        <v>113858329800679</v>
      </c>
      <c r="AE209" s="5">
        <v>111741890005554</v>
      </c>
      <c r="AF209" s="5">
        <v>101264858313663</v>
      </c>
      <c r="AG209" s="5">
        <v>107927863773855</v>
      </c>
      <c r="AH209" s="5">
        <v>116773263774406</v>
      </c>
      <c r="AI209" s="5">
        <v>981798873719387</v>
      </c>
      <c r="AJ209" s="5">
        <v>107688146400028</v>
      </c>
      <c r="AK209" s="5">
        <v>114836398459571</v>
      </c>
      <c r="AL209" s="5">
        <v>104761936146835</v>
      </c>
      <c r="AM209" s="5">
        <v>90193985380863</v>
      </c>
      <c r="AN209" s="5">
        <v>110434597887231</v>
      </c>
      <c r="AO209" s="5">
        <v>103511426348587</v>
      </c>
      <c r="AP209" s="6">
        <v>278867028157379</v>
      </c>
      <c r="AQ209" s="6">
        <v>26889566810358</v>
      </c>
      <c r="AR209" s="6">
        <v>245433297885063</v>
      </c>
      <c r="AS209" s="6">
        <v>244948470065087</v>
      </c>
      <c r="AT209" s="6">
        <v>240908476855193</v>
      </c>
      <c r="AU209" s="6">
        <v>248846805902926</v>
      </c>
      <c r="AV209" s="6">
        <v>250005088725416</v>
      </c>
      <c r="AW209" s="6">
        <v>23353883686364</v>
      </c>
      <c r="AX209" s="6">
        <v>226934746537742</v>
      </c>
      <c r="AY209" s="6">
        <v>216448423804968</v>
      </c>
      <c r="AZ209" s="6">
        <v>213691023940971</v>
      </c>
      <c r="BA209" s="6">
        <v>192832895076948</v>
      </c>
      <c r="BB209" s="6">
        <v>185979399748494</v>
      </c>
      <c r="BC209" s="6">
        <v>197862390033754</v>
      </c>
      <c r="BD209" s="6">
        <v>186479342617565</v>
      </c>
      <c r="BE209" s="6">
        <v>207320884252</v>
      </c>
      <c r="BF209" s="6">
        <v>199395944456215</v>
      </c>
      <c r="BG209" s="6">
        <v>200425700347769</v>
      </c>
      <c r="BH209" s="6">
        <v>203826970532966</v>
      </c>
      <c r="BI209" s="6">
        <v>207963504040921</v>
      </c>
      <c r="BJ209" s="6">
        <v>196158083973389</v>
      </c>
      <c r="BK209" s="6">
        <v>202952216774069</v>
      </c>
      <c r="BL209" s="6">
        <v>209165904763862</v>
      </c>
      <c r="BM209" s="6">
        <v>220299465463958</v>
      </c>
    </row>
    <row r="210" spans="1:65" x14ac:dyDescent="0.45">
      <c r="A210" s="1" t="s">
        <v>204</v>
      </c>
      <c r="B210" s="2">
        <v>4010641</v>
      </c>
      <c r="C210" s="3" t="s">
        <v>988</v>
      </c>
      <c r="D210" s="3" t="s">
        <v>989</v>
      </c>
      <c r="E210" s="3" t="s">
        <v>631</v>
      </c>
      <c r="F210" s="5">
        <v>334340961795507</v>
      </c>
      <c r="G210" s="5">
        <v>333633938413999</v>
      </c>
      <c r="H210" s="5">
        <v>334447666372272</v>
      </c>
      <c r="I210" s="5">
        <v>227710830239186</v>
      </c>
      <c r="J210" s="5">
        <v>271322164409095</v>
      </c>
      <c r="K210" s="5">
        <v>260526289078933</v>
      </c>
      <c r="L210" s="5">
        <v>270583534366763</v>
      </c>
      <c r="M210" s="5">
        <v>340496353992951</v>
      </c>
      <c r="N210" s="5">
        <v>304866213279858</v>
      </c>
      <c r="O210" s="5">
        <v>306328187945808</v>
      </c>
      <c r="P210" s="5">
        <v>268299661903414</v>
      </c>
      <c r="Q210" s="5">
        <v>245661687544274</v>
      </c>
      <c r="R210" s="5">
        <v>180004193924604</v>
      </c>
      <c r="S210" s="5">
        <v>171456345042001</v>
      </c>
      <c r="T210" s="5">
        <v>193446698959759</v>
      </c>
      <c r="U210" s="5">
        <v>166111400069164</v>
      </c>
      <c r="V210" s="5">
        <v>150735325685383</v>
      </c>
      <c r="W210" s="5">
        <v>155242890975929</v>
      </c>
      <c r="X210" s="5">
        <v>173489919534076</v>
      </c>
      <c r="Y210" s="5">
        <v>163888224352739</v>
      </c>
      <c r="Z210" s="5">
        <v>144670322674706</v>
      </c>
      <c r="AA210" s="5">
        <v>16247690567478</v>
      </c>
      <c r="AB210" s="5">
        <v>160331523997736</v>
      </c>
      <c r="AC210" s="5">
        <v>12838961767542</v>
      </c>
      <c r="AD210" s="5">
        <v>136585743535552</v>
      </c>
      <c r="AE210" s="5">
        <v>122707740913076</v>
      </c>
      <c r="AF210" s="5">
        <v>914831300698</v>
      </c>
      <c r="AG210" s="5">
        <v>901466999157378</v>
      </c>
      <c r="AH210" s="5">
        <v>118897191352626</v>
      </c>
      <c r="AI210" s="5">
        <v>106410428594027</v>
      </c>
      <c r="AJ210" s="5">
        <v>101185452095548</v>
      </c>
      <c r="AK210" s="5">
        <v>927205735393875</v>
      </c>
      <c r="AL210" s="5">
        <v>84201549405435</v>
      </c>
      <c r="AM210" s="5">
        <v>54849280048745</v>
      </c>
      <c r="AN210" s="5">
        <v>135697549997204</v>
      </c>
      <c r="AO210" s="5">
        <v>172687123365101</v>
      </c>
      <c r="AP210" s="6">
        <v>112699581769725</v>
      </c>
      <c r="AQ210" s="6">
        <v>115791568289278</v>
      </c>
      <c r="AR210" s="6">
        <v>110721312177324</v>
      </c>
      <c r="AS210" s="6">
        <v>111648451799013</v>
      </c>
      <c r="AT210" s="6">
        <v>10769057044395</v>
      </c>
      <c r="AU210" s="6">
        <v>111491591850558</v>
      </c>
      <c r="AV210" s="6">
        <v>111657236285503</v>
      </c>
      <c r="AW210" s="6">
        <v>10727099604183</v>
      </c>
      <c r="AX210" s="6">
        <v>112774380711817</v>
      </c>
      <c r="AY210" s="6">
        <v>103135511917512</v>
      </c>
      <c r="AZ210" s="6">
        <v>986372040037866</v>
      </c>
      <c r="BA210" s="6">
        <v>92824002621984</v>
      </c>
      <c r="BB210" s="6">
        <v>854245382433672</v>
      </c>
      <c r="BC210" s="6">
        <v>959484708365088</v>
      </c>
      <c r="BD210" s="6">
        <v>947187557277464</v>
      </c>
      <c r="BE210" s="6">
        <v>106357036129993</v>
      </c>
      <c r="BF210" s="6">
        <v>10176006161081</v>
      </c>
      <c r="BG210" s="6">
        <v>101307615008077</v>
      </c>
      <c r="BH210" s="6">
        <v>922198821749872</v>
      </c>
      <c r="BI210" s="6">
        <v>947573163476256</v>
      </c>
      <c r="BJ210" s="6">
        <v>89500102263252</v>
      </c>
      <c r="BK210" s="6">
        <v>879463643251196</v>
      </c>
      <c r="BL210" s="6">
        <v>9306708728223</v>
      </c>
      <c r="BM210" s="6">
        <v>971432125230592</v>
      </c>
    </row>
    <row r="211" spans="1:65" x14ac:dyDescent="0.45">
      <c r="A211" s="1" t="s">
        <v>205</v>
      </c>
      <c r="B211" s="2">
        <v>4095387</v>
      </c>
      <c r="C211" s="3" t="s">
        <v>990</v>
      </c>
      <c r="D211" s="3" t="s">
        <v>991</v>
      </c>
      <c r="E211" s="3" t="s">
        <v>992</v>
      </c>
      <c r="F211" s="5">
        <v>788450592029615</v>
      </c>
      <c r="G211" s="5">
        <v>841341200435399</v>
      </c>
      <c r="H211" s="5">
        <v>911375506057365</v>
      </c>
      <c r="I211" s="5">
        <v>949445339416366</v>
      </c>
      <c r="J211" s="5">
        <v>108070746756585</v>
      </c>
      <c r="K211" s="5">
        <v>106574817881134</v>
      </c>
      <c r="L211" s="5">
        <v>109220228631841</v>
      </c>
      <c r="M211" s="5">
        <v>116651905139318</v>
      </c>
      <c r="N211" s="5">
        <v>116518262142025</v>
      </c>
      <c r="O211" s="5">
        <v>102475024919429</v>
      </c>
      <c r="P211" s="5">
        <v>120093235038582</v>
      </c>
      <c r="Q211" s="5">
        <v>113897441051505</v>
      </c>
      <c r="R211" s="5">
        <v>123455795962935</v>
      </c>
      <c r="S211" s="5">
        <v>118604752307601</v>
      </c>
      <c r="T211" s="5">
        <v>114238313374107</v>
      </c>
      <c r="U211" s="5">
        <v>105987076333542</v>
      </c>
      <c r="V211" s="5">
        <v>114673798930734</v>
      </c>
      <c r="W211" s="5">
        <v>11541685796454</v>
      </c>
      <c r="X211" s="5">
        <v>109667181215337</v>
      </c>
      <c r="Y211" s="5">
        <v>108326185723485</v>
      </c>
      <c r="Z211" s="5">
        <v>113731806959883</v>
      </c>
      <c r="AA211" s="5">
        <v>112483128385253</v>
      </c>
      <c r="AB211" s="5">
        <v>106380695501316</v>
      </c>
      <c r="AC211" s="5">
        <v>10590948001319</v>
      </c>
      <c r="AD211" s="5">
        <v>1047858755278</v>
      </c>
      <c r="AE211" s="5">
        <v>106662168648764</v>
      </c>
      <c r="AF211" s="5">
        <v>972615066987485</v>
      </c>
      <c r="AG211" s="5">
        <v>965247629701133</v>
      </c>
      <c r="AH211" s="5">
        <v>904806335060334</v>
      </c>
      <c r="AI211" s="5">
        <v>842744883849199</v>
      </c>
      <c r="AJ211" s="5">
        <v>912503380666779</v>
      </c>
      <c r="AK211" s="5">
        <v>905949785411402</v>
      </c>
      <c r="AL211" s="5">
        <v>904343980676895</v>
      </c>
      <c r="AM211" s="5">
        <v>89121248949915</v>
      </c>
      <c r="AN211" s="5">
        <v>961470387498127</v>
      </c>
      <c r="AO211" s="5">
        <v>125742637232115</v>
      </c>
      <c r="AP211" s="6">
        <v>214950914562141</v>
      </c>
      <c r="AQ211" s="6">
        <v>21580624108804</v>
      </c>
      <c r="AR211" s="6">
        <v>195873094759915</v>
      </c>
      <c r="AS211" s="6">
        <v>214147490133756</v>
      </c>
      <c r="AT211" s="6">
        <v>206816776140514</v>
      </c>
      <c r="AU211" s="6">
        <v>196612353831096</v>
      </c>
      <c r="AV211" s="6">
        <v>190190401573464</v>
      </c>
      <c r="AW211" s="6">
        <v>189771067001257</v>
      </c>
      <c r="AX211" s="6">
        <v>190949398366881</v>
      </c>
      <c r="AY211" s="6">
        <v>213633714105425</v>
      </c>
      <c r="AZ211" s="6">
        <v>20354418502495</v>
      </c>
      <c r="BA211" s="6">
        <v>197508300367716</v>
      </c>
      <c r="BB211" s="6">
        <v>199279693861877</v>
      </c>
      <c r="BC211" s="6">
        <v>212306144525292</v>
      </c>
      <c r="BD211" s="6">
        <v>205548619195498</v>
      </c>
      <c r="BE211" s="6">
        <v>180788704509283</v>
      </c>
      <c r="BF211" s="6">
        <v>178927909687134</v>
      </c>
      <c r="BG211" s="6">
        <v>16305853836364</v>
      </c>
      <c r="BH211" s="6">
        <v>169192927626387</v>
      </c>
      <c r="BI211" s="6">
        <v>163005718671471</v>
      </c>
      <c r="BJ211" s="6">
        <v>158978066048153</v>
      </c>
      <c r="BK211" s="6">
        <v>147787812732606</v>
      </c>
      <c r="BL211" s="6">
        <v>140814437905814</v>
      </c>
      <c r="BM211" s="6">
        <v>146180889686835</v>
      </c>
    </row>
    <row r="212" spans="1:65" x14ac:dyDescent="0.45">
      <c r="A212" s="1" t="s">
        <v>206</v>
      </c>
      <c r="B212" s="2">
        <v>4283738</v>
      </c>
      <c r="C212" s="3" t="s">
        <v>993</v>
      </c>
      <c r="D212" s="3" t="s">
        <v>994</v>
      </c>
      <c r="E212" s="3" t="s">
        <v>995</v>
      </c>
      <c r="F212" s="5">
        <v>634785423649524</v>
      </c>
      <c r="G212" s="5">
        <v>658564052420778</v>
      </c>
      <c r="H212" s="5">
        <v>631246211567928</v>
      </c>
      <c r="I212" s="5">
        <v>537967832942416</v>
      </c>
      <c r="J212" s="5">
        <v>563903626360504</v>
      </c>
      <c r="K212" s="5">
        <v>615365670415392</v>
      </c>
      <c r="L212" s="5">
        <v>475039029653424</v>
      </c>
      <c r="M212" s="5">
        <v>57948580344096</v>
      </c>
      <c r="N212" s="5">
        <v>614868668707485</v>
      </c>
      <c r="O212" s="5">
        <v>681378039606572</v>
      </c>
      <c r="P212" s="5">
        <v>67672760298</v>
      </c>
      <c r="Q212" s="5">
        <v>66657361459392</v>
      </c>
      <c r="R212" s="5">
        <v>702630848584368</v>
      </c>
      <c r="S212" s="5">
        <v>622491755986144</v>
      </c>
      <c r="T212" s="5">
        <v>693420337889552</v>
      </c>
      <c r="U212" s="5">
        <v>670437376499904</v>
      </c>
      <c r="V212" s="5">
        <v>686143025886864</v>
      </c>
      <c r="W212" s="5">
        <v>691839099693</v>
      </c>
      <c r="X212" s="5">
        <v>57654586220238</v>
      </c>
      <c r="Y212" s="5">
        <v>582731365203225</v>
      </c>
      <c r="Z212" s="5">
        <v>55266149782179</v>
      </c>
      <c r="AA212" s="5">
        <v>540668031592932</v>
      </c>
      <c r="AB212" s="5">
        <v>483304202194125</v>
      </c>
      <c r="AC212" s="5">
        <v>452918000906928</v>
      </c>
      <c r="AD212" s="5">
        <v>45493141834935</v>
      </c>
      <c r="AE212" s="5">
        <v>424988597157639</v>
      </c>
      <c r="AF212" s="5">
        <v>359871353688758</v>
      </c>
      <c r="AG212" s="5">
        <v>358915266543504</v>
      </c>
      <c r="AH212" s="5">
        <v>38376846181674</v>
      </c>
      <c r="AI212" s="5">
        <v>361860564207736</v>
      </c>
      <c r="AJ212" s="5">
        <v>291187914796524</v>
      </c>
      <c r="AK212" s="5">
        <v>32464268638795</v>
      </c>
      <c r="AL212" s="5">
        <v>339962507971339</v>
      </c>
      <c r="AM212" s="5">
        <v>27674395200543</v>
      </c>
      <c r="AN212" s="5">
        <v>390850341934689</v>
      </c>
      <c r="AO212" s="5">
        <v>4246430913208</v>
      </c>
      <c r="AP212" s="6">
        <v>118548858610805</v>
      </c>
      <c r="AQ212" s="6">
        <v>113844306538644</v>
      </c>
      <c r="AR212" s="6">
        <v>107321146174086</v>
      </c>
      <c r="AS212" s="6">
        <v>115738321233692</v>
      </c>
      <c r="AT212" s="6">
        <v>106445984486227</v>
      </c>
      <c r="AU212" s="6">
        <v>115764001021659</v>
      </c>
      <c r="AV212" s="6">
        <v>118629933197238</v>
      </c>
      <c r="AW212" s="6">
        <v>120369143965414</v>
      </c>
      <c r="AX212" s="6">
        <v>127151865848007</v>
      </c>
      <c r="AY212" s="6">
        <v>124694975203029</v>
      </c>
      <c r="AZ212" s="6">
        <v>127506115713427</v>
      </c>
      <c r="BA212" s="6">
        <v>116996385388982</v>
      </c>
      <c r="BB212" s="6">
        <v>108041160925269</v>
      </c>
      <c r="BC212" s="6">
        <v>124524015273984</v>
      </c>
      <c r="BD212" s="6">
        <v>125222483361011</v>
      </c>
      <c r="BE212" s="6">
        <v>134694334746719</v>
      </c>
      <c r="BF212" s="6">
        <v>137567036906692</v>
      </c>
      <c r="BG212" s="6">
        <v>132649114086818</v>
      </c>
      <c r="BH212" s="6">
        <v>133878747339519</v>
      </c>
      <c r="BI212" s="6">
        <v>137533197172532</v>
      </c>
      <c r="BJ212" s="6">
        <v>12012171694612</v>
      </c>
      <c r="BK212" s="6">
        <v>112398556168062</v>
      </c>
      <c r="BL212" s="6">
        <v>112714380428832</v>
      </c>
      <c r="BM212" s="6">
        <v>123513051931131</v>
      </c>
    </row>
    <row r="213" spans="1:65" x14ac:dyDescent="0.45">
      <c r="A213" s="1" t="s">
        <v>207</v>
      </c>
      <c r="B213" s="2">
        <v>102953</v>
      </c>
      <c r="C213" s="3" t="s">
        <v>996</v>
      </c>
      <c r="D213" s="3" t="s">
        <v>997</v>
      </c>
      <c r="E213" s="3" t="s">
        <v>525</v>
      </c>
      <c r="F213" s="5">
        <v>126096161604119</v>
      </c>
      <c r="G213" s="5">
        <v>136880953147424</v>
      </c>
      <c r="H213" s="5">
        <v>129489557467583</v>
      </c>
      <c r="I213" s="5">
        <v>126120772488274</v>
      </c>
      <c r="J213" s="5">
        <v>140634482569928</v>
      </c>
      <c r="K213" s="5">
        <v>146157680402972</v>
      </c>
      <c r="L213" s="5">
        <v>133731970530244</v>
      </c>
      <c r="M213" s="5">
        <v>149317310904225</v>
      </c>
      <c r="N213" s="5">
        <v>167964820945193</v>
      </c>
      <c r="O213" s="5">
        <v>166726435874858</v>
      </c>
      <c r="P213" s="5">
        <v>149165750974041</v>
      </c>
      <c r="Q213" s="5">
        <v>170230037861609</v>
      </c>
      <c r="R213" s="5">
        <v>171068839631319</v>
      </c>
      <c r="S213" s="5">
        <v>157157838334304</v>
      </c>
      <c r="T213" s="5">
        <v>165512056062299</v>
      </c>
      <c r="U213" s="5">
        <v>155689335923864</v>
      </c>
      <c r="V213" s="5">
        <v>164381041713024</v>
      </c>
      <c r="W213" s="5">
        <v>167962538655181</v>
      </c>
      <c r="X213" s="5">
        <v>151315283811543</v>
      </c>
      <c r="Y213" s="5">
        <v>147604746300479</v>
      </c>
      <c r="Z213" s="5">
        <v>153831219608634</v>
      </c>
      <c r="AA213" s="5">
        <v>145724619194028</v>
      </c>
      <c r="AB213" s="5">
        <v>129515718483459</v>
      </c>
      <c r="AC213" s="5">
        <v>13149818503156</v>
      </c>
      <c r="AD213" s="5">
        <v>133045191150931</v>
      </c>
      <c r="AE213" s="5">
        <v>129998807675002</v>
      </c>
      <c r="AF213" s="5">
        <v>124583013147454</v>
      </c>
      <c r="AG213" s="5">
        <v>124464491378587</v>
      </c>
      <c r="AH213" s="5">
        <v>124464060723115</v>
      </c>
      <c r="AI213" s="5">
        <v>124169459969363</v>
      </c>
      <c r="AJ213" s="5">
        <v>131821396991416</v>
      </c>
      <c r="AK213" s="5">
        <v>119300498626478</v>
      </c>
      <c r="AL213" s="5">
        <v>120818489350624</v>
      </c>
      <c r="AM213" s="5">
        <v>109739729346975</v>
      </c>
      <c r="AN213" s="5">
        <v>145408260005837</v>
      </c>
      <c r="AO213" s="5">
        <v>160676659285228</v>
      </c>
      <c r="AP213" s="6">
        <v>118708746487333</v>
      </c>
      <c r="AQ213" s="6">
        <v>121653390797916</v>
      </c>
      <c r="AR213" s="6">
        <v>108477101975307</v>
      </c>
      <c r="AS213" s="6">
        <v>104961154642344</v>
      </c>
      <c r="AT213" s="6">
        <v>10341665692581</v>
      </c>
      <c r="AU213" s="6">
        <v>100934543936383</v>
      </c>
      <c r="AV213" s="6">
        <v>10179670135332</v>
      </c>
      <c r="AW213" s="6">
        <v>881398669463622</v>
      </c>
      <c r="AX213" s="6">
        <v>86862174065793</v>
      </c>
      <c r="AY213" s="6">
        <v>771465171750273</v>
      </c>
      <c r="AZ213" s="6">
        <v>78735329716301</v>
      </c>
      <c r="BA213" s="6">
        <v>79396044851682</v>
      </c>
      <c r="BB213" s="6">
        <v>711599711725188</v>
      </c>
      <c r="BC213" s="6">
        <v>916765672223232</v>
      </c>
      <c r="BD213" s="6">
        <v>867869322465754</v>
      </c>
      <c r="BE213" s="6">
        <v>914909755847503</v>
      </c>
      <c r="BF213" s="6">
        <v>931154565628566</v>
      </c>
      <c r="BG213" s="6">
        <v>894996780672573</v>
      </c>
      <c r="BH213" s="6">
        <v>703934019377108</v>
      </c>
      <c r="BI213" s="6">
        <v>730930804332296</v>
      </c>
      <c r="BJ213" s="6">
        <v>712169908348067</v>
      </c>
      <c r="BK213" s="6">
        <v>904594293199872</v>
      </c>
      <c r="BL213" s="6">
        <v>964357367032332</v>
      </c>
      <c r="BM213" s="6">
        <v>116313113670624</v>
      </c>
    </row>
    <row r="214" spans="1:65" x14ac:dyDescent="0.45">
      <c r="A214" s="1" t="s">
        <v>208</v>
      </c>
      <c r="B214" s="2">
        <v>4811795</v>
      </c>
      <c r="C214" s="3" t="s">
        <v>998</v>
      </c>
      <c r="D214" s="3" t="s">
        <v>999</v>
      </c>
      <c r="E214" s="3" t="s">
        <v>695</v>
      </c>
      <c r="F214" s="5">
        <v>101300611316294</v>
      </c>
      <c r="G214" s="5">
        <v>106361639229993</v>
      </c>
      <c r="H214" s="5">
        <v>942371346796891</v>
      </c>
      <c r="I214" s="5">
        <v>912952159379503</v>
      </c>
      <c r="J214" s="5">
        <v>992123885520502</v>
      </c>
      <c r="K214" s="5">
        <v>106692452221319</v>
      </c>
      <c r="L214" s="5">
        <v>10134236599007</v>
      </c>
      <c r="M214" s="5">
        <v>110199096675594</v>
      </c>
      <c r="N214" s="5">
        <v>106235843558273</v>
      </c>
      <c r="O214" s="5">
        <v>107664788080864</v>
      </c>
      <c r="P214" s="5">
        <v>10551522446192</v>
      </c>
      <c r="Q214" s="5">
        <v>932278118203008</v>
      </c>
      <c r="R214" s="5">
        <v>945372990386315</v>
      </c>
      <c r="S214" s="5">
        <v>874264953747398</v>
      </c>
      <c r="T214" s="5">
        <v>92235906294108</v>
      </c>
      <c r="U214" s="5">
        <v>917935928894208</v>
      </c>
      <c r="V214" s="5">
        <v>894593193503208</v>
      </c>
      <c r="W214" s="5">
        <v>95063356004463</v>
      </c>
      <c r="X214" s="5">
        <v>880361432656952</v>
      </c>
      <c r="Y214" s="5">
        <v>877814467545708</v>
      </c>
      <c r="Z214" s="5">
        <v>8574415311471</v>
      </c>
      <c r="AA214" s="5">
        <v>839277116894016</v>
      </c>
      <c r="AB214" s="5">
        <v>728262537831225</v>
      </c>
      <c r="AC214" s="5">
        <v>774521108154234</v>
      </c>
      <c r="AD214" s="5">
        <v>78038663827719</v>
      </c>
      <c r="AE214" s="5">
        <v>768252478104397</v>
      </c>
      <c r="AF214" s="5">
        <v>778912305542848</v>
      </c>
      <c r="AG214" s="5">
        <v>714653251505838</v>
      </c>
      <c r="AH214" s="5">
        <v>793461225243148</v>
      </c>
      <c r="AI214" s="5">
        <v>829376530563239</v>
      </c>
      <c r="AJ214" s="5">
        <v>740694829366241</v>
      </c>
      <c r="AK214" s="5">
        <v>779699865595728</v>
      </c>
      <c r="AL214" s="5">
        <v>711971483718739</v>
      </c>
      <c r="AM214" s="5">
        <v>6592120364466</v>
      </c>
      <c r="AN214" s="5">
        <v>794566105881471</v>
      </c>
      <c r="AO214" s="5">
        <v>912487181659812</v>
      </c>
      <c r="AP214" s="6">
        <v>266109217916938</v>
      </c>
      <c r="AQ214" s="6">
        <v>270072951606285</v>
      </c>
      <c r="AR214" s="6">
        <v>230921074827497</v>
      </c>
      <c r="AS214" s="6">
        <v>257134719283449</v>
      </c>
      <c r="AT214" s="6">
        <v>246431390557863</v>
      </c>
      <c r="AU214" s="6">
        <v>28475601707899</v>
      </c>
      <c r="AV214" s="6">
        <v>27520329565697</v>
      </c>
      <c r="AW214" s="6">
        <v>252421777961938</v>
      </c>
      <c r="AX214" s="6">
        <v>273045749504771</v>
      </c>
      <c r="AY214" s="6">
        <v>265481828457645</v>
      </c>
      <c r="AZ214" s="6">
        <v>265677855995167</v>
      </c>
      <c r="BA214" s="6">
        <v>298771015225803</v>
      </c>
      <c r="BB214" s="6">
        <v>277605802153863</v>
      </c>
      <c r="BC214" s="6">
        <v>321444134681088</v>
      </c>
      <c r="BD214" s="6">
        <v>337491181119865</v>
      </c>
      <c r="BE214" s="6">
        <v>350981989030734</v>
      </c>
      <c r="BF214" s="6">
        <v>336039875156753</v>
      </c>
      <c r="BG214" s="6">
        <v>317623046762574</v>
      </c>
      <c r="BH214" s="6">
        <v>313206038710182</v>
      </c>
      <c r="BI214" s="6">
        <v>309401363730834</v>
      </c>
      <c r="BJ214" s="6">
        <v>291436510331997</v>
      </c>
      <c r="BK214" s="6">
        <v>291883964317117</v>
      </c>
      <c r="BL214" s="6">
        <v>313679718769189</v>
      </c>
      <c r="BM214" s="6">
        <v>308430110192129</v>
      </c>
    </row>
    <row r="215" spans="1:65" x14ac:dyDescent="0.45">
      <c r="A215" s="1" t="s">
        <v>209</v>
      </c>
      <c r="B215" s="2">
        <v>4641383</v>
      </c>
      <c r="C215" s="3" t="s">
        <v>1000</v>
      </c>
      <c r="D215" s="3" t="s">
        <v>1001</v>
      </c>
      <c r="E215" s="3" t="s">
        <v>586</v>
      </c>
      <c r="F215" s="5">
        <v>19142360598592</v>
      </c>
      <c r="G215" s="5">
        <v>209366385515231</v>
      </c>
      <c r="H215" s="5">
        <v>185687035921009</v>
      </c>
      <c r="I215" s="5">
        <v>157198873334148</v>
      </c>
      <c r="J215" s="5">
        <v>1739243072</v>
      </c>
      <c r="K215" s="5">
        <v>181398173518877</v>
      </c>
      <c r="L215" s="5">
        <v>164813779457348</v>
      </c>
      <c r="M215" s="5">
        <v>189049617627624</v>
      </c>
      <c r="N215" s="5">
        <v>190112985648013</v>
      </c>
      <c r="O215" s="5">
        <v>195570864475031</v>
      </c>
      <c r="P215" s="5">
        <v>184336353883661</v>
      </c>
      <c r="Q215" s="5">
        <v>188576088226736</v>
      </c>
      <c r="R215" s="5">
        <v>179355633702498</v>
      </c>
      <c r="S215" s="5">
        <v>166532033042385</v>
      </c>
      <c r="T215" s="5">
        <v>165721042033705</v>
      </c>
      <c r="U215" s="5">
        <v>160823441171286</v>
      </c>
      <c r="V215" s="5">
        <v>171046628248862</v>
      </c>
      <c r="W215" s="5">
        <v>159630052974135</v>
      </c>
      <c r="X215" s="5">
        <v>160586932201977</v>
      </c>
      <c r="Y215" s="5">
        <v>170387344501189</v>
      </c>
      <c r="Z215" s="5">
        <v>173279088315784</v>
      </c>
      <c r="AA215" s="5">
        <v>174489856243771</v>
      </c>
      <c r="AB215" s="5">
        <v>156547673169451</v>
      </c>
      <c r="AC215" s="5">
        <v>131493206705185</v>
      </c>
      <c r="AD215" s="5">
        <v>125306177218988</v>
      </c>
      <c r="AE215" s="5">
        <v>118825410838696</v>
      </c>
      <c r="AF215" s="5">
        <v>953722715394499</v>
      </c>
      <c r="AG215" s="5">
        <v>1026468734989</v>
      </c>
      <c r="AH215" s="5">
        <v>1040239613</v>
      </c>
      <c r="AI215" s="5">
        <v>107188715522092</v>
      </c>
      <c r="AJ215" s="5">
        <v>111081105731881</v>
      </c>
      <c r="AK215" s="5">
        <v>1119717389</v>
      </c>
      <c r="AL215" s="5">
        <v>118473916110945</v>
      </c>
      <c r="AM215" s="5">
        <v>113839158479592</v>
      </c>
      <c r="AN215" s="5">
        <v>150394547636096</v>
      </c>
      <c r="AO215" s="5">
        <v>1624543283592</v>
      </c>
      <c r="AP215" s="6">
        <v>71638018662112</v>
      </c>
      <c r="AQ215" s="6">
        <v>72569616797312</v>
      </c>
      <c r="AR215" s="6">
        <v>6913446893392</v>
      </c>
      <c r="AS215" s="6">
        <v>655665631412688</v>
      </c>
      <c r="AT215" s="6">
        <v>648731471643258</v>
      </c>
      <c r="AU215" s="6">
        <v>634937126515536</v>
      </c>
      <c r="AV215" s="6">
        <v>6243295714448</v>
      </c>
      <c r="AW215" s="6">
        <v>55981470432291</v>
      </c>
      <c r="AX215" s="6">
        <v>620722594107</v>
      </c>
      <c r="AY215" s="6">
        <v>57296058957522</v>
      </c>
      <c r="AZ215" s="6">
        <v>565999549254027</v>
      </c>
      <c r="BA215" s="6">
        <v>522148953201642</v>
      </c>
      <c r="BB215" s="6">
        <v>474655112604033</v>
      </c>
      <c r="BC215" s="6">
        <v>532259972873626</v>
      </c>
      <c r="BD215" s="6">
        <v>49155070874391</v>
      </c>
      <c r="BE215" s="6">
        <v>629691059409277</v>
      </c>
      <c r="BF215" s="6">
        <v>596254537643076</v>
      </c>
      <c r="BG215" s="6">
        <v>576853846840725</v>
      </c>
      <c r="BH215" s="6">
        <v>497227203392129</v>
      </c>
      <c r="BI215" s="6">
        <v>506751294550684</v>
      </c>
      <c r="BJ215" s="6">
        <v>471919175291534</v>
      </c>
      <c r="BK215" s="6">
        <v>543059450353782</v>
      </c>
      <c r="BL215" s="6">
        <v>588414158444385</v>
      </c>
      <c r="BM215" s="6">
        <v>597883421704799</v>
      </c>
    </row>
    <row r="216" spans="1:65" x14ac:dyDescent="0.45">
      <c r="A216" s="1" t="s">
        <v>210</v>
      </c>
      <c r="B216" s="2">
        <v>4019144</v>
      </c>
      <c r="C216" s="3" t="s">
        <v>1002</v>
      </c>
      <c r="D216" s="3" t="s">
        <v>1003</v>
      </c>
      <c r="E216" s="3" t="s">
        <v>660</v>
      </c>
      <c r="F216" s="5">
        <v>319773812337079</v>
      </c>
      <c r="G216" s="5">
        <v>374036922990604</v>
      </c>
      <c r="H216" s="5">
        <v>369952561131315</v>
      </c>
      <c r="I216" s="5">
        <v>337396190954479</v>
      </c>
      <c r="J216" s="5">
        <v>346852160987239</v>
      </c>
      <c r="K216" s="5">
        <v>344394776365287</v>
      </c>
      <c r="L216" s="5">
        <v>296711334282418</v>
      </c>
      <c r="M216" s="5">
        <v>365437279075541</v>
      </c>
      <c r="N216" s="5">
        <v>411446647596056</v>
      </c>
      <c r="O216" s="5">
        <v>381293791852725</v>
      </c>
      <c r="P216" s="5">
        <v>370026292562761</v>
      </c>
      <c r="Q216" s="5">
        <v>361095667639379</v>
      </c>
      <c r="R216" s="5">
        <v>382300252975358</v>
      </c>
      <c r="S216" s="5">
        <v>334003630278429</v>
      </c>
      <c r="T216" s="5">
        <v>346974935999487</v>
      </c>
      <c r="U216" s="5">
        <v>317658869384415</v>
      </c>
      <c r="V216" s="5">
        <v>294797933282562</v>
      </c>
      <c r="W216" s="5">
        <v>30881850904537</v>
      </c>
      <c r="X216" s="5">
        <v>283354884476796</v>
      </c>
      <c r="Y216" s="5">
        <v>286288198307283</v>
      </c>
      <c r="Z216" s="5">
        <v>297986249318858</v>
      </c>
      <c r="AA216" s="5">
        <v>286002214669282</v>
      </c>
      <c r="AB216" s="5">
        <v>283774911776345</v>
      </c>
      <c r="AC216" s="5">
        <v>231737257098223</v>
      </c>
      <c r="AD216" s="5">
        <v>252351429074104</v>
      </c>
      <c r="AE216" s="5">
        <v>240565984300973</v>
      </c>
      <c r="AF216" s="5">
        <v>208951933962649</v>
      </c>
      <c r="AG216" s="5">
        <v>201488848800042</v>
      </c>
      <c r="AH216" s="5">
        <v>209607435035813</v>
      </c>
      <c r="AI216" s="5">
        <v>175894035153908</v>
      </c>
      <c r="AJ216" s="5">
        <v>180962111719576</v>
      </c>
      <c r="AK216" s="5">
        <v>197796528049667</v>
      </c>
      <c r="AL216" s="5">
        <v>191814545186998</v>
      </c>
      <c r="AM216" s="5">
        <v>172290592472544</v>
      </c>
      <c r="AN216" s="5">
        <v>245219278330354</v>
      </c>
      <c r="AO216" s="5">
        <v>274362857829676</v>
      </c>
      <c r="AP216" s="6">
        <v>432511371453407</v>
      </c>
      <c r="AQ216" s="6">
        <v>410123922207637</v>
      </c>
      <c r="AR216" s="6">
        <v>356536867257578</v>
      </c>
      <c r="AS216" s="6">
        <v>316750554639105</v>
      </c>
      <c r="AT216" s="6">
        <v>347847535067623</v>
      </c>
      <c r="AU216" s="6">
        <v>360188405065387</v>
      </c>
      <c r="AV216" s="6">
        <v>314828256940215</v>
      </c>
      <c r="AW216" s="6">
        <v>296623195006603</v>
      </c>
      <c r="AX216" s="6">
        <v>309190894438403</v>
      </c>
      <c r="AY216" s="6">
        <v>32146960339494</v>
      </c>
      <c r="AZ216" s="6">
        <v>339315329480882</v>
      </c>
      <c r="BA216" s="6">
        <v>370059235466976</v>
      </c>
      <c r="BB216" s="6">
        <v>343257531337882</v>
      </c>
      <c r="BC216" s="6">
        <v>399197226674995</v>
      </c>
      <c r="BD216" s="6">
        <v>389983731547746</v>
      </c>
      <c r="BE216" s="6">
        <v>401393199103467</v>
      </c>
      <c r="BF216" s="6">
        <v>395523549439904</v>
      </c>
      <c r="BG216" s="6">
        <v>369630932422445</v>
      </c>
      <c r="BH216" s="6">
        <v>351225391178591</v>
      </c>
      <c r="BI216" s="6">
        <v>343618276374484</v>
      </c>
      <c r="BJ216" s="6">
        <v>336435475542676</v>
      </c>
      <c r="BK216" s="6">
        <v>301875950870455</v>
      </c>
      <c r="BL216" s="6">
        <v>306513645110291</v>
      </c>
      <c r="BM216" s="6">
        <v>316227206753803</v>
      </c>
    </row>
    <row r="217" spans="1:65" x14ac:dyDescent="0.45">
      <c r="A217" s="1" t="s">
        <v>211</v>
      </c>
      <c r="B217" s="2">
        <v>4121346</v>
      </c>
      <c r="C217" s="3" t="s">
        <v>1004</v>
      </c>
      <c r="D217" s="3" t="s">
        <v>1005</v>
      </c>
      <c r="E217" s="3" t="s">
        <v>489</v>
      </c>
      <c r="F217" s="5">
        <v>134814396844978</v>
      </c>
      <c r="G217" s="5">
        <v>143135813150721</v>
      </c>
      <c r="H217" s="5">
        <v>138717170926671</v>
      </c>
      <c r="I217" s="5">
        <v>114713637011646</v>
      </c>
      <c r="J217" s="5">
        <v>12665793837836</v>
      </c>
      <c r="K217" s="5">
        <v>127117510392556</v>
      </c>
      <c r="L217" s="5">
        <v>113183181092853</v>
      </c>
      <c r="M217" s="5">
        <v>122854051583942</v>
      </c>
      <c r="N217" s="5">
        <v>124997296327872</v>
      </c>
      <c r="O217" s="5">
        <v>120069603173881</v>
      </c>
      <c r="P217" s="5">
        <v>115884426555451</v>
      </c>
      <c r="Q217" s="5">
        <v>125678322079718</v>
      </c>
      <c r="R217" s="5">
        <v>126217425423018</v>
      </c>
      <c r="S217" s="5">
        <v>123521894938061</v>
      </c>
      <c r="T217" s="5">
        <v>130155021031084</v>
      </c>
      <c r="U217" s="5">
        <v>12645020441454</v>
      </c>
      <c r="V217" s="5">
        <v>135645610132298</v>
      </c>
      <c r="W217" s="5">
        <v>136067318430547</v>
      </c>
      <c r="X217" s="5">
        <v>128492640698323</v>
      </c>
      <c r="Y217" s="5">
        <v>131591654033903</v>
      </c>
      <c r="Z217" s="5">
        <v>128779743591491</v>
      </c>
      <c r="AA217" s="5">
        <v>128628515969679</v>
      </c>
      <c r="AB217" s="5">
        <v>116317196096297</v>
      </c>
      <c r="AC217" s="5">
        <v>112933381489489</v>
      </c>
      <c r="AD217" s="5">
        <v>122010700132818</v>
      </c>
      <c r="AE217" s="5">
        <v>119721530306896</v>
      </c>
      <c r="AF217" s="5">
        <v>993191261630559</v>
      </c>
      <c r="AG217" s="5">
        <v>983772806149175</v>
      </c>
      <c r="AH217" s="5">
        <v>971847397808499</v>
      </c>
      <c r="AI217" s="5">
        <v>886088695012691</v>
      </c>
      <c r="AJ217" s="5">
        <v>901752802862598</v>
      </c>
      <c r="AK217" s="5">
        <v>920768673794959</v>
      </c>
      <c r="AL217" s="5">
        <v>917427137598556</v>
      </c>
      <c r="AM217" s="5">
        <v>861113750311542</v>
      </c>
      <c r="AN217" s="5">
        <v>105080808530747</v>
      </c>
      <c r="AO217" s="5">
        <v>111641886412496</v>
      </c>
      <c r="AP217" s="6">
        <v>138779455275621</v>
      </c>
      <c r="AQ217" s="6">
        <v>139568232392519</v>
      </c>
      <c r="AR217" s="6">
        <v>130912287573018</v>
      </c>
      <c r="AS217" s="6">
        <v>135822463176176</v>
      </c>
      <c r="AT217" s="6">
        <v>125027699714692</v>
      </c>
      <c r="AU217" s="6">
        <v>132881304049965</v>
      </c>
      <c r="AV217" s="6">
        <v>127090319518619</v>
      </c>
      <c r="AW217" s="6">
        <v>118753320650045</v>
      </c>
      <c r="AX217" s="6">
        <v>130005534251376</v>
      </c>
      <c r="AY217" s="6">
        <v>118735611593346</v>
      </c>
      <c r="AZ217" s="6">
        <v>132457694692198</v>
      </c>
      <c r="BA217" s="6">
        <v>12099080217587</v>
      </c>
      <c r="BB217" s="6">
        <v>110515046853424</v>
      </c>
      <c r="BC217" s="6">
        <v>13678747140197</v>
      </c>
      <c r="BD217" s="6">
        <v>134395495676787</v>
      </c>
      <c r="BE217" s="6">
        <v>141800849310553</v>
      </c>
      <c r="BF217" s="6">
        <v>154204306516337</v>
      </c>
      <c r="BG217" s="6">
        <v>145685916021484</v>
      </c>
      <c r="BH217" s="6">
        <v>139385934946313</v>
      </c>
      <c r="BI217" s="6">
        <v>140523021232762</v>
      </c>
      <c r="BJ217" s="6">
        <v>136054831729088</v>
      </c>
      <c r="BK217" s="6">
        <v>131811341479233</v>
      </c>
      <c r="BL217" s="6">
        <v>137844406723023</v>
      </c>
      <c r="BM217" s="6">
        <v>139439603864885</v>
      </c>
    </row>
    <row r="218" spans="1:65" x14ac:dyDescent="0.45">
      <c r="A218" s="1" t="s">
        <v>212</v>
      </c>
      <c r="B218" s="2">
        <v>4068867</v>
      </c>
      <c r="C218" s="3" t="s">
        <v>1006</v>
      </c>
      <c r="D218" s="3" t="s">
        <v>1007</v>
      </c>
      <c r="E218" s="3" t="s">
        <v>768</v>
      </c>
      <c r="F218" s="5">
        <v>232892193397402</v>
      </c>
      <c r="G218" s="5">
        <v>248934473801436</v>
      </c>
      <c r="H218" s="5">
        <v>256575696351755</v>
      </c>
      <c r="I218" s="5">
        <v>2531063966445</v>
      </c>
      <c r="J218" s="5">
        <v>272607400218521</v>
      </c>
      <c r="K218" s="5">
        <v>264143123493769</v>
      </c>
      <c r="L218" s="5">
        <v>247388172039027</v>
      </c>
      <c r="M218" s="5">
        <v>247239838919163</v>
      </c>
      <c r="N218" s="5">
        <v>270933958812383</v>
      </c>
      <c r="O218" s="5">
        <v>252858769728239</v>
      </c>
      <c r="P218" s="5">
        <v>230176728258056</v>
      </c>
      <c r="Q218" s="5">
        <v>22994774203678</v>
      </c>
      <c r="R218" s="5">
        <v>232863605179597</v>
      </c>
      <c r="S218" s="5">
        <v>199281568356187</v>
      </c>
      <c r="T218" s="5">
        <v>198566782247866</v>
      </c>
      <c r="U218" s="5">
        <v>191928403757532</v>
      </c>
      <c r="V218" s="5">
        <v>209140564809401</v>
      </c>
      <c r="W218" s="5">
        <v>21194228980256</v>
      </c>
      <c r="X218" s="5">
        <v>218306303406491</v>
      </c>
      <c r="Y218" s="5">
        <v>215125221233004</v>
      </c>
      <c r="Z218" s="5">
        <v>207449660599889</v>
      </c>
      <c r="AA218" s="5">
        <v>219886574033114</v>
      </c>
      <c r="AB218" s="5">
        <v>206922565499922</v>
      </c>
      <c r="AC218" s="5">
        <v>208426037686064</v>
      </c>
      <c r="AD218" s="5">
        <v>2057286445678</v>
      </c>
      <c r="AE218" s="5">
        <v>213012983679419</v>
      </c>
      <c r="AF218" s="5">
        <v>225453014501413</v>
      </c>
      <c r="AG218" s="5">
        <v>224664296485753</v>
      </c>
      <c r="AH218" s="5">
        <v>229834769593634</v>
      </c>
      <c r="AI218" s="5">
        <v>23170594568359</v>
      </c>
      <c r="AJ218" s="5">
        <v>231171111442594</v>
      </c>
      <c r="AK218" s="5">
        <v>23620517780896</v>
      </c>
      <c r="AL218" s="5">
        <v>23030577366286</v>
      </c>
      <c r="AM218" s="5">
        <v>22824509619912</v>
      </c>
      <c r="AN218" s="5">
        <v>202274226090518</v>
      </c>
      <c r="AO218" s="5">
        <v>227950359437104</v>
      </c>
      <c r="AP218" s="6">
        <v>914364978182298</v>
      </c>
      <c r="AQ218" s="6">
        <v>934228334720204</v>
      </c>
      <c r="AR218" s="6">
        <v>836774655778168</v>
      </c>
      <c r="AS218" s="6">
        <v>802851496331703</v>
      </c>
      <c r="AT218" s="6">
        <v>78545044574436</v>
      </c>
      <c r="AU218" s="6">
        <v>85235108292324</v>
      </c>
      <c r="AV218" s="6">
        <v>820663180699898</v>
      </c>
      <c r="AW218" s="6">
        <v>76461601271657</v>
      </c>
      <c r="AX218" s="6">
        <v>827524900677405</v>
      </c>
      <c r="AY218" s="6">
        <v>76904926787304</v>
      </c>
      <c r="AZ218" s="6">
        <v>763664134355003</v>
      </c>
      <c r="BA218" s="6">
        <v>77416885583082</v>
      </c>
      <c r="BB218" s="6">
        <v>713972298660817</v>
      </c>
      <c r="BC218" s="6">
        <v>81754732146432</v>
      </c>
      <c r="BD218" s="6">
        <v>836162078778456</v>
      </c>
      <c r="BE218" s="6">
        <v>954772036568539</v>
      </c>
      <c r="BF218" s="6">
        <v>912332363615571</v>
      </c>
      <c r="BG218" s="6">
        <v>886188368483005</v>
      </c>
      <c r="BH218" s="6">
        <v>826866908423308</v>
      </c>
      <c r="BI218" s="6">
        <v>843781681214602</v>
      </c>
      <c r="BJ218" s="6">
        <v>901728508013012</v>
      </c>
      <c r="BK218" s="6">
        <v>938365515298541</v>
      </c>
      <c r="BL218" s="6">
        <v>961040903803344</v>
      </c>
      <c r="BM218" s="6">
        <v>864301710835953</v>
      </c>
    </row>
    <row r="219" spans="1:65" x14ac:dyDescent="0.45">
      <c r="A219" s="1" t="s">
        <v>213</v>
      </c>
      <c r="B219" s="2">
        <v>4041118</v>
      </c>
      <c r="C219" s="3" t="s">
        <v>1008</v>
      </c>
      <c r="D219" s="3" t="s">
        <v>1009</v>
      </c>
      <c r="E219" s="3" t="s">
        <v>1010</v>
      </c>
      <c r="F219" s="5">
        <v>107382761892816</v>
      </c>
      <c r="G219" s="5">
        <v>131322842318018</v>
      </c>
      <c r="H219" s="5">
        <v>136496907358146</v>
      </c>
      <c r="I219" s="5">
        <v>115772742189453</v>
      </c>
      <c r="J219" s="5">
        <v>126134460178563</v>
      </c>
      <c r="K219" s="5">
        <v>124806691089463</v>
      </c>
      <c r="L219" s="5">
        <v>107212909541105</v>
      </c>
      <c r="M219" s="5">
        <v>133182127825659</v>
      </c>
      <c r="N219" s="5">
        <v>137945631256978</v>
      </c>
      <c r="O219" s="5">
        <v>124911179160251</v>
      </c>
      <c r="P219" s="5">
        <v>116188185671158</v>
      </c>
      <c r="Q219" s="5">
        <v>110540892913263</v>
      </c>
      <c r="R219" s="5">
        <v>109183333264916</v>
      </c>
      <c r="S219" s="5">
        <v>994582650583472</v>
      </c>
      <c r="T219" s="5">
        <v>103915870320961</v>
      </c>
      <c r="U219" s="5">
        <v>100595465240921</v>
      </c>
      <c r="V219" s="5">
        <v>100167852242483</v>
      </c>
      <c r="W219" s="5">
        <v>948202312232304</v>
      </c>
      <c r="X219" s="5">
        <v>101773173984318</v>
      </c>
      <c r="Y219" s="5">
        <v>994733032915656</v>
      </c>
      <c r="Z219" s="5">
        <v>1064847102044</v>
      </c>
      <c r="AA219" s="5">
        <v>101263545383538</v>
      </c>
      <c r="AB219" s="5">
        <v>967170123782762</v>
      </c>
      <c r="AC219" s="5">
        <v>787324390505817</v>
      </c>
      <c r="AD219" s="5">
        <v>843576961194082</v>
      </c>
      <c r="AE219" s="5">
        <v>827980412527413</v>
      </c>
      <c r="AF219" s="5">
        <v>63423530400647</v>
      </c>
      <c r="AG219" s="5">
        <v>648049717619491</v>
      </c>
      <c r="AH219" s="5">
        <v>662516852331516</v>
      </c>
      <c r="AI219" s="5">
        <v>642659390920747</v>
      </c>
      <c r="AJ219" s="5">
        <v>675914236501819</v>
      </c>
      <c r="AK219" s="5">
        <v>757128047582907</v>
      </c>
      <c r="AL219" s="5">
        <v>794298440820611</v>
      </c>
      <c r="AM219" s="5">
        <v>70915703227824</v>
      </c>
      <c r="AN219" s="5">
        <v>929410770748202</v>
      </c>
      <c r="AO219" s="5">
        <v>10570258518908</v>
      </c>
      <c r="AP219" s="6">
        <v>116576349671964</v>
      </c>
      <c r="AQ219" s="6">
        <v>112342571489644</v>
      </c>
      <c r="AR219" s="6">
        <v>106123261888269</v>
      </c>
      <c r="AS219" s="6">
        <v>113994005119121</v>
      </c>
      <c r="AT219" s="6">
        <v>113584418281774</v>
      </c>
      <c r="AU219" s="6">
        <v>114639708738169</v>
      </c>
      <c r="AV219" s="6">
        <v>114527178294666</v>
      </c>
      <c r="AW219" s="6">
        <v>103715830122316</v>
      </c>
      <c r="AX219" s="6">
        <v>105852973169979</v>
      </c>
      <c r="AY219" s="6">
        <v>102473711899515</v>
      </c>
      <c r="AZ219" s="6">
        <v>970640343991857</v>
      </c>
      <c r="BA219" s="6">
        <v>923215098424626</v>
      </c>
      <c r="BB219" s="6">
        <v>845920116967803</v>
      </c>
      <c r="BC219" s="6">
        <v>930885303027456</v>
      </c>
      <c r="BD219" s="6">
        <v>859497629483199</v>
      </c>
      <c r="BE219" s="6">
        <v>994336877738635</v>
      </c>
      <c r="BF219" s="6">
        <v>101210640913628</v>
      </c>
      <c r="BG219" s="6">
        <v>100630704000966</v>
      </c>
      <c r="BH219" s="6">
        <v>89742727477201</v>
      </c>
      <c r="BI219" s="6">
        <v>912531781005703</v>
      </c>
      <c r="BJ219" s="6">
        <v>849249771288554</v>
      </c>
      <c r="BK219" s="6">
        <v>887647440887188</v>
      </c>
      <c r="BL219" s="6">
        <v>85749496383096</v>
      </c>
      <c r="BM219" s="6">
        <v>881246170969034</v>
      </c>
    </row>
    <row r="220" spans="1:65" x14ac:dyDescent="0.45">
      <c r="A220" s="1" t="s">
        <v>214</v>
      </c>
      <c r="B220" s="2">
        <v>6661591</v>
      </c>
      <c r="C220" s="3" t="s">
        <v>1011</v>
      </c>
      <c r="D220" s="3" t="s">
        <v>1012</v>
      </c>
      <c r="E220" s="3" t="s">
        <v>628</v>
      </c>
      <c r="F220" s="5">
        <v>152560190125537</v>
      </c>
      <c r="G220" s="5">
        <v>151123211010462</v>
      </c>
      <c r="H220" s="5">
        <v>148736572462935</v>
      </c>
      <c r="I220" s="5">
        <v>131028139706055</v>
      </c>
      <c r="J220" s="5">
        <v>14613233052353</v>
      </c>
      <c r="K220" s="5">
        <v>152130139821284</v>
      </c>
      <c r="L220" s="5">
        <v>125729746215512</v>
      </c>
      <c r="M220" s="5">
        <v>139337643287063</v>
      </c>
      <c r="N220" s="5">
        <v>135211422843652</v>
      </c>
      <c r="O220" s="5">
        <v>135529082073447</v>
      </c>
      <c r="P220" s="5">
        <v>133994097314418</v>
      </c>
      <c r="Q220" s="5">
        <v>118583544635073</v>
      </c>
      <c r="R220" s="5">
        <v>119570277191559</v>
      </c>
      <c r="S220" s="5">
        <v>106620518348232</v>
      </c>
      <c r="T220" s="5">
        <v>110127112610286</v>
      </c>
      <c r="U220" s="5">
        <v>11546041247208</v>
      </c>
      <c r="V220" s="5">
        <v>11537137030455</v>
      </c>
      <c r="W220" s="5">
        <v>118810140108523</v>
      </c>
      <c r="X220" s="5">
        <v>124842436714539</v>
      </c>
      <c r="Y220" s="5">
        <v>126437836770629</v>
      </c>
      <c r="Z220" s="5">
        <v>115326842722108</v>
      </c>
      <c r="AA220" s="5">
        <v>118700974416049</v>
      </c>
      <c r="AB220" s="5">
        <v>100741327011643</v>
      </c>
      <c r="AC220" s="5">
        <v>878004749024668</v>
      </c>
      <c r="AD220" s="5">
        <v>101166081559526</v>
      </c>
      <c r="AE220" s="5">
        <v>851120352118046</v>
      </c>
      <c r="AF220" s="5">
        <v>645586471845307</v>
      </c>
      <c r="AG220" s="5">
        <v>621011075507926</v>
      </c>
      <c r="AH220" s="5">
        <v>639186313300836</v>
      </c>
      <c r="AI220" s="5">
        <v>544847281783154</v>
      </c>
      <c r="AJ220" s="5">
        <v>614221566075003</v>
      </c>
      <c r="AK220" s="5">
        <v>513095726151498</v>
      </c>
      <c r="AL220" s="5">
        <v>521025263679053</v>
      </c>
      <c r="AM220" s="5">
        <v>63707755038928</v>
      </c>
      <c r="AN220" s="5">
        <v>116337751264484</v>
      </c>
      <c r="AO220" s="5">
        <v>116935394832267</v>
      </c>
      <c r="AP220" s="6">
        <v>199609991367894</v>
      </c>
      <c r="AQ220" s="6">
        <v>195870784813086</v>
      </c>
      <c r="AR220" s="6">
        <v>219330999776954</v>
      </c>
      <c r="AS220" s="6">
        <v>214697462910692</v>
      </c>
      <c r="AT220" s="6">
        <v>226788474169538</v>
      </c>
      <c r="AU220" s="6">
        <v>217958902176291</v>
      </c>
      <c r="AV220" s="6">
        <v>208100924347453</v>
      </c>
      <c r="AW220" s="6">
        <v>192713241647994</v>
      </c>
      <c r="AX220" s="6">
        <v>1781646506934</v>
      </c>
      <c r="AY220" s="6">
        <v>171425266891164</v>
      </c>
      <c r="AZ220" s="6">
        <v>15937477401321</v>
      </c>
      <c r="BA220" s="6">
        <v>160184987632741</v>
      </c>
      <c r="BB220" s="6">
        <v>140103695701883</v>
      </c>
      <c r="BC220" s="6">
        <v>15518679220436</v>
      </c>
      <c r="BD220" s="6">
        <v>162278411131313</v>
      </c>
      <c r="BE220" s="6">
        <v>18606870872177</v>
      </c>
      <c r="BF220" s="6">
        <v>189509052580634</v>
      </c>
      <c r="BG220" s="6">
        <v>181798354950823</v>
      </c>
      <c r="BH220" s="6">
        <v>162257335959824</v>
      </c>
      <c r="BI220" s="6">
        <v>155121820788402</v>
      </c>
      <c r="BJ220" s="6">
        <v>140236426906423</v>
      </c>
      <c r="BK220" s="6">
        <v>135596477313043</v>
      </c>
      <c r="BL220" s="6">
        <v>133595285901878</v>
      </c>
      <c r="BM220" s="6">
        <v>131143326771261</v>
      </c>
    </row>
    <row r="221" spans="1:65" x14ac:dyDescent="0.45">
      <c r="A221" s="1" t="s">
        <v>215</v>
      </c>
      <c r="B221" s="2">
        <v>105223</v>
      </c>
      <c r="C221" s="3" t="s">
        <v>1013</v>
      </c>
      <c r="D221" s="3" t="s">
        <v>1014</v>
      </c>
      <c r="E221" s="3" t="s">
        <v>586</v>
      </c>
      <c r="F221" s="5">
        <v>246933639787932</v>
      </c>
      <c r="G221" s="5">
        <v>335726265039675</v>
      </c>
      <c r="H221" s="5">
        <v>321922755568022</v>
      </c>
      <c r="I221" s="5">
        <v>255643419319299</v>
      </c>
      <c r="J221" s="5">
        <v>29458036661328</v>
      </c>
      <c r="K221" s="5">
        <v>33828661685952</v>
      </c>
      <c r="L221" s="5">
        <v>32404432564416</v>
      </c>
      <c r="M221" s="5">
        <v>381347534630712</v>
      </c>
      <c r="N221" s="5">
        <v>366131065231206</v>
      </c>
      <c r="O221" s="5">
        <v>34421108121708</v>
      </c>
      <c r="P221" s="5">
        <v>32230444334764</v>
      </c>
      <c r="Q221" s="5">
        <v>355052271558001</v>
      </c>
      <c r="R221" s="5">
        <v>358632694306681</v>
      </c>
      <c r="S221" s="5">
        <v>36074315947195</v>
      </c>
      <c r="T221" s="5">
        <v>302298565461974</v>
      </c>
      <c r="U221" s="5">
        <v>272065970531255</v>
      </c>
      <c r="V221" s="5">
        <v>302665067861125</v>
      </c>
      <c r="W221" s="5">
        <v>292354475695802</v>
      </c>
      <c r="X221" s="5">
        <v>305866629989285</v>
      </c>
      <c r="Y221" s="5">
        <v>300397630052541</v>
      </c>
      <c r="Z221" s="5">
        <v>355163724121888</v>
      </c>
      <c r="AA221" s="5">
        <v>33882264285882</v>
      </c>
      <c r="AB221" s="5">
        <v>298481847740587</v>
      </c>
      <c r="AC221" s="5">
        <v>258588742657151</v>
      </c>
      <c r="AD221" s="5">
        <v>259246882756254</v>
      </c>
      <c r="AE221" s="5">
        <v>252020594695668</v>
      </c>
      <c r="AF221" s="5">
        <v>211676119675309</v>
      </c>
      <c r="AG221" s="5">
        <v>222120298727987</v>
      </c>
      <c r="AH221" s="5">
        <v>233849066422995</v>
      </c>
      <c r="AI221" s="5">
        <v>21249693639443</v>
      </c>
      <c r="AJ221" s="5">
        <v>221475978664062</v>
      </c>
      <c r="AK221" s="5">
        <v>194711425711132</v>
      </c>
      <c r="AL221" s="5">
        <v>202707538820692</v>
      </c>
      <c r="AM221" s="5">
        <v>225868416463144</v>
      </c>
      <c r="AN221" s="5">
        <v>274715604535929</v>
      </c>
      <c r="AO221" s="5">
        <v>279457253573098</v>
      </c>
      <c r="AP221" s="6">
        <v>514469251465141</v>
      </c>
      <c r="AQ221" s="6">
        <v>508534857519512</v>
      </c>
      <c r="AR221" s="6">
        <v>486072460422873</v>
      </c>
      <c r="AS221" s="6">
        <v>464246082956786</v>
      </c>
      <c r="AT221" s="6">
        <v>440747765727699</v>
      </c>
      <c r="AU221" s="6">
        <v>451444993895227</v>
      </c>
      <c r="AV221" s="6">
        <v>431755709777329</v>
      </c>
      <c r="AW221" s="6">
        <v>408101882641859</v>
      </c>
      <c r="AX221" s="6">
        <v>454089083157339</v>
      </c>
      <c r="AY221" s="6">
        <v>418080496099187</v>
      </c>
      <c r="AZ221" s="6">
        <v>415111727978602</v>
      </c>
      <c r="BA221" s="6">
        <v>397735855626003</v>
      </c>
      <c r="BB221" s="6">
        <v>367141820435096</v>
      </c>
      <c r="BC221" s="6">
        <v>407481960361594</v>
      </c>
      <c r="BD221" s="6">
        <v>377969951902488</v>
      </c>
      <c r="BE221" s="6">
        <v>407326379267264</v>
      </c>
      <c r="BF221" s="6">
        <v>401233471755222</v>
      </c>
      <c r="BG221" s="6">
        <v>414901163068462</v>
      </c>
      <c r="BH221" s="6">
        <v>402255659182837</v>
      </c>
      <c r="BI221" s="6">
        <v>417529977945553</v>
      </c>
      <c r="BJ221" s="6">
        <v>398989420942231</v>
      </c>
      <c r="BK221" s="6">
        <v>432147632791782</v>
      </c>
      <c r="BL221" s="6">
        <v>451589563769198</v>
      </c>
      <c r="BM221" s="6">
        <v>478313793262873</v>
      </c>
    </row>
    <row r="222" spans="1:65" x14ac:dyDescent="0.45">
      <c r="A222" s="1" t="s">
        <v>216</v>
      </c>
      <c r="B222" s="2">
        <v>4992018</v>
      </c>
      <c r="C222" s="3" t="s">
        <v>1015</v>
      </c>
      <c r="D222" s="3" t="s">
        <v>1016</v>
      </c>
      <c r="E222" s="3" t="s">
        <v>568</v>
      </c>
      <c r="F222" s="5">
        <v>11793267071753</v>
      </c>
      <c r="G222" s="5">
        <v>132310744773931</v>
      </c>
      <c r="H222" s="5">
        <v>128981811519814</v>
      </c>
      <c r="I222" s="5">
        <v>122071485792578</v>
      </c>
      <c r="J222" s="5">
        <v>109950978480894</v>
      </c>
      <c r="K222" s="5">
        <v>115260748923125</v>
      </c>
      <c r="L222" s="5">
        <v>916693222966314</v>
      </c>
      <c r="M222" s="5">
        <v>949635212743503</v>
      </c>
      <c r="N222" s="5">
        <v>994756804890552</v>
      </c>
      <c r="O222" s="5">
        <v>896564385130481</v>
      </c>
      <c r="P222" s="5">
        <v>863643961964388</v>
      </c>
      <c r="Q222" s="5">
        <v>90981804265681</v>
      </c>
      <c r="R222" s="5">
        <v>996436354189911</v>
      </c>
      <c r="S222" s="5">
        <v>944709173731032</v>
      </c>
      <c r="T222" s="5">
        <v>938126196876041</v>
      </c>
      <c r="U222" s="5">
        <v>847694258392271</v>
      </c>
      <c r="V222" s="5">
        <v>949572373667734</v>
      </c>
      <c r="W222" s="5">
        <v>918963709749774</v>
      </c>
      <c r="X222" s="5">
        <v>855920999423794</v>
      </c>
      <c r="Y222" s="5">
        <v>849616310247672</v>
      </c>
      <c r="Z222" s="5">
        <v>866985540558938</v>
      </c>
      <c r="AA222" s="5">
        <v>864888914498136</v>
      </c>
      <c r="AB222" s="5">
        <v>79660212514709</v>
      </c>
      <c r="AC222" s="5">
        <v>695220836385504</v>
      </c>
      <c r="AD222" s="5">
        <v>69518040309861</v>
      </c>
      <c r="AE222" s="5">
        <v>73328980920092</v>
      </c>
      <c r="AF222" s="5">
        <v>677208097239331</v>
      </c>
      <c r="AG222" s="5">
        <v>631936829783248</v>
      </c>
      <c r="AH222" s="5">
        <v>65738413605886</v>
      </c>
      <c r="AI222" s="5">
        <v>618689956147197</v>
      </c>
      <c r="AJ222" s="5">
        <v>603772288992341</v>
      </c>
      <c r="AK222" s="5">
        <v>596844817331567</v>
      </c>
      <c r="AL222" s="5">
        <v>618509003200404</v>
      </c>
      <c r="AM222" s="5">
        <v>56778439674866</v>
      </c>
      <c r="AN222" s="5">
        <v>659499601337892</v>
      </c>
      <c r="AO222" s="5">
        <v>7026263838176</v>
      </c>
      <c r="AP222" s="6">
        <v>167602466533911</v>
      </c>
      <c r="AQ222" s="6">
        <v>184077696908406</v>
      </c>
      <c r="AR222" s="6">
        <v>162161057114473</v>
      </c>
      <c r="AS222" s="6">
        <v>146409474529915</v>
      </c>
      <c r="AT222" s="6">
        <v>15998966540882</v>
      </c>
      <c r="AU222" s="6">
        <v>1640971713401</v>
      </c>
      <c r="AV222" s="6">
        <v>160105927893276</v>
      </c>
      <c r="AW222" s="6">
        <v>151262750180702</v>
      </c>
      <c r="AX222" s="6">
        <v>14698475902656</v>
      </c>
      <c r="AY222" s="6">
        <v>164201427428376</v>
      </c>
      <c r="AZ222" s="6">
        <v>16207431581557</v>
      </c>
      <c r="BA222" s="6">
        <v>149721321491104</v>
      </c>
      <c r="BB222" s="6">
        <v>118192594126949</v>
      </c>
      <c r="BC222" s="6">
        <v>120759260431488</v>
      </c>
      <c r="BD222" s="6">
        <v>121871970394936</v>
      </c>
      <c r="BE222" s="6">
        <v>12639250547275</v>
      </c>
      <c r="BF222" s="6">
        <v>135355427586908</v>
      </c>
      <c r="BG222" s="6">
        <v>120868200035451</v>
      </c>
      <c r="BH222" s="6">
        <v>121724775636891</v>
      </c>
      <c r="BI222" s="6">
        <v>124118922819452</v>
      </c>
      <c r="BJ222" s="6">
        <v>108650016667292</v>
      </c>
      <c r="BK222" s="6">
        <v>143523204304515</v>
      </c>
      <c r="BL222" s="6">
        <v>147627161158604</v>
      </c>
      <c r="BM222" s="6">
        <v>153179596823435</v>
      </c>
    </row>
    <row r="223" spans="1:65" x14ac:dyDescent="0.45">
      <c r="A223" s="1" t="s">
        <v>217</v>
      </c>
      <c r="B223" s="2">
        <v>111564</v>
      </c>
      <c r="C223" s="3" t="s">
        <v>1017</v>
      </c>
      <c r="D223" s="3" t="s">
        <v>1018</v>
      </c>
      <c r="E223" s="3" t="s">
        <v>716</v>
      </c>
      <c r="F223" s="5">
        <v>606739851712662</v>
      </c>
      <c r="G223" s="5">
        <v>675081041676935</v>
      </c>
      <c r="H223" s="5">
        <v>714251738717522</v>
      </c>
      <c r="I223" s="5">
        <v>626183599895259</v>
      </c>
      <c r="J223" s="5">
        <v>605381462340207</v>
      </c>
      <c r="K223" s="5">
        <v>598033043402544</v>
      </c>
      <c r="L223" s="5">
        <v>566381496004823</v>
      </c>
      <c r="M223" s="5">
        <v>535557610369078</v>
      </c>
      <c r="N223" s="5">
        <v>533603541559916</v>
      </c>
      <c r="O223" s="5">
        <v>496074503778024</v>
      </c>
      <c r="P223" s="5">
        <v>48977058951094</v>
      </c>
      <c r="Q223" s="5">
        <v>45041500389384</v>
      </c>
      <c r="R223" s="5">
        <v>524255509351125</v>
      </c>
      <c r="S223" s="5">
        <v>478618913189212</v>
      </c>
      <c r="T223" s="5">
        <v>51471356810142</v>
      </c>
      <c r="U223" s="5">
        <v>431465486482037</v>
      </c>
      <c r="V223" s="5">
        <v>441377313365871</v>
      </c>
      <c r="W223" s="5">
        <v>461331718059067</v>
      </c>
      <c r="X223" s="5">
        <v>481727030902225</v>
      </c>
      <c r="Y223" s="5">
        <v>463333188596269</v>
      </c>
      <c r="Z223" s="5">
        <v>477518533848291</v>
      </c>
      <c r="AA223" s="5">
        <v>46083362936013</v>
      </c>
      <c r="AB223" s="5">
        <v>404343895065185</v>
      </c>
      <c r="AC223" s="5">
        <v>417677583664521</v>
      </c>
      <c r="AD223" s="5">
        <v>44386756905697</v>
      </c>
      <c r="AE223" s="5">
        <v>443496164685469</v>
      </c>
      <c r="AF223" s="5">
        <v>453263657732031</v>
      </c>
      <c r="AG223" s="5">
        <v>466289919327058</v>
      </c>
      <c r="AH223" s="5">
        <v>45943846219833</v>
      </c>
      <c r="AI223" s="5">
        <v>43857774934831</v>
      </c>
      <c r="AJ223" s="5">
        <v>455522158321708</v>
      </c>
      <c r="AK223" s="5">
        <v>488342348002476</v>
      </c>
      <c r="AL223" s="5">
        <v>461427819288667</v>
      </c>
      <c r="AM223" s="5">
        <v>3775547355307</v>
      </c>
      <c r="AN223" s="5">
        <v>384013802510009</v>
      </c>
      <c r="AO223" s="5">
        <v>401632939004616</v>
      </c>
      <c r="AP223" s="6">
        <v>668853622002639</v>
      </c>
      <c r="AQ223" s="6">
        <v>629049753366637</v>
      </c>
      <c r="AR223" s="6">
        <v>584322766692588</v>
      </c>
      <c r="AS223" s="6">
        <v>529531542694682</v>
      </c>
      <c r="AT223" s="6">
        <v>532207227469886</v>
      </c>
      <c r="AU223" s="6">
        <v>604096710595276</v>
      </c>
      <c r="AV223" s="6">
        <v>614145792685672</v>
      </c>
      <c r="AW223" s="6">
        <v>615519388475884</v>
      </c>
      <c r="AX223" s="6">
        <v>608397381053437</v>
      </c>
      <c r="AY223" s="6">
        <v>496587322160028</v>
      </c>
      <c r="AZ223" s="6">
        <v>468910413494388</v>
      </c>
      <c r="BA223" s="6">
        <v>428073517812267</v>
      </c>
      <c r="BB223" s="6">
        <v>355010720843911</v>
      </c>
      <c r="BC223" s="6">
        <v>43447944206304</v>
      </c>
      <c r="BD223" s="6">
        <v>475192212245487</v>
      </c>
      <c r="BE223" s="6">
        <v>48569756251256</v>
      </c>
      <c r="BF223" s="6">
        <v>479630424437634</v>
      </c>
      <c r="BG223" s="6">
        <v>484310910041903</v>
      </c>
      <c r="BH223" s="6">
        <v>499028568351949</v>
      </c>
      <c r="BI223" s="6">
        <v>558508055943991</v>
      </c>
      <c r="BJ223" s="6">
        <v>51895385892712</v>
      </c>
      <c r="BK223" s="6">
        <v>492052681313565</v>
      </c>
      <c r="BL223" s="6">
        <v>514664491983642</v>
      </c>
      <c r="BM223" s="6">
        <v>544887887544018</v>
      </c>
    </row>
    <row r="224" spans="1:65" x14ac:dyDescent="0.45">
      <c r="A224" s="1" t="s">
        <v>218</v>
      </c>
      <c r="B224" s="2">
        <v>100307</v>
      </c>
      <c r="C224" s="3" t="s">
        <v>1019</v>
      </c>
      <c r="D224" s="3" t="s">
        <v>1020</v>
      </c>
      <c r="E224" s="3" t="s">
        <v>637</v>
      </c>
      <c r="F224" s="5">
        <v>190345268378893</v>
      </c>
      <c r="G224" s="5">
        <v>216568204214978</v>
      </c>
      <c r="H224" s="5">
        <v>221481839685972</v>
      </c>
      <c r="I224" s="5">
        <v>193844822587076</v>
      </c>
      <c r="J224" s="5">
        <v>191881938397118</v>
      </c>
      <c r="K224" s="5">
        <v>187910942802575</v>
      </c>
      <c r="L224" s="5">
        <v>165618751799568</v>
      </c>
      <c r="M224" s="5">
        <v>186193912311961</v>
      </c>
      <c r="N224" s="5">
        <v>179580717661151</v>
      </c>
      <c r="O224" s="5">
        <v>189323622730345</v>
      </c>
      <c r="P224" s="5">
        <v>19875184474521</v>
      </c>
      <c r="Q224" s="5">
        <v>193312601400937</v>
      </c>
      <c r="R224" s="5">
        <v>196122874617087</v>
      </c>
      <c r="S224" s="5">
        <v>19044178234474</v>
      </c>
      <c r="T224" s="5">
        <v>196891610912481</v>
      </c>
      <c r="U224" s="5">
        <v>196956341309823</v>
      </c>
      <c r="V224" s="5">
        <v>194270896788008</v>
      </c>
      <c r="W224" s="5">
        <v>175259097744614</v>
      </c>
      <c r="X224" s="5">
        <v>177768016311345</v>
      </c>
      <c r="Y224" s="5">
        <v>13248055033879</v>
      </c>
      <c r="Z224" s="5">
        <v>129654292897133</v>
      </c>
      <c r="AA224" s="5">
        <v>136254616462498</v>
      </c>
      <c r="AB224" s="5">
        <v>128965165737377</v>
      </c>
      <c r="AC224" s="5">
        <v>110821096613099</v>
      </c>
      <c r="AD224" s="5">
        <v>1050375736744</v>
      </c>
      <c r="AE224" s="5">
        <v>102823000404543</v>
      </c>
      <c r="AF224" s="5">
        <v>911364210901984</v>
      </c>
      <c r="AG224" s="5">
        <v>794434551089528</v>
      </c>
      <c r="AH224" s="5">
        <v>80077167767491</v>
      </c>
      <c r="AI224" s="5">
        <v>797156769802677</v>
      </c>
      <c r="AJ224" s="5">
        <v>814265098189709</v>
      </c>
      <c r="AK224" s="5">
        <v>811025077066617</v>
      </c>
      <c r="AL224" s="5">
        <v>85663740598627</v>
      </c>
      <c r="AM224" s="5">
        <v>76427586308983</v>
      </c>
      <c r="AN224" s="5">
        <v>113712620389584</v>
      </c>
      <c r="AO224" s="5">
        <v>124849854201675</v>
      </c>
      <c r="AP224" s="6">
        <v>943127060559712</v>
      </c>
      <c r="AQ224" s="6">
        <v>104194883381071</v>
      </c>
      <c r="AR224" s="6">
        <v>800863662123496</v>
      </c>
      <c r="AS224" s="6">
        <v>929198917675792</v>
      </c>
      <c r="AT224" s="6">
        <v>844836261497197</v>
      </c>
      <c r="AU224" s="6">
        <v>659182211495478</v>
      </c>
      <c r="AV224" s="6">
        <v>626059790669685</v>
      </c>
      <c r="AW224" s="6">
        <v>587757027728638</v>
      </c>
      <c r="AX224" s="6">
        <v>459242833710937</v>
      </c>
      <c r="AY224" s="6">
        <v>502242394493367</v>
      </c>
      <c r="AZ224" s="6">
        <v>48882863132724</v>
      </c>
      <c r="BA224" s="6">
        <v>418732829743428</v>
      </c>
      <c r="BB224" s="6">
        <v>409275850862947</v>
      </c>
      <c r="BC224" s="6">
        <v>437921744813414</v>
      </c>
      <c r="BD224" s="6">
        <v>459784569959742</v>
      </c>
      <c r="BE224" s="6">
        <v>538000625579898</v>
      </c>
      <c r="BF224" s="6">
        <v>529961928712826</v>
      </c>
      <c r="BG224" s="6">
        <v>41743953172845</v>
      </c>
      <c r="BH224" s="6">
        <v>431498553207825</v>
      </c>
      <c r="BI224" s="6">
        <v>472562192490142</v>
      </c>
      <c r="BJ224" s="6">
        <v>41798244374508</v>
      </c>
      <c r="BK224" s="6">
        <v>411587762239034</v>
      </c>
      <c r="BL224" s="6">
        <v>359097338956356</v>
      </c>
      <c r="BM224" s="6">
        <v>357985429831405</v>
      </c>
    </row>
    <row r="225" spans="1:65" x14ac:dyDescent="0.45">
      <c r="A225" s="1" t="s">
        <v>219</v>
      </c>
      <c r="B225" s="2">
        <v>4436418</v>
      </c>
      <c r="C225" s="3" t="s">
        <v>1021</v>
      </c>
      <c r="D225" s="3" t="s">
        <v>1022</v>
      </c>
      <c r="E225" s="3" t="s">
        <v>628</v>
      </c>
      <c r="F225" s="5">
        <v>861306954836794</v>
      </c>
      <c r="G225" s="5">
        <v>897556667698003</v>
      </c>
      <c r="H225" s="5">
        <v>103854106520708</v>
      </c>
      <c r="I225" s="5">
        <v>90236243427465</v>
      </c>
      <c r="J225" s="5">
        <v>913305935257773</v>
      </c>
      <c r="K225" s="5">
        <v>851363062202952</v>
      </c>
      <c r="L225" s="5">
        <v>834449834225334</v>
      </c>
      <c r="M225" s="5">
        <v>785604887210637</v>
      </c>
      <c r="N225" s="5">
        <v>8088284662062</v>
      </c>
      <c r="O225" s="5">
        <v>7193464424496</v>
      </c>
      <c r="P225" s="5">
        <v>72787298042004</v>
      </c>
      <c r="Q225" s="5">
        <v>669548112749568</v>
      </c>
      <c r="R225" s="5">
        <v>657803518100104</v>
      </c>
      <c r="S225" s="5">
        <v>630908126421826</v>
      </c>
      <c r="T225" s="5">
        <v>703750065541653</v>
      </c>
      <c r="U225" s="5">
        <v>668632042573858</v>
      </c>
      <c r="V225" s="5">
        <v>694324712282597</v>
      </c>
      <c r="W225" s="5">
        <v>69571608992406</v>
      </c>
      <c r="X225" s="5">
        <v>7151159633427</v>
      </c>
      <c r="Y225" s="5">
        <v>71372293868637</v>
      </c>
      <c r="Z225" s="5">
        <v>71130107122596</v>
      </c>
      <c r="AA225" s="5">
        <v>7067978875395</v>
      </c>
      <c r="AB225" s="5">
        <v>58616382144474</v>
      </c>
      <c r="AC225" s="5">
        <v>524818561739257</v>
      </c>
      <c r="AD225" s="5">
        <v>56433508898532</v>
      </c>
      <c r="AE225" s="5">
        <v>542726498985731</v>
      </c>
      <c r="AF225" s="5">
        <v>512438688239455</v>
      </c>
      <c r="AG225" s="5">
        <v>48534989072558</v>
      </c>
      <c r="AH225" s="5">
        <v>513223798711792</v>
      </c>
      <c r="AI225" s="5">
        <v>594312029080188</v>
      </c>
      <c r="AJ225" s="5">
        <v>627560619289313</v>
      </c>
      <c r="AK225" s="5">
        <v>727731320993586</v>
      </c>
      <c r="AL225" s="5">
        <v>712537063976252</v>
      </c>
      <c r="AM225" s="5">
        <v>67524710074458</v>
      </c>
      <c r="AN225" s="5">
        <v>761757012337885</v>
      </c>
      <c r="AO225" s="5">
        <v>9628843845654</v>
      </c>
      <c r="AP225" s="6">
        <v>23199565725</v>
      </c>
      <c r="AQ225" s="6">
        <v>229184883</v>
      </c>
      <c r="AR225" s="6">
        <v>22060182405</v>
      </c>
      <c r="AS225" s="6">
        <v>20935366209</v>
      </c>
      <c r="AT225" s="6">
        <v>19095591196</v>
      </c>
      <c r="AU225" s="6">
        <v>20120694525</v>
      </c>
      <c r="AV225" s="6">
        <v>188339134412</v>
      </c>
      <c r="AW225" s="6">
        <v>176878587468</v>
      </c>
      <c r="AX225" s="6">
        <v>2039416764</v>
      </c>
      <c r="AY225" s="6">
        <v>2151666099</v>
      </c>
      <c r="AZ225" s="6">
        <v>209129279472</v>
      </c>
      <c r="BA225" s="6">
        <v>18774360864</v>
      </c>
      <c r="BB225" s="6">
        <v>187072253368</v>
      </c>
      <c r="BC225" s="6">
        <v>198764901888</v>
      </c>
      <c r="BD225" s="6">
        <v>18903394272</v>
      </c>
      <c r="BE225" s="6">
        <v>187679241333</v>
      </c>
      <c r="BF225" s="6">
        <v>192382193895</v>
      </c>
      <c r="BG225" s="6">
        <v>18951878595</v>
      </c>
      <c r="BH225" s="6">
        <v>19854601506</v>
      </c>
      <c r="BI225" s="6">
        <v>2206278864</v>
      </c>
      <c r="BJ225" s="6">
        <v>19922284744</v>
      </c>
      <c r="BK225" s="6">
        <v>197696596608</v>
      </c>
      <c r="BL225" s="6">
        <v>18844020468</v>
      </c>
      <c r="BM225" s="6">
        <v>18111481128</v>
      </c>
    </row>
    <row r="226" spans="1:65" x14ac:dyDescent="0.45">
      <c r="A226" s="1" t="s">
        <v>220</v>
      </c>
      <c r="B226" s="2">
        <v>4992897</v>
      </c>
      <c r="C226" s="3" t="s">
        <v>1023</v>
      </c>
      <c r="D226" s="3" t="s">
        <v>1024</v>
      </c>
      <c r="E226" s="3" t="s">
        <v>847</v>
      </c>
      <c r="F226" s="5">
        <v>161135978310745</v>
      </c>
      <c r="G226" s="5">
        <v>173690328733648</v>
      </c>
      <c r="H226" s="5">
        <v>169563323359722</v>
      </c>
      <c r="I226" s="5">
        <v>153824588925032</v>
      </c>
      <c r="J226" s="5">
        <v>150786227120274</v>
      </c>
      <c r="K226" s="5">
        <v>155551935202095</v>
      </c>
      <c r="L226" s="5">
        <v>132057658088756</v>
      </c>
      <c r="M226" s="5">
        <v>135703264748343</v>
      </c>
      <c r="N226" s="5">
        <v>137080024586203</v>
      </c>
      <c r="O226" s="5">
        <v>131353254858982</v>
      </c>
      <c r="P226" s="5">
        <v>130078717413755</v>
      </c>
      <c r="Q226" s="5">
        <v>146242651324838</v>
      </c>
      <c r="R226" s="5">
        <v>157990539165631</v>
      </c>
      <c r="S226" s="5">
        <v>151497504235308</v>
      </c>
      <c r="T226" s="5">
        <v>146344308474913</v>
      </c>
      <c r="U226" s="5">
        <v>135699579522021</v>
      </c>
      <c r="V226" s="5">
        <v>14422378873728</v>
      </c>
      <c r="W226" s="5">
        <v>145232185191154</v>
      </c>
      <c r="X226" s="5">
        <v>140920531371554</v>
      </c>
      <c r="Y226" s="5">
        <v>13872032341591</v>
      </c>
      <c r="Z226" s="5">
        <v>141518328793387</v>
      </c>
      <c r="AA226" s="5">
        <v>135342242660117</v>
      </c>
      <c r="AB226" s="5">
        <v>122416220754447</v>
      </c>
      <c r="AC226" s="5">
        <v>116120046445344</v>
      </c>
      <c r="AD226" s="5">
        <v>12328384101264</v>
      </c>
      <c r="AE226" s="5">
        <v>122347061426713</v>
      </c>
      <c r="AF226" s="5">
        <v>110690682745357</v>
      </c>
      <c r="AG226" s="5">
        <v>11729813971106</v>
      </c>
      <c r="AH226" s="5">
        <v>11384130259032</v>
      </c>
      <c r="AI226" s="5">
        <v>105202874686219</v>
      </c>
      <c r="AJ226" s="5">
        <v>105876082276863</v>
      </c>
      <c r="AK226" s="5">
        <v>10807674918609</v>
      </c>
      <c r="AL226" s="5">
        <v>105875206977218</v>
      </c>
      <c r="AM226" s="5">
        <v>95817555584842</v>
      </c>
      <c r="AN226" s="5">
        <v>10255447046796</v>
      </c>
      <c r="AO226" s="5">
        <v>112410931055709</v>
      </c>
      <c r="AP226" s="6">
        <v>318838892029787</v>
      </c>
      <c r="AQ226" s="6">
        <v>337280979741221</v>
      </c>
      <c r="AR226" s="6">
        <v>327524631410502</v>
      </c>
      <c r="AS226" s="6">
        <v>378536227658102</v>
      </c>
      <c r="AT226" s="6">
        <v>329360402069664</v>
      </c>
      <c r="AU226" s="6">
        <v>345897909476427</v>
      </c>
      <c r="AV226" s="6">
        <v>357717830978872</v>
      </c>
      <c r="AW226" s="6">
        <v>342259745373476</v>
      </c>
      <c r="AX226" s="6">
        <v>36355818464784</v>
      </c>
      <c r="AY226" s="6">
        <v>347155213678416</v>
      </c>
      <c r="AZ226" s="6">
        <v>364221049063108</v>
      </c>
      <c r="BA226" s="6">
        <v>3304231681968</v>
      </c>
      <c r="BB226" s="6">
        <v>35845039619774</v>
      </c>
      <c r="BC226" s="6">
        <v>38369676229248</v>
      </c>
      <c r="BD226" s="6">
        <v>327771668292075</v>
      </c>
      <c r="BE226" s="6">
        <v>357441904402065</v>
      </c>
      <c r="BF226" s="6">
        <v>4020835368438</v>
      </c>
      <c r="BG226" s="6">
        <v>37349468210152</v>
      </c>
      <c r="BH226" s="6">
        <v>394617943904496</v>
      </c>
      <c r="BI226" s="6">
        <v>44621020289396</v>
      </c>
      <c r="BJ226" s="6">
        <v>43923656908362</v>
      </c>
      <c r="BK226" s="6">
        <v>390826887383064</v>
      </c>
      <c r="BL226" s="6">
        <v>40624730590626</v>
      </c>
      <c r="BM226" s="6">
        <v>36767259517058</v>
      </c>
    </row>
    <row r="227" spans="1:65" x14ac:dyDescent="0.45">
      <c r="A227" s="1" t="s">
        <v>221</v>
      </c>
      <c r="B227" s="2">
        <v>4811348</v>
      </c>
      <c r="C227" s="3" t="s">
        <v>1025</v>
      </c>
      <c r="D227" s="3" t="s">
        <v>1026</v>
      </c>
      <c r="E227" s="3" t="s">
        <v>495</v>
      </c>
      <c r="F227" s="5">
        <v>316135656062126</v>
      </c>
      <c r="G227" s="5">
        <v>34200598976019</v>
      </c>
      <c r="H227" s="5">
        <v>302830676409427</v>
      </c>
      <c r="I227" s="5">
        <v>276611134193622</v>
      </c>
      <c r="J227" s="5">
        <v>287351742962821</v>
      </c>
      <c r="K227" s="5">
        <v>328767407264688</v>
      </c>
      <c r="L227" s="5">
        <v>281851254436641</v>
      </c>
      <c r="M227" s="5">
        <v>306650764227715</v>
      </c>
      <c r="N227" s="5">
        <v>344016830323387</v>
      </c>
      <c r="O227" s="5">
        <v>41489591856978</v>
      </c>
      <c r="P227" s="5">
        <v>399389253559774</v>
      </c>
      <c r="Q227" s="5">
        <v>384045038637235</v>
      </c>
      <c r="R227" s="5">
        <v>490941319894518</v>
      </c>
      <c r="S227" s="5">
        <v>45744430544932</v>
      </c>
      <c r="T227" s="5">
        <v>490103618649767</v>
      </c>
      <c r="U227" s="5">
        <v>456496454371982</v>
      </c>
      <c r="V227" s="5">
        <v>485621478248279</v>
      </c>
      <c r="W227" s="5">
        <v>487806014597167</v>
      </c>
      <c r="X227" s="5">
        <v>454246780982226</v>
      </c>
      <c r="Y227" s="5">
        <v>390525063521328</v>
      </c>
      <c r="Z227" s="5">
        <v>390793016238309</v>
      </c>
      <c r="AA227" s="5">
        <v>356134595944896</v>
      </c>
      <c r="AB227" s="5">
        <v>367264234537704</v>
      </c>
      <c r="AC227" s="5">
        <v>336368684211855</v>
      </c>
      <c r="AD227" s="5">
        <v>348572660176214</v>
      </c>
      <c r="AE227" s="5">
        <v>329003364296896</v>
      </c>
      <c r="AF227" s="5">
        <v>310950559770295</v>
      </c>
      <c r="AG227" s="5">
        <v>284739648146703</v>
      </c>
      <c r="AH227" s="5">
        <v>278232296826441</v>
      </c>
      <c r="AI227" s="5">
        <v>285559993412147</v>
      </c>
      <c r="AJ227" s="5">
        <v>249176493934225</v>
      </c>
      <c r="AK227" s="5">
        <v>235975688705156</v>
      </c>
      <c r="AL227" s="5">
        <v>216261815382254</v>
      </c>
      <c r="AM227" s="5">
        <v>187868480910656</v>
      </c>
      <c r="AN227" s="5">
        <v>197474928657024</v>
      </c>
      <c r="AO227" s="5">
        <v>209696372236234</v>
      </c>
      <c r="AP227" s="6">
        <v>459241058607819</v>
      </c>
      <c r="AQ227" s="6">
        <v>475931993460096</v>
      </c>
      <c r="AR227" s="6">
        <v>471175273567232</v>
      </c>
      <c r="AS227" s="6">
        <v>474227544269548</v>
      </c>
      <c r="AT227" s="6">
        <v>476307798235961</v>
      </c>
      <c r="AU227" s="6">
        <v>445127505047254</v>
      </c>
      <c r="AV227" s="6">
        <v>425853820666652</v>
      </c>
      <c r="AW227" s="6">
        <v>415853781742245</v>
      </c>
      <c r="AX227" s="6">
        <v>410742439241715</v>
      </c>
      <c r="AY227" s="6">
        <v>383790634273015</v>
      </c>
      <c r="AZ227" s="6">
        <v>385131380853215</v>
      </c>
      <c r="BA227" s="6">
        <v>381686638758149</v>
      </c>
      <c r="BB227" s="6">
        <v>374747636647462</v>
      </c>
      <c r="BC227" s="6">
        <v>411097812610314</v>
      </c>
      <c r="BD227" s="6">
        <v>38768640831707</v>
      </c>
      <c r="BE227" s="6">
        <v>369624711259681</v>
      </c>
      <c r="BF227" s="6">
        <v>376588077345226</v>
      </c>
      <c r="BG227" s="6">
        <v>365817811840599</v>
      </c>
      <c r="BH227" s="6">
        <v>365143648323679</v>
      </c>
      <c r="BI227" s="6">
        <v>352184278163805</v>
      </c>
      <c r="BJ227" s="6">
        <v>348651720800614</v>
      </c>
      <c r="BK227" s="6">
        <v>34262056156338</v>
      </c>
      <c r="BL227" s="6">
        <v>348517816556036</v>
      </c>
      <c r="BM227" s="6">
        <v>347271397667318</v>
      </c>
    </row>
    <row r="228" spans="1:65" x14ac:dyDescent="0.45">
      <c r="A228" s="1" t="s">
        <v>222</v>
      </c>
      <c r="B228" s="2">
        <v>4992234</v>
      </c>
      <c r="C228" s="3" t="s">
        <v>1027</v>
      </c>
      <c r="D228" s="3" t="s">
        <v>1028</v>
      </c>
      <c r="E228" s="3" t="s">
        <v>847</v>
      </c>
      <c r="F228" s="5">
        <v>633217751511151</v>
      </c>
      <c r="G228" s="5">
        <v>677584523565068</v>
      </c>
      <c r="H228" s="5">
        <v>663347141427089</v>
      </c>
      <c r="I228" s="5">
        <v>570406383331208</v>
      </c>
      <c r="J228" s="5">
        <v>598953000217623</v>
      </c>
      <c r="K228" s="5">
        <v>634371653674591</v>
      </c>
      <c r="L228" s="5">
        <v>542970760461588</v>
      </c>
      <c r="M228" s="5">
        <v>604018867376755</v>
      </c>
      <c r="N228" s="5">
        <v>585291283671346</v>
      </c>
      <c r="O228" s="5">
        <v>589873163041453</v>
      </c>
      <c r="P228" s="5">
        <v>60285615752093</v>
      </c>
      <c r="Q228" s="5">
        <v>655520358226176</v>
      </c>
      <c r="R228" s="5">
        <v>68115645344349</v>
      </c>
      <c r="S228" s="5">
        <v>64647966425923</v>
      </c>
      <c r="T228" s="5">
        <v>618539558968126</v>
      </c>
      <c r="U228" s="5">
        <v>561525765282043</v>
      </c>
      <c r="V228" s="5">
        <v>621365328583635</v>
      </c>
      <c r="W228" s="5">
        <v>603597600610369</v>
      </c>
      <c r="X228" s="5">
        <v>595598483234969</v>
      </c>
      <c r="Y228" s="5">
        <v>600679697050066</v>
      </c>
      <c r="Z228" s="5">
        <v>606317319912733</v>
      </c>
      <c r="AA228" s="5">
        <v>597309158514557</v>
      </c>
      <c r="AB228" s="5">
        <v>529148246395055</v>
      </c>
      <c r="AC228" s="5">
        <v>506401392284017</v>
      </c>
      <c r="AD228" s="5">
        <v>527550332893659</v>
      </c>
      <c r="AE228" s="5">
        <v>559034929271198</v>
      </c>
      <c r="AF228" s="5">
        <v>532021903246479</v>
      </c>
      <c r="AG228" s="5">
        <v>520207535805394</v>
      </c>
      <c r="AH228" s="5">
        <v>522461586911182</v>
      </c>
      <c r="AI228" s="5">
        <v>494029419968945</v>
      </c>
      <c r="AJ228" s="5">
        <v>490869034737923</v>
      </c>
      <c r="AK228" s="5">
        <v>490098350085396</v>
      </c>
      <c r="AL228" s="5">
        <v>471644454556275</v>
      </c>
      <c r="AM228" s="5">
        <v>410642834850248</v>
      </c>
      <c r="AN228" s="5">
        <v>486466786031339</v>
      </c>
      <c r="AO228" s="5">
        <v>507281540876282</v>
      </c>
      <c r="AP228" s="6">
        <v>10578323338617</v>
      </c>
      <c r="AQ228" s="6">
        <v>108071522184516</v>
      </c>
      <c r="AR228" s="6">
        <v>10624920179058</v>
      </c>
      <c r="AS228" s="6">
        <v>118144459138464</v>
      </c>
      <c r="AT228" s="6">
        <v>109160970990544</v>
      </c>
      <c r="AU228" s="6">
        <v>117992937279176</v>
      </c>
      <c r="AV228" s="6">
        <v>107449164261672</v>
      </c>
      <c r="AW228" s="6">
        <v>10100877574056</v>
      </c>
      <c r="AX228" s="6">
        <v>110999685747671</v>
      </c>
      <c r="AY228" s="6">
        <v>111874074690946</v>
      </c>
      <c r="AZ228" s="6">
        <v>107933616099038</v>
      </c>
      <c r="BA228" s="6">
        <v>106645731947289</v>
      </c>
      <c r="BB228" s="6">
        <v>902244809108307</v>
      </c>
      <c r="BC228" s="6">
        <v>997449009161921</v>
      </c>
      <c r="BD228" s="6">
        <v>926809750274937</v>
      </c>
      <c r="BE228" s="6">
        <v>118823706111</v>
      </c>
      <c r="BF228" s="6">
        <v>11521377076</v>
      </c>
      <c r="BG228" s="6">
        <v>113068371405</v>
      </c>
      <c r="BH228" s="6">
        <v>109914651719642</v>
      </c>
      <c r="BI228" s="6">
        <v>111259215502902</v>
      </c>
      <c r="BJ228" s="6">
        <v>110207485445193</v>
      </c>
      <c r="BK228" s="6">
        <v>114933451208825</v>
      </c>
      <c r="BL228" s="6">
        <v>117563840603134</v>
      </c>
      <c r="BM228" s="6">
        <v>12186014618</v>
      </c>
    </row>
    <row r="229" spans="1:65" x14ac:dyDescent="0.45">
      <c r="A229" s="1" t="s">
        <v>223</v>
      </c>
      <c r="B229" s="2">
        <v>4810794</v>
      </c>
      <c r="C229" s="3" t="s">
        <v>1029</v>
      </c>
      <c r="D229" s="3" t="s">
        <v>1030</v>
      </c>
      <c r="E229" s="3" t="s">
        <v>498</v>
      </c>
      <c r="F229" s="5">
        <v>167202381271384</v>
      </c>
      <c r="G229" s="5">
        <v>171875645333325</v>
      </c>
      <c r="H229" s="5">
        <v>167223444813867</v>
      </c>
      <c r="I229" s="5">
        <v>151162685112247</v>
      </c>
      <c r="J229" s="5">
        <v>155545625167263</v>
      </c>
      <c r="K229" s="5">
        <v>168692616730922</v>
      </c>
      <c r="L229" s="5">
        <v>160974119569119</v>
      </c>
      <c r="M229" s="5">
        <v>156686152469528</v>
      </c>
      <c r="N229" s="5">
        <v>157549144568921</v>
      </c>
      <c r="O229" s="5">
        <v>158233973886441</v>
      </c>
      <c r="P229" s="5">
        <v>134612525189473</v>
      </c>
      <c r="Q229" s="5">
        <v>146587043149672</v>
      </c>
      <c r="R229" s="5">
        <v>142564174379032</v>
      </c>
      <c r="S229" s="5">
        <v>132713698639317</v>
      </c>
      <c r="T229" s="5">
        <v>127917292554778</v>
      </c>
      <c r="U229" s="5">
        <v>131051121690103</v>
      </c>
      <c r="V229" s="5">
        <v>143106395357062</v>
      </c>
      <c r="W229" s="5">
        <v>143403412374359</v>
      </c>
      <c r="X229" s="5">
        <v>156047235320164</v>
      </c>
      <c r="Y229" s="5">
        <v>151178674949607</v>
      </c>
      <c r="Z229" s="5">
        <v>156060689180874</v>
      </c>
      <c r="AA229" s="5">
        <v>152224122130139</v>
      </c>
      <c r="AB229" s="5">
        <v>142925731502775</v>
      </c>
      <c r="AC229" s="5">
        <v>161917058600445</v>
      </c>
      <c r="AD229" s="5">
        <v>155719688249535</v>
      </c>
      <c r="AE229" s="5">
        <v>154906047696436</v>
      </c>
      <c r="AF229" s="5">
        <v>162593549344076</v>
      </c>
      <c r="AG229" s="5">
        <v>167135491941356</v>
      </c>
      <c r="AH229" s="5">
        <v>176264409464509</v>
      </c>
      <c r="AI229" s="5">
        <v>181467332985939</v>
      </c>
      <c r="AJ229" s="5">
        <v>200826425858009</v>
      </c>
      <c r="AK229" s="5">
        <v>199261995630774</v>
      </c>
      <c r="AL229" s="5">
        <v>193675173125546</v>
      </c>
      <c r="AM229" s="5">
        <v>144457698428862</v>
      </c>
      <c r="AN229" s="5">
        <v>148643662171221</v>
      </c>
      <c r="AO229" s="5">
        <v>141966501422306</v>
      </c>
      <c r="AP229" s="6">
        <v>122760325595503</v>
      </c>
      <c r="AQ229" s="6">
        <v>136866132940853</v>
      </c>
      <c r="AR229" s="6">
        <v>116870700824009</v>
      </c>
      <c r="AS229" s="6">
        <v>120142101547181</v>
      </c>
      <c r="AT229" s="6">
        <v>106545060539109</v>
      </c>
      <c r="AU229" s="6">
        <v>138031674497421</v>
      </c>
      <c r="AV229" s="6">
        <v>136036632387696</v>
      </c>
      <c r="AW229" s="6">
        <v>129614028653456</v>
      </c>
      <c r="AX229" s="6">
        <v>1311368505635</v>
      </c>
      <c r="AY229" s="6">
        <v>122365410529596</v>
      </c>
      <c r="AZ229" s="6">
        <v>11938423895244</v>
      </c>
      <c r="BA229" s="6">
        <v>131966321721944</v>
      </c>
      <c r="BB229" s="6">
        <v>125033409105153</v>
      </c>
      <c r="BC229" s="6">
        <v>133366947650588</v>
      </c>
      <c r="BD229" s="6">
        <v>136306282815</v>
      </c>
      <c r="BE229" s="6">
        <v>10982127402144</v>
      </c>
      <c r="BF229" s="6">
        <v>887266528854471</v>
      </c>
      <c r="BG229" s="6">
        <v>895449594870412</v>
      </c>
      <c r="BH229" s="6">
        <v>838638693445198</v>
      </c>
      <c r="BI229" s="6">
        <v>826836425266099</v>
      </c>
      <c r="BJ229" s="6">
        <v>923207356144884</v>
      </c>
      <c r="BK229" s="6">
        <v>878572021061748</v>
      </c>
      <c r="BL229" s="6">
        <v>91306451424825</v>
      </c>
      <c r="BM229" s="6">
        <v>954250751862486</v>
      </c>
    </row>
    <row r="230" spans="1:65" x14ac:dyDescent="0.45">
      <c r="A230" s="1" t="s">
        <v>224</v>
      </c>
      <c r="B230" s="2">
        <v>4380458</v>
      </c>
      <c r="C230" s="3" t="s">
        <v>1031</v>
      </c>
      <c r="D230" s="3" t="s">
        <v>1032</v>
      </c>
      <c r="E230" s="3" t="s">
        <v>847</v>
      </c>
      <c r="F230" s="5">
        <v>197969511761365</v>
      </c>
      <c r="G230" s="5">
        <v>211916709265138</v>
      </c>
      <c r="H230" s="5">
        <v>205907185976064</v>
      </c>
      <c r="I230" s="5">
        <v>177869564097147</v>
      </c>
      <c r="J230" s="5">
        <v>189630859476987</v>
      </c>
      <c r="K230" s="5">
        <v>198190875473143</v>
      </c>
      <c r="L230" s="5">
        <v>163401906143091</v>
      </c>
      <c r="M230" s="5">
        <v>178400150245916</v>
      </c>
      <c r="N230" s="5">
        <v>169408839242872</v>
      </c>
      <c r="O230" s="5">
        <v>184911740331786</v>
      </c>
      <c r="P230" s="5">
        <v>183536847681665</v>
      </c>
      <c r="Q230" s="5">
        <v>20454344205372</v>
      </c>
      <c r="R230" s="5">
        <v>221735373763759</v>
      </c>
      <c r="S230" s="5">
        <v>21096273686362</v>
      </c>
      <c r="T230" s="5">
        <v>195336892995686</v>
      </c>
      <c r="U230" s="5">
        <v>182741072096591</v>
      </c>
      <c r="V230" s="5">
        <v>188727420952039</v>
      </c>
      <c r="W230" s="5">
        <v>17309289765055</v>
      </c>
      <c r="X230" s="5">
        <v>172673424922576</v>
      </c>
      <c r="Y230" s="5">
        <v>170841531926656</v>
      </c>
      <c r="Z230" s="5">
        <v>172288279166169</v>
      </c>
      <c r="AA230" s="5">
        <v>175575138660894</v>
      </c>
      <c r="AB230" s="5">
        <v>160386920061469</v>
      </c>
      <c r="AC230" s="5">
        <v>14395667382469</v>
      </c>
      <c r="AD230" s="5">
        <v>15555709236039</v>
      </c>
      <c r="AE230" s="5">
        <v>154702606530417</v>
      </c>
      <c r="AF230" s="5">
        <v>125042712053691</v>
      </c>
      <c r="AG230" s="5">
        <v>126439634763138</v>
      </c>
      <c r="AH230" s="5">
        <v>122313794392529</v>
      </c>
      <c r="AI230" s="5">
        <v>111242860626968</v>
      </c>
      <c r="AJ230" s="5">
        <v>104095817129715</v>
      </c>
      <c r="AK230" s="5">
        <v>105672487181982</v>
      </c>
      <c r="AL230" s="5">
        <v>110730412162933</v>
      </c>
      <c r="AM230" s="5">
        <v>4631219022248</v>
      </c>
      <c r="AN230" s="5">
        <v>611858298975267</v>
      </c>
      <c r="AO230" s="5">
        <v>651747790687422</v>
      </c>
      <c r="AP230" s="6">
        <v>160905602476083</v>
      </c>
      <c r="AQ230" s="6">
        <v>16491706770865</v>
      </c>
      <c r="AR230" s="6">
        <v>153934215777408</v>
      </c>
      <c r="AS230" s="6">
        <v>150665008027628</v>
      </c>
      <c r="AT230" s="6">
        <v>139652225682695</v>
      </c>
      <c r="AU230" s="6">
        <v>154986259045355</v>
      </c>
      <c r="AV230" s="6">
        <v>151263518900732</v>
      </c>
      <c r="AW230" s="6">
        <v>147819114102923</v>
      </c>
      <c r="AX230" s="6">
        <v>167734648133</v>
      </c>
      <c r="AY230" s="6">
        <v>165003623764818</v>
      </c>
      <c r="AZ230" s="6">
        <v>161033169398225</v>
      </c>
      <c r="BA230" s="6">
        <v>167707667899233</v>
      </c>
      <c r="BB230" s="6">
        <v>142774252995713</v>
      </c>
      <c r="BC230" s="6">
        <v>165231396738778</v>
      </c>
      <c r="BD230" s="6">
        <v>163860174265914</v>
      </c>
      <c r="BE230" s="6">
        <v>172969343793113</v>
      </c>
      <c r="BF230" s="6">
        <v>180139858862922</v>
      </c>
      <c r="BG230" s="6">
        <v>190119822779812</v>
      </c>
      <c r="BH230" s="6">
        <v>184842129757784</v>
      </c>
      <c r="BI230" s="6">
        <v>190014912172332</v>
      </c>
      <c r="BJ230" s="6">
        <v>176826205696034</v>
      </c>
      <c r="BK230" s="6">
        <v>17992067029335</v>
      </c>
      <c r="BL230" s="6">
        <v>201532364412397</v>
      </c>
      <c r="BM230" s="6">
        <v>208665648268743</v>
      </c>
    </row>
    <row r="231" spans="1:65" x14ac:dyDescent="0.45">
      <c r="A231" s="1" t="s">
        <v>225</v>
      </c>
      <c r="B231" s="2">
        <v>4811052</v>
      </c>
      <c r="C231" s="3" t="s">
        <v>1033</v>
      </c>
      <c r="D231" s="3" t="s">
        <v>1034</v>
      </c>
      <c r="E231" s="3" t="s">
        <v>495</v>
      </c>
      <c r="F231" s="5">
        <v>191303899397923</v>
      </c>
      <c r="G231" s="5">
        <v>201608952131316</v>
      </c>
      <c r="H231" s="5">
        <v>181653207460599</v>
      </c>
      <c r="I231" s="5">
        <v>162364257875162</v>
      </c>
      <c r="J231" s="5">
        <v>176046513816991</v>
      </c>
      <c r="K231" s="5">
        <v>168455879953906</v>
      </c>
      <c r="L231" s="5">
        <v>144560250830918</v>
      </c>
      <c r="M231" s="5">
        <v>137975276202557</v>
      </c>
      <c r="N231" s="5">
        <v>157203215088927</v>
      </c>
      <c r="O231" s="5">
        <v>165986813889784</v>
      </c>
      <c r="P231" s="5">
        <v>163150391415609</v>
      </c>
      <c r="Q231" s="5">
        <v>152703502493184</v>
      </c>
      <c r="R231" s="5">
        <v>161352656036474</v>
      </c>
      <c r="S231" s="5">
        <v>176490021495908</v>
      </c>
      <c r="T231" s="5">
        <v>184654490349102</v>
      </c>
      <c r="U231" s="5">
        <v>168901898712486</v>
      </c>
      <c r="V231" s="5">
        <v>173771961724612</v>
      </c>
      <c r="W231" s="5">
        <v>156253452980081</v>
      </c>
      <c r="X231" s="5">
        <v>153432328621736</v>
      </c>
      <c r="Y231" s="5">
        <v>146634556636299</v>
      </c>
      <c r="Z231" s="5">
        <v>162499195951966</v>
      </c>
      <c r="AA231" s="5">
        <v>146899097736442</v>
      </c>
      <c r="AB231" s="5">
        <v>141508469753526</v>
      </c>
      <c r="AC231" s="5">
        <v>1451091454308</v>
      </c>
      <c r="AD231" s="5">
        <v>137774433100993</v>
      </c>
      <c r="AE231" s="5">
        <v>142157602773475</v>
      </c>
      <c r="AF231" s="5">
        <v>125203910925688</v>
      </c>
      <c r="AG231" s="5">
        <v>132272712700632</v>
      </c>
      <c r="AH231" s="5">
        <v>11985562501164</v>
      </c>
      <c r="AI231" s="5">
        <v>112516461182408</v>
      </c>
      <c r="AJ231" s="5">
        <v>11298722843909</v>
      </c>
      <c r="AK231" s="5">
        <v>111023120821979</v>
      </c>
      <c r="AL231" s="5">
        <v>115121009879454</v>
      </c>
      <c r="AM231" s="5">
        <v>94778396834576</v>
      </c>
      <c r="AN231" s="5">
        <v>108590065225908</v>
      </c>
      <c r="AO231" s="5">
        <v>108202627133093</v>
      </c>
      <c r="AP231" s="6">
        <v>607570834409123</v>
      </c>
      <c r="AQ231" s="6">
        <v>611638752857479</v>
      </c>
      <c r="AR231" s="6">
        <v>600778565413365</v>
      </c>
      <c r="AS231" s="6">
        <v>634302900505765</v>
      </c>
      <c r="AT231" s="6">
        <v>681853043521535</v>
      </c>
      <c r="AU231" s="6">
        <v>645938686102735</v>
      </c>
      <c r="AV231" s="6">
        <v>595370072572415</v>
      </c>
      <c r="AW231" s="6">
        <v>56944088881355</v>
      </c>
      <c r="AX231" s="6">
        <v>580507577922237</v>
      </c>
      <c r="AY231" s="6">
        <v>603423257831321</v>
      </c>
      <c r="AZ231" s="6">
        <v>562200969792399</v>
      </c>
      <c r="BA231" s="6">
        <v>488992630442105</v>
      </c>
      <c r="BB231" s="6">
        <v>446215845895657</v>
      </c>
      <c r="BC231" s="6">
        <v>491748988420961</v>
      </c>
      <c r="BD231" s="6">
        <v>4822117539297</v>
      </c>
      <c r="BE231" s="6">
        <v>506280320421516</v>
      </c>
      <c r="BF231" s="6">
        <v>489079239702661</v>
      </c>
      <c r="BG231" s="6">
        <v>447805772665486</v>
      </c>
      <c r="BH231" s="6">
        <v>44931126720482</v>
      </c>
      <c r="BI231" s="6">
        <v>443672751254342</v>
      </c>
      <c r="BJ231" s="6">
        <v>39196025544415</v>
      </c>
      <c r="BK231" s="6">
        <v>361035208143861</v>
      </c>
      <c r="BL231" s="6">
        <v>349997128618738</v>
      </c>
      <c r="BM231" s="6">
        <v>345062960041449</v>
      </c>
    </row>
    <row r="232" spans="1:65" x14ac:dyDescent="0.45">
      <c r="A232" s="1" t="s">
        <v>226</v>
      </c>
      <c r="B232" s="2">
        <v>4025746</v>
      </c>
      <c r="C232" s="3" t="s">
        <v>1035</v>
      </c>
      <c r="D232" s="3" t="s">
        <v>1036</v>
      </c>
      <c r="E232" s="3" t="s">
        <v>507</v>
      </c>
      <c r="F232" s="5">
        <v>102062983977</v>
      </c>
      <c r="G232" s="5">
        <v>120338693633</v>
      </c>
      <c r="H232" s="5">
        <v>118656445893</v>
      </c>
      <c r="I232" s="5">
        <v>107906690076</v>
      </c>
      <c r="J232" s="5">
        <v>130132969008</v>
      </c>
      <c r="K232" s="5">
        <v>146166718344</v>
      </c>
      <c r="L232" s="5">
        <v>146318486908308</v>
      </c>
      <c r="M232" s="5">
        <v>169286442633276</v>
      </c>
      <c r="N232" s="5">
        <v>169117454180442</v>
      </c>
      <c r="O232" s="5">
        <v>182411167494729</v>
      </c>
      <c r="P232" s="5">
        <v>1729657332</v>
      </c>
      <c r="Q232" s="5">
        <v>177484211712</v>
      </c>
      <c r="R232" s="5">
        <v>18416982465</v>
      </c>
      <c r="S232" s="5">
        <v>17752552608</v>
      </c>
      <c r="T232" s="5">
        <v>1723399384</v>
      </c>
      <c r="U232" s="5">
        <v>186500225088</v>
      </c>
      <c r="V232" s="5">
        <v>185809107024</v>
      </c>
      <c r="W232" s="5">
        <v>18372513972</v>
      </c>
      <c r="X232" s="5">
        <v>191193146088</v>
      </c>
      <c r="Y232" s="5">
        <v>18924878448</v>
      </c>
      <c r="Z232" s="5">
        <v>193116094182</v>
      </c>
      <c r="AA232" s="5">
        <v>222056866111488</v>
      </c>
      <c r="AB232" s="5">
        <v>20410346421</v>
      </c>
      <c r="AC232" s="5">
        <v>185797487694</v>
      </c>
      <c r="AD232" s="5">
        <v>1669027293</v>
      </c>
      <c r="AE232" s="5">
        <v>16578231561</v>
      </c>
      <c r="AF232" s="5">
        <v>155710345464</v>
      </c>
      <c r="AG232" s="5">
        <v>20548665168</v>
      </c>
      <c r="AH232" s="5">
        <v>1986076855</v>
      </c>
      <c r="AI232" s="5">
        <v>171592256757</v>
      </c>
      <c r="AJ232" s="5">
        <v>225100347492</v>
      </c>
      <c r="AK232" s="5">
        <v>23966783519</v>
      </c>
      <c r="AL232" s="5">
        <v>232140558012</v>
      </c>
      <c r="AM232" s="5">
        <v>210812360911152</v>
      </c>
      <c r="AN232" s="5">
        <v>215921505072</v>
      </c>
      <c r="AO232" s="5">
        <v>24663260622</v>
      </c>
      <c r="AP232" s="6">
        <v>608810903630963</v>
      </c>
      <c r="AQ232" s="6">
        <v>621919567346257</v>
      </c>
      <c r="AR232" s="6">
        <v>573304039516027</v>
      </c>
      <c r="AS232" s="6">
        <v>570700195022859</v>
      </c>
      <c r="AT232" s="6">
        <v>535825111295792</v>
      </c>
      <c r="AU232" s="6">
        <v>537979669135803</v>
      </c>
      <c r="AV232" s="6">
        <v>532188920151673</v>
      </c>
      <c r="AW232" s="6">
        <v>481440455090232</v>
      </c>
      <c r="AX232" s="6">
        <v>526142567993269</v>
      </c>
      <c r="AY232" s="6">
        <v>586481871937132</v>
      </c>
      <c r="AZ232" s="6">
        <v>550525700428604</v>
      </c>
      <c r="BA232" s="6">
        <v>522052481089644</v>
      </c>
      <c r="BB232" s="6">
        <v>477686831658242</v>
      </c>
      <c r="BC232" s="6">
        <v>53544436231274</v>
      </c>
      <c r="BD232" s="6">
        <v>525849422863161</v>
      </c>
      <c r="BE232" s="6">
        <v>561960659875267</v>
      </c>
      <c r="BF232" s="6">
        <v>548763890533729</v>
      </c>
      <c r="BG232" s="6">
        <v>493947053853132</v>
      </c>
      <c r="BH232" s="6">
        <v>464629071729339</v>
      </c>
      <c r="BI232" s="6">
        <v>44667604934556</v>
      </c>
      <c r="BJ232" s="6">
        <v>413588258741256</v>
      </c>
      <c r="BK232" s="6">
        <v>377001076516194</v>
      </c>
      <c r="BL232" s="6">
        <v>392216618682252</v>
      </c>
      <c r="BM232" s="6">
        <v>388827854814239</v>
      </c>
    </row>
    <row r="233" spans="1:65" x14ac:dyDescent="0.45">
      <c r="A233" s="1" t="s">
        <v>227</v>
      </c>
      <c r="B233" s="2">
        <v>4153870</v>
      </c>
      <c r="C233" s="3" t="s">
        <v>1037</v>
      </c>
      <c r="D233" s="3" t="s">
        <v>1038</v>
      </c>
      <c r="E233" s="3" t="s">
        <v>1039</v>
      </c>
      <c r="F233" s="5">
        <v>6964231394019</v>
      </c>
      <c r="G233" s="5">
        <v>8010340338902</v>
      </c>
      <c r="H233" s="5">
        <v>833610146115201</v>
      </c>
      <c r="I233" s="5">
        <v>670290837949132</v>
      </c>
      <c r="J233" s="5">
        <v>62891966261039</v>
      </c>
      <c r="K233" s="5">
        <v>565398896056944</v>
      </c>
      <c r="L233" s="5">
        <v>517082173422104</v>
      </c>
      <c r="M233" s="5">
        <v>563647446673896</v>
      </c>
      <c r="N233" s="5">
        <v>555445496787178</v>
      </c>
      <c r="O233" s="5">
        <v>583118251065605</v>
      </c>
      <c r="P233" s="5">
        <v>578889820825407</v>
      </c>
      <c r="Q233" s="5">
        <v>597678475706093</v>
      </c>
      <c r="R233" s="5">
        <v>685582462547492</v>
      </c>
      <c r="S233" s="5">
        <v>642966458493002</v>
      </c>
      <c r="T233" s="5">
        <v>601334267712568</v>
      </c>
      <c r="U233" s="5">
        <v>527882606172619</v>
      </c>
      <c r="V233" s="5">
        <v>537461936584397</v>
      </c>
      <c r="W233" s="5">
        <v>511704150098796</v>
      </c>
      <c r="X233" s="5">
        <v>503451703462961</v>
      </c>
      <c r="Y233" s="5">
        <v>501182656859241</v>
      </c>
      <c r="Z233" s="5">
        <v>540028934100461</v>
      </c>
      <c r="AA233" s="5">
        <v>565238977928064</v>
      </c>
      <c r="AB233" s="5">
        <v>543061684593724</v>
      </c>
      <c r="AC233" s="5">
        <v>457540949133293</v>
      </c>
      <c r="AD233" s="5">
        <v>45203845711887</v>
      </c>
      <c r="AE233" s="5">
        <v>400684261231652</v>
      </c>
      <c r="AF233" s="5">
        <v>370501652723883</v>
      </c>
      <c r="AG233" s="5">
        <v>321247425101796</v>
      </c>
      <c r="AH233" s="5">
        <v>34617274841611</v>
      </c>
      <c r="AI233" s="5">
        <v>32180182229624</v>
      </c>
      <c r="AJ233" s="5">
        <v>284883133623231</v>
      </c>
      <c r="AK233" s="5">
        <v>292381935007662</v>
      </c>
      <c r="AL233" s="5">
        <v>2876494395654</v>
      </c>
      <c r="AM233" s="5">
        <v>3015153366498</v>
      </c>
      <c r="AN233" s="5">
        <v>356624794241562</v>
      </c>
      <c r="AO233" s="5">
        <v>3253696003756</v>
      </c>
      <c r="AP233" s="6">
        <v>727227767958475</v>
      </c>
      <c r="AQ233" s="6">
        <v>7233913661482</v>
      </c>
      <c r="AR233" s="6">
        <v>684890544431525</v>
      </c>
      <c r="AS233" s="6">
        <v>729856467562484</v>
      </c>
      <c r="AT233" s="6">
        <v>670604465234828</v>
      </c>
      <c r="AU233" s="6">
        <v>81002872053397</v>
      </c>
      <c r="AV233" s="6">
        <v>856892529112277</v>
      </c>
      <c r="AW233" s="6">
        <v>835403123745225</v>
      </c>
      <c r="AX233" s="6">
        <v>786010897460198</v>
      </c>
      <c r="AY233" s="6">
        <v>691282482399036</v>
      </c>
      <c r="AZ233" s="6">
        <v>674673827769851</v>
      </c>
      <c r="BA233" s="6">
        <v>654273339421158</v>
      </c>
      <c r="BB233" s="6">
        <v>601402527215939</v>
      </c>
      <c r="BC233" s="6">
        <v>739298936519616</v>
      </c>
      <c r="BD233" s="6">
        <v>7889745326416</v>
      </c>
      <c r="BE233" s="6">
        <v>809077246105814</v>
      </c>
      <c r="BF233" s="6">
        <v>85301071950481</v>
      </c>
      <c r="BG233" s="6">
        <v>947539047663997</v>
      </c>
      <c r="BH233" s="6">
        <v>935083628907014</v>
      </c>
      <c r="BI233" s="6">
        <v>962513862019222</v>
      </c>
      <c r="BJ233" s="6">
        <v>985540802276268</v>
      </c>
      <c r="BK233" s="6">
        <v>106937342009845</v>
      </c>
      <c r="BL233" s="6">
        <v>10850590624288</v>
      </c>
      <c r="BM233" s="6">
        <v>118235580455467</v>
      </c>
    </row>
    <row r="234" spans="1:65" x14ac:dyDescent="0.45">
      <c r="A234" s="1" t="s">
        <v>228</v>
      </c>
      <c r="B234" s="2">
        <v>4099823</v>
      </c>
      <c r="C234" s="3" t="s">
        <v>1040</v>
      </c>
      <c r="D234" s="3" t="s">
        <v>1041</v>
      </c>
      <c r="E234" s="3" t="s">
        <v>705</v>
      </c>
      <c r="F234" s="5">
        <v>536173047480274</v>
      </c>
      <c r="G234" s="5">
        <v>586636756906864</v>
      </c>
      <c r="H234" s="5">
        <v>539749544972147</v>
      </c>
      <c r="I234" s="5">
        <v>514557433011992</v>
      </c>
      <c r="J234" s="5">
        <v>559206363561121</v>
      </c>
      <c r="K234" s="5">
        <v>560385455350033</v>
      </c>
      <c r="L234" s="5">
        <v>504160663509349</v>
      </c>
      <c r="M234" s="5">
        <v>534867255641533</v>
      </c>
      <c r="N234" s="5">
        <v>617431352924218</v>
      </c>
      <c r="O234" s="5">
        <v>668235808629194</v>
      </c>
      <c r="P234" s="5">
        <v>641022132408866</v>
      </c>
      <c r="Q234" s="5">
        <v>637109161669601</v>
      </c>
      <c r="R234" s="5">
        <v>677560539428293</v>
      </c>
      <c r="S234" s="5">
        <v>653406961722634</v>
      </c>
      <c r="T234" s="5">
        <v>674621523807419</v>
      </c>
      <c r="U234" s="5">
        <v>557899246029524</v>
      </c>
      <c r="V234" s="5">
        <v>570283704575799</v>
      </c>
      <c r="W234" s="5">
        <v>568880738562212</v>
      </c>
      <c r="X234" s="5">
        <v>563393689029429</v>
      </c>
      <c r="Y234" s="5">
        <v>521222612072202</v>
      </c>
      <c r="Z234" s="5">
        <v>550679364315989</v>
      </c>
      <c r="AA234" s="5">
        <v>535428177022502</v>
      </c>
      <c r="AB234" s="5">
        <v>512114746542584</v>
      </c>
      <c r="AC234" s="5">
        <v>510242478010768</v>
      </c>
      <c r="AD234" s="5">
        <v>529007569653969</v>
      </c>
      <c r="AE234" s="5">
        <v>495502531907385</v>
      </c>
      <c r="AF234" s="5">
        <v>454665898887021</v>
      </c>
      <c r="AG234" s="5">
        <v>478198087187817</v>
      </c>
      <c r="AH234" s="5">
        <v>48276322856016</v>
      </c>
      <c r="AI234" s="5">
        <v>444444507002419</v>
      </c>
      <c r="AJ234" s="5">
        <v>445415353577129</v>
      </c>
      <c r="AK234" s="5">
        <v>478689805221679</v>
      </c>
      <c r="AL234" s="5">
        <v>447442728311022</v>
      </c>
      <c r="AM234" s="5">
        <v>403520049412025</v>
      </c>
      <c r="AN234" s="5">
        <v>449001604345185</v>
      </c>
      <c r="AO234" s="5">
        <v>500972335448803</v>
      </c>
      <c r="AP234" s="6">
        <v>143774952610498</v>
      </c>
      <c r="AQ234" s="6">
        <v>14917338269639</v>
      </c>
      <c r="AR234" s="6">
        <v>148703295091597</v>
      </c>
      <c r="AS234" s="6">
        <v>146009003950534</v>
      </c>
      <c r="AT234" s="6">
        <v>140595961530681</v>
      </c>
      <c r="AU234" s="6">
        <v>132709275525357</v>
      </c>
      <c r="AV234" s="6">
        <v>123322076300194</v>
      </c>
      <c r="AW234" s="6">
        <v>120709453562727</v>
      </c>
      <c r="AX234" s="6">
        <v>116482368823012</v>
      </c>
      <c r="AY234" s="6">
        <v>112983744284007</v>
      </c>
      <c r="AZ234" s="6">
        <v>105261114348633</v>
      </c>
      <c r="BA234" s="6">
        <v>102209499696108</v>
      </c>
      <c r="BB234" s="6">
        <v>912986717708507</v>
      </c>
      <c r="BC234" s="6">
        <v>986680036806067</v>
      </c>
      <c r="BD234" s="6">
        <v>100625523693748</v>
      </c>
      <c r="BE234" s="6">
        <v>102643434251751</v>
      </c>
      <c r="BF234" s="6">
        <v>104801687655503</v>
      </c>
      <c r="BG234" s="6">
        <v>10276819682926</v>
      </c>
      <c r="BH234" s="6">
        <v>102857868901569</v>
      </c>
      <c r="BI234" s="6">
        <v>982431268408594</v>
      </c>
      <c r="BJ234" s="6">
        <v>997255304412453</v>
      </c>
      <c r="BK234" s="6">
        <v>966075471715042</v>
      </c>
      <c r="BL234" s="6">
        <v>92481609717315</v>
      </c>
      <c r="BM234" s="6">
        <v>937981278970133</v>
      </c>
    </row>
    <row r="235" spans="1:65" x14ac:dyDescent="0.45">
      <c r="A235" s="1" t="s">
        <v>229</v>
      </c>
      <c r="B235" s="2">
        <v>4000193</v>
      </c>
      <c r="C235" s="3" t="s">
        <v>1042</v>
      </c>
      <c r="D235" s="3" t="s">
        <v>1043</v>
      </c>
      <c r="E235" s="3" t="s">
        <v>501</v>
      </c>
      <c r="F235" s="5">
        <v>119191677323969</v>
      </c>
      <c r="G235" s="5">
        <v>130545295662544</v>
      </c>
      <c r="H235" s="5">
        <v>126444492211824</v>
      </c>
      <c r="I235" s="5">
        <v>109431533523181</v>
      </c>
      <c r="J235" s="5">
        <v>115189820376816</v>
      </c>
      <c r="K235" s="5">
        <v>11581166998484</v>
      </c>
      <c r="L235" s="5">
        <v>121479852265255</v>
      </c>
      <c r="M235" s="5">
        <v>116398411447488</v>
      </c>
      <c r="N235" s="5">
        <v>112837821323587</v>
      </c>
      <c r="O235" s="5">
        <v>105258841598624</v>
      </c>
      <c r="P235" s="5">
        <v>981103623157178</v>
      </c>
      <c r="Q235" s="5">
        <v>106944603990754</v>
      </c>
      <c r="R235" s="5">
        <v>105398468172933</v>
      </c>
      <c r="S235" s="5">
        <v>93169592777892</v>
      </c>
      <c r="T235" s="5">
        <v>969697135430266</v>
      </c>
      <c r="U235" s="5">
        <v>107440815031834</v>
      </c>
      <c r="V235" s="5">
        <v>106568914303875</v>
      </c>
      <c r="W235" s="5">
        <v>106509068924137</v>
      </c>
      <c r="X235" s="5">
        <v>110469806678089</v>
      </c>
      <c r="Y235" s="5">
        <v>105380893948959</v>
      </c>
      <c r="Z235" s="5">
        <v>105386410558899</v>
      </c>
      <c r="AA235" s="5">
        <v>101456456865257</v>
      </c>
      <c r="AB235" s="5">
        <v>878364074447381</v>
      </c>
      <c r="AC235" s="5">
        <v>874330352208729</v>
      </c>
      <c r="AD235" s="5">
        <v>916959255305004</v>
      </c>
      <c r="AE235" s="5">
        <v>920900258359934</v>
      </c>
      <c r="AF235" s="5">
        <v>853770349810137</v>
      </c>
      <c r="AG235" s="5">
        <v>922765795748167</v>
      </c>
      <c r="AH235" s="5">
        <v>918621425203836</v>
      </c>
      <c r="AI235" s="5">
        <v>925499961562401</v>
      </c>
      <c r="AJ235" s="5">
        <v>952852103694265</v>
      </c>
      <c r="AK235" s="5">
        <v>997524860336553</v>
      </c>
      <c r="AL235" s="5">
        <v>101907263077933</v>
      </c>
      <c r="AM235" s="5">
        <v>896815028121649</v>
      </c>
      <c r="AN235" s="5">
        <v>105138998403104</v>
      </c>
      <c r="AO235" s="5">
        <v>114817989479605</v>
      </c>
      <c r="AP235" s="6">
        <v>267158419543416</v>
      </c>
      <c r="AQ235" s="6">
        <v>257083187481928</v>
      </c>
      <c r="AR235" s="6">
        <v>25134481308</v>
      </c>
      <c r="AS235" s="6">
        <v>268368410250074</v>
      </c>
      <c r="AT235" s="6">
        <v>276333445399724</v>
      </c>
      <c r="AU235" s="6">
        <v>280157041601667</v>
      </c>
      <c r="AV235" s="6">
        <v>278896216772462</v>
      </c>
      <c r="AW235" s="6">
        <v>240379280093824</v>
      </c>
      <c r="AX235" s="6">
        <v>243721407184132</v>
      </c>
      <c r="AY235" s="6">
        <v>251982729943213</v>
      </c>
      <c r="AZ235" s="6">
        <v>24333625319275</v>
      </c>
      <c r="BA235" s="6">
        <v>225303516738663</v>
      </c>
      <c r="BB235" s="6">
        <v>20297265315684</v>
      </c>
      <c r="BC235" s="6">
        <v>220974704559671</v>
      </c>
      <c r="BD235" s="6">
        <v>219722130774621</v>
      </c>
      <c r="BE235" s="6">
        <v>226223149679081</v>
      </c>
      <c r="BF235" s="6">
        <v>221808410503013</v>
      </c>
      <c r="BG235" s="6">
        <v>211090945867484</v>
      </c>
      <c r="BH235" s="6">
        <v>173091257307185</v>
      </c>
      <c r="BI235" s="6">
        <v>173644721591796</v>
      </c>
      <c r="BJ235" s="6">
        <v>165175750634832</v>
      </c>
      <c r="BK235" s="6">
        <v>166164242183452</v>
      </c>
      <c r="BL235" s="6">
        <v>167709634488724</v>
      </c>
      <c r="BM235" s="6">
        <v>170863160419377</v>
      </c>
    </row>
    <row r="236" spans="1:65" x14ac:dyDescent="0.45">
      <c r="A236" s="1" t="s">
        <v>230</v>
      </c>
      <c r="B236" s="2">
        <v>4985791</v>
      </c>
      <c r="C236" s="3" t="s">
        <v>1044</v>
      </c>
      <c r="D236" s="3" t="s">
        <v>1045</v>
      </c>
      <c r="E236" s="3" t="s">
        <v>522</v>
      </c>
      <c r="F236" s="5">
        <v>250114880050494</v>
      </c>
      <c r="G236" s="5">
        <v>261626084124025</v>
      </c>
      <c r="H236" s="5">
        <v>251665898169754</v>
      </c>
      <c r="I236" s="5">
        <v>236153492364149</v>
      </c>
      <c r="J236" s="5">
        <v>279665714177493</v>
      </c>
      <c r="K236" s="5">
        <v>309930479510765</v>
      </c>
      <c r="L236" s="5">
        <v>290388409660493</v>
      </c>
      <c r="M236" s="5">
        <v>313949369328922</v>
      </c>
      <c r="N236" s="5">
        <v>29321517336312</v>
      </c>
      <c r="O236" s="5">
        <v>301167529128788</v>
      </c>
      <c r="P236" s="5">
        <v>301639643531135</v>
      </c>
      <c r="Q236" s="5">
        <v>299800806596029</v>
      </c>
      <c r="R236" s="5">
        <v>337189608353157</v>
      </c>
      <c r="S236" s="5">
        <v>321068330127287</v>
      </c>
      <c r="T236" s="5">
        <v>317594268476344</v>
      </c>
      <c r="U236" s="5">
        <v>28735496326065</v>
      </c>
      <c r="V236" s="5">
        <v>319676549086188</v>
      </c>
      <c r="W236" s="5">
        <v>316102158256786</v>
      </c>
      <c r="X236" s="5">
        <v>313648903507169</v>
      </c>
      <c r="Y236" s="5">
        <v>289345051148913</v>
      </c>
      <c r="Z236" s="5">
        <v>294102121194588</v>
      </c>
      <c r="AA236" s="5">
        <v>295997835167354</v>
      </c>
      <c r="AB236" s="5">
        <v>278570956766378</v>
      </c>
      <c r="AC236" s="5">
        <v>989974528200655</v>
      </c>
      <c r="AD236" s="5">
        <v>95145773147586</v>
      </c>
      <c r="AE236" s="5">
        <v>100297148655871</v>
      </c>
      <c r="AF236" s="5">
        <v>941991565257384</v>
      </c>
      <c r="AG236" s="5">
        <v>111507580905199</v>
      </c>
      <c r="AH236" s="5">
        <v>110729020997566</v>
      </c>
      <c r="AI236" s="5">
        <v>113845611968078</v>
      </c>
      <c r="AJ236" s="5">
        <v>116273230863417</v>
      </c>
      <c r="AK236" s="5">
        <v>128012377304893</v>
      </c>
      <c r="AL236" s="5">
        <v>127922008858526</v>
      </c>
      <c r="AM236" s="5">
        <v>99211696167584</v>
      </c>
      <c r="AN236" s="5">
        <v>116308405456682</v>
      </c>
      <c r="AO236" s="5">
        <v>126274862807108</v>
      </c>
      <c r="AP236" s="6">
        <v>815468809718994</v>
      </c>
      <c r="AQ236" s="6">
        <v>837083673177347</v>
      </c>
      <c r="AR236" s="6">
        <v>844916026434128</v>
      </c>
      <c r="AS236" s="6">
        <v>852847020976276</v>
      </c>
      <c r="AT236" s="6">
        <v>831404477507422</v>
      </c>
      <c r="AU236" s="6">
        <v>758078794715128</v>
      </c>
      <c r="AV236" s="6">
        <v>789106513882804</v>
      </c>
      <c r="AW236" s="6">
        <v>788810309620971</v>
      </c>
      <c r="AX236" s="6">
        <v>83162107735644</v>
      </c>
      <c r="AY236" s="6">
        <v>90476840423277</v>
      </c>
      <c r="AZ236" s="6">
        <v>890663232832989</v>
      </c>
      <c r="BA236" s="6">
        <v>92952005911848</v>
      </c>
      <c r="BB236" s="6">
        <v>810202914937385</v>
      </c>
      <c r="BC236" s="6">
        <v>858729119331763</v>
      </c>
      <c r="BD236" s="6">
        <v>774054368818323</v>
      </c>
      <c r="BE236" s="6">
        <v>850178151577801</v>
      </c>
      <c r="BF236" s="6">
        <v>889917677316745</v>
      </c>
      <c r="BG236" s="6">
        <v>858480127794558</v>
      </c>
      <c r="BH236" s="6">
        <v>85797401182151</v>
      </c>
      <c r="BI236" s="6">
        <v>816393865228619</v>
      </c>
      <c r="BJ236" s="6">
        <v>803706704979106</v>
      </c>
      <c r="BK236" s="6">
        <v>762402445511385</v>
      </c>
      <c r="BL236" s="6">
        <v>735126319053126</v>
      </c>
      <c r="BM236" s="6">
        <v>7986691555702</v>
      </c>
    </row>
    <row r="237" spans="1:65" x14ac:dyDescent="0.45">
      <c r="A237" s="1" t="s">
        <v>231</v>
      </c>
      <c r="B237" s="2">
        <v>4060689</v>
      </c>
      <c r="C237" s="3" t="s">
        <v>1046</v>
      </c>
      <c r="D237" s="3" t="s">
        <v>1047</v>
      </c>
      <c r="E237" s="3" t="s">
        <v>545</v>
      </c>
      <c r="F237" s="5">
        <v>115248788015996</v>
      </c>
      <c r="G237" s="5">
        <v>128024358708374</v>
      </c>
      <c r="H237" s="5">
        <v>120891499822181</v>
      </c>
      <c r="I237" s="5">
        <v>11703157544088</v>
      </c>
      <c r="J237" s="5">
        <v>149601644698178</v>
      </c>
      <c r="K237" s="5">
        <v>151799847194847</v>
      </c>
      <c r="L237" s="5">
        <v>148305765945039</v>
      </c>
      <c r="M237" s="5">
        <v>167377117534281</v>
      </c>
      <c r="N237" s="5">
        <v>162762215200842</v>
      </c>
      <c r="O237" s="5">
        <v>155744307204977</v>
      </c>
      <c r="P237" s="5">
        <v>145891895646038</v>
      </c>
      <c r="Q237" s="5">
        <v>166823678889144</v>
      </c>
      <c r="R237" s="5">
        <v>159976533014899</v>
      </c>
      <c r="S237" s="5">
        <v>156397562985951</v>
      </c>
      <c r="T237" s="5">
        <v>166347407153381</v>
      </c>
      <c r="U237" s="5">
        <v>188569009093185</v>
      </c>
      <c r="V237" s="5">
        <v>198967054564963</v>
      </c>
      <c r="W237" s="5">
        <v>190303939578115</v>
      </c>
      <c r="X237" s="5">
        <v>202563894424205</v>
      </c>
      <c r="Y237" s="5">
        <v>202817334071382</v>
      </c>
      <c r="Z237" s="5">
        <v>188878662737736</v>
      </c>
      <c r="AA237" s="5">
        <v>180969676773109</v>
      </c>
      <c r="AB237" s="5">
        <v>161318459060048</v>
      </c>
      <c r="AC237" s="5">
        <v>162919901784561</v>
      </c>
      <c r="AD237" s="5">
        <v>159777976205826</v>
      </c>
      <c r="AE237" s="5">
        <v>162741192723809</v>
      </c>
      <c r="AF237" s="5">
        <v>147575408476387</v>
      </c>
      <c r="AG237" s="5">
        <v>135710843344394</v>
      </c>
      <c r="AH237" s="5">
        <v>119263802829157</v>
      </c>
      <c r="AI237" s="5">
        <v>115600696284489</v>
      </c>
      <c r="AJ237" s="5">
        <v>122973211171146</v>
      </c>
      <c r="AK237" s="5">
        <v>120380588959717</v>
      </c>
      <c r="AL237" s="5">
        <v>123174977212122</v>
      </c>
      <c r="AM237" s="5">
        <v>111082256857572</v>
      </c>
      <c r="AN237" s="5">
        <v>13178419721958</v>
      </c>
      <c r="AO237" s="5">
        <v>144022184680651</v>
      </c>
      <c r="AP237" s="6">
        <v>110907797661835</v>
      </c>
      <c r="AQ237" s="6">
        <v>111839346077382</v>
      </c>
      <c r="AR237" s="6">
        <v>11240043713928</v>
      </c>
      <c r="AS237" s="6">
        <v>108345233285017</v>
      </c>
      <c r="AT237" s="6">
        <v>104878314667694</v>
      </c>
      <c r="AU237" s="6">
        <v>982047472077952</v>
      </c>
      <c r="AV237" s="6">
        <v>873511575738344</v>
      </c>
      <c r="AW237" s="6">
        <v>830537812990294</v>
      </c>
      <c r="AX237" s="6">
        <v>91692331699962</v>
      </c>
      <c r="AY237" s="6">
        <v>981360928633932</v>
      </c>
      <c r="AZ237" s="6">
        <v>102807116474073</v>
      </c>
      <c r="BA237" s="6">
        <v>10158583056084</v>
      </c>
      <c r="BB237" s="6">
        <v>88717921938052</v>
      </c>
      <c r="BC237" s="6">
        <v>102557130363264</v>
      </c>
      <c r="BD237" s="6">
        <v>106691400878389</v>
      </c>
      <c r="BE237" s="6">
        <v>111937296435017</v>
      </c>
      <c r="BF237" s="6">
        <v>113746357327838</v>
      </c>
      <c r="BG237" s="6">
        <v>112027933888365</v>
      </c>
      <c r="BH237" s="6">
        <v>114343957098271</v>
      </c>
      <c r="BI237" s="6">
        <v>120590001148567</v>
      </c>
      <c r="BJ237" s="6">
        <v>106743403600451</v>
      </c>
      <c r="BK237" s="6">
        <v>10455913141579</v>
      </c>
      <c r="BL237" s="6">
        <v>106581303053644</v>
      </c>
      <c r="BM237" s="6">
        <v>10660883666461</v>
      </c>
    </row>
    <row r="238" spans="1:65" x14ac:dyDescent="0.45">
      <c r="A238" s="1" t="s">
        <v>232</v>
      </c>
      <c r="B238" s="2">
        <v>4048157</v>
      </c>
      <c r="C238" s="3" t="s">
        <v>1048</v>
      </c>
      <c r="D238" s="3" t="s">
        <v>1049</v>
      </c>
      <c r="E238" s="3" t="s">
        <v>944</v>
      </c>
      <c r="F238" s="5">
        <v>102311089255054</v>
      </c>
      <c r="G238" s="5">
        <v>111032941795283</v>
      </c>
      <c r="H238" s="5">
        <v>121861016190479</v>
      </c>
      <c r="I238" s="5">
        <v>111335483596659</v>
      </c>
      <c r="J238" s="5">
        <v>120930471807733</v>
      </c>
      <c r="K238" s="5">
        <v>126153044994963</v>
      </c>
      <c r="L238" s="5">
        <v>104005156962406</v>
      </c>
      <c r="M238" s="5">
        <v>108971478968736</v>
      </c>
      <c r="N238" s="5">
        <v>112376067214641</v>
      </c>
      <c r="O238" s="5">
        <v>122415992941196</v>
      </c>
      <c r="P238" s="5">
        <v>119617198235346</v>
      </c>
      <c r="Q238" s="5">
        <v>140368478241514</v>
      </c>
      <c r="R238" s="5">
        <v>160154482778447</v>
      </c>
      <c r="S238" s="5">
        <v>163874506941464</v>
      </c>
      <c r="T238" s="5">
        <v>147839995825697</v>
      </c>
      <c r="U238" s="5">
        <v>127121351203241</v>
      </c>
      <c r="V238" s="5">
        <v>13105743716536</v>
      </c>
      <c r="W238" s="5">
        <v>122082596729303</v>
      </c>
      <c r="X238" s="5">
        <v>112967943189797</v>
      </c>
      <c r="Y238" s="5">
        <v>984480298140648</v>
      </c>
      <c r="Z238" s="5">
        <v>938253765566584</v>
      </c>
      <c r="AA238" s="5">
        <v>893723326503785</v>
      </c>
      <c r="AB238" s="5">
        <v>882998634098641</v>
      </c>
      <c r="AC238" s="5">
        <v>821460676907185</v>
      </c>
      <c r="AD238" s="5">
        <v>857197847959046</v>
      </c>
      <c r="AE238" s="5">
        <v>773878761852453</v>
      </c>
      <c r="AF238" s="5">
        <v>706949897882452</v>
      </c>
      <c r="AG238" s="5">
        <v>727301554191409</v>
      </c>
      <c r="AH238" s="5">
        <v>756410061935669</v>
      </c>
      <c r="AI238" s="5">
        <v>675331432978817</v>
      </c>
      <c r="AJ238" s="5">
        <v>686335652347216</v>
      </c>
      <c r="AK238" s="5">
        <v>680985683182056</v>
      </c>
      <c r="AL238" s="5">
        <v>642453813451966</v>
      </c>
      <c r="AM238" s="5">
        <v>545204446059</v>
      </c>
      <c r="AN238" s="5">
        <v>629700468154635</v>
      </c>
      <c r="AO238" s="5">
        <v>658322654262016</v>
      </c>
      <c r="AP238" s="6">
        <v>56433550386211</v>
      </c>
      <c r="AQ238" s="6">
        <v>538132036097851</v>
      </c>
      <c r="AR238" s="6">
        <v>504242885846335</v>
      </c>
      <c r="AS238" s="6">
        <v>501673318668314</v>
      </c>
      <c r="AT238" s="6">
        <v>4005788870288</v>
      </c>
      <c r="AU238" s="6">
        <v>424307534178264</v>
      </c>
      <c r="AV238" s="6">
        <v>424680677090384</v>
      </c>
      <c r="AW238" s="6">
        <v>337244839257968</v>
      </c>
      <c r="AX238" s="6">
        <v>412197047978782</v>
      </c>
      <c r="AY238" s="6">
        <v>366546285088632</v>
      </c>
      <c r="AZ238" s="6">
        <v>385829205066912</v>
      </c>
      <c r="BA238" s="6">
        <v>35995170747276</v>
      </c>
      <c r="BB238" s="6">
        <v>342066686561706</v>
      </c>
      <c r="BC238" s="6">
        <v>356999765232422</v>
      </c>
      <c r="BD238" s="6">
        <v>35368854788671</v>
      </c>
      <c r="BE238" s="6">
        <v>392606899263446</v>
      </c>
      <c r="BF238" s="6">
        <v>428960374401936</v>
      </c>
      <c r="BG238" s="6">
        <v>405467807068116</v>
      </c>
      <c r="BH238" s="6">
        <v>399338456567918</v>
      </c>
      <c r="BI238" s="6">
        <v>415499436335138</v>
      </c>
      <c r="BJ238" s="6">
        <v>377374444333768</v>
      </c>
      <c r="BK238" s="6">
        <v>409407208019576</v>
      </c>
      <c r="BL238" s="6">
        <v>38879027700786</v>
      </c>
      <c r="BM238" s="6">
        <v>358237361409182</v>
      </c>
    </row>
    <row r="239" spans="1:65" x14ac:dyDescent="0.45">
      <c r="A239" s="1" t="s">
        <v>233</v>
      </c>
      <c r="B239" s="2">
        <v>4410647</v>
      </c>
      <c r="C239" s="3" t="s">
        <v>1050</v>
      </c>
      <c r="D239" s="3" t="s">
        <v>1051</v>
      </c>
      <c r="E239" s="3" t="s">
        <v>495</v>
      </c>
      <c r="F239" s="5">
        <v>877411463492371</v>
      </c>
      <c r="G239" s="5">
        <v>926564387696663</v>
      </c>
      <c r="H239" s="5">
        <v>880829102210373</v>
      </c>
      <c r="I239" s="5">
        <v>682622728806839</v>
      </c>
      <c r="J239" s="5">
        <v>729504050399212</v>
      </c>
      <c r="K239" s="5">
        <v>805852359146123</v>
      </c>
      <c r="L239" s="5">
        <v>689193579214</v>
      </c>
      <c r="M239" s="5">
        <v>761645569589017</v>
      </c>
      <c r="N239" s="5">
        <v>815088903057945</v>
      </c>
      <c r="O239" s="5">
        <v>975473809632292</v>
      </c>
      <c r="P239" s="5">
        <v>924907357352648</v>
      </c>
      <c r="Q239" s="5">
        <v>906366731307374</v>
      </c>
      <c r="R239" s="5">
        <v>112862731015514</v>
      </c>
      <c r="S239" s="5">
        <v>102796495742308</v>
      </c>
      <c r="T239" s="5">
        <v>111566937895662</v>
      </c>
      <c r="U239" s="5">
        <v>102064622319084</v>
      </c>
      <c r="V239" s="5">
        <v>10620828592263</v>
      </c>
      <c r="W239" s="5">
        <v>99249342353525</v>
      </c>
      <c r="X239" s="5">
        <v>91843922165619</v>
      </c>
      <c r="Y239" s="5">
        <v>818243344216812</v>
      </c>
      <c r="Z239" s="5">
        <v>851476881337194</v>
      </c>
      <c r="AA239" s="5">
        <v>745281336447762</v>
      </c>
      <c r="AB239" s="5">
        <v>716863468852296</v>
      </c>
      <c r="AC239" s="5">
        <v>724031080823405</v>
      </c>
      <c r="AD239" s="5">
        <v>78620725643877</v>
      </c>
      <c r="AE239" s="5">
        <v>714133146709486</v>
      </c>
      <c r="AF239" s="5">
        <v>672912686160724</v>
      </c>
      <c r="AG239" s="5">
        <v>707122166298931</v>
      </c>
      <c r="AH239" s="5">
        <v>715434977995487</v>
      </c>
      <c r="AI239" s="5">
        <v>678050794789402</v>
      </c>
      <c r="AJ239" s="5">
        <v>590495242122548</v>
      </c>
      <c r="AK239" s="5">
        <v>608438109166435</v>
      </c>
      <c r="AL239" s="5">
        <v>544599695125356</v>
      </c>
      <c r="AM239" s="5">
        <v>526123186826874</v>
      </c>
      <c r="AN239" s="5">
        <v>563137127231358</v>
      </c>
      <c r="AO239" s="5">
        <v>583555543350205</v>
      </c>
      <c r="AP239" s="6">
        <v>998691307574145</v>
      </c>
      <c r="AQ239" s="6">
        <v>106096563026566</v>
      </c>
      <c r="AR239" s="6">
        <v>977215635976941</v>
      </c>
      <c r="AS239" s="6">
        <v>103079607968097</v>
      </c>
      <c r="AT239" s="6">
        <v>10148458125873</v>
      </c>
      <c r="AU239" s="6">
        <v>969063701516295</v>
      </c>
      <c r="AV239" s="6">
        <v>90860124533593</v>
      </c>
      <c r="AW239" s="6">
        <v>908821785285376</v>
      </c>
      <c r="AX239" s="6">
        <v>102672714798265</v>
      </c>
      <c r="AY239" s="6">
        <v>954036736203474</v>
      </c>
      <c r="AZ239" s="6">
        <v>898817357245623</v>
      </c>
      <c r="BA239" s="6">
        <v>90121451920497</v>
      </c>
      <c r="BB239" s="6">
        <v>854166264108062</v>
      </c>
      <c r="BC239" s="6">
        <v>953730146172672</v>
      </c>
      <c r="BD239" s="6">
        <v>102281346935372</v>
      </c>
      <c r="BE239" s="6">
        <v>106337629202039</v>
      </c>
      <c r="BF239" s="6">
        <v>105346038899768</v>
      </c>
      <c r="BG239" s="6">
        <v>889669239944055</v>
      </c>
      <c r="BH239" s="6">
        <v>863624112394069</v>
      </c>
      <c r="BI239" s="6">
        <v>829092042485483</v>
      </c>
      <c r="BJ239" s="6">
        <v>764528366413068</v>
      </c>
      <c r="BK239" s="6">
        <v>75991743069927</v>
      </c>
      <c r="BL239" s="6">
        <v>74224123453935</v>
      </c>
      <c r="BM239" s="6">
        <v>773998811430691</v>
      </c>
    </row>
    <row r="240" spans="1:65" x14ac:dyDescent="0.45">
      <c r="A240" s="1" t="s">
        <v>234</v>
      </c>
      <c r="B240" s="2">
        <v>103661</v>
      </c>
      <c r="C240" s="3" t="s">
        <v>1052</v>
      </c>
      <c r="D240" s="3" t="s">
        <v>1053</v>
      </c>
      <c r="E240" s="3" t="s">
        <v>565</v>
      </c>
      <c r="F240" s="5">
        <v>765549981912374</v>
      </c>
      <c r="G240" s="5">
        <v>842759856295594</v>
      </c>
      <c r="H240" s="5">
        <v>704844023813131</v>
      </c>
      <c r="I240" s="5">
        <v>635608686860632</v>
      </c>
      <c r="J240" s="5">
        <v>743966463982432</v>
      </c>
      <c r="K240" s="5">
        <v>791245343802307</v>
      </c>
      <c r="L240" s="5">
        <v>702102342813152</v>
      </c>
      <c r="M240" s="5">
        <v>820265897214816</v>
      </c>
      <c r="N240" s="5">
        <v>793599950349408</v>
      </c>
      <c r="O240" s="5">
        <v>944167611415157</v>
      </c>
      <c r="P240" s="5">
        <v>871473889444392</v>
      </c>
      <c r="Q240" s="5">
        <v>933059894203641</v>
      </c>
      <c r="R240" s="5">
        <v>933550525696426</v>
      </c>
      <c r="S240" s="5">
        <v>913704348063399</v>
      </c>
      <c r="T240" s="5">
        <v>101348139698597</v>
      </c>
      <c r="U240" s="5">
        <v>959792172108067</v>
      </c>
      <c r="V240" s="5">
        <v>989736314332953</v>
      </c>
      <c r="W240" s="5">
        <v>948268081797456</v>
      </c>
      <c r="X240" s="5">
        <v>104029911894053</v>
      </c>
      <c r="Y240" s="5">
        <v>10802046246504</v>
      </c>
      <c r="Z240" s="5">
        <v>103573158377139</v>
      </c>
      <c r="AA240" s="5">
        <v>99117275050092</v>
      </c>
      <c r="AB240" s="5">
        <v>850666869425406</v>
      </c>
      <c r="AC240" s="5">
        <v>779126147878075</v>
      </c>
      <c r="AD240" s="5">
        <v>654507750851483</v>
      </c>
      <c r="AE240" s="5">
        <v>623760593323443</v>
      </c>
      <c r="AF240" s="5">
        <v>516737808670008</v>
      </c>
      <c r="AG240" s="5">
        <v>446160329560632</v>
      </c>
      <c r="AH240" s="5">
        <v>39177414560067</v>
      </c>
      <c r="AI240" s="5">
        <v>389685491622835</v>
      </c>
      <c r="AJ240" s="5">
        <v>438765546034306</v>
      </c>
      <c r="AK240" s="5">
        <v>328982976960869</v>
      </c>
      <c r="AL240" s="5">
        <v>361588751627413</v>
      </c>
      <c r="AM240" s="5">
        <v>37917897152408</v>
      </c>
      <c r="AN240" s="5">
        <v>594325008774</v>
      </c>
      <c r="AO240" s="5">
        <v>7082832361825</v>
      </c>
      <c r="AP240" s="6">
        <v>106662820381245</v>
      </c>
      <c r="AQ240" s="6">
        <v>111041084218635</v>
      </c>
      <c r="AR240" s="6">
        <v>113751503241838</v>
      </c>
      <c r="AS240" s="6">
        <v>113702767280555</v>
      </c>
      <c r="AT240" s="6">
        <v>109470974224169</v>
      </c>
      <c r="AU240" s="6">
        <v>101275281599365</v>
      </c>
      <c r="AV240" s="6">
        <v>101311752060312</v>
      </c>
      <c r="AW240" s="6">
        <v>922692402633493</v>
      </c>
      <c r="AX240" s="6">
        <v>970499459411685</v>
      </c>
      <c r="AY240" s="6">
        <v>934683250976937</v>
      </c>
      <c r="AZ240" s="6">
        <v>903876925313195</v>
      </c>
      <c r="BA240" s="6">
        <v>80519675139288</v>
      </c>
      <c r="BB240" s="6">
        <v>726749535840051</v>
      </c>
      <c r="BC240" s="6">
        <v>825126966444211</v>
      </c>
      <c r="BD240" s="6">
        <v>941420386441948</v>
      </c>
      <c r="BE240" s="6">
        <v>934346963771145</v>
      </c>
      <c r="BF240" s="6">
        <v>888638021586107</v>
      </c>
      <c r="BG240" s="6">
        <v>819412992743815</v>
      </c>
      <c r="BH240" s="6">
        <v>771592883806731</v>
      </c>
      <c r="BI240" s="6">
        <v>78806457826344</v>
      </c>
      <c r="BJ240" s="6">
        <v>681582887268823</v>
      </c>
      <c r="BK240" s="6">
        <v>681450311206392</v>
      </c>
      <c r="BL240" s="6">
        <v>708472140490296</v>
      </c>
      <c r="BM240" s="6">
        <v>788941931664913</v>
      </c>
    </row>
    <row r="241" spans="1:65" x14ac:dyDescent="0.45">
      <c r="A241" s="1" t="s">
        <v>235</v>
      </c>
      <c r="B241" s="2">
        <v>4426247</v>
      </c>
      <c r="C241" s="3" t="s">
        <v>1054</v>
      </c>
      <c r="D241" s="3" t="s">
        <v>1055</v>
      </c>
      <c r="E241" s="3" t="s">
        <v>1056</v>
      </c>
      <c r="F241" s="5">
        <v>169569329048725</v>
      </c>
      <c r="G241" s="5">
        <v>193458110791507</v>
      </c>
      <c r="H241" s="5">
        <v>195945240703932</v>
      </c>
      <c r="I241" s="5">
        <v>210199688386432</v>
      </c>
      <c r="J241" s="5">
        <v>219866361102805</v>
      </c>
      <c r="K241" s="5">
        <v>233554292422039</v>
      </c>
      <c r="L241" s="5">
        <v>207727754754138</v>
      </c>
      <c r="M241" s="5">
        <v>214581560248302</v>
      </c>
      <c r="N241" s="5">
        <v>230610941607783</v>
      </c>
      <c r="O241" s="5">
        <v>219788008282081</v>
      </c>
      <c r="P241" s="5">
        <v>204541188954921</v>
      </c>
      <c r="Q241" s="5">
        <v>223667371287395</v>
      </c>
      <c r="R241" s="5">
        <v>237916524334854</v>
      </c>
      <c r="S241" s="5">
        <v>21411086096644</v>
      </c>
      <c r="T241" s="5">
        <v>21288528907602</v>
      </c>
      <c r="U241" s="5">
        <v>196644219345603</v>
      </c>
      <c r="V241" s="5">
        <v>20112245360152</v>
      </c>
      <c r="W241" s="5">
        <v>197695501896881</v>
      </c>
      <c r="X241" s="5">
        <v>178528252623675</v>
      </c>
      <c r="Y241" s="5">
        <v>168930129583882</v>
      </c>
      <c r="Z241" s="5">
        <v>165443864707941</v>
      </c>
      <c r="AA241" s="5">
        <v>154598651399674</v>
      </c>
      <c r="AB241" s="5">
        <v>136610560005787</v>
      </c>
      <c r="AC241" s="5">
        <v>13612918740356</v>
      </c>
      <c r="AD241" s="5">
        <v>13609626163452</v>
      </c>
      <c r="AE241" s="5">
        <v>134039864063364</v>
      </c>
      <c r="AF241" s="5">
        <v>131119033329418</v>
      </c>
      <c r="AG241" s="5">
        <v>133610254717482</v>
      </c>
      <c r="AH241" s="5">
        <v>134242037147136</v>
      </c>
      <c r="AI241" s="5">
        <v>141287339684048</v>
      </c>
      <c r="AJ241" s="5">
        <v>137118880882223</v>
      </c>
      <c r="AK241" s="5">
        <v>128638302040395</v>
      </c>
      <c r="AL241" s="5">
        <v>117554174778719</v>
      </c>
      <c r="AM241" s="5">
        <v>105378324606737</v>
      </c>
      <c r="AN241" s="5">
        <v>141365396088136</v>
      </c>
      <c r="AO241" s="5">
        <v>152817583165196</v>
      </c>
      <c r="AP241" s="6">
        <v>342103294239022</v>
      </c>
      <c r="AQ241" s="6">
        <v>328420629159312</v>
      </c>
      <c r="AR241" s="6">
        <v>311753402356028</v>
      </c>
      <c r="AS241" s="6">
        <v>313148596828538</v>
      </c>
      <c r="AT241" s="6">
        <v>308003580581969</v>
      </c>
      <c r="AU241" s="6">
        <v>308789413230957</v>
      </c>
      <c r="AV241" s="6">
        <v>324976898687594</v>
      </c>
      <c r="AW241" s="6">
        <v>312379722706729</v>
      </c>
      <c r="AX241" s="6">
        <v>335565205460541</v>
      </c>
      <c r="AY241" s="6">
        <v>33165596308198</v>
      </c>
      <c r="AZ241" s="6">
        <v>319532911397087</v>
      </c>
      <c r="BA241" s="6">
        <v>311589089343976</v>
      </c>
      <c r="BB241" s="6">
        <v>30229182497598</v>
      </c>
      <c r="BC241" s="6">
        <v>347965400212236</v>
      </c>
      <c r="BD241" s="6">
        <v>331710159710254</v>
      </c>
      <c r="BE241" s="6">
        <v>319041181739062</v>
      </c>
      <c r="BF241" s="6">
        <v>311294766537022</v>
      </c>
      <c r="BG241" s="6">
        <v>30372220955442</v>
      </c>
      <c r="BH241" s="6">
        <v>278944974881081</v>
      </c>
      <c r="BI241" s="6">
        <v>275183420485569</v>
      </c>
      <c r="BJ241" s="6">
        <v>281030696743731</v>
      </c>
      <c r="BK241" s="6">
        <v>279562117851898</v>
      </c>
      <c r="BL241" s="6">
        <v>285384852783281</v>
      </c>
      <c r="BM241" s="6">
        <v>298448040369867</v>
      </c>
    </row>
    <row r="242" spans="1:65" x14ac:dyDescent="0.45">
      <c r="A242" s="1" t="s">
        <v>236</v>
      </c>
      <c r="B242" s="2">
        <v>4326091</v>
      </c>
      <c r="C242" s="3" t="s">
        <v>1057</v>
      </c>
      <c r="D242" s="3" t="s">
        <v>1058</v>
      </c>
      <c r="E242" s="3" t="s">
        <v>513</v>
      </c>
      <c r="F242" s="5">
        <v>356092549384782</v>
      </c>
      <c r="G242" s="5">
        <v>392680401080819</v>
      </c>
      <c r="H242" s="5">
        <v>393841790724432</v>
      </c>
      <c r="I242" s="5">
        <v>34452970559716</v>
      </c>
      <c r="J242" s="5">
        <v>39381170681404</v>
      </c>
      <c r="K242" s="5">
        <v>439339400384144</v>
      </c>
      <c r="L242" s="5">
        <v>392891478559282</v>
      </c>
      <c r="M242" s="5">
        <v>379759092796834</v>
      </c>
      <c r="N242" s="5">
        <v>391525029671439</v>
      </c>
      <c r="O242" s="5">
        <v>397361549203027</v>
      </c>
      <c r="P242" s="5">
        <v>391226718611958</v>
      </c>
      <c r="Q242" s="5">
        <v>417701602840867</v>
      </c>
      <c r="R242" s="5">
        <v>473941687153147</v>
      </c>
      <c r="S242" s="5">
        <v>439200072612721</v>
      </c>
      <c r="T242" s="5">
        <v>43189449284708</v>
      </c>
      <c r="U242" s="5">
        <v>396015012100567</v>
      </c>
      <c r="V242" s="5">
        <v>421630025232493</v>
      </c>
      <c r="W242" s="5">
        <v>400107828625407</v>
      </c>
      <c r="X242" s="5">
        <v>391703093156157</v>
      </c>
      <c r="Y242" s="5">
        <v>377670796630027</v>
      </c>
      <c r="Z242" s="5">
        <v>373926728178337</v>
      </c>
      <c r="AA242" s="5">
        <v>315562921263936</v>
      </c>
      <c r="AB242" s="5">
        <v>305563522030572</v>
      </c>
      <c r="AC242" s="5">
        <v>280823891339359</v>
      </c>
      <c r="AD242" s="5">
        <v>280823574991825</v>
      </c>
      <c r="AE242" s="5">
        <v>271088618089049</v>
      </c>
      <c r="AF242" s="5">
        <v>253344178767762</v>
      </c>
      <c r="AG242" s="5">
        <v>256757760827859</v>
      </c>
      <c r="AH242" s="5">
        <v>261996992009113</v>
      </c>
      <c r="AI242" s="5">
        <v>256087086399967</v>
      </c>
      <c r="AJ242" s="5">
        <v>240756749324759</v>
      </c>
      <c r="AK242" s="5">
        <v>25683336284408</v>
      </c>
      <c r="AL242" s="5">
        <v>248905079861082</v>
      </c>
      <c r="AM242" s="5">
        <v>189254424664942</v>
      </c>
      <c r="AN242" s="5">
        <v>244565109370909</v>
      </c>
      <c r="AO242" s="5">
        <v>271721482737705</v>
      </c>
      <c r="AP242" s="6">
        <v>279845485868932</v>
      </c>
      <c r="AQ242" s="6">
        <v>299870208308306</v>
      </c>
      <c r="AR242" s="6">
        <v>309301827765955</v>
      </c>
      <c r="AS242" s="6">
        <v>320283978792707</v>
      </c>
      <c r="AT242" s="6">
        <v>308843540570419</v>
      </c>
      <c r="AU242" s="6">
        <v>30341902938</v>
      </c>
      <c r="AV242" s="6">
        <v>288894011109701</v>
      </c>
      <c r="AW242" s="6">
        <v>310393731730518</v>
      </c>
      <c r="AX242" s="6">
        <v>305473680717187</v>
      </c>
      <c r="AY242" s="6">
        <v>300406206064833</v>
      </c>
      <c r="AZ242" s="6">
        <v>282672618632661</v>
      </c>
      <c r="BA242" s="6">
        <v>272423762521416</v>
      </c>
      <c r="BB242" s="6">
        <v>239297172864376</v>
      </c>
      <c r="BC242" s="6">
        <v>283849622193562</v>
      </c>
      <c r="BD242" s="6">
        <v>261248848388246</v>
      </c>
      <c r="BE242" s="6">
        <v>278628182415345</v>
      </c>
      <c r="BF242" s="6">
        <v>300959087338428</v>
      </c>
      <c r="BG242" s="6">
        <v>296451676455</v>
      </c>
      <c r="BH242" s="6">
        <v>264510638790179</v>
      </c>
      <c r="BI242" s="6">
        <v>265566255080257</v>
      </c>
      <c r="BJ242" s="6">
        <v>25978800373482</v>
      </c>
      <c r="BK242" s="6">
        <v>26540062399664</v>
      </c>
      <c r="BL242" s="6">
        <v>2796570095319</v>
      </c>
      <c r="BM242" s="6">
        <v>291319637427</v>
      </c>
    </row>
    <row r="243" spans="1:65" x14ac:dyDescent="0.45">
      <c r="A243" s="1" t="s">
        <v>237</v>
      </c>
      <c r="B243" s="2">
        <v>4094831</v>
      </c>
      <c r="C243" s="3" t="s">
        <v>1059</v>
      </c>
      <c r="D243" s="3" t="s">
        <v>1060</v>
      </c>
      <c r="E243" s="3" t="s">
        <v>1061</v>
      </c>
      <c r="F243" s="5">
        <v>135602530523819</v>
      </c>
      <c r="G243" s="5">
        <v>153159204732146</v>
      </c>
      <c r="H243" s="5">
        <v>147190611597865</v>
      </c>
      <c r="I243" s="5">
        <v>130344882369052</v>
      </c>
      <c r="J243" s="5">
        <v>151843541257663</v>
      </c>
      <c r="K243" s="5">
        <v>138131781296586</v>
      </c>
      <c r="L243" s="5">
        <v>135334423334415</v>
      </c>
      <c r="M243" s="5">
        <v>145978668758122</v>
      </c>
      <c r="N243" s="5">
        <v>148141048063226</v>
      </c>
      <c r="O243" s="5">
        <v>144890975843672</v>
      </c>
      <c r="P243" s="5">
        <v>1269304919728</v>
      </c>
      <c r="Q243" s="5">
        <v>118707696401172</v>
      </c>
      <c r="R243" s="5">
        <v>13323263715038</v>
      </c>
      <c r="S243" s="5">
        <v>116730050165873</v>
      </c>
      <c r="T243" s="5">
        <v>114248457585342</v>
      </c>
      <c r="U243" s="5">
        <v>108514792950392</v>
      </c>
      <c r="V243" s="5">
        <v>117097696504932</v>
      </c>
      <c r="W243" s="5">
        <v>106511975530409</v>
      </c>
      <c r="X243" s="5">
        <v>103055887469626</v>
      </c>
      <c r="Y243" s="5">
        <v>103147940716059</v>
      </c>
      <c r="Z243" s="5">
        <v>962909149999232</v>
      </c>
      <c r="AA243" s="5">
        <v>90946477304118</v>
      </c>
      <c r="AB243" s="5">
        <v>829324486873102</v>
      </c>
      <c r="AC243" s="5">
        <v>799310830355037</v>
      </c>
      <c r="AD243" s="5">
        <v>69449005973655</v>
      </c>
      <c r="AE243" s="5">
        <v>663060651994125</v>
      </c>
      <c r="AF243" s="5">
        <v>644359749023343</v>
      </c>
      <c r="AG243" s="5">
        <v>657392063565412</v>
      </c>
      <c r="AH243" s="5">
        <v>725277531150092</v>
      </c>
      <c r="AI243" s="5">
        <v>685996251931697</v>
      </c>
      <c r="AJ243" s="5">
        <v>667671155288838</v>
      </c>
      <c r="AK243" s="5">
        <v>667056813280536</v>
      </c>
      <c r="AL243" s="5">
        <v>636275709107696</v>
      </c>
      <c r="AM243" s="5">
        <v>6223280130158</v>
      </c>
      <c r="AN243" s="5">
        <v>794556184346406</v>
      </c>
      <c r="AO243" s="5">
        <v>818709596342132</v>
      </c>
      <c r="AP243" s="6">
        <v>389553337269719</v>
      </c>
      <c r="AQ243" s="6">
        <v>375021170692536</v>
      </c>
      <c r="AR243" s="6">
        <v>35827549402715</v>
      </c>
      <c r="AS243" s="6">
        <v>345064695390594</v>
      </c>
      <c r="AT243" s="6">
        <v>319332626476394</v>
      </c>
      <c r="AU243" s="6">
        <v>338057032876068</v>
      </c>
      <c r="AV243" s="6">
        <v>318673357808497</v>
      </c>
      <c r="AW243" s="6">
        <v>308316460057021</v>
      </c>
      <c r="AX243" s="6">
        <v>33634741960691</v>
      </c>
      <c r="AY243" s="6">
        <v>295418122329999</v>
      </c>
      <c r="AZ243" s="6">
        <v>30014301454431</v>
      </c>
      <c r="BA243" s="6">
        <v>300426414857946</v>
      </c>
      <c r="BB243" s="6">
        <v>283488543459326</v>
      </c>
      <c r="BC243" s="6">
        <v>326518890623218</v>
      </c>
      <c r="BD243" s="6">
        <v>320255246500689</v>
      </c>
      <c r="BE243" s="6">
        <v>326367795527162</v>
      </c>
      <c r="BF243" s="6">
        <v>331708436486813</v>
      </c>
      <c r="BG243" s="6">
        <v>334387293722489</v>
      </c>
      <c r="BH243" s="6">
        <v>304038049592302</v>
      </c>
      <c r="BI243" s="6">
        <v>312455733242215</v>
      </c>
      <c r="BJ243" s="6">
        <v>306701256970197</v>
      </c>
      <c r="BK243" s="6">
        <v>304984874905918</v>
      </c>
      <c r="BL243" s="6">
        <v>323969691516471</v>
      </c>
      <c r="BM243" s="6">
        <v>322635777763981</v>
      </c>
    </row>
    <row r="244" spans="1:65" x14ac:dyDescent="0.45">
      <c r="A244" s="1" t="s">
        <v>238</v>
      </c>
      <c r="B244" s="2">
        <v>4994170</v>
      </c>
      <c r="C244" s="3" t="s">
        <v>1062</v>
      </c>
      <c r="D244" s="3" t="s">
        <v>1063</v>
      </c>
      <c r="E244" s="3" t="s">
        <v>1064</v>
      </c>
      <c r="F244" s="5">
        <v>168919909940038</v>
      </c>
      <c r="G244" s="5">
        <v>184625999649913</v>
      </c>
      <c r="H244" s="5">
        <v>17912221032867</v>
      </c>
      <c r="I244" s="5">
        <v>165599731742556</v>
      </c>
      <c r="J244" s="5">
        <v>179372976465315</v>
      </c>
      <c r="K244" s="5">
        <v>186529283571448</v>
      </c>
      <c r="L244" s="5">
        <v>157841327003732</v>
      </c>
      <c r="M244" s="5">
        <v>168556495071157</v>
      </c>
      <c r="N244" s="5">
        <v>169983116137282</v>
      </c>
      <c r="O244" s="5">
        <v>189518427848373</v>
      </c>
      <c r="P244" s="5">
        <v>189473563116683</v>
      </c>
      <c r="Q244" s="5">
        <v>18065628332928</v>
      </c>
      <c r="R244" s="5">
        <v>188740335738856</v>
      </c>
      <c r="S244" s="5">
        <v>178100571732327</v>
      </c>
      <c r="T244" s="5">
        <v>179080099320674</v>
      </c>
      <c r="U244" s="5">
        <v>151774115261359</v>
      </c>
      <c r="V244" s="5">
        <v>158102565419717</v>
      </c>
      <c r="W244" s="5">
        <v>150056368498701</v>
      </c>
      <c r="X244" s="5">
        <v>145225808667222</v>
      </c>
      <c r="Y244" s="5">
        <v>148730429849614</v>
      </c>
      <c r="Z244" s="5">
        <v>149959016971003</v>
      </c>
      <c r="AA244" s="5">
        <v>151364959853738</v>
      </c>
      <c r="AB244" s="5">
        <v>128313250821033</v>
      </c>
      <c r="AC244" s="5">
        <v>11720505461832</v>
      </c>
      <c r="AD244" s="5">
        <v>118055413716131</v>
      </c>
      <c r="AE244" s="5">
        <v>119616715654091</v>
      </c>
      <c r="AF244" s="5">
        <v>110397619678968</v>
      </c>
      <c r="AG244" s="5">
        <v>113552368208774</v>
      </c>
      <c r="AH244" s="5">
        <v>124036095532313</v>
      </c>
      <c r="AI244" s="5">
        <v>115405720748859</v>
      </c>
      <c r="AJ244" s="5">
        <v>112773404063405</v>
      </c>
      <c r="AK244" s="5">
        <v>113521163190234</v>
      </c>
      <c r="AL244" s="5">
        <v>982191869921011</v>
      </c>
      <c r="AM244" s="5">
        <v>89182402154573</v>
      </c>
      <c r="AN244" s="5">
        <v>9314125137996</v>
      </c>
      <c r="AO244" s="5">
        <v>1034013931918</v>
      </c>
      <c r="AP244" s="6">
        <v>177645686960348</v>
      </c>
      <c r="AQ244" s="6">
        <v>173336495670973</v>
      </c>
      <c r="AR244" s="6">
        <v>15878396762834</v>
      </c>
      <c r="AS244" s="6">
        <v>164143814517243</v>
      </c>
      <c r="AT244" s="6">
        <v>151419041710287</v>
      </c>
      <c r="AU244" s="6">
        <v>166422507440023</v>
      </c>
      <c r="AV244" s="6">
        <v>157279901681214</v>
      </c>
      <c r="AW244" s="6">
        <v>144454340603866</v>
      </c>
      <c r="AX244" s="6">
        <v>1586991226275</v>
      </c>
      <c r="AY244" s="6">
        <v>141565708470533</v>
      </c>
      <c r="AZ244" s="6">
        <v>156435199716162</v>
      </c>
      <c r="BA244" s="6">
        <v>1465873017993</v>
      </c>
      <c r="BB244" s="6">
        <v>133546001070955</v>
      </c>
      <c r="BC244" s="6">
        <v>167572079081487</v>
      </c>
      <c r="BD244" s="6">
        <v>168792457609524</v>
      </c>
      <c r="BE244" s="6">
        <v>180101456323671</v>
      </c>
      <c r="BF244" s="6">
        <v>190963539586424</v>
      </c>
      <c r="BG244" s="6">
        <v>1888458781376</v>
      </c>
      <c r="BH244" s="6">
        <v>177804574098247</v>
      </c>
      <c r="BI244" s="6">
        <v>17701845476451</v>
      </c>
      <c r="BJ244" s="6">
        <v>17569090997616</v>
      </c>
      <c r="BK244" s="6">
        <v>167277452685079</v>
      </c>
      <c r="BL244" s="6">
        <v>183556937031905</v>
      </c>
      <c r="BM244" s="6">
        <v>185005949488063</v>
      </c>
    </row>
    <row r="245" spans="1:65" x14ac:dyDescent="0.45">
      <c r="A245" s="1" t="s">
        <v>239</v>
      </c>
      <c r="B245" s="2">
        <v>4069059</v>
      </c>
      <c r="C245" s="3" t="s">
        <v>1065</v>
      </c>
      <c r="D245" s="3" t="s">
        <v>1066</v>
      </c>
      <c r="E245" s="3" t="s">
        <v>1067</v>
      </c>
      <c r="F245" s="5">
        <v>8565935509362</v>
      </c>
      <c r="G245" s="5">
        <v>942505581974315</v>
      </c>
      <c r="H245" s="5">
        <v>874827915526028</v>
      </c>
      <c r="I245" s="5">
        <v>809545300618959</v>
      </c>
      <c r="J245" s="5">
        <v>823565029089582</v>
      </c>
      <c r="K245" s="5">
        <v>80025043462285</v>
      </c>
      <c r="L245" s="5">
        <v>691783068643454</v>
      </c>
      <c r="M245" s="5">
        <v>809773594308214</v>
      </c>
      <c r="N245" s="5">
        <v>773582755909115</v>
      </c>
      <c r="O245" s="5">
        <v>797333299110744</v>
      </c>
      <c r="P245" s="5">
        <v>738654774850648</v>
      </c>
      <c r="Q245" s="5">
        <v>787704435629654</v>
      </c>
      <c r="R245" s="5">
        <v>891792983005879</v>
      </c>
      <c r="S245" s="5">
        <v>743417063660862</v>
      </c>
      <c r="T245" s="5">
        <v>743240704305162</v>
      </c>
      <c r="U245" s="5">
        <v>734421874407468</v>
      </c>
      <c r="V245" s="5">
        <v>763272516747408</v>
      </c>
      <c r="W245" s="5">
        <v>73195128714786</v>
      </c>
      <c r="X245" s="5">
        <v>72938392599029</v>
      </c>
      <c r="Y245" s="5">
        <v>689190873181267</v>
      </c>
      <c r="Z245" s="5">
        <v>64841310389684</v>
      </c>
      <c r="AA245" s="5">
        <v>667386945187968</v>
      </c>
      <c r="AB245" s="5">
        <v>535828039519999</v>
      </c>
      <c r="AC245" s="5">
        <v>511808905257539</v>
      </c>
      <c r="AD245" s="5">
        <v>523025429544982</v>
      </c>
      <c r="AE245" s="5">
        <v>478242220902264</v>
      </c>
      <c r="AF245" s="5">
        <v>425282849217624</v>
      </c>
      <c r="AG245" s="5">
        <v>439182347451636</v>
      </c>
      <c r="AH245" s="5">
        <v>430009962666288</v>
      </c>
      <c r="AI245" s="5">
        <v>443567906486943</v>
      </c>
      <c r="AJ245" s="5">
        <v>429230683553837</v>
      </c>
      <c r="AK245" s="5">
        <v>405626384550464</v>
      </c>
      <c r="AL245" s="5">
        <v>391820126662166</v>
      </c>
      <c r="AM245" s="5">
        <v>34019122824414</v>
      </c>
      <c r="AN245" s="5">
        <v>443236039179034</v>
      </c>
      <c r="AO245" s="5">
        <v>533512158259014</v>
      </c>
      <c r="AP245" s="6">
        <v>172342070028046</v>
      </c>
      <c r="AQ245" s="6">
        <v>182214026377839</v>
      </c>
      <c r="AR245" s="6">
        <v>16980749488919</v>
      </c>
      <c r="AS245" s="6">
        <v>167296977827152</v>
      </c>
      <c r="AT245" s="6">
        <v>165190734396757</v>
      </c>
      <c r="AU245" s="6">
        <v>151352911131084</v>
      </c>
      <c r="AV245" s="6">
        <v>148513990760372</v>
      </c>
      <c r="AW245" s="6">
        <v>126825583520593</v>
      </c>
      <c r="AX245" s="6">
        <v>146018877672008</v>
      </c>
      <c r="AY245" s="6">
        <v>146058214312296</v>
      </c>
      <c r="AZ245" s="6">
        <v>139158403562239</v>
      </c>
      <c r="BA245" s="6">
        <v>121253094631274</v>
      </c>
      <c r="BB245" s="6">
        <v>101740625393454</v>
      </c>
      <c r="BC245" s="6">
        <v>101882525184</v>
      </c>
      <c r="BD245" s="6">
        <v>945203050026972</v>
      </c>
      <c r="BE245" s="6">
        <v>106922449324366</v>
      </c>
      <c r="BF245" s="6">
        <v>104777408343277</v>
      </c>
      <c r="BG245" s="6">
        <v>9313465602323</v>
      </c>
      <c r="BH245" s="6">
        <v>950770137483796</v>
      </c>
      <c r="BI245" s="6">
        <v>94162645962</v>
      </c>
      <c r="BJ245" s="6">
        <v>802576853481293</v>
      </c>
      <c r="BK245" s="6">
        <v>798867342512055</v>
      </c>
      <c r="BL245" s="6">
        <v>721943236719432</v>
      </c>
      <c r="BM245" s="6">
        <v>703406062883296</v>
      </c>
    </row>
    <row r="246" spans="1:65" x14ac:dyDescent="0.45">
      <c r="A246" s="1" t="s">
        <v>240</v>
      </c>
      <c r="B246" s="2">
        <v>3008229</v>
      </c>
      <c r="C246" s="3" t="s">
        <v>1068</v>
      </c>
      <c r="D246" s="3" t="s">
        <v>1069</v>
      </c>
      <c r="E246" s="3" t="s">
        <v>553</v>
      </c>
      <c r="F246" s="5">
        <v>11983512199464</v>
      </c>
      <c r="G246" s="5">
        <v>133944419918519</v>
      </c>
      <c r="H246" s="5">
        <v>146720122723831</v>
      </c>
      <c r="I246" s="5">
        <v>13551095066812</v>
      </c>
      <c r="J246" s="5">
        <v>139124329685579</v>
      </c>
      <c r="K246" s="5">
        <v>148417830866384</v>
      </c>
      <c r="L246" s="5">
        <v>125473228158075</v>
      </c>
      <c r="M246" s="5">
        <v>127760739161202</v>
      </c>
      <c r="N246" s="5">
        <v>131006744816012</v>
      </c>
      <c r="O246" s="5">
        <v>129180255119355</v>
      </c>
      <c r="P246" s="5">
        <v>114656023255332</v>
      </c>
      <c r="Q246" s="5">
        <v>110928842777526</v>
      </c>
      <c r="R246" s="5">
        <v>108717636232848</v>
      </c>
      <c r="S246" s="5">
        <v>996045394041235</v>
      </c>
      <c r="T246" s="5">
        <v>10653796360303</v>
      </c>
      <c r="U246" s="5">
        <v>10476753204001</v>
      </c>
      <c r="V246" s="5">
        <v>110598479224749</v>
      </c>
      <c r="W246" s="5">
        <v>108873169717252</v>
      </c>
      <c r="X246" s="5">
        <v>10230512312782</v>
      </c>
      <c r="Y246" s="5">
        <v>938299708991812</v>
      </c>
      <c r="Z246" s="5">
        <v>102978631805788</v>
      </c>
      <c r="AA246" s="5">
        <v>983416165128336</v>
      </c>
      <c r="AB246" s="5">
        <v>933358995826254</v>
      </c>
      <c r="AC246" s="5">
        <v>910284027789234</v>
      </c>
      <c r="AD246" s="5">
        <v>101063080892603</v>
      </c>
      <c r="AE246" s="5">
        <v>102715125261575</v>
      </c>
      <c r="AF246" s="5">
        <v>970973512928</v>
      </c>
      <c r="AG246" s="5">
        <v>106119541963535</v>
      </c>
      <c r="AH246" s="5">
        <v>106052239704304</v>
      </c>
      <c r="AI246" s="5">
        <v>115472479014576</v>
      </c>
      <c r="AJ246" s="5">
        <v>125288500773393</v>
      </c>
      <c r="AK246" s="5">
        <v>124640726455865</v>
      </c>
      <c r="AL246" s="5">
        <v>114696603916727</v>
      </c>
      <c r="AM246" s="5">
        <v>10838054434298</v>
      </c>
      <c r="AN246" s="5">
        <v>105855535222813</v>
      </c>
      <c r="AO246" s="5">
        <v>103776404509923</v>
      </c>
      <c r="AP246" s="6">
        <v>420179582279372</v>
      </c>
      <c r="AQ246" s="6">
        <v>424195135076882</v>
      </c>
      <c r="AR246" s="6">
        <v>408647063724222</v>
      </c>
      <c r="AS246" s="6">
        <v>44832027756297</v>
      </c>
      <c r="AT246" s="6">
        <v>441517243739709</v>
      </c>
      <c r="AU246" s="6">
        <v>419438537610563</v>
      </c>
      <c r="AV246" s="6">
        <v>402675313426131</v>
      </c>
      <c r="AW246" s="6">
        <v>394436791225443</v>
      </c>
      <c r="AX246" s="6">
        <v>393917766853695</v>
      </c>
      <c r="AY246" s="6">
        <v>379879208149518</v>
      </c>
      <c r="AZ246" s="6">
        <v>353380805036795</v>
      </c>
      <c r="BA246" s="6">
        <v>336724794317871</v>
      </c>
      <c r="BB246" s="6">
        <v>344622034312043</v>
      </c>
      <c r="BC246" s="6">
        <v>352862569329274</v>
      </c>
      <c r="BD246" s="6">
        <v>319113003313807</v>
      </c>
      <c r="BE246" s="6">
        <v>340050506766539</v>
      </c>
      <c r="BF246" s="6">
        <v>346057322593411</v>
      </c>
      <c r="BG246" s="6">
        <v>338254548233932</v>
      </c>
      <c r="BH246" s="6">
        <v>315398441522245</v>
      </c>
      <c r="BI246" s="6">
        <v>302166313782334</v>
      </c>
      <c r="BJ246" s="6">
        <v>299556067547991</v>
      </c>
      <c r="BK246" s="6">
        <v>31351036986794</v>
      </c>
      <c r="BL246" s="6">
        <v>318593793872718</v>
      </c>
      <c r="BM246" s="6">
        <v>3302316693</v>
      </c>
    </row>
    <row r="247" spans="1:65" x14ac:dyDescent="0.45">
      <c r="A247" s="1" t="s">
        <v>241</v>
      </c>
      <c r="B247" s="2">
        <v>4004212</v>
      </c>
      <c r="C247" s="3" t="s">
        <v>1070</v>
      </c>
      <c r="D247" s="3" t="s">
        <v>1071</v>
      </c>
      <c r="E247" s="3" t="s">
        <v>892</v>
      </c>
      <c r="F247" s="5">
        <v>142247117411082</v>
      </c>
      <c r="G247" s="5">
        <v>155017075476156</v>
      </c>
      <c r="H247" s="5">
        <v>148688592184634</v>
      </c>
      <c r="I247" s="5">
        <v>141180426055903</v>
      </c>
      <c r="J247" s="5">
        <v>157842375585495</v>
      </c>
      <c r="K247" s="5">
        <v>173143776280306</v>
      </c>
      <c r="L247" s="5">
        <v>156426910900315</v>
      </c>
      <c r="M247" s="5">
        <v>167958771232773</v>
      </c>
      <c r="N247" s="5">
        <v>16988131167236</v>
      </c>
      <c r="O247" s="5">
        <v>160301789347026</v>
      </c>
      <c r="P247" s="5">
        <v>141532984283925</v>
      </c>
      <c r="Q247" s="5">
        <v>150456800749513</v>
      </c>
      <c r="R247" s="5">
        <v>158483214152942</v>
      </c>
      <c r="S247" s="5">
        <v>163093306462099</v>
      </c>
      <c r="T247" s="5">
        <v>15824758769133</v>
      </c>
      <c r="U247" s="5">
        <v>149010469524922</v>
      </c>
      <c r="V247" s="5">
        <v>148999038344701</v>
      </c>
      <c r="W247" s="5">
        <v>148466056944397</v>
      </c>
      <c r="X247" s="5">
        <v>146526730449062</v>
      </c>
      <c r="Y247" s="5">
        <v>151800729922195</v>
      </c>
      <c r="Z247" s="5">
        <v>144486689916669</v>
      </c>
      <c r="AA247" s="5">
        <v>143274348036644</v>
      </c>
      <c r="AB247" s="5">
        <v>123729656846128</v>
      </c>
      <c r="AC247" s="5">
        <v>108106617651519</v>
      </c>
      <c r="AD247" s="5">
        <v>115780656053736</v>
      </c>
      <c r="AE247" s="5">
        <v>116958866508676</v>
      </c>
      <c r="AF247" s="5">
        <v>106144943982995</v>
      </c>
      <c r="AG247" s="5">
        <v>102868170089762</v>
      </c>
      <c r="AH247" s="5">
        <v>983212050378505</v>
      </c>
      <c r="AI247" s="5">
        <v>938643291124337</v>
      </c>
      <c r="AJ247" s="5">
        <v>980366239378464</v>
      </c>
      <c r="AK247" s="5">
        <v>983263755786137</v>
      </c>
      <c r="AL247" s="5">
        <v>100641490561656</v>
      </c>
      <c r="AM247" s="5">
        <v>95976652725408</v>
      </c>
      <c r="AN247" s="5">
        <v>111715236750257</v>
      </c>
      <c r="AO247" s="5">
        <v>111212683327572</v>
      </c>
      <c r="AP247" s="6">
        <v>779216637215271</v>
      </c>
      <c r="AQ247" s="6">
        <v>828517814587468</v>
      </c>
      <c r="AR247" s="6">
        <v>816660005529214</v>
      </c>
      <c r="AS247" s="6">
        <v>808276348816949</v>
      </c>
      <c r="AT247" s="6">
        <v>705371027301698</v>
      </c>
      <c r="AU247" s="6">
        <v>728547931558011</v>
      </c>
      <c r="AV247" s="6">
        <v>685403126641834</v>
      </c>
      <c r="AW247" s="6">
        <v>658785711418806</v>
      </c>
      <c r="AX247" s="6">
        <v>654966658620487</v>
      </c>
      <c r="AY247" s="6">
        <v>69560199395775</v>
      </c>
      <c r="AZ247" s="6">
        <v>650863459721219</v>
      </c>
      <c r="BA247" s="6">
        <v>625751107815267</v>
      </c>
      <c r="BB247" s="6">
        <v>539183237877955</v>
      </c>
      <c r="BC247" s="6">
        <v>60850252894176</v>
      </c>
      <c r="BD247" s="6">
        <v>599029441709707</v>
      </c>
      <c r="BE247" s="6">
        <v>607132320719333</v>
      </c>
      <c r="BF247" s="6">
        <v>621128401187995</v>
      </c>
      <c r="BG247" s="6">
        <v>600958524967137</v>
      </c>
      <c r="BH247" s="6">
        <v>618740844974822</v>
      </c>
      <c r="BI247" s="6">
        <v>563415527460416</v>
      </c>
      <c r="BJ247" s="6">
        <v>510606748841204</v>
      </c>
      <c r="BK247" s="6">
        <v>497561737156992</v>
      </c>
      <c r="BL247" s="6">
        <v>521278317712152</v>
      </c>
      <c r="BM247" s="6">
        <v>544412795812704</v>
      </c>
    </row>
    <row r="248" spans="1:65" x14ac:dyDescent="0.45">
      <c r="A248" s="1" t="s">
        <v>242</v>
      </c>
      <c r="B248" s="2">
        <v>4044333</v>
      </c>
      <c r="C248" s="3" t="s">
        <v>1072</v>
      </c>
      <c r="D248" s="3" t="s">
        <v>1073</v>
      </c>
      <c r="E248" s="3" t="s">
        <v>665</v>
      </c>
      <c r="F248" s="5">
        <v>432151668750498</v>
      </c>
      <c r="G248" s="5">
        <v>451277126160006</v>
      </c>
      <c r="H248" s="5">
        <v>459981424467931</v>
      </c>
      <c r="I248" s="5">
        <v>438006983634615</v>
      </c>
      <c r="J248" s="5">
        <v>421180121881059</v>
      </c>
      <c r="K248" s="5">
        <v>449851123560002</v>
      </c>
      <c r="L248" s="5">
        <v>446827988402543</v>
      </c>
      <c r="M248" s="5">
        <v>440338548949403</v>
      </c>
      <c r="N248" s="5">
        <v>450597282025843</v>
      </c>
      <c r="O248" s="5">
        <v>419535281889645</v>
      </c>
      <c r="P248" s="5">
        <v>385318157408614</v>
      </c>
      <c r="Q248" s="5">
        <v>404947413661228</v>
      </c>
      <c r="R248" s="5">
        <v>39600010901397</v>
      </c>
      <c r="S248" s="5">
        <v>364196350017738</v>
      </c>
      <c r="T248" s="5">
        <v>370823986599911</v>
      </c>
      <c r="U248" s="5">
        <v>366815846159882</v>
      </c>
      <c r="V248" s="5">
        <v>38612124835092</v>
      </c>
      <c r="W248" s="5">
        <v>382143209892343</v>
      </c>
      <c r="X248" s="5">
        <v>365888559564361</v>
      </c>
      <c r="Y248" s="5">
        <v>365698715413109</v>
      </c>
      <c r="Z248" s="5">
        <v>356239093492636</v>
      </c>
      <c r="AA248" s="5">
        <v>368647896712134</v>
      </c>
      <c r="AB248" s="5">
        <v>344270809958975</v>
      </c>
      <c r="AC248" s="5">
        <v>353778179995472</v>
      </c>
      <c r="AD248" s="5">
        <v>338698069975577</v>
      </c>
      <c r="AE248" s="5">
        <v>318679178275876</v>
      </c>
      <c r="AF248" s="5">
        <v>309729415092871</v>
      </c>
      <c r="AG248" s="5">
        <v>333805704728633</v>
      </c>
      <c r="AH248" s="5">
        <v>337863562339241</v>
      </c>
      <c r="AI248" s="5">
        <v>324392623614935</v>
      </c>
      <c r="AJ248" s="5">
        <v>329228991975535</v>
      </c>
      <c r="AK248" s="5">
        <v>352510395404584</v>
      </c>
      <c r="AL248" s="5">
        <v>361338760981103</v>
      </c>
      <c r="AM248" s="5">
        <v>314591432074347</v>
      </c>
      <c r="AN248" s="5">
        <v>322180734203389</v>
      </c>
      <c r="AO248" s="5">
        <v>353409773323295</v>
      </c>
      <c r="AP248" s="6">
        <v>427276375382795</v>
      </c>
      <c r="AQ248" s="6">
        <v>403119363864817</v>
      </c>
      <c r="AR248" s="6">
        <v>405973718607833</v>
      </c>
      <c r="AS248" s="6">
        <v>427891567645639</v>
      </c>
      <c r="AT248" s="6">
        <v>417207607173247</v>
      </c>
      <c r="AU248" s="6">
        <v>419416764063022</v>
      </c>
      <c r="AV248" s="6">
        <v>415381911810728</v>
      </c>
      <c r="AW248" s="6">
        <v>405145290537569</v>
      </c>
      <c r="AX248" s="6">
        <v>401451541782837</v>
      </c>
      <c r="AY248" s="6">
        <v>403576891235417</v>
      </c>
      <c r="AZ248" s="6">
        <v>380846520011979</v>
      </c>
      <c r="BA248" s="6">
        <v>348737580583731</v>
      </c>
      <c r="BB248" s="6">
        <v>29646638291296</v>
      </c>
      <c r="BC248" s="6">
        <v>332735020669083</v>
      </c>
      <c r="BD248" s="6">
        <v>331873091747278</v>
      </c>
      <c r="BE248" s="6">
        <v>336766757231127</v>
      </c>
      <c r="BF248" s="6">
        <v>336509418904935</v>
      </c>
      <c r="BG248" s="6">
        <v>335283746094997</v>
      </c>
      <c r="BH248" s="6">
        <v>334108573097575</v>
      </c>
      <c r="BI248" s="6">
        <v>315610200680779</v>
      </c>
      <c r="BJ248" s="6">
        <v>289042217431683</v>
      </c>
      <c r="BK248" s="6">
        <v>270172967646605</v>
      </c>
      <c r="BL248" s="6">
        <v>292696515499752</v>
      </c>
      <c r="BM248" s="6">
        <v>32279517257824</v>
      </c>
    </row>
    <row r="249" spans="1:65" x14ac:dyDescent="0.45">
      <c r="A249" s="1" t="s">
        <v>243</v>
      </c>
      <c r="B249" s="2">
        <v>5234450</v>
      </c>
      <c r="C249" s="3" t="s">
        <v>1074</v>
      </c>
      <c r="D249" s="3" t="s">
        <v>1075</v>
      </c>
      <c r="E249" s="3" t="s">
        <v>492</v>
      </c>
      <c r="F249" s="5">
        <v>411231250519872</v>
      </c>
      <c r="G249" s="5">
        <v>442421808116896</v>
      </c>
      <c r="H249" s="5">
        <v>402909884781168</v>
      </c>
      <c r="I249" s="5">
        <v>345745270261431</v>
      </c>
      <c r="J249" s="5">
        <v>37027414934275</v>
      </c>
      <c r="K249" s="5">
        <v>367684413309128</v>
      </c>
      <c r="L249" s="5">
        <v>318630322941412</v>
      </c>
      <c r="M249" s="5">
        <v>35346081577878</v>
      </c>
      <c r="N249" s="5">
        <v>399024557073742</v>
      </c>
      <c r="O249" s="5">
        <v>414585502836752</v>
      </c>
      <c r="P249" s="5">
        <v>406302841354883</v>
      </c>
      <c r="Q249" s="5">
        <v>455700244080033</v>
      </c>
      <c r="R249" s="5">
        <v>503568665060298</v>
      </c>
      <c r="S249" s="5">
        <v>467163054750974</v>
      </c>
      <c r="T249" s="5">
        <v>451908960781158</v>
      </c>
      <c r="U249" s="5">
        <v>418356418513955</v>
      </c>
      <c r="V249" s="5">
        <v>451340491878566</v>
      </c>
      <c r="W249" s="5">
        <v>428809277919626</v>
      </c>
      <c r="X249" s="5">
        <v>414852913568413</v>
      </c>
      <c r="Y249" s="5">
        <v>391298272782924</v>
      </c>
      <c r="Z249" s="5">
        <v>37142499605945</v>
      </c>
      <c r="AA249" s="5">
        <v>365823491928476</v>
      </c>
      <c r="AB249" s="5">
        <v>331799080113571</v>
      </c>
      <c r="AC249" s="5">
        <v>295325854442328</v>
      </c>
      <c r="AD249" s="5">
        <v>27571711762897</v>
      </c>
      <c r="AE249" s="5">
        <v>278861360497754</v>
      </c>
      <c r="AF249" s="5">
        <v>269496997909983</v>
      </c>
      <c r="AG249" s="5">
        <v>258838212026222</v>
      </c>
      <c r="AH249" s="5">
        <v>253501791555449</v>
      </c>
      <c r="AI249" s="5">
        <v>242017410535729</v>
      </c>
      <c r="AJ249" s="5">
        <v>225664064666134</v>
      </c>
      <c r="AK249" s="5">
        <v>210165625552097</v>
      </c>
      <c r="AL249" s="5">
        <v>202971730260601</v>
      </c>
      <c r="AM249" s="5">
        <v>187137541526936</v>
      </c>
      <c r="AN249" s="5">
        <v>253648203658937</v>
      </c>
      <c r="AO249" s="5">
        <v>271427086279239</v>
      </c>
      <c r="AP249" s="6">
        <v>143082597373026</v>
      </c>
      <c r="AQ249" s="6">
        <v>147330683028384</v>
      </c>
      <c r="AR249" s="6">
        <v>141431111629618</v>
      </c>
      <c r="AS249" s="6">
        <v>134355072156552</v>
      </c>
      <c r="AT249" s="6">
        <v>128187305692826</v>
      </c>
      <c r="AU249" s="6">
        <v>1311399310026</v>
      </c>
      <c r="AV249" s="6">
        <v>120795072081429</v>
      </c>
      <c r="AW249" s="6">
        <v>10872013182434</v>
      </c>
      <c r="AX249" s="6">
        <v>116510653463557</v>
      </c>
      <c r="AY249" s="6">
        <v>111740349279913</v>
      </c>
      <c r="AZ249" s="6">
        <v>104215602485325</v>
      </c>
      <c r="BA249" s="6">
        <v>105115950564601</v>
      </c>
      <c r="BB249" s="6">
        <v>919541893585544</v>
      </c>
      <c r="BC249" s="6">
        <v>107796824577792</v>
      </c>
      <c r="BD249" s="6">
        <v>10982156022538</v>
      </c>
      <c r="BE249" s="6">
        <v>123169319319461</v>
      </c>
      <c r="BF249" s="6">
        <v>117903981026526</v>
      </c>
      <c r="BG249" s="6">
        <v>122676125958975</v>
      </c>
      <c r="BH249" s="6">
        <v>10583266469717</v>
      </c>
      <c r="BI249" s="6">
        <v>947407275919786</v>
      </c>
      <c r="BJ249" s="6">
        <v>844233974469066</v>
      </c>
      <c r="BK249" s="6">
        <v>80360814486442</v>
      </c>
      <c r="BL249" s="6">
        <v>85558771744173</v>
      </c>
      <c r="BM249" s="6">
        <v>922555879864466</v>
      </c>
    </row>
    <row r="250" spans="1:65" x14ac:dyDescent="0.45">
      <c r="A250" s="1" t="s">
        <v>244</v>
      </c>
      <c r="B250" s="2">
        <v>100201</v>
      </c>
      <c r="C250" s="3" t="s">
        <v>1076</v>
      </c>
      <c r="D250" s="3" t="s">
        <v>1077</v>
      </c>
      <c r="E250" s="3" t="s">
        <v>637</v>
      </c>
      <c r="F250" s="5">
        <v>368050835017385</v>
      </c>
      <c r="G250" s="5">
        <v>393029350805698</v>
      </c>
      <c r="H250" s="5">
        <v>374439044374517</v>
      </c>
      <c r="I250" s="5">
        <v>313455348617285</v>
      </c>
      <c r="J250" s="5">
        <v>331153455563506</v>
      </c>
      <c r="K250" s="5">
        <v>332177306179308</v>
      </c>
      <c r="L250" s="5">
        <v>31638708259709</v>
      </c>
      <c r="M250" s="5">
        <v>361996119285388</v>
      </c>
      <c r="N250" s="5">
        <v>3326580137184</v>
      </c>
      <c r="O250" s="5">
        <v>362354732295118</v>
      </c>
      <c r="P250" s="5">
        <v>372859751787913</v>
      </c>
      <c r="Q250" s="5">
        <v>390593982528</v>
      </c>
      <c r="R250" s="5">
        <v>411482838601696</v>
      </c>
      <c r="S250" s="5">
        <v>416438290793369</v>
      </c>
      <c r="T250" s="5">
        <v>4341952530216</v>
      </c>
      <c r="U250" s="5">
        <v>422022356271725</v>
      </c>
      <c r="V250" s="5">
        <v>404923856420122</v>
      </c>
      <c r="W250" s="5">
        <v>38732267657958</v>
      </c>
      <c r="X250" s="5">
        <v>397106039816241</v>
      </c>
      <c r="Y250" s="5">
        <v>407932515074759</v>
      </c>
      <c r="Z250" s="5">
        <v>387692181828045</v>
      </c>
      <c r="AA250" s="5">
        <v>395780262688943</v>
      </c>
      <c r="AB250" s="5">
        <v>371173052106828</v>
      </c>
      <c r="AC250" s="5">
        <v>3232313562924</v>
      </c>
      <c r="AD250" s="5">
        <v>316646495928598</v>
      </c>
      <c r="AE250" s="5">
        <v>30064486555149</v>
      </c>
      <c r="AF250" s="5">
        <v>2564393475768</v>
      </c>
      <c r="AG250" s="5">
        <v>2498530121232</v>
      </c>
      <c r="AH250" s="5">
        <v>255416110306</v>
      </c>
      <c r="AI250" s="5">
        <v>2489578100992</v>
      </c>
      <c r="AJ250" s="5">
        <v>25463587052759</v>
      </c>
      <c r="AK250" s="5">
        <v>266665565907444</v>
      </c>
      <c r="AL250" s="5">
        <v>266634834804998</v>
      </c>
      <c r="AM250" s="5">
        <v>251842604412017</v>
      </c>
      <c r="AN250" s="5">
        <v>324546833046803</v>
      </c>
      <c r="AO250" s="5">
        <v>374404455122367</v>
      </c>
      <c r="AP250" s="6">
        <v>250526038746851</v>
      </c>
      <c r="AQ250" s="6">
        <v>234670925208553</v>
      </c>
      <c r="AR250" s="6">
        <v>239288699051591</v>
      </c>
      <c r="AS250" s="6">
        <v>231722685770924</v>
      </c>
      <c r="AT250" s="6">
        <v>21415255890546</v>
      </c>
      <c r="AU250" s="6">
        <v>197958185930822</v>
      </c>
      <c r="AV250" s="6">
        <v>167881689542299</v>
      </c>
      <c r="AW250" s="6">
        <v>149440715827334</v>
      </c>
      <c r="AX250" s="6">
        <v>186210175322892</v>
      </c>
      <c r="AY250" s="6">
        <v>174129170751083</v>
      </c>
      <c r="AZ250" s="6">
        <v>165974545446748</v>
      </c>
      <c r="BA250" s="6">
        <v>140822409556127</v>
      </c>
      <c r="BB250" s="6">
        <v>119644528702255</v>
      </c>
      <c r="BC250" s="6">
        <v>133249289753395</v>
      </c>
      <c r="BD250" s="6">
        <v>123800560106829</v>
      </c>
      <c r="BE250" s="6">
        <v>135545352765384</v>
      </c>
      <c r="BF250" s="6">
        <v>156305920776668</v>
      </c>
      <c r="BG250" s="6">
        <v>156131900379</v>
      </c>
      <c r="BH250" s="6">
        <v>1367476762743</v>
      </c>
      <c r="BI250" s="6">
        <v>151378869132538</v>
      </c>
      <c r="BJ250" s="6">
        <v>131339481849646</v>
      </c>
      <c r="BK250" s="6">
        <v>138175819423994</v>
      </c>
      <c r="BL250" s="6">
        <v>145344869919112</v>
      </c>
      <c r="BM250" s="6">
        <v>138245796499275</v>
      </c>
    </row>
    <row r="251" spans="1:65" x14ac:dyDescent="0.45">
      <c r="A251" s="1" t="s">
        <v>245</v>
      </c>
      <c r="B251" s="2">
        <v>4547508</v>
      </c>
      <c r="C251" s="3" t="s">
        <v>1078</v>
      </c>
      <c r="D251" s="3" t="s">
        <v>1079</v>
      </c>
      <c r="E251" s="3" t="s">
        <v>1080</v>
      </c>
      <c r="F251" s="5">
        <v>473132124206168</v>
      </c>
      <c r="G251" s="5">
        <v>531711478223286</v>
      </c>
      <c r="H251" s="5">
        <v>556959603108739</v>
      </c>
      <c r="I251" s="5">
        <v>517294769939625</v>
      </c>
      <c r="J251" s="5">
        <v>535989029883483</v>
      </c>
      <c r="K251" s="5">
        <v>537833337558554</v>
      </c>
      <c r="L251" s="5">
        <v>480235894229936</v>
      </c>
      <c r="M251" s="5">
        <v>459341834232041</v>
      </c>
      <c r="N251" s="5">
        <v>503426099242915</v>
      </c>
      <c r="O251" s="5">
        <v>483841314023215</v>
      </c>
      <c r="P251" s="5">
        <v>488351837604655</v>
      </c>
      <c r="Q251" s="5">
        <v>480430344171254</v>
      </c>
      <c r="R251" s="5">
        <v>459575503872108</v>
      </c>
      <c r="S251" s="5">
        <v>427599477354292</v>
      </c>
      <c r="T251" s="5">
        <v>442554775004674</v>
      </c>
      <c r="U251" s="5">
        <v>417827787341436</v>
      </c>
      <c r="V251" s="5">
        <v>428356205483257</v>
      </c>
      <c r="W251" s="5">
        <v>420735934432546</v>
      </c>
      <c r="X251" s="5">
        <v>42127813132506</v>
      </c>
      <c r="Y251" s="5">
        <v>42983307144661</v>
      </c>
      <c r="Z251" s="5">
        <v>422411973209648</v>
      </c>
      <c r="AA251" s="5">
        <v>412093452701213</v>
      </c>
      <c r="AB251" s="5">
        <v>354980073374002</v>
      </c>
      <c r="AC251" s="5">
        <v>36865589382391</v>
      </c>
      <c r="AD251" s="5">
        <v>3681374617104</v>
      </c>
      <c r="AE251" s="5">
        <v>358533169066844</v>
      </c>
      <c r="AF251" s="5">
        <v>324834729875397</v>
      </c>
      <c r="AG251" s="5">
        <v>330749652943085</v>
      </c>
      <c r="AH251" s="5">
        <v>351134790020573</v>
      </c>
      <c r="AI251" s="5">
        <v>363868958990538</v>
      </c>
      <c r="AJ251" s="5">
        <v>355112106486259</v>
      </c>
      <c r="AK251" s="5">
        <v>353392567465683</v>
      </c>
      <c r="AL251" s="5">
        <v>340348921203171</v>
      </c>
      <c r="AM251" s="5">
        <v>310742776130241</v>
      </c>
      <c r="AN251" s="5">
        <v>356689096049759</v>
      </c>
      <c r="AO251" s="5">
        <v>362023496089279</v>
      </c>
      <c r="AP251" s="6">
        <v>389785515351981</v>
      </c>
      <c r="AQ251" s="6">
        <v>403463508067013</v>
      </c>
      <c r="AR251" s="6">
        <v>409148002032389</v>
      </c>
      <c r="AS251" s="6">
        <v>424177290598372</v>
      </c>
      <c r="AT251" s="6">
        <v>429176988578222</v>
      </c>
      <c r="AU251" s="6">
        <v>412996916474604</v>
      </c>
      <c r="AV251" s="6">
        <v>196333535483441</v>
      </c>
      <c r="AW251" s="6">
        <v>1983661285373</v>
      </c>
      <c r="AX251" s="6">
        <v>177199789029113</v>
      </c>
      <c r="AY251" s="6">
        <v>167673675422474</v>
      </c>
      <c r="AZ251" s="6">
        <v>170647019217078</v>
      </c>
      <c r="BA251" s="6">
        <v>157569217901753</v>
      </c>
      <c r="BB251" s="6">
        <v>141218054648</v>
      </c>
      <c r="BC251" s="6">
        <v>148548413766298</v>
      </c>
      <c r="BD251" s="6">
        <v>154586486348276</v>
      </c>
      <c r="BE251" s="6">
        <v>17113542540814</v>
      </c>
      <c r="BF251" s="6">
        <v>164254885087436</v>
      </c>
      <c r="BG251" s="6">
        <v>167348137142944</v>
      </c>
      <c r="BH251" s="6">
        <v>147087592934559</v>
      </c>
      <c r="BI251" s="6">
        <v>153229303117528</v>
      </c>
      <c r="BJ251" s="6">
        <v>153810950133523</v>
      </c>
      <c r="BK251" s="6">
        <v>155717575049595</v>
      </c>
      <c r="BL251" s="6">
        <v>151839805067906</v>
      </c>
      <c r="BM251" s="6">
        <v>152123251101203</v>
      </c>
    </row>
    <row r="252" spans="1:65" x14ac:dyDescent="0.45">
      <c r="A252" s="1" t="s">
        <v>246</v>
      </c>
      <c r="B252" s="2">
        <v>100334</v>
      </c>
      <c r="C252" s="3" t="s">
        <v>1081</v>
      </c>
      <c r="D252" s="3" t="s">
        <v>1082</v>
      </c>
      <c r="E252" s="3" t="s">
        <v>637</v>
      </c>
      <c r="F252" s="5">
        <v>152073054711231</v>
      </c>
      <c r="G252" s="5">
        <v>170174185555868</v>
      </c>
      <c r="H252" s="5">
        <v>16854941504318</v>
      </c>
      <c r="I252" s="5">
        <v>152370260225417</v>
      </c>
      <c r="J252" s="5">
        <v>163815892952106</v>
      </c>
      <c r="K252" s="5">
        <v>1673284650876</v>
      </c>
      <c r="L252" s="5">
        <v>153691881415074</v>
      </c>
      <c r="M252" s="5">
        <v>173483556960182</v>
      </c>
      <c r="N252" s="5">
        <v>168597686684005</v>
      </c>
      <c r="O252" s="5">
        <v>185373641688677</v>
      </c>
      <c r="P252" s="5">
        <v>207121119365049</v>
      </c>
      <c r="Q252" s="5">
        <v>207816886368</v>
      </c>
      <c r="R252" s="5">
        <v>189360579915116</v>
      </c>
      <c r="S252" s="5">
        <v>185362233905429</v>
      </c>
      <c r="T252" s="5">
        <v>18726170679424</v>
      </c>
      <c r="U252" s="5">
        <v>178398754010011</v>
      </c>
      <c r="V252" s="5">
        <v>164640107684206</v>
      </c>
      <c r="W252" s="5">
        <v>159150171303679</v>
      </c>
      <c r="X252" s="5">
        <v>1690277034129</v>
      </c>
      <c r="Y252" s="5">
        <v>183470100221722</v>
      </c>
      <c r="Z252" s="5">
        <v>173665829087171</v>
      </c>
      <c r="AA252" s="5">
        <v>163430376474355</v>
      </c>
      <c r="AB252" s="5">
        <v>161266160637979</v>
      </c>
      <c r="AC252" s="5">
        <v>13562489024929</v>
      </c>
      <c r="AD252" s="5">
        <v>130995502214373</v>
      </c>
      <c r="AE252" s="5">
        <v>126310455243764</v>
      </c>
      <c r="AF252" s="5">
        <v>1087310600629</v>
      </c>
      <c r="AG252" s="5">
        <v>991575767464865</v>
      </c>
      <c r="AH252" s="5">
        <v>100583434635807</v>
      </c>
      <c r="AI252" s="5">
        <v>990236923602422</v>
      </c>
      <c r="AJ252" s="5">
        <v>105569590497742</v>
      </c>
      <c r="AK252" s="5">
        <v>103969213285702</v>
      </c>
      <c r="AL252" s="5">
        <v>10260206520268</v>
      </c>
      <c r="AM252" s="5">
        <v>91525581414267</v>
      </c>
      <c r="AN252" s="5">
        <v>144194035287006</v>
      </c>
      <c r="AO252" s="5">
        <v>1649145198338</v>
      </c>
      <c r="AP252" s="6">
        <v>146375712777</v>
      </c>
      <c r="AQ252" s="6">
        <v>151835662284</v>
      </c>
      <c r="AR252" s="6">
        <v>143528527157</v>
      </c>
      <c r="AS252" s="6">
        <v>1505291256</v>
      </c>
      <c r="AT252" s="6">
        <v>148841604304</v>
      </c>
      <c r="AU252" s="6">
        <v>1482589692</v>
      </c>
      <c r="AV252" s="6">
        <v>1496653522</v>
      </c>
      <c r="AW252" s="6">
        <v>143689269535</v>
      </c>
      <c r="AX252" s="6">
        <v>14084202763806</v>
      </c>
      <c r="AY252" s="6">
        <v>134503511761278</v>
      </c>
      <c r="AZ252" s="6">
        <v>128347170384</v>
      </c>
      <c r="BA252" s="6">
        <v>12274742295</v>
      </c>
      <c r="BB252" s="6">
        <v>111356089416</v>
      </c>
      <c r="BC252" s="6">
        <v>129786911232</v>
      </c>
      <c r="BD252" s="6">
        <v>143122538325</v>
      </c>
      <c r="BE252" s="6">
        <v>152326617144</v>
      </c>
      <c r="BF252" s="6">
        <v>151757127595</v>
      </c>
      <c r="BG252" s="6">
        <v>15267476257</v>
      </c>
      <c r="BH252" s="6">
        <v>157414291749</v>
      </c>
      <c r="BI252" s="6">
        <v>158454559989</v>
      </c>
      <c r="BJ252" s="6">
        <v>144245280083738</v>
      </c>
      <c r="BK252" s="6">
        <v>1340342669</v>
      </c>
      <c r="BL252" s="6">
        <v>1441286847</v>
      </c>
      <c r="BM252" s="6">
        <v>1428055999</v>
      </c>
    </row>
    <row r="253" spans="1:65" x14ac:dyDescent="0.45">
      <c r="A253" s="1" t="s">
        <v>247</v>
      </c>
      <c r="B253" s="2">
        <v>4972803</v>
      </c>
      <c r="C253" s="3" t="s">
        <v>1083</v>
      </c>
      <c r="D253" s="3" t="s">
        <v>1084</v>
      </c>
      <c r="E253" s="3" t="s">
        <v>1085</v>
      </c>
      <c r="F253" s="5">
        <v>286198248624965</v>
      </c>
      <c r="G253" s="5">
        <v>313624817017521</v>
      </c>
      <c r="H253" s="5">
        <v>314892235868411</v>
      </c>
      <c r="I253" s="5">
        <v>286924623943132</v>
      </c>
      <c r="J253" s="5">
        <v>290948707670308</v>
      </c>
      <c r="K253" s="5">
        <v>286857251863186</v>
      </c>
      <c r="L253" s="5">
        <v>237289836246713</v>
      </c>
      <c r="M253" s="5">
        <v>246965193473981</v>
      </c>
      <c r="N253" s="5">
        <v>242212811108528</v>
      </c>
      <c r="O253" s="5">
        <v>258776892410165</v>
      </c>
      <c r="P253" s="5">
        <v>256119900648122</v>
      </c>
      <c r="Q253" s="5">
        <v>275464433864644</v>
      </c>
      <c r="R253" s="5">
        <v>332376298044741</v>
      </c>
      <c r="S253" s="5">
        <v>313855091264</v>
      </c>
      <c r="T253" s="5">
        <v>286758484901403</v>
      </c>
      <c r="U253" s="5">
        <v>261096532885908</v>
      </c>
      <c r="V253" s="5">
        <v>279923787406749</v>
      </c>
      <c r="W253" s="5">
        <v>255550273948809</v>
      </c>
      <c r="X253" s="5">
        <v>239916385158325</v>
      </c>
      <c r="Y253" s="5">
        <v>215217936750209</v>
      </c>
      <c r="Z253" s="5">
        <v>22318988680273</v>
      </c>
      <c r="AA253" s="5">
        <v>227242045195776</v>
      </c>
      <c r="AB253" s="5">
        <v>21765614654817</v>
      </c>
      <c r="AC253" s="5">
        <v>217052417636951</v>
      </c>
      <c r="AD253" s="5">
        <v>200951014531302</v>
      </c>
      <c r="AE253" s="5">
        <v>187958045863526</v>
      </c>
      <c r="AF253" s="5">
        <v>168404749385323</v>
      </c>
      <c r="AG253" s="5">
        <v>157423600105808</v>
      </c>
      <c r="AH253" s="5">
        <v>1545224625</v>
      </c>
      <c r="AI253" s="5">
        <v>157928493039246</v>
      </c>
      <c r="AJ253" s="5">
        <v>167497477953548</v>
      </c>
      <c r="AK253" s="5">
        <v>182266220381411</v>
      </c>
      <c r="AL253" s="5">
        <v>165765163799973</v>
      </c>
      <c r="AM253" s="5">
        <v>142699312565264</v>
      </c>
      <c r="AN253" s="5">
        <v>161818373304</v>
      </c>
      <c r="AO253" s="5">
        <v>157793603014562</v>
      </c>
      <c r="AP253" s="6">
        <v>378014126711043</v>
      </c>
      <c r="AQ253" s="6">
        <v>351344663541423</v>
      </c>
      <c r="AR253" s="6">
        <v>352759292959378</v>
      </c>
      <c r="AS253" s="6">
        <v>306977179199481</v>
      </c>
      <c r="AT253" s="6">
        <v>276629931690446</v>
      </c>
      <c r="AU253" s="6">
        <v>27071956064805</v>
      </c>
      <c r="AV253" s="6">
        <v>24748940663428</v>
      </c>
      <c r="AW253" s="6">
        <v>234848859592578</v>
      </c>
      <c r="AX253" s="6">
        <v>277560894700945</v>
      </c>
      <c r="AY253" s="6">
        <v>243383369926811</v>
      </c>
      <c r="AZ253" s="6">
        <v>235947062125786</v>
      </c>
      <c r="BA253" s="6">
        <v>225904445922964</v>
      </c>
      <c r="BB253" s="6">
        <v>184560273680837</v>
      </c>
      <c r="BC253" s="6">
        <v>21512538020524</v>
      </c>
      <c r="BD253" s="6">
        <v>194317512098847</v>
      </c>
      <c r="BE253" s="6">
        <v>19883817320756</v>
      </c>
      <c r="BF253" s="6">
        <v>234978599894274</v>
      </c>
      <c r="BG253" s="6">
        <v>2555800175696</v>
      </c>
      <c r="BH253" s="6">
        <v>243032536487707</v>
      </c>
      <c r="BI253" s="6">
        <v>278842376040621</v>
      </c>
      <c r="BJ253" s="6">
        <v>251426659088119</v>
      </c>
      <c r="BK253" s="6">
        <v>269213329513246</v>
      </c>
      <c r="BL253" s="6">
        <v>256052680722166</v>
      </c>
      <c r="BM253" s="6">
        <v>250886415615132</v>
      </c>
    </row>
    <row r="254" spans="1:65" x14ac:dyDescent="0.45">
      <c r="A254" s="1" t="s">
        <v>248</v>
      </c>
      <c r="B254" s="2">
        <v>4060881</v>
      </c>
      <c r="C254" s="3" t="s">
        <v>1086</v>
      </c>
      <c r="D254" s="3" t="s">
        <v>1087</v>
      </c>
      <c r="E254" s="3" t="s">
        <v>737</v>
      </c>
      <c r="F254" s="5">
        <v>428686760822998</v>
      </c>
      <c r="G254" s="5">
        <v>443870989121306</v>
      </c>
      <c r="H254" s="5">
        <v>424789142252574</v>
      </c>
      <c r="I254" s="5">
        <v>387483333348921</v>
      </c>
      <c r="J254" s="5">
        <v>427479136471831</v>
      </c>
      <c r="K254" s="5">
        <v>436231346053438</v>
      </c>
      <c r="L254" s="5">
        <v>435592405305036</v>
      </c>
      <c r="M254" s="5">
        <v>417746984844054</v>
      </c>
      <c r="N254" s="5">
        <v>44385144980718</v>
      </c>
      <c r="O254" s="5">
        <v>373547886834448</v>
      </c>
      <c r="P254" s="5">
        <v>390570434863446</v>
      </c>
      <c r="Q254" s="5">
        <v>413804378961302</v>
      </c>
      <c r="R254" s="5">
        <v>423150409515154</v>
      </c>
      <c r="S254" s="5">
        <v>389281677220771</v>
      </c>
      <c r="T254" s="5">
        <v>377065325173233</v>
      </c>
      <c r="U254" s="5">
        <v>384815450482072</v>
      </c>
      <c r="V254" s="5">
        <v>39317860015063</v>
      </c>
      <c r="W254" s="5">
        <v>385296104273605</v>
      </c>
      <c r="X254" s="5">
        <v>380724236204826</v>
      </c>
      <c r="Y254" s="5">
        <v>36166563783331</v>
      </c>
      <c r="Z254" s="5">
        <v>373971771221986</v>
      </c>
      <c r="AA254" s="5">
        <v>40043858330079</v>
      </c>
      <c r="AB254" s="5">
        <v>358884833162594</v>
      </c>
      <c r="AC254" s="5">
        <v>370150310704257</v>
      </c>
      <c r="AD254" s="5">
        <v>374910677092204</v>
      </c>
      <c r="AE254" s="5">
        <v>396465657729561</v>
      </c>
      <c r="AF254" s="5">
        <v>386992176746115</v>
      </c>
      <c r="AG254" s="5">
        <v>428857440336039</v>
      </c>
      <c r="AH254" s="5">
        <v>450067108400134</v>
      </c>
      <c r="AI254" s="5">
        <v>438311799533923</v>
      </c>
      <c r="AJ254" s="5">
        <v>427739475214996</v>
      </c>
      <c r="AK254" s="5">
        <v>433262025679683</v>
      </c>
      <c r="AL254" s="5">
        <v>431080099422596</v>
      </c>
      <c r="AM254" s="5">
        <v>397328990123611</v>
      </c>
      <c r="AN254" s="5">
        <v>407731696931156</v>
      </c>
      <c r="AO254" s="5">
        <v>44109726672</v>
      </c>
      <c r="AP254" s="6">
        <v>472482278486606</v>
      </c>
      <c r="AQ254" s="6">
        <v>437387648725808</v>
      </c>
      <c r="AR254" s="6">
        <v>426057912486004</v>
      </c>
      <c r="AS254" s="6">
        <v>407747956584123</v>
      </c>
      <c r="AT254" s="6">
        <v>388208918301295</v>
      </c>
      <c r="AU254" s="6">
        <v>418013639144309</v>
      </c>
      <c r="AV254" s="6">
        <v>401282509230737</v>
      </c>
      <c r="AW254" s="6">
        <v>381285016012065</v>
      </c>
      <c r="AX254" s="6">
        <v>462437664572126</v>
      </c>
      <c r="AY254" s="6">
        <v>420949621446394</v>
      </c>
      <c r="AZ254" s="6">
        <v>418053586297345</v>
      </c>
      <c r="BA254" s="6">
        <v>399095523686261</v>
      </c>
      <c r="BB254" s="6">
        <v>356107607198389</v>
      </c>
      <c r="BC254" s="6">
        <v>380097528093051</v>
      </c>
      <c r="BD254" s="6">
        <v>353166459807332</v>
      </c>
      <c r="BE254" s="6">
        <v>402362330729484</v>
      </c>
      <c r="BF254" s="6">
        <v>44407567586612</v>
      </c>
      <c r="BG254" s="6">
        <v>4840966990822</v>
      </c>
      <c r="BH254" s="6">
        <v>5165103023364</v>
      </c>
      <c r="BI254" s="6">
        <v>5456396288043</v>
      </c>
      <c r="BJ254" s="6">
        <v>479231381774088</v>
      </c>
      <c r="BK254" s="6">
        <v>461250878304</v>
      </c>
      <c r="BL254" s="6">
        <v>470420109432</v>
      </c>
      <c r="BM254" s="6">
        <v>492613925406233</v>
      </c>
    </row>
    <row r="255" spans="1:65" x14ac:dyDescent="0.45">
      <c r="A255" s="1" t="s">
        <v>249</v>
      </c>
      <c r="B255" s="2">
        <v>102965</v>
      </c>
      <c r="C255" s="3" t="s">
        <v>1088</v>
      </c>
      <c r="D255" s="3" t="s">
        <v>1089</v>
      </c>
      <c r="E255" s="3" t="s">
        <v>931</v>
      </c>
      <c r="F255" s="5">
        <v>122567346351865</v>
      </c>
      <c r="G255" s="5">
        <v>137456159979994</v>
      </c>
      <c r="H255" s="5">
        <v>133721089495414</v>
      </c>
      <c r="I255" s="5">
        <v>116117012163818</v>
      </c>
      <c r="J255" s="5">
        <v>1294503334486</v>
      </c>
      <c r="K255" s="5">
        <v>134066138742883</v>
      </c>
      <c r="L255" s="5">
        <v>116877337422453</v>
      </c>
      <c r="M255" s="5">
        <v>136234441789403</v>
      </c>
      <c r="N255" s="5">
        <v>148541874448305</v>
      </c>
      <c r="O255" s="5">
        <v>137393006599012</v>
      </c>
      <c r="P255" s="5">
        <v>129211342453747</v>
      </c>
      <c r="Q255" s="5">
        <v>13351417496625</v>
      </c>
      <c r="R255" s="5">
        <v>133609209679952</v>
      </c>
      <c r="S255" s="5">
        <v>122613852959514</v>
      </c>
      <c r="T255" s="5">
        <v>119786221323661</v>
      </c>
      <c r="U255" s="5">
        <v>109726362583176</v>
      </c>
      <c r="V255" s="5">
        <v>113142539546244</v>
      </c>
      <c r="W255" s="5">
        <v>779508826942239</v>
      </c>
      <c r="X255" s="5">
        <v>762233238665778</v>
      </c>
      <c r="Y255" s="5">
        <v>757897129538571</v>
      </c>
      <c r="Z255" s="5">
        <v>75670273270746</v>
      </c>
      <c r="AA255" s="5">
        <v>692422352145</v>
      </c>
      <c r="AB255" s="5">
        <v>65513530008459</v>
      </c>
      <c r="AC255" s="5">
        <v>588238748694496</v>
      </c>
      <c r="AD255" s="5">
        <v>530705051933685</v>
      </c>
      <c r="AE255" s="5">
        <v>522542634435358</v>
      </c>
      <c r="AF255" s="5">
        <v>38078078391212</v>
      </c>
      <c r="AG255" s="5">
        <v>414728426648414</v>
      </c>
      <c r="AH255" s="5">
        <v>433785358519359</v>
      </c>
      <c r="AI255" s="5">
        <v>407659306973885</v>
      </c>
      <c r="AJ255" s="5">
        <v>493495228713622</v>
      </c>
      <c r="AK255" s="5">
        <v>4322418885944</v>
      </c>
      <c r="AL255" s="5">
        <v>43133441493945</v>
      </c>
      <c r="AM255" s="5">
        <v>380595384715</v>
      </c>
      <c r="AN255" s="5">
        <v>68125606194136</v>
      </c>
      <c r="AO255" s="5">
        <v>74199194845281</v>
      </c>
      <c r="AP255" s="6">
        <v>123485812563745</v>
      </c>
      <c r="AQ255" s="6">
        <v>116714255589052</v>
      </c>
      <c r="AR255" s="6">
        <v>109509434031057</v>
      </c>
      <c r="AS255" s="6">
        <v>113263823948432</v>
      </c>
      <c r="AT255" s="6">
        <v>11422325792597</v>
      </c>
      <c r="AU255" s="6">
        <v>106082495916996</v>
      </c>
      <c r="AV255" s="6">
        <v>100776009371508</v>
      </c>
      <c r="AW255" s="6">
        <v>970512229017373</v>
      </c>
      <c r="AX255" s="6">
        <v>94182358207938</v>
      </c>
      <c r="AY255" s="6">
        <v>820175049387837</v>
      </c>
      <c r="AZ255" s="6">
        <v>828973099158983</v>
      </c>
      <c r="BA255" s="6">
        <v>7582950928674</v>
      </c>
      <c r="BB255" s="6">
        <v>689579905326453</v>
      </c>
      <c r="BC255" s="6">
        <v>83328894101376</v>
      </c>
      <c r="BD255" s="6">
        <v>857123704002093</v>
      </c>
      <c r="BE255" s="6">
        <v>89577947142826</v>
      </c>
      <c r="BF255" s="6">
        <v>917484625305496</v>
      </c>
      <c r="BG255" s="6">
        <v>879811136370287</v>
      </c>
      <c r="BH255" s="6">
        <v>76756206129222</v>
      </c>
      <c r="BI255" s="6">
        <v>781899133202788</v>
      </c>
      <c r="BJ255" s="6">
        <v>806727731789585</v>
      </c>
      <c r="BK255" s="6">
        <v>806545656010392</v>
      </c>
      <c r="BL255" s="6">
        <v>785330474071689</v>
      </c>
      <c r="BM255" s="6">
        <v>80996235749604</v>
      </c>
    </row>
    <row r="256" spans="1:65" x14ac:dyDescent="0.45">
      <c r="A256" s="1" t="s">
        <v>250</v>
      </c>
      <c r="B256" s="2">
        <v>4275772</v>
      </c>
      <c r="C256" s="3" t="s">
        <v>1090</v>
      </c>
      <c r="D256" s="3" t="s">
        <v>1091</v>
      </c>
      <c r="E256" s="3" t="s">
        <v>1092</v>
      </c>
      <c r="F256" s="5">
        <v>380260775854914</v>
      </c>
      <c r="G256" s="5">
        <v>416746304970751</v>
      </c>
      <c r="H256" s="5">
        <v>411893250020097</v>
      </c>
      <c r="I256" s="5">
        <v>382322345515702</v>
      </c>
      <c r="J256" s="5">
        <v>4098192293621</v>
      </c>
      <c r="K256" s="5">
        <v>397370678799509</v>
      </c>
      <c r="L256" s="5">
        <v>363535162838754</v>
      </c>
      <c r="M256" s="5">
        <v>416150343574787</v>
      </c>
      <c r="N256" s="5">
        <v>390516249233509</v>
      </c>
      <c r="O256" s="5">
        <v>385988953021776</v>
      </c>
      <c r="P256" s="5">
        <v>351339929653479</v>
      </c>
      <c r="Q256" s="5">
        <v>351428460723971</v>
      </c>
      <c r="R256" s="5">
        <v>316208313581189</v>
      </c>
      <c r="S256" s="5">
        <v>311002622056688</v>
      </c>
      <c r="T256" s="5">
        <v>328445654390978</v>
      </c>
      <c r="U256" s="5">
        <v>327164208232913</v>
      </c>
      <c r="V256" s="5">
        <v>312415957406834</v>
      </c>
      <c r="W256" s="5">
        <v>33207566813918</v>
      </c>
      <c r="X256" s="5">
        <v>348183693676551</v>
      </c>
      <c r="Y256" s="5">
        <v>340773707715065</v>
      </c>
      <c r="Z256" s="5">
        <v>320974348962767</v>
      </c>
      <c r="AA256" s="5">
        <v>32123037930876</v>
      </c>
      <c r="AB256" s="5">
        <v>27512051170401</v>
      </c>
      <c r="AC256" s="5">
        <v>26257981147445</v>
      </c>
      <c r="AD256" s="5">
        <v>252984064431577</v>
      </c>
      <c r="AE256" s="5">
        <v>272373934778796</v>
      </c>
      <c r="AF256" s="5">
        <v>23116482627383</v>
      </c>
      <c r="AG256" s="5">
        <v>237676407786362</v>
      </c>
      <c r="AH256" s="5">
        <v>261674458389446</v>
      </c>
      <c r="AI256" s="5">
        <v>2697847067488</v>
      </c>
      <c r="AJ256" s="5">
        <v>304849861853996</v>
      </c>
      <c r="AK256" s="5">
        <v>32140480671789</v>
      </c>
      <c r="AL256" s="5">
        <v>314838420647979</v>
      </c>
      <c r="AM256" s="5">
        <v>286920118478448</v>
      </c>
      <c r="AN256" s="5">
        <v>39482957636661</v>
      </c>
      <c r="AO256" s="5">
        <v>426373854605114</v>
      </c>
      <c r="AP256" s="6">
        <v>15417323570225</v>
      </c>
      <c r="AQ256" s="6">
        <v>167679146308838</v>
      </c>
      <c r="AR256" s="6">
        <v>165562947652002</v>
      </c>
      <c r="AS256" s="6">
        <v>161029779823316</v>
      </c>
      <c r="AT256" s="6">
        <v>145776949006763</v>
      </c>
      <c r="AU256" s="6">
        <v>13444526779882</v>
      </c>
      <c r="AV256" s="6">
        <v>134328793031352</v>
      </c>
      <c r="AW256" s="6">
        <v>140537352518203</v>
      </c>
      <c r="AX256" s="6">
        <v>146598694801456</v>
      </c>
      <c r="AY256" s="6">
        <v>138228400913338</v>
      </c>
      <c r="AZ256" s="6">
        <v>133224551146941</v>
      </c>
      <c r="BA256" s="6">
        <v>131145987455543</v>
      </c>
      <c r="BB256" s="6">
        <v>110358501749697</v>
      </c>
      <c r="BC256" s="6">
        <v>121923248763525</v>
      </c>
      <c r="BD256" s="6">
        <v>123014313237931</v>
      </c>
      <c r="BE256" s="6">
        <v>129743332955081</v>
      </c>
      <c r="BF256" s="6">
        <v>143576639565546</v>
      </c>
      <c r="BG256" s="6">
        <v>144234754828199</v>
      </c>
      <c r="BH256" s="6">
        <v>145053068361531</v>
      </c>
      <c r="BI256" s="6">
        <v>142829252621015</v>
      </c>
      <c r="BJ256" s="6">
        <v>141104169145642</v>
      </c>
      <c r="BK256" s="6">
        <v>152378747420889</v>
      </c>
      <c r="BL256" s="6">
        <v>147190973607405</v>
      </c>
      <c r="BM256" s="6">
        <v>117394191097965</v>
      </c>
    </row>
    <row r="257" spans="1:65" x14ac:dyDescent="0.45">
      <c r="A257" s="1" t="s">
        <v>251</v>
      </c>
      <c r="B257" s="2">
        <v>4165107</v>
      </c>
      <c r="C257" s="3" t="s">
        <v>1093</v>
      </c>
      <c r="D257" s="3" t="s">
        <v>1094</v>
      </c>
      <c r="E257" s="3" t="s">
        <v>565</v>
      </c>
      <c r="F257" s="5">
        <v>374025608251064</v>
      </c>
      <c r="G257" s="5">
        <v>433542474107731</v>
      </c>
      <c r="H257" s="5">
        <v>422861951960334</v>
      </c>
      <c r="I257" s="5">
        <v>377049002862216</v>
      </c>
      <c r="J257" s="5">
        <v>431645193582467</v>
      </c>
      <c r="K257" s="5">
        <v>32221824576907</v>
      </c>
      <c r="L257" s="5">
        <v>262412499780325</v>
      </c>
      <c r="M257" s="5">
        <v>302753568745957</v>
      </c>
      <c r="N257" s="5">
        <v>285910037206125</v>
      </c>
      <c r="O257" s="5">
        <v>311147577648545</v>
      </c>
      <c r="P257" s="5">
        <v>316480690548126</v>
      </c>
      <c r="Q257" s="5">
        <v>371666003500477</v>
      </c>
      <c r="R257" s="5">
        <v>383226967564398</v>
      </c>
      <c r="S257" s="5">
        <v>386410529282251</v>
      </c>
      <c r="T257" s="5">
        <v>405145202048334</v>
      </c>
      <c r="U257" s="5">
        <v>306250218389479</v>
      </c>
      <c r="V257" s="5">
        <v>317556494945328</v>
      </c>
      <c r="W257" s="5">
        <v>312704213745516</v>
      </c>
      <c r="X257" s="5">
        <v>290674207448949</v>
      </c>
      <c r="Y257" s="5">
        <v>265835914425755</v>
      </c>
      <c r="Z257" s="5">
        <v>27120880044976</v>
      </c>
      <c r="AA257" s="5">
        <v>239986723841148</v>
      </c>
      <c r="AB257" s="5">
        <v>217124898047692</v>
      </c>
      <c r="AC257" s="5">
        <v>18263576215243</v>
      </c>
      <c r="AD257" s="5">
        <v>188404863613302</v>
      </c>
      <c r="AE257" s="5">
        <v>18063802795518</v>
      </c>
      <c r="AF257" s="5">
        <v>165959385252798</v>
      </c>
      <c r="AG257" s="5">
        <v>163514842611473</v>
      </c>
      <c r="AH257" s="5">
        <v>167537782884207</v>
      </c>
      <c r="AI257" s="5">
        <v>167024271021003</v>
      </c>
      <c r="AJ257" s="5">
        <v>15329121155373</v>
      </c>
      <c r="AK257" s="5">
        <v>139443351136346</v>
      </c>
      <c r="AL257" s="5">
        <v>128598722789859</v>
      </c>
      <c r="AM257" s="5">
        <v>11918581830701</v>
      </c>
      <c r="AN257" s="5">
        <v>145125364958574</v>
      </c>
      <c r="AO257" s="5">
        <v>161135460766302</v>
      </c>
      <c r="AP257" s="6">
        <v>837682863713552</v>
      </c>
      <c r="AQ257" s="6">
        <v>89473962236995</v>
      </c>
      <c r="AR257" s="6">
        <v>85504129586632</v>
      </c>
      <c r="AS257" s="6">
        <v>862930820605417</v>
      </c>
      <c r="AT257" s="6">
        <v>893559452966826</v>
      </c>
      <c r="AU257" s="6">
        <v>892438340451168</v>
      </c>
      <c r="AV257" s="6">
        <v>947773334222</v>
      </c>
      <c r="AW257" s="6">
        <v>929196243500895</v>
      </c>
      <c r="AX257" s="6">
        <v>950122962636225</v>
      </c>
      <c r="AY257" s="6">
        <v>93930621799608</v>
      </c>
      <c r="AZ257" s="6">
        <v>858659611550805</v>
      </c>
      <c r="BA257" s="6">
        <v>80631603335304</v>
      </c>
      <c r="BB257" s="6">
        <v>770024354610434</v>
      </c>
      <c r="BC257" s="6">
        <v>803747055475392</v>
      </c>
      <c r="BD257" s="6">
        <v>750563463371977</v>
      </c>
      <c r="BE257" s="6">
        <v>756706776520968</v>
      </c>
      <c r="BF257" s="6">
        <v>772703975452846</v>
      </c>
      <c r="BG257" s="6">
        <v>746715327820146</v>
      </c>
      <c r="BH257" s="6">
        <v>707513543689658</v>
      </c>
      <c r="BI257" s="6">
        <v>719186983798918</v>
      </c>
      <c r="BJ257" s="6">
        <v>660498737274867</v>
      </c>
      <c r="BK257" s="6">
        <v>684332192681331</v>
      </c>
      <c r="BL257" s="6">
        <v>690089885160039</v>
      </c>
      <c r="BM257" s="6">
        <v>731785143567016</v>
      </c>
    </row>
    <row r="258" spans="1:65" x14ac:dyDescent="0.45">
      <c r="A258" s="1" t="s">
        <v>252</v>
      </c>
      <c r="B258" s="2">
        <v>4069171</v>
      </c>
      <c r="C258" s="3" t="s">
        <v>1095</v>
      </c>
      <c r="D258" s="3" t="s">
        <v>1096</v>
      </c>
      <c r="E258" s="3" t="s">
        <v>589</v>
      </c>
      <c r="F258" s="5">
        <v>499963793175175</v>
      </c>
      <c r="G258" s="5">
        <v>540283484841705</v>
      </c>
      <c r="H258" s="5">
        <v>453535330188944</v>
      </c>
      <c r="I258" s="5">
        <v>437650222833304</v>
      </c>
      <c r="J258" s="5">
        <v>484524610074923</v>
      </c>
      <c r="K258" s="5">
        <v>561157535238682</v>
      </c>
      <c r="L258" s="5">
        <v>455513017314445</v>
      </c>
      <c r="M258" s="5">
        <v>507513607497326</v>
      </c>
      <c r="N258" s="5">
        <v>452101333966349</v>
      </c>
      <c r="O258" s="5">
        <v>496648067844137</v>
      </c>
      <c r="P258" s="5">
        <v>467728865101127</v>
      </c>
      <c r="Q258" s="5">
        <v>523796488893478</v>
      </c>
      <c r="R258" s="5">
        <v>573428543150003</v>
      </c>
      <c r="S258" s="5">
        <v>549013148875264</v>
      </c>
      <c r="T258" s="5">
        <v>488773529293259</v>
      </c>
      <c r="U258" s="5">
        <v>438674080534508</v>
      </c>
      <c r="V258" s="5">
        <v>439904566427596</v>
      </c>
      <c r="W258" s="5">
        <v>44988031634903</v>
      </c>
      <c r="X258" s="5">
        <v>419131736231471</v>
      </c>
      <c r="Y258" s="5">
        <v>398545273883008</v>
      </c>
      <c r="Z258" s="5">
        <v>401828891566613</v>
      </c>
      <c r="AA258" s="5">
        <v>433721375162208</v>
      </c>
      <c r="AB258" s="5">
        <v>396328682257983</v>
      </c>
      <c r="AC258" s="5">
        <v>356372263082951</v>
      </c>
      <c r="AD258" s="5">
        <v>326927988219167</v>
      </c>
      <c r="AE258" s="5">
        <v>325637281828763</v>
      </c>
      <c r="AF258" s="5">
        <v>261346254410511</v>
      </c>
      <c r="AG258" s="5">
        <v>255915465712118</v>
      </c>
      <c r="AH258" s="5">
        <v>266771231604368</v>
      </c>
      <c r="AI258" s="5">
        <v>261902853385233</v>
      </c>
      <c r="AJ258" s="5">
        <v>267947634530896</v>
      </c>
      <c r="AK258" s="5">
        <v>245405218477219</v>
      </c>
      <c r="AL258" s="5">
        <v>235149939474125</v>
      </c>
      <c r="AM258" s="5">
        <v>205063365238732</v>
      </c>
      <c r="AN258" s="5">
        <v>219118154264796</v>
      </c>
      <c r="AO258" s="5">
        <v>235898793603726</v>
      </c>
      <c r="AP258" s="6">
        <v>101481228048407</v>
      </c>
      <c r="AQ258" s="6">
        <v>100454593573619</v>
      </c>
      <c r="AR258" s="6">
        <v>958540379343467</v>
      </c>
      <c r="AS258" s="6">
        <v>958398192810632</v>
      </c>
      <c r="AT258" s="6">
        <v>927339808986351</v>
      </c>
      <c r="AU258" s="6">
        <v>930534970117831</v>
      </c>
      <c r="AV258" s="6">
        <v>955429861920186</v>
      </c>
      <c r="AW258" s="6">
        <v>87766998510215</v>
      </c>
      <c r="AX258" s="6">
        <v>873478627458832</v>
      </c>
      <c r="AY258" s="6">
        <v>852550638053232</v>
      </c>
      <c r="AZ258" s="6">
        <v>842962583798117</v>
      </c>
      <c r="BA258" s="6">
        <v>790639852412662</v>
      </c>
      <c r="BB258" s="6">
        <v>760676602884</v>
      </c>
      <c r="BC258" s="6">
        <v>78404982624</v>
      </c>
      <c r="BD258" s="6">
        <v>805601800869019</v>
      </c>
      <c r="BE258" s="6">
        <v>397833233946288</v>
      </c>
      <c r="BF258" s="6">
        <v>39191024832932</v>
      </c>
      <c r="BG258" s="6">
        <v>4116036249419</v>
      </c>
      <c r="BH258" s="6">
        <v>389530383105113</v>
      </c>
      <c r="BI258" s="6">
        <v>385144656382276</v>
      </c>
      <c r="BJ258" s="6">
        <v>362996693757579</v>
      </c>
      <c r="BK258" s="6">
        <v>336969896490661</v>
      </c>
      <c r="BL258" s="6">
        <v>352190904796867</v>
      </c>
      <c r="BM258" s="6">
        <v>371686778675925</v>
      </c>
    </row>
    <row r="259" spans="1:65" x14ac:dyDescent="0.45">
      <c r="A259" s="1" t="s">
        <v>253</v>
      </c>
      <c r="B259" s="2">
        <v>4104164</v>
      </c>
      <c r="C259" s="3" t="s">
        <v>1097</v>
      </c>
      <c r="D259" s="3" t="s">
        <v>1098</v>
      </c>
      <c r="E259" s="3" t="s">
        <v>628</v>
      </c>
      <c r="F259" s="5">
        <v>370946717965611</v>
      </c>
      <c r="G259" s="5">
        <v>419265956879354</v>
      </c>
      <c r="H259" s="5">
        <v>474588698024352</v>
      </c>
      <c r="I259" s="5">
        <v>405563513663723</v>
      </c>
      <c r="J259" s="5">
        <v>433548562698696</v>
      </c>
      <c r="K259" s="5">
        <v>450190043504183</v>
      </c>
      <c r="L259" s="5">
        <v>445945840162471</v>
      </c>
      <c r="M259" s="5">
        <v>433086252560805</v>
      </c>
      <c r="N259" s="5">
        <v>425079301751492</v>
      </c>
      <c r="O259" s="5">
        <v>431822051217558</v>
      </c>
      <c r="P259" s="5">
        <v>433784429377424</v>
      </c>
      <c r="Q259" s="5">
        <v>366655357617785</v>
      </c>
      <c r="R259" s="5">
        <v>367926545451061</v>
      </c>
      <c r="S259" s="5">
        <v>363989956431189</v>
      </c>
      <c r="T259" s="5">
        <v>391216664101952</v>
      </c>
      <c r="U259" s="5">
        <v>381839344224696</v>
      </c>
      <c r="V259" s="5">
        <v>396675015749946</v>
      </c>
      <c r="W259" s="5">
        <v>39180980807636</v>
      </c>
      <c r="X259" s="5">
        <v>37368737285878</v>
      </c>
      <c r="Y259" s="5">
        <v>366753426108751</v>
      </c>
      <c r="Z259" s="5">
        <v>35754652398462</v>
      </c>
      <c r="AA259" s="5">
        <v>354977899367875</v>
      </c>
      <c r="AB259" s="5">
        <v>315900537577788</v>
      </c>
      <c r="AC259" s="5">
        <v>296867166807837</v>
      </c>
      <c r="AD259" s="5">
        <v>324673208885824</v>
      </c>
      <c r="AE259" s="5">
        <v>337519843333032</v>
      </c>
      <c r="AF259" s="5">
        <v>298886869816505</v>
      </c>
      <c r="AG259" s="5">
        <v>312695816605631</v>
      </c>
      <c r="AH259" s="5">
        <v>326863675854199</v>
      </c>
      <c r="AI259" s="5">
        <v>307160501470087</v>
      </c>
      <c r="AJ259" s="5">
        <v>325465039143191</v>
      </c>
      <c r="AK259" s="5">
        <v>387282777120435</v>
      </c>
      <c r="AL259" s="5">
        <v>384038940552482</v>
      </c>
      <c r="AM259" s="5">
        <v>35551281805494</v>
      </c>
      <c r="AN259" s="5">
        <v>39746515093428</v>
      </c>
      <c r="AO259" s="5">
        <v>441332713643793</v>
      </c>
      <c r="AP259" s="6">
        <v>13420549901687</v>
      </c>
      <c r="AQ259" s="6">
        <v>133515661159533</v>
      </c>
      <c r="AR259" s="6">
        <v>133275419790636</v>
      </c>
      <c r="AS259" s="6">
        <v>128200714915793</v>
      </c>
      <c r="AT259" s="6">
        <v>133163725536555</v>
      </c>
      <c r="AU259" s="6">
        <v>136293208858675</v>
      </c>
      <c r="AV259" s="6">
        <v>1232116249624</v>
      </c>
      <c r="AW259" s="6">
        <v>115468367794922</v>
      </c>
      <c r="AX259" s="6">
        <v>123145926324844</v>
      </c>
      <c r="AY259" s="6">
        <v>119398216359015</v>
      </c>
      <c r="AZ259" s="6">
        <v>104743312064286</v>
      </c>
      <c r="BA259" s="6">
        <v>978873617491803</v>
      </c>
      <c r="BB259" s="6">
        <v>901357032166195</v>
      </c>
      <c r="BC259" s="6">
        <v>103047086176911</v>
      </c>
      <c r="BD259" s="6">
        <v>966004009711875</v>
      </c>
      <c r="BE259" s="6">
        <v>980121384044887</v>
      </c>
      <c r="BF259" s="6">
        <v>8947620489285</v>
      </c>
      <c r="BG259" s="6">
        <v>880346116188</v>
      </c>
      <c r="BH259" s="6">
        <v>869710293177242</v>
      </c>
      <c r="BI259" s="6">
        <v>763881081340759</v>
      </c>
      <c r="BJ259" s="6">
        <v>682795080179672</v>
      </c>
      <c r="BK259" s="6">
        <v>713358095523685</v>
      </c>
      <c r="BL259" s="6">
        <v>76379640285312</v>
      </c>
      <c r="BM259" s="6">
        <v>749106551064368</v>
      </c>
    </row>
    <row r="260" spans="1:65" x14ac:dyDescent="0.45">
      <c r="A260" s="1" t="s">
        <v>254</v>
      </c>
      <c r="B260" s="2">
        <v>4069312</v>
      </c>
      <c r="C260" s="3" t="s">
        <v>1099</v>
      </c>
      <c r="D260" s="3" t="s">
        <v>1100</v>
      </c>
      <c r="E260" s="3" t="s">
        <v>805</v>
      </c>
      <c r="F260" s="5">
        <v>195220031496</v>
      </c>
      <c r="G260" s="5">
        <v>20679841594</v>
      </c>
      <c r="H260" s="5">
        <v>201032848128</v>
      </c>
      <c r="I260" s="5">
        <v>188814175152</v>
      </c>
      <c r="J260" s="5">
        <v>202198207032</v>
      </c>
      <c r="K260" s="5">
        <v>23391647916</v>
      </c>
      <c r="L260" s="5">
        <v>207822995352</v>
      </c>
      <c r="M260" s="5">
        <v>213180069024</v>
      </c>
      <c r="N260" s="5">
        <v>211357568484</v>
      </c>
      <c r="O260" s="5">
        <v>221150034359477</v>
      </c>
      <c r="P260" s="5">
        <v>22561426602</v>
      </c>
      <c r="Q260" s="5">
        <v>231852589056</v>
      </c>
      <c r="R260" s="5">
        <v>264404604321</v>
      </c>
      <c r="S260" s="5">
        <v>242259550632</v>
      </c>
      <c r="T260" s="5">
        <v>237789870368</v>
      </c>
      <c r="U260" s="5">
        <v>234084680448</v>
      </c>
      <c r="V260" s="5">
        <v>247770688704</v>
      </c>
      <c r="W260" s="5">
        <v>24141585315</v>
      </c>
      <c r="X260" s="5">
        <v>22730089653</v>
      </c>
      <c r="Y260" s="5">
        <v>22003099068</v>
      </c>
      <c r="Z260" s="5">
        <v>216155340918</v>
      </c>
      <c r="AA260" s="5">
        <v>21207070656</v>
      </c>
      <c r="AB260" s="5">
        <v>19352676024</v>
      </c>
      <c r="AC260" s="5">
        <v>183673080492</v>
      </c>
      <c r="AD260" s="5">
        <v>16207566975</v>
      </c>
      <c r="AE260" s="5">
        <v>162858768672</v>
      </c>
      <c r="AF260" s="5">
        <v>166965648438</v>
      </c>
      <c r="AG260" s="5">
        <v>156162132968</v>
      </c>
      <c r="AH260" s="5">
        <v>14319248825</v>
      </c>
      <c r="AI260" s="5">
        <v>158835318824</v>
      </c>
      <c r="AJ260" s="5">
        <v>143472396312</v>
      </c>
      <c r="AK260" s="5">
        <v>15328473048</v>
      </c>
      <c r="AL260" s="5">
        <v>145969356162759</v>
      </c>
      <c r="AM260" s="5">
        <v>1119094977</v>
      </c>
      <c r="AN260" s="5">
        <v>155441534241</v>
      </c>
      <c r="AO260" s="5">
        <v>1536226868</v>
      </c>
      <c r="AP260" s="6">
        <v>978721584449625</v>
      </c>
      <c r="AQ260" s="6">
        <v>100106815660498</v>
      </c>
      <c r="AR260" s="6">
        <v>953174686399925</v>
      </c>
      <c r="AS260" s="6">
        <v>101020370990059</v>
      </c>
      <c r="AT260" s="6">
        <v>986224733760028</v>
      </c>
      <c r="AU260" s="6">
        <v>918948987890472</v>
      </c>
      <c r="AV260" s="6">
        <v>902652025986482</v>
      </c>
      <c r="AW260" s="6">
        <v>858082325626173</v>
      </c>
      <c r="AX260" s="6">
        <v>840544551245432</v>
      </c>
      <c r="AY260" s="6">
        <v>756348120664013</v>
      </c>
      <c r="AZ260" s="6">
        <v>7676955175776</v>
      </c>
      <c r="BA260" s="6">
        <v>7106472297</v>
      </c>
      <c r="BB260" s="6">
        <v>650456109422465</v>
      </c>
      <c r="BC260" s="6">
        <v>754694483425659</v>
      </c>
      <c r="BD260" s="6">
        <v>738415945180098</v>
      </c>
      <c r="BE260" s="6">
        <v>847986235306049</v>
      </c>
      <c r="BF260" s="6">
        <v>786090332191072</v>
      </c>
      <c r="BG260" s="6">
        <v>793549417545117</v>
      </c>
      <c r="BH260" s="6">
        <v>722997921119416</v>
      </c>
      <c r="BI260" s="6">
        <v>770304174609847</v>
      </c>
      <c r="BJ260" s="6">
        <v>758708051375613</v>
      </c>
      <c r="BK260" s="6">
        <v>78545821727475</v>
      </c>
      <c r="BL260" s="6">
        <v>822647826</v>
      </c>
      <c r="BM260" s="6">
        <v>81300215775</v>
      </c>
    </row>
    <row r="261" spans="1:65" x14ac:dyDescent="0.45">
      <c r="A261" s="1" t="s">
        <v>255</v>
      </c>
      <c r="B261" s="2">
        <v>4069378</v>
      </c>
      <c r="C261" s="3" t="s">
        <v>1101</v>
      </c>
      <c r="D261" s="3" t="s">
        <v>1102</v>
      </c>
      <c r="E261" s="3" t="s">
        <v>589</v>
      </c>
      <c r="F261" s="5">
        <v>536345438153926</v>
      </c>
      <c r="G261" s="5">
        <v>624708577562677</v>
      </c>
      <c r="H261" s="5">
        <v>558274286182547</v>
      </c>
      <c r="I261" s="5">
        <v>510730497055104</v>
      </c>
      <c r="J261" s="5">
        <v>595624068943575</v>
      </c>
      <c r="K261" s="5">
        <v>672136330479</v>
      </c>
      <c r="L261" s="5">
        <v>565478868160374</v>
      </c>
      <c r="M261" s="5">
        <v>67237942754984</v>
      </c>
      <c r="N261" s="5">
        <v>613064467246709</v>
      </c>
      <c r="O261" s="5">
        <v>675120040247826</v>
      </c>
      <c r="P261" s="5">
        <v>69733634895651</v>
      </c>
      <c r="Q261" s="5">
        <v>738801177984</v>
      </c>
      <c r="R261" s="5">
        <v>890338582257807</v>
      </c>
      <c r="S261" s="5">
        <v>849245532147152</v>
      </c>
      <c r="T261" s="5">
        <v>686218122587372</v>
      </c>
      <c r="U261" s="5">
        <v>691429560237647</v>
      </c>
      <c r="V261" s="5">
        <v>727375635500982</v>
      </c>
      <c r="W261" s="5">
        <v>7657100711163</v>
      </c>
      <c r="X261" s="5">
        <v>782695512801515</v>
      </c>
      <c r="Y261" s="5">
        <v>760449098294411</v>
      </c>
      <c r="Z261" s="5">
        <v>735602184025244</v>
      </c>
      <c r="AA261" s="5">
        <v>724751630983512</v>
      </c>
      <c r="AB261" s="5">
        <v>669929221782785</v>
      </c>
      <c r="AC261" s="5">
        <v>5709268442205</v>
      </c>
      <c r="AD261" s="5">
        <v>555991840642845</v>
      </c>
      <c r="AE261" s="5">
        <v>545421415565348</v>
      </c>
      <c r="AF261" s="5">
        <v>422723005401786</v>
      </c>
      <c r="AG261" s="5">
        <v>409899992893752</v>
      </c>
      <c r="AH261" s="5">
        <v>409714255096422</v>
      </c>
      <c r="AI261" s="5">
        <v>46333462678188</v>
      </c>
      <c r="AJ261" s="5">
        <v>417234795427533</v>
      </c>
      <c r="AK261" s="5">
        <v>357340292157818</v>
      </c>
      <c r="AL261" s="5">
        <v>338738163320576</v>
      </c>
      <c r="AM261" s="5">
        <v>31787785848</v>
      </c>
      <c r="AN261" s="5">
        <v>388346458711245</v>
      </c>
      <c r="AO261" s="5">
        <v>3832020090404</v>
      </c>
      <c r="AP261" s="6">
        <v>139123637112256</v>
      </c>
      <c r="AQ261" s="6">
        <v>137407417079726</v>
      </c>
      <c r="AR261" s="6">
        <v>130747936422684</v>
      </c>
      <c r="AS261" s="6">
        <v>142760594871077</v>
      </c>
      <c r="AT261" s="6">
        <v>132155933415193</v>
      </c>
      <c r="AU261" s="6">
        <v>146668467949233</v>
      </c>
      <c r="AV261" s="6">
        <v>146480370357001</v>
      </c>
      <c r="AW261" s="6">
        <v>14047730890452</v>
      </c>
      <c r="AX261" s="6">
        <v>139566513984025</v>
      </c>
      <c r="AY261" s="6">
        <v>132942338354054</v>
      </c>
      <c r="AZ261" s="6">
        <v>130170192952078</v>
      </c>
      <c r="BA261" s="6">
        <v>131159173893039</v>
      </c>
      <c r="BB261" s="6">
        <v>124699397877087</v>
      </c>
      <c r="BC261" s="6">
        <v>133134846635313</v>
      </c>
      <c r="BD261" s="6">
        <v>129981639121675</v>
      </c>
      <c r="BE261" s="6">
        <v>13660841892464</v>
      </c>
      <c r="BF261" s="6">
        <v>136953168037206</v>
      </c>
      <c r="BG261" s="6">
        <v>13710940538754</v>
      </c>
      <c r="BH261" s="6">
        <v>132138053377941</v>
      </c>
      <c r="BI261" s="6">
        <v>133846462412486</v>
      </c>
      <c r="BJ261" s="6">
        <v>138737115408901</v>
      </c>
      <c r="BK261" s="6">
        <v>131204405421323</v>
      </c>
      <c r="BL261" s="6">
        <v>132237500668264</v>
      </c>
      <c r="BM261" s="6">
        <v>139774084967431</v>
      </c>
    </row>
    <row r="262" spans="1:65" x14ac:dyDescent="0.45">
      <c r="A262" s="1" t="s">
        <v>256</v>
      </c>
      <c r="B262" s="2">
        <v>4107929</v>
      </c>
      <c r="C262" s="3" t="s">
        <v>1103</v>
      </c>
      <c r="D262" s="3" t="s">
        <v>1104</v>
      </c>
      <c r="E262" s="3" t="s">
        <v>1105</v>
      </c>
      <c r="F262" s="5">
        <v>343703807056984</v>
      </c>
      <c r="G262" s="5">
        <v>347078628831047</v>
      </c>
      <c r="H262" s="5">
        <v>29373213899897</v>
      </c>
      <c r="I262" s="5">
        <v>292378641033294</v>
      </c>
      <c r="J262" s="5">
        <v>28550093498992</v>
      </c>
      <c r="K262" s="5">
        <v>282356146312767</v>
      </c>
      <c r="L262" s="5">
        <v>245516972160954</v>
      </c>
      <c r="M262" s="5">
        <v>252547095644277</v>
      </c>
      <c r="N262" s="5">
        <v>256881446518201</v>
      </c>
      <c r="O262" s="5">
        <v>267325927505481</v>
      </c>
      <c r="P262" s="5">
        <v>291581088462258</v>
      </c>
      <c r="Q262" s="5">
        <v>298749450152506</v>
      </c>
      <c r="R262" s="5">
        <v>252851486083975</v>
      </c>
      <c r="S262" s="5">
        <v>241431687996215</v>
      </c>
      <c r="T262" s="5">
        <v>25641188195391</v>
      </c>
      <c r="U262" s="5">
        <v>241251512266879</v>
      </c>
      <c r="V262" s="5">
        <v>28873337868059</v>
      </c>
      <c r="W262" s="5">
        <v>272746892884504</v>
      </c>
      <c r="X262" s="5">
        <v>33950746535731</v>
      </c>
      <c r="Y262" s="5">
        <v>361988793221344</v>
      </c>
      <c r="Z262" s="5">
        <v>389044539854294</v>
      </c>
      <c r="AA262" s="5">
        <v>39543378442633</v>
      </c>
      <c r="AB262" s="5">
        <v>395196005897235</v>
      </c>
      <c r="AC262" s="5">
        <v>302594630090042</v>
      </c>
      <c r="AD262" s="5">
        <v>3721505567517</v>
      </c>
      <c r="AE262" s="5">
        <v>35603080760976</v>
      </c>
      <c r="AF262" s="5">
        <v>314996929489139</v>
      </c>
      <c r="AG262" s="5">
        <v>303494578849474</v>
      </c>
      <c r="AH262" s="5">
        <v>323988881501708</v>
      </c>
      <c r="AI262" s="5">
        <v>281751451184391</v>
      </c>
      <c r="AJ262" s="5">
        <v>30904948727707</v>
      </c>
      <c r="AK262" s="5">
        <v>329327418314273</v>
      </c>
      <c r="AL262" s="5">
        <v>33523129666561</v>
      </c>
      <c r="AM262" s="5">
        <v>295139181588706</v>
      </c>
      <c r="AN262" s="5">
        <v>404905287284966</v>
      </c>
      <c r="AO262" s="5">
        <v>452422837150838</v>
      </c>
      <c r="AP262" s="6">
        <v>817968291793985</v>
      </c>
      <c r="AQ262" s="6">
        <v>821738301079027</v>
      </c>
      <c r="AR262" s="6">
        <v>772765940950992</v>
      </c>
      <c r="AS262" s="6">
        <v>778315057388416</v>
      </c>
      <c r="AT262" s="6">
        <v>7916149824</v>
      </c>
      <c r="AU262" s="6">
        <v>713298767326236</v>
      </c>
      <c r="AV262" s="6">
        <v>694288051895067</v>
      </c>
      <c r="AW262" s="6">
        <v>666039972915629</v>
      </c>
      <c r="AX262" s="6">
        <v>803702463597316</v>
      </c>
      <c r="AY262" s="6">
        <v>783186358686544</v>
      </c>
      <c r="AZ262" s="6">
        <v>740964944132097</v>
      </c>
      <c r="BA262" s="6">
        <v>674063778773938</v>
      </c>
      <c r="BB262" s="6">
        <v>647723127460386</v>
      </c>
      <c r="BC262" s="6">
        <v>673677875441967</v>
      </c>
      <c r="BD262" s="6">
        <v>679976651143032</v>
      </c>
      <c r="BE262" s="6">
        <v>798782634559064</v>
      </c>
      <c r="BF262" s="6">
        <v>75981069375</v>
      </c>
      <c r="BG262" s="6">
        <v>692800710611273</v>
      </c>
      <c r="BH262" s="6">
        <v>66853659159151</v>
      </c>
      <c r="BI262" s="6">
        <v>672917578226936</v>
      </c>
      <c r="BJ262" s="6">
        <v>563738468243718</v>
      </c>
      <c r="BK262" s="6">
        <v>592103056089051</v>
      </c>
      <c r="BL262" s="6">
        <v>608830282940034</v>
      </c>
      <c r="BM262" s="6">
        <v>698595750856108</v>
      </c>
    </row>
    <row r="263" spans="1:65" x14ac:dyDescent="0.45">
      <c r="A263" s="1" t="s">
        <v>257</v>
      </c>
      <c r="B263" s="2">
        <v>4276840</v>
      </c>
      <c r="C263" s="3" t="s">
        <v>1106</v>
      </c>
      <c r="D263" s="3" t="s">
        <v>1107</v>
      </c>
      <c r="E263" s="3" t="s">
        <v>892</v>
      </c>
      <c r="F263" s="5">
        <v>134538450204266</v>
      </c>
      <c r="G263" s="5">
        <v>144914579080257</v>
      </c>
      <c r="H263" s="5">
        <v>14027907458265</v>
      </c>
      <c r="I263" s="5">
        <v>121796850668541</v>
      </c>
      <c r="J263" s="5">
        <v>128860424152674</v>
      </c>
      <c r="K263" s="5">
        <v>143362363144632</v>
      </c>
      <c r="L263" s="5">
        <v>131659148930155</v>
      </c>
      <c r="M263" s="5">
        <v>133114961019183</v>
      </c>
      <c r="N263" s="5">
        <v>133915951212569</v>
      </c>
      <c r="O263" s="5">
        <v>132578388796611</v>
      </c>
      <c r="P263" s="5">
        <v>127422316751881</v>
      </c>
      <c r="Q263" s="5">
        <v>112076356959418</v>
      </c>
      <c r="R263" s="5">
        <v>109702951804681</v>
      </c>
      <c r="S263" s="5">
        <v>109455929277037</v>
      </c>
      <c r="T263" s="5">
        <v>122401085144348</v>
      </c>
      <c r="U263" s="5">
        <v>117415527468564</v>
      </c>
      <c r="V263" s="5">
        <v>117667270002189</v>
      </c>
      <c r="W263" s="5">
        <v>126870937894175</v>
      </c>
      <c r="X263" s="5">
        <v>120585773483707</v>
      </c>
      <c r="Y263" s="5">
        <v>119226209572136</v>
      </c>
      <c r="Z263" s="5">
        <v>11900516565765</v>
      </c>
      <c r="AA263" s="5">
        <v>11594713353889</v>
      </c>
      <c r="AB263" s="5">
        <v>103730633812055</v>
      </c>
      <c r="AC263" s="5">
        <v>124349012011157</v>
      </c>
      <c r="AD263" s="5">
        <v>122304388948236</v>
      </c>
      <c r="AE263" s="5">
        <v>119913524556319</v>
      </c>
      <c r="AF263" s="5">
        <v>101273517473873</v>
      </c>
      <c r="AG263" s="5">
        <v>107953542990171</v>
      </c>
      <c r="AH263" s="5">
        <v>107633244906866</v>
      </c>
      <c r="AI263" s="5">
        <v>114258229395612</v>
      </c>
      <c r="AJ263" s="5">
        <v>118230361238056</v>
      </c>
      <c r="AK263" s="5">
        <v>1345273169999</v>
      </c>
      <c r="AL263" s="5">
        <v>128119485466535</v>
      </c>
      <c r="AM263" s="5">
        <v>11830264079907</v>
      </c>
      <c r="AN263" s="5">
        <v>131984375906545</v>
      </c>
      <c r="AO263" s="5">
        <v>128290716735944</v>
      </c>
      <c r="AP263" s="6">
        <v>268982287463893</v>
      </c>
      <c r="AQ263" s="6">
        <v>266851711436062</v>
      </c>
      <c r="AR263" s="6">
        <v>238730899440649</v>
      </c>
      <c r="AS263" s="6">
        <v>230026723290992</v>
      </c>
      <c r="AT263" s="6">
        <v>218735228889057</v>
      </c>
      <c r="AU263" s="6">
        <v>223675800643025</v>
      </c>
      <c r="AV263" s="6">
        <v>206315517521925</v>
      </c>
      <c r="AW263" s="6">
        <v>193517435185512</v>
      </c>
      <c r="AX263" s="6">
        <v>205035388453954</v>
      </c>
      <c r="AY263" s="6">
        <v>191220156131628</v>
      </c>
      <c r="AZ263" s="6">
        <v>173571062682272</v>
      </c>
      <c r="BA263" s="6">
        <v>169568751137503</v>
      </c>
      <c r="BB263" s="6">
        <v>140631809632251</v>
      </c>
      <c r="BC263" s="6">
        <v>154964263635878</v>
      </c>
      <c r="BD263" s="6">
        <v>164583390955962</v>
      </c>
      <c r="BE263" s="6">
        <v>185127614978193</v>
      </c>
      <c r="BF263" s="6">
        <v>176678444540679</v>
      </c>
      <c r="BG263" s="6">
        <v>135761257866335</v>
      </c>
      <c r="BH263" s="6">
        <v>141737110752816</v>
      </c>
      <c r="BI263" s="6">
        <v>122259369406799</v>
      </c>
      <c r="BJ263" s="6">
        <v>11214586958339</v>
      </c>
      <c r="BK263" s="6">
        <v>981467558645766</v>
      </c>
      <c r="BL263" s="6">
        <v>89920609770537</v>
      </c>
      <c r="BM263" s="6">
        <v>851174887210887</v>
      </c>
    </row>
    <row r="264" spans="1:65" x14ac:dyDescent="0.45">
      <c r="A264" s="1" t="s">
        <v>258</v>
      </c>
      <c r="B264" s="2">
        <v>4054537</v>
      </c>
      <c r="C264" s="3" t="s">
        <v>1108</v>
      </c>
      <c r="D264" s="3" t="s">
        <v>1109</v>
      </c>
      <c r="E264" s="3" t="s">
        <v>808</v>
      </c>
      <c r="F264" s="5">
        <v>241208314418831</v>
      </c>
      <c r="G264" s="5">
        <v>242610854204453</v>
      </c>
      <c r="H264" s="5">
        <v>231928352534148</v>
      </c>
      <c r="I264" s="5">
        <v>215946851365105</v>
      </c>
      <c r="J264" s="5">
        <v>218377047095827</v>
      </c>
      <c r="K264" s="5">
        <v>236714535836039</v>
      </c>
      <c r="L264" s="5">
        <v>195294438470282</v>
      </c>
      <c r="M264" s="5">
        <v>216534662274021</v>
      </c>
      <c r="N264" s="5">
        <v>21052098884129</v>
      </c>
      <c r="O264" s="5">
        <v>210764117949713</v>
      </c>
      <c r="P264" s="5">
        <v>234415055922882</v>
      </c>
      <c r="Q264" s="5">
        <v>251309779685562</v>
      </c>
      <c r="R264" s="5">
        <v>309299762990794</v>
      </c>
      <c r="S264" s="5">
        <v>281998395597226</v>
      </c>
      <c r="T264" s="5">
        <v>261637717150116</v>
      </c>
      <c r="U264" s="5">
        <v>247213224403243</v>
      </c>
      <c r="V264" s="5">
        <v>27762833229671</v>
      </c>
      <c r="W264" s="5">
        <v>270879063486557</v>
      </c>
      <c r="X264" s="5">
        <v>256908450415746</v>
      </c>
      <c r="Y264" s="5">
        <v>24819432216347</v>
      </c>
      <c r="Z264" s="5">
        <v>262690134762483</v>
      </c>
      <c r="AA264" s="5">
        <v>263139435614653</v>
      </c>
      <c r="AB264" s="5">
        <v>208806226752259</v>
      </c>
      <c r="AC264" s="5">
        <v>209159456951667</v>
      </c>
      <c r="AD264" s="5">
        <v>190268945555857</v>
      </c>
      <c r="AE264" s="5">
        <v>193728558670069</v>
      </c>
      <c r="AF264" s="5">
        <v>184162393297865</v>
      </c>
      <c r="AG264" s="5">
        <v>21205831021312</v>
      </c>
      <c r="AH264" s="5">
        <v>19053795746739</v>
      </c>
      <c r="AI264" s="5">
        <v>185081793656779</v>
      </c>
      <c r="AJ264" s="5">
        <v>165777151151483</v>
      </c>
      <c r="AK264" s="5">
        <v>164535749644071</v>
      </c>
      <c r="AL264" s="5">
        <v>138810022235469</v>
      </c>
      <c r="AM264" s="5">
        <v>105476251313524</v>
      </c>
      <c r="AN264" s="5">
        <v>167209367530008</v>
      </c>
      <c r="AO264" s="5">
        <v>184348006372416</v>
      </c>
      <c r="AP264" s="6">
        <v>545418969087993</v>
      </c>
      <c r="AQ264" s="6">
        <v>516008444474926</v>
      </c>
      <c r="AR264" s="6">
        <v>433872230408503</v>
      </c>
      <c r="AS264" s="6">
        <v>377926788491881</v>
      </c>
      <c r="AT264" s="6">
        <v>38985986848</v>
      </c>
      <c r="AU264" s="6">
        <v>388480918004739</v>
      </c>
      <c r="AV264" s="6">
        <v>358358470623098</v>
      </c>
      <c r="AW264" s="6">
        <v>277190989839283</v>
      </c>
      <c r="AX264" s="6">
        <v>42091032636114</v>
      </c>
      <c r="AY264" s="6">
        <v>383383455870096</v>
      </c>
      <c r="AZ264" s="6">
        <v>33245810256054</v>
      </c>
      <c r="BA264" s="6">
        <v>317082879340488</v>
      </c>
      <c r="BB264" s="6">
        <v>272475059343854</v>
      </c>
      <c r="BC264" s="6">
        <v>248799804384691</v>
      </c>
      <c r="BD264" s="6">
        <v>305787661371637</v>
      </c>
      <c r="BE264" s="6">
        <v>326786590937483</v>
      </c>
      <c r="BF264" s="6">
        <v>3702787305</v>
      </c>
      <c r="BG264" s="6">
        <v>2794409839672</v>
      </c>
      <c r="BH264" s="6">
        <v>310600248502464</v>
      </c>
      <c r="BI264" s="6">
        <v>3153806333928</v>
      </c>
      <c r="BJ264" s="6">
        <v>261504331653247</v>
      </c>
      <c r="BK264" s="6">
        <v>324713645184808</v>
      </c>
      <c r="BL264" s="6">
        <v>3114179976726</v>
      </c>
      <c r="BM264" s="6">
        <v>230791373775085</v>
      </c>
    </row>
    <row r="265" spans="1:65" x14ac:dyDescent="0.45">
      <c r="A265" s="1" t="s">
        <v>259</v>
      </c>
      <c r="B265" s="2">
        <v>4021939</v>
      </c>
      <c r="C265" s="3" t="s">
        <v>1110</v>
      </c>
      <c r="D265" s="3" t="s">
        <v>1111</v>
      </c>
      <c r="E265" s="3" t="s">
        <v>492</v>
      </c>
      <c r="F265" s="5">
        <v>793287799507885</v>
      </c>
      <c r="G265" s="5">
        <v>894966773137699</v>
      </c>
      <c r="H265" s="5">
        <v>837096590924782</v>
      </c>
      <c r="I265" s="5">
        <v>804572122447694</v>
      </c>
      <c r="J265" s="5">
        <v>844738152118661</v>
      </c>
      <c r="K265" s="5">
        <v>843273520134192</v>
      </c>
      <c r="L265" s="5">
        <v>709651162038504</v>
      </c>
      <c r="M265" s="5">
        <v>69920768667204</v>
      </c>
      <c r="N265" s="5">
        <v>729124132015403</v>
      </c>
      <c r="O265" s="5">
        <v>850435533354193</v>
      </c>
      <c r="P265" s="5">
        <v>870862763175821</v>
      </c>
      <c r="Q265" s="5">
        <v>926685878245344</v>
      </c>
      <c r="R265" s="5">
        <v>104377256022904</v>
      </c>
      <c r="S265" s="5">
        <v>100334347783158</v>
      </c>
      <c r="T265" s="5">
        <v>947185163455776</v>
      </c>
      <c r="U265" s="5">
        <v>943326054354652</v>
      </c>
      <c r="V265" s="5">
        <v>105540064795779</v>
      </c>
      <c r="W265" s="5">
        <v>103215289171231</v>
      </c>
      <c r="X265" s="5">
        <v>111767788623822</v>
      </c>
      <c r="Y265" s="5">
        <v>108463406232099</v>
      </c>
      <c r="Z265" s="5">
        <v>105309273677887</v>
      </c>
      <c r="AA265" s="5">
        <v>100173060936342</v>
      </c>
      <c r="AB265" s="5">
        <v>872512865026133</v>
      </c>
      <c r="AC265" s="5">
        <v>868972787183414</v>
      </c>
      <c r="AD265" s="5">
        <v>857569488149452</v>
      </c>
      <c r="AE265" s="5">
        <v>922113491544604</v>
      </c>
      <c r="AF265" s="5">
        <v>892569716736095</v>
      </c>
      <c r="AG265" s="5">
        <v>888083406443423</v>
      </c>
      <c r="AH265" s="5">
        <v>897040068411589</v>
      </c>
      <c r="AI265" s="5">
        <v>867059286350713</v>
      </c>
      <c r="AJ265" s="5">
        <v>791850783308994</v>
      </c>
      <c r="AK265" s="5">
        <v>73568156560668</v>
      </c>
      <c r="AL265" s="5">
        <v>652666409371548</v>
      </c>
      <c r="AM265" s="5">
        <v>63853709213476</v>
      </c>
      <c r="AN265" s="5">
        <v>800689880591236</v>
      </c>
      <c r="AO265" s="5">
        <v>8097331881837</v>
      </c>
      <c r="AP265" s="6">
        <v>280702333599695</v>
      </c>
      <c r="AQ265" s="6">
        <v>280029430538265</v>
      </c>
      <c r="AR265" s="6">
        <v>269771796673961</v>
      </c>
      <c r="AS265" s="6">
        <v>275078961067855</v>
      </c>
      <c r="AT265" s="6">
        <v>235858426600329</v>
      </c>
      <c r="AU265" s="6">
        <v>252087670337651</v>
      </c>
      <c r="AV265" s="6">
        <v>280303572459545</v>
      </c>
      <c r="AW265" s="6">
        <v>246673761675115</v>
      </c>
      <c r="AX265" s="6">
        <v>291615192513571</v>
      </c>
      <c r="AY265" s="6">
        <v>278053304291294</v>
      </c>
      <c r="AZ265" s="6">
        <v>278720763343938</v>
      </c>
      <c r="BA265" s="6">
        <v>291291372182889</v>
      </c>
      <c r="BB265" s="6">
        <v>278658038552494</v>
      </c>
      <c r="BC265" s="6">
        <v>316177642844045</v>
      </c>
      <c r="BD265" s="6">
        <v>30259099274896</v>
      </c>
      <c r="BE265" s="6">
        <v>343501951557466</v>
      </c>
      <c r="BF265" s="6">
        <v>378267077716401</v>
      </c>
      <c r="BG265" s="6">
        <v>37015991505</v>
      </c>
      <c r="BH265" s="6">
        <v>36813602085</v>
      </c>
      <c r="BI265" s="6">
        <v>377034687646548</v>
      </c>
      <c r="BJ265" s="6">
        <v>343317757304046</v>
      </c>
      <c r="BK265" s="6">
        <v>339077668026401</v>
      </c>
      <c r="BL265" s="6">
        <v>34970387483435</v>
      </c>
      <c r="BM265" s="6">
        <v>38002057424664</v>
      </c>
    </row>
    <row r="266" spans="1:65" x14ac:dyDescent="0.45">
      <c r="A266" s="1" t="s">
        <v>260</v>
      </c>
      <c r="B266" s="2">
        <v>4062407</v>
      </c>
      <c r="C266" s="3" t="s">
        <v>1112</v>
      </c>
      <c r="D266" s="3" t="s">
        <v>1113</v>
      </c>
      <c r="E266" s="3" t="s">
        <v>516</v>
      </c>
      <c r="F266" s="5">
        <v>150332801250257</v>
      </c>
      <c r="G266" s="5">
        <v>161156462677041</v>
      </c>
      <c r="H266" s="5">
        <v>148664896258594</v>
      </c>
      <c r="I266" s="5">
        <v>136536554543365</v>
      </c>
      <c r="J266" s="5">
        <v>139560097780851</v>
      </c>
      <c r="K266" s="5">
        <v>14738892246077</v>
      </c>
      <c r="L266" s="5">
        <v>13757278925899</v>
      </c>
      <c r="M266" s="5">
        <v>15159316181107</v>
      </c>
      <c r="N266" s="5">
        <v>148607422099556</v>
      </c>
      <c r="O266" s="5">
        <v>144765413413591</v>
      </c>
      <c r="P266" s="5">
        <v>132463772422937</v>
      </c>
      <c r="Q266" s="5">
        <v>144586696979128</v>
      </c>
      <c r="R266" s="5">
        <v>155045430537987</v>
      </c>
      <c r="S266" s="5">
        <v>144042358057817</v>
      </c>
      <c r="T266" s="5">
        <v>141285872391243</v>
      </c>
      <c r="U266" s="5">
        <v>129974640730436</v>
      </c>
      <c r="V266" s="5">
        <v>137123171928183</v>
      </c>
      <c r="W266" s="5">
        <v>133631554111541</v>
      </c>
      <c r="X266" s="5">
        <v>126107616682522</v>
      </c>
      <c r="Y266" s="5">
        <v>12797967722759</v>
      </c>
      <c r="Z266" s="5">
        <v>123568830306216</v>
      </c>
      <c r="AA266" s="5">
        <v>124144683290425</v>
      </c>
      <c r="AB266" s="5">
        <v>1053851950782</v>
      </c>
      <c r="AC266" s="5">
        <v>105726405053677</v>
      </c>
      <c r="AD266" s="5">
        <v>112748925616995</v>
      </c>
      <c r="AE266" s="5">
        <v>112419717728638</v>
      </c>
      <c r="AF266" s="5">
        <v>990829145349674</v>
      </c>
      <c r="AG266" s="5">
        <v>106377308939993</v>
      </c>
      <c r="AH266" s="5">
        <v>109689310825893</v>
      </c>
      <c r="AI266" s="5">
        <v>108850124139007</v>
      </c>
      <c r="AJ266" s="5">
        <v>989874257504318</v>
      </c>
      <c r="AK266" s="5">
        <v>955862647030908</v>
      </c>
      <c r="AL266" s="5">
        <v>883279436845404</v>
      </c>
      <c r="AM266" s="5">
        <v>8276422570143</v>
      </c>
      <c r="AN266" s="5">
        <v>924872669974217</v>
      </c>
      <c r="AO266" s="5">
        <v>977936881457745</v>
      </c>
      <c r="AP266" s="6">
        <v>19963398622825</v>
      </c>
      <c r="AQ266" s="6">
        <v>19732940253448</v>
      </c>
      <c r="AR266" s="6">
        <v>18574741504451</v>
      </c>
      <c r="AS266" s="6">
        <v>193648648157829</v>
      </c>
      <c r="AT266" s="6">
        <v>177688639501876</v>
      </c>
      <c r="AU266" s="6">
        <v>201625109600659</v>
      </c>
      <c r="AV266" s="6">
        <v>204192091125271</v>
      </c>
      <c r="AW266" s="6">
        <v>195611732913971</v>
      </c>
      <c r="AX266" s="6">
        <v>20739785221575</v>
      </c>
      <c r="AY266" s="6">
        <v>1937140017556</v>
      </c>
      <c r="AZ266" s="6">
        <v>210510053706241</v>
      </c>
      <c r="BA266" s="6">
        <v>201614594767603</v>
      </c>
      <c r="BB266" s="6">
        <v>175460793646744</v>
      </c>
      <c r="BC266" s="6">
        <v>209511416302879</v>
      </c>
      <c r="BD266" s="6">
        <v>206758497078</v>
      </c>
      <c r="BE266" s="6">
        <v>203636011966962</v>
      </c>
      <c r="BF266" s="6">
        <v>21944602861643</v>
      </c>
      <c r="BG266" s="6">
        <v>213688839695</v>
      </c>
      <c r="BH266" s="6">
        <v>211805178258119</v>
      </c>
      <c r="BI266" s="6">
        <v>214357623008718</v>
      </c>
      <c r="BJ266" s="6">
        <v>22160191899186</v>
      </c>
      <c r="BK266" s="6">
        <v>222647501396095</v>
      </c>
      <c r="BL266" s="6">
        <v>233493488499398</v>
      </c>
      <c r="BM266" s="6">
        <v>230842471277014</v>
      </c>
    </row>
    <row r="267" spans="1:65" x14ac:dyDescent="0.45">
      <c r="A267" s="1" t="s">
        <v>261</v>
      </c>
      <c r="B267" s="2">
        <v>4121693</v>
      </c>
      <c r="C267" s="3" t="s">
        <v>1114</v>
      </c>
      <c r="D267" s="3" t="s">
        <v>1115</v>
      </c>
      <c r="E267" s="3" t="s">
        <v>1116</v>
      </c>
      <c r="F267" s="5">
        <v>14765890093063</v>
      </c>
      <c r="G267" s="5">
        <v>159650816872044</v>
      </c>
      <c r="H267" s="5">
        <v>180921990663888</v>
      </c>
      <c r="I267" s="5">
        <v>174261256939277</v>
      </c>
      <c r="J267" s="5">
        <v>201616215942695</v>
      </c>
      <c r="K267" s="5">
        <v>209582753319202</v>
      </c>
      <c r="L267" s="5">
        <v>179670114405349</v>
      </c>
      <c r="M267" s="5">
        <v>201504717695658</v>
      </c>
      <c r="N267" s="5">
        <v>226351676025187</v>
      </c>
      <c r="O267" s="5">
        <v>237018324361339</v>
      </c>
      <c r="P267" s="5">
        <v>240802313036603</v>
      </c>
      <c r="Q267" s="5">
        <v>215349319998357</v>
      </c>
      <c r="R267" s="5">
        <v>231809101872228</v>
      </c>
      <c r="S267" s="5">
        <v>208409704162855</v>
      </c>
      <c r="T267" s="5">
        <v>192299257644939</v>
      </c>
      <c r="U267" s="5">
        <v>172849268656465</v>
      </c>
      <c r="V267" s="5">
        <v>15777497374465</v>
      </c>
      <c r="W267" s="5">
        <v>145433717645971</v>
      </c>
      <c r="X267" s="5">
        <v>161548785811049</v>
      </c>
      <c r="Y267" s="5">
        <v>161684039231659</v>
      </c>
      <c r="Z267" s="5">
        <v>148850805690346</v>
      </c>
      <c r="AA267" s="5">
        <v>156090300904152</v>
      </c>
      <c r="AB267" s="5">
        <v>158949266245996</v>
      </c>
      <c r="AC267" s="5">
        <v>116827737664059</v>
      </c>
      <c r="AD267" s="5">
        <v>12819943254591</v>
      </c>
      <c r="AE267" s="5">
        <v>117228630996769</v>
      </c>
      <c r="AF267" s="5">
        <v>888295348231792</v>
      </c>
      <c r="AG267" s="5">
        <v>973336262436931</v>
      </c>
      <c r="AH267" s="5">
        <v>100789187653448</v>
      </c>
      <c r="AI267" s="5">
        <v>836747439068974</v>
      </c>
      <c r="AJ267" s="5">
        <v>833007519827254</v>
      </c>
      <c r="AK267" s="5">
        <v>935099712847678</v>
      </c>
      <c r="AL267" s="5">
        <v>882743294943833</v>
      </c>
      <c r="AM267" s="5">
        <v>87924838160068</v>
      </c>
      <c r="AN267" s="5">
        <v>117445716387501</v>
      </c>
      <c r="AO267" s="5">
        <v>129555604415846</v>
      </c>
      <c r="AP267" s="6">
        <v>348612871371165</v>
      </c>
      <c r="AQ267" s="6">
        <v>357366305904806</v>
      </c>
      <c r="AR267" s="6">
        <v>3729020425</v>
      </c>
      <c r="AS267" s="6">
        <v>366774876114543</v>
      </c>
      <c r="AT267" s="6">
        <v>294543467648292</v>
      </c>
      <c r="AU267" s="6">
        <v>335724786251364</v>
      </c>
      <c r="AV267" s="6">
        <v>325394101156993</v>
      </c>
      <c r="AW267" s="6">
        <v>273380476539796</v>
      </c>
      <c r="AX267" s="6">
        <v>365427677856229</v>
      </c>
      <c r="AY267" s="6">
        <v>358700325192248</v>
      </c>
      <c r="AZ267" s="6">
        <v>366792257159254</v>
      </c>
      <c r="BA267" s="6">
        <v>399624083943995</v>
      </c>
      <c r="BB267" s="6">
        <v>356061306215917</v>
      </c>
      <c r="BC267" s="6">
        <v>397581451140741</v>
      </c>
      <c r="BD267" s="6">
        <v>430099076326074</v>
      </c>
      <c r="BE267" s="6">
        <v>310427295503891</v>
      </c>
      <c r="BF267" s="6">
        <v>319729969606117</v>
      </c>
      <c r="BG267" s="6">
        <v>3149557116</v>
      </c>
      <c r="BH267" s="6">
        <v>277746811314975</v>
      </c>
      <c r="BI267" s="6">
        <v>313080052706261</v>
      </c>
      <c r="BJ267" s="6">
        <v>286551726510345</v>
      </c>
      <c r="BK267" s="6">
        <v>282039818519704</v>
      </c>
      <c r="BL267" s="6">
        <v>249765403303471</v>
      </c>
      <c r="BM267" s="6">
        <v>27197794825682</v>
      </c>
    </row>
    <row r="268" spans="1:65" x14ac:dyDescent="0.45">
      <c r="A268" s="1" t="s">
        <v>262</v>
      </c>
      <c r="B268" s="2">
        <v>4004271</v>
      </c>
      <c r="C268" s="3" t="s">
        <v>1117</v>
      </c>
      <c r="D268" s="3" t="s">
        <v>1118</v>
      </c>
      <c r="E268" s="3" t="s">
        <v>628</v>
      </c>
      <c r="F268" s="5">
        <v>11929834616656</v>
      </c>
      <c r="G268" s="5">
        <v>123302849424899</v>
      </c>
      <c r="H268" s="5">
        <v>128987427879175</v>
      </c>
      <c r="I268" s="5">
        <v>104453677773048</v>
      </c>
      <c r="J268" s="5">
        <v>110602206888895</v>
      </c>
      <c r="K268" s="5">
        <v>107572075194001</v>
      </c>
      <c r="L268" s="5">
        <v>109625404553698</v>
      </c>
      <c r="M268" s="5">
        <v>109339358825981</v>
      </c>
      <c r="N268" s="5">
        <v>10928928693054</v>
      </c>
      <c r="O268" s="5">
        <v>108208635246439</v>
      </c>
      <c r="P268" s="5">
        <v>105199591567882</v>
      </c>
      <c r="Q268" s="5">
        <v>946105305431832</v>
      </c>
      <c r="R268" s="5">
        <v>861865755225037</v>
      </c>
      <c r="S268" s="5">
        <v>815559808196058</v>
      </c>
      <c r="T268" s="5">
        <v>792583576558438</v>
      </c>
      <c r="U268" s="5">
        <v>824525165648495</v>
      </c>
      <c r="V268" s="5">
        <v>84410393692837</v>
      </c>
      <c r="W268" s="5">
        <v>867628685130047</v>
      </c>
      <c r="X268" s="5">
        <v>886888430077542</v>
      </c>
      <c r="Y268" s="5">
        <v>871587358194735</v>
      </c>
      <c r="Z268" s="5">
        <v>879270643097591</v>
      </c>
      <c r="AA268" s="5">
        <v>87742502215986</v>
      </c>
      <c r="AB268" s="5">
        <v>764546866595254</v>
      </c>
      <c r="AC268" s="5">
        <v>742597096222492</v>
      </c>
      <c r="AD268" s="5">
        <v>811921662119741</v>
      </c>
      <c r="AE268" s="5">
        <v>854446973069385</v>
      </c>
      <c r="AF268" s="5">
        <v>840600623715741</v>
      </c>
      <c r="AG268" s="5">
        <v>912428739884784</v>
      </c>
      <c r="AH268" s="5">
        <v>912571982822045</v>
      </c>
      <c r="AI268" s="5">
        <v>895494342469891</v>
      </c>
      <c r="AJ268" s="5">
        <v>909361737218444</v>
      </c>
      <c r="AK268" s="5">
        <v>979845978864589</v>
      </c>
      <c r="AL268" s="5">
        <v>997339438403902</v>
      </c>
      <c r="AM268" s="5">
        <v>86892822344055</v>
      </c>
      <c r="AN268" s="5">
        <v>948219618203085</v>
      </c>
      <c r="AO268" s="5">
        <v>1081259872</v>
      </c>
      <c r="AP268" s="6">
        <v>441166706485018</v>
      </c>
      <c r="AQ268" s="6">
        <v>416487729542032</v>
      </c>
      <c r="AR268" s="6">
        <v>373914498772821</v>
      </c>
      <c r="AS268" s="6">
        <v>375665772083019</v>
      </c>
      <c r="AT268" s="6">
        <v>377490502291064</v>
      </c>
      <c r="AU268" s="6">
        <v>416054263895519</v>
      </c>
      <c r="AV268" s="6">
        <v>410531450950106</v>
      </c>
      <c r="AW268" s="6">
        <v>37292739487398</v>
      </c>
      <c r="AX268" s="6">
        <v>409941449985984</v>
      </c>
      <c r="AY268" s="6">
        <v>375263097914074</v>
      </c>
      <c r="AZ268" s="6">
        <v>375241921131861</v>
      </c>
      <c r="BA268" s="6">
        <v>34107807295107</v>
      </c>
      <c r="BB268" s="6">
        <v>323447142284112</v>
      </c>
      <c r="BC268" s="6">
        <v>346569608988288</v>
      </c>
      <c r="BD268" s="6">
        <v>358342681855272</v>
      </c>
      <c r="BE268" s="6">
        <v>394311145967843</v>
      </c>
      <c r="BF268" s="6">
        <v>37805712514825</v>
      </c>
      <c r="BG268" s="6">
        <v>386002868583693</v>
      </c>
      <c r="BH268" s="6">
        <v>383421890246314</v>
      </c>
      <c r="BI268" s="6">
        <v>410239485555103</v>
      </c>
      <c r="BJ268" s="6">
        <v>404004708496239</v>
      </c>
      <c r="BK268" s="6">
        <v>394655933972977</v>
      </c>
      <c r="BL268" s="6">
        <v>413379763357661</v>
      </c>
      <c r="BM268" s="6">
        <v>431834228741012</v>
      </c>
    </row>
    <row r="269" spans="1:65" x14ac:dyDescent="0.45">
      <c r="A269" s="1" t="s">
        <v>263</v>
      </c>
      <c r="B269" s="2">
        <v>103455</v>
      </c>
      <c r="C269" s="3" t="s">
        <v>1119</v>
      </c>
      <c r="D269" s="3" t="s">
        <v>1120</v>
      </c>
      <c r="E269" s="3" t="s">
        <v>556</v>
      </c>
      <c r="F269" s="5">
        <v>129586215308148</v>
      </c>
      <c r="G269" s="5">
        <v>133880496666639</v>
      </c>
      <c r="H269" s="5">
        <v>13691070927747</v>
      </c>
      <c r="I269" s="5">
        <v>121322036773426</v>
      </c>
      <c r="J269" s="5">
        <v>132321772787866</v>
      </c>
      <c r="K269" s="5">
        <v>140548120662735</v>
      </c>
      <c r="L269" s="5">
        <v>139514014034932</v>
      </c>
      <c r="M269" s="5">
        <v>150232297496773</v>
      </c>
      <c r="N269" s="5">
        <v>148000326965441</v>
      </c>
      <c r="O269" s="5">
        <v>144828518162051</v>
      </c>
      <c r="P269" s="5">
        <v>135576290586486</v>
      </c>
      <c r="Q269" s="5">
        <v>135123601713846</v>
      </c>
      <c r="R269" s="5">
        <v>128842172725196</v>
      </c>
      <c r="S269" s="5">
        <v>120321786000493</v>
      </c>
      <c r="T269" s="5">
        <v>124749985893654</v>
      </c>
      <c r="U269" s="5">
        <v>119711211195393</v>
      </c>
      <c r="V269" s="5">
        <v>121775209837962</v>
      </c>
      <c r="W269" s="5">
        <v>118981921549132</v>
      </c>
      <c r="X269" s="5">
        <v>121302393370097</v>
      </c>
      <c r="Y269" s="5">
        <v>126063187176169</v>
      </c>
      <c r="Z269" s="5">
        <v>122285873280588</v>
      </c>
      <c r="AA269" s="5">
        <v>115281932587469</v>
      </c>
      <c r="AB269" s="5">
        <v>105523353927405</v>
      </c>
      <c r="AC269" s="5">
        <v>102554799167785</v>
      </c>
      <c r="AD269" s="5">
        <v>101163799501572</v>
      </c>
      <c r="AE269" s="5">
        <v>963871879222058</v>
      </c>
      <c r="AF269" s="5">
        <v>820571959566224</v>
      </c>
      <c r="AG269" s="5">
        <v>81599997071933</v>
      </c>
      <c r="AH269" s="5">
        <v>8411127956</v>
      </c>
      <c r="AI269" s="5">
        <v>866169061031006</v>
      </c>
      <c r="AJ269" s="5">
        <v>857521293630437</v>
      </c>
      <c r="AK269" s="5">
        <v>841459662590736</v>
      </c>
      <c r="AL269" s="5">
        <v>897053124775394</v>
      </c>
      <c r="AM269" s="5">
        <v>91209693175965</v>
      </c>
      <c r="AN269" s="5">
        <v>119399851834304</v>
      </c>
      <c r="AO269" s="5">
        <v>138035191824684</v>
      </c>
      <c r="AP269" s="6">
        <v>501021762693013</v>
      </c>
      <c r="AQ269" s="6">
        <v>49500047005847</v>
      </c>
      <c r="AR269" s="6">
        <v>469126987432215</v>
      </c>
      <c r="AS269" s="6">
        <v>464570161345174</v>
      </c>
      <c r="AT269" s="6">
        <v>459831762000657</v>
      </c>
      <c r="AU269" s="6">
        <v>453929447872446</v>
      </c>
      <c r="AV269" s="6">
        <v>448245857122791</v>
      </c>
      <c r="AW269" s="6">
        <v>438542896447037</v>
      </c>
      <c r="AX269" s="6">
        <v>426860859657944</v>
      </c>
      <c r="AY269" s="6">
        <v>424651252287735</v>
      </c>
      <c r="AZ269" s="6">
        <v>412577368903408</v>
      </c>
      <c r="BA269" s="6">
        <v>387804208289875</v>
      </c>
      <c r="BB269" s="6">
        <v>350851074209504</v>
      </c>
      <c r="BC269" s="6">
        <v>394604116473446</v>
      </c>
      <c r="BD269" s="6">
        <v>37715962213656</v>
      </c>
      <c r="BE269" s="6">
        <v>359530812544348</v>
      </c>
      <c r="BF269" s="6">
        <v>368174249495298</v>
      </c>
      <c r="BG269" s="6">
        <v>359702586386715</v>
      </c>
      <c r="BH269" s="6">
        <v>356469809368912</v>
      </c>
      <c r="BI269" s="6">
        <v>349756425726079</v>
      </c>
      <c r="BJ269" s="6">
        <v>342475224155823</v>
      </c>
      <c r="BK269" s="6">
        <v>340929612131357</v>
      </c>
      <c r="BL269" s="6">
        <v>345148920265968</v>
      </c>
      <c r="BM269" s="6">
        <v>342662391942353</v>
      </c>
    </row>
    <row r="270" spans="1:65" x14ac:dyDescent="0.45">
      <c r="A270" s="1" t="s">
        <v>264</v>
      </c>
      <c r="B270" s="2">
        <v>4004318</v>
      </c>
      <c r="C270" s="3" t="s">
        <v>1121</v>
      </c>
      <c r="D270" s="3" t="s">
        <v>1122</v>
      </c>
      <c r="E270" s="3" t="s">
        <v>1123</v>
      </c>
      <c r="F270" s="5">
        <v>112734016533935</v>
      </c>
      <c r="G270" s="5">
        <v>124635087487068</v>
      </c>
      <c r="H270" s="5">
        <v>122372938540214</v>
      </c>
      <c r="I270" s="5">
        <v>118881934203338</v>
      </c>
      <c r="J270" s="5">
        <v>119647238140031</v>
      </c>
      <c r="K270" s="5">
        <v>120013062851626</v>
      </c>
      <c r="L270" s="5">
        <v>106791602875353</v>
      </c>
      <c r="M270" s="5">
        <v>116346456171118</v>
      </c>
      <c r="N270" s="5">
        <v>124043485636881</v>
      </c>
      <c r="O270" s="5">
        <v>120411722992115</v>
      </c>
      <c r="P270" s="5">
        <v>1318921331</v>
      </c>
      <c r="Q270" s="5">
        <v>142771125732009</v>
      </c>
      <c r="R270" s="5">
        <v>153130247481805</v>
      </c>
      <c r="S270" s="5">
        <v>146203307102303</v>
      </c>
      <c r="T270" s="5">
        <v>140015108090752</v>
      </c>
      <c r="U270" s="5">
        <v>121194837431706</v>
      </c>
      <c r="V270" s="5">
        <v>119607781706226</v>
      </c>
      <c r="W270" s="5">
        <v>114352516812479</v>
      </c>
      <c r="X270" s="5">
        <v>115643195725639</v>
      </c>
      <c r="Y270" s="5">
        <v>113002054123898</v>
      </c>
      <c r="Z270" s="5">
        <v>117002362690734</v>
      </c>
      <c r="AA270" s="5">
        <v>116219537712583</v>
      </c>
      <c r="AB270" s="5">
        <v>967438720134191</v>
      </c>
      <c r="AC270" s="5">
        <v>100713511674095</v>
      </c>
      <c r="AD270" s="5">
        <v>961456404351886</v>
      </c>
      <c r="AE270" s="5">
        <v>955284452566442</v>
      </c>
      <c r="AF270" s="5">
        <v>102527391679578</v>
      </c>
      <c r="AG270" s="5">
        <v>106744977710069</v>
      </c>
      <c r="AH270" s="5">
        <v>104112604716267</v>
      </c>
      <c r="AI270" s="5">
        <v>950349346643038</v>
      </c>
      <c r="AJ270" s="5">
        <v>906513953476788</v>
      </c>
      <c r="AK270" s="5">
        <v>885239432432644</v>
      </c>
      <c r="AL270" s="5">
        <v>722878240695798</v>
      </c>
      <c r="AM270" s="5">
        <v>59116631355964</v>
      </c>
      <c r="AN270" s="5">
        <v>73937829063</v>
      </c>
      <c r="AO270" s="5">
        <v>803637837928464</v>
      </c>
      <c r="AP270" s="6">
        <v>155743330667797</v>
      </c>
      <c r="AQ270" s="6">
        <v>152251198387147</v>
      </c>
      <c r="AR270" s="6">
        <v>146850915458927</v>
      </c>
      <c r="AS270" s="6">
        <v>156958665901414</v>
      </c>
      <c r="AT270" s="6">
        <v>14406526301127</v>
      </c>
      <c r="AU270" s="6">
        <v>138992483305867</v>
      </c>
      <c r="AV270" s="6">
        <v>126346421818926</v>
      </c>
      <c r="AW270" s="6">
        <v>11798596887434</v>
      </c>
      <c r="AX270" s="6">
        <v>12377859375</v>
      </c>
      <c r="AY270" s="6">
        <v>111907618831562</v>
      </c>
      <c r="AZ270" s="6">
        <v>102952456165346</v>
      </c>
      <c r="BA270" s="6">
        <v>967281298731972</v>
      </c>
      <c r="BB270" s="6">
        <v>941378816981783</v>
      </c>
      <c r="BC270" s="6">
        <v>105618047849668</v>
      </c>
      <c r="BD270" s="6">
        <v>953534211343536</v>
      </c>
      <c r="BE270" s="6">
        <v>986794986245778</v>
      </c>
      <c r="BF270" s="6">
        <v>107874782138362</v>
      </c>
      <c r="BG270" s="6">
        <v>107375166513571</v>
      </c>
      <c r="BH270" s="6">
        <v>120499243295058</v>
      </c>
      <c r="BI270" s="6">
        <v>120335227061353</v>
      </c>
      <c r="BJ270" s="6">
        <v>101333879447989</v>
      </c>
      <c r="BK270" s="6">
        <v>105871014742327</v>
      </c>
      <c r="BL270" s="6">
        <v>104892738660473</v>
      </c>
      <c r="BM270" s="6">
        <v>115300673899675</v>
      </c>
    </row>
    <row r="271" spans="1:65" x14ac:dyDescent="0.45">
      <c r="A271" s="1" t="s">
        <v>265</v>
      </c>
      <c r="B271" s="2">
        <v>4218591</v>
      </c>
      <c r="C271" s="3" t="s">
        <v>1124</v>
      </c>
      <c r="D271" s="3" t="s">
        <v>1125</v>
      </c>
      <c r="E271" s="3" t="s">
        <v>1126</v>
      </c>
      <c r="F271" s="5">
        <v>382263125164641</v>
      </c>
      <c r="G271" s="5">
        <v>470226393504669</v>
      </c>
      <c r="H271" s="5">
        <v>424287820528793</v>
      </c>
      <c r="I271" s="5">
        <v>363514635664128</v>
      </c>
      <c r="J271" s="5">
        <v>380158934593672</v>
      </c>
      <c r="K271" s="5">
        <v>388575343887392</v>
      </c>
      <c r="L271" s="5">
        <v>332865285925239</v>
      </c>
      <c r="M271" s="5">
        <v>349257086477765</v>
      </c>
      <c r="N271" s="5">
        <v>430795098002334</v>
      </c>
      <c r="O271" s="5">
        <v>42055363343835</v>
      </c>
      <c r="P271" s="5">
        <v>368366858445215</v>
      </c>
      <c r="Q271" s="5">
        <v>385271207764531</v>
      </c>
      <c r="R271" s="5">
        <v>445032221914213</v>
      </c>
      <c r="S271" s="5">
        <v>523346603383066</v>
      </c>
      <c r="T271" s="5">
        <v>523155642471714</v>
      </c>
      <c r="U271" s="5">
        <v>453276639488416</v>
      </c>
      <c r="V271" s="5">
        <v>441257637192305</v>
      </c>
      <c r="W271" s="5">
        <v>43907009933087</v>
      </c>
      <c r="X271" s="5">
        <v>400638355912442</v>
      </c>
      <c r="Y271" s="5">
        <v>345543093746829</v>
      </c>
      <c r="Z271" s="5">
        <v>363244315165712</v>
      </c>
      <c r="AA271" s="5">
        <v>340672670166658</v>
      </c>
      <c r="AB271" s="5">
        <v>335755391819184</v>
      </c>
      <c r="AC271" s="5">
        <v>352911872098883</v>
      </c>
      <c r="AD271" s="5">
        <v>370830669626036</v>
      </c>
      <c r="AE271" s="5">
        <v>403662499398996</v>
      </c>
      <c r="AF271" s="5">
        <v>357035975351754</v>
      </c>
      <c r="AG271" s="5">
        <v>365517733469011</v>
      </c>
      <c r="AH271" s="5">
        <v>409172881904043</v>
      </c>
      <c r="AI271" s="5">
        <v>358357344323074</v>
      </c>
      <c r="AJ271" s="5">
        <v>361001665205833</v>
      </c>
      <c r="AK271" s="5">
        <v>351902370308281</v>
      </c>
      <c r="AL271" s="5">
        <v>266314391745366</v>
      </c>
      <c r="AM271" s="5">
        <v>224522402492115</v>
      </c>
      <c r="AN271" s="5">
        <v>257581191240801</v>
      </c>
      <c r="AO271" s="5">
        <v>281345506036305</v>
      </c>
      <c r="AP271" s="6">
        <v>118370444752</v>
      </c>
      <c r="AQ271" s="6">
        <v>11694462304</v>
      </c>
      <c r="AR271" s="6">
        <v>118532269379792</v>
      </c>
      <c r="AS271" s="6">
        <v>110643770973164</v>
      </c>
      <c r="AT271" s="6">
        <v>107190526086863</v>
      </c>
      <c r="AU271" s="6">
        <v>106033075461111</v>
      </c>
      <c r="AV271" s="6">
        <v>101227722484899</v>
      </c>
      <c r="AW271" s="6">
        <v>919592690469977</v>
      </c>
      <c r="AX271" s="6">
        <v>102334219739577</v>
      </c>
      <c r="AY271" s="6">
        <v>103077110080761</v>
      </c>
      <c r="AZ271" s="6">
        <v>971278554123</v>
      </c>
      <c r="BA271" s="6">
        <v>8575890183</v>
      </c>
      <c r="BB271" s="6">
        <v>77406332696</v>
      </c>
      <c r="BC271" s="6">
        <v>84833470848</v>
      </c>
      <c r="BD271" s="6">
        <v>80336655</v>
      </c>
      <c r="BE271" s="6">
        <v>960711293668536</v>
      </c>
      <c r="BF271" s="6">
        <v>997598727857234</v>
      </c>
      <c r="BG271" s="6">
        <v>105099414543556</v>
      </c>
      <c r="BH271" s="6">
        <v>9878386056</v>
      </c>
      <c r="BI271" s="6">
        <v>9845675532</v>
      </c>
      <c r="BJ271" s="6">
        <v>9660091672</v>
      </c>
      <c r="BK271" s="6">
        <v>102381622709375</v>
      </c>
      <c r="BL271" s="6">
        <v>10453427712</v>
      </c>
      <c r="BM271" s="6">
        <v>11183527201</v>
      </c>
    </row>
    <row r="272" spans="1:65" x14ac:dyDescent="0.45">
      <c r="A272" s="1" t="s">
        <v>266</v>
      </c>
      <c r="B272" s="2">
        <v>4973038</v>
      </c>
      <c r="C272" s="3" t="s">
        <v>1127</v>
      </c>
      <c r="D272" s="3" t="s">
        <v>1128</v>
      </c>
      <c r="E272" s="3" t="s">
        <v>602</v>
      </c>
      <c r="F272" s="5">
        <v>33275656575489</v>
      </c>
      <c r="G272" s="5">
        <v>363157667443073</v>
      </c>
      <c r="H272" s="5">
        <v>51323217703537</v>
      </c>
      <c r="I272" s="5">
        <v>476670553847312</v>
      </c>
      <c r="J272" s="5">
        <v>56493577395</v>
      </c>
      <c r="K272" s="5">
        <v>6119401896</v>
      </c>
      <c r="L272" s="5">
        <v>5242148868</v>
      </c>
      <c r="M272" s="5">
        <v>5536226592</v>
      </c>
      <c r="N272" s="5">
        <v>55637442018</v>
      </c>
      <c r="O272" s="5">
        <v>6343457344</v>
      </c>
      <c r="P272" s="5">
        <v>6356114726</v>
      </c>
      <c r="Q272" s="5">
        <v>65504771712</v>
      </c>
      <c r="R272" s="5">
        <v>67241574603</v>
      </c>
      <c r="S272" s="5">
        <v>55658234712</v>
      </c>
      <c r="T272" s="5">
        <v>518092964455661</v>
      </c>
      <c r="U272" s="5">
        <v>522903733427894</v>
      </c>
      <c r="V272" s="5">
        <v>53362823616</v>
      </c>
      <c r="W272" s="5">
        <v>5373990963</v>
      </c>
      <c r="X272" s="5">
        <v>52510733418</v>
      </c>
      <c r="Y272" s="5">
        <v>50673940515</v>
      </c>
      <c r="Z272" s="5">
        <v>535339124246052</v>
      </c>
      <c r="AA272" s="5">
        <v>58931165741616</v>
      </c>
      <c r="AB272" s="5">
        <v>563225427108</v>
      </c>
      <c r="AC272" s="5">
        <v>585088432112352</v>
      </c>
      <c r="AD272" s="5">
        <v>5848225275555</v>
      </c>
      <c r="AE272" s="5">
        <v>545394763037397</v>
      </c>
      <c r="AF272" s="5">
        <v>53544944690693</v>
      </c>
      <c r="AG272" s="5">
        <v>482810406154608</v>
      </c>
      <c r="AH272" s="5">
        <v>54098128</v>
      </c>
      <c r="AI272" s="5">
        <v>587531661650502</v>
      </c>
      <c r="AJ272" s="5">
        <v>541779788918285</v>
      </c>
      <c r="AK272" s="5">
        <v>493805223859584</v>
      </c>
      <c r="AL272" s="5">
        <v>55247993757</v>
      </c>
      <c r="AM272" s="5">
        <v>50099049</v>
      </c>
      <c r="AN272" s="5">
        <v>52859009322</v>
      </c>
      <c r="AO272" s="5">
        <v>527514536698314</v>
      </c>
      <c r="AP272" s="6">
        <v>268431943253757</v>
      </c>
      <c r="AQ272" s="6">
        <v>267578847106092</v>
      </c>
      <c r="AR272" s="6">
        <v>250527338652705</v>
      </c>
      <c r="AS272" s="6">
        <v>252682981945021</v>
      </c>
      <c r="AT272" s="6">
        <v>259546230201325</v>
      </c>
      <c r="AU272" s="6">
        <v>248196344312961</v>
      </c>
      <c r="AV272" s="6">
        <v>237448411316439</v>
      </c>
      <c r="AW272" s="6">
        <v>230444244389476</v>
      </c>
      <c r="AX272" s="6">
        <v>2317695580778</v>
      </c>
      <c r="AY272" s="6">
        <v>215221304248276</v>
      </c>
      <c r="AZ272" s="6">
        <v>202484219716919</v>
      </c>
      <c r="BA272" s="6">
        <v>190005028450157</v>
      </c>
      <c r="BB272" s="6">
        <v>170170338822733</v>
      </c>
      <c r="BC272" s="6">
        <v>18340881493695</v>
      </c>
      <c r="BD272" s="6">
        <v>180368703085721</v>
      </c>
      <c r="BE272" s="6">
        <v>1989679345636</v>
      </c>
      <c r="BF272" s="6">
        <v>192845751591447</v>
      </c>
      <c r="BG272" s="6">
        <v>175696809990669</v>
      </c>
      <c r="BH272" s="6">
        <v>175843654398712</v>
      </c>
      <c r="BI272" s="6">
        <v>170236101777643</v>
      </c>
      <c r="BJ272" s="6">
        <v>154256241255129</v>
      </c>
      <c r="BK272" s="6">
        <v>149759388038953</v>
      </c>
      <c r="BL272" s="6">
        <v>151344169991764</v>
      </c>
      <c r="BM272" s="6">
        <v>143829088925547</v>
      </c>
    </row>
    <row r="273" spans="1:65" x14ac:dyDescent="0.45">
      <c r="A273" s="1" t="s">
        <v>267</v>
      </c>
      <c r="B273" s="2">
        <v>4986300</v>
      </c>
      <c r="C273" s="3" t="s">
        <v>1129</v>
      </c>
      <c r="D273" s="3" t="s">
        <v>1130</v>
      </c>
      <c r="E273" s="3" t="s">
        <v>850</v>
      </c>
      <c r="F273" s="5">
        <v>25298143505981</v>
      </c>
      <c r="G273" s="5">
        <v>268425886579353</v>
      </c>
      <c r="H273" s="5">
        <v>251752899661522</v>
      </c>
      <c r="I273" s="5">
        <v>250430123063756</v>
      </c>
      <c r="J273" s="5">
        <v>268828650514321</v>
      </c>
      <c r="K273" s="5">
        <v>285016779992077</v>
      </c>
      <c r="L273" s="5">
        <v>274102290162368</v>
      </c>
      <c r="M273" s="5">
        <v>348892417752362</v>
      </c>
      <c r="N273" s="5">
        <v>329626426783023</v>
      </c>
      <c r="O273" s="5">
        <v>303600959807188</v>
      </c>
      <c r="P273" s="5">
        <v>284001570479076</v>
      </c>
      <c r="Q273" s="5">
        <v>285370680606863</v>
      </c>
      <c r="R273" s="5">
        <v>267980543420104</v>
      </c>
      <c r="S273" s="5">
        <v>257247765841268</v>
      </c>
      <c r="T273" s="5">
        <v>267128121138628</v>
      </c>
      <c r="U273" s="5">
        <v>27086973815051</v>
      </c>
      <c r="V273" s="5">
        <v>284393324738794</v>
      </c>
      <c r="W273" s="5">
        <v>280107078973999</v>
      </c>
      <c r="X273" s="5">
        <v>290087363126308</v>
      </c>
      <c r="Y273" s="5">
        <v>30895880895961</v>
      </c>
      <c r="Z273" s="5">
        <v>288343720588636</v>
      </c>
      <c r="AA273" s="5">
        <v>296210517462348</v>
      </c>
      <c r="AB273" s="5">
        <v>284693920465878</v>
      </c>
      <c r="AC273" s="5">
        <v>235910774080627</v>
      </c>
      <c r="AD273" s="5">
        <v>250212400745333</v>
      </c>
      <c r="AE273" s="5">
        <v>237760959514361</v>
      </c>
      <c r="AF273" s="5">
        <v>196133857553564</v>
      </c>
      <c r="AG273" s="5">
        <v>200401331895927</v>
      </c>
      <c r="AH273" s="5">
        <v>182857196186017</v>
      </c>
      <c r="AI273" s="5">
        <v>176427905597603</v>
      </c>
      <c r="AJ273" s="5">
        <v>194880415324572</v>
      </c>
      <c r="AK273" s="5">
        <v>191387605506373</v>
      </c>
      <c r="AL273" s="5">
        <v>176724379800865</v>
      </c>
      <c r="AM273" s="5">
        <v>150644393828838</v>
      </c>
      <c r="AN273" s="5">
        <v>216739221772321</v>
      </c>
      <c r="AO273" s="5">
        <v>234199881195628</v>
      </c>
      <c r="AP273" s="6">
        <v>201135980331286</v>
      </c>
      <c r="AQ273" s="6">
        <v>204128652491339</v>
      </c>
      <c r="AR273" s="6">
        <v>191594918732279</v>
      </c>
      <c r="AS273" s="6">
        <v>18996231501128</v>
      </c>
      <c r="AT273" s="6">
        <v>196231998108008</v>
      </c>
      <c r="AU273" s="6">
        <v>18871049402112</v>
      </c>
      <c r="AV273" s="6">
        <v>180527541273322</v>
      </c>
      <c r="AW273" s="6">
        <v>184784233283593</v>
      </c>
      <c r="AX273" s="6">
        <v>181388916447884</v>
      </c>
      <c r="AY273" s="6">
        <v>177077290853777</v>
      </c>
      <c r="AZ273" s="6">
        <v>157780301373234</v>
      </c>
      <c r="BA273" s="6">
        <v>142633653281229</v>
      </c>
      <c r="BB273" s="6">
        <v>160083790549457</v>
      </c>
      <c r="BC273" s="6">
        <v>174422183108175</v>
      </c>
      <c r="BD273" s="6">
        <v>167457261686022</v>
      </c>
      <c r="BE273" s="6">
        <v>149233129084257</v>
      </c>
      <c r="BF273" s="6">
        <v>141194931086558</v>
      </c>
      <c r="BG273" s="6">
        <v>131819684496109</v>
      </c>
      <c r="BH273" s="6">
        <v>130586826630528</v>
      </c>
      <c r="BI273" s="6">
        <v>113721440431039</v>
      </c>
      <c r="BJ273" s="6">
        <v>1146109462193</v>
      </c>
      <c r="BK273" s="6">
        <v>113512018934678</v>
      </c>
      <c r="BL273" s="6">
        <v>114793867095799</v>
      </c>
      <c r="BM273" s="6">
        <v>114662780904182</v>
      </c>
    </row>
    <row r="274" spans="1:65" x14ac:dyDescent="0.45">
      <c r="A274" s="1" t="s">
        <v>268</v>
      </c>
      <c r="B274" s="2">
        <v>100253</v>
      </c>
      <c r="C274" s="3" t="s">
        <v>1131</v>
      </c>
      <c r="D274" s="3" t="s">
        <v>1132</v>
      </c>
      <c r="E274" s="3" t="s">
        <v>637</v>
      </c>
      <c r="F274" s="5">
        <v>234292650898422</v>
      </c>
      <c r="G274" s="5">
        <v>284584846433811</v>
      </c>
      <c r="H274" s="5">
        <v>294401292549</v>
      </c>
      <c r="I274" s="5">
        <v>315773539163708</v>
      </c>
      <c r="J274" s="5">
        <v>316964599012042</v>
      </c>
      <c r="K274" s="5">
        <v>31213609023051</v>
      </c>
      <c r="L274" s="5">
        <v>273562224802713</v>
      </c>
      <c r="M274" s="5">
        <v>300972838759456</v>
      </c>
      <c r="N274" s="5">
        <v>2041073575968</v>
      </c>
      <c r="O274" s="5">
        <v>196918700871585</v>
      </c>
      <c r="P274" s="5">
        <v>209391760542045</v>
      </c>
      <c r="Q274" s="5">
        <v>1946308722912</v>
      </c>
      <c r="R274" s="5">
        <v>173779363408169</v>
      </c>
      <c r="S274" s="5">
        <v>167383094431743</v>
      </c>
      <c r="T274" s="5">
        <v>16374293461824</v>
      </c>
      <c r="U274" s="5">
        <v>1658020891026</v>
      </c>
      <c r="V274" s="5">
        <v>152633097447499</v>
      </c>
      <c r="W274" s="5">
        <v>145203555873</v>
      </c>
      <c r="X274" s="5">
        <v>157670842036887</v>
      </c>
      <c r="Y274" s="5">
        <v>169624946486788</v>
      </c>
      <c r="Z274" s="5">
        <v>168638319684854</v>
      </c>
      <c r="AA274" s="5">
        <v>166159123611071</v>
      </c>
      <c r="AB274" s="5">
        <v>160476605478907</v>
      </c>
      <c r="AC274" s="5">
        <v>140004174368442</v>
      </c>
      <c r="AD274" s="5">
        <v>13351123888734</v>
      </c>
      <c r="AE274" s="5">
        <v>125043198812207</v>
      </c>
      <c r="AF274" s="5">
        <v>11403826989394</v>
      </c>
      <c r="AG274" s="5">
        <v>100602140805453</v>
      </c>
      <c r="AH274" s="5">
        <v>110804439914106</v>
      </c>
      <c r="AI274" s="5">
        <v>1148995098329</v>
      </c>
      <c r="AJ274" s="5">
        <v>118508226187744</v>
      </c>
      <c r="AK274" s="5">
        <v>121911849209474</v>
      </c>
      <c r="AL274" s="5">
        <v>13142789540496</v>
      </c>
      <c r="AM274" s="5">
        <v>122311236432385</v>
      </c>
      <c r="AN274" s="5">
        <v>16649914545713</v>
      </c>
      <c r="AO274" s="5">
        <v>2006116916408</v>
      </c>
      <c r="AP274" s="6">
        <v>132612407863631</v>
      </c>
      <c r="AQ274" s="6">
        <v>13292853912074</v>
      </c>
      <c r="AR274" s="6">
        <v>134011192383045</v>
      </c>
      <c r="AS274" s="6">
        <v>149542563161638</v>
      </c>
      <c r="AT274" s="6">
        <v>150505373574884</v>
      </c>
      <c r="AU274" s="6">
        <v>144565594885654</v>
      </c>
      <c r="AV274" s="6">
        <v>139342631037384</v>
      </c>
      <c r="AW274" s="6">
        <v>135812258644694</v>
      </c>
      <c r="AX274" s="6">
        <v>134627856633859</v>
      </c>
      <c r="AY274" s="6">
        <v>129492381359999</v>
      </c>
      <c r="AZ274" s="6">
        <v>123545103434296</v>
      </c>
      <c r="BA274" s="6">
        <v>120319771014135</v>
      </c>
      <c r="BB274" s="6">
        <v>119560191602989</v>
      </c>
      <c r="BC274" s="6">
        <v>128350414012128</v>
      </c>
      <c r="BD274" s="6">
        <v>12125073809308</v>
      </c>
      <c r="BE274" s="6">
        <v>11170478791788</v>
      </c>
      <c r="BF274" s="6">
        <v>108426753453308</v>
      </c>
      <c r="BG274" s="6">
        <v>1058218085937</v>
      </c>
      <c r="BH274" s="6">
        <v>10557110012391</v>
      </c>
      <c r="BI274" s="6">
        <v>10788344517393</v>
      </c>
      <c r="BJ274" s="6">
        <v>10901009373072</v>
      </c>
      <c r="BK274" s="6">
        <v>101034878015382</v>
      </c>
      <c r="BL274" s="6">
        <v>102640434289193</v>
      </c>
      <c r="BM274" s="6">
        <v>109676351556224</v>
      </c>
    </row>
    <row r="275" spans="1:65" x14ac:dyDescent="0.45">
      <c r="A275" s="1" t="s">
        <v>269</v>
      </c>
      <c r="B275" s="2">
        <v>4136924</v>
      </c>
      <c r="C275" s="3" t="s">
        <v>1133</v>
      </c>
      <c r="D275" s="3" t="s">
        <v>1134</v>
      </c>
      <c r="E275" s="3" t="s">
        <v>1135</v>
      </c>
      <c r="F275" s="5">
        <v>510400343239805</v>
      </c>
      <c r="G275" s="5">
        <v>553578225128778</v>
      </c>
      <c r="H275" s="5">
        <v>572938515450588</v>
      </c>
      <c r="I275" s="5">
        <v>505089882653364</v>
      </c>
      <c r="J275" s="5">
        <v>498796952891071</v>
      </c>
      <c r="K275" s="5">
        <v>4897558788</v>
      </c>
      <c r="L275" s="5">
        <v>4285993687</v>
      </c>
      <c r="M275" s="5">
        <v>51708760155</v>
      </c>
      <c r="N275" s="5">
        <v>462505315997014</v>
      </c>
      <c r="O275" s="5">
        <v>429918562432989</v>
      </c>
      <c r="P275" s="5">
        <v>391936949716391</v>
      </c>
      <c r="Q275" s="5">
        <v>394335619045704</v>
      </c>
      <c r="R275" s="5">
        <v>346369070033322</v>
      </c>
      <c r="S275" s="5">
        <v>332331904169877</v>
      </c>
      <c r="T275" s="5">
        <v>36387903866223</v>
      </c>
      <c r="U275" s="5">
        <v>340351102696169</v>
      </c>
      <c r="V275" s="5">
        <v>320463931458988</v>
      </c>
      <c r="W275" s="5">
        <v>303813711063086</v>
      </c>
      <c r="X275" s="5">
        <v>332581210967172</v>
      </c>
      <c r="Y275" s="5">
        <v>330940907254296</v>
      </c>
      <c r="Z275" s="5">
        <v>301612810970769</v>
      </c>
      <c r="AA275" s="5">
        <v>297124885713488</v>
      </c>
      <c r="AB275" s="5">
        <v>294007802405881</v>
      </c>
      <c r="AC275" s="5">
        <v>231340226093852</v>
      </c>
      <c r="AD275" s="5">
        <v>219996728936028</v>
      </c>
      <c r="AE275" s="5">
        <v>211662517504484</v>
      </c>
      <c r="AF275" s="5">
        <v>164716725168646</v>
      </c>
      <c r="AG275" s="5">
        <v>162582404995158</v>
      </c>
      <c r="AH275" s="5">
        <v>193011176438394</v>
      </c>
      <c r="AI275" s="5">
        <v>209972234841426</v>
      </c>
      <c r="AJ275" s="5">
        <v>215989801203136</v>
      </c>
      <c r="AK275" s="5">
        <v>205537260445617</v>
      </c>
      <c r="AL275" s="5">
        <v>190608317329753</v>
      </c>
      <c r="AM275" s="5">
        <v>139712435843344</v>
      </c>
      <c r="AN275" s="5">
        <v>280059654500968</v>
      </c>
      <c r="AO275" s="5">
        <v>31904191</v>
      </c>
      <c r="AP275" s="6">
        <v>222094113412808</v>
      </c>
      <c r="AQ275" s="6">
        <v>236542141421056</v>
      </c>
      <c r="AR275" s="6">
        <v>2149899315697</v>
      </c>
      <c r="AS275" s="6">
        <v>231741978113048</v>
      </c>
      <c r="AT275" s="6">
        <v>232452376063215</v>
      </c>
      <c r="AU275" s="6">
        <v>232685417195065</v>
      </c>
      <c r="AV275" s="6">
        <v>220114947638437</v>
      </c>
      <c r="AW275" s="6">
        <v>208144284819515</v>
      </c>
      <c r="AX275" s="6">
        <v>20416083589755</v>
      </c>
      <c r="AY275" s="6">
        <v>200074641092251</v>
      </c>
      <c r="AZ275" s="6">
        <v>214190556440013</v>
      </c>
      <c r="BA275" s="6">
        <v>21477189059982</v>
      </c>
      <c r="BB275" s="6">
        <v>188507767008066</v>
      </c>
      <c r="BC275" s="6">
        <v>214832567691648</v>
      </c>
      <c r="BD275" s="6">
        <v>215354339430121</v>
      </c>
      <c r="BE275" s="6">
        <v>228082223342212</v>
      </c>
      <c r="BF275" s="6">
        <v>221582215327494</v>
      </c>
      <c r="BG275" s="6">
        <v>214404594167692</v>
      </c>
      <c r="BH275" s="6">
        <v>230704718950119</v>
      </c>
      <c r="BI275" s="6">
        <v>245980786104509</v>
      </c>
      <c r="BJ275" s="6">
        <v>266947637016076</v>
      </c>
      <c r="BK275" s="6">
        <v>236373021600522</v>
      </c>
      <c r="BL275" s="6">
        <v>252186632854802</v>
      </c>
      <c r="BM275" s="6">
        <v>283030412586161</v>
      </c>
    </row>
    <row r="276" spans="1:65" x14ac:dyDescent="0.45">
      <c r="A276" s="1" t="s">
        <v>270</v>
      </c>
      <c r="B276" s="2">
        <v>4046286</v>
      </c>
      <c r="C276" s="3" t="s">
        <v>1136</v>
      </c>
      <c r="D276" s="3" t="s">
        <v>1137</v>
      </c>
      <c r="E276" s="3" t="s">
        <v>660</v>
      </c>
      <c r="F276" s="5">
        <v>440991507939836</v>
      </c>
      <c r="G276" s="5">
        <v>507539283117606</v>
      </c>
      <c r="H276" s="5">
        <v>52551110201982</v>
      </c>
      <c r="I276" s="5">
        <v>463831833308604</v>
      </c>
      <c r="J276" s="5">
        <v>495422604458897</v>
      </c>
      <c r="K276" s="5">
        <v>509626916830954</v>
      </c>
      <c r="L276" s="5">
        <v>425838654388341</v>
      </c>
      <c r="M276" s="5">
        <v>523447385748352</v>
      </c>
      <c r="N276" s="5">
        <v>551255463109136</v>
      </c>
      <c r="O276" s="5">
        <v>517749291088834</v>
      </c>
      <c r="P276" s="5">
        <v>494392887449434</v>
      </c>
      <c r="Q276" s="5">
        <v>468488417250816</v>
      </c>
      <c r="R276" s="5">
        <v>473202992779092</v>
      </c>
      <c r="S276" s="5">
        <v>426368785949792</v>
      </c>
      <c r="T276" s="5">
        <v>450660520496532</v>
      </c>
      <c r="U276" s="5">
        <v>416097816195948</v>
      </c>
      <c r="V276" s="5">
        <v>372845948844481</v>
      </c>
      <c r="W276" s="5">
        <v>400734499603356</v>
      </c>
      <c r="X276" s="5">
        <v>374943367137067</v>
      </c>
      <c r="Y276" s="5">
        <v>383626264808106</v>
      </c>
      <c r="Z276" s="5">
        <v>40196434567875</v>
      </c>
      <c r="AA276" s="5">
        <v>410836280258693</v>
      </c>
      <c r="AB276" s="5">
        <v>397017566369483</v>
      </c>
      <c r="AC276" s="5">
        <v>310762254313014</v>
      </c>
      <c r="AD276" s="5">
        <v>349774241793336</v>
      </c>
      <c r="AE276" s="5">
        <v>344285021556234</v>
      </c>
      <c r="AF276" s="5">
        <v>258480177731443</v>
      </c>
      <c r="AG276" s="5">
        <v>255693662615635</v>
      </c>
      <c r="AH276" s="5">
        <v>279184085579569</v>
      </c>
      <c r="AI276" s="5">
        <v>229758906500364</v>
      </c>
      <c r="AJ276" s="5">
        <v>247017121846312</v>
      </c>
      <c r="AK276" s="5">
        <v>25812636340386</v>
      </c>
      <c r="AL276" s="5">
        <v>269519405200915</v>
      </c>
      <c r="AM276" s="5">
        <v>220715860014195</v>
      </c>
      <c r="AN276" s="5">
        <v>36556227435294</v>
      </c>
      <c r="AO276" s="5">
        <v>413033258576123</v>
      </c>
      <c r="AP276" s="6">
        <v>135505859885911</v>
      </c>
      <c r="AQ276" s="6">
        <v>135508722664185</v>
      </c>
      <c r="AR276" s="6">
        <v>131073312217073</v>
      </c>
      <c r="AS276" s="6">
        <v>133650943704792</v>
      </c>
      <c r="AT276" s="6">
        <v>131609172320452</v>
      </c>
      <c r="AU276" s="6">
        <v>122840686601982</v>
      </c>
      <c r="AV276" s="6">
        <v>114784682846983</v>
      </c>
      <c r="AW276" s="6">
        <v>111349651838889</v>
      </c>
      <c r="AX276" s="6">
        <v>106303548748787</v>
      </c>
      <c r="AY276" s="6">
        <v>108837459039712</v>
      </c>
      <c r="AZ276" s="6">
        <v>10653427730292</v>
      </c>
      <c r="BA276" s="6">
        <v>103635387788734</v>
      </c>
      <c r="BB276" s="6">
        <v>106697523281221</v>
      </c>
      <c r="BC276" s="6">
        <v>115687912280073</v>
      </c>
      <c r="BD276" s="6">
        <v>107171125716372</v>
      </c>
      <c r="BE276" s="6">
        <v>114343810857891</v>
      </c>
      <c r="BF276" s="6">
        <v>112169698516907</v>
      </c>
      <c r="BG276" s="6">
        <v>104218846252164</v>
      </c>
      <c r="BH276" s="6">
        <v>991834541171831</v>
      </c>
      <c r="BI276" s="6">
        <v>100261794450398</v>
      </c>
      <c r="BJ276" s="6">
        <v>89947549481067</v>
      </c>
      <c r="BK276" s="6">
        <v>884176554597309</v>
      </c>
      <c r="BL276" s="6">
        <v>88674587066995</v>
      </c>
      <c r="BM276" s="6">
        <v>93454937154558</v>
      </c>
    </row>
    <row r="277" spans="1:65" x14ac:dyDescent="0.45">
      <c r="A277" s="1" t="s">
        <v>271</v>
      </c>
      <c r="B277" s="2">
        <v>103442</v>
      </c>
      <c r="C277" s="3" t="s">
        <v>1138</v>
      </c>
      <c r="D277" s="3" t="s">
        <v>1139</v>
      </c>
      <c r="E277" s="3" t="s">
        <v>578</v>
      </c>
      <c r="F277" s="5">
        <v>768019313615798</v>
      </c>
      <c r="G277" s="5">
        <v>832961887837329</v>
      </c>
      <c r="H277" s="5">
        <v>810057116228405</v>
      </c>
      <c r="I277" s="5">
        <v>759734140258276</v>
      </c>
      <c r="J277" s="5">
        <v>799547421081097</v>
      </c>
      <c r="K277" s="5">
        <v>802152847186342</v>
      </c>
      <c r="L277" s="5">
        <v>745402862657466</v>
      </c>
      <c r="M277" s="5">
        <v>74830013453357</v>
      </c>
      <c r="N277" s="5">
        <v>770122013181721</v>
      </c>
      <c r="O277" s="5">
        <v>771303229084608</v>
      </c>
      <c r="P277" s="5">
        <v>695790451017735</v>
      </c>
      <c r="Q277" s="5">
        <v>692563924731537</v>
      </c>
      <c r="R277" s="5">
        <v>771681705300228</v>
      </c>
      <c r="S277" s="5">
        <v>734716386781856</v>
      </c>
      <c r="T277" s="5">
        <v>728304700320509</v>
      </c>
      <c r="U277" s="5">
        <v>661926056128067</v>
      </c>
      <c r="V277" s="5">
        <v>674723609631504</v>
      </c>
      <c r="W277" s="5">
        <v>628755513370401</v>
      </c>
      <c r="X277" s="5">
        <v>603370648563201</v>
      </c>
      <c r="Y277" s="5">
        <v>57726599104903</v>
      </c>
      <c r="Z277" s="5">
        <v>573661694743717</v>
      </c>
      <c r="AA277" s="5">
        <v>52870756888404</v>
      </c>
      <c r="AB277" s="5">
        <v>483942657190341</v>
      </c>
      <c r="AC277" s="5">
        <v>459229908584752</v>
      </c>
      <c r="AD277" s="5">
        <v>485115099484275</v>
      </c>
      <c r="AE277" s="5">
        <v>486493582587949</v>
      </c>
      <c r="AF277" s="5">
        <v>450278847122058</v>
      </c>
      <c r="AG277" s="5">
        <v>494770338258138</v>
      </c>
      <c r="AH277" s="5">
        <v>486887197202327</v>
      </c>
      <c r="AI277" s="5">
        <v>499245322144437</v>
      </c>
      <c r="AJ277" s="5">
        <v>482882807193784</v>
      </c>
      <c r="AK277" s="5">
        <v>482204901533275</v>
      </c>
      <c r="AL277" s="5">
        <v>448491018205282</v>
      </c>
      <c r="AM277" s="5">
        <v>396459808428684</v>
      </c>
      <c r="AN277" s="5">
        <v>479088017602848</v>
      </c>
      <c r="AO277" s="5">
        <v>509198745706174</v>
      </c>
      <c r="AP277" s="6">
        <v>206340672349747</v>
      </c>
      <c r="AQ277" s="6">
        <v>201449895370601</v>
      </c>
      <c r="AR277" s="6">
        <v>199050401913111</v>
      </c>
      <c r="AS277" s="6">
        <v>197664706673322</v>
      </c>
      <c r="AT277" s="6">
        <v>201292875319687</v>
      </c>
      <c r="AU277" s="6">
        <v>191982261017931</v>
      </c>
      <c r="AV277" s="6">
        <v>189718801004546</v>
      </c>
      <c r="AW277" s="6">
        <v>182952406351713</v>
      </c>
      <c r="AX277" s="6">
        <v>181457603059995</v>
      </c>
      <c r="AY277" s="6">
        <v>191279962877577</v>
      </c>
      <c r="AZ277" s="6">
        <v>184249438919051</v>
      </c>
      <c r="BA277" s="6">
        <v>168965677987335</v>
      </c>
      <c r="BB277" s="6">
        <v>173540010689991</v>
      </c>
      <c r="BC277" s="6">
        <v>182216411317632</v>
      </c>
      <c r="BD277" s="6">
        <v>172960725969084</v>
      </c>
      <c r="BE277" s="6">
        <v>162385450691506</v>
      </c>
      <c r="BF277" s="6">
        <v>157152108591704</v>
      </c>
      <c r="BG277" s="6">
        <v>151426216526997</v>
      </c>
      <c r="BH277" s="6">
        <v>139965669888231</v>
      </c>
      <c r="BI277" s="6">
        <v>137363906581818</v>
      </c>
      <c r="BJ277" s="6">
        <v>131286360150898</v>
      </c>
      <c r="BK277" s="6">
        <v>119427769070852</v>
      </c>
      <c r="BL277" s="6">
        <v>119727520746102</v>
      </c>
      <c r="BM277" s="6">
        <v>129767855220648</v>
      </c>
    </row>
    <row r="278" spans="1:65" x14ac:dyDescent="0.45">
      <c r="A278" s="1" t="s">
        <v>272</v>
      </c>
      <c r="B278" s="2">
        <v>4095241</v>
      </c>
      <c r="C278" s="3" t="s">
        <v>1140</v>
      </c>
      <c r="D278" s="3" t="s">
        <v>1141</v>
      </c>
      <c r="E278" s="3" t="s">
        <v>792</v>
      </c>
      <c r="F278" s="5">
        <v>196354697351491</v>
      </c>
      <c r="G278" s="5">
        <v>220655211117453</v>
      </c>
      <c r="H278" s="5">
        <v>211932715953964</v>
      </c>
      <c r="I278" s="5">
        <v>204878704703015</v>
      </c>
      <c r="J278" s="5">
        <v>215341266226423</v>
      </c>
      <c r="K278" s="5">
        <v>215272695252491</v>
      </c>
      <c r="L278" s="5">
        <v>178523056073513</v>
      </c>
      <c r="M278" s="5">
        <v>197284535421053</v>
      </c>
      <c r="N278" s="5">
        <v>209604320711448</v>
      </c>
      <c r="O278" s="5">
        <v>21618352420773</v>
      </c>
      <c r="P278" s="5">
        <v>210803688942301</v>
      </c>
      <c r="Q278" s="5">
        <v>216718641850614</v>
      </c>
      <c r="R278" s="5">
        <v>241635778190853</v>
      </c>
      <c r="S278" s="5">
        <v>223323471781502</v>
      </c>
      <c r="T278" s="5">
        <v>211913289212267</v>
      </c>
      <c r="U278" s="5">
        <v>183889318787103</v>
      </c>
      <c r="V278" s="5">
        <v>2014756699533</v>
      </c>
      <c r="W278" s="5">
        <v>191038008277746</v>
      </c>
      <c r="X278" s="5">
        <v>185058859749203</v>
      </c>
      <c r="Y278" s="5">
        <v>18609310518067</v>
      </c>
      <c r="Z278" s="5">
        <v>183057194333444</v>
      </c>
      <c r="AA278" s="5">
        <v>17821407352986</v>
      </c>
      <c r="AB278" s="5">
        <v>173420741815976</v>
      </c>
      <c r="AC278" s="5">
        <v>147445605533003</v>
      </c>
      <c r="AD278" s="5">
        <v>14456674203536</v>
      </c>
      <c r="AE278" s="5">
        <v>138406046151834</v>
      </c>
      <c r="AF278" s="5">
        <v>142330761902869</v>
      </c>
      <c r="AG278" s="5">
        <v>124807070122205</v>
      </c>
      <c r="AH278" s="5">
        <v>105670717064855</v>
      </c>
      <c r="AI278" s="5">
        <v>109050981235842</v>
      </c>
      <c r="AJ278" s="5">
        <v>114249070088473</v>
      </c>
      <c r="AK278" s="5">
        <v>107543716234485</v>
      </c>
      <c r="AL278" s="5">
        <v>108061219935546</v>
      </c>
      <c r="AM278" s="5">
        <v>107106013581931</v>
      </c>
      <c r="AN278" s="5">
        <v>128685119939981</v>
      </c>
      <c r="AO278" s="5">
        <v>148718518260708</v>
      </c>
      <c r="AP278" s="6">
        <v>521579521257134</v>
      </c>
      <c r="AQ278" s="6">
        <v>521893752355638</v>
      </c>
      <c r="AR278" s="6">
        <v>490298542453803</v>
      </c>
      <c r="AS278" s="6">
        <v>46593579577755</v>
      </c>
      <c r="AT278" s="6">
        <v>48160989440176</v>
      </c>
      <c r="AU278" s="6">
        <v>497884524841046</v>
      </c>
      <c r="AV278" s="6">
        <v>484145267330982</v>
      </c>
      <c r="AW278" s="6">
        <v>454458404643792</v>
      </c>
      <c r="AX278" s="6">
        <v>492711873476592</v>
      </c>
      <c r="AY278" s="6">
        <v>423876819747942</v>
      </c>
      <c r="AZ278" s="6">
        <v>404607979183701</v>
      </c>
      <c r="BA278" s="6">
        <v>415313651672226</v>
      </c>
      <c r="BB278" s="6">
        <v>329031456091054</v>
      </c>
      <c r="BC278" s="6">
        <v>356886349472116</v>
      </c>
      <c r="BD278" s="6">
        <v>385393497806112</v>
      </c>
      <c r="BE278" s="6">
        <v>408687886461075</v>
      </c>
      <c r="BF278" s="6">
        <v>437100061212996</v>
      </c>
      <c r="BG278" s="6">
        <v>425777010364801</v>
      </c>
      <c r="BH278" s="6">
        <v>482105091246995</v>
      </c>
      <c r="BI278" s="6">
        <v>476136467247962</v>
      </c>
      <c r="BJ278" s="6">
        <v>412340880553699</v>
      </c>
      <c r="BK278" s="6">
        <v>377479365835451</v>
      </c>
      <c r="BL278" s="6">
        <v>424258163101413</v>
      </c>
      <c r="BM278" s="6">
        <v>436571237258939</v>
      </c>
    </row>
    <row r="279" spans="1:65" x14ac:dyDescent="0.45">
      <c r="A279" s="1" t="s">
        <v>273</v>
      </c>
      <c r="B279" s="2">
        <v>6331137</v>
      </c>
      <c r="C279" s="3" t="s">
        <v>1142</v>
      </c>
      <c r="D279" s="3" t="s">
        <v>1143</v>
      </c>
      <c r="E279" s="3" t="s">
        <v>492</v>
      </c>
      <c r="F279" s="5">
        <v>984865811025264</v>
      </c>
      <c r="G279" s="5">
        <v>11105362089302</v>
      </c>
      <c r="H279" s="5">
        <v>105531506486997</v>
      </c>
      <c r="I279" s="5">
        <v>107379974241663</v>
      </c>
      <c r="J279" s="5">
        <v>113907327414866</v>
      </c>
      <c r="K279" s="5">
        <v>12244489069776</v>
      </c>
      <c r="L279" s="5">
        <v>114204516201424</v>
      </c>
      <c r="M279" s="5">
        <v>124672695689896</v>
      </c>
      <c r="N279" s="5">
        <v>11796441822458</v>
      </c>
      <c r="O279" s="5">
        <v>108588655680162</v>
      </c>
      <c r="P279" s="5">
        <v>119731887573503</v>
      </c>
      <c r="Q279" s="5">
        <v>138009567998128</v>
      </c>
      <c r="R279" s="5">
        <v>150710470308139</v>
      </c>
      <c r="S279" s="5">
        <v>142709365277346</v>
      </c>
      <c r="T279" s="5">
        <v>138367439316865</v>
      </c>
      <c r="U279" s="5">
        <v>118461597190213</v>
      </c>
      <c r="V279" s="5">
        <v>127145529308287</v>
      </c>
      <c r="W279" s="5">
        <v>124410784872977</v>
      </c>
      <c r="X279" s="5">
        <v>123558804587493</v>
      </c>
      <c r="Y279" s="5">
        <v>125584291943455</v>
      </c>
      <c r="Z279" s="5">
        <v>134769027796743</v>
      </c>
      <c r="AA279" s="5">
        <v>129579366950424</v>
      </c>
      <c r="AB279" s="5">
        <v>113107481761028</v>
      </c>
      <c r="AC279" s="5">
        <v>11707530612005</v>
      </c>
      <c r="AD279" s="5">
        <v>11750627846225</v>
      </c>
      <c r="AE279" s="5">
        <v>117507361800439</v>
      </c>
      <c r="AF279" s="5">
        <v>120355627987966</v>
      </c>
      <c r="AG279" s="5">
        <v>122785918011427</v>
      </c>
      <c r="AH279" s="5">
        <v>127543818890296</v>
      </c>
      <c r="AI279" s="5">
        <v>126365350246861</v>
      </c>
      <c r="AJ279" s="5">
        <v>11767869557524</v>
      </c>
      <c r="AK279" s="5">
        <v>110676172413298</v>
      </c>
      <c r="AL279" s="5">
        <v>989469419628967</v>
      </c>
      <c r="AM279" s="5">
        <v>82974011525951</v>
      </c>
      <c r="AN279" s="5">
        <v>104351398320876</v>
      </c>
      <c r="AO279" s="5">
        <v>11864489472</v>
      </c>
      <c r="AP279" s="6">
        <v>417690695663543</v>
      </c>
      <c r="AQ279" s="6">
        <v>416577472830632</v>
      </c>
      <c r="AR279" s="6">
        <v>386004941564</v>
      </c>
      <c r="AS279" s="6">
        <v>405017666451501</v>
      </c>
      <c r="AT279" s="6">
        <v>377178240736355</v>
      </c>
      <c r="AU279" s="6">
        <v>41557581933</v>
      </c>
      <c r="AV279" s="6">
        <v>414836181514226</v>
      </c>
      <c r="AW279" s="6">
        <v>393975526851059</v>
      </c>
      <c r="AX279" s="6">
        <v>391872274448692</v>
      </c>
      <c r="AY279" s="6">
        <v>363091585918505</v>
      </c>
      <c r="AZ279" s="6">
        <v>379857887962174</v>
      </c>
      <c r="BA279" s="6">
        <v>393451522917973</v>
      </c>
      <c r="BB279" s="6">
        <v>353897999729266</v>
      </c>
      <c r="BC279" s="6">
        <v>388984165361464</v>
      </c>
      <c r="BD279" s="6">
        <v>362035106267795</v>
      </c>
      <c r="BE279" s="6">
        <v>400043277790497</v>
      </c>
      <c r="BF279" s="6">
        <v>393301569464101</v>
      </c>
      <c r="BG279" s="6">
        <v>397309321007101</v>
      </c>
      <c r="BH279" s="6">
        <v>379873073771438</v>
      </c>
      <c r="BI279" s="6">
        <v>40097689284646</v>
      </c>
      <c r="BJ279" s="6">
        <v>402157159006253</v>
      </c>
      <c r="BK279" s="6">
        <v>386851708953686</v>
      </c>
      <c r="BL279" s="6">
        <v>39478980996</v>
      </c>
      <c r="BM279" s="6">
        <v>406644984668082</v>
      </c>
    </row>
    <row r="280" spans="1:65" x14ac:dyDescent="0.45">
      <c r="A280" s="1" t="s">
        <v>274</v>
      </c>
      <c r="B280" s="2">
        <v>4073702</v>
      </c>
      <c r="C280" s="3" t="s">
        <v>1144</v>
      </c>
      <c r="D280" s="3" t="s">
        <v>1145</v>
      </c>
      <c r="E280" s="3" t="s">
        <v>553</v>
      </c>
      <c r="F280" s="5">
        <v>312831090954594</v>
      </c>
      <c r="G280" s="5">
        <v>332281536616557</v>
      </c>
      <c r="H280" s="5">
        <v>319097379078742</v>
      </c>
      <c r="I280" s="5">
        <v>280220004464207</v>
      </c>
      <c r="J280" s="5">
        <v>311237816932804</v>
      </c>
      <c r="K280" s="5">
        <v>335193065072539</v>
      </c>
      <c r="L280" s="5">
        <v>293532669069037</v>
      </c>
      <c r="M280" s="5">
        <v>324445710099351</v>
      </c>
      <c r="N280" s="5">
        <v>335378873868165</v>
      </c>
      <c r="O280" s="5">
        <v>314467342898792</v>
      </c>
      <c r="P280" s="5">
        <v>314073159885142</v>
      </c>
      <c r="Q280" s="5">
        <v>338008530208531</v>
      </c>
      <c r="R280" s="5">
        <v>310439083624612</v>
      </c>
      <c r="S280" s="5">
        <v>274523612072192</v>
      </c>
      <c r="T280" s="5">
        <v>285096589920962</v>
      </c>
      <c r="U280" s="5">
        <v>296011103528689</v>
      </c>
      <c r="V280" s="5">
        <v>289446831229094</v>
      </c>
      <c r="W280" s="5">
        <v>321044714035092</v>
      </c>
      <c r="X280" s="5">
        <v>305160275588198</v>
      </c>
      <c r="Y280" s="5">
        <v>293207236002793</v>
      </c>
      <c r="Z280" s="5">
        <v>314763101559214</v>
      </c>
      <c r="AA280" s="5">
        <v>301341034699055</v>
      </c>
      <c r="AB280" s="5">
        <v>290515794118524</v>
      </c>
      <c r="AC280" s="5">
        <v>259375433140679</v>
      </c>
      <c r="AD280" s="5">
        <v>290901271312111</v>
      </c>
      <c r="AE280" s="5">
        <v>28069222438738</v>
      </c>
      <c r="AF280" s="5">
        <v>24692044809253</v>
      </c>
      <c r="AG280" s="5">
        <v>288291089269667</v>
      </c>
      <c r="AH280" s="5">
        <v>299943801263045</v>
      </c>
      <c r="AI280" s="5">
        <v>261077086155499</v>
      </c>
      <c r="AJ280" s="5">
        <v>263741828861144</v>
      </c>
      <c r="AK280" s="5">
        <v>27166288090884</v>
      </c>
      <c r="AL280" s="5">
        <v>252290212501056</v>
      </c>
      <c r="AM280" s="5">
        <v>220942650422894</v>
      </c>
      <c r="AN280" s="5">
        <v>265272704875149</v>
      </c>
      <c r="AO280" s="5">
        <v>28709085248095</v>
      </c>
      <c r="AP280" s="6">
        <v>172157851772854</v>
      </c>
      <c r="AQ280" s="6">
        <v>159017471509037</v>
      </c>
      <c r="AR280" s="6">
        <v>155629195126544</v>
      </c>
      <c r="AS280" s="6">
        <v>158976928243757</v>
      </c>
      <c r="AT280" s="6">
        <v>146954882336166</v>
      </c>
      <c r="AU280" s="6">
        <v>168647431824293</v>
      </c>
      <c r="AV280" s="6">
        <v>18309587298912</v>
      </c>
      <c r="AW280" s="6">
        <v>160894957429522</v>
      </c>
      <c r="AX280" s="6">
        <v>165209241867768</v>
      </c>
      <c r="AY280" s="6">
        <v>16000527576528</v>
      </c>
      <c r="AZ280" s="6">
        <v>148252475294208</v>
      </c>
      <c r="BA280" s="6">
        <v>13952927714783</v>
      </c>
      <c r="BB280" s="6">
        <v>12371682122112</v>
      </c>
      <c r="BC280" s="6">
        <v>140827719593871</v>
      </c>
      <c r="BD280" s="6">
        <v>121811903647192</v>
      </c>
      <c r="BE280" s="6">
        <v>132158049007612</v>
      </c>
      <c r="BF280" s="6">
        <v>126954722759461</v>
      </c>
      <c r="BG280" s="6">
        <v>127657559475653</v>
      </c>
      <c r="BH280" s="6">
        <v>125934382348174</v>
      </c>
      <c r="BI280" s="6">
        <v>119948246951018</v>
      </c>
      <c r="BJ280" s="6">
        <v>118022387145436</v>
      </c>
      <c r="BK280" s="6">
        <v>119009958694494</v>
      </c>
      <c r="BL280" s="6">
        <v>128557368442503</v>
      </c>
      <c r="BM280" s="6">
        <v>138854103989537</v>
      </c>
    </row>
    <row r="281" spans="1:65" x14ac:dyDescent="0.45">
      <c r="A281" s="1" t="s">
        <v>275</v>
      </c>
      <c r="B281" s="2">
        <v>4219024</v>
      </c>
      <c r="C281" s="3" t="s">
        <v>1146</v>
      </c>
      <c r="D281" s="3" t="s">
        <v>1147</v>
      </c>
      <c r="E281" s="3" t="s">
        <v>768</v>
      </c>
      <c r="F281" s="5">
        <v>207903216675282</v>
      </c>
      <c r="G281" s="5">
        <v>22133498338651</v>
      </c>
      <c r="H281" s="5">
        <v>21358803822884</v>
      </c>
      <c r="I281" s="5">
        <v>19534832462731</v>
      </c>
      <c r="J281" s="5">
        <v>22398164996554</v>
      </c>
      <c r="K281" s="5">
        <v>229798735664884</v>
      </c>
      <c r="L281" s="5">
        <v>213625813072571</v>
      </c>
      <c r="M281" s="5">
        <v>231722097279144</v>
      </c>
      <c r="N281" s="5">
        <v>25603100011718</v>
      </c>
      <c r="O281" s="5">
        <v>240871950268191</v>
      </c>
      <c r="P281" s="5">
        <v>22665772512123</v>
      </c>
      <c r="Q281" s="5">
        <v>239509056673656</v>
      </c>
      <c r="R281" s="5">
        <v>226891377097471</v>
      </c>
      <c r="S281" s="5">
        <v>20366658374034</v>
      </c>
      <c r="T281" s="5">
        <v>185629628841959</v>
      </c>
      <c r="U281" s="5">
        <v>187098163215693</v>
      </c>
      <c r="V281" s="5">
        <v>195284950409422</v>
      </c>
      <c r="W281" s="5">
        <v>189640846104528</v>
      </c>
      <c r="X281" s="5">
        <v>198867997382988</v>
      </c>
      <c r="Y281" s="5">
        <v>195085207061047</v>
      </c>
      <c r="Z281" s="5">
        <v>200654304950709</v>
      </c>
      <c r="AA281" s="5">
        <v>20284529948627</v>
      </c>
      <c r="AB281" s="5">
        <v>185966397474642</v>
      </c>
      <c r="AC281" s="5">
        <v>197063923526565</v>
      </c>
      <c r="AD281" s="5">
        <v>208525831971885</v>
      </c>
      <c r="AE281" s="5">
        <v>208491286842735</v>
      </c>
      <c r="AF281" s="5">
        <v>206511798924022</v>
      </c>
      <c r="AG281" s="5">
        <v>22061755651518</v>
      </c>
      <c r="AH281" s="5">
        <v>229643498389224</v>
      </c>
      <c r="AI281" s="5">
        <v>219489341007962</v>
      </c>
      <c r="AJ281" s="5">
        <v>212243539115564</v>
      </c>
      <c r="AK281" s="5">
        <v>209426942693508</v>
      </c>
      <c r="AL281" s="5">
        <v>190518048995862</v>
      </c>
      <c r="AM281" s="5">
        <v>170885803189829</v>
      </c>
      <c r="AN281" s="5">
        <v>176560992483615</v>
      </c>
      <c r="AO281" s="5">
        <v>195912552708781</v>
      </c>
      <c r="AP281" s="6">
        <v>15267688247884</v>
      </c>
      <c r="AQ281" s="6">
        <v>149334237450974</v>
      </c>
      <c r="AR281" s="6">
        <v>131394137643239</v>
      </c>
      <c r="AS281" s="6">
        <v>132557146805299</v>
      </c>
      <c r="AT281" s="6">
        <v>133027160792116</v>
      </c>
      <c r="AU281" s="6">
        <v>141967684537663</v>
      </c>
      <c r="AV281" s="6">
        <v>134876823427791</v>
      </c>
      <c r="AW281" s="6">
        <v>119613355634402</v>
      </c>
      <c r="AX281" s="6">
        <v>12766745778192</v>
      </c>
      <c r="AY281" s="6">
        <v>122755744111612</v>
      </c>
      <c r="AZ281" s="6">
        <v>126117281892076</v>
      </c>
      <c r="BA281" s="6">
        <v>137904575145293</v>
      </c>
      <c r="BB281" s="6">
        <v>111706309375073</v>
      </c>
      <c r="BC281" s="6">
        <v>12553148536191</v>
      </c>
      <c r="BD281" s="6">
        <v>125387042007509</v>
      </c>
      <c r="BE281" s="6">
        <v>129215583231419</v>
      </c>
      <c r="BF281" s="6">
        <v>134340434883567</v>
      </c>
      <c r="BG281" s="6">
        <v>149250216464508</v>
      </c>
      <c r="BH281" s="6">
        <v>138537362390977</v>
      </c>
      <c r="BI281" s="6">
        <v>150191184971818</v>
      </c>
      <c r="BJ281" s="6">
        <v>144882627578901</v>
      </c>
      <c r="BK281" s="6">
        <v>161373794214884</v>
      </c>
      <c r="BL281" s="6">
        <v>158751849908679</v>
      </c>
      <c r="BM281" s="6">
        <v>16589070606418</v>
      </c>
    </row>
    <row r="282" spans="1:65" x14ac:dyDescent="0.45">
      <c r="A282" s="1" t="s">
        <v>276</v>
      </c>
      <c r="B282" s="2">
        <v>4095638</v>
      </c>
      <c r="C282" s="3" t="s">
        <v>1148</v>
      </c>
      <c r="D282" s="3" t="s">
        <v>1149</v>
      </c>
      <c r="E282" s="3" t="s">
        <v>732</v>
      </c>
      <c r="F282" s="5">
        <v>180604760789722</v>
      </c>
      <c r="G282" s="5">
        <v>19374403671967</v>
      </c>
      <c r="H282" s="5">
        <v>202867458694413</v>
      </c>
      <c r="I282" s="5">
        <v>173120639292129</v>
      </c>
      <c r="J282" s="5">
        <v>184288945180672</v>
      </c>
      <c r="K282" s="5">
        <v>190956895245</v>
      </c>
      <c r="L282" s="5">
        <v>174655402458597</v>
      </c>
      <c r="M282" s="5">
        <v>173856346405781</v>
      </c>
      <c r="N282" s="5">
        <v>174863353460519</v>
      </c>
      <c r="O282" s="5">
        <v>165523040886149</v>
      </c>
      <c r="P282" s="5">
        <v>162077439583838</v>
      </c>
      <c r="Q282" s="5">
        <v>173089659084182</v>
      </c>
      <c r="R282" s="5">
        <v>176136171964852</v>
      </c>
      <c r="S282" s="5">
        <v>162159072537294</v>
      </c>
      <c r="T282" s="5">
        <v>158583965856405</v>
      </c>
      <c r="U282" s="5">
        <v>155356351900979</v>
      </c>
      <c r="V282" s="5">
        <v>150238094118474</v>
      </c>
      <c r="W282" s="5">
        <v>152670638675907</v>
      </c>
      <c r="X282" s="5">
        <v>145367410116102</v>
      </c>
      <c r="Y282" s="5">
        <v>143195878045146</v>
      </c>
      <c r="Z282" s="5">
        <v>146424083192116</v>
      </c>
      <c r="AA282" s="5">
        <v>142379884574416</v>
      </c>
      <c r="AB282" s="5">
        <v>127026637988453</v>
      </c>
      <c r="AC282" s="5">
        <v>127576854249089</v>
      </c>
      <c r="AD282" s="5">
        <v>13070673617062</v>
      </c>
      <c r="AE282" s="5">
        <v>135559568034143</v>
      </c>
      <c r="AF282" s="5">
        <v>136003560227104</v>
      </c>
      <c r="AG282" s="5">
        <v>139085918575458</v>
      </c>
      <c r="AH282" s="5">
        <v>132903763092233</v>
      </c>
      <c r="AI282" s="5">
        <v>122110427736433</v>
      </c>
      <c r="AJ282" s="5">
        <v>1218837605828</v>
      </c>
      <c r="AK282" s="5">
        <v>124616179353301</v>
      </c>
      <c r="AL282" s="5">
        <v>127805782392646</v>
      </c>
      <c r="AM282" s="5">
        <v>112166240007867</v>
      </c>
      <c r="AN282" s="5">
        <v>131615152707328</v>
      </c>
      <c r="AO282" s="5">
        <v>145347719825726</v>
      </c>
      <c r="AP282" s="6">
        <v>223004351691549</v>
      </c>
      <c r="AQ282" s="6">
        <v>205053575240725</v>
      </c>
      <c r="AR282" s="6">
        <v>20135527905448</v>
      </c>
      <c r="AS282" s="6">
        <v>202831630284572</v>
      </c>
      <c r="AT282" s="6">
        <v>18684337170802</v>
      </c>
      <c r="AU282" s="6">
        <v>20194003784512</v>
      </c>
      <c r="AV282" s="6">
        <v>181280869804757</v>
      </c>
      <c r="AW282" s="6">
        <v>170819129422538</v>
      </c>
      <c r="AX282" s="6">
        <v>211262146282892</v>
      </c>
      <c r="AY282" s="6">
        <v>175161194077241</v>
      </c>
      <c r="AZ282" s="6">
        <v>180761213568573</v>
      </c>
      <c r="BA282" s="6">
        <v>165942299203286</v>
      </c>
      <c r="BB282" s="6">
        <v>148563375154642</v>
      </c>
      <c r="BC282" s="6">
        <v>1566640014336</v>
      </c>
      <c r="BD282" s="6">
        <v>136898271334796</v>
      </c>
      <c r="BE282" s="6">
        <v>15998578166178</v>
      </c>
      <c r="BF282" s="6">
        <v>174583319107567</v>
      </c>
      <c r="BG282" s="6">
        <v>187963924265306</v>
      </c>
      <c r="BH282" s="6">
        <v>183218736929512</v>
      </c>
      <c r="BI282" s="6">
        <v>196309296482827</v>
      </c>
      <c r="BJ282" s="6">
        <v>162369773482359</v>
      </c>
      <c r="BK282" s="6">
        <v>174102721254671</v>
      </c>
      <c r="BL282" s="6">
        <v>170680651716639</v>
      </c>
      <c r="BM282" s="6">
        <v>179048393968175</v>
      </c>
    </row>
    <row r="283" spans="1:65" x14ac:dyDescent="0.45">
      <c r="A283" s="1" t="s">
        <v>277</v>
      </c>
      <c r="B283" s="2">
        <v>4069640</v>
      </c>
      <c r="C283" s="3" t="s">
        <v>1150</v>
      </c>
      <c r="D283" s="3" t="s">
        <v>1151</v>
      </c>
      <c r="E283" s="3" t="s">
        <v>695</v>
      </c>
      <c r="F283" s="5">
        <v>497694808526083</v>
      </c>
      <c r="G283" s="5">
        <v>524799074623741</v>
      </c>
      <c r="H283" s="5">
        <v>565967241614259</v>
      </c>
      <c r="I283" s="5">
        <v>498168932017188</v>
      </c>
      <c r="J283" s="5">
        <v>523745585384065</v>
      </c>
      <c r="K283" s="5">
        <v>480830805608025</v>
      </c>
      <c r="L283" s="5">
        <v>448047639929655</v>
      </c>
      <c r="M283" s="5">
        <v>445358576308965</v>
      </c>
      <c r="N283" s="5">
        <v>440091050385572</v>
      </c>
      <c r="O283" s="5">
        <v>412811712669174</v>
      </c>
      <c r="P283" s="5">
        <v>366784144742506</v>
      </c>
      <c r="Q283" s="5">
        <v>349946938172483</v>
      </c>
      <c r="R283" s="5">
        <v>333713747381038</v>
      </c>
      <c r="S283" s="5">
        <v>293622267272763</v>
      </c>
      <c r="T283" s="5">
        <v>278065628438863</v>
      </c>
      <c r="U283" s="5">
        <v>266079029754475</v>
      </c>
      <c r="V283" s="5">
        <v>26750566137962</v>
      </c>
      <c r="W283" s="5">
        <v>265761778222525</v>
      </c>
      <c r="X283" s="5">
        <v>249464742080617</v>
      </c>
      <c r="Y283" s="5">
        <v>249706521511806</v>
      </c>
      <c r="Z283" s="5">
        <v>248171679315606</v>
      </c>
      <c r="AA283" s="5">
        <v>264495019109107</v>
      </c>
      <c r="AB283" s="5">
        <v>223006754097535</v>
      </c>
      <c r="AC283" s="5">
        <v>23077665654268</v>
      </c>
      <c r="AD283" s="5">
        <v>2282898572073</v>
      </c>
      <c r="AE283" s="5">
        <v>241698748086542</v>
      </c>
      <c r="AF283" s="5">
        <v>205269257519906</v>
      </c>
      <c r="AG283" s="5">
        <v>205703308136397</v>
      </c>
      <c r="AH283" s="5">
        <v>208174710301382</v>
      </c>
      <c r="AI283" s="5">
        <v>205773728049478</v>
      </c>
      <c r="AJ283" s="5">
        <v>221010590324712</v>
      </c>
      <c r="AK283" s="5">
        <v>23100284465004</v>
      </c>
      <c r="AL283" s="5">
        <v>228641032666076</v>
      </c>
      <c r="AM283" s="5">
        <v>217963003070722</v>
      </c>
      <c r="AN283" s="5">
        <v>225202248585079</v>
      </c>
      <c r="AO283" s="5">
        <v>23178329969938</v>
      </c>
      <c r="AP283" s="6">
        <v>532367910210743</v>
      </c>
      <c r="AQ283" s="6">
        <v>477361156236225</v>
      </c>
      <c r="AR283" s="6">
        <v>472235831970474</v>
      </c>
      <c r="AS283" s="6">
        <v>433769726800466</v>
      </c>
      <c r="AT283" s="6">
        <v>454319775170964</v>
      </c>
      <c r="AU283" s="6">
        <v>44520435714454</v>
      </c>
      <c r="AV283" s="6">
        <v>374331647812621</v>
      </c>
      <c r="AW283" s="6">
        <v>323754988018957</v>
      </c>
      <c r="AX283" s="6">
        <v>41543425696774</v>
      </c>
      <c r="AY283" s="6">
        <v>407537823806853</v>
      </c>
      <c r="AZ283" s="6">
        <v>40241912377941</v>
      </c>
      <c r="BA283" s="6">
        <v>374049150919025</v>
      </c>
      <c r="BB283" s="6">
        <v>310675500389744</v>
      </c>
      <c r="BC283" s="6">
        <v>38628418828032</v>
      </c>
      <c r="BD283" s="6">
        <v>377997636102075</v>
      </c>
      <c r="BE283" s="6">
        <v>451508025711821</v>
      </c>
      <c r="BF283" s="6">
        <v>524767684330295</v>
      </c>
      <c r="BG283" s="6">
        <v>523179613629275</v>
      </c>
      <c r="BH283" s="6">
        <v>521292242197852</v>
      </c>
      <c r="BI283" s="6">
        <v>572865037912757</v>
      </c>
      <c r="BJ283" s="6">
        <v>441645716361732</v>
      </c>
      <c r="BK283" s="6">
        <v>491743044992081</v>
      </c>
      <c r="BL283" s="6">
        <v>462241419685391</v>
      </c>
      <c r="BM283" s="6">
        <v>406404334139178</v>
      </c>
    </row>
    <row r="284" spans="1:65" x14ac:dyDescent="0.45">
      <c r="A284" s="1" t="s">
        <v>278</v>
      </c>
      <c r="B284" s="2">
        <v>4806212</v>
      </c>
      <c r="C284" s="3" t="s">
        <v>1152</v>
      </c>
      <c r="D284" s="3" t="s">
        <v>1153</v>
      </c>
      <c r="E284" s="3" t="s">
        <v>495</v>
      </c>
      <c r="F284" s="5">
        <v>967341517888227</v>
      </c>
      <c r="G284" s="5">
        <v>101949354813885</v>
      </c>
      <c r="H284" s="5">
        <v>117400045466612</v>
      </c>
      <c r="I284" s="5">
        <v>109454244822868</v>
      </c>
      <c r="J284" s="5">
        <v>116075703133628</v>
      </c>
      <c r="K284" s="5">
        <v>12052271452812</v>
      </c>
      <c r="L284" s="5">
        <v>114076138503653</v>
      </c>
      <c r="M284" s="5">
        <v>124224649735722</v>
      </c>
      <c r="N284" s="5">
        <v>132848873853798</v>
      </c>
      <c r="O284" s="5">
        <v>13398916337355</v>
      </c>
      <c r="P284" s="5">
        <v>125521283438902</v>
      </c>
      <c r="Q284" s="5">
        <v>124231588907068</v>
      </c>
      <c r="R284" s="5">
        <v>122305796272296</v>
      </c>
      <c r="S284" s="5">
        <v>127310317267441</v>
      </c>
      <c r="T284" s="5">
        <v>139499836060307</v>
      </c>
      <c r="U284" s="5">
        <v>1455520135</v>
      </c>
      <c r="V284" s="5">
        <v>152061131586707</v>
      </c>
      <c r="W284" s="5">
        <v>148762572789299</v>
      </c>
      <c r="X284" s="5">
        <v>140694997733192</v>
      </c>
      <c r="Y284" s="5">
        <v>139742859307821</v>
      </c>
      <c r="Z284" s="5">
        <v>146715885223537</v>
      </c>
      <c r="AA284" s="5">
        <v>135679164294526</v>
      </c>
      <c r="AB284" s="5">
        <v>130267698161052</v>
      </c>
      <c r="AC284" s="5">
        <v>123448407879684</v>
      </c>
      <c r="AD284" s="5">
        <v>128897495055141</v>
      </c>
      <c r="AE284" s="5">
        <v>128005717624221</v>
      </c>
      <c r="AF284" s="5">
        <v>116021295433798</v>
      </c>
      <c r="AG284" s="5">
        <v>118960727794529</v>
      </c>
      <c r="AH284" s="5">
        <v>120760142004591</v>
      </c>
      <c r="AI284" s="5">
        <v>10938901868922</v>
      </c>
      <c r="AJ284" s="5">
        <v>109295229706195</v>
      </c>
      <c r="AK284" s="5">
        <v>118916730089582</v>
      </c>
      <c r="AL284" s="5">
        <v>119601227881149</v>
      </c>
      <c r="AM284" s="5">
        <v>109979125833541</v>
      </c>
      <c r="AN284" s="5">
        <v>122677777593221</v>
      </c>
      <c r="AO284" s="5">
        <v>139569328242596</v>
      </c>
      <c r="AP284" s="6">
        <v>107204912381371</v>
      </c>
      <c r="AQ284" s="6">
        <v>10481405843254</v>
      </c>
      <c r="AR284" s="6">
        <v>981195823909181</v>
      </c>
      <c r="AS284" s="6">
        <v>973548393561682</v>
      </c>
      <c r="AT284" s="6">
        <v>957039867262533</v>
      </c>
      <c r="AU284" s="6">
        <v>935798181585</v>
      </c>
      <c r="AV284" s="6">
        <v>90209794462934</v>
      </c>
      <c r="AW284" s="6">
        <v>850215150082038</v>
      </c>
      <c r="AX284" s="6">
        <v>89318188816416</v>
      </c>
      <c r="AY284" s="6">
        <v>806231020754725</v>
      </c>
      <c r="AZ284" s="6">
        <v>754742819335259</v>
      </c>
      <c r="BA284" s="6">
        <v>699455675394726</v>
      </c>
      <c r="BB284" s="6">
        <v>68564158655428</v>
      </c>
      <c r="BC284" s="6">
        <v>756954813489913</v>
      </c>
      <c r="BD284" s="6">
        <v>72935166725087</v>
      </c>
      <c r="BE284" s="6">
        <v>754845962220693</v>
      </c>
      <c r="BF284" s="6">
        <v>74207098822806</v>
      </c>
      <c r="BG284" s="6">
        <v>69588442872</v>
      </c>
      <c r="BH284" s="6">
        <v>649373334656178</v>
      </c>
      <c r="BI284" s="6">
        <v>651343590774255</v>
      </c>
      <c r="BJ284" s="6">
        <v>595088724564</v>
      </c>
      <c r="BK284" s="6">
        <v>571484508117179</v>
      </c>
      <c r="BL284" s="6">
        <v>591325842524541</v>
      </c>
      <c r="BM284" s="6">
        <v>588098928638403</v>
      </c>
    </row>
    <row r="285" spans="1:65" x14ac:dyDescent="0.45">
      <c r="A285" s="1" t="s">
        <v>279</v>
      </c>
      <c r="B285" s="2">
        <v>4004265</v>
      </c>
      <c r="C285" s="3" t="s">
        <v>1154</v>
      </c>
      <c r="D285" s="3" t="s">
        <v>1155</v>
      </c>
      <c r="E285" s="3" t="s">
        <v>665</v>
      </c>
      <c r="F285" s="5">
        <v>263214452928126</v>
      </c>
      <c r="G285" s="5">
        <v>270738111175777</v>
      </c>
      <c r="H285" s="5">
        <v>259264877813548</v>
      </c>
      <c r="I285" s="5">
        <v>222485748244378</v>
      </c>
      <c r="J285" s="5">
        <v>214705458119459</v>
      </c>
      <c r="K285" s="5">
        <v>221495341491203</v>
      </c>
      <c r="L285" s="5">
        <v>220545234040041</v>
      </c>
      <c r="M285" s="5">
        <v>216923836044744</v>
      </c>
      <c r="N285" s="5">
        <v>212780989754598</v>
      </c>
      <c r="O285" s="5">
        <v>186701968243544</v>
      </c>
      <c r="P285" s="5">
        <v>172377504117031</v>
      </c>
      <c r="Q285" s="5">
        <v>183750660549034</v>
      </c>
      <c r="R285" s="5">
        <v>170222230224157</v>
      </c>
      <c r="S285" s="5">
        <v>167874617930038</v>
      </c>
      <c r="T285" s="5">
        <v>192753146306725</v>
      </c>
      <c r="U285" s="5">
        <v>164045504287808</v>
      </c>
      <c r="V285" s="5">
        <v>163610057212602</v>
      </c>
      <c r="W285" s="5">
        <v>164080952189493</v>
      </c>
      <c r="X285" s="5">
        <v>166080792141847</v>
      </c>
      <c r="Y285" s="5">
        <v>157665564534669</v>
      </c>
      <c r="Z285" s="5">
        <v>156768107202167</v>
      </c>
      <c r="AA285" s="5">
        <v>166192853688894</v>
      </c>
      <c r="AB285" s="5">
        <v>151870634429097</v>
      </c>
      <c r="AC285" s="5">
        <v>16063255939429</v>
      </c>
      <c r="AD285" s="5">
        <v>169187197853846</v>
      </c>
      <c r="AE285" s="5">
        <v>170175968202273</v>
      </c>
      <c r="AF285" s="5">
        <v>16323140393258</v>
      </c>
      <c r="AG285" s="5">
        <v>178666145617835</v>
      </c>
      <c r="AH285" s="5">
        <v>18040660492154</v>
      </c>
      <c r="AI285" s="5">
        <v>171201888397005</v>
      </c>
      <c r="AJ285" s="5">
        <v>173444718895887</v>
      </c>
      <c r="AK285" s="5">
        <v>183269030599699</v>
      </c>
      <c r="AL285" s="5">
        <v>183131141038741</v>
      </c>
      <c r="AM285" s="5">
        <v>177577871738904</v>
      </c>
      <c r="AN285" s="5">
        <v>17656490628631</v>
      </c>
      <c r="AO285" s="5">
        <v>196211054353417</v>
      </c>
      <c r="AP285" s="6">
        <v>134027893058731</v>
      </c>
      <c r="AQ285" s="6">
        <v>140909474925615</v>
      </c>
      <c r="AR285" s="6">
        <v>14222635728316</v>
      </c>
      <c r="AS285" s="6">
        <v>135977720140556</v>
      </c>
      <c r="AT285" s="6">
        <v>1313535411384</v>
      </c>
      <c r="AU285" s="6">
        <v>1207478616732</v>
      </c>
      <c r="AV285" s="6">
        <v>117971191149527</v>
      </c>
      <c r="AW285" s="6">
        <v>116766702155838</v>
      </c>
      <c r="AX285" s="6">
        <v>11121390727387</v>
      </c>
      <c r="AY285" s="6">
        <v>110942082810702</v>
      </c>
      <c r="AZ285" s="6">
        <v>103585542932473</v>
      </c>
      <c r="BA285" s="6">
        <v>100658834568</v>
      </c>
      <c r="BB285" s="6">
        <v>951505917527946</v>
      </c>
      <c r="BC285" s="6">
        <v>104120793777393</v>
      </c>
      <c r="BD285" s="6">
        <v>982484742981789</v>
      </c>
      <c r="BE285" s="6">
        <v>981325486171341</v>
      </c>
      <c r="BF285" s="6">
        <v>101537758374208</v>
      </c>
      <c r="BG285" s="6">
        <v>979931918329561</v>
      </c>
      <c r="BH285" s="6">
        <v>981840735111663</v>
      </c>
      <c r="BI285" s="6">
        <v>913135244916733</v>
      </c>
      <c r="BJ285" s="6">
        <v>861270448252801</v>
      </c>
      <c r="BK285" s="6">
        <v>84353088040537</v>
      </c>
      <c r="BL285" s="6">
        <v>799080902559576</v>
      </c>
      <c r="BM285" s="6">
        <v>87115494326122</v>
      </c>
    </row>
    <row r="286" spans="1:65" x14ac:dyDescent="0.45">
      <c r="A286" s="1" t="s">
        <v>280</v>
      </c>
      <c r="B286" s="2">
        <v>4144156</v>
      </c>
      <c r="C286" s="3" t="s">
        <v>1156</v>
      </c>
      <c r="D286" s="3" t="s">
        <v>1157</v>
      </c>
      <c r="E286" s="3" t="s">
        <v>536</v>
      </c>
      <c r="F286" s="5">
        <v>295264989808412</v>
      </c>
      <c r="G286" s="5">
        <v>303659517077898</v>
      </c>
      <c r="H286" s="5">
        <v>249809580971349</v>
      </c>
      <c r="I286" s="5">
        <v>371866578899243</v>
      </c>
      <c r="J286" s="5">
        <v>434773308407905</v>
      </c>
      <c r="K286" s="5">
        <v>419208218242054</v>
      </c>
      <c r="L286" s="5">
        <v>417455118510677</v>
      </c>
      <c r="M286" s="5">
        <v>488469298579956</v>
      </c>
      <c r="N286" s="5">
        <v>514813026607964</v>
      </c>
      <c r="O286" s="5">
        <v>544846963005885</v>
      </c>
      <c r="P286" s="5">
        <v>511513362224641</v>
      </c>
      <c r="Q286" s="5">
        <v>777998406684872</v>
      </c>
      <c r="R286" s="5">
        <v>822712484252563</v>
      </c>
      <c r="S286" s="5">
        <v>800759831240439</v>
      </c>
      <c r="T286" s="5">
        <v>778401227716865</v>
      </c>
      <c r="U286" s="5">
        <v>82560578706092</v>
      </c>
      <c r="V286" s="5">
        <v>906199732177563</v>
      </c>
      <c r="W286" s="5">
        <v>846850887820411</v>
      </c>
      <c r="X286" s="5">
        <v>83152448726458</v>
      </c>
      <c r="Y286" s="5">
        <v>764789982179713</v>
      </c>
      <c r="Z286" s="5">
        <v>766253192617185</v>
      </c>
      <c r="AA286" s="5">
        <v>714593044529162</v>
      </c>
      <c r="AB286" s="5">
        <v>606334229639876</v>
      </c>
      <c r="AC286" s="5">
        <v>60601906092038</v>
      </c>
      <c r="AD286" s="5">
        <v>636047394263469</v>
      </c>
      <c r="AE286" s="5">
        <v>660065619363384</v>
      </c>
      <c r="AF286" s="5">
        <v>64307239767259</v>
      </c>
      <c r="AG286" s="5">
        <v>635382901104445</v>
      </c>
      <c r="AH286" s="5">
        <v>698705695391152</v>
      </c>
      <c r="AI286" s="5">
        <v>610863744459056</v>
      </c>
      <c r="AJ286" s="5">
        <v>575326579578131</v>
      </c>
      <c r="AK286" s="5">
        <v>576853543286401</v>
      </c>
      <c r="AL286" s="5">
        <v>533139625993956</v>
      </c>
      <c r="AM286" s="5">
        <v>432664204628292</v>
      </c>
      <c r="AN286" s="5">
        <v>498865838520498</v>
      </c>
      <c r="AO286" s="5">
        <v>519132112287938</v>
      </c>
      <c r="AP286" s="6">
        <v>104179298689195</v>
      </c>
      <c r="AQ286" s="6">
        <v>992786277331795</v>
      </c>
      <c r="AR286" s="6">
        <v>102518285012247</v>
      </c>
      <c r="AS286" s="6">
        <v>114192257395213</v>
      </c>
      <c r="AT286" s="6">
        <v>101254897708739</v>
      </c>
      <c r="AU286" s="6">
        <v>105211991504618</v>
      </c>
      <c r="AV286" s="6">
        <v>106482995246347</v>
      </c>
      <c r="AW286" s="6">
        <v>106796145307393</v>
      </c>
      <c r="AX286" s="6">
        <v>123925781184145</v>
      </c>
      <c r="AY286" s="6">
        <v>115017185186265</v>
      </c>
      <c r="AZ286" s="6">
        <v>11707125968331</v>
      </c>
      <c r="BA286" s="6">
        <v>12557820988237</v>
      </c>
      <c r="BB286" s="6">
        <v>10596305105161</v>
      </c>
      <c r="BC286" s="6">
        <v>125410488607841</v>
      </c>
      <c r="BD286" s="6">
        <v>121960000013804</v>
      </c>
      <c r="BE286" s="6">
        <v>114334147920654</v>
      </c>
      <c r="BF286" s="6">
        <v>124086301973007</v>
      </c>
      <c r="BG286" s="6">
        <v>123500474558015</v>
      </c>
      <c r="BH286" s="6">
        <v>12580481289957</v>
      </c>
      <c r="BI286" s="6">
        <v>114247823227748</v>
      </c>
      <c r="BJ286" s="6">
        <v>127343582269842</v>
      </c>
      <c r="BK286" s="6">
        <v>132196843753784</v>
      </c>
      <c r="BL286" s="6">
        <v>134681696601952</v>
      </c>
      <c r="BM286" s="6">
        <v>145572487555033</v>
      </c>
    </row>
    <row r="287" spans="1:65" x14ac:dyDescent="0.45">
      <c r="A287" s="1" t="s">
        <v>281</v>
      </c>
      <c r="B287" s="2">
        <v>4051708</v>
      </c>
      <c r="C287" s="3" t="s">
        <v>1158</v>
      </c>
      <c r="D287" s="3" t="s">
        <v>1159</v>
      </c>
      <c r="E287" s="3" t="s">
        <v>510</v>
      </c>
      <c r="F287" s="5">
        <v>531308716029588</v>
      </c>
      <c r="G287" s="5">
        <v>58355863257018</v>
      </c>
      <c r="H287" s="5">
        <v>590531890845121</v>
      </c>
      <c r="I287" s="5">
        <v>494388824753346</v>
      </c>
      <c r="J287" s="5">
        <v>50946224384367</v>
      </c>
      <c r="K287" s="5">
        <v>504271434330378</v>
      </c>
      <c r="L287" s="5">
        <v>488451440094804</v>
      </c>
      <c r="M287" s="5">
        <v>510808951278618</v>
      </c>
      <c r="N287" s="5">
        <v>514219718596515</v>
      </c>
      <c r="O287" s="5">
        <v>521994463892857</v>
      </c>
      <c r="P287" s="5">
        <v>496311585078491</v>
      </c>
      <c r="Q287" s="5">
        <v>503612432300154</v>
      </c>
      <c r="R287" s="5">
        <v>462196135349792</v>
      </c>
      <c r="S287" s="5">
        <v>437766277806483</v>
      </c>
      <c r="T287" s="5">
        <v>465376212443318</v>
      </c>
      <c r="U287" s="5">
        <v>456389106148249</v>
      </c>
      <c r="V287" s="5">
        <v>450097387954704</v>
      </c>
      <c r="W287" s="5">
        <v>425811464649327</v>
      </c>
      <c r="X287" s="5">
        <v>441887497378179</v>
      </c>
      <c r="Y287" s="5">
        <v>469466482642012</v>
      </c>
      <c r="Z287" s="5">
        <v>464167381966474</v>
      </c>
      <c r="AA287" s="5">
        <v>458057596569838</v>
      </c>
      <c r="AB287" s="5">
        <v>421030631222208</v>
      </c>
      <c r="AC287" s="5">
        <v>356973307182026</v>
      </c>
      <c r="AD287" s="5">
        <v>345414863452736</v>
      </c>
      <c r="AE287" s="5">
        <v>347654061345872</v>
      </c>
      <c r="AF287" s="5">
        <v>294800463520445</v>
      </c>
      <c r="AG287" s="5">
        <v>28731122252561</v>
      </c>
      <c r="AH287" s="5">
        <v>292011262148624</v>
      </c>
      <c r="AI287" s="5">
        <v>290379429507963</v>
      </c>
      <c r="AJ287" s="5">
        <v>294527718093082</v>
      </c>
      <c r="AK287" s="5">
        <v>293977020478773</v>
      </c>
      <c r="AL287" s="5">
        <v>29982996508183</v>
      </c>
      <c r="AM287" s="5">
        <v>254771463587277</v>
      </c>
      <c r="AN287" s="5">
        <v>35575612503104</v>
      </c>
      <c r="AO287" s="5">
        <v>412348125464939</v>
      </c>
      <c r="AP287" s="6">
        <v>706691545346553</v>
      </c>
      <c r="AQ287" s="6">
        <v>686584628377438</v>
      </c>
      <c r="AR287" s="6">
        <v>67747904947104</v>
      </c>
      <c r="AS287" s="6">
        <v>7316602313752</v>
      </c>
      <c r="AT287" s="6">
        <v>72404642664818</v>
      </c>
      <c r="AU287" s="6">
        <v>693108563231933</v>
      </c>
      <c r="AV287" s="6">
        <v>682295821044037</v>
      </c>
      <c r="AW287" s="6">
        <v>657091291988445</v>
      </c>
      <c r="AX287" s="6">
        <v>656132724144686</v>
      </c>
      <c r="AY287" s="6">
        <v>643050080729971</v>
      </c>
      <c r="AZ287" s="6">
        <v>59804784109751</v>
      </c>
      <c r="BA287" s="6">
        <v>587131141580667</v>
      </c>
      <c r="BB287" s="6">
        <v>508292874539838</v>
      </c>
      <c r="BC287" s="6">
        <v>577555541849894</v>
      </c>
      <c r="BD287" s="6">
        <v>539217814726219</v>
      </c>
      <c r="BE287" s="6">
        <v>542270784670163</v>
      </c>
      <c r="BF287" s="6">
        <v>539742550832767</v>
      </c>
      <c r="BG287" s="6">
        <v>543627910887418</v>
      </c>
      <c r="BH287" s="6">
        <v>518355135707262</v>
      </c>
      <c r="BI287" s="6">
        <v>496830633074109</v>
      </c>
      <c r="BJ287" s="6">
        <v>485222863462859</v>
      </c>
      <c r="BK287" s="6">
        <v>504722475718416</v>
      </c>
      <c r="BL287" s="6">
        <v>534755563994106</v>
      </c>
      <c r="BM287" s="6">
        <v>533394513305897</v>
      </c>
    </row>
    <row r="288" spans="1:65" x14ac:dyDescent="0.45">
      <c r="A288" s="1" t="s">
        <v>282</v>
      </c>
      <c r="B288" s="2">
        <v>4811730</v>
      </c>
      <c r="C288" s="3" t="s">
        <v>1160</v>
      </c>
      <c r="D288" s="3" t="s">
        <v>1161</v>
      </c>
      <c r="E288" s="3" t="s">
        <v>513</v>
      </c>
      <c r="F288" s="5">
        <v>301530592780398</v>
      </c>
      <c r="G288" s="5">
        <v>317699401407187</v>
      </c>
      <c r="H288" s="5">
        <v>287909891212165</v>
      </c>
      <c r="I288" s="5">
        <v>248829833806574</v>
      </c>
      <c r="J288" s="5">
        <v>270946169736397</v>
      </c>
      <c r="K288" s="5">
        <v>297824409196801</v>
      </c>
      <c r="L288" s="5">
        <v>249236906723415</v>
      </c>
      <c r="M288" s="5">
        <v>271889784430579</v>
      </c>
      <c r="N288" s="5">
        <v>27561178439943</v>
      </c>
      <c r="O288" s="5">
        <v>281045004058564</v>
      </c>
      <c r="P288" s="5">
        <v>286092556378766</v>
      </c>
      <c r="Q288" s="5">
        <v>302217392611411</v>
      </c>
      <c r="R288" s="5">
        <v>343027974613782</v>
      </c>
      <c r="S288" s="5">
        <v>308774609711291</v>
      </c>
      <c r="T288" s="5">
        <v>296050552392415</v>
      </c>
      <c r="U288" s="5">
        <v>274718514787773</v>
      </c>
      <c r="V288" s="5">
        <v>304116642353799</v>
      </c>
      <c r="W288" s="5">
        <v>287190408984207</v>
      </c>
      <c r="X288" s="5">
        <v>271878927409773</v>
      </c>
      <c r="Y288" s="5">
        <v>24838465841584</v>
      </c>
      <c r="Z288" s="5">
        <v>254608228231549</v>
      </c>
      <c r="AA288" s="5">
        <v>229628107425798</v>
      </c>
      <c r="AB288" s="5">
        <v>215919440483663</v>
      </c>
      <c r="AC288" s="5">
        <v>228970506433991</v>
      </c>
      <c r="AD288" s="5">
        <v>221691183301692</v>
      </c>
      <c r="AE288" s="5">
        <v>228960438478495</v>
      </c>
      <c r="AF288" s="5">
        <v>205267517346823</v>
      </c>
      <c r="AG288" s="5">
        <v>197147521963655</v>
      </c>
      <c r="AH288" s="5">
        <v>194660448085995</v>
      </c>
      <c r="AI288" s="5">
        <v>189458211347075</v>
      </c>
      <c r="AJ288" s="5">
        <v>171132889777034</v>
      </c>
      <c r="AK288" s="5">
        <v>1709633304162</v>
      </c>
      <c r="AL288" s="5">
        <v>157815119634401</v>
      </c>
      <c r="AM288" s="5">
        <v>15068497867332</v>
      </c>
      <c r="AN288" s="5">
        <v>153470504806655</v>
      </c>
      <c r="AO288" s="5">
        <v>166333435496884</v>
      </c>
      <c r="AP288" s="6">
        <v>6890885906058</v>
      </c>
      <c r="AQ288" s="6">
        <v>6334846984752</v>
      </c>
      <c r="AR288" s="6">
        <v>584171353192</v>
      </c>
      <c r="AS288" s="6">
        <v>6172141437612</v>
      </c>
      <c r="AT288" s="6">
        <v>5919634489088</v>
      </c>
      <c r="AU288" s="6">
        <v>575538617184</v>
      </c>
      <c r="AV288" s="6">
        <v>5137710389448</v>
      </c>
      <c r="AW288" s="6">
        <v>4498048320815</v>
      </c>
      <c r="AX288" s="6">
        <v>598082602432875</v>
      </c>
      <c r="AY288" s="6">
        <v>518088775644</v>
      </c>
      <c r="AZ288" s="6">
        <v>5005473427455</v>
      </c>
      <c r="BA288" s="6">
        <v>468596955456</v>
      </c>
      <c r="BB288" s="6">
        <v>4306206993</v>
      </c>
      <c r="BC288" s="6">
        <v>4947114828288</v>
      </c>
      <c r="BD288" s="6">
        <v>442565732016</v>
      </c>
      <c r="BE288" s="6">
        <v>45702148701987</v>
      </c>
      <c r="BF288" s="6">
        <v>54614413775985</v>
      </c>
      <c r="BG288" s="6">
        <v>47940644121</v>
      </c>
      <c r="BH288" s="6">
        <v>483335137467871</v>
      </c>
      <c r="BI288" s="6">
        <v>476943237694879</v>
      </c>
      <c r="BJ288" s="6">
        <v>408802440796376</v>
      </c>
      <c r="BK288" s="6">
        <v>396650470053569</v>
      </c>
      <c r="BL288" s="6">
        <v>398962323396</v>
      </c>
      <c r="BM288" s="6">
        <v>397568317048658</v>
      </c>
    </row>
    <row r="289" spans="1:65" x14ac:dyDescent="0.45">
      <c r="A289" s="1" t="s">
        <v>283</v>
      </c>
      <c r="B289" s="2">
        <v>4094582</v>
      </c>
      <c r="C289" s="3" t="s">
        <v>1162</v>
      </c>
      <c r="D289" s="3" t="s">
        <v>1163</v>
      </c>
      <c r="E289" s="3" t="s">
        <v>1105</v>
      </c>
      <c r="F289" s="5">
        <v>120482608311302</v>
      </c>
      <c r="G289" s="5">
        <v>1372609197081</v>
      </c>
      <c r="H289" s="5">
        <v>141406472388573</v>
      </c>
      <c r="I289" s="5">
        <v>11914319125855</v>
      </c>
      <c r="J289" s="5">
        <v>127397550141256</v>
      </c>
      <c r="K289" s="5">
        <v>136713745365919</v>
      </c>
      <c r="L289" s="5">
        <v>117989080859682</v>
      </c>
      <c r="M289" s="5">
        <v>138874022047636</v>
      </c>
      <c r="N289" s="5">
        <v>169531129012765</v>
      </c>
      <c r="O289" s="5">
        <v>164357334829936</v>
      </c>
      <c r="P289" s="5">
        <v>173210618865659</v>
      </c>
      <c r="Q289" s="5">
        <v>178863234993147</v>
      </c>
      <c r="R289" s="5">
        <v>185065547809515</v>
      </c>
      <c r="S289" s="5">
        <v>16467701215846</v>
      </c>
      <c r="T289" s="5">
        <v>196529938753959</v>
      </c>
      <c r="U289" s="5">
        <v>179403196972421</v>
      </c>
      <c r="V289" s="5">
        <v>173995747409093</v>
      </c>
      <c r="W289" s="5">
        <v>155194656539297</v>
      </c>
      <c r="X289" s="5">
        <v>176450647858831</v>
      </c>
      <c r="Y289" s="5">
        <v>172545125201585</v>
      </c>
      <c r="Z289" s="5">
        <v>16650191537403</v>
      </c>
      <c r="AA289" s="5">
        <v>160220424598811</v>
      </c>
      <c r="AB289" s="5">
        <v>154559700979244</v>
      </c>
      <c r="AC289" s="5">
        <v>116391066459222</v>
      </c>
      <c r="AD289" s="5">
        <v>127235871752581</v>
      </c>
      <c r="AE289" s="5">
        <v>116751273467657</v>
      </c>
      <c r="AF289" s="5">
        <v>870741517879087</v>
      </c>
      <c r="AG289" s="5">
        <v>91367017780464</v>
      </c>
      <c r="AH289" s="5">
        <v>928416818322</v>
      </c>
      <c r="AI289" s="5">
        <v>670905649238434</v>
      </c>
      <c r="AJ289" s="5">
        <v>736299021181248</v>
      </c>
      <c r="AK289" s="5">
        <v>762189496647516</v>
      </c>
      <c r="AL289" s="5">
        <v>758684511521264</v>
      </c>
      <c r="AM289" s="5">
        <v>5290515507004</v>
      </c>
      <c r="AN289" s="5">
        <v>109972446164231</v>
      </c>
      <c r="AO289" s="5">
        <v>144278635998671</v>
      </c>
      <c r="AP289" s="6">
        <v>30448593844318</v>
      </c>
      <c r="AQ289" s="6">
        <v>291921538025523</v>
      </c>
      <c r="AR289" s="6">
        <v>274369758951613</v>
      </c>
      <c r="AS289" s="6">
        <v>290130955144685</v>
      </c>
      <c r="AT289" s="6">
        <v>290653701487813</v>
      </c>
      <c r="AU289" s="6">
        <v>314873550844738</v>
      </c>
      <c r="AV289" s="6">
        <v>304912565974896</v>
      </c>
      <c r="AW289" s="6">
        <v>301655468279988</v>
      </c>
      <c r="AX289" s="6">
        <v>28914313749573</v>
      </c>
      <c r="AY289" s="6">
        <v>264137191140418</v>
      </c>
      <c r="AZ289" s="6">
        <v>304429785315058</v>
      </c>
      <c r="BA289" s="6">
        <v>276318726865801</v>
      </c>
      <c r="BB289" s="6">
        <v>237712077379118</v>
      </c>
      <c r="BC289" s="6">
        <v>291463600342979</v>
      </c>
      <c r="BD289" s="6">
        <v>257989486960117</v>
      </c>
      <c r="BE289" s="6">
        <v>277154420277155</v>
      </c>
      <c r="BF289" s="6">
        <v>289835594117806</v>
      </c>
      <c r="BG289" s="6">
        <v>288583138617231</v>
      </c>
      <c r="BH289" s="6">
        <v>276343345754962</v>
      </c>
      <c r="BI289" s="6">
        <v>246904406135553</v>
      </c>
      <c r="BJ289" s="6">
        <v>25628769043449</v>
      </c>
      <c r="BK289" s="6">
        <v>263508524664767</v>
      </c>
      <c r="BL289" s="6">
        <v>2939088318894</v>
      </c>
      <c r="BM289" s="6">
        <v>310606378228309</v>
      </c>
    </row>
    <row r="290" spans="1:65" x14ac:dyDescent="0.45">
      <c r="A290" s="1" t="s">
        <v>284</v>
      </c>
      <c r="B290" s="2">
        <v>4133448</v>
      </c>
      <c r="C290" s="3" t="s">
        <v>1164</v>
      </c>
      <c r="D290" s="3" t="s">
        <v>1165</v>
      </c>
      <c r="E290" s="3" t="s">
        <v>507</v>
      </c>
      <c r="F290" s="5">
        <v>361536812837768</v>
      </c>
      <c r="G290" s="5">
        <v>422354674956295</v>
      </c>
      <c r="H290" s="5">
        <v>344958212404391</v>
      </c>
      <c r="I290" s="5">
        <v>343857288204676</v>
      </c>
      <c r="J290" s="5">
        <v>357936414139512</v>
      </c>
      <c r="K290" s="5">
        <v>37298397856482</v>
      </c>
      <c r="L290" s="5">
        <v>308077196031264</v>
      </c>
      <c r="M290" s="5">
        <v>375492005746845</v>
      </c>
      <c r="N290" s="5">
        <v>343981900991761</v>
      </c>
      <c r="O290" s="5">
        <v>376077844680294</v>
      </c>
      <c r="P290" s="5">
        <v>348210683077926</v>
      </c>
      <c r="Q290" s="5">
        <v>383827065332705</v>
      </c>
      <c r="R290" s="5">
        <v>424763839533829</v>
      </c>
      <c r="S290" s="5">
        <v>410710284991163</v>
      </c>
      <c r="T290" s="5">
        <v>351171692915369</v>
      </c>
      <c r="U290" s="5">
        <v>362914610206104</v>
      </c>
      <c r="V290" s="5">
        <v>36533772820612</v>
      </c>
      <c r="W290" s="5">
        <v>33062987220023</v>
      </c>
      <c r="X290" s="5">
        <v>345444774910988</v>
      </c>
      <c r="Y290" s="5">
        <v>352246841842123</v>
      </c>
      <c r="Z290" s="5">
        <v>33640539589343</v>
      </c>
      <c r="AA290" s="5">
        <v>356092119084967</v>
      </c>
      <c r="AB290" s="5">
        <v>33967051553023</v>
      </c>
      <c r="AC290" s="5">
        <v>291953063053</v>
      </c>
      <c r="AD290" s="5">
        <v>293977505907781</v>
      </c>
      <c r="AE290" s="5">
        <v>292777661326579</v>
      </c>
      <c r="AF290" s="5">
        <v>227633380188592</v>
      </c>
      <c r="AG290" s="5">
        <v>220921370974802</v>
      </c>
      <c r="AH290" s="5">
        <v>231659734450358</v>
      </c>
      <c r="AI290" s="5">
        <v>217087320197358</v>
      </c>
      <c r="AJ290" s="5">
        <v>229578387292096</v>
      </c>
      <c r="AK290" s="5">
        <v>21189365312565</v>
      </c>
      <c r="AL290" s="5">
        <v>192095147899775</v>
      </c>
      <c r="AM290" s="5">
        <v>14779020213048</v>
      </c>
      <c r="AN290" s="5">
        <v>197577240260918</v>
      </c>
      <c r="AO290" s="5">
        <v>210125770414666</v>
      </c>
      <c r="AP290" s="6">
        <v>399313812755526</v>
      </c>
      <c r="AQ290" s="6">
        <v>388308961459528</v>
      </c>
      <c r="AR290" s="6">
        <v>374580050108</v>
      </c>
      <c r="AS290" s="6">
        <v>355411429956</v>
      </c>
      <c r="AT290" s="6">
        <v>370842095712</v>
      </c>
      <c r="AU290" s="6">
        <v>36436985508</v>
      </c>
      <c r="AV290" s="6">
        <v>325426459488</v>
      </c>
      <c r="AW290" s="6">
        <v>311060884608</v>
      </c>
      <c r="AX290" s="6">
        <v>3327164316</v>
      </c>
      <c r="AY290" s="6">
        <v>304647049531024</v>
      </c>
      <c r="AZ290" s="6">
        <v>290807893536</v>
      </c>
      <c r="BA290" s="6">
        <v>265146633986464</v>
      </c>
      <c r="BB290" s="6">
        <v>234358385865666</v>
      </c>
      <c r="BC290" s="6">
        <v>269192248433944</v>
      </c>
      <c r="BD290" s="6">
        <v>246277680530249</v>
      </c>
      <c r="BE290" s="6">
        <v>27616144776</v>
      </c>
      <c r="BF290" s="6">
        <v>29430595737</v>
      </c>
      <c r="BG290" s="6">
        <v>28060009476</v>
      </c>
      <c r="BH290" s="6">
        <v>280532806944</v>
      </c>
      <c r="BI290" s="6">
        <v>280745648991</v>
      </c>
      <c r="BJ290" s="6">
        <v>25778702276</v>
      </c>
      <c r="BK290" s="6">
        <v>250675449554273</v>
      </c>
      <c r="BL290" s="6">
        <v>26118538992</v>
      </c>
      <c r="BM290" s="6">
        <v>248550356691</v>
      </c>
    </row>
    <row r="291" spans="1:65" x14ac:dyDescent="0.45">
      <c r="A291" s="1" t="s">
        <v>285</v>
      </c>
      <c r="B291" s="2">
        <v>4133530</v>
      </c>
      <c r="C291" s="3" t="s">
        <v>1166</v>
      </c>
      <c r="D291" s="3" t="s">
        <v>1167</v>
      </c>
      <c r="E291" s="3" t="s">
        <v>507</v>
      </c>
      <c r="F291" s="5">
        <v>510302747073259</v>
      </c>
      <c r="G291" s="5">
        <v>607762082209117</v>
      </c>
      <c r="H291" s="5">
        <v>594804391648567</v>
      </c>
      <c r="I291" s="5">
        <v>563618677950338</v>
      </c>
      <c r="J291" s="5">
        <v>619180313252578</v>
      </c>
      <c r="K291" s="5">
        <v>669030414758148</v>
      </c>
      <c r="L291" s="5">
        <v>590502903316547</v>
      </c>
      <c r="M291" s="5">
        <v>768560078999323</v>
      </c>
      <c r="N291" s="5">
        <v>722544772656118</v>
      </c>
      <c r="O291" s="5">
        <v>782968587788554</v>
      </c>
      <c r="P291" s="5">
        <v>886077723521913</v>
      </c>
      <c r="Q291" s="5">
        <v>822483633032842</v>
      </c>
      <c r="R291" s="5">
        <v>917495139965445</v>
      </c>
      <c r="S291" s="5">
        <v>833652103497024</v>
      </c>
      <c r="T291" s="5">
        <v>668463593758078</v>
      </c>
      <c r="U291" s="5">
        <v>689428861778966</v>
      </c>
      <c r="V291" s="5">
        <v>702905212615584</v>
      </c>
      <c r="W291" s="5">
        <v>736242152787864</v>
      </c>
      <c r="X291" s="5">
        <v>80374244114846</v>
      </c>
      <c r="Y291" s="5">
        <v>774190203007341</v>
      </c>
      <c r="Z291" s="5">
        <v>802372732968099</v>
      </c>
      <c r="AA291" s="5">
        <v>840736664875406</v>
      </c>
      <c r="AB291" s="5">
        <v>846269893742711</v>
      </c>
      <c r="AC291" s="5">
        <v>721306244838284</v>
      </c>
      <c r="AD291" s="5">
        <v>686448178454147</v>
      </c>
      <c r="AE291" s="5">
        <v>596955204114213</v>
      </c>
      <c r="AF291" s="5">
        <v>480875681988404</v>
      </c>
      <c r="AG291" s="5">
        <v>444300909895442</v>
      </c>
      <c r="AH291" s="5">
        <v>422947285953923</v>
      </c>
      <c r="AI291" s="5">
        <v>47008002404541</v>
      </c>
      <c r="AJ291" s="5">
        <v>508622566391332</v>
      </c>
      <c r="AK291" s="5">
        <v>479297059769403</v>
      </c>
      <c r="AL291" s="5">
        <v>486873315329715</v>
      </c>
      <c r="AM291" s="5">
        <v>425684745052476</v>
      </c>
      <c r="AN291" s="5">
        <v>530917664785996</v>
      </c>
      <c r="AO291" s="5">
        <v>531966018376377</v>
      </c>
      <c r="AP291" s="6">
        <v>737320417060676</v>
      </c>
      <c r="AQ291" s="6">
        <v>72688071961359</v>
      </c>
      <c r="AR291" s="6">
        <v>682782479243267</v>
      </c>
      <c r="AS291" s="6">
        <v>646772004661574</v>
      </c>
      <c r="AT291" s="6">
        <v>623468819774317</v>
      </c>
      <c r="AU291" s="6">
        <v>673518940360638</v>
      </c>
      <c r="AV291" s="6">
        <v>647664139169785</v>
      </c>
      <c r="AW291" s="6">
        <v>614066062789304</v>
      </c>
      <c r="AX291" s="6">
        <v>726268594274869</v>
      </c>
      <c r="AY291" s="6">
        <v>642507542767134</v>
      </c>
      <c r="AZ291" s="6">
        <v>629904175012217</v>
      </c>
      <c r="BA291" s="6" t="s">
        <v>1576</v>
      </c>
      <c r="BB291" s="6">
        <v>597031334118176</v>
      </c>
      <c r="BC291" s="6">
        <v>674390943954382</v>
      </c>
      <c r="BD291" s="6">
        <v>703858811827825</v>
      </c>
      <c r="BE291" s="6">
        <v>699360552031155</v>
      </c>
      <c r="BF291" s="6">
        <v>733981472040399</v>
      </c>
      <c r="BG291" s="6">
        <v>764814822815453</v>
      </c>
      <c r="BH291" s="6">
        <v>719195565354511</v>
      </c>
      <c r="BI291" s="6">
        <v>761301882595092</v>
      </c>
      <c r="BJ291" s="6">
        <v>758392839942066</v>
      </c>
      <c r="BK291" s="6">
        <v>786267068876575</v>
      </c>
      <c r="BL291" s="6">
        <v>822105931830674</v>
      </c>
      <c r="BM291" s="6">
        <v>8128345446</v>
      </c>
    </row>
    <row r="292" spans="1:65" x14ac:dyDescent="0.45">
      <c r="A292" s="1" t="s">
        <v>286</v>
      </c>
      <c r="B292" s="2">
        <v>4004214</v>
      </c>
      <c r="C292" s="3" t="s">
        <v>1168</v>
      </c>
      <c r="D292" s="3" t="s">
        <v>1169</v>
      </c>
      <c r="E292" s="3" t="s">
        <v>795</v>
      </c>
      <c r="F292" s="5">
        <v>167323598093954</v>
      </c>
      <c r="G292" s="5">
        <v>184430566933797</v>
      </c>
      <c r="H292" s="5">
        <v>174996044833208</v>
      </c>
      <c r="I292" s="5">
        <v>177133448872518</v>
      </c>
      <c r="J292" s="5">
        <v>193616988135866</v>
      </c>
      <c r="K292" s="5">
        <v>205269148428803</v>
      </c>
      <c r="L292" s="5">
        <v>183747562058736</v>
      </c>
      <c r="M292" s="5">
        <v>189526198867424</v>
      </c>
      <c r="N292" s="5">
        <v>196951907244075</v>
      </c>
      <c r="O292" s="5">
        <v>20806852713527</v>
      </c>
      <c r="P292" s="5">
        <v>19947099551797</v>
      </c>
      <c r="Q292" s="5">
        <v>208145206584468</v>
      </c>
      <c r="R292" s="5">
        <v>22203063461869</v>
      </c>
      <c r="S292" s="5">
        <v>220208651981999</v>
      </c>
      <c r="T292" s="5">
        <v>215317599144101</v>
      </c>
      <c r="U292" s="5">
        <v>182792647574088</v>
      </c>
      <c r="V292" s="5">
        <v>192195399741845</v>
      </c>
      <c r="W292" s="5">
        <v>180492004198925</v>
      </c>
      <c r="X292" s="5">
        <v>17207920105833</v>
      </c>
      <c r="Y292" s="5">
        <v>154293673955976</v>
      </c>
      <c r="Z292" s="5">
        <v>157889845653643</v>
      </c>
      <c r="AA292" s="5">
        <v>151505043610052</v>
      </c>
      <c r="AB292" s="5">
        <v>144857357259666</v>
      </c>
      <c r="AC292" s="5">
        <v>144123181384031</v>
      </c>
      <c r="AD292" s="5">
        <v>137471250722492</v>
      </c>
      <c r="AE292" s="5">
        <v>135417834382254</v>
      </c>
      <c r="AF292" s="5">
        <v>131355684232955</v>
      </c>
      <c r="AG292" s="5">
        <v>135549550265268</v>
      </c>
      <c r="AH292" s="5">
        <v>142768195911916</v>
      </c>
      <c r="AI292" s="5">
        <v>131143605969114</v>
      </c>
      <c r="AJ292" s="5">
        <v>137138164465907</v>
      </c>
      <c r="AK292" s="5">
        <v>125000405002384</v>
      </c>
      <c r="AL292" s="5">
        <v>124228779340436</v>
      </c>
      <c r="AM292" s="5">
        <v>109159020329186</v>
      </c>
      <c r="AN292" s="5">
        <v>112049008626873</v>
      </c>
      <c r="AO292" s="5">
        <v>116788919902609</v>
      </c>
      <c r="AP292" s="6">
        <v>246024576303322</v>
      </c>
      <c r="AQ292" s="6">
        <v>260159157651585</v>
      </c>
      <c r="AR292" s="6">
        <v>255643068971395</v>
      </c>
      <c r="AS292" s="6">
        <v>260298272329108</v>
      </c>
      <c r="AT292" s="6">
        <v>27231131334197</v>
      </c>
      <c r="AU292" s="6">
        <v>245726707374</v>
      </c>
      <c r="AV292" s="6">
        <v>2414541377196</v>
      </c>
      <c r="AW292" s="6">
        <v>2216757469455</v>
      </c>
      <c r="AX292" s="6">
        <v>212662827575194</v>
      </c>
      <c r="AY292" s="6">
        <v>205727181152447</v>
      </c>
      <c r="AZ292" s="6">
        <v>205943064983295</v>
      </c>
      <c r="BA292" s="6">
        <v>166900515807992</v>
      </c>
      <c r="BB292" s="6">
        <v>164306155993844</v>
      </c>
      <c r="BC292" s="6">
        <v>1895615045856</v>
      </c>
      <c r="BD292" s="6">
        <v>175705348018498</v>
      </c>
      <c r="BE292" s="6">
        <v>181757474556779</v>
      </c>
      <c r="BF292" s="6">
        <v>179438101055341</v>
      </c>
      <c r="BG292" s="6">
        <v>16805457513971</v>
      </c>
      <c r="BH292" s="6">
        <v>16171488704734</v>
      </c>
      <c r="BI292" s="6">
        <v>149270666979647</v>
      </c>
      <c r="BJ292" s="6">
        <v>147080148649756</v>
      </c>
      <c r="BK292" s="6">
        <v>138459765426512</v>
      </c>
      <c r="BL292" s="6">
        <v>140235681047962</v>
      </c>
      <c r="BM292" s="6">
        <v>129710321608537</v>
      </c>
    </row>
    <row r="293" spans="1:65" x14ac:dyDescent="0.45">
      <c r="A293" s="1" t="s">
        <v>287</v>
      </c>
      <c r="B293" s="2">
        <v>103123</v>
      </c>
      <c r="C293" s="3" t="s">
        <v>1170</v>
      </c>
      <c r="D293" s="3" t="s">
        <v>1170</v>
      </c>
      <c r="E293" s="3" t="s">
        <v>623</v>
      </c>
      <c r="F293" s="5">
        <v>169630592631308</v>
      </c>
      <c r="G293" s="5">
        <v>184629432507864</v>
      </c>
      <c r="H293" s="5">
        <v>183873114623703</v>
      </c>
      <c r="I293" s="5">
        <v>182555414518692</v>
      </c>
      <c r="J293" s="5">
        <v>189889655632282</v>
      </c>
      <c r="K293" s="5">
        <v>210202213637197</v>
      </c>
      <c r="L293" s="5">
        <v>192867204266231</v>
      </c>
      <c r="M293" s="5">
        <v>194738029510206</v>
      </c>
      <c r="N293" s="5">
        <v>215422139389731</v>
      </c>
      <c r="O293" s="5">
        <v>21747191930256</v>
      </c>
      <c r="P293" s="5">
        <v>210157354694455</v>
      </c>
      <c r="Q293" s="5">
        <v>21245772859973</v>
      </c>
      <c r="R293" s="5">
        <v>232287642738452</v>
      </c>
      <c r="S293" s="5">
        <v>21068586034155</v>
      </c>
      <c r="T293" s="5">
        <v>20333520873565</v>
      </c>
      <c r="U293" s="5">
        <v>186940463900238</v>
      </c>
      <c r="V293" s="5">
        <v>189084470291626</v>
      </c>
      <c r="W293" s="5">
        <v>187070441389026</v>
      </c>
      <c r="X293" s="5">
        <v>162623242336236</v>
      </c>
      <c r="Y293" s="5">
        <v>150955804879104</v>
      </c>
      <c r="Z293" s="5">
        <v>149735466206223</v>
      </c>
      <c r="AA293" s="5">
        <v>140692875501686</v>
      </c>
      <c r="AB293" s="5">
        <v>127377524804779</v>
      </c>
      <c r="AC293" s="5">
        <v>125074197369234</v>
      </c>
      <c r="AD293" s="5">
        <v>118451756367639</v>
      </c>
      <c r="AE293" s="5">
        <v>120726568497225</v>
      </c>
      <c r="AF293" s="5">
        <v>114461540020318</v>
      </c>
      <c r="AG293" s="5">
        <v>112927655271331</v>
      </c>
      <c r="AH293" s="5">
        <v>112044595792886</v>
      </c>
      <c r="AI293" s="5">
        <v>115224436775703</v>
      </c>
      <c r="AJ293" s="5">
        <v>116518965458687</v>
      </c>
      <c r="AK293" s="5">
        <v>119686558360348</v>
      </c>
      <c r="AL293" s="5">
        <v>116915030217894</v>
      </c>
      <c r="AM293" s="5">
        <v>107137792438222</v>
      </c>
      <c r="AN293" s="5">
        <v>134310183999309</v>
      </c>
      <c r="AO293" s="5">
        <v>1413959944474</v>
      </c>
      <c r="AP293" s="6">
        <v>194881101373195</v>
      </c>
      <c r="AQ293" s="6">
        <v>199266096877359</v>
      </c>
      <c r="AR293" s="6">
        <v>178244236080515</v>
      </c>
      <c r="AS293" s="6">
        <v>169141914805207</v>
      </c>
      <c r="AT293" s="6">
        <v>180683857251335</v>
      </c>
      <c r="AU293" s="6">
        <v>172892774646875</v>
      </c>
      <c r="AV293" s="6">
        <v>17769702864015</v>
      </c>
      <c r="AW293" s="6">
        <v>167131095445498</v>
      </c>
      <c r="AX293" s="6">
        <v>170305943620375</v>
      </c>
      <c r="AY293" s="6">
        <v>149998758359987</v>
      </c>
      <c r="AZ293" s="6">
        <v>136774603879124</v>
      </c>
      <c r="BA293" s="6">
        <v>130857057888649</v>
      </c>
      <c r="BB293" s="6">
        <v>113355820556724</v>
      </c>
      <c r="BC293" s="6">
        <v>122138440925046</v>
      </c>
      <c r="BD293" s="6">
        <v>118024038091563</v>
      </c>
      <c r="BE293" s="6">
        <v>135644982571955</v>
      </c>
      <c r="BF293" s="6">
        <v>13795215328977</v>
      </c>
      <c r="BG293" s="6">
        <v>126422817182142</v>
      </c>
      <c r="BH293" s="6">
        <v>126227585138073</v>
      </c>
      <c r="BI293" s="6">
        <v>124132163495872</v>
      </c>
      <c r="BJ293" s="6">
        <v>111527553923471</v>
      </c>
      <c r="BK293" s="6">
        <v>109244498654897</v>
      </c>
      <c r="BL293" s="6">
        <v>104249781983693</v>
      </c>
      <c r="BM293" s="6">
        <v>100811351202545</v>
      </c>
    </row>
    <row r="294" spans="1:65" x14ac:dyDescent="0.45">
      <c r="A294" s="1" t="s">
        <v>288</v>
      </c>
      <c r="B294" s="2">
        <v>4430411</v>
      </c>
      <c r="C294" s="3" t="s">
        <v>1171</v>
      </c>
      <c r="D294" s="3" t="s">
        <v>1172</v>
      </c>
      <c r="E294" s="3" t="s">
        <v>498</v>
      </c>
      <c r="F294" s="5">
        <v>645693781591535</v>
      </c>
      <c r="G294" s="5">
        <v>655334763568458</v>
      </c>
      <c r="H294" s="5">
        <v>594735694596996</v>
      </c>
      <c r="I294" s="5">
        <v>471752811303444</v>
      </c>
      <c r="J294" s="5">
        <v>513765815427174</v>
      </c>
      <c r="K294" s="5">
        <v>639890993052972</v>
      </c>
      <c r="L294" s="5">
        <v>543539613035003</v>
      </c>
      <c r="M294" s="5">
        <v>538813366834891</v>
      </c>
      <c r="N294" s="5">
        <v>514018629289762</v>
      </c>
      <c r="O294" s="5">
        <v>624957210198256</v>
      </c>
      <c r="P294" s="5">
        <v>551052893234688</v>
      </c>
      <c r="Q294" s="5">
        <v>612949772336893</v>
      </c>
      <c r="R294" s="5">
        <v>905468591137576</v>
      </c>
      <c r="S294" s="5">
        <v>126774294137501</v>
      </c>
      <c r="T294" s="5">
        <v>120503604462502</v>
      </c>
      <c r="U294" s="5">
        <v>134033667382217</v>
      </c>
      <c r="V294" s="5">
        <v>12881636119524</v>
      </c>
      <c r="W294" s="5">
        <v>119689330678507</v>
      </c>
      <c r="X294" s="5">
        <v>795756332812662</v>
      </c>
      <c r="Y294" s="5">
        <v>609522014472912</v>
      </c>
      <c r="Z294" s="5">
        <v>595393267883865</v>
      </c>
      <c r="AA294" s="5">
        <v>446863771123578</v>
      </c>
      <c r="AB294" s="5">
        <v>511507039097556</v>
      </c>
      <c r="AC294" s="5">
        <v>564477330758468</v>
      </c>
      <c r="AD294" s="5">
        <v>337953148421936</v>
      </c>
      <c r="AE294" s="5">
        <v>505707850949236</v>
      </c>
      <c r="AF294" s="5">
        <v>229100350090507</v>
      </c>
      <c r="AG294" s="5">
        <v>237741340437964</v>
      </c>
      <c r="AH294" s="5">
        <v>214183657011832</v>
      </c>
      <c r="AI294" s="5">
        <v>243546554495615</v>
      </c>
      <c r="AJ294" s="5">
        <v>221851255982482</v>
      </c>
      <c r="AK294" s="5">
        <v>215094445939013</v>
      </c>
      <c r="AL294" s="5">
        <v>154975332823015</v>
      </c>
      <c r="AM294" s="5">
        <v>10047168324466</v>
      </c>
      <c r="AN294" s="5">
        <v>869190892448365</v>
      </c>
      <c r="AO294" s="5">
        <v>61651337925023</v>
      </c>
      <c r="AP294" s="6">
        <v>156435309145426</v>
      </c>
      <c r="AQ294" s="6">
        <v>155910238530019</v>
      </c>
      <c r="AR294" s="6">
        <v>147401572394965</v>
      </c>
      <c r="AS294" s="6">
        <v>150053404123385</v>
      </c>
      <c r="AT294" s="6">
        <v>14949452773632</v>
      </c>
      <c r="AU294" s="6">
        <v>143480957015014</v>
      </c>
      <c r="AV294" s="6">
        <v>140043831449817</v>
      </c>
      <c r="AW294" s="6">
        <v>134739545344259</v>
      </c>
      <c r="AX294" s="6">
        <v>136119006928965</v>
      </c>
      <c r="AY294" s="6">
        <v>128948337266472</v>
      </c>
      <c r="AZ294" s="6">
        <v>133010309947817</v>
      </c>
      <c r="BA294" s="6">
        <v>12601559658503</v>
      </c>
      <c r="BB294" s="6">
        <v>116808294250902</v>
      </c>
      <c r="BC294" s="6">
        <v>132237611185674</v>
      </c>
      <c r="BD294" s="6">
        <v>126027144438372</v>
      </c>
      <c r="BE294" s="6">
        <v>121486340954464</v>
      </c>
      <c r="BF294" s="6">
        <v>135261459370868</v>
      </c>
      <c r="BG294" s="6">
        <v>130402443443721</v>
      </c>
      <c r="BH294" s="6">
        <v>130613184067169</v>
      </c>
      <c r="BI294" s="6">
        <v>131549537951978</v>
      </c>
      <c r="BJ294" s="6">
        <v>122115795931054</v>
      </c>
      <c r="BK294" s="6">
        <v>1167818090276</v>
      </c>
      <c r="BL294" s="6">
        <v>110153622040197</v>
      </c>
      <c r="BM294" s="6">
        <v>108119467329629</v>
      </c>
    </row>
    <row r="295" spans="1:65" x14ac:dyDescent="0.45">
      <c r="A295" s="1" t="s">
        <v>289</v>
      </c>
      <c r="B295" s="2">
        <v>4209632</v>
      </c>
      <c r="C295" s="3" t="s">
        <v>1173</v>
      </c>
      <c r="D295" s="3" t="s">
        <v>1174</v>
      </c>
      <c r="E295" s="3" t="s">
        <v>1175</v>
      </c>
      <c r="F295" s="5">
        <v>104983880817509</v>
      </c>
      <c r="G295" s="5">
        <v>116147171377588</v>
      </c>
      <c r="H295" s="5">
        <v>110885745244501</v>
      </c>
      <c r="I295" s="5">
        <v>106420789460183</v>
      </c>
      <c r="J295" s="5">
        <v>111441770223623</v>
      </c>
      <c r="K295" s="5">
        <v>127111567207344</v>
      </c>
      <c r="L295" s="5">
        <v>113208891292703</v>
      </c>
      <c r="M295" s="5">
        <v>112928298303154</v>
      </c>
      <c r="N295" s="5">
        <v>111537607297971</v>
      </c>
      <c r="O295" s="5">
        <v>104386284028753</v>
      </c>
      <c r="P295" s="5">
        <v>101093859704804</v>
      </c>
      <c r="Q295" s="5">
        <v>925860607248211</v>
      </c>
      <c r="R295" s="5">
        <v>88689760394701</v>
      </c>
      <c r="S295" s="5">
        <v>857489910858072</v>
      </c>
      <c r="T295" s="5">
        <v>829946468082527</v>
      </c>
      <c r="U295" s="5">
        <v>870089171002193</v>
      </c>
      <c r="V295" s="5">
        <v>876512896038444</v>
      </c>
      <c r="W295" s="5">
        <v>897300371871831</v>
      </c>
      <c r="X295" s="5">
        <v>983221688070818</v>
      </c>
      <c r="Y295" s="5">
        <v>10373664448628</v>
      </c>
      <c r="Z295" s="5">
        <v>991099620815136</v>
      </c>
      <c r="AA295" s="5">
        <v>94549998197376</v>
      </c>
      <c r="AB295" s="5">
        <v>79768757412396</v>
      </c>
      <c r="AC295" s="5">
        <v>897030816579853</v>
      </c>
      <c r="AD295" s="5">
        <v>80414835249663</v>
      </c>
      <c r="AE295" s="5">
        <v>835780109613174</v>
      </c>
      <c r="AF295" s="5">
        <v>657480927282602</v>
      </c>
      <c r="AG295" s="5">
        <v>623388144380579</v>
      </c>
      <c r="AH295" s="5">
        <v>6854118176948</v>
      </c>
      <c r="AI295" s="5">
        <v>691108466349949</v>
      </c>
      <c r="AJ295" s="5">
        <v>666343023294288</v>
      </c>
      <c r="AK295" s="5">
        <v>74443500472729</v>
      </c>
      <c r="AL295" s="5">
        <v>817184388214943</v>
      </c>
      <c r="AM295" s="5">
        <v>769322382128555</v>
      </c>
      <c r="AN295" s="5">
        <v>979455354690305</v>
      </c>
      <c r="AO295" s="5">
        <v>108639883442798</v>
      </c>
      <c r="AP295" s="6">
        <v>126599301673709</v>
      </c>
      <c r="AQ295" s="6">
        <v>125504977556297</v>
      </c>
      <c r="AR295" s="6">
        <v>11926544110957</v>
      </c>
      <c r="AS295" s="6">
        <v>11457136212357</v>
      </c>
      <c r="AT295" s="6">
        <v>103958632533807</v>
      </c>
      <c r="AU295" s="6">
        <v>126139495992906</v>
      </c>
      <c r="AV295" s="6">
        <v>130144734226265</v>
      </c>
      <c r="AW295" s="6">
        <v>131164149577614</v>
      </c>
      <c r="AX295" s="6">
        <v>160579597600354</v>
      </c>
      <c r="AY295" s="6">
        <v>15258580236308</v>
      </c>
      <c r="AZ295" s="6">
        <v>14139828997256</v>
      </c>
      <c r="BA295" s="6">
        <v>14022796286554</v>
      </c>
      <c r="BB295" s="6">
        <v>131272328769084</v>
      </c>
      <c r="BC295" s="6">
        <v>148762801311598</v>
      </c>
      <c r="BD295" s="6">
        <v>179791941653906</v>
      </c>
      <c r="BE295" s="6">
        <v>191665411263958</v>
      </c>
      <c r="BF295" s="6">
        <v>193898467976974</v>
      </c>
      <c r="BG295" s="6">
        <v>173250020970475</v>
      </c>
      <c r="BH295" s="6">
        <v>17702020569</v>
      </c>
      <c r="BI295" s="6">
        <v>156997519904373</v>
      </c>
      <c r="BJ295" s="6">
        <v>147736750068536</v>
      </c>
      <c r="BK295" s="6">
        <v>134406930897221</v>
      </c>
      <c r="BL295" s="6">
        <v>132864076549386</v>
      </c>
      <c r="BM295" s="6">
        <v>131901461282713</v>
      </c>
    </row>
    <row r="296" spans="1:65" x14ac:dyDescent="0.45">
      <c r="A296" s="1" t="s">
        <v>290</v>
      </c>
      <c r="B296" s="2">
        <v>4060931</v>
      </c>
      <c r="C296" s="3" t="s">
        <v>1176</v>
      </c>
      <c r="D296" s="3" t="s">
        <v>1177</v>
      </c>
      <c r="E296" s="3" t="s">
        <v>768</v>
      </c>
      <c r="F296" s="5">
        <v>851659857084077</v>
      </c>
      <c r="G296" s="5">
        <v>895318844659058</v>
      </c>
      <c r="H296" s="5">
        <v>852145697995278</v>
      </c>
      <c r="I296" s="5">
        <v>766360731473107</v>
      </c>
      <c r="J296" s="5">
        <v>841812588899537</v>
      </c>
      <c r="K296" s="5">
        <v>860507412205402</v>
      </c>
      <c r="L296" s="5">
        <v>821985509961878</v>
      </c>
      <c r="M296" s="5">
        <v>819895536171304</v>
      </c>
      <c r="N296" s="5">
        <v>846754670664215</v>
      </c>
      <c r="O296" s="5">
        <v>784607429890085</v>
      </c>
      <c r="P296" s="5">
        <v>809533249459574</v>
      </c>
      <c r="Q296" s="5">
        <v>834812479367067</v>
      </c>
      <c r="R296" s="5">
        <v>813357794027185</v>
      </c>
      <c r="S296" s="5">
        <v>72945280098583</v>
      </c>
      <c r="T296" s="5">
        <v>734244875506667</v>
      </c>
      <c r="U296" s="5">
        <v>701672262497509</v>
      </c>
      <c r="V296" s="5">
        <v>735052143036349</v>
      </c>
      <c r="W296" s="5">
        <v>745430602074437</v>
      </c>
      <c r="X296" s="5">
        <v>754492894763207</v>
      </c>
      <c r="Y296" s="5">
        <v>732224899818208</v>
      </c>
      <c r="Z296" s="5">
        <v>710100529474861</v>
      </c>
      <c r="AA296" s="5">
        <v>70418707497806</v>
      </c>
      <c r="AB296" s="5">
        <v>620437102289977</v>
      </c>
      <c r="AC296" s="5">
        <v>653176385857971</v>
      </c>
      <c r="AD296" s="5">
        <v>683606716952587</v>
      </c>
      <c r="AE296" s="5">
        <v>687456572094306</v>
      </c>
      <c r="AF296" s="5">
        <v>651069069042376</v>
      </c>
      <c r="AG296" s="5">
        <v>698806250439605</v>
      </c>
      <c r="AH296" s="5">
        <v>698005095462455</v>
      </c>
      <c r="AI296" s="5">
        <v>669972055771458</v>
      </c>
      <c r="AJ296" s="5">
        <v>648555706336673</v>
      </c>
      <c r="AK296" s="5">
        <v>669222845068403</v>
      </c>
      <c r="AL296" s="5">
        <v>671212216083769</v>
      </c>
      <c r="AM296" s="5">
        <v>653032250238368</v>
      </c>
      <c r="AN296" s="5">
        <v>687970839787862</v>
      </c>
      <c r="AO296" s="5">
        <v>74520644411998</v>
      </c>
      <c r="AP296" s="6">
        <v>12636240839428</v>
      </c>
      <c r="AQ296" s="6">
        <v>125158176681601</v>
      </c>
      <c r="AR296" s="6">
        <v>112996745045724</v>
      </c>
      <c r="AS296" s="6">
        <v>107459698654922</v>
      </c>
      <c r="AT296" s="6">
        <v>116935845697355</v>
      </c>
      <c r="AU296" s="6">
        <v>127062535250656</v>
      </c>
      <c r="AV296" s="6">
        <v>141134957599882</v>
      </c>
      <c r="AW296" s="6">
        <v>134644721209405</v>
      </c>
      <c r="AX296" s="6">
        <v>144591677135773</v>
      </c>
      <c r="AY296" s="6">
        <v>138705173809971</v>
      </c>
      <c r="AZ296" s="6">
        <v>137287385356003</v>
      </c>
      <c r="BA296" s="6">
        <v>12940062027395</v>
      </c>
      <c r="BB296" s="6">
        <v>101945440025869</v>
      </c>
      <c r="BC296" s="6">
        <v>11020304606381</v>
      </c>
      <c r="BD296" s="6">
        <v>116270128270437</v>
      </c>
      <c r="BE296" s="6">
        <v>140223278458701</v>
      </c>
      <c r="BF296" s="6">
        <v>137933916800182</v>
      </c>
      <c r="BG296" s="6">
        <v>125564617910693</v>
      </c>
      <c r="BH296" s="6">
        <v>145837029243387</v>
      </c>
      <c r="BI296" s="6">
        <v>131089070041572</v>
      </c>
      <c r="BJ296" s="6">
        <v>112489467431093</v>
      </c>
      <c r="BK296" s="6">
        <v>104225142514104</v>
      </c>
      <c r="BL296" s="6">
        <v>103557556201701</v>
      </c>
      <c r="BM296" s="6">
        <v>942944706557724</v>
      </c>
    </row>
    <row r="297" spans="1:65" x14ac:dyDescent="0.45">
      <c r="A297" s="1" t="s">
        <v>291</v>
      </c>
      <c r="B297" s="2">
        <v>4967353</v>
      </c>
      <c r="C297" s="3" t="s">
        <v>1178</v>
      </c>
      <c r="D297" s="3" t="s">
        <v>1179</v>
      </c>
      <c r="E297" s="3" t="s">
        <v>507</v>
      </c>
      <c r="F297" s="5">
        <v>15531834592134</v>
      </c>
      <c r="G297" s="5">
        <v>17386688340504</v>
      </c>
      <c r="H297" s="5">
        <v>16114178033685</v>
      </c>
      <c r="I297" s="5">
        <v>1733978442748</v>
      </c>
      <c r="J297" s="5">
        <v>21053291762958</v>
      </c>
      <c r="K297" s="5">
        <v>21251086634784</v>
      </c>
      <c r="L297" s="5">
        <v>17135363166952</v>
      </c>
      <c r="M297" s="5">
        <v>19581128751717</v>
      </c>
      <c r="N297" s="5">
        <v>17310488692824</v>
      </c>
      <c r="O297" s="5">
        <v>20334159706224</v>
      </c>
      <c r="P297" s="5">
        <v>1899764052615</v>
      </c>
      <c r="Q297" s="5">
        <v>16581307023072</v>
      </c>
      <c r="R297" s="5">
        <v>19994455185417</v>
      </c>
      <c r="S297" s="5">
        <v>22633032515216</v>
      </c>
      <c r="T297" s="5">
        <v>20944571188528</v>
      </c>
      <c r="U297" s="5">
        <v>1920291303168</v>
      </c>
      <c r="V297" s="5">
        <v>1925447164032</v>
      </c>
      <c r="W297" s="5">
        <v>1738997000706</v>
      </c>
      <c r="X297" s="5">
        <v>1441103351842</v>
      </c>
      <c r="Y297" s="5">
        <v>1288112178984</v>
      </c>
      <c r="Z297" s="5">
        <v>13740089727978</v>
      </c>
      <c r="AA297" s="5">
        <v>1372895198532</v>
      </c>
      <c r="AB297" s="5">
        <v>1401198248826</v>
      </c>
      <c r="AC297" s="5">
        <v>13199346316494</v>
      </c>
      <c r="AD297" s="5">
        <v>13501727248425</v>
      </c>
      <c r="AE297" s="5">
        <v>12072941861604</v>
      </c>
      <c r="AF297" s="5">
        <v>1236752208096</v>
      </c>
      <c r="AG297" s="5">
        <v>10694498338788</v>
      </c>
      <c r="AH297" s="5">
        <v>10036000505685</v>
      </c>
      <c r="AI297" s="5">
        <v>10060645732183</v>
      </c>
      <c r="AJ297" s="5">
        <v>9422163468</v>
      </c>
      <c r="AK297" s="5">
        <v>84411013925</v>
      </c>
      <c r="AL297" s="5">
        <v>8171117641665</v>
      </c>
      <c r="AM297" s="5">
        <v>67968363372</v>
      </c>
      <c r="AN297" s="5">
        <v>6433898801904</v>
      </c>
      <c r="AO297" s="5">
        <v>670677917426</v>
      </c>
      <c r="AP297" s="6">
        <v>317424304760994</v>
      </c>
      <c r="AQ297" s="6">
        <v>285728865011712</v>
      </c>
      <c r="AR297" s="6">
        <v>292144068901385</v>
      </c>
      <c r="AS297" s="6">
        <v>285051069031882</v>
      </c>
      <c r="AT297" s="6">
        <v>297276867018314</v>
      </c>
      <c r="AU297" s="6">
        <v>269033564563665</v>
      </c>
      <c r="AV297" s="6">
        <v>277097069932837</v>
      </c>
      <c r="AW297" s="6">
        <v>243308523241514</v>
      </c>
      <c r="AX297" s="6">
        <v>227211011520118</v>
      </c>
      <c r="AY297" s="6">
        <v>169767451684561</v>
      </c>
      <c r="AZ297" s="6">
        <v>159591877930115</v>
      </c>
      <c r="BA297" s="6">
        <v>15861661791727</v>
      </c>
      <c r="BB297" s="6">
        <v>161200616046347</v>
      </c>
      <c r="BC297" s="6">
        <v>152142079023729</v>
      </c>
      <c r="BD297" s="6">
        <v>14551116229663</v>
      </c>
      <c r="BE297" s="6">
        <v>138647079426916</v>
      </c>
      <c r="BF297" s="6">
        <v>142589989531189</v>
      </c>
      <c r="BG297" s="6">
        <v>16718348492343</v>
      </c>
      <c r="BH297" s="6">
        <v>172429425692649</v>
      </c>
      <c r="BI297" s="6">
        <v>178132502027309</v>
      </c>
      <c r="BJ297" s="6">
        <v>173596357843792</v>
      </c>
      <c r="BK297" s="6">
        <v>169573008333754</v>
      </c>
      <c r="BL297" s="6">
        <v>166901878688454</v>
      </c>
      <c r="BM297" s="6">
        <v>173686296153188</v>
      </c>
    </row>
    <row r="298" spans="1:65" x14ac:dyDescent="0.45">
      <c r="A298" s="1" t="s">
        <v>292</v>
      </c>
      <c r="B298" s="2">
        <v>4915639</v>
      </c>
      <c r="C298" s="3" t="s">
        <v>1180</v>
      </c>
      <c r="D298" s="3" t="s">
        <v>1181</v>
      </c>
      <c r="E298" s="3" t="s">
        <v>1080</v>
      </c>
      <c r="F298" s="5">
        <v>4960274568504</v>
      </c>
      <c r="G298" s="5">
        <v>520404515280313</v>
      </c>
      <c r="H298" s="5">
        <v>499376992984828</v>
      </c>
      <c r="I298" s="5">
        <v>46725158305575</v>
      </c>
      <c r="J298" s="5">
        <v>46470935527352</v>
      </c>
      <c r="K298" s="5">
        <v>517316546002593</v>
      </c>
      <c r="L298" s="5">
        <v>469695760176857</v>
      </c>
      <c r="M298" s="5">
        <v>439991427495741</v>
      </c>
      <c r="N298" s="5">
        <v>4306264328552</v>
      </c>
      <c r="O298" s="5">
        <v>380746547771828</v>
      </c>
      <c r="P298" s="5">
        <v>39785659071652</v>
      </c>
      <c r="Q298" s="5">
        <v>409678636503398</v>
      </c>
      <c r="R298" s="5">
        <v>446847251676248</v>
      </c>
      <c r="S298" s="5">
        <v>393307072285298</v>
      </c>
      <c r="T298" s="5">
        <v>38877338194988</v>
      </c>
      <c r="U298" s="5">
        <v>40535143462827</v>
      </c>
      <c r="V298" s="5">
        <v>437183908043575</v>
      </c>
      <c r="W298" s="5">
        <v>420266969048376</v>
      </c>
      <c r="X298" s="5">
        <v>407226507385509</v>
      </c>
      <c r="Y298" s="5">
        <v>408833037588178</v>
      </c>
      <c r="Z298" s="5">
        <v>426429470803442</v>
      </c>
      <c r="AA298" s="5">
        <v>409880182230725</v>
      </c>
      <c r="AB298" s="5">
        <v>3829606823967</v>
      </c>
      <c r="AC298" s="5">
        <v>377621780940934</v>
      </c>
      <c r="AD298" s="5">
        <v>399117738294168</v>
      </c>
      <c r="AE298" s="5">
        <v>374480000503335</v>
      </c>
      <c r="AF298" s="5">
        <v>346524341655311</v>
      </c>
      <c r="AG298" s="5">
        <v>360202911674724</v>
      </c>
      <c r="AH298" s="5">
        <v>369962752066961</v>
      </c>
      <c r="AI298" s="5">
        <v>349317779548453</v>
      </c>
      <c r="AJ298" s="5">
        <v>324351335522452</v>
      </c>
      <c r="AK298" s="5">
        <v>340597365166976</v>
      </c>
      <c r="AL298" s="5">
        <v>297502020921923</v>
      </c>
      <c r="AM298" s="5">
        <v>274872570235172</v>
      </c>
      <c r="AN298" s="5">
        <v>304685409004646</v>
      </c>
      <c r="AO298" s="5">
        <v>323002593392688</v>
      </c>
      <c r="AP298" s="6">
        <v>747989330188989</v>
      </c>
      <c r="AQ298" s="6">
        <v>69309223471017</v>
      </c>
      <c r="AR298" s="6">
        <v>730921928647216</v>
      </c>
      <c r="AS298" s="6">
        <v>757892509676093</v>
      </c>
      <c r="AT298" s="6">
        <v>742889802070828</v>
      </c>
      <c r="AU298" s="6">
        <v>697571702378772</v>
      </c>
      <c r="AV298" s="6">
        <v>702226579500956</v>
      </c>
      <c r="AW298" s="6">
        <v>602792701470798</v>
      </c>
      <c r="AX298" s="6">
        <v>64999442769891</v>
      </c>
      <c r="AY298" s="6">
        <v>649589184776664</v>
      </c>
      <c r="AZ298" s="6">
        <v>674150918444488</v>
      </c>
      <c r="BA298" s="6">
        <v>657056540129922</v>
      </c>
      <c r="BB298" s="6">
        <v>58347303123098</v>
      </c>
      <c r="BC298" s="6">
        <v>678125368317926</v>
      </c>
      <c r="BD298" s="6">
        <v>68439031615773</v>
      </c>
      <c r="BE298" s="6">
        <v>671188932407981</v>
      </c>
      <c r="BF298" s="6">
        <v>667827723608847</v>
      </c>
      <c r="BG298" s="6">
        <v>754928347141978</v>
      </c>
      <c r="BH298" s="6">
        <v>78075741672003</v>
      </c>
      <c r="BI298" s="6">
        <v>758991984828899</v>
      </c>
      <c r="BJ298" s="6">
        <v>77613811793914</v>
      </c>
      <c r="BK298" s="6">
        <v>754028627094728</v>
      </c>
      <c r="BL298" s="6">
        <v>77460988475871</v>
      </c>
      <c r="BM298" s="6">
        <v>807245890708184</v>
      </c>
    </row>
    <row r="299" spans="1:65" x14ac:dyDescent="0.45">
      <c r="A299" s="1" t="s">
        <v>293</v>
      </c>
      <c r="B299" s="2">
        <v>108462</v>
      </c>
      <c r="C299" s="3" t="s">
        <v>1182</v>
      </c>
      <c r="D299" s="3" t="s">
        <v>1183</v>
      </c>
      <c r="E299" s="3" t="s">
        <v>923</v>
      </c>
      <c r="F299" s="5">
        <v>477513005995259</v>
      </c>
      <c r="G299" s="5">
        <v>529764993941269</v>
      </c>
      <c r="H299" s="5">
        <v>490624313434259</v>
      </c>
      <c r="I299" s="5">
        <v>45505490877733</v>
      </c>
      <c r="J299" s="5">
        <v>518518532612272</v>
      </c>
      <c r="K299" s="5">
        <v>558291563755113</v>
      </c>
      <c r="L299" s="5">
        <v>479327865029968</v>
      </c>
      <c r="M299" s="5">
        <v>517883343252357</v>
      </c>
      <c r="N299" s="5">
        <v>556702345514735</v>
      </c>
      <c r="O299" s="5">
        <v>563058206971658</v>
      </c>
      <c r="P299" s="5">
        <v>53109380818</v>
      </c>
      <c r="Q299" s="5">
        <v>56928160927008</v>
      </c>
      <c r="R299" s="5">
        <v>638448581940914</v>
      </c>
      <c r="S299" s="5">
        <v>644283629947642</v>
      </c>
      <c r="T299" s="5">
        <v>649736278409484</v>
      </c>
      <c r="U299" s="5">
        <v>570430744919698</v>
      </c>
      <c r="V299" s="5">
        <v>60059063682009</v>
      </c>
      <c r="W299" s="5">
        <v>59012675601072</v>
      </c>
      <c r="X299" s="5">
        <v>572019636477645</v>
      </c>
      <c r="Y299" s="5">
        <v>514993800524647</v>
      </c>
      <c r="Z299" s="5">
        <v>508329499051936</v>
      </c>
      <c r="AA299" s="5">
        <v>476138495883617</v>
      </c>
      <c r="AB299" s="5">
        <v>425070517597838</v>
      </c>
      <c r="AC299" s="5">
        <v>412013659701817</v>
      </c>
      <c r="AD299" s="5">
        <v>445685932216704</v>
      </c>
      <c r="AE299" s="5">
        <v>443737445326686</v>
      </c>
      <c r="AF299" s="5">
        <v>423752611267621</v>
      </c>
      <c r="AG299" s="5">
        <v>463301344732695</v>
      </c>
      <c r="AH299" s="5">
        <v>462607057890816</v>
      </c>
      <c r="AI299" s="5">
        <v>446308547583027</v>
      </c>
      <c r="AJ299" s="5">
        <v>457773776562542</v>
      </c>
      <c r="AK299" s="5">
        <v>451042356200436</v>
      </c>
      <c r="AL299" s="5">
        <v>417377745466417</v>
      </c>
      <c r="AM299" s="5">
        <v>36030935946915</v>
      </c>
      <c r="AN299" s="5">
        <v>409017888846</v>
      </c>
      <c r="AO299" s="5">
        <v>437193328815243</v>
      </c>
      <c r="AP299" s="6">
        <v>105472353846665</v>
      </c>
      <c r="AQ299" s="6">
        <v>103725593895974</v>
      </c>
      <c r="AR299" s="6">
        <v>104507528787627</v>
      </c>
      <c r="AS299" s="6">
        <v>102372298961804</v>
      </c>
      <c r="AT299" s="6">
        <v>954312562266293</v>
      </c>
      <c r="AU299" s="6">
        <v>891812240560825</v>
      </c>
      <c r="AV299" s="6">
        <v>862231919694543</v>
      </c>
      <c r="AW299" s="6">
        <v>85161499134339</v>
      </c>
      <c r="AX299" s="6">
        <v>831133364846295</v>
      </c>
      <c r="AY299" s="6">
        <v>823634537813406</v>
      </c>
      <c r="AZ299" s="6">
        <v>788196645062946</v>
      </c>
      <c r="BA299" s="6">
        <v>746787265514318</v>
      </c>
      <c r="BB299" s="6">
        <v>725589666889577</v>
      </c>
      <c r="BC299" s="6">
        <v>767036525160119</v>
      </c>
      <c r="BD299" s="6">
        <v>728406494615137</v>
      </c>
      <c r="BE299" s="6">
        <v>680305413945509</v>
      </c>
      <c r="BF299" s="6">
        <v>691094927387466</v>
      </c>
      <c r="BG299" s="6">
        <v>675163083631641</v>
      </c>
      <c r="BH299" s="6">
        <v>674915120439006</v>
      </c>
      <c r="BI299" s="6">
        <v>670454501647848</v>
      </c>
      <c r="BJ299" s="6">
        <v>639976251333567</v>
      </c>
      <c r="BK299" s="6">
        <v>625308305286866</v>
      </c>
      <c r="BL299" s="6">
        <v>586660331628599</v>
      </c>
      <c r="BM299" s="6">
        <v>599069373262659</v>
      </c>
    </row>
    <row r="300" spans="1:65" x14ac:dyDescent="0.45">
      <c r="A300" s="1" t="s">
        <v>294</v>
      </c>
      <c r="B300" s="2">
        <v>103042</v>
      </c>
      <c r="C300" s="3" t="s">
        <v>1184</v>
      </c>
      <c r="D300" s="3" t="s">
        <v>1185</v>
      </c>
      <c r="E300" s="3" t="s">
        <v>1039</v>
      </c>
      <c r="F300" s="5">
        <v>134453636293123</v>
      </c>
      <c r="G300" s="5">
        <v>152532339572452</v>
      </c>
      <c r="H300" s="5">
        <v>142665726925592</v>
      </c>
      <c r="I300" s="5">
        <v>138332246157088</v>
      </c>
      <c r="J300" s="5">
        <v>145269151523574</v>
      </c>
      <c r="K300" s="5">
        <v>144574339108695</v>
      </c>
      <c r="L300" s="5">
        <v>127276151851645</v>
      </c>
      <c r="M300" s="5">
        <v>140451930813871</v>
      </c>
      <c r="N300" s="5">
        <v>134296847376375</v>
      </c>
      <c r="O300" s="5">
        <v>140148154919808</v>
      </c>
      <c r="P300" s="5">
        <v>143936070470171</v>
      </c>
      <c r="Q300" s="5">
        <v>164274308774149</v>
      </c>
      <c r="R300" s="5">
        <v>1548794424819</v>
      </c>
      <c r="S300" s="5">
        <v>15095365671953</v>
      </c>
      <c r="T300" s="5">
        <v>162174548882674</v>
      </c>
      <c r="U300" s="5">
        <v>153188446946283</v>
      </c>
      <c r="V300" s="5">
        <v>161424566703973</v>
      </c>
      <c r="W300" s="5">
        <v>150542370184013</v>
      </c>
      <c r="X300" s="5">
        <v>14388184514963</v>
      </c>
      <c r="Y300" s="5">
        <v>138845470972695</v>
      </c>
      <c r="Z300" s="5">
        <v>128363483788325</v>
      </c>
      <c r="AA300" s="5">
        <v>124417105507535</v>
      </c>
      <c r="AB300" s="5">
        <v>115220516750615</v>
      </c>
      <c r="AC300" s="5">
        <v>999324944948959</v>
      </c>
      <c r="AD300" s="5">
        <v>101357210977222</v>
      </c>
      <c r="AE300" s="5">
        <v>935955442447019</v>
      </c>
      <c r="AF300" s="5">
        <v>747402244648652</v>
      </c>
      <c r="AG300" s="5">
        <v>649229117814656</v>
      </c>
      <c r="AH300" s="5">
        <v>689288779792704</v>
      </c>
      <c r="AI300" s="5">
        <v>651033862821243</v>
      </c>
      <c r="AJ300" s="5">
        <v>676261949226444</v>
      </c>
      <c r="AK300" s="5">
        <v>62644788790402</v>
      </c>
      <c r="AL300" s="5">
        <v>567874594297877</v>
      </c>
      <c r="AM300" s="5">
        <v>494816153741</v>
      </c>
      <c r="AN300" s="5">
        <v>654836227430802</v>
      </c>
      <c r="AO300" s="5">
        <v>762983092454154</v>
      </c>
      <c r="AP300" s="6">
        <v>140927653785087</v>
      </c>
      <c r="AQ300" s="6">
        <v>132457669498805</v>
      </c>
      <c r="AR300" s="6">
        <v>125407615292517</v>
      </c>
      <c r="AS300" s="6">
        <v>13496241326041</v>
      </c>
      <c r="AT300" s="6">
        <v>12037995978782</v>
      </c>
      <c r="AU300" s="6">
        <v>121117266946177</v>
      </c>
      <c r="AV300" s="6">
        <v>115956234730919</v>
      </c>
      <c r="AW300" s="6">
        <v>108768677290762</v>
      </c>
      <c r="AX300" s="6">
        <v>123206739170446</v>
      </c>
      <c r="AY300" s="6">
        <v>118083776716625</v>
      </c>
      <c r="AZ300" s="6">
        <v>118474712748196</v>
      </c>
      <c r="BA300" s="6">
        <v>112497000025556</v>
      </c>
      <c r="BB300" s="6">
        <v>102836171299972</v>
      </c>
      <c r="BC300" s="6">
        <v>105364611312058</v>
      </c>
      <c r="BD300" s="6">
        <v>10528815342356</v>
      </c>
      <c r="BE300" s="6">
        <v>116710042481371</v>
      </c>
      <c r="BF300" s="6">
        <v>113343749774831</v>
      </c>
      <c r="BG300" s="6">
        <v>105187796012772</v>
      </c>
      <c r="BH300" s="6">
        <v>110073057518693</v>
      </c>
      <c r="BI300" s="6">
        <v>992567529912211</v>
      </c>
      <c r="BJ300" s="6">
        <v>912910157949964</v>
      </c>
      <c r="BK300" s="6">
        <v>879019884758821</v>
      </c>
      <c r="BL300" s="6">
        <v>893150872859618</v>
      </c>
      <c r="BM300" s="6">
        <v>892247725575427</v>
      </c>
    </row>
    <row r="301" spans="1:65" x14ac:dyDescent="0.45">
      <c r="A301" s="1" t="s">
        <v>295</v>
      </c>
      <c r="B301" s="2">
        <v>4280272</v>
      </c>
      <c r="C301" s="3" t="s">
        <v>1186</v>
      </c>
      <c r="D301" s="3" t="s">
        <v>1187</v>
      </c>
      <c r="E301" s="3" t="s">
        <v>602</v>
      </c>
      <c r="F301" s="5">
        <v>403192559142436</v>
      </c>
      <c r="G301" s="5">
        <v>441336782710591</v>
      </c>
      <c r="H301" s="5">
        <v>421437886643838</v>
      </c>
      <c r="I301" s="5">
        <v>38117331679695</v>
      </c>
      <c r="J301" s="5">
        <v>403330960508522</v>
      </c>
      <c r="K301" s="5">
        <v>391330474566693</v>
      </c>
      <c r="L301" s="5">
        <v>335436088133898</v>
      </c>
      <c r="M301" s="5">
        <v>342657118118611</v>
      </c>
      <c r="N301" s="5">
        <v>339535419115587</v>
      </c>
      <c r="O301" s="5">
        <v>365084661203245</v>
      </c>
      <c r="P301" s="5">
        <v>330182524093044</v>
      </c>
      <c r="Q301" s="5">
        <v>349746216298076</v>
      </c>
      <c r="R301" s="5">
        <v>403505911776053</v>
      </c>
      <c r="S301" s="5">
        <v>379379726457044</v>
      </c>
      <c r="T301" s="5">
        <v>364015095211472</v>
      </c>
      <c r="U301" s="5">
        <v>339403872969216</v>
      </c>
      <c r="V301" s="5">
        <v>350337988695264</v>
      </c>
      <c r="W301" s="5">
        <v>320272459052436</v>
      </c>
      <c r="X301" s="5">
        <v>310307417809636</v>
      </c>
      <c r="Y301" s="5">
        <v>285816846102307</v>
      </c>
      <c r="Z301" s="5">
        <v>265098275917222</v>
      </c>
      <c r="AA301" s="5">
        <v>270814766250684</v>
      </c>
      <c r="AB301" s="5">
        <v>245148867782207</v>
      </c>
      <c r="AC301" s="5">
        <v>233988487679934</v>
      </c>
      <c r="AD301" s="5">
        <v>23567754564783</v>
      </c>
      <c r="AE301" s="5">
        <v>243297769422919</v>
      </c>
      <c r="AF301" s="5">
        <v>22992603508198</v>
      </c>
      <c r="AG301" s="5">
        <v>226732657142764</v>
      </c>
      <c r="AH301" s="5">
        <v>219786631553755</v>
      </c>
      <c r="AI301" s="5">
        <v>200973573294337</v>
      </c>
      <c r="AJ301" s="5">
        <v>211767029553031</v>
      </c>
      <c r="AK301" s="5">
        <v>207021839599602</v>
      </c>
      <c r="AL301" s="5">
        <v>224237686313042</v>
      </c>
      <c r="AM301" s="5">
        <v>206327698306912</v>
      </c>
      <c r="AN301" s="5">
        <v>256982225277671</v>
      </c>
      <c r="AO301" s="5">
        <v>27354481895004</v>
      </c>
      <c r="AP301" s="6">
        <v>926695657725197</v>
      </c>
      <c r="AQ301" s="6">
        <v>896729830126664</v>
      </c>
      <c r="AR301" s="6">
        <v>939634754766475</v>
      </c>
      <c r="AS301" s="6">
        <v>102445107914968</v>
      </c>
      <c r="AT301" s="6">
        <v>100306679478658</v>
      </c>
      <c r="AU301" s="6">
        <v>995958450067721</v>
      </c>
      <c r="AV301" s="6">
        <v>94430328011136</v>
      </c>
      <c r="AW301" s="6">
        <v>932169777820965</v>
      </c>
      <c r="AX301" s="6">
        <v>924726778078635</v>
      </c>
      <c r="AY301" s="6">
        <v>95120384543019</v>
      </c>
      <c r="AZ301" s="6">
        <v>882481540543737</v>
      </c>
      <c r="BA301" s="6">
        <v>880378313965128</v>
      </c>
      <c r="BB301" s="6">
        <v>818468326943553</v>
      </c>
      <c r="BC301" s="6">
        <v>862586387341133</v>
      </c>
      <c r="BD301" s="6">
        <v>813967161901344</v>
      </c>
      <c r="BE301" s="6">
        <v>778664461550514</v>
      </c>
      <c r="BF301" s="6">
        <v>846630773873142</v>
      </c>
      <c r="BG301" s="6">
        <v>811521387281374</v>
      </c>
      <c r="BH301" s="6">
        <v>817099823461975</v>
      </c>
      <c r="BI301" s="6">
        <v>787180254757974</v>
      </c>
      <c r="BJ301" s="6">
        <v>681941207179733</v>
      </c>
      <c r="BK301" s="6">
        <v>656048520478712</v>
      </c>
      <c r="BL301" s="6">
        <v>639173187894969</v>
      </c>
      <c r="BM301" s="6">
        <v>668207174113064</v>
      </c>
    </row>
    <row r="302" spans="1:65" x14ac:dyDescent="0.45">
      <c r="A302" s="1" t="s">
        <v>296</v>
      </c>
      <c r="B302" s="2">
        <v>4167462</v>
      </c>
      <c r="C302" s="3" t="s">
        <v>1188</v>
      </c>
      <c r="D302" s="3" t="s">
        <v>1189</v>
      </c>
      <c r="E302" s="3" t="s">
        <v>923</v>
      </c>
      <c r="F302" s="5">
        <v>348025568711905</v>
      </c>
      <c r="G302" s="5">
        <v>393748192299547</v>
      </c>
      <c r="H302" s="5">
        <v>379128135092916</v>
      </c>
      <c r="I302" s="5">
        <v>346276506968395</v>
      </c>
      <c r="J302" s="5">
        <v>359083682661642</v>
      </c>
      <c r="K302" s="5">
        <v>379897991508638</v>
      </c>
      <c r="L302" s="5">
        <v>319837891541657</v>
      </c>
      <c r="M302" s="5">
        <v>334482016400257</v>
      </c>
      <c r="N302" s="5">
        <v>324268373805124</v>
      </c>
      <c r="O302" s="5">
        <v>367893790713436</v>
      </c>
      <c r="P302" s="5">
        <v>363069679874743</v>
      </c>
      <c r="Q302" s="5">
        <v>394629494860823</v>
      </c>
      <c r="R302" s="5">
        <v>444172039425403</v>
      </c>
      <c r="S302" s="5">
        <v>460422058377406</v>
      </c>
      <c r="T302" s="5">
        <v>474058896574959</v>
      </c>
      <c r="U302" s="5">
        <v>432719594852278</v>
      </c>
      <c r="V302" s="5">
        <v>443223092280992</v>
      </c>
      <c r="W302" s="5">
        <v>414185354284955</v>
      </c>
      <c r="X302" s="5">
        <v>370571950565718</v>
      </c>
      <c r="Y302" s="5">
        <v>316585935237603</v>
      </c>
      <c r="Z302" s="5">
        <v>332839628475508</v>
      </c>
      <c r="AA302" s="5">
        <v>295610197480042</v>
      </c>
      <c r="AB302" s="5">
        <v>282901371000215</v>
      </c>
      <c r="AC302" s="5">
        <v>269946155912256</v>
      </c>
      <c r="AD302" s="5">
        <v>30259862407656</v>
      </c>
      <c r="AE302" s="5">
        <v>283966669844986</v>
      </c>
      <c r="AF302" s="5">
        <v>248849006809882</v>
      </c>
      <c r="AG302" s="5">
        <v>254118062352686</v>
      </c>
      <c r="AH302" s="5">
        <v>261149027743989</v>
      </c>
      <c r="AI302" s="5">
        <v>265812251333389</v>
      </c>
      <c r="AJ302" s="5">
        <v>247971971710239</v>
      </c>
      <c r="AK302" s="5">
        <v>247276558317269</v>
      </c>
      <c r="AL302" s="5">
        <v>249876489050793</v>
      </c>
      <c r="AM302" s="5">
        <v>223549345656</v>
      </c>
      <c r="AN302" s="5">
        <v>227831536892696</v>
      </c>
      <c r="AO302" s="5">
        <v>21836822664932</v>
      </c>
      <c r="AP302" s="6">
        <v>837387483978746</v>
      </c>
      <c r="AQ302" s="6">
        <v>865271676092664</v>
      </c>
      <c r="AR302" s="6">
        <v>808741094125809</v>
      </c>
      <c r="AS302" s="6">
        <v>771146980286078</v>
      </c>
      <c r="AT302" s="6">
        <v>7106369462016</v>
      </c>
      <c r="AU302" s="6">
        <v>731235546084807</v>
      </c>
      <c r="AV302" s="6">
        <v>71343583636896</v>
      </c>
      <c r="AW302" s="6">
        <v>6473802405092</v>
      </c>
      <c r="AX302" s="6">
        <v>746719696879537</v>
      </c>
      <c r="AY302" s="6">
        <v>676868672912652</v>
      </c>
      <c r="AZ302" s="6">
        <v>68337623202</v>
      </c>
      <c r="BA302" s="6">
        <v>652000660080336</v>
      </c>
      <c r="BB302" s="6">
        <v>603833123996102</v>
      </c>
      <c r="BC302" s="6">
        <v>618388561054771</v>
      </c>
      <c r="BD302" s="6">
        <v>630209215802682</v>
      </c>
      <c r="BE302" s="6">
        <v>695174573867148</v>
      </c>
      <c r="BF302" s="6">
        <v>696425743377</v>
      </c>
      <c r="BG302" s="6">
        <v>665715373593065</v>
      </c>
      <c r="BH302" s="6">
        <v>639360346958457</v>
      </c>
      <c r="BI302" s="6">
        <v>6259578620292</v>
      </c>
      <c r="BJ302" s="6">
        <v>617446669776928</v>
      </c>
      <c r="BK302" s="6">
        <v>642752711553683</v>
      </c>
      <c r="BL302" s="6">
        <v>636562845009</v>
      </c>
      <c r="BM302" s="6">
        <v>66791553602673</v>
      </c>
    </row>
    <row r="303" spans="1:65" x14ac:dyDescent="0.45">
      <c r="A303" s="1" t="s">
        <v>297</v>
      </c>
      <c r="B303" s="2">
        <v>4057757</v>
      </c>
      <c r="C303" s="3" t="s">
        <v>1190</v>
      </c>
      <c r="D303" s="3" t="s">
        <v>1191</v>
      </c>
      <c r="E303" s="3" t="s">
        <v>705</v>
      </c>
      <c r="F303" s="5">
        <v>282019969895376</v>
      </c>
      <c r="G303" s="5">
        <v>326139165605562</v>
      </c>
      <c r="H303" s="5">
        <v>309194053539273</v>
      </c>
      <c r="I303" s="5">
        <v>283939877677666</v>
      </c>
      <c r="J303" s="5">
        <v>290350738469908</v>
      </c>
      <c r="K303" s="5">
        <v>292063212139946</v>
      </c>
      <c r="L303" s="5">
        <v>240297416030638</v>
      </c>
      <c r="M303" s="5">
        <v>238318125838586</v>
      </c>
      <c r="N303" s="5">
        <v>245910670417117</v>
      </c>
      <c r="O303" s="5">
        <v>26374274491063</v>
      </c>
      <c r="P303" s="5">
        <v>250578982135345</v>
      </c>
      <c r="Q303" s="5">
        <v>267553011061378</v>
      </c>
      <c r="R303" s="5">
        <v>308795151253167</v>
      </c>
      <c r="S303" s="5">
        <v>301510731608009</v>
      </c>
      <c r="T303" s="5">
        <v>303467573240072</v>
      </c>
      <c r="U303" s="5">
        <v>278457359208744</v>
      </c>
      <c r="V303" s="5">
        <v>277332344878231</v>
      </c>
      <c r="W303" s="5">
        <v>268064506983716</v>
      </c>
      <c r="X303" s="5">
        <v>252493448017768</v>
      </c>
      <c r="Y303" s="5">
        <v>225465765609997</v>
      </c>
      <c r="Z303" s="5">
        <v>220381171302909</v>
      </c>
      <c r="AA303" s="5">
        <v>207042509491674</v>
      </c>
      <c r="AB303" s="5">
        <v>188355943962661</v>
      </c>
      <c r="AC303" s="5">
        <v>182795995017113</v>
      </c>
      <c r="AD303" s="5">
        <v>178005313683737</v>
      </c>
      <c r="AE303" s="5">
        <v>175666603086428</v>
      </c>
      <c r="AF303" s="5">
        <v>170535580500109</v>
      </c>
      <c r="AG303" s="5">
        <v>171649771847376</v>
      </c>
      <c r="AH303" s="5">
        <v>184695985174603</v>
      </c>
      <c r="AI303" s="5">
        <v>182112632329381</v>
      </c>
      <c r="AJ303" s="5">
        <v>174179311904219</v>
      </c>
      <c r="AK303" s="5">
        <v>174825303247434</v>
      </c>
      <c r="AL303" s="5">
        <v>164757591299273</v>
      </c>
      <c r="AM303" s="5">
        <v>14200389312291</v>
      </c>
      <c r="AN303" s="5">
        <v>153871299539049</v>
      </c>
      <c r="AO303" s="5">
        <v>172187727198498</v>
      </c>
      <c r="AP303" s="6">
        <v>451063678471461</v>
      </c>
      <c r="AQ303" s="6">
        <v>457924854040578</v>
      </c>
      <c r="AR303" s="6">
        <v>425726813106686</v>
      </c>
      <c r="AS303" s="6">
        <v>434005293537778</v>
      </c>
      <c r="AT303" s="6">
        <v>41683136685919</v>
      </c>
      <c r="AU303" s="6">
        <v>452325587565004</v>
      </c>
      <c r="AV303" s="6">
        <v>46589766445945</v>
      </c>
      <c r="AW303" s="6">
        <v>465602148482417</v>
      </c>
      <c r="AX303" s="6">
        <v>484293663023761</v>
      </c>
      <c r="AY303" s="6">
        <v>444255284067824</v>
      </c>
      <c r="AZ303" s="6">
        <v>421090571516756</v>
      </c>
      <c r="BA303" s="6">
        <v>392595413062334</v>
      </c>
      <c r="BB303" s="6">
        <v>355707534133978</v>
      </c>
      <c r="BC303" s="6">
        <v>410692562042419</v>
      </c>
      <c r="BD303" s="6">
        <v>403830064616667</v>
      </c>
      <c r="BE303" s="6">
        <v>435044020264014</v>
      </c>
      <c r="BF303" s="6">
        <v>419381423506942</v>
      </c>
      <c r="BG303" s="6">
        <v>40439238234122</v>
      </c>
      <c r="BH303" s="6">
        <v>365356825595168</v>
      </c>
      <c r="BI303" s="6">
        <v>367502810331066</v>
      </c>
      <c r="BJ303" s="6">
        <v>335721507271766</v>
      </c>
      <c r="BK303" s="6">
        <v>335251293230623</v>
      </c>
      <c r="BL303" s="6">
        <v>323491375258178</v>
      </c>
      <c r="BM303" s="6">
        <v>344661162815088</v>
      </c>
    </row>
    <row r="304" spans="1:65" x14ac:dyDescent="0.45">
      <c r="A304" s="1" t="s">
        <v>298</v>
      </c>
      <c r="B304" s="2">
        <v>4305562</v>
      </c>
      <c r="C304" s="3" t="s">
        <v>1192</v>
      </c>
      <c r="D304" s="3" t="s">
        <v>1193</v>
      </c>
      <c r="E304" s="3" t="s">
        <v>586</v>
      </c>
      <c r="F304" s="5">
        <v>121148221281027</v>
      </c>
      <c r="G304" s="5">
        <v>14250803627004</v>
      </c>
      <c r="H304" s="5">
        <v>152270656083045</v>
      </c>
      <c r="I304" s="5">
        <v>137102614175642</v>
      </c>
      <c r="J304" s="5">
        <v>155672703247083</v>
      </c>
      <c r="K304" s="5">
        <v>15366469441027</v>
      </c>
      <c r="L304" s="5">
        <v>138041811561996</v>
      </c>
      <c r="M304" s="5">
        <v>149243172943753</v>
      </c>
      <c r="N304" s="5">
        <v>154678247569578</v>
      </c>
      <c r="O304" s="5">
        <v>166271673683696</v>
      </c>
      <c r="P304" s="5">
        <v>15514406176896</v>
      </c>
      <c r="Q304" s="5">
        <v>171678720554268</v>
      </c>
      <c r="R304" s="5">
        <v>17979336736663</v>
      </c>
      <c r="S304" s="5">
        <v>176341497395825</v>
      </c>
      <c r="T304" s="5">
        <v>172701490206554</v>
      </c>
      <c r="U304" s="5">
        <v>173189646403615</v>
      </c>
      <c r="V304" s="5">
        <v>168776169388754</v>
      </c>
      <c r="W304" s="5">
        <v>150301379151693</v>
      </c>
      <c r="X304" s="5">
        <v>154035600291493</v>
      </c>
      <c r="Y304" s="5">
        <v>141311849349515</v>
      </c>
      <c r="Z304" s="5">
        <v>138212600291972</v>
      </c>
      <c r="AA304" s="5">
        <v>137823144003215</v>
      </c>
      <c r="AB304" s="5">
        <v>115576857430593</v>
      </c>
      <c r="AC304" s="5">
        <v>122265830441967</v>
      </c>
      <c r="AD304" s="5">
        <v>120965569853544</v>
      </c>
      <c r="AE304" s="5">
        <v>990242084157898</v>
      </c>
      <c r="AF304" s="5">
        <v>836115762230179</v>
      </c>
      <c r="AG304" s="5">
        <v>828836992412467</v>
      </c>
      <c r="AH304" s="5">
        <v>880066686714768</v>
      </c>
      <c r="AI304" s="5">
        <v>831070829016163</v>
      </c>
      <c r="AJ304" s="5">
        <v>87455916306666</v>
      </c>
      <c r="AK304" s="5">
        <v>886117677205817</v>
      </c>
      <c r="AL304" s="5">
        <v>884932765508355</v>
      </c>
      <c r="AM304" s="5">
        <v>83909920084991</v>
      </c>
      <c r="AN304" s="5">
        <v>939615224978439</v>
      </c>
      <c r="AO304" s="5">
        <v>109929260191608</v>
      </c>
      <c r="AP304" s="6">
        <v>200589308997898</v>
      </c>
      <c r="AQ304" s="6">
        <v>206226546520548</v>
      </c>
      <c r="AR304" s="6">
        <v>189470744920916</v>
      </c>
      <c r="AS304" s="6">
        <v>183911606105739</v>
      </c>
      <c r="AT304" s="6">
        <v>171796461245232</v>
      </c>
      <c r="AU304" s="6">
        <v>18921774857538</v>
      </c>
      <c r="AV304" s="6">
        <v>17216476777188</v>
      </c>
      <c r="AW304" s="6">
        <v>167001461666673</v>
      </c>
      <c r="AX304" s="6">
        <v>191459348525104</v>
      </c>
      <c r="AY304" s="6">
        <v>176011840326831</v>
      </c>
      <c r="AZ304" s="6">
        <v>178745836176052</v>
      </c>
      <c r="BA304" s="6">
        <v>1691332872696</v>
      </c>
      <c r="BB304" s="6">
        <v>161635229275571</v>
      </c>
      <c r="BC304" s="6">
        <v>194030750058171</v>
      </c>
      <c r="BD304" s="6">
        <v>184003552824575</v>
      </c>
      <c r="BE304" s="6">
        <v>196272038097577</v>
      </c>
      <c r="BF304" s="6">
        <v>206707110133469</v>
      </c>
      <c r="BG304" s="6">
        <v>208385519318831</v>
      </c>
      <c r="BH304" s="6">
        <v>198413116069996</v>
      </c>
      <c r="BI304" s="6">
        <v>197838004571282</v>
      </c>
      <c r="BJ304" s="6">
        <v>199437674830163</v>
      </c>
      <c r="BK304" s="6">
        <v>189184904504245</v>
      </c>
      <c r="BL304" s="6">
        <v>19624155515358</v>
      </c>
      <c r="BM304" s="6">
        <v>19158162569667</v>
      </c>
    </row>
    <row r="305" spans="1:65" x14ac:dyDescent="0.45">
      <c r="A305" s="1" t="s">
        <v>299</v>
      </c>
      <c r="B305" s="2">
        <v>4104060</v>
      </c>
      <c r="C305" s="3" t="s">
        <v>1194</v>
      </c>
      <c r="D305" s="3" t="s">
        <v>1195</v>
      </c>
      <c r="E305" s="3" t="s">
        <v>1116</v>
      </c>
      <c r="F305" s="5">
        <v>122789705808413</v>
      </c>
      <c r="G305" s="5">
        <v>131847308052406</v>
      </c>
      <c r="H305" s="5">
        <v>131360367962933</v>
      </c>
      <c r="I305" s="5">
        <v>106774573735072</v>
      </c>
      <c r="J305" s="5">
        <v>987125114122999</v>
      </c>
      <c r="K305" s="5">
        <v>980540073825484</v>
      </c>
      <c r="L305" s="5">
        <v>743184148518117</v>
      </c>
      <c r="M305" s="5">
        <v>817614155187024</v>
      </c>
      <c r="N305" s="5">
        <v>802503424146054</v>
      </c>
      <c r="O305" s="5">
        <v>149706987054067</v>
      </c>
      <c r="P305" s="5">
        <v>155973145389026</v>
      </c>
      <c r="Q305" s="5">
        <v>169305593680609</v>
      </c>
      <c r="R305" s="5">
        <v>234643068899129</v>
      </c>
      <c r="S305" s="5">
        <v>252258475025134</v>
      </c>
      <c r="T305" s="5">
        <v>264433639753913</v>
      </c>
      <c r="U305" s="5">
        <v>233071593010441</v>
      </c>
      <c r="V305" s="5">
        <v>213427601237338</v>
      </c>
      <c r="W305" s="5">
        <v>193109680213071</v>
      </c>
      <c r="X305" s="5">
        <v>197532510894571</v>
      </c>
      <c r="Y305" s="5">
        <v>182928284009135</v>
      </c>
      <c r="Z305" s="5">
        <v>189265398572464</v>
      </c>
      <c r="AA305" s="5">
        <v>196846712058978</v>
      </c>
      <c r="AB305" s="5">
        <v>197247623063711</v>
      </c>
      <c r="AC305" s="5">
        <v>194246279993522</v>
      </c>
      <c r="AD305" s="5">
        <v>195294058497499</v>
      </c>
      <c r="AE305" s="5">
        <v>1813871976831</v>
      </c>
      <c r="AF305" s="5">
        <v>18035507795259</v>
      </c>
      <c r="AG305" s="5">
        <v>187795642691938</v>
      </c>
      <c r="AH305" s="5">
        <v>195359671432884</v>
      </c>
      <c r="AI305" s="5">
        <v>182249748247827</v>
      </c>
      <c r="AJ305" s="5">
        <v>177834121197575</v>
      </c>
      <c r="AK305" s="5">
        <v>16604675337569</v>
      </c>
      <c r="AL305" s="5">
        <v>168790140995011</v>
      </c>
      <c r="AM305" s="5">
        <v>149942425996545</v>
      </c>
      <c r="AN305" s="5">
        <v>147245511116851</v>
      </c>
      <c r="AO305" s="5">
        <v>136587863426076</v>
      </c>
      <c r="AP305" s="6">
        <v>516572575182226</v>
      </c>
      <c r="AQ305" s="6">
        <v>53806856650234</v>
      </c>
      <c r="AR305" s="6">
        <v>532917119975199</v>
      </c>
      <c r="AS305" s="6">
        <v>581567802828064</v>
      </c>
      <c r="AT305" s="6">
        <v>565912733503855</v>
      </c>
      <c r="AU305" s="6">
        <v>525351263497889</v>
      </c>
      <c r="AV305" s="6">
        <v>482144605987492</v>
      </c>
      <c r="AW305" s="6">
        <v>461932513083704</v>
      </c>
      <c r="AX305" s="6">
        <v>439347627579593</v>
      </c>
      <c r="AY305" s="6">
        <v>40826470448808</v>
      </c>
      <c r="AZ305" s="6">
        <v>432175245598471</v>
      </c>
      <c r="BA305" s="6">
        <v>408312314570111</v>
      </c>
      <c r="BB305" s="6">
        <v>371365024594586</v>
      </c>
      <c r="BC305" s="6">
        <v>398502403353754</v>
      </c>
      <c r="BD305" s="6">
        <v>401812999609807</v>
      </c>
      <c r="BE305" s="6">
        <v>475636156443474</v>
      </c>
      <c r="BF305" s="6">
        <v>447756865790926</v>
      </c>
      <c r="BG305" s="6">
        <v>447094448068024</v>
      </c>
      <c r="BH305" s="6">
        <v>459902785524052</v>
      </c>
      <c r="BI305" s="6">
        <v>48946553156066</v>
      </c>
      <c r="BJ305" s="6">
        <v>465106161411976</v>
      </c>
      <c r="BK305" s="6">
        <v>494242285814726</v>
      </c>
      <c r="BL305" s="6">
        <v>499079093495346</v>
      </c>
      <c r="BM305" s="6">
        <v>476568362327882</v>
      </c>
    </row>
    <row r="306" spans="1:65" x14ac:dyDescent="0.45">
      <c r="A306" s="1" t="s">
        <v>300</v>
      </c>
      <c r="B306" s="2">
        <v>4075105</v>
      </c>
      <c r="C306" s="3" t="s">
        <v>1196</v>
      </c>
      <c r="D306" s="3" t="s">
        <v>1197</v>
      </c>
      <c r="E306" s="3" t="s">
        <v>1198</v>
      </c>
      <c r="F306" s="5">
        <v>350555028041642</v>
      </c>
      <c r="G306" s="5">
        <v>365371106004847</v>
      </c>
      <c r="H306" s="5">
        <v>339681088320148</v>
      </c>
      <c r="I306" s="5">
        <v>340188869220841</v>
      </c>
      <c r="J306" s="5">
        <v>325935558230968</v>
      </c>
      <c r="K306" s="5">
        <v>352334704545283</v>
      </c>
      <c r="L306" s="5">
        <v>453018625697868</v>
      </c>
      <c r="M306" s="5">
        <v>501928670790099</v>
      </c>
      <c r="N306" s="5">
        <v>548630119683187</v>
      </c>
      <c r="O306" s="5">
        <v>566838439640745</v>
      </c>
      <c r="P306" s="5">
        <v>467188839292097</v>
      </c>
      <c r="Q306" s="5">
        <v>436368533509679</v>
      </c>
      <c r="R306" s="5">
        <v>435742177240716</v>
      </c>
      <c r="S306" s="5">
        <v>389325478221425</v>
      </c>
      <c r="T306" s="5">
        <v>372395907485568</v>
      </c>
      <c r="U306" s="5">
        <v>374935931188783</v>
      </c>
      <c r="V306" s="5">
        <v>393175232191326</v>
      </c>
      <c r="W306" s="5">
        <v>424129569077232</v>
      </c>
      <c r="X306" s="5">
        <v>429062205105715</v>
      </c>
      <c r="Y306" s="5">
        <v>483929572112646</v>
      </c>
      <c r="Z306" s="5">
        <v>416434202764173</v>
      </c>
      <c r="AA306" s="5">
        <v>41136855902914</v>
      </c>
      <c r="AB306" s="5">
        <v>359701787747306</v>
      </c>
      <c r="AC306" s="5">
        <v>393430415866015</v>
      </c>
      <c r="AD306" s="5">
        <v>392321364491962</v>
      </c>
      <c r="AE306" s="5">
        <v>396891087228402</v>
      </c>
      <c r="AF306" s="5">
        <v>433194795053512</v>
      </c>
      <c r="AG306" s="5">
        <v>434368439524611</v>
      </c>
      <c r="AH306" s="5">
        <v>452421162691246</v>
      </c>
      <c r="AI306" s="5">
        <v>470227416386318</v>
      </c>
      <c r="AJ306" s="5">
        <v>440315289365933</v>
      </c>
      <c r="AK306" s="5">
        <v>422109467917068</v>
      </c>
      <c r="AL306" s="5">
        <v>440127805216786</v>
      </c>
      <c r="AM306" s="5">
        <v>333550770213024</v>
      </c>
      <c r="AN306" s="5">
        <v>327733884204959</v>
      </c>
      <c r="AO306" s="5">
        <v>328473194420448</v>
      </c>
      <c r="AP306" s="6">
        <v>11073848805357</v>
      </c>
      <c r="AQ306" s="6">
        <v>103578161039899</v>
      </c>
      <c r="AR306" s="6">
        <v>981337826057775</v>
      </c>
      <c r="AS306" s="6">
        <v>102317737336572</v>
      </c>
      <c r="AT306" s="6">
        <v>99437808132516</v>
      </c>
      <c r="AU306" s="6">
        <v>956826026206704</v>
      </c>
      <c r="AV306" s="6">
        <v>101515949621779</v>
      </c>
      <c r="AW306" s="6">
        <v>105716799763134</v>
      </c>
      <c r="AX306" s="6">
        <v>10840001665552</v>
      </c>
      <c r="AY306" s="6">
        <v>106619937135228</v>
      </c>
      <c r="AZ306" s="6">
        <v>106166046407745</v>
      </c>
      <c r="BA306" s="6">
        <v>987657340195485</v>
      </c>
      <c r="BB306" s="6">
        <v>814426941546999</v>
      </c>
      <c r="BC306" s="6">
        <v>997059867269376</v>
      </c>
      <c r="BD306" s="6">
        <v>862305649141716</v>
      </c>
      <c r="BE306" s="6">
        <v>109471796745083</v>
      </c>
      <c r="BF306" s="6">
        <v>102285180507049</v>
      </c>
      <c r="BG306" s="6">
        <v>96056186745806</v>
      </c>
      <c r="BH306" s="6">
        <v>909946963226858</v>
      </c>
      <c r="BI306" s="6">
        <v>100867649437349</v>
      </c>
      <c r="BJ306" s="6">
        <v>99494958879968</v>
      </c>
      <c r="BK306" s="6">
        <v>964627931842088</v>
      </c>
      <c r="BL306" s="6">
        <v>106559348868063</v>
      </c>
      <c r="BM306" s="6">
        <v>11155639193082</v>
      </c>
    </row>
    <row r="307" spans="1:65" x14ac:dyDescent="0.45">
      <c r="A307" s="1" t="s">
        <v>301</v>
      </c>
      <c r="B307" s="2">
        <v>4382367</v>
      </c>
      <c r="C307" s="3" t="s">
        <v>1199</v>
      </c>
      <c r="D307" s="3" t="s">
        <v>1200</v>
      </c>
      <c r="E307" s="3" t="s">
        <v>1201</v>
      </c>
      <c r="F307" s="5">
        <v>984846917485955</v>
      </c>
      <c r="G307" s="5">
        <v>107478554765434</v>
      </c>
      <c r="H307" s="5">
        <v>989681050735579</v>
      </c>
      <c r="I307" s="5">
        <v>899297713486506</v>
      </c>
      <c r="J307" s="5">
        <v>982844016327099</v>
      </c>
      <c r="K307" s="5">
        <v>980672154349766</v>
      </c>
      <c r="L307" s="5">
        <v>876678226355284</v>
      </c>
      <c r="M307" s="5">
        <v>952837901527988</v>
      </c>
      <c r="N307" s="5">
        <v>110585377859709</v>
      </c>
      <c r="O307" s="5">
        <v>117770162657609</v>
      </c>
      <c r="P307" s="5">
        <v>117148801904237</v>
      </c>
      <c r="Q307" s="5">
        <v>115360316414346</v>
      </c>
      <c r="R307" s="5">
        <v>114582250846288</v>
      </c>
      <c r="S307" s="5">
        <v>111812895061913</v>
      </c>
      <c r="T307" s="5">
        <v>116784524155186</v>
      </c>
      <c r="U307" s="5">
        <v>119839312761585</v>
      </c>
      <c r="V307" s="5">
        <v>112110522074028</v>
      </c>
      <c r="W307" s="5">
        <v>120829806668038</v>
      </c>
      <c r="X307" s="5">
        <v>126064579689335</v>
      </c>
      <c r="Y307" s="5">
        <v>128752194016642</v>
      </c>
      <c r="Z307" s="5">
        <v>125565741140684</v>
      </c>
      <c r="AA307" s="5">
        <v>124689981273026</v>
      </c>
      <c r="AB307" s="5">
        <v>113658974423821</v>
      </c>
      <c r="AC307" s="5">
        <v>935812402372152</v>
      </c>
      <c r="AD307" s="5">
        <v>864785768398275</v>
      </c>
      <c r="AE307" s="5">
        <v>875214980323836</v>
      </c>
      <c r="AF307" s="5">
        <v>663723180103764</v>
      </c>
      <c r="AG307" s="5">
        <v>704657259956925</v>
      </c>
      <c r="AH307" s="5">
        <v>74635214134432</v>
      </c>
      <c r="AI307" s="5">
        <v>633728660861677</v>
      </c>
      <c r="AJ307" s="5">
        <v>622050954928378</v>
      </c>
      <c r="AK307" s="5">
        <v>648893869102343</v>
      </c>
      <c r="AL307" s="5">
        <v>538915275988815</v>
      </c>
      <c r="AM307" s="5">
        <v>481041311571275</v>
      </c>
      <c r="AN307" s="5">
        <v>652811876321656</v>
      </c>
      <c r="AO307" s="5">
        <v>729222583972168</v>
      </c>
      <c r="AP307" s="6">
        <v>891177795480525</v>
      </c>
      <c r="AQ307" s="6">
        <v>907222542020692</v>
      </c>
      <c r="AR307" s="6">
        <v>910545206110263</v>
      </c>
      <c r="AS307" s="6">
        <v>918780164287524</v>
      </c>
      <c r="AT307" s="6">
        <v>837260382790832</v>
      </c>
      <c r="AU307" s="6">
        <v>819468882963171</v>
      </c>
      <c r="AV307" s="6">
        <v>824509045137814</v>
      </c>
      <c r="AW307" s="6">
        <v>815795446626012</v>
      </c>
      <c r="AX307" s="6">
        <v>102507428038176</v>
      </c>
      <c r="AY307" s="6">
        <v>105591377934029</v>
      </c>
      <c r="AZ307" s="6">
        <v>102842877799404</v>
      </c>
      <c r="BA307" s="6">
        <v>103546855470463</v>
      </c>
      <c r="BB307" s="6">
        <v>100277053652794</v>
      </c>
      <c r="BC307" s="6">
        <v>984062395827302</v>
      </c>
      <c r="BD307" s="6">
        <v>967428197421262</v>
      </c>
      <c r="BE307" s="6">
        <v>97397320630665</v>
      </c>
      <c r="BF307" s="6">
        <v>922485288708612</v>
      </c>
      <c r="BG307" s="6">
        <v>852145498650696</v>
      </c>
      <c r="BH307" s="6">
        <v>828559105507509</v>
      </c>
      <c r="BI307" s="6">
        <v>924476621464299</v>
      </c>
      <c r="BJ307" s="6">
        <v>81558239345654</v>
      </c>
      <c r="BK307" s="6">
        <v>788669591263445</v>
      </c>
      <c r="BL307" s="6">
        <v>670626431923266</v>
      </c>
      <c r="BM307" s="6">
        <v>662080238104076</v>
      </c>
    </row>
    <row r="308" spans="1:65" x14ac:dyDescent="0.45">
      <c r="A308" s="1" t="s">
        <v>302</v>
      </c>
      <c r="B308" s="2">
        <v>3010401</v>
      </c>
      <c r="C308" s="3" t="s">
        <v>1202</v>
      </c>
      <c r="D308" s="3" t="s">
        <v>1203</v>
      </c>
      <c r="E308" s="3" t="s">
        <v>533</v>
      </c>
      <c r="F308" s="5">
        <v>155444922839147</v>
      </c>
      <c r="G308" s="5">
        <v>163212884656271</v>
      </c>
      <c r="H308" s="5">
        <v>153991042052012</v>
      </c>
      <c r="I308" s="5">
        <v>157108690786663</v>
      </c>
      <c r="J308" s="5">
        <v>165937536073108</v>
      </c>
      <c r="K308" s="5">
        <v>162750510985505</v>
      </c>
      <c r="L308" s="5">
        <v>145565962837119</v>
      </c>
      <c r="M308" s="5">
        <v>138596729218609</v>
      </c>
      <c r="N308" s="5">
        <v>132389360018082</v>
      </c>
      <c r="O308" s="5">
        <v>149670968728278</v>
      </c>
      <c r="P308" s="5">
        <v>136802217409676</v>
      </c>
      <c r="Q308" s="5">
        <v>136850303326512</v>
      </c>
      <c r="R308" s="5">
        <v>161074675220972</v>
      </c>
      <c r="S308" s="5">
        <v>151067320825766</v>
      </c>
      <c r="T308" s="5">
        <v>144792736038186</v>
      </c>
      <c r="U308" s="5">
        <v>132903261134151</v>
      </c>
      <c r="V308" s="5">
        <v>139591424334827</v>
      </c>
      <c r="W308" s="5">
        <v>128827993465891</v>
      </c>
      <c r="X308" s="5">
        <v>121225840916901</v>
      </c>
      <c r="Y308" s="5">
        <v>117837754484071</v>
      </c>
      <c r="Z308" s="5">
        <v>126383874567079</v>
      </c>
      <c r="AA308" s="5">
        <v>126355741560583</v>
      </c>
      <c r="AB308" s="5">
        <v>119025580484972</v>
      </c>
      <c r="AC308" s="5">
        <v>130514901247212</v>
      </c>
      <c r="AD308" s="5">
        <v>123559049884946</v>
      </c>
      <c r="AE308" s="5">
        <v>120625587145743</v>
      </c>
      <c r="AF308" s="5">
        <v>12307197703994</v>
      </c>
      <c r="AG308" s="5">
        <v>115738088273755</v>
      </c>
      <c r="AH308" s="5">
        <v>114345338589197</v>
      </c>
      <c r="AI308" s="5">
        <v>116181520141185</v>
      </c>
      <c r="AJ308" s="5">
        <v>104456012766653</v>
      </c>
      <c r="AK308" s="5">
        <v>112512927372811</v>
      </c>
      <c r="AL308" s="5">
        <v>10340454190774</v>
      </c>
      <c r="AM308" s="5">
        <v>107066025588031</v>
      </c>
      <c r="AN308" s="5">
        <v>112381313680979</v>
      </c>
      <c r="AO308" s="5">
        <v>118242906860509</v>
      </c>
      <c r="AP308" s="6">
        <v>152065816025658</v>
      </c>
      <c r="AQ308" s="6">
        <v>155101692179137</v>
      </c>
      <c r="AR308" s="6">
        <v>146451844387916</v>
      </c>
      <c r="AS308" s="6">
        <v>141542894216185</v>
      </c>
      <c r="AT308" s="6">
        <v>135003954217046</v>
      </c>
      <c r="AU308" s="6">
        <v>1481238137751</v>
      </c>
      <c r="AV308" s="6">
        <v>147582959132097</v>
      </c>
      <c r="AW308" s="6">
        <v>131243154677088</v>
      </c>
      <c r="AX308" s="6">
        <v>1552426729035</v>
      </c>
      <c r="AY308" s="6">
        <v>158455770134211</v>
      </c>
      <c r="AZ308" s="6">
        <v>162421827557164</v>
      </c>
      <c r="BA308" s="6">
        <v>1633766494932</v>
      </c>
      <c r="BB308" s="6">
        <v>138278709024892</v>
      </c>
      <c r="BC308" s="6">
        <v>167495918996045</v>
      </c>
      <c r="BD308" s="6">
        <v>165234175638298</v>
      </c>
      <c r="BE308" s="6">
        <v>172759655057155</v>
      </c>
      <c r="BF308" s="6">
        <v>17033119682</v>
      </c>
      <c r="BG308" s="6">
        <v>181924824912883</v>
      </c>
      <c r="BH308" s="6">
        <v>170400390625875</v>
      </c>
      <c r="BI308" s="6">
        <v>175130528926017</v>
      </c>
      <c r="BJ308" s="6">
        <v>162333740004039</v>
      </c>
      <c r="BK308" s="6">
        <v>158022660512061</v>
      </c>
      <c r="BL308" s="6">
        <v>170295190191126</v>
      </c>
      <c r="BM308" s="6">
        <v>171131824247471</v>
      </c>
    </row>
    <row r="309" spans="1:65" x14ac:dyDescent="0.45">
      <c r="A309" s="1" t="s">
        <v>303</v>
      </c>
      <c r="B309" s="2">
        <v>4004236</v>
      </c>
      <c r="C309" s="3" t="s">
        <v>1204</v>
      </c>
      <c r="D309" s="3" t="s">
        <v>1205</v>
      </c>
      <c r="E309" s="3" t="s">
        <v>819</v>
      </c>
      <c r="F309" s="5">
        <v>171301205866198</v>
      </c>
      <c r="G309" s="5">
        <v>166419894914646</v>
      </c>
      <c r="H309" s="5">
        <v>146644859470934</v>
      </c>
      <c r="I309" s="5">
        <v>132959858486707</v>
      </c>
      <c r="J309" s="5">
        <v>165787269377031</v>
      </c>
      <c r="K309" s="5">
        <v>176725379088389</v>
      </c>
      <c r="L309" s="5">
        <v>1538586211984</v>
      </c>
      <c r="M309" s="5">
        <v>174342093986055</v>
      </c>
      <c r="N309" s="5">
        <v>186220489531362</v>
      </c>
      <c r="O309" s="5">
        <v>191543738559779</v>
      </c>
      <c r="P309" s="5">
        <v>192281986814818</v>
      </c>
      <c r="Q309" s="5">
        <v>209042326750073</v>
      </c>
      <c r="R309" s="5">
        <v>231966575665079</v>
      </c>
      <c r="S309" s="5">
        <v>237659649681131</v>
      </c>
      <c r="T309" s="5">
        <v>228990025218369</v>
      </c>
      <c r="U309" s="5">
        <v>19836922082743</v>
      </c>
      <c r="V309" s="5">
        <v>220949397900163</v>
      </c>
      <c r="W309" s="5">
        <v>223367621916178</v>
      </c>
      <c r="X309" s="5">
        <v>20586475812539</v>
      </c>
      <c r="Y309" s="5">
        <v>176901692826252</v>
      </c>
      <c r="Z309" s="5">
        <v>17418663948708</v>
      </c>
      <c r="AA309" s="5">
        <v>178493793442645</v>
      </c>
      <c r="AB309" s="5">
        <v>175614161023652</v>
      </c>
      <c r="AC309" s="5">
        <v>173494999009146</v>
      </c>
      <c r="AD309" s="5">
        <v>181553146492219</v>
      </c>
      <c r="AE309" s="5">
        <v>1769249289637</v>
      </c>
      <c r="AF309" s="5">
        <v>161755943207913</v>
      </c>
      <c r="AG309" s="5">
        <v>166767472628747</v>
      </c>
      <c r="AH309" s="5">
        <v>145999305233876</v>
      </c>
      <c r="AI309" s="5">
        <v>128705987687747</v>
      </c>
      <c r="AJ309" s="5">
        <v>135485868927207</v>
      </c>
      <c r="AK309" s="5">
        <v>137889144007909</v>
      </c>
      <c r="AL309" s="5">
        <v>123922643085461</v>
      </c>
      <c r="AM309" s="5">
        <v>117259890770131</v>
      </c>
      <c r="AN309" s="5">
        <v>126572721398892</v>
      </c>
      <c r="AO309" s="5">
        <v>135277447797677</v>
      </c>
      <c r="AP309" s="6">
        <v>12832160796</v>
      </c>
      <c r="AQ309" s="6">
        <v>120388493088</v>
      </c>
      <c r="AR309" s="6">
        <v>109824040578</v>
      </c>
      <c r="AS309" s="6">
        <v>97220514573</v>
      </c>
      <c r="AT309" s="6">
        <v>92750756028</v>
      </c>
      <c r="AU309" s="6">
        <v>9232130628</v>
      </c>
      <c r="AV309" s="6">
        <v>87894122316</v>
      </c>
      <c r="AW309" s="6">
        <v>74006390094</v>
      </c>
      <c r="AX309" s="6">
        <v>9829770273498</v>
      </c>
      <c r="AY309" s="6">
        <v>9695270376</v>
      </c>
      <c r="AZ309" s="6">
        <v>82086157836</v>
      </c>
      <c r="BA309" s="6">
        <v>765511875</v>
      </c>
      <c r="BB309" s="6">
        <v>71125329</v>
      </c>
      <c r="BC309" s="6">
        <v>8804823936</v>
      </c>
      <c r="BD309" s="6">
        <v>113071838373169</v>
      </c>
      <c r="BE309" s="6">
        <v>146826525911071</v>
      </c>
      <c r="BF309" s="6">
        <v>146785190302406</v>
      </c>
      <c r="BG309" s="6">
        <v>127011980301974</v>
      </c>
      <c r="BH309" s="6">
        <v>123256925617161</v>
      </c>
      <c r="BI309" s="6">
        <v>131304027329008</v>
      </c>
      <c r="BJ309" s="6">
        <v>113067934006558</v>
      </c>
      <c r="BK309" s="6">
        <v>11393903774</v>
      </c>
      <c r="BL309" s="6" t="s">
        <v>1577</v>
      </c>
      <c r="BM309" s="6">
        <v>11974476372</v>
      </c>
    </row>
    <row r="310" spans="1:65" x14ac:dyDescent="0.45">
      <c r="A310" s="1" t="s">
        <v>304</v>
      </c>
      <c r="B310" s="2">
        <v>4057051</v>
      </c>
      <c r="C310" s="3" t="s">
        <v>1206</v>
      </c>
      <c r="D310" s="3" t="s">
        <v>1207</v>
      </c>
      <c r="E310" s="3" t="s">
        <v>548</v>
      </c>
      <c r="F310" s="5">
        <v>104201457624537</v>
      </c>
      <c r="G310" s="5">
        <v>11003567491961</v>
      </c>
      <c r="H310" s="5">
        <v>105467794820607</v>
      </c>
      <c r="I310" s="5">
        <v>104284299744972</v>
      </c>
      <c r="J310" s="5">
        <v>118946173221865</v>
      </c>
      <c r="K310" s="5">
        <v>120944718279418</v>
      </c>
      <c r="L310" s="5">
        <v>114476190882569</v>
      </c>
      <c r="M310" s="5">
        <v>118957869858245</v>
      </c>
      <c r="N310" s="5">
        <v>112112401783549</v>
      </c>
      <c r="O310" s="5">
        <v>116046972348636</v>
      </c>
      <c r="P310" s="5">
        <v>104435955161466</v>
      </c>
      <c r="Q310" s="5">
        <v>102307045976588</v>
      </c>
      <c r="R310" s="5">
        <v>953387724139617</v>
      </c>
      <c r="S310" s="5">
        <v>853947006052769</v>
      </c>
      <c r="T310" s="5">
        <v>83719247930487</v>
      </c>
      <c r="U310" s="5">
        <v>820359172709036</v>
      </c>
      <c r="V310" s="5">
        <v>819489434340588</v>
      </c>
      <c r="W310" s="5">
        <v>818992728140106</v>
      </c>
      <c r="X310" s="5">
        <v>81044984866118</v>
      </c>
      <c r="Y310" s="5">
        <v>82062591991965</v>
      </c>
      <c r="Z310" s="5">
        <v>848193604890292</v>
      </c>
      <c r="AA310" s="5">
        <v>804947246264292</v>
      </c>
      <c r="AB310" s="5">
        <v>69956363046564</v>
      </c>
      <c r="AC310" s="5">
        <v>699253803174381</v>
      </c>
      <c r="AD310" s="5">
        <v>718655070081585</v>
      </c>
      <c r="AE310" s="5">
        <v>775933413357102</v>
      </c>
      <c r="AF310" s="5">
        <v>754959742281217</v>
      </c>
      <c r="AG310" s="5">
        <v>71760132215376</v>
      </c>
      <c r="AH310" s="5">
        <v>710003677171992</v>
      </c>
      <c r="AI310" s="5">
        <v>791154062551512</v>
      </c>
      <c r="AJ310" s="5">
        <v>773513859002861</v>
      </c>
      <c r="AK310" s="5">
        <v>820533922027512</v>
      </c>
      <c r="AL310" s="5">
        <v>878375258403459</v>
      </c>
      <c r="AM310" s="5">
        <v>86860553775996</v>
      </c>
      <c r="AN310" s="5">
        <v>939193752432953</v>
      </c>
      <c r="AO310" s="5">
        <v>987560723999784</v>
      </c>
      <c r="AP310" s="6">
        <v>124832231235554</v>
      </c>
      <c r="AQ310" s="6">
        <v>126592159981503</v>
      </c>
      <c r="AR310" s="6">
        <v>120649028607265</v>
      </c>
      <c r="AS310" s="6">
        <v>124614727193666</v>
      </c>
      <c r="AT310" s="6">
        <v>119608074264944</v>
      </c>
      <c r="AU310" s="6">
        <v>109830195446737</v>
      </c>
      <c r="AV310" s="6">
        <v>106389234093532</v>
      </c>
      <c r="AW310" s="6">
        <v>10316903663386</v>
      </c>
      <c r="AX310" s="6">
        <v>101028897337116</v>
      </c>
      <c r="AY310" s="6">
        <v>8942534840943</v>
      </c>
      <c r="AZ310" s="6">
        <v>8321158822374</v>
      </c>
      <c r="BA310" s="6">
        <v>830836759158</v>
      </c>
      <c r="BB310" s="6">
        <v>765896733847403</v>
      </c>
      <c r="BC310" s="6">
        <v>782216691648</v>
      </c>
      <c r="BD310" s="6">
        <v>715102671937573</v>
      </c>
      <c r="BE310" s="6">
        <v>769266048537432</v>
      </c>
      <c r="BF310" s="6">
        <v>831575185051035</v>
      </c>
      <c r="BG310" s="6">
        <v>855233829395882</v>
      </c>
      <c r="BH310" s="6">
        <v>922274292129593</v>
      </c>
      <c r="BI310" s="6">
        <v>929193168090159</v>
      </c>
      <c r="BJ310" s="6">
        <v>929083572048</v>
      </c>
      <c r="BK310" s="6">
        <v>834499236816</v>
      </c>
      <c r="BL310" s="6">
        <v>856443679960869</v>
      </c>
      <c r="BM310" s="6">
        <v>943026514491818</v>
      </c>
    </row>
    <row r="311" spans="1:65" x14ac:dyDescent="0.45">
      <c r="A311" s="1" t="s">
        <v>305</v>
      </c>
      <c r="B311" s="2">
        <v>4298336</v>
      </c>
      <c r="C311" s="3" t="s">
        <v>1208</v>
      </c>
      <c r="D311" s="3" t="s">
        <v>1209</v>
      </c>
      <c r="E311" s="3" t="s">
        <v>847</v>
      </c>
      <c r="F311" s="5">
        <v>127136555123377</v>
      </c>
      <c r="G311" s="5">
        <v>131198058448797</v>
      </c>
      <c r="H311" s="5">
        <v>1301786479458</v>
      </c>
      <c r="I311" s="5">
        <v>123845679058304</v>
      </c>
      <c r="J311" s="5">
        <v>129042782782667</v>
      </c>
      <c r="K311" s="5">
        <v>130242692640068</v>
      </c>
      <c r="L311" s="5">
        <v>111373941618862</v>
      </c>
      <c r="M311" s="5">
        <v>117669155861104</v>
      </c>
      <c r="N311" s="5">
        <v>118585945444374</v>
      </c>
      <c r="O311" s="5">
        <v>118440616009671</v>
      </c>
      <c r="P311" s="5">
        <v>116859956122266</v>
      </c>
      <c r="Q311" s="5">
        <v>120804727201361</v>
      </c>
      <c r="R311" s="5">
        <v>130582576284361</v>
      </c>
      <c r="S311" s="5">
        <v>131058410350565</v>
      </c>
      <c r="T311" s="5">
        <v>127759502880788</v>
      </c>
      <c r="U311" s="5">
        <v>119411354316085</v>
      </c>
      <c r="V311" s="5">
        <v>117463396217904</v>
      </c>
      <c r="W311" s="5">
        <v>110772491595183</v>
      </c>
      <c r="X311" s="5">
        <v>107580627578576</v>
      </c>
      <c r="Y311" s="5">
        <v>105698994460636</v>
      </c>
      <c r="Z311" s="5">
        <v>102124389591962</v>
      </c>
      <c r="AA311" s="5">
        <v>98364845261232</v>
      </c>
      <c r="AB311" s="5">
        <v>923858414139326</v>
      </c>
      <c r="AC311" s="5">
        <v>856614608953349</v>
      </c>
      <c r="AD311" s="5">
        <v>954356625546637</v>
      </c>
      <c r="AE311" s="5">
        <v>989650314450544</v>
      </c>
      <c r="AF311" s="5">
        <v>963270461214341</v>
      </c>
      <c r="AG311" s="5">
        <v>948016832335092</v>
      </c>
      <c r="AH311" s="5">
        <v>89980593664878</v>
      </c>
      <c r="AI311" s="5">
        <v>944084515064292</v>
      </c>
      <c r="AJ311" s="5">
        <v>972352853144568</v>
      </c>
      <c r="AK311" s="5">
        <v>9753048632775</v>
      </c>
      <c r="AL311" s="5">
        <v>851027921068387</v>
      </c>
      <c r="AM311" s="5">
        <v>71116005906582</v>
      </c>
      <c r="AN311" s="5">
        <v>764282026263</v>
      </c>
      <c r="AO311" s="5">
        <v>879455806720612</v>
      </c>
      <c r="AP311" s="6">
        <v>31698757729526</v>
      </c>
      <c r="AQ311" s="6">
        <v>293225042145466</v>
      </c>
      <c r="AR311" s="6">
        <v>285068218475306</v>
      </c>
      <c r="AS311" s="6">
        <v>278958891232201</v>
      </c>
      <c r="AT311" s="6">
        <v>258865657249106</v>
      </c>
      <c r="AU311" s="6">
        <v>258949915842244</v>
      </c>
      <c r="AV311" s="6">
        <v>244622085870519</v>
      </c>
      <c r="AW311" s="6">
        <v>225540086263197</v>
      </c>
      <c r="AX311" s="6">
        <v>268822547242284</v>
      </c>
      <c r="AY311" s="6">
        <v>23058796132942</v>
      </c>
      <c r="AZ311" s="6">
        <v>236957222368538</v>
      </c>
      <c r="BA311" s="6">
        <v>224513932888772</v>
      </c>
      <c r="BB311" s="6">
        <v>189129257968408</v>
      </c>
      <c r="BC311" s="6">
        <v>217584989913635</v>
      </c>
      <c r="BD311" s="6">
        <v>201700982170812</v>
      </c>
      <c r="BE311" s="6">
        <v>224035078252694</v>
      </c>
      <c r="BF311" s="6">
        <v>276296765501618</v>
      </c>
      <c r="BG311" s="6">
        <v>280524954175521</v>
      </c>
      <c r="BH311" s="6">
        <v>322168304032137</v>
      </c>
      <c r="BI311" s="6">
        <v>336349382043024</v>
      </c>
      <c r="BJ311" s="6">
        <v>298552508629273</v>
      </c>
      <c r="BK311" s="6">
        <v>32695895910834</v>
      </c>
      <c r="BL311" s="6">
        <v>350849639568519</v>
      </c>
      <c r="BM311" s="6">
        <v>327927440959721</v>
      </c>
    </row>
    <row r="312" spans="1:65" x14ac:dyDescent="0.45">
      <c r="A312" s="1" t="s">
        <v>306</v>
      </c>
      <c r="B312" s="2">
        <v>4021829</v>
      </c>
      <c r="C312" s="3" t="s">
        <v>1210</v>
      </c>
      <c r="D312" s="3" t="s">
        <v>1211</v>
      </c>
      <c r="E312" s="3" t="s">
        <v>800</v>
      </c>
      <c r="F312" s="5">
        <v>561092073715097</v>
      </c>
      <c r="G312" s="5">
        <v>605266052017774</v>
      </c>
      <c r="H312" s="5">
        <v>561267274461242</v>
      </c>
      <c r="I312" s="5">
        <v>502162378986066</v>
      </c>
      <c r="J312" s="5">
        <v>566993864691798</v>
      </c>
      <c r="K312" s="5">
        <v>578369479092053</v>
      </c>
      <c r="L312" s="5">
        <v>518195931926136</v>
      </c>
      <c r="M312" s="5">
        <v>532404058015142</v>
      </c>
      <c r="N312" s="5">
        <v>583205219672226</v>
      </c>
      <c r="O312" s="5">
        <v>613716613463099</v>
      </c>
      <c r="P312" s="5">
        <v>547726156970106</v>
      </c>
      <c r="Q312" s="5">
        <v>583193720106749</v>
      </c>
      <c r="R312" s="5">
        <v>637018502558211</v>
      </c>
      <c r="S312" s="5">
        <v>572705325390359</v>
      </c>
      <c r="T312" s="5">
        <v>616707113118468</v>
      </c>
      <c r="U312" s="5">
        <v>509812151970033</v>
      </c>
      <c r="V312" s="5">
        <v>530494069729381</v>
      </c>
      <c r="W312" s="5">
        <v>536795817757797</v>
      </c>
      <c r="X312" s="5">
        <v>560156475919752</v>
      </c>
      <c r="Y312" s="5">
        <v>57675159880756</v>
      </c>
      <c r="Z312" s="5">
        <v>580889989522819</v>
      </c>
      <c r="AA312" s="5">
        <v>574401417637118</v>
      </c>
      <c r="AB312" s="5">
        <v>524801436041821</v>
      </c>
      <c r="AC312" s="5">
        <v>491402782138796</v>
      </c>
      <c r="AD312" s="5">
        <v>493356804125822</v>
      </c>
      <c r="AE312" s="5">
        <v>503690093468363</v>
      </c>
      <c r="AF312" s="5">
        <v>455766204526247</v>
      </c>
      <c r="AG312" s="5">
        <v>464895489251253</v>
      </c>
      <c r="AH312" s="5">
        <v>453536650535972</v>
      </c>
      <c r="AI312" s="5">
        <v>414489037336699</v>
      </c>
      <c r="AJ312" s="5">
        <v>399668908523533</v>
      </c>
      <c r="AK312" s="5">
        <v>410839222903862</v>
      </c>
      <c r="AL312" s="5">
        <v>400670589416163</v>
      </c>
      <c r="AM312" s="5">
        <v>3415891356878</v>
      </c>
      <c r="AN312" s="5">
        <v>427533639425739</v>
      </c>
      <c r="AO312" s="5">
        <v>484359485816615</v>
      </c>
      <c r="AP312" s="6">
        <v>295473324552267</v>
      </c>
      <c r="AQ312" s="6">
        <v>303704892942391</v>
      </c>
      <c r="AR312" s="6">
        <v>295865427158594</v>
      </c>
      <c r="AS312" s="6">
        <v>27963404625034</v>
      </c>
      <c r="AT312" s="6">
        <v>266964348371797</v>
      </c>
      <c r="AU312" s="6">
        <v>262367087876649</v>
      </c>
      <c r="AV312" s="6">
        <v>254053698562781</v>
      </c>
      <c r="AW312" s="6">
        <v>260783630407276</v>
      </c>
      <c r="AX312" s="6">
        <v>264427069154488</v>
      </c>
      <c r="AY312" s="6">
        <v>271205989694051</v>
      </c>
      <c r="AZ312" s="6">
        <v>255988905994182</v>
      </c>
      <c r="BA312" s="6">
        <v>241024511301512</v>
      </c>
      <c r="BB312" s="6">
        <v>240904068004344</v>
      </c>
      <c r="BC312" s="6">
        <v>245340462705838</v>
      </c>
      <c r="BD312" s="6">
        <v>227685651001436</v>
      </c>
      <c r="BE312" s="6">
        <v>240833701934511</v>
      </c>
      <c r="BF312" s="6">
        <v>232798355714438</v>
      </c>
      <c r="BG312" s="6">
        <v>21176445411738</v>
      </c>
      <c r="BH312" s="6">
        <v>192064072309143</v>
      </c>
      <c r="BI312" s="6">
        <v>18927587965477</v>
      </c>
      <c r="BJ312" s="6">
        <v>174471402210857</v>
      </c>
      <c r="BK312" s="6">
        <v>167574509773279</v>
      </c>
      <c r="BL312" s="6">
        <v>167334776585167</v>
      </c>
      <c r="BM312" s="6">
        <v>180925582215078</v>
      </c>
    </row>
    <row r="313" spans="1:65" x14ac:dyDescent="0.45">
      <c r="A313" s="1" t="s">
        <v>307</v>
      </c>
      <c r="B313" s="2">
        <v>100386</v>
      </c>
      <c r="C313" s="3" t="s">
        <v>1212</v>
      </c>
      <c r="D313" s="3" t="s">
        <v>1213</v>
      </c>
      <c r="E313" s="3" t="s">
        <v>565</v>
      </c>
      <c r="F313" s="5">
        <v>172568371070576</v>
      </c>
      <c r="G313" s="5">
        <v>188175941386452</v>
      </c>
      <c r="H313" s="5">
        <v>177785144583483</v>
      </c>
      <c r="I313" s="5">
        <v>181825761031101</v>
      </c>
      <c r="J313" s="5">
        <v>196747846977332</v>
      </c>
      <c r="K313" s="5">
        <v>203852683403715</v>
      </c>
      <c r="L313" s="5">
        <v>192319497370924</v>
      </c>
      <c r="M313" s="5">
        <v>217052945481733</v>
      </c>
      <c r="N313" s="5">
        <v>203762601351</v>
      </c>
      <c r="O313" s="5">
        <v>217936263229274</v>
      </c>
      <c r="P313" s="5">
        <v>210867013188955</v>
      </c>
      <c r="Q313" s="5">
        <v>21635543522304</v>
      </c>
      <c r="R313" s="5">
        <v>21840371490002</v>
      </c>
      <c r="S313" s="5">
        <v>213162276497529</v>
      </c>
      <c r="T313" s="5">
        <v>22096193325745</v>
      </c>
      <c r="U313" s="5">
        <v>193845630817786</v>
      </c>
      <c r="V313" s="5">
        <v>209249497682382</v>
      </c>
      <c r="W313" s="5">
        <v>198251267329565</v>
      </c>
      <c r="X313" s="5">
        <v>20296568116944</v>
      </c>
      <c r="Y313" s="5">
        <v>206967150205984</v>
      </c>
      <c r="Z313" s="5">
        <v>196904704014637</v>
      </c>
      <c r="AA313" s="5">
        <v>18619749756612</v>
      </c>
      <c r="AB313" s="5">
        <v>16378706748834</v>
      </c>
      <c r="AC313" s="5">
        <v>152916497369722</v>
      </c>
      <c r="AD313" s="5">
        <v>158467565170244</v>
      </c>
      <c r="AE313" s="5">
        <v>162154545198304</v>
      </c>
      <c r="AF313" s="5">
        <v>139781477270195</v>
      </c>
      <c r="AG313" s="5">
        <v>138171949787128</v>
      </c>
      <c r="AH313" s="5">
        <v>142545501262405</v>
      </c>
      <c r="AI313" s="5">
        <v>137818198558906</v>
      </c>
      <c r="AJ313" s="5">
        <v>146679856093029</v>
      </c>
      <c r="AK313" s="5">
        <v>147861531322418</v>
      </c>
      <c r="AL313" s="5">
        <v>150546777810776</v>
      </c>
      <c r="AM313" s="5">
        <v>143700603798752</v>
      </c>
      <c r="AN313" s="5">
        <v>166979989004079</v>
      </c>
      <c r="AO313" s="5">
        <v>1850149683558</v>
      </c>
      <c r="AP313" s="6">
        <v>328046104896756</v>
      </c>
      <c r="AQ313" s="6">
        <v>31271589272726</v>
      </c>
      <c r="AR313" s="6">
        <v>324987311855088</v>
      </c>
      <c r="AS313" s="6">
        <v>364799595922701</v>
      </c>
      <c r="AT313" s="6">
        <v>353605888165084</v>
      </c>
      <c r="AU313" s="6">
        <v>345340102798793</v>
      </c>
      <c r="AV313" s="6">
        <v>330520720537501</v>
      </c>
      <c r="AW313" s="6">
        <v>333981084802641</v>
      </c>
      <c r="AX313" s="6">
        <v>393012655596288</v>
      </c>
      <c r="AY313" s="6">
        <v>441129602823624</v>
      </c>
      <c r="AZ313" s="6">
        <v>435383907952275</v>
      </c>
      <c r="BA313" s="6">
        <v>440174486682</v>
      </c>
      <c r="BB313" s="6">
        <v>4047662373876</v>
      </c>
      <c r="BC313" s="6">
        <v>4685902219392</v>
      </c>
      <c r="BD313" s="6">
        <v>453145121484</v>
      </c>
      <c r="BE313" s="6">
        <v>5408384239368</v>
      </c>
      <c r="BF313" s="6">
        <v>526188575836</v>
      </c>
      <c r="BG313" s="6">
        <v>549196505206053</v>
      </c>
      <c r="BH313" s="6">
        <v>549226699525945</v>
      </c>
      <c r="BI313" s="6">
        <v>553026543264898</v>
      </c>
      <c r="BJ313" s="6">
        <v>489926490413798</v>
      </c>
      <c r="BK313" s="6">
        <v>404468196647585</v>
      </c>
      <c r="BL313" s="6">
        <v>411086847933216</v>
      </c>
      <c r="BM313" s="6">
        <v>461200996619639</v>
      </c>
    </row>
    <row r="314" spans="1:65" x14ac:dyDescent="0.45">
      <c r="A314" s="1" t="s">
        <v>308</v>
      </c>
      <c r="B314" s="2">
        <v>4069910</v>
      </c>
      <c r="C314" s="3" t="s">
        <v>1214</v>
      </c>
      <c r="D314" s="3" t="s">
        <v>1215</v>
      </c>
      <c r="E314" s="3" t="s">
        <v>628</v>
      </c>
      <c r="F314" s="5">
        <v>785763538998792</v>
      </c>
      <c r="G314" s="5">
        <v>795927953189408</v>
      </c>
      <c r="H314" s="5">
        <v>854541549998108</v>
      </c>
      <c r="I314" s="5">
        <v>742045417449645</v>
      </c>
      <c r="J314" s="5">
        <v>73425405586966</v>
      </c>
      <c r="K314" s="5">
        <v>726390527657144</v>
      </c>
      <c r="L314" s="5">
        <v>711625488909654</v>
      </c>
      <c r="M314" s="5">
        <v>678041332681147</v>
      </c>
      <c r="N314" s="5">
        <v>64812108035876</v>
      </c>
      <c r="O314" s="5">
        <v>628446786125167</v>
      </c>
      <c r="P314" s="5">
        <v>614613385524458</v>
      </c>
      <c r="Q314" s="5">
        <v>515521516891565</v>
      </c>
      <c r="R314" s="5">
        <v>539583900030556</v>
      </c>
      <c r="S314" s="5">
        <v>490603233881165</v>
      </c>
      <c r="T314" s="5">
        <v>489760599967114</v>
      </c>
      <c r="U314" s="5">
        <v>497518895847343</v>
      </c>
      <c r="V314" s="5">
        <v>498764576690503</v>
      </c>
      <c r="W314" s="5">
        <v>489975259394036</v>
      </c>
      <c r="X314" s="5">
        <v>493373243798893</v>
      </c>
      <c r="Y314" s="5">
        <v>483199647187727</v>
      </c>
      <c r="Z314" s="5">
        <v>474265715854542</v>
      </c>
      <c r="AA314" s="5">
        <v>459711406036915</v>
      </c>
      <c r="AB314" s="5">
        <v>401886318247042</v>
      </c>
      <c r="AC314" s="5">
        <v>393637639443021</v>
      </c>
      <c r="AD314" s="5">
        <v>415303848736452</v>
      </c>
      <c r="AE314" s="5">
        <v>42162628894255</v>
      </c>
      <c r="AF314" s="5">
        <v>414613547875702</v>
      </c>
      <c r="AG314" s="5">
        <v>447912813670669</v>
      </c>
      <c r="AH314" s="5">
        <v>477791276365857</v>
      </c>
      <c r="AI314" s="5">
        <v>45801513406492</v>
      </c>
      <c r="AJ314" s="5">
        <v>455417161847323</v>
      </c>
      <c r="AK314" s="5">
        <v>50262940208852</v>
      </c>
      <c r="AL314" s="5">
        <v>503884751995703</v>
      </c>
      <c r="AM314" s="5">
        <v>460592477459205</v>
      </c>
      <c r="AN314" s="5">
        <v>501258843288916</v>
      </c>
      <c r="AO314" s="5">
        <v>566382394852582</v>
      </c>
      <c r="AP314" s="6">
        <v>134991917542851</v>
      </c>
      <c r="AQ314" s="6">
        <v>138802792288549</v>
      </c>
      <c r="AR314" s="6">
        <v>130685438217213</v>
      </c>
      <c r="AS314" s="6">
        <v>124713383599488</v>
      </c>
      <c r="AT314" s="6">
        <v>119121828429967</v>
      </c>
      <c r="AU314" s="6">
        <v>121445452469286</v>
      </c>
      <c r="AV314" s="6">
        <v>106177428189187</v>
      </c>
      <c r="AW314" s="6">
        <v>961742351826245</v>
      </c>
      <c r="AX314" s="6">
        <v>10808749577934</v>
      </c>
      <c r="AY314" s="6">
        <v>104396810438636</v>
      </c>
      <c r="AZ314" s="6">
        <v>107431419953262</v>
      </c>
      <c r="BA314" s="6">
        <v>970103546419905</v>
      </c>
      <c r="BB314" s="6">
        <v>881725713824349</v>
      </c>
      <c r="BC314" s="6">
        <v>987214213378726</v>
      </c>
      <c r="BD314" s="6">
        <v>944811835988748</v>
      </c>
      <c r="BE314" s="6">
        <v>113808063730277</v>
      </c>
      <c r="BF314" s="6">
        <v>107655154262286</v>
      </c>
      <c r="BG314" s="6">
        <v>103111403546728</v>
      </c>
      <c r="BH314" s="6">
        <v>104946929008203</v>
      </c>
      <c r="BI314" s="6">
        <v>109955563822904</v>
      </c>
      <c r="BJ314" s="6">
        <v>912806165268074</v>
      </c>
      <c r="BK314" s="6">
        <v>98450652152138</v>
      </c>
      <c r="BL314" s="6">
        <v>937219256733213</v>
      </c>
      <c r="BM314" s="6">
        <v>969821501662243</v>
      </c>
    </row>
    <row r="315" spans="1:65" x14ac:dyDescent="0.45">
      <c r="A315" s="1" t="s">
        <v>309</v>
      </c>
      <c r="B315" s="2">
        <v>4232236</v>
      </c>
      <c r="C315" s="3" t="s">
        <v>1216</v>
      </c>
      <c r="D315" s="3" t="s">
        <v>1217</v>
      </c>
      <c r="E315" s="3" t="s">
        <v>660</v>
      </c>
      <c r="F315" s="5">
        <v>48262360486248</v>
      </c>
      <c r="G315" s="5">
        <v>67178410019148</v>
      </c>
      <c r="H315" s="5">
        <v>719768893983811</v>
      </c>
      <c r="I315" s="5">
        <v>488176372733645</v>
      </c>
      <c r="J315" s="5">
        <v>547263737156851</v>
      </c>
      <c r="K315" s="5">
        <v>499227383154762</v>
      </c>
      <c r="L315" s="5">
        <v>445814286916686</v>
      </c>
      <c r="M315" s="5">
        <v>625421286000276</v>
      </c>
      <c r="N315" s="5">
        <v>796562343416223</v>
      </c>
      <c r="O315" s="5">
        <v>821508709232422</v>
      </c>
      <c r="P315" s="5">
        <v>723551145849318</v>
      </c>
      <c r="Q315" s="5">
        <v>775294894866096</v>
      </c>
      <c r="R315" s="5">
        <v>760272528222603</v>
      </c>
      <c r="S315" s="5">
        <v>721609555133588</v>
      </c>
      <c r="T315" s="5">
        <v>823045547137338</v>
      </c>
      <c r="U315" s="5">
        <v>852749059080545</v>
      </c>
      <c r="V315" s="5">
        <v>810057189478541</v>
      </c>
      <c r="W315" s="5">
        <v>749384077057515</v>
      </c>
      <c r="X315" s="5">
        <v>917596475375579</v>
      </c>
      <c r="Y315" s="5">
        <v>968260876143825</v>
      </c>
      <c r="Z315" s="5">
        <v>954777388842293</v>
      </c>
      <c r="AA315" s="5">
        <v>86950890804486</v>
      </c>
      <c r="AB315" s="5">
        <v>771399871283094</v>
      </c>
      <c r="AC315" s="5">
        <v>588947481561024</v>
      </c>
      <c r="AD315" s="5">
        <v>65617653601488</v>
      </c>
      <c r="AE315" s="5">
        <v>603979931657453</v>
      </c>
      <c r="AF315" s="5">
        <v>393313748239426</v>
      </c>
      <c r="AG315" s="5">
        <v>401600864030589</v>
      </c>
      <c r="AH315" s="5">
        <v>394479946878332</v>
      </c>
      <c r="AI315" s="5">
        <v>317664826714299</v>
      </c>
      <c r="AJ315" s="5">
        <v>374258815541899</v>
      </c>
      <c r="AK315" s="5">
        <v>361094681528469</v>
      </c>
      <c r="AL315" s="5">
        <v>321599967371364</v>
      </c>
      <c r="AM315" s="5">
        <v>21263968629176</v>
      </c>
      <c r="AN315" s="5">
        <v>722341252799624</v>
      </c>
      <c r="AO315" s="5">
        <v>10334207677431</v>
      </c>
      <c r="AP315" s="6">
        <v>157195827477963</v>
      </c>
      <c r="AQ315" s="6">
        <v>157063285278977</v>
      </c>
      <c r="AR315" s="6">
        <v>150773226697182</v>
      </c>
      <c r="AS315" s="6">
        <v>156201435003606</v>
      </c>
      <c r="AT315" s="6">
        <v>150425793815386</v>
      </c>
      <c r="AU315" s="6">
        <v>1567860081708</v>
      </c>
      <c r="AV315" s="6">
        <v>158559560799926</v>
      </c>
      <c r="AW315" s="6">
        <v>152795563963422</v>
      </c>
      <c r="AX315" s="6">
        <v>157258623417578</v>
      </c>
      <c r="AY315" s="6">
        <v>145475274893038</v>
      </c>
      <c r="AZ315" s="6">
        <v>148692127520917</v>
      </c>
      <c r="BA315" s="6">
        <v>15236774522937</v>
      </c>
      <c r="BB315" s="6">
        <v>143355505829558</v>
      </c>
      <c r="BC315" s="6">
        <v>152346822723552</v>
      </c>
      <c r="BD315" s="6">
        <v>14715164082261</v>
      </c>
      <c r="BE315" s="6">
        <v>13135861383777</v>
      </c>
      <c r="BF315" s="6">
        <v>133993571220984</v>
      </c>
      <c r="BG315" s="6">
        <v>131965364893681</v>
      </c>
      <c r="BH315" s="6">
        <v>148583722789954</v>
      </c>
      <c r="BI315" s="6">
        <v>140519366118824</v>
      </c>
      <c r="BJ315" s="6">
        <v>138660555159336</v>
      </c>
      <c r="BK315" s="6">
        <v>136077227256756</v>
      </c>
      <c r="BL315" s="6">
        <v>14376154874101</v>
      </c>
      <c r="BM315" s="6">
        <v>142114258297344</v>
      </c>
    </row>
    <row r="316" spans="1:65" x14ac:dyDescent="0.45">
      <c r="A316" s="1" t="s">
        <v>310</v>
      </c>
      <c r="B316" s="2">
        <v>4057436</v>
      </c>
      <c r="C316" s="3" t="s">
        <v>1218</v>
      </c>
      <c r="D316" s="3" t="s">
        <v>1219</v>
      </c>
      <c r="E316" s="3" t="s">
        <v>533</v>
      </c>
      <c r="F316" s="5">
        <v>685945332968067</v>
      </c>
      <c r="G316" s="5">
        <v>948348127433183</v>
      </c>
      <c r="H316" s="5">
        <v>105585111288842</v>
      </c>
      <c r="I316" s="5">
        <v>917726293060193</v>
      </c>
      <c r="J316" s="5">
        <v>96379552162055</v>
      </c>
      <c r="K316" s="5">
        <v>8781888283956</v>
      </c>
      <c r="L316" s="5">
        <v>866403475994232</v>
      </c>
      <c r="M316" s="5">
        <v>10182759168947</v>
      </c>
      <c r="N316" s="5">
        <v>824910737767281</v>
      </c>
      <c r="O316" s="5">
        <v>836199047830423</v>
      </c>
      <c r="P316" s="5">
        <v>815972146102828</v>
      </c>
      <c r="Q316" s="5">
        <v>87283764681791</v>
      </c>
      <c r="R316" s="5">
        <v>927454784051084</v>
      </c>
      <c r="S316" s="5">
        <v>782429505904254</v>
      </c>
      <c r="T316" s="5">
        <v>844403673241623</v>
      </c>
      <c r="U316" s="5">
        <v>862303031620124</v>
      </c>
      <c r="V316" s="5">
        <v>947081504354474</v>
      </c>
      <c r="W316" s="5">
        <v>850894984496316</v>
      </c>
      <c r="X316" s="5">
        <v>831894734348626</v>
      </c>
      <c r="Y316" s="5">
        <v>645638314652423</v>
      </c>
      <c r="Z316" s="5">
        <v>728611242493156</v>
      </c>
      <c r="AA316" s="5">
        <v>786572767090572</v>
      </c>
      <c r="AB316" s="5">
        <v>736948943967951</v>
      </c>
      <c r="AC316" s="5">
        <v>833124158546737</v>
      </c>
      <c r="AD316" s="5">
        <v>749687746890225</v>
      </c>
      <c r="AE316" s="5">
        <v>669212097670545</v>
      </c>
      <c r="AF316" s="5">
        <v>662422201460146</v>
      </c>
      <c r="AG316" s="5">
        <v>639108550630803</v>
      </c>
      <c r="AH316" s="5">
        <v>702725527200732</v>
      </c>
      <c r="AI316" s="5">
        <v>697590883136658</v>
      </c>
      <c r="AJ316" s="5">
        <v>706212599496096</v>
      </c>
      <c r="AK316" s="5">
        <v>79150049924435</v>
      </c>
      <c r="AL316" s="5">
        <v>767904951155981</v>
      </c>
      <c r="AM316" s="5">
        <v>62150903895262</v>
      </c>
      <c r="AN316" s="5">
        <v>747870204036419</v>
      </c>
      <c r="AO316" s="5">
        <v>83717446490062</v>
      </c>
      <c r="AP316" s="6">
        <v>892294577587343</v>
      </c>
      <c r="AQ316" s="6">
        <v>800340216681722</v>
      </c>
      <c r="AR316" s="6">
        <v>75165600770934</v>
      </c>
      <c r="AS316" s="6">
        <v>723161709995042</v>
      </c>
      <c r="AT316" s="6">
        <v>664310006217648</v>
      </c>
      <c r="AU316" s="6">
        <v>797061123727951</v>
      </c>
      <c r="AV316" s="6">
        <v>732469418497445</v>
      </c>
      <c r="AW316" s="6">
        <v>65707804062875</v>
      </c>
      <c r="AX316" s="6">
        <v>848790798885645</v>
      </c>
      <c r="AY316" s="6">
        <v>755103108530826</v>
      </c>
      <c r="AZ316" s="6">
        <v>772778812282121</v>
      </c>
      <c r="BA316" s="6">
        <v>73641211925958</v>
      </c>
      <c r="BB316" s="6">
        <v>606972796406691</v>
      </c>
      <c r="BC316" s="6">
        <v>713044491997824</v>
      </c>
      <c r="BD316" s="6">
        <v>63221448427425</v>
      </c>
      <c r="BE316" s="6">
        <v>676092935531952</v>
      </c>
      <c r="BF316" s="6">
        <v>78357208680432</v>
      </c>
      <c r="BG316" s="6">
        <v>8030635618572</v>
      </c>
      <c r="BH316" s="6">
        <v>814832998499462</v>
      </c>
      <c r="BI316" s="6">
        <v>921569044132687</v>
      </c>
      <c r="BJ316" s="6">
        <v>78186950489161</v>
      </c>
      <c r="BK316" s="6">
        <v>846238608958209</v>
      </c>
      <c r="BL316" s="6">
        <v>833458711313592</v>
      </c>
      <c r="BM316" s="6">
        <v>84359449708535</v>
      </c>
    </row>
    <row r="317" spans="1:65" x14ac:dyDescent="0.45">
      <c r="A317" s="1" t="s">
        <v>311</v>
      </c>
      <c r="B317" s="2">
        <v>4121108</v>
      </c>
      <c r="C317" s="3" t="s">
        <v>1220</v>
      </c>
      <c r="D317" s="3" t="s">
        <v>1221</v>
      </c>
      <c r="E317" s="3" t="s">
        <v>1222</v>
      </c>
      <c r="F317" s="5">
        <v>316407202166091</v>
      </c>
      <c r="G317" s="5">
        <v>373031268162706</v>
      </c>
      <c r="H317" s="5">
        <v>34810523628</v>
      </c>
      <c r="I317" s="5">
        <v>28586401324</v>
      </c>
      <c r="J317" s="5">
        <v>34582985012</v>
      </c>
      <c r="K317" s="5">
        <v>3488223984</v>
      </c>
      <c r="L317" s="5">
        <v>265738980739422</v>
      </c>
      <c r="M317" s="5">
        <v>328495974011172</v>
      </c>
      <c r="N317" s="5">
        <v>394757586800049</v>
      </c>
      <c r="O317" s="5">
        <v>359665779404179</v>
      </c>
      <c r="P317" s="5">
        <v>315434819838074</v>
      </c>
      <c r="Q317" s="5">
        <v>246511952793101</v>
      </c>
      <c r="R317" s="5">
        <v>27331208449521</v>
      </c>
      <c r="S317" s="5">
        <v>269433664652201</v>
      </c>
      <c r="T317" s="5">
        <v>283576522348073</v>
      </c>
      <c r="U317" s="5">
        <v>249573309311778</v>
      </c>
      <c r="V317" s="5">
        <v>292510451621163</v>
      </c>
      <c r="W317" s="5">
        <v>262401858104324</v>
      </c>
      <c r="X317" s="5">
        <v>242108770978653</v>
      </c>
      <c r="Y317" s="5">
        <v>251764435047728</v>
      </c>
      <c r="Z317" s="5">
        <v>204251510472779</v>
      </c>
      <c r="AA317" s="5">
        <v>20427332072158</v>
      </c>
      <c r="AB317" s="5">
        <v>147357538159253</v>
      </c>
      <c r="AC317" s="5">
        <v>121205669307007</v>
      </c>
      <c r="AD317" s="5">
        <v>131287230430414</v>
      </c>
      <c r="AE317" s="5">
        <v>135659055734087</v>
      </c>
      <c r="AF317" s="5">
        <v>123725224677999</v>
      </c>
      <c r="AG317" s="5">
        <v>115332300021338</v>
      </c>
      <c r="AH317" s="5">
        <v>114802516426513</v>
      </c>
      <c r="AI317" s="5">
        <v>106783386896172</v>
      </c>
      <c r="AJ317" s="5">
        <v>110808326702154</v>
      </c>
      <c r="AK317" s="5">
        <v>114469956480781</v>
      </c>
      <c r="AL317" s="5">
        <v>11338268469165</v>
      </c>
      <c r="AM317" s="5">
        <v>98705494510896</v>
      </c>
      <c r="AN317" s="5">
        <v>113174801548331</v>
      </c>
      <c r="AO317" s="5">
        <v>1292841279576</v>
      </c>
      <c r="AP317" s="6">
        <v>27854106691307</v>
      </c>
      <c r="AQ317" s="6">
        <v>26637755393557</v>
      </c>
      <c r="AR317" s="6">
        <v>258774784653325</v>
      </c>
      <c r="AS317" s="6">
        <v>279088500793775</v>
      </c>
      <c r="AT317" s="6">
        <v>267635556557297</v>
      </c>
      <c r="AU317" s="6">
        <v>260033240046326</v>
      </c>
      <c r="AV317" s="6">
        <v>249594624899373</v>
      </c>
      <c r="AW317" s="6">
        <v>235574427193884</v>
      </c>
      <c r="AX317" s="6">
        <v>250241738499097</v>
      </c>
      <c r="AY317" s="6">
        <v>256135225767221</v>
      </c>
      <c r="AZ317" s="6">
        <v>232258744383677</v>
      </c>
      <c r="BA317" s="6">
        <v>230590033425224</v>
      </c>
      <c r="BB317" s="6">
        <v>193833240009366</v>
      </c>
      <c r="BC317" s="6">
        <v>223184070619596</v>
      </c>
      <c r="BD317" s="6">
        <v>238415239393752</v>
      </c>
      <c r="BE317" s="6">
        <v>239951126058053</v>
      </c>
      <c r="BF317" s="6">
        <v>233513476141994</v>
      </c>
      <c r="BG317" s="6">
        <v>247489515646848</v>
      </c>
      <c r="BH317" s="6">
        <v>246034413733111</v>
      </c>
      <c r="BI317" s="6">
        <v>240318559658684</v>
      </c>
      <c r="BJ317" s="6">
        <v>20501647495289</v>
      </c>
      <c r="BK317" s="6">
        <v>190071677233231</v>
      </c>
      <c r="BL317" s="6">
        <v>189443102996593</v>
      </c>
      <c r="BM317" s="6">
        <v>192878764810643</v>
      </c>
    </row>
    <row r="318" spans="1:65" x14ac:dyDescent="0.45">
      <c r="A318" s="1" t="s">
        <v>312</v>
      </c>
      <c r="B318" s="2">
        <v>4094286</v>
      </c>
      <c r="C318" s="3" t="s">
        <v>1223</v>
      </c>
      <c r="D318" s="3" t="s">
        <v>1224</v>
      </c>
      <c r="E318" s="3" t="s">
        <v>507</v>
      </c>
      <c r="F318" s="5">
        <v>336525010278</v>
      </c>
      <c r="G318" s="5">
        <v>403855836591</v>
      </c>
      <c r="H318" s="5">
        <v>339736455729</v>
      </c>
      <c r="I318" s="5">
        <v>308122076258</v>
      </c>
      <c r="J318" s="5">
        <v>373022263414</v>
      </c>
      <c r="K318" s="5">
        <v>445889965691316</v>
      </c>
      <c r="L318" s="5">
        <v>363109610028775</v>
      </c>
      <c r="M318" s="5">
        <v>435802944520609</v>
      </c>
      <c r="N318" s="5">
        <v>440687703100124</v>
      </c>
      <c r="O318" s="5">
        <v>615545201432</v>
      </c>
      <c r="P318" s="5">
        <v>5428710625</v>
      </c>
      <c r="Q318" s="5" t="s">
        <v>1225</v>
      </c>
      <c r="R318" s="5">
        <v>6465273075</v>
      </c>
      <c r="S318" s="5" t="s">
        <v>1226</v>
      </c>
      <c r="T318" s="5">
        <v>551874126336</v>
      </c>
      <c r="U318" s="5">
        <v>446129169408</v>
      </c>
      <c r="V318" s="5">
        <v>47335571712</v>
      </c>
      <c r="W318" s="5">
        <v>40962641244</v>
      </c>
      <c r="X318" s="5">
        <v>42040310382</v>
      </c>
      <c r="Y318" s="5">
        <v>33214901727</v>
      </c>
      <c r="Z318" s="5">
        <v>310629106739377</v>
      </c>
      <c r="AA318" s="5">
        <v>2820431832</v>
      </c>
      <c r="AB318" s="5">
        <v>2811088494</v>
      </c>
      <c r="AC318" s="5">
        <v>264955671798</v>
      </c>
      <c r="AD318" s="5">
        <v>2642501715</v>
      </c>
      <c r="AE318" s="5">
        <v>277634747838</v>
      </c>
      <c r="AF318" s="5">
        <v>265751020044297</v>
      </c>
      <c r="AG318" s="5">
        <v>284706148478859</v>
      </c>
      <c r="AH318" s="5">
        <v>27611414509</v>
      </c>
      <c r="AI318" s="5">
        <v>220775634731361</v>
      </c>
      <c r="AJ318" s="5">
        <v>207662245482665</v>
      </c>
      <c r="AK318" s="5">
        <v>196437545527561</v>
      </c>
      <c r="AL318" s="5">
        <v>164347582180987</v>
      </c>
      <c r="AM318" s="5">
        <v>146920590028576</v>
      </c>
      <c r="AN318" s="5">
        <v>150410931568734</v>
      </c>
      <c r="AO318" s="5">
        <v>13051503432</v>
      </c>
      <c r="AP318" s="6">
        <v>151434642546222</v>
      </c>
      <c r="AQ318" s="6">
        <v>167252993774856</v>
      </c>
      <c r="AR318" s="6">
        <v>160459217252771</v>
      </c>
      <c r="AS318" s="6">
        <v>165662118552199</v>
      </c>
      <c r="AT318" s="6">
        <v>157894160607688</v>
      </c>
      <c r="AU318" s="6">
        <v>16874423881545</v>
      </c>
      <c r="AV318" s="6">
        <v>167008565488284</v>
      </c>
      <c r="AW318" s="6">
        <v>15513845661204</v>
      </c>
      <c r="AX318" s="6">
        <v>16877067526935</v>
      </c>
      <c r="AY318" s="6">
        <v>16355391693894</v>
      </c>
      <c r="AZ318" s="6">
        <v>164284034113407</v>
      </c>
      <c r="BA318" s="6">
        <v>15737693339601</v>
      </c>
      <c r="BB318" s="6">
        <v>14152546773519</v>
      </c>
      <c r="BC318" s="6">
        <v>16315706569693</v>
      </c>
      <c r="BD318" s="6">
        <v>163480266840742</v>
      </c>
      <c r="BE318" s="6">
        <v>168131017186416</v>
      </c>
      <c r="BF318" s="6">
        <v>16661798527885</v>
      </c>
      <c r="BG318" s="6">
        <v>1622024464568</v>
      </c>
      <c r="BH318" s="6">
        <v>15034364469903</v>
      </c>
      <c r="BI318" s="6">
        <v>163585401463872</v>
      </c>
      <c r="BJ318" s="6">
        <v>154408974186822</v>
      </c>
      <c r="BK318" s="6">
        <v>1518779646207</v>
      </c>
      <c r="BL318" s="6">
        <v>17178822570546</v>
      </c>
      <c r="BM318" s="6">
        <v>171682545806002</v>
      </c>
    </row>
    <row r="319" spans="1:65" x14ac:dyDescent="0.45">
      <c r="A319" s="1" t="s">
        <v>313</v>
      </c>
      <c r="B319" s="2">
        <v>4094401</v>
      </c>
      <c r="C319" s="3" t="s">
        <v>1227</v>
      </c>
      <c r="D319" s="3" t="s">
        <v>1228</v>
      </c>
      <c r="E319" s="3" t="s">
        <v>808</v>
      </c>
      <c r="F319" s="5">
        <v>13793419867781</v>
      </c>
      <c r="G319" s="5">
        <v>143765314737883</v>
      </c>
      <c r="H319" s="5">
        <v>137653661092588</v>
      </c>
      <c r="I319" s="5">
        <v>133473952779704</v>
      </c>
      <c r="J319" s="5">
        <v>134939380064747</v>
      </c>
      <c r="K319" s="5">
        <v>141448313384317</v>
      </c>
      <c r="L319" s="5">
        <v>125944354151298</v>
      </c>
      <c r="M319" s="5">
        <v>136402426650356</v>
      </c>
      <c r="N319" s="5">
        <v>137651363160996</v>
      </c>
      <c r="O319" s="5">
        <v>135873319044776</v>
      </c>
      <c r="P319" s="5">
        <v>149187336362953</v>
      </c>
      <c r="Q319" s="5">
        <v>165455003802902</v>
      </c>
      <c r="R319" s="5">
        <v>180745128289821</v>
      </c>
      <c r="S319" s="5">
        <v>161272819718047</v>
      </c>
      <c r="T319" s="5">
        <v>148692807702854</v>
      </c>
      <c r="U319" s="5">
        <v>147483200429443</v>
      </c>
      <c r="V319" s="5">
        <v>156472426109882</v>
      </c>
      <c r="W319" s="5">
        <v>15757927296042</v>
      </c>
      <c r="X319" s="5">
        <v>152557728121493</v>
      </c>
      <c r="Y319" s="5">
        <v>145846940030098</v>
      </c>
      <c r="Z319" s="5">
        <v>151827982945068</v>
      </c>
      <c r="AA319" s="5">
        <v>147752016790972</v>
      </c>
      <c r="AB319" s="5">
        <v>136937881309711</v>
      </c>
      <c r="AC319" s="5">
        <v>135369363345792</v>
      </c>
      <c r="AD319" s="5">
        <v>123331321893657</v>
      </c>
      <c r="AE319" s="5">
        <v>124427634806186</v>
      </c>
      <c r="AF319" s="5">
        <v>126133135555287</v>
      </c>
      <c r="AG319" s="5">
        <v>128738775566059</v>
      </c>
      <c r="AH319" s="5">
        <v>129095367741379</v>
      </c>
      <c r="AI319" s="5">
        <v>12255725077465</v>
      </c>
      <c r="AJ319" s="5">
        <v>106586521018807</v>
      </c>
      <c r="AK319" s="5">
        <v>106664294784345</v>
      </c>
      <c r="AL319" s="5">
        <v>1041657060708</v>
      </c>
      <c r="AM319" s="5">
        <v>86222205149535</v>
      </c>
      <c r="AN319" s="5">
        <v>122634561951372</v>
      </c>
      <c r="AO319" s="5">
        <v>125072959302377</v>
      </c>
      <c r="AP319" s="6">
        <v>243792511429802</v>
      </c>
      <c r="AQ319" s="6">
        <v>255432547489337</v>
      </c>
      <c r="AR319" s="6">
        <v>23600141608872</v>
      </c>
      <c r="AS319" s="6">
        <v>222390370148259</v>
      </c>
      <c r="AT319" s="6">
        <v>206460785354087</v>
      </c>
      <c r="AU319" s="6">
        <v>21824099577</v>
      </c>
      <c r="AV319" s="6">
        <v>218172048502782</v>
      </c>
      <c r="AW319" s="6">
        <v>204564842100344</v>
      </c>
      <c r="AX319" s="6">
        <v>221640370875</v>
      </c>
      <c r="AY319" s="6">
        <v>210546984137877</v>
      </c>
      <c r="AZ319" s="6">
        <v>206419358441323</v>
      </c>
      <c r="BA319" s="6">
        <v>19825159536</v>
      </c>
      <c r="BB319" s="6">
        <v>174389392960525</v>
      </c>
      <c r="BC319" s="6">
        <v>1920240889297</v>
      </c>
      <c r="BD319" s="6">
        <v>17680653243</v>
      </c>
      <c r="BE319" s="6">
        <v>205737807818942</v>
      </c>
      <c r="BF319" s="6">
        <v>206623618597222</v>
      </c>
      <c r="BG319" s="6">
        <v>196945192681634</v>
      </c>
      <c r="BH319" s="6">
        <v>186832884821695</v>
      </c>
      <c r="BI319" s="6">
        <v>187778396667467</v>
      </c>
      <c r="BJ319" s="6">
        <v>185660008887709</v>
      </c>
      <c r="BK319" s="6">
        <v>189455317399128</v>
      </c>
      <c r="BL319" s="6">
        <v>206377523119022</v>
      </c>
      <c r="BM319" s="6">
        <v>21086463928388</v>
      </c>
    </row>
    <row r="320" spans="1:65" x14ac:dyDescent="0.45">
      <c r="A320" s="1" t="s">
        <v>314</v>
      </c>
      <c r="B320" s="2">
        <v>4203993</v>
      </c>
      <c r="C320" s="3" t="s">
        <v>1229</v>
      </c>
      <c r="D320" s="3" t="s">
        <v>1230</v>
      </c>
      <c r="E320" s="3" t="s">
        <v>507</v>
      </c>
      <c r="F320" s="5">
        <v>383179276537084</v>
      </c>
      <c r="G320" s="5">
        <v>441856160278174</v>
      </c>
      <c r="H320" s="5">
        <v>387938569901536</v>
      </c>
      <c r="I320" s="5">
        <v>395028712862628</v>
      </c>
      <c r="J320" s="5">
        <v>42911605317044</v>
      </c>
      <c r="K320" s="5">
        <v>473401893532694</v>
      </c>
      <c r="L320" s="5">
        <v>371806178452154</v>
      </c>
      <c r="M320" s="5">
        <v>464412249504278</v>
      </c>
      <c r="N320" s="5">
        <v>425773843804229</v>
      </c>
      <c r="O320" s="5">
        <v>437412238336145</v>
      </c>
      <c r="P320" s="5">
        <v>444481981317702</v>
      </c>
      <c r="Q320" s="5">
        <v>487766340550472</v>
      </c>
      <c r="R320" s="5">
        <v>532629604095335</v>
      </c>
      <c r="S320" s="5">
        <v>52698660160619</v>
      </c>
      <c r="T320" s="5">
        <v>460549170788326</v>
      </c>
      <c r="U320" s="5">
        <v>448069028062637</v>
      </c>
      <c r="V320" s="5">
        <v>483229890173837</v>
      </c>
      <c r="W320" s="5">
        <v>479769071552929</v>
      </c>
      <c r="X320" s="5">
        <v>478438515603509</v>
      </c>
      <c r="Y320" s="5">
        <v>47834437995995</v>
      </c>
      <c r="Z320" s="5">
        <v>44129305887923</v>
      </c>
      <c r="AA320" s="5">
        <v>475184518302343</v>
      </c>
      <c r="AB320" s="5">
        <v>417943253202374</v>
      </c>
      <c r="AC320" s="5">
        <v>369815496122545</v>
      </c>
      <c r="AD320" s="5">
        <v>363648385550359</v>
      </c>
      <c r="AE320" s="5">
        <v>370808126011943</v>
      </c>
      <c r="AF320" s="5">
        <v>324359784677324</v>
      </c>
      <c r="AG320" s="5">
        <v>296782378792897</v>
      </c>
      <c r="AH320" s="5">
        <v>293738957729851</v>
      </c>
      <c r="AI320" s="5">
        <v>277403975485632</v>
      </c>
      <c r="AJ320" s="5">
        <v>28276267939188</v>
      </c>
      <c r="AK320" s="5">
        <v>241203233808715</v>
      </c>
      <c r="AL320" s="5">
        <v>253969045535925</v>
      </c>
      <c r="AM320" s="5">
        <v>210551820713234</v>
      </c>
      <c r="AN320" s="5">
        <v>289201523070609</v>
      </c>
      <c r="AO320" s="5">
        <v>31985645870519</v>
      </c>
      <c r="AP320" s="6">
        <v>937404341163347</v>
      </c>
      <c r="AQ320" s="6">
        <v>953994444977304</v>
      </c>
      <c r="AR320" s="6">
        <v>922309940140672</v>
      </c>
      <c r="AS320" s="6">
        <v>913929437527677</v>
      </c>
      <c r="AT320" s="6">
        <v>858917887130431</v>
      </c>
      <c r="AU320" s="6">
        <v>850549130933035</v>
      </c>
      <c r="AV320" s="6">
        <v>785349640699791</v>
      </c>
      <c r="AW320" s="6">
        <v>749221156529809</v>
      </c>
      <c r="AX320" s="6">
        <v>82971101272017</v>
      </c>
      <c r="AY320" s="6">
        <v>830154273778962</v>
      </c>
      <c r="AZ320" s="6">
        <v>786934436124728</v>
      </c>
      <c r="BA320" s="6">
        <v>771963391681056</v>
      </c>
      <c r="BB320" s="6">
        <v>683392546376654</v>
      </c>
      <c r="BC320" s="6">
        <v>80996338858199</v>
      </c>
      <c r="BD320" s="6">
        <v>760438534605613</v>
      </c>
      <c r="BE320" s="6">
        <v>885087922251378</v>
      </c>
      <c r="BF320" s="6">
        <v>887768183783208</v>
      </c>
      <c r="BG320" s="6">
        <v>90309701337643</v>
      </c>
      <c r="BH320" s="6">
        <v>896938876545713</v>
      </c>
      <c r="BI320" s="6">
        <v>94341260314485</v>
      </c>
      <c r="BJ320" s="6">
        <v>896920003668122</v>
      </c>
      <c r="BK320" s="6">
        <v>85791438286876</v>
      </c>
      <c r="BL320" s="6">
        <v>9138666314232</v>
      </c>
      <c r="BM320" s="6">
        <v>945885243507486</v>
      </c>
    </row>
    <row r="321" spans="1:65" x14ac:dyDescent="0.45">
      <c r="A321" s="1" t="s">
        <v>315</v>
      </c>
      <c r="B321" s="2">
        <v>4930128</v>
      </c>
      <c r="C321" s="3" t="s">
        <v>1231</v>
      </c>
      <c r="D321" s="3" t="s">
        <v>1232</v>
      </c>
      <c r="E321" s="3" t="s">
        <v>620</v>
      </c>
      <c r="F321" s="5">
        <v>494198802376337</v>
      </c>
      <c r="G321" s="5">
        <v>52460166939633</v>
      </c>
      <c r="H321" s="5">
        <v>529980408212743</v>
      </c>
      <c r="I321" s="5">
        <v>454167128249047</v>
      </c>
      <c r="J321" s="5">
        <v>438270506037179</v>
      </c>
      <c r="K321" s="5">
        <v>439766809973688</v>
      </c>
      <c r="L321" s="5">
        <v>397206146814966</v>
      </c>
      <c r="M321" s="5">
        <v>390347399240971</v>
      </c>
      <c r="N321" s="5">
        <v>379405635564598</v>
      </c>
      <c r="O321" s="5">
        <v>408784204566199</v>
      </c>
      <c r="P321" s="5">
        <v>385052015989848</v>
      </c>
      <c r="Q321" s="5">
        <v>392063027726304</v>
      </c>
      <c r="R321" s="5">
        <v>418411780030054</v>
      </c>
      <c r="S321" s="5">
        <v>381480005481746</v>
      </c>
      <c r="T321" s="5">
        <v>362652095111606</v>
      </c>
      <c r="U321" s="5">
        <v>36352912606188</v>
      </c>
      <c r="V321" s="5">
        <v>347037254697781</v>
      </c>
      <c r="W321" s="5">
        <v>351910540027037</v>
      </c>
      <c r="X321" s="5">
        <v>333140865312023</v>
      </c>
      <c r="Y321" s="5">
        <v>306299678904354</v>
      </c>
      <c r="Z321" s="5">
        <v>320508384810416</v>
      </c>
      <c r="AA321" s="5">
        <v>302125954105785</v>
      </c>
      <c r="AB321" s="5">
        <v>259566864499759</v>
      </c>
      <c r="AC321" s="5">
        <v>253933286349139</v>
      </c>
      <c r="AD321" s="5">
        <v>268041741606006</v>
      </c>
      <c r="AE321" s="5">
        <v>268196474829246</v>
      </c>
      <c r="AF321" s="5">
        <v>271889842633848</v>
      </c>
      <c r="AG321" s="5">
        <v>29081958301357</v>
      </c>
      <c r="AH321" s="5">
        <v>288481932387876</v>
      </c>
      <c r="AI321" s="5">
        <v>299005961579797</v>
      </c>
      <c r="AJ321" s="5">
        <v>27812048753865</v>
      </c>
      <c r="AK321" s="5">
        <v>278574319784527</v>
      </c>
      <c r="AL321" s="5">
        <v>262037208544418</v>
      </c>
      <c r="AM321" s="5">
        <v>203416240674465</v>
      </c>
      <c r="AN321" s="5">
        <v>251112751407601</v>
      </c>
      <c r="AO321" s="5">
        <v>277140200794518</v>
      </c>
      <c r="AP321" s="6">
        <v>201857821643061</v>
      </c>
      <c r="AQ321" s="6">
        <v>202012594943233</v>
      </c>
      <c r="AR321" s="6">
        <v>197848042932552</v>
      </c>
      <c r="AS321" s="6">
        <v>181306718678668</v>
      </c>
      <c r="AT321" s="6">
        <v>17767975256439</v>
      </c>
      <c r="AU321" s="6">
        <v>195353438154925</v>
      </c>
      <c r="AV321" s="6">
        <v>1718569378735</v>
      </c>
      <c r="AW321" s="6">
        <v>172318867829342</v>
      </c>
      <c r="AX321" s="6">
        <v>210792343635597</v>
      </c>
      <c r="AY321" s="6">
        <v>205406098359898</v>
      </c>
      <c r="AZ321" s="6">
        <v>202697217478357</v>
      </c>
      <c r="BA321" s="6">
        <v>177937551490762</v>
      </c>
      <c r="BB321" s="6">
        <v>156083667509785</v>
      </c>
      <c r="BC321" s="6">
        <v>144929997592128</v>
      </c>
      <c r="BD321" s="6">
        <v>152521888490475</v>
      </c>
      <c r="BE321" s="6">
        <v>181905204513599</v>
      </c>
      <c r="BF321" s="6">
        <v>184957452550296</v>
      </c>
      <c r="BG321" s="6">
        <v>157351113345322</v>
      </c>
      <c r="BH321" s="6">
        <v>163569592469604</v>
      </c>
      <c r="BI321" s="6">
        <v>163929703738493</v>
      </c>
      <c r="BJ321" s="6">
        <v>146439946737453</v>
      </c>
      <c r="BK321" s="6">
        <v>135579144791041</v>
      </c>
      <c r="BL321" s="6">
        <v>130415404586185</v>
      </c>
      <c r="BM321" s="6">
        <v>116617829323078</v>
      </c>
    </row>
    <row r="322" spans="1:65" x14ac:dyDescent="0.45">
      <c r="A322" s="1" t="s">
        <v>316</v>
      </c>
      <c r="B322" s="2">
        <v>4010841</v>
      </c>
      <c r="C322" s="3" t="s">
        <v>1233</v>
      </c>
      <c r="D322" s="3" t="s">
        <v>1234</v>
      </c>
      <c r="E322" s="3" t="s">
        <v>729</v>
      </c>
      <c r="F322" s="5">
        <v>533922024227554</v>
      </c>
      <c r="G322" s="5">
        <v>610420774098497</v>
      </c>
      <c r="H322" s="5">
        <v>682048540571746</v>
      </c>
      <c r="I322" s="5">
        <v>582150870070855</v>
      </c>
      <c r="J322" s="5">
        <v>654881188456008</v>
      </c>
      <c r="K322" s="5">
        <v>604125490479966</v>
      </c>
      <c r="L322" s="5">
        <v>527869146822851</v>
      </c>
      <c r="M322" s="5">
        <v>605461465596717</v>
      </c>
      <c r="N322" s="5">
        <v>489768355191645</v>
      </c>
      <c r="O322" s="5">
        <v>478548370995696</v>
      </c>
      <c r="P322" s="5">
        <v>363739135418028</v>
      </c>
      <c r="Q322" s="5">
        <v>314114391412523</v>
      </c>
      <c r="R322" s="5">
        <v>238080223264398</v>
      </c>
      <c r="S322" s="5">
        <v>245688180160759</v>
      </c>
      <c r="T322" s="5">
        <v>270752642330219</v>
      </c>
      <c r="U322" s="5">
        <v>238304243212905</v>
      </c>
      <c r="V322" s="5">
        <v>203223310009418</v>
      </c>
      <c r="W322" s="5">
        <v>205373579329755</v>
      </c>
      <c r="X322" s="5">
        <v>246171611229098</v>
      </c>
      <c r="Y322" s="5">
        <v>198819860058633</v>
      </c>
      <c r="Z322" s="5">
        <v>196789997220137</v>
      </c>
      <c r="AA322" s="5">
        <v>21171110347823</v>
      </c>
      <c r="AB322" s="5">
        <v>204878366195025</v>
      </c>
      <c r="AC322" s="5">
        <v>153886354625389</v>
      </c>
      <c r="AD322" s="5">
        <v>131774757230329</v>
      </c>
      <c r="AE322" s="5">
        <v>12279293435192</v>
      </c>
      <c r="AF322" s="5">
        <v>728715498099731</v>
      </c>
      <c r="AG322" s="5">
        <v>792901166552295</v>
      </c>
      <c r="AH322" s="5">
        <v>991253422594253</v>
      </c>
      <c r="AI322" s="5">
        <v>1197476173852</v>
      </c>
      <c r="AJ322" s="5">
        <v>146355376969339</v>
      </c>
      <c r="AK322" s="5">
        <v>104838843167786</v>
      </c>
      <c r="AL322" s="5">
        <v>13656929925107</v>
      </c>
      <c r="AM322" s="5">
        <v>94337015940258</v>
      </c>
      <c r="AN322" s="5">
        <v>266512785874012</v>
      </c>
      <c r="AO322" s="5">
        <v>320052780573768</v>
      </c>
      <c r="AP322" s="6">
        <v>23135050085</v>
      </c>
      <c r="AQ322" s="6">
        <v>138057855504598</v>
      </c>
      <c r="AR322" s="6">
        <v>121935195669599</v>
      </c>
      <c r="AS322" s="6">
        <v>139337317285342</v>
      </c>
      <c r="AT322" s="6">
        <v>143885692614136</v>
      </c>
      <c r="AU322" s="6">
        <v>17346357586261</v>
      </c>
      <c r="AV322" s="6">
        <v>164391358776264</v>
      </c>
      <c r="AW322" s="6">
        <v>162377715022996</v>
      </c>
      <c r="AX322" s="6">
        <v>171457913371747</v>
      </c>
      <c r="AY322" s="6">
        <v>157967945474873</v>
      </c>
      <c r="AZ322" s="6">
        <v>164462442051315</v>
      </c>
      <c r="BA322" s="6">
        <v>161568354980435</v>
      </c>
      <c r="BB322" s="6">
        <v>142934513541642</v>
      </c>
      <c r="BC322" s="6">
        <v>179032576527759</v>
      </c>
      <c r="BD322" s="6">
        <v>190607090672493</v>
      </c>
      <c r="BE322" s="6">
        <v>186131295539273</v>
      </c>
      <c r="BF322" s="6">
        <v>171975845531778</v>
      </c>
      <c r="BG322" s="6">
        <v>171156001630519</v>
      </c>
      <c r="BH322" s="6">
        <v>18270677495192</v>
      </c>
      <c r="BI322" s="6">
        <v>163809110285522</v>
      </c>
      <c r="BJ322" s="6">
        <v>154974208216863</v>
      </c>
      <c r="BK322" s="6">
        <v>159955267981924</v>
      </c>
      <c r="BL322" s="6">
        <v>165968585332887</v>
      </c>
      <c r="BM322" s="6">
        <v>177070542152301</v>
      </c>
    </row>
    <row r="323" spans="1:65" x14ac:dyDescent="0.45">
      <c r="A323" s="1" t="s">
        <v>317</v>
      </c>
      <c r="B323" s="2">
        <v>4298644</v>
      </c>
      <c r="C323" s="3" t="s">
        <v>1235</v>
      </c>
      <c r="D323" s="3" t="s">
        <v>1236</v>
      </c>
      <c r="E323" s="3" t="s">
        <v>1064</v>
      </c>
      <c r="F323" s="5">
        <v>293365105685184</v>
      </c>
      <c r="G323" s="5">
        <v>324198284713274</v>
      </c>
      <c r="H323" s="5">
        <v>310399378959445</v>
      </c>
      <c r="I323" s="5">
        <v>283565451703526</v>
      </c>
      <c r="J323" s="5">
        <v>301211576576294</v>
      </c>
      <c r="K323" s="5">
        <v>33729681303527</v>
      </c>
      <c r="L323" s="5">
        <v>277895185228045</v>
      </c>
      <c r="M323" s="5">
        <v>27284873931095</v>
      </c>
      <c r="N323" s="5">
        <v>302383825494575</v>
      </c>
      <c r="O323" s="5">
        <v>30883630116172</v>
      </c>
      <c r="P323" s="5">
        <v>321209405899481</v>
      </c>
      <c r="Q323" s="5">
        <v>310027685189979</v>
      </c>
      <c r="R323" s="5">
        <v>362427269701218</v>
      </c>
      <c r="S323" s="5">
        <v>362408051334377</v>
      </c>
      <c r="T323" s="5">
        <v>341870762803568</v>
      </c>
      <c r="U323" s="5">
        <v>285753903103542</v>
      </c>
      <c r="V323" s="5">
        <v>283275613651375</v>
      </c>
      <c r="W323" s="5">
        <v>263116224661574</v>
      </c>
      <c r="X323" s="5">
        <v>24822806661292</v>
      </c>
      <c r="Y323" s="5">
        <v>252573036404437</v>
      </c>
      <c r="Z323" s="5">
        <v>248532512121633</v>
      </c>
      <c r="AA323" s="5">
        <v>239521489288945</v>
      </c>
      <c r="AB323" s="5">
        <v>20757203121807</v>
      </c>
      <c r="AC323" s="5">
        <v>187515833314884</v>
      </c>
      <c r="AD323" s="5">
        <v>187213646173135</v>
      </c>
      <c r="AE323" s="5">
        <v>199640996459085</v>
      </c>
      <c r="AF323" s="5">
        <v>191668541698612</v>
      </c>
      <c r="AG323" s="5">
        <v>1807742875118</v>
      </c>
      <c r="AH323" s="5">
        <v>198435131899058</v>
      </c>
      <c r="AI323" s="5">
        <v>182274440275493</v>
      </c>
      <c r="AJ323" s="5">
        <v>177745145701612</v>
      </c>
      <c r="AK323" s="5">
        <v>181516869807764</v>
      </c>
      <c r="AL323" s="5">
        <v>157756163026383</v>
      </c>
      <c r="AM323" s="5">
        <v>142793545837215</v>
      </c>
      <c r="AN323" s="5">
        <v>140444420543469</v>
      </c>
      <c r="AO323" s="5">
        <v>141287201122987</v>
      </c>
      <c r="AP323" s="6">
        <v>235612245521314</v>
      </c>
      <c r="AQ323" s="6">
        <v>231778347285368</v>
      </c>
      <c r="AR323" s="6">
        <v>211520414455387</v>
      </c>
      <c r="AS323" s="6">
        <v>212842091309336</v>
      </c>
      <c r="AT323" s="6">
        <v>193585018507931</v>
      </c>
      <c r="AU323" s="6">
        <v>201804956358863</v>
      </c>
      <c r="AV323" s="6">
        <v>191664519446617</v>
      </c>
      <c r="AW323" s="6">
        <v>175297207055049</v>
      </c>
      <c r="AX323" s="6">
        <v>209072395464345</v>
      </c>
      <c r="AY323" s="6">
        <v>197816988625641</v>
      </c>
      <c r="AZ323" s="6">
        <v>200110217226041</v>
      </c>
      <c r="BA323" s="6">
        <v>19042237970017</v>
      </c>
      <c r="BB323" s="6">
        <v>172396129619281</v>
      </c>
      <c r="BC323" s="6">
        <v>201098429709957</v>
      </c>
      <c r="BD323" s="6">
        <v>177391291041795</v>
      </c>
      <c r="BE323" s="6">
        <v>209625918964837</v>
      </c>
      <c r="BF323" s="6">
        <v>200233450147056</v>
      </c>
      <c r="BG323" s="6">
        <v>19206418602115</v>
      </c>
      <c r="BH323" s="6">
        <v>177605924871291</v>
      </c>
      <c r="BI323" s="6">
        <v>194893170482508</v>
      </c>
      <c r="BJ323" s="6">
        <v>181396101776585</v>
      </c>
      <c r="BK323" s="6">
        <v>185046038449962</v>
      </c>
      <c r="BL323" s="6">
        <v>194472972174499</v>
      </c>
      <c r="BM323" s="6">
        <v>215721680511157</v>
      </c>
    </row>
    <row r="324" spans="1:65" x14ac:dyDescent="0.45">
      <c r="A324" s="1" t="s">
        <v>318</v>
      </c>
      <c r="B324" s="2">
        <v>4070013</v>
      </c>
      <c r="C324" s="3" t="s">
        <v>1237</v>
      </c>
      <c r="D324" s="3" t="s">
        <v>1238</v>
      </c>
      <c r="E324" s="3" t="s">
        <v>1239</v>
      </c>
      <c r="F324" s="5">
        <v>155639084614903</v>
      </c>
      <c r="G324" s="5">
        <v>157715405530908</v>
      </c>
      <c r="H324" s="5">
        <v>150025326629256</v>
      </c>
      <c r="I324" s="5">
        <v>131794157457007</v>
      </c>
      <c r="J324" s="5">
        <v>136066825142776</v>
      </c>
      <c r="K324" s="5">
        <v>140258166155176</v>
      </c>
      <c r="L324" s="5">
        <v>12518695157571</v>
      </c>
      <c r="M324" s="5">
        <v>14307469867175</v>
      </c>
      <c r="N324" s="5">
        <v>148620790991178</v>
      </c>
      <c r="O324" s="5">
        <v>158126470956228</v>
      </c>
      <c r="P324" s="5">
        <v>156125832570614</v>
      </c>
      <c r="Q324" s="5">
        <v>14301236642559</v>
      </c>
      <c r="R324" s="5">
        <v>136943614440723</v>
      </c>
      <c r="S324" s="5">
        <v>126934490835555</v>
      </c>
      <c r="T324" s="5">
        <v>125145071169268</v>
      </c>
      <c r="U324" s="5">
        <v>13404445782224</v>
      </c>
      <c r="V324" s="5">
        <v>133001355741647</v>
      </c>
      <c r="W324" s="5">
        <v>131619017783873</v>
      </c>
      <c r="X324" s="5">
        <v>145101157896894</v>
      </c>
      <c r="Y324" s="5">
        <v>145132030590763</v>
      </c>
      <c r="Z324" s="5">
        <v>14707812012131</v>
      </c>
      <c r="AA324" s="5">
        <v>135861539093088</v>
      </c>
      <c r="AB324" s="5">
        <v>122139666039146</v>
      </c>
      <c r="AC324" s="5">
        <v>110471955303838</v>
      </c>
      <c r="AD324" s="5">
        <v>109609548351881</v>
      </c>
      <c r="AE324" s="5">
        <v>113317034696838</v>
      </c>
      <c r="AF324" s="5">
        <v>870692459746896</v>
      </c>
      <c r="AG324" s="5">
        <v>90576191652408</v>
      </c>
      <c r="AH324" s="5">
        <v>972201152369034</v>
      </c>
      <c r="AI324" s="5">
        <v>975890104570156</v>
      </c>
      <c r="AJ324" s="5">
        <v>103964822933026</v>
      </c>
      <c r="AK324" s="5">
        <v>10560632619048</v>
      </c>
      <c r="AL324" s="5">
        <v>111708069655497</v>
      </c>
      <c r="AM324" s="5">
        <v>10834492375161</v>
      </c>
      <c r="AN324" s="5">
        <v>136618622340584</v>
      </c>
      <c r="AO324" s="5">
        <v>147904543993767</v>
      </c>
      <c r="AP324" s="6">
        <v>271646078394197</v>
      </c>
      <c r="AQ324" s="6">
        <v>279778169680428</v>
      </c>
      <c r="AR324" s="6">
        <v>268577852604569</v>
      </c>
      <c r="AS324" s="6">
        <v>271857759496427</v>
      </c>
      <c r="AT324" s="6">
        <v>26692773883718</v>
      </c>
      <c r="AU324" s="6">
        <v>268145147526622</v>
      </c>
      <c r="AV324" s="6">
        <v>259833012036</v>
      </c>
      <c r="AW324" s="6">
        <v>276596604773202</v>
      </c>
      <c r="AX324" s="6">
        <v>27043109983333</v>
      </c>
      <c r="AY324" s="6">
        <v>256815595082574</v>
      </c>
      <c r="AZ324" s="6">
        <v>242857894059441</v>
      </c>
      <c r="BA324" s="6">
        <v>221948510426784</v>
      </c>
      <c r="BB324" s="6">
        <v>204330096876638</v>
      </c>
      <c r="BC324" s="6">
        <v>224409091473101</v>
      </c>
      <c r="BD324" s="6">
        <v>207766300674051</v>
      </c>
      <c r="BE324" s="6">
        <v>228011229251951</v>
      </c>
      <c r="BF324" s="6">
        <v>226545951606539</v>
      </c>
      <c r="BG324" s="6">
        <v>211729034405191</v>
      </c>
      <c r="BH324" s="6">
        <v>210473516393399</v>
      </c>
      <c r="BI324" s="6">
        <v>202085086839015</v>
      </c>
      <c r="BJ324" s="6">
        <v>180227161467292</v>
      </c>
      <c r="BK324" s="6">
        <v>179943024949756</v>
      </c>
      <c r="BL324" s="6">
        <v>191594805457091</v>
      </c>
      <c r="BM324" s="6">
        <v>197071324155478</v>
      </c>
    </row>
    <row r="325" spans="1:65" x14ac:dyDescent="0.45">
      <c r="A325" s="1" t="s">
        <v>319</v>
      </c>
      <c r="B325" s="2">
        <v>4133677</v>
      </c>
      <c r="C325" s="3" t="s">
        <v>1240</v>
      </c>
      <c r="D325" s="3" t="s">
        <v>1241</v>
      </c>
      <c r="E325" s="3" t="s">
        <v>507</v>
      </c>
      <c r="F325" s="5">
        <v>25236070642663</v>
      </c>
      <c r="G325" s="5">
        <v>315329496331051</v>
      </c>
      <c r="H325" s="5">
        <v>268639508044001</v>
      </c>
      <c r="I325" s="5">
        <v>275382964561493</v>
      </c>
      <c r="J325" s="5">
        <v>295821320541177</v>
      </c>
      <c r="K325" s="5">
        <v>284475689269073</v>
      </c>
      <c r="L325" s="5">
        <v>2091125677763</v>
      </c>
      <c r="M325" s="5">
        <v>24575565564306</v>
      </c>
      <c r="N325" s="5">
        <v>213857972215441</v>
      </c>
      <c r="O325" s="5">
        <v>243762355096051</v>
      </c>
      <c r="P325" s="5">
        <v>241135722298415</v>
      </c>
      <c r="Q325" s="5">
        <v>226942489965312</v>
      </c>
      <c r="R325" s="5">
        <v>257302717303167</v>
      </c>
      <c r="S325" s="5">
        <v>234807341122246</v>
      </c>
      <c r="T325" s="5">
        <v>178976269894195</v>
      </c>
      <c r="U325" s="5">
        <v>170018702818571</v>
      </c>
      <c r="V325" s="5">
        <v>161801720031021</v>
      </c>
      <c r="W325" s="5">
        <v>14060343373398</v>
      </c>
      <c r="X325" s="5">
        <v>137861068153512</v>
      </c>
      <c r="Y325" s="5">
        <v>14028420247842</v>
      </c>
      <c r="Z325" s="5">
        <v>135543473404443</v>
      </c>
      <c r="AA325" s="5">
        <v>146018924023921</v>
      </c>
      <c r="AB325" s="5">
        <v>13708701527659</v>
      </c>
      <c r="AC325" s="5">
        <v>116840374658686</v>
      </c>
      <c r="AD325" s="5">
        <v>110030155204293</v>
      </c>
      <c r="AE325" s="5">
        <v>98920334652015</v>
      </c>
      <c r="AF325" s="5">
        <v>884488122469223</v>
      </c>
      <c r="AG325" s="5">
        <v>758837259201265</v>
      </c>
      <c r="AH325" s="5">
        <v>734385188949681</v>
      </c>
      <c r="AI325" s="5">
        <v>713976388714922</v>
      </c>
      <c r="AJ325" s="5">
        <v>722130551962331</v>
      </c>
      <c r="AK325" s="5">
        <v>608173627654065</v>
      </c>
      <c r="AL325" s="5">
        <v>600531443178412</v>
      </c>
      <c r="AM325" s="5">
        <v>46534274257744</v>
      </c>
      <c r="AN325" s="5">
        <v>697477179932417</v>
      </c>
      <c r="AO325" s="5">
        <v>85764121175755</v>
      </c>
      <c r="AP325" s="6">
        <v>113180747152343</v>
      </c>
      <c r="AQ325" s="6">
        <v>115105940175606</v>
      </c>
      <c r="AR325" s="6">
        <v>109655613588381</v>
      </c>
      <c r="AS325" s="6">
        <v>111786975502566</v>
      </c>
      <c r="AT325" s="6">
        <v>116665319982028</v>
      </c>
      <c r="AU325" s="6">
        <v>116719611785676</v>
      </c>
      <c r="AV325" s="6">
        <v>118183513348621</v>
      </c>
      <c r="AW325" s="6">
        <v>115680056554362</v>
      </c>
      <c r="AX325" s="6">
        <v>118253747319339</v>
      </c>
      <c r="AY325" s="6">
        <v>108547020056328</v>
      </c>
      <c r="AZ325" s="6">
        <v>101031237886106</v>
      </c>
      <c r="BA325" s="6">
        <v>9097030152</v>
      </c>
      <c r="BB325" s="6">
        <v>865436476010441</v>
      </c>
      <c r="BC325" s="6">
        <v>893047621190185</v>
      </c>
      <c r="BD325" s="6">
        <v>876485466051391</v>
      </c>
      <c r="BE325" s="6">
        <v>894902437235111</v>
      </c>
      <c r="BF325" s="6">
        <v>941520278147259</v>
      </c>
      <c r="BG325" s="6">
        <v>83080351705184</v>
      </c>
      <c r="BH325" s="6">
        <v>847446490566035</v>
      </c>
      <c r="BI325" s="6">
        <v>835818672613912</v>
      </c>
      <c r="BJ325" s="6">
        <v>733710090651737</v>
      </c>
      <c r="BK325" s="6">
        <v>74046877384921</v>
      </c>
      <c r="BL325" s="6">
        <v>780545802262999</v>
      </c>
      <c r="BM325" s="6">
        <v>823064976</v>
      </c>
    </row>
    <row r="326" spans="1:65" x14ac:dyDescent="0.45">
      <c r="A326" s="1" t="s">
        <v>320</v>
      </c>
      <c r="B326" s="2">
        <v>4010846</v>
      </c>
      <c r="C326" s="3" t="s">
        <v>1242</v>
      </c>
      <c r="D326" s="3" t="s">
        <v>1243</v>
      </c>
      <c r="E326" s="3" t="s">
        <v>1092</v>
      </c>
      <c r="F326" s="5">
        <v>274767064443326</v>
      </c>
      <c r="G326" s="5">
        <v>290038735281088</v>
      </c>
      <c r="H326" s="5">
        <v>268074062061937</v>
      </c>
      <c r="I326" s="5">
        <v>233505854776073</v>
      </c>
      <c r="J326" s="5">
        <v>271671084026796</v>
      </c>
      <c r="K326" s="5">
        <v>26157897194778</v>
      </c>
      <c r="L326" s="5">
        <v>237114256866303</v>
      </c>
      <c r="M326" s="5">
        <v>274127493443023</v>
      </c>
      <c r="N326" s="5">
        <v>268374055802857</v>
      </c>
      <c r="O326" s="5">
        <v>283707430964589</v>
      </c>
      <c r="P326" s="5">
        <v>259427788441881</v>
      </c>
      <c r="Q326" s="5">
        <v>241586672624421</v>
      </c>
      <c r="R326" s="5">
        <v>230405095196186</v>
      </c>
      <c r="S326" s="5">
        <v>236748009672317</v>
      </c>
      <c r="T326" s="5">
        <v>245196291972499</v>
      </c>
      <c r="U326" s="5">
        <v>222980968605902</v>
      </c>
      <c r="V326" s="5">
        <v>198296576783885</v>
      </c>
      <c r="W326" s="5">
        <v>195192735502861</v>
      </c>
      <c r="X326" s="5">
        <v>209075949140519</v>
      </c>
      <c r="Y326" s="5">
        <v>192797798213732</v>
      </c>
      <c r="Z326" s="5">
        <v>193854040675704</v>
      </c>
      <c r="AA326" s="5">
        <v>192065243221404</v>
      </c>
      <c r="AB326" s="5">
        <v>162889293087376</v>
      </c>
      <c r="AC326" s="5">
        <v>14581547505887</v>
      </c>
      <c r="AD326" s="5">
        <v>139432577225691</v>
      </c>
      <c r="AE326" s="5">
        <v>133374458354586</v>
      </c>
      <c r="AF326" s="5">
        <v>110587852076486</v>
      </c>
      <c r="AG326" s="5">
        <v>98277762485076</v>
      </c>
      <c r="AH326" s="5">
        <v>10210879108689</v>
      </c>
      <c r="AI326" s="5">
        <v>104797558816298</v>
      </c>
      <c r="AJ326" s="5">
        <v>131068997178276</v>
      </c>
      <c r="AK326" s="5">
        <v>136600368866452</v>
      </c>
      <c r="AL326" s="5">
        <v>113240927665427</v>
      </c>
      <c r="AM326" s="5">
        <v>82031835249</v>
      </c>
      <c r="AN326" s="5">
        <v>25075442098224</v>
      </c>
      <c r="AO326" s="5">
        <v>27896738266441</v>
      </c>
      <c r="AP326" s="6">
        <v>687076044665149</v>
      </c>
      <c r="AQ326" s="6">
        <v>676608944107588</v>
      </c>
      <c r="AR326" s="6">
        <v>625351959613553</v>
      </c>
      <c r="AS326" s="6">
        <v>582565503391578</v>
      </c>
      <c r="AT326" s="6">
        <v>548822649499478</v>
      </c>
      <c r="AU326" s="6">
        <v>586000511653783</v>
      </c>
      <c r="AV326" s="6">
        <v>56193812916384</v>
      </c>
      <c r="AW326" s="6">
        <v>536939231140268</v>
      </c>
      <c r="AX326" s="6">
        <v>59815945659855</v>
      </c>
      <c r="AY326" s="6">
        <v>68082115938012</v>
      </c>
      <c r="AZ326" s="6">
        <v>640118056470201</v>
      </c>
      <c r="BA326" s="6">
        <v>62424968696361</v>
      </c>
      <c r="BB326" s="6">
        <v>572832221416356</v>
      </c>
      <c r="BC326" s="6">
        <v>65469531480192</v>
      </c>
      <c r="BD326" s="6">
        <v>615806687670075</v>
      </c>
      <c r="BE326" s="6">
        <v>654455415865977</v>
      </c>
      <c r="BF326" s="6">
        <v>657028152070532</v>
      </c>
      <c r="BG326" s="6">
        <v>669225824614105</v>
      </c>
      <c r="BH326" s="6">
        <v>643381978508539</v>
      </c>
      <c r="BI326" s="6">
        <v>667700678648833</v>
      </c>
      <c r="BJ326" s="6">
        <v>993991966941422</v>
      </c>
      <c r="BK326" s="6">
        <v>988087984835101</v>
      </c>
      <c r="BL326" s="6">
        <v>101435291862969</v>
      </c>
      <c r="BM326" s="6">
        <v>104380091976803</v>
      </c>
    </row>
    <row r="327" spans="1:65" x14ac:dyDescent="0.45">
      <c r="A327" s="1" t="s">
        <v>321</v>
      </c>
      <c r="B327" s="2">
        <v>4041363</v>
      </c>
      <c r="C327" s="3" t="s">
        <v>1244</v>
      </c>
      <c r="D327" s="3" t="s">
        <v>1245</v>
      </c>
      <c r="E327" s="3" t="s">
        <v>795</v>
      </c>
      <c r="F327" s="5">
        <v>206220532609854</v>
      </c>
      <c r="G327" s="5">
        <v>217079649653676</v>
      </c>
      <c r="H327" s="5">
        <v>212868237869646</v>
      </c>
      <c r="I327" s="5">
        <v>16791504341882</v>
      </c>
      <c r="J327" s="5">
        <v>19620127263341</v>
      </c>
      <c r="K327" s="5">
        <v>203372058179136</v>
      </c>
      <c r="L327" s="5">
        <v>178117369944492</v>
      </c>
      <c r="M327" s="5">
        <v>178864258927224</v>
      </c>
      <c r="N327" s="5">
        <v>18583516061382</v>
      </c>
      <c r="O327" s="5">
        <v>198707113074722</v>
      </c>
      <c r="P327" s="5">
        <v>180659171074395</v>
      </c>
      <c r="Q327" s="5">
        <v>193499649622656</v>
      </c>
      <c r="R327" s="5">
        <v>204779898147591</v>
      </c>
      <c r="S327" s="5">
        <v>22007410418938</v>
      </c>
      <c r="T327" s="5">
        <v>226810956322451</v>
      </c>
      <c r="U327" s="5">
        <v>205506936442783</v>
      </c>
      <c r="V327" s="5">
        <v>210826533312</v>
      </c>
      <c r="W327" s="5">
        <v>20509758384</v>
      </c>
      <c r="X327" s="5">
        <v>183295514752</v>
      </c>
      <c r="Y327" s="5">
        <v>18629415241095</v>
      </c>
      <c r="Z327" s="5">
        <v>181674893702445</v>
      </c>
      <c r="AA327" s="5">
        <v>1723916786094</v>
      </c>
      <c r="AB327" s="5">
        <v>15696857695551</v>
      </c>
      <c r="AC327" s="5">
        <v>146560589491956</v>
      </c>
      <c r="AD327" s="5">
        <v>15569251485855</v>
      </c>
      <c r="AE327" s="5">
        <v>145408802579779</v>
      </c>
      <c r="AF327" s="5">
        <v>144968210300076</v>
      </c>
      <c r="AG327" s="5">
        <v>153075113666221</v>
      </c>
      <c r="AH327" s="5">
        <v>14688102164946</v>
      </c>
      <c r="AI327" s="5">
        <v>14383490980557</v>
      </c>
      <c r="AJ327" s="5">
        <v>150711939708804</v>
      </c>
      <c r="AK327" s="5">
        <v>15252660640616</v>
      </c>
      <c r="AL327" s="5">
        <v>152696149389168</v>
      </c>
      <c r="AM327" s="5">
        <v>1386955703952</v>
      </c>
      <c r="AN327" s="5">
        <v>144260735557722</v>
      </c>
      <c r="AO327" s="5">
        <v>1517535534251</v>
      </c>
      <c r="AP327" s="6">
        <v>169823590328978</v>
      </c>
      <c r="AQ327" s="6">
        <v>171905023519386</v>
      </c>
      <c r="AR327" s="6">
        <v>171592529165705</v>
      </c>
      <c r="AS327" s="6">
        <v>175798017539698</v>
      </c>
      <c r="AT327" s="6">
        <v>173813324319207</v>
      </c>
      <c r="AU327" s="6">
        <v>160561989694319</v>
      </c>
      <c r="AV327" s="6">
        <v>161541784659284</v>
      </c>
      <c r="AW327" s="6">
        <v>160969499376294</v>
      </c>
      <c r="AX327" s="6">
        <v>160206663072831</v>
      </c>
      <c r="AY327" s="6">
        <v>153336419766471</v>
      </c>
      <c r="AZ327" s="6">
        <v>14263672133272</v>
      </c>
      <c r="BA327" s="6">
        <v>13884311300688</v>
      </c>
      <c r="BB327" s="6">
        <v>136206758507776</v>
      </c>
      <c r="BC327" s="6">
        <v>152022214815744</v>
      </c>
      <c r="BD327" s="6">
        <v>14015138246064</v>
      </c>
      <c r="BE327" s="6">
        <v>136094881373135</v>
      </c>
      <c r="BF327" s="6">
        <v>136477250298766</v>
      </c>
      <c r="BG327" s="6">
        <v>138981851267363</v>
      </c>
      <c r="BH327" s="6">
        <v>132302982419728</v>
      </c>
      <c r="BI327" s="6">
        <v>121912912773127</v>
      </c>
      <c r="BJ327" s="6">
        <v>118530043246408</v>
      </c>
      <c r="BK327" s="6">
        <v>125991069776314</v>
      </c>
      <c r="BL327" s="6">
        <v>127605551458948</v>
      </c>
      <c r="BM327" s="6">
        <v>137534303676484</v>
      </c>
    </row>
    <row r="328" spans="1:65" x14ac:dyDescent="0.45">
      <c r="A328" s="1" t="s">
        <v>322</v>
      </c>
      <c r="B328" s="2">
        <v>4001586</v>
      </c>
      <c r="C328" s="3" t="s">
        <v>1246</v>
      </c>
      <c r="D328" s="3" t="s">
        <v>1247</v>
      </c>
      <c r="E328" s="3" t="s">
        <v>702</v>
      </c>
      <c r="F328" s="5">
        <v>322054436583559</v>
      </c>
      <c r="G328" s="5">
        <v>357160519615782</v>
      </c>
      <c r="H328" s="5">
        <v>340548540562059</v>
      </c>
      <c r="I328" s="5">
        <v>296767728547342</v>
      </c>
      <c r="J328" s="5">
        <v>302128221559218</v>
      </c>
      <c r="K328" s="5">
        <v>311962969248479</v>
      </c>
      <c r="L328" s="5">
        <v>273857708691057</v>
      </c>
      <c r="M328" s="5">
        <v>281427189696454</v>
      </c>
      <c r="N328" s="5">
        <v>273989019132113</v>
      </c>
      <c r="O328" s="5">
        <v>275638629503863</v>
      </c>
      <c r="P328" s="5">
        <v>284163754819108</v>
      </c>
      <c r="Q328" s="5">
        <v>288333570705653</v>
      </c>
      <c r="R328" s="5">
        <v>269433967293838</v>
      </c>
      <c r="S328" s="5">
        <v>256946712642724</v>
      </c>
      <c r="T328" s="5">
        <v>269071096371358</v>
      </c>
      <c r="U328" s="5">
        <v>236397915608104</v>
      </c>
      <c r="V328" s="5">
        <v>240800381228955</v>
      </c>
      <c r="W328" s="5">
        <v>242872590972933</v>
      </c>
      <c r="X328" s="5">
        <v>261316596666685</v>
      </c>
      <c r="Y328" s="5">
        <v>260801173564554</v>
      </c>
      <c r="Z328" s="5">
        <v>259369683042342</v>
      </c>
      <c r="AA328" s="5">
        <v>274819255203844</v>
      </c>
      <c r="AB328" s="5">
        <v>260907712046127</v>
      </c>
      <c r="AC328" s="5">
        <v>260459625348355</v>
      </c>
      <c r="AD328" s="5">
        <v>244357503502878</v>
      </c>
      <c r="AE328" s="5">
        <v>252357498339458</v>
      </c>
      <c r="AF328" s="5">
        <v>253604548420141</v>
      </c>
      <c r="AG328" s="5">
        <v>251388743839037</v>
      </c>
      <c r="AH328" s="5">
        <v>248552785820943</v>
      </c>
      <c r="AI328" s="5">
        <v>248640300643356</v>
      </c>
      <c r="AJ328" s="5">
        <v>22994887311999</v>
      </c>
      <c r="AK328" s="5">
        <v>22969082256183</v>
      </c>
      <c r="AL328" s="5">
        <v>218769823770978</v>
      </c>
      <c r="AM328" s="5">
        <v>192692035359071</v>
      </c>
      <c r="AN328" s="5">
        <v>210717831544118</v>
      </c>
      <c r="AO328" s="5">
        <v>231804283898187</v>
      </c>
      <c r="AP328" s="6">
        <v>193214463262796</v>
      </c>
      <c r="AQ328" s="6">
        <v>193477079505458</v>
      </c>
      <c r="AR328" s="6">
        <v>190388236430766</v>
      </c>
      <c r="AS328" s="6">
        <v>182255803292189</v>
      </c>
      <c r="AT328" s="6">
        <v>178774876728567</v>
      </c>
      <c r="AU328" s="6">
        <v>194028963291031</v>
      </c>
      <c r="AV328" s="6">
        <v>211664369250491</v>
      </c>
      <c r="AW328" s="6">
        <v>20709397401801</v>
      </c>
      <c r="AX328" s="6">
        <v>201221972325796</v>
      </c>
      <c r="AY328" s="6">
        <v>210084568143288</v>
      </c>
      <c r="AZ328" s="6">
        <v>211332974727392</v>
      </c>
      <c r="BA328" s="6">
        <v>214217740314915</v>
      </c>
      <c r="BB328" s="6">
        <v>22037429256896</v>
      </c>
      <c r="BC328" s="6">
        <v>236018719259198</v>
      </c>
      <c r="BD328" s="6">
        <v>223015221498476</v>
      </c>
      <c r="BE328" s="6">
        <v>222355962801659</v>
      </c>
      <c r="BF328" s="6">
        <v>209684608625368</v>
      </c>
      <c r="BG328" s="6">
        <v>199588446328404</v>
      </c>
      <c r="BH328" s="6">
        <v>181895851285336</v>
      </c>
      <c r="BI328" s="6">
        <v>180267172767155</v>
      </c>
      <c r="BJ328" s="6">
        <v>180363515849852</v>
      </c>
      <c r="BK328" s="6">
        <v>171678973041062</v>
      </c>
      <c r="BL328" s="6">
        <v>177025637150115</v>
      </c>
      <c r="BM328" s="6">
        <v>177488739153529</v>
      </c>
    </row>
    <row r="329" spans="1:65" x14ac:dyDescent="0.45">
      <c r="A329" s="1" t="s">
        <v>323</v>
      </c>
      <c r="B329" s="2">
        <v>4062146</v>
      </c>
      <c r="C329" s="3" t="s">
        <v>1248</v>
      </c>
      <c r="D329" s="3" t="s">
        <v>1249</v>
      </c>
      <c r="E329" s="3" t="s">
        <v>545</v>
      </c>
      <c r="F329" s="5">
        <v>109958935001187</v>
      </c>
      <c r="G329" s="5">
        <v>12106379696202</v>
      </c>
      <c r="H329" s="5">
        <v>113139038407884</v>
      </c>
      <c r="I329" s="5">
        <v>106573190699469</v>
      </c>
      <c r="J329" s="5">
        <v>126521484820085</v>
      </c>
      <c r="K329" s="5">
        <v>128049217855254</v>
      </c>
      <c r="L329" s="5">
        <v>122177291712575</v>
      </c>
      <c r="M329" s="5">
        <v>136173759512213</v>
      </c>
      <c r="N329" s="5">
        <v>142308905149322</v>
      </c>
      <c r="O329" s="5">
        <v>130766697921355</v>
      </c>
      <c r="P329" s="5">
        <v>121743415053056</v>
      </c>
      <c r="Q329" s="5">
        <v>126842339048132</v>
      </c>
      <c r="R329" s="5">
        <v>11291543272818</v>
      </c>
      <c r="S329" s="5">
        <v>109277320983243</v>
      </c>
      <c r="T329" s="5">
        <v>112045543511555</v>
      </c>
      <c r="U329" s="5">
        <v>111843382063594</v>
      </c>
      <c r="V329" s="5">
        <v>121215605805252</v>
      </c>
      <c r="W329" s="5">
        <v>11232193053432</v>
      </c>
      <c r="X329" s="5">
        <v>107546665841048</v>
      </c>
      <c r="Y329" s="5">
        <v>114848160541452</v>
      </c>
      <c r="Z329" s="5">
        <v>115777563055605</v>
      </c>
      <c r="AA329" s="5">
        <v>108076299827818</v>
      </c>
      <c r="AB329" s="5">
        <v>102741272510974</v>
      </c>
      <c r="AC329" s="5">
        <v>104299731229392</v>
      </c>
      <c r="AD329" s="5">
        <v>1061577767457</v>
      </c>
      <c r="AE329" s="5">
        <v>102419208684</v>
      </c>
      <c r="AF329" s="5">
        <v>925049435679781</v>
      </c>
      <c r="AG329" s="5">
        <v>87442146076602</v>
      </c>
      <c r="AH329" s="5">
        <v>79740245238374</v>
      </c>
      <c r="AI329" s="5">
        <v>763214349962704</v>
      </c>
      <c r="AJ329" s="5">
        <v>833026364174628</v>
      </c>
      <c r="AK329" s="5">
        <v>85684811700893</v>
      </c>
      <c r="AL329" s="5">
        <v>829920810787728</v>
      </c>
      <c r="AM329" s="5">
        <v>74225354586656</v>
      </c>
      <c r="AN329" s="5">
        <v>774038706607106</v>
      </c>
      <c r="AO329" s="5">
        <v>8112721964589</v>
      </c>
      <c r="AP329" s="6">
        <v>512625311364787</v>
      </c>
      <c r="AQ329" s="6">
        <v>358325217383383</v>
      </c>
      <c r="AR329" s="6">
        <v>292931032120085</v>
      </c>
      <c r="AS329" s="6">
        <v>4853511405603</v>
      </c>
      <c r="AT329" s="6">
        <v>502822934862402</v>
      </c>
      <c r="AU329" s="6">
        <v>862076943853041</v>
      </c>
      <c r="AV329" s="6">
        <v>1065945022821</v>
      </c>
      <c r="AW329" s="6">
        <v>811833767823042</v>
      </c>
      <c r="AX329" s="6">
        <v>106366502985498</v>
      </c>
      <c r="AY329" s="6">
        <v>83670187516542</v>
      </c>
      <c r="AZ329" s="6">
        <v>788917629440745</v>
      </c>
      <c r="BA329" s="6">
        <v>5886434358324</v>
      </c>
      <c r="BB329" s="6">
        <v>10758990175637</v>
      </c>
      <c r="BC329" s="6">
        <v>120844965204572</v>
      </c>
      <c r="BD329" s="6">
        <v>21387639084071</v>
      </c>
      <c r="BE329" s="6">
        <v>20479610286329</v>
      </c>
      <c r="BF329" s="6">
        <v>205743849918016</v>
      </c>
      <c r="BG329" s="6">
        <v>190373026164568</v>
      </c>
      <c r="BH329" s="6">
        <v>188383333091964</v>
      </c>
      <c r="BI329" s="6">
        <v>191925845006058</v>
      </c>
      <c r="BJ329" s="6">
        <v>196973901666665</v>
      </c>
      <c r="BK329" s="6">
        <v>184302450296677</v>
      </c>
      <c r="BL329" s="6">
        <v>173301039303619</v>
      </c>
      <c r="BM329" s="6">
        <v>175466928695325</v>
      </c>
    </row>
    <row r="330" spans="1:65" x14ac:dyDescent="0.45">
      <c r="A330" s="1" t="s">
        <v>324</v>
      </c>
      <c r="B330" s="2">
        <v>4318651</v>
      </c>
      <c r="C330" s="3" t="s">
        <v>1250</v>
      </c>
      <c r="D330" s="3" t="s">
        <v>1251</v>
      </c>
      <c r="E330" s="3" t="s">
        <v>795</v>
      </c>
      <c r="F330" s="5">
        <v>394780116499128</v>
      </c>
      <c r="G330" s="5">
        <v>498139175078118</v>
      </c>
      <c r="H330" s="5">
        <v>519222630143763</v>
      </c>
      <c r="I330" s="5">
        <v>499785925586439</v>
      </c>
      <c r="J330" s="5">
        <v>550840874414962</v>
      </c>
      <c r="K330" s="5">
        <v>487533536999145</v>
      </c>
      <c r="L330" s="5">
        <v>470780208890891</v>
      </c>
      <c r="M330" s="5">
        <v>466932521467322</v>
      </c>
      <c r="N330" s="5">
        <v>524526486719673</v>
      </c>
      <c r="O330" s="5">
        <v>551890286870617</v>
      </c>
      <c r="P330" s="5">
        <v>521159338052912</v>
      </c>
      <c r="Q330" s="5">
        <v>45577436143164</v>
      </c>
      <c r="R330" s="5">
        <v>483030311429595</v>
      </c>
      <c r="S330" s="5">
        <v>47877393979053</v>
      </c>
      <c r="T330" s="5">
        <v>431541792644204</v>
      </c>
      <c r="U330" s="5">
        <v>402561150998916</v>
      </c>
      <c r="V330" s="5">
        <v>380402037810513</v>
      </c>
      <c r="W330" s="5">
        <v>327622084127527</v>
      </c>
      <c r="X330" s="5">
        <v>304778487181966</v>
      </c>
      <c r="Y330" s="5">
        <v>290270221740499</v>
      </c>
      <c r="Z330" s="5">
        <v>28567261454402</v>
      </c>
      <c r="AA330" s="5">
        <v>266828953878946</v>
      </c>
      <c r="AB330" s="5">
        <v>287977369266466</v>
      </c>
      <c r="AC330" s="5">
        <v>279776522287598</v>
      </c>
      <c r="AD330" s="5">
        <v>281309735555135</v>
      </c>
      <c r="AE330" s="5">
        <v>234147336316543</v>
      </c>
      <c r="AF330" s="5">
        <v>18024696092613</v>
      </c>
      <c r="AG330" s="5">
        <v>200869986041694</v>
      </c>
      <c r="AH330" s="5">
        <v>207713689356871</v>
      </c>
      <c r="AI330" s="5">
        <v>208683859000631</v>
      </c>
      <c r="AJ330" s="5">
        <v>196872176221595</v>
      </c>
      <c r="AK330" s="5">
        <v>204146284109649</v>
      </c>
      <c r="AL330" s="5">
        <v>179099633378128</v>
      </c>
      <c r="AM330" s="5">
        <v>148763241341811</v>
      </c>
      <c r="AN330" s="5">
        <v>167379504861597</v>
      </c>
      <c r="AO330" s="5">
        <v>207445988235486</v>
      </c>
      <c r="AP330" s="6">
        <v>117972168944443</v>
      </c>
      <c r="AQ330" s="6">
        <v>117106432073205</v>
      </c>
      <c r="AR330" s="6">
        <v>113671925976327</v>
      </c>
      <c r="AS330" s="6">
        <v>10834153509748</v>
      </c>
      <c r="AT330" s="6">
        <v>101976321990974</v>
      </c>
      <c r="AU330" s="6">
        <v>116880267368109</v>
      </c>
      <c r="AV330" s="6">
        <v>107369318744393</v>
      </c>
      <c r="AW330" s="6">
        <v>107651166425831</v>
      </c>
      <c r="AX330" s="6">
        <v>120193235003243</v>
      </c>
      <c r="AY330" s="6">
        <v>122527377560656</v>
      </c>
      <c r="AZ330" s="6">
        <v>118680099753829</v>
      </c>
      <c r="BA330" s="6">
        <v>104116663326761</v>
      </c>
      <c r="BB330" s="6">
        <v>906414656519058</v>
      </c>
      <c r="BC330" s="6">
        <v>118801840225198</v>
      </c>
      <c r="BD330" s="6">
        <v>120957263785605</v>
      </c>
      <c r="BE330" s="6">
        <v>109097587943217</v>
      </c>
      <c r="BF330" s="6">
        <v>104310883622299</v>
      </c>
      <c r="BG330" s="6">
        <v>114634542348231</v>
      </c>
      <c r="BH330" s="6">
        <v>107573085553776</v>
      </c>
      <c r="BI330" s="6">
        <v>106048463942191</v>
      </c>
      <c r="BJ330" s="6">
        <v>10556804140169</v>
      </c>
      <c r="BK330" s="6">
        <v>125650637378062</v>
      </c>
      <c r="BL330" s="6">
        <v>13172546691314</v>
      </c>
      <c r="BM330" s="6">
        <v>133889475385484</v>
      </c>
    </row>
    <row r="331" spans="1:65" x14ac:dyDescent="0.45">
      <c r="A331" s="1" t="s">
        <v>325</v>
      </c>
      <c r="B331" s="2">
        <v>4074329</v>
      </c>
      <c r="C331" s="3" t="s">
        <v>1252</v>
      </c>
      <c r="D331" s="3" t="s">
        <v>1253</v>
      </c>
      <c r="E331" s="3" t="s">
        <v>954</v>
      </c>
      <c r="F331" s="5">
        <v>103574390154773</v>
      </c>
      <c r="G331" s="5">
        <v>12750968556548</v>
      </c>
      <c r="H331" s="5">
        <v>121400011058382</v>
      </c>
      <c r="I331" s="5">
        <v>127078704445658</v>
      </c>
      <c r="J331" s="5">
        <v>151977402424087</v>
      </c>
      <c r="K331" s="5">
        <v>151856307902901</v>
      </c>
      <c r="L331" s="5">
        <v>154250041783309</v>
      </c>
      <c r="M331" s="5">
        <v>208665555860954</v>
      </c>
      <c r="N331" s="5">
        <v>180293749443823</v>
      </c>
      <c r="O331" s="5">
        <v>221708691539835</v>
      </c>
      <c r="P331" s="5">
        <v>178039540597637</v>
      </c>
      <c r="Q331" s="5">
        <v>194482263739452</v>
      </c>
      <c r="R331" s="5">
        <v>172947818645327</v>
      </c>
      <c r="S331" s="5">
        <v>178642720699872</v>
      </c>
      <c r="T331" s="5">
        <v>203464162325848</v>
      </c>
      <c r="U331" s="5">
        <v>221293155435001</v>
      </c>
      <c r="V331" s="5">
        <v>228597441813508</v>
      </c>
      <c r="W331" s="5">
        <v>224232549854693</v>
      </c>
      <c r="X331" s="5">
        <v>247493878745856</v>
      </c>
      <c r="Y331" s="5">
        <v>226322610904985</v>
      </c>
      <c r="Z331" s="5">
        <v>221691370354087</v>
      </c>
      <c r="AA331" s="5">
        <v>246688198210655</v>
      </c>
      <c r="AB331" s="5">
        <v>330157196544109</v>
      </c>
      <c r="AC331" s="5">
        <v>246685223117427</v>
      </c>
      <c r="AD331" s="5">
        <v>188252726055449</v>
      </c>
      <c r="AE331" s="5">
        <v>182728249854494</v>
      </c>
      <c r="AF331" s="5">
        <v>151605898228553</v>
      </c>
      <c r="AG331" s="5">
        <v>147960292560698</v>
      </c>
      <c r="AH331" s="5">
        <v>144691510406591</v>
      </c>
      <c r="AI331" s="5">
        <v>136347477614352</v>
      </c>
      <c r="AJ331" s="5">
        <v>128577542134544</v>
      </c>
      <c r="AK331" s="5">
        <v>116583629172763</v>
      </c>
      <c r="AL331" s="5">
        <v>981606735649472</v>
      </c>
      <c r="AM331" s="5">
        <v>80063280506846</v>
      </c>
      <c r="AN331" s="5">
        <v>139903698039709</v>
      </c>
      <c r="AO331" s="5">
        <v>191135153</v>
      </c>
      <c r="AP331" s="6">
        <v>441146874778188</v>
      </c>
      <c r="AQ331" s="6">
        <v>462664539353503</v>
      </c>
      <c r="AR331" s="6">
        <v>465683282546059</v>
      </c>
      <c r="AS331" s="6">
        <v>421230172486349</v>
      </c>
      <c r="AT331" s="6">
        <v>4022270575929</v>
      </c>
      <c r="AU331" s="6">
        <v>413331891452215</v>
      </c>
      <c r="AV331" s="6">
        <v>37283244728242</v>
      </c>
      <c r="AW331" s="6">
        <v>328759646823029</v>
      </c>
      <c r="AX331" s="6">
        <v>381599695637968</v>
      </c>
      <c r="AY331" s="6">
        <v>385274735506822</v>
      </c>
      <c r="AZ331" s="6">
        <v>384918867481013</v>
      </c>
      <c r="BA331" s="6">
        <v>384084790832805</v>
      </c>
      <c r="BB331" s="6">
        <v>346966415893846</v>
      </c>
      <c r="BC331" s="6">
        <v>380875054255933</v>
      </c>
      <c r="BD331" s="6">
        <v>418893020138619</v>
      </c>
      <c r="BE331" s="6">
        <v>450418587766706</v>
      </c>
      <c r="BF331" s="6">
        <v>473995044671397</v>
      </c>
      <c r="BG331" s="6">
        <v>489304863674123</v>
      </c>
      <c r="BH331" s="6">
        <v>448418841410483</v>
      </c>
      <c r="BI331" s="6">
        <v>465433871265735</v>
      </c>
      <c r="BJ331" s="6">
        <v>429440835223591</v>
      </c>
      <c r="BK331" s="6">
        <v>363743607991023</v>
      </c>
      <c r="BL331" s="6">
        <v>34527078495</v>
      </c>
      <c r="BM331" s="6">
        <v>417145525759283</v>
      </c>
    </row>
    <row r="332" spans="1:65" x14ac:dyDescent="0.45">
      <c r="A332" s="1" t="s">
        <v>326</v>
      </c>
      <c r="B332" s="2">
        <v>4004412</v>
      </c>
      <c r="C332" s="3" t="s">
        <v>1254</v>
      </c>
      <c r="D332" s="3" t="s">
        <v>1255</v>
      </c>
      <c r="E332" s="3" t="s">
        <v>847</v>
      </c>
      <c r="F332" s="5">
        <v>349634295665397</v>
      </c>
      <c r="G332" s="5">
        <v>372225252656183</v>
      </c>
      <c r="H332" s="5">
        <v>377551499059489</v>
      </c>
      <c r="I332" s="5">
        <v>317436628989329</v>
      </c>
      <c r="J332" s="5">
        <v>337852039661445</v>
      </c>
      <c r="K332" s="5">
        <v>363836869423827</v>
      </c>
      <c r="L332" s="5">
        <v>302151030949314</v>
      </c>
      <c r="M332" s="5">
        <v>325666506779213</v>
      </c>
      <c r="N332" s="5">
        <v>330163234537621</v>
      </c>
      <c r="O332" s="5">
        <v>328184234441408</v>
      </c>
      <c r="P332" s="5">
        <v>33909782230692</v>
      </c>
      <c r="Q332" s="5">
        <v>355699738934044</v>
      </c>
      <c r="R332" s="5">
        <v>35948577402763</v>
      </c>
      <c r="S332" s="5">
        <v>344404179310613</v>
      </c>
      <c r="T332" s="5">
        <v>329737309383577</v>
      </c>
      <c r="U332" s="5">
        <v>310151776210711</v>
      </c>
      <c r="V332" s="5">
        <v>324482033522901</v>
      </c>
      <c r="W332" s="5">
        <v>33947042254969</v>
      </c>
      <c r="X332" s="5">
        <v>334276287282324</v>
      </c>
      <c r="Y332" s="5">
        <v>326301276451609</v>
      </c>
      <c r="Z332" s="5">
        <v>336734361710847</v>
      </c>
      <c r="AA332" s="5">
        <v>346900932383094</v>
      </c>
      <c r="AB332" s="5">
        <v>306144948610926</v>
      </c>
      <c r="AC332" s="5">
        <v>280766136669152</v>
      </c>
      <c r="AD332" s="5">
        <v>286831928776227</v>
      </c>
      <c r="AE332" s="5">
        <v>288018522920119</v>
      </c>
      <c r="AF332" s="5">
        <v>230282851913407</v>
      </c>
      <c r="AG332" s="5">
        <v>221935485189786</v>
      </c>
      <c r="AH332" s="5">
        <v>221546845254218</v>
      </c>
      <c r="AI332" s="5">
        <v>193917396552975</v>
      </c>
      <c r="AJ332" s="5">
        <v>208806830951149</v>
      </c>
      <c r="AK332" s="5">
        <v>207562215538232</v>
      </c>
      <c r="AL332" s="5">
        <v>185532801057327</v>
      </c>
      <c r="AM332" s="5">
        <v>151538155621671</v>
      </c>
      <c r="AN332" s="5">
        <v>21566458629145</v>
      </c>
      <c r="AO332" s="5">
        <v>226756117081098</v>
      </c>
      <c r="AP332" s="6">
        <v>900822382400735</v>
      </c>
      <c r="AQ332" s="6">
        <v>891588294093514</v>
      </c>
      <c r="AR332" s="6">
        <v>948238175229041</v>
      </c>
      <c r="AS332" s="6">
        <v>999761442734504</v>
      </c>
      <c r="AT332" s="6">
        <v>973178615125361</v>
      </c>
      <c r="AU332" s="6">
        <v>920238370815003</v>
      </c>
      <c r="AV332" s="6">
        <v>928379849126283</v>
      </c>
      <c r="AW332" s="6">
        <v>94589926016483</v>
      </c>
      <c r="AX332" s="6">
        <v>954649941630735</v>
      </c>
      <c r="AY332" s="6">
        <v>956146612133988</v>
      </c>
      <c r="AZ332" s="6">
        <v>923112630171503</v>
      </c>
      <c r="BA332" s="6">
        <v>862215534239364</v>
      </c>
      <c r="BB332" s="6">
        <v>834026583242952</v>
      </c>
      <c r="BC332" s="6">
        <v>884564144532173</v>
      </c>
      <c r="BD332" s="6">
        <v>813692273608463</v>
      </c>
      <c r="BE332" s="6">
        <v>763106287900541</v>
      </c>
      <c r="BF332" s="6">
        <v>757738236479467</v>
      </c>
      <c r="BG332" s="6">
        <v>769287952806408</v>
      </c>
      <c r="BH332" s="6">
        <v>772875869766797</v>
      </c>
      <c r="BI332" s="6">
        <v>76429642749925</v>
      </c>
      <c r="BJ332" s="6">
        <v>74622886880766</v>
      </c>
      <c r="BK332" s="6">
        <v>725506395550104</v>
      </c>
      <c r="BL332" s="6">
        <v>704676753261936</v>
      </c>
      <c r="BM332" s="6">
        <v>718107431149388</v>
      </c>
    </row>
    <row r="333" spans="1:65" x14ac:dyDescent="0.45">
      <c r="A333" s="1" t="s">
        <v>327</v>
      </c>
      <c r="B333" s="2">
        <v>4070114</v>
      </c>
      <c r="C333" s="3" t="s">
        <v>1256</v>
      </c>
      <c r="D333" s="3" t="s">
        <v>1257</v>
      </c>
      <c r="E333" s="3" t="s">
        <v>617</v>
      </c>
      <c r="F333" s="5">
        <v>389770647182336</v>
      </c>
      <c r="G333" s="5">
        <v>433460620403503</v>
      </c>
      <c r="H333" s="5">
        <v>431208159882825</v>
      </c>
      <c r="I333" s="5">
        <v>412412745855501</v>
      </c>
      <c r="J333" s="5">
        <v>44075740065402</v>
      </c>
      <c r="K333" s="5">
        <v>452639460230243</v>
      </c>
      <c r="L333" s="5">
        <v>392032023158</v>
      </c>
      <c r="M333" s="5">
        <v>416693284951668</v>
      </c>
      <c r="N333" s="5">
        <v>434138201154927</v>
      </c>
      <c r="O333" s="5">
        <v>443510923777624</v>
      </c>
      <c r="P333" s="5">
        <v>38253073144</v>
      </c>
      <c r="Q333" s="5">
        <v>379331149824</v>
      </c>
      <c r="R333" s="5">
        <v>4330482156</v>
      </c>
      <c r="S333" s="5">
        <v>381339993424749</v>
      </c>
      <c r="T333" s="5">
        <v>384434958144049</v>
      </c>
      <c r="U333" s="5">
        <v>349880639023812</v>
      </c>
      <c r="V333" s="5">
        <v>34895965753832</v>
      </c>
      <c r="W333" s="5">
        <v>345257998065981</v>
      </c>
      <c r="X333" s="5">
        <v>32560755836</v>
      </c>
      <c r="Y333" s="5">
        <v>299046135762052</v>
      </c>
      <c r="Z333" s="5">
        <v>292048184682737</v>
      </c>
      <c r="AA333" s="5">
        <v>301174048243786</v>
      </c>
      <c r="AB333" s="5">
        <v>271444751071792</v>
      </c>
      <c r="AC333" s="5">
        <v>259417200475074</v>
      </c>
      <c r="AD333" s="5">
        <v>274709526967926</v>
      </c>
      <c r="AE333" s="5">
        <v>280189532040378</v>
      </c>
      <c r="AF333" s="5">
        <v>253730740109558</v>
      </c>
      <c r="AG333" s="5">
        <v>244539796743466</v>
      </c>
      <c r="AH333" s="5">
        <v>229494758577947</v>
      </c>
      <c r="AI333" s="5">
        <v>218110354370356</v>
      </c>
      <c r="AJ333" s="5">
        <v>241456560672307</v>
      </c>
      <c r="AK333" s="5">
        <v>233221925017991</v>
      </c>
      <c r="AL333" s="5">
        <v>224678299062274</v>
      </c>
      <c r="AM333" s="5">
        <v>20539041404882</v>
      </c>
      <c r="AN333" s="5">
        <v>252492464189347</v>
      </c>
      <c r="AO333" s="5">
        <v>277264051674192</v>
      </c>
      <c r="AP333" s="6">
        <v>757721432660405</v>
      </c>
      <c r="AQ333" s="6">
        <v>750203154601872</v>
      </c>
      <c r="AR333" s="6">
        <v>744936270506544</v>
      </c>
      <c r="AS333" s="6">
        <v>738473591237256</v>
      </c>
      <c r="AT333" s="6">
        <v>712802247010157</v>
      </c>
      <c r="AU333" s="6">
        <v>679268754348156</v>
      </c>
      <c r="AV333" s="6">
        <v>66758764918456</v>
      </c>
      <c r="AW333" s="6">
        <v>641456352793112</v>
      </c>
      <c r="AX333" s="6">
        <v>65184032691519</v>
      </c>
      <c r="AY333" s="6">
        <v>582059012060097</v>
      </c>
      <c r="AZ333" s="6">
        <v>551840933483242</v>
      </c>
      <c r="BA333" s="6">
        <v>526931512403328</v>
      </c>
      <c r="BB333" s="6">
        <v>522742035927936</v>
      </c>
      <c r="BC333" s="6">
        <v>577894384735027</v>
      </c>
      <c r="BD333" s="6">
        <v>5184709658832</v>
      </c>
      <c r="BE333" s="6">
        <v>579920063885366</v>
      </c>
      <c r="BF333" s="6">
        <v>571345933679046</v>
      </c>
      <c r="BG333" s="6">
        <v>528718602307725</v>
      </c>
      <c r="BH333" s="6">
        <v>525518526659805</v>
      </c>
      <c r="BI333" s="6">
        <v>496103534221655</v>
      </c>
      <c r="BJ333" s="6">
        <v>466225814958204</v>
      </c>
      <c r="BK333" s="6">
        <v>48230100563021</v>
      </c>
      <c r="BL333" s="6">
        <v>456664676393835</v>
      </c>
      <c r="BM333" s="6">
        <v>43669118419248</v>
      </c>
    </row>
    <row r="334" spans="1:65" x14ac:dyDescent="0.45">
      <c r="A334" s="1" t="s">
        <v>328</v>
      </c>
      <c r="B334" s="2">
        <v>4580296</v>
      </c>
      <c r="C334" s="3" t="s">
        <v>1258</v>
      </c>
      <c r="D334" s="3" t="s">
        <v>1259</v>
      </c>
      <c r="E334" s="3" t="s">
        <v>553</v>
      </c>
      <c r="F334" s="5">
        <v>759720796358435</v>
      </c>
      <c r="G334" s="5">
        <v>866810703597966</v>
      </c>
      <c r="H334" s="5">
        <v>977504918140228</v>
      </c>
      <c r="I334" s="5">
        <v>101508728468989</v>
      </c>
      <c r="J334" s="5">
        <v>107293871816327</v>
      </c>
      <c r="K334" s="5">
        <v>982411732332651</v>
      </c>
      <c r="L334" s="5">
        <v>77367424766325</v>
      </c>
      <c r="M334" s="5">
        <v>919764424085189</v>
      </c>
      <c r="N334" s="5">
        <v>966231193130688</v>
      </c>
      <c r="O334" s="5">
        <v>121286482933243</v>
      </c>
      <c r="P334" s="5">
        <v>116120309421716</v>
      </c>
      <c r="Q334" s="5">
        <v>180361218441142</v>
      </c>
      <c r="R334" s="5">
        <v>194825034183184</v>
      </c>
      <c r="S334" s="5">
        <v>192728975205358</v>
      </c>
      <c r="T334" s="5">
        <v>236350469374199</v>
      </c>
      <c r="U334" s="5">
        <v>263805513870394</v>
      </c>
      <c r="V334" s="5">
        <v>287357345970977</v>
      </c>
      <c r="W334" s="5">
        <v>272926820788048</v>
      </c>
      <c r="X334" s="5">
        <v>288788368963945</v>
      </c>
      <c r="Y334" s="5">
        <v>250624013047186</v>
      </c>
      <c r="Z334" s="5">
        <v>256037905268617</v>
      </c>
      <c r="AA334" s="5">
        <v>242315889967757</v>
      </c>
      <c r="AB334" s="5">
        <v>251528762551554</v>
      </c>
      <c r="AC334" s="5">
        <v>226165316978282</v>
      </c>
      <c r="AD334" s="5">
        <v>224330356213426</v>
      </c>
      <c r="AE334" s="5">
        <v>209913513374715</v>
      </c>
      <c r="AF334" s="5">
        <v>187397271860288</v>
      </c>
      <c r="AG334" s="5">
        <v>196868845700946</v>
      </c>
      <c r="AH334" s="5">
        <v>200356317345958</v>
      </c>
      <c r="AI334" s="5">
        <v>194460322923091</v>
      </c>
      <c r="AJ334" s="5">
        <v>181784500629123</v>
      </c>
      <c r="AK334" s="5">
        <v>163715006590053</v>
      </c>
      <c r="AL334" s="5">
        <v>131873187218741</v>
      </c>
      <c r="AM334" s="5">
        <v>102191869901849</v>
      </c>
      <c r="AN334" s="5">
        <v>115178723946909</v>
      </c>
      <c r="AO334" s="5">
        <v>12050085894</v>
      </c>
      <c r="AP334" s="6">
        <v>281279939138271</v>
      </c>
      <c r="AQ334" s="6">
        <v>276508690875158</v>
      </c>
      <c r="AR334" s="6">
        <v>265418490611031</v>
      </c>
      <c r="AS334" s="6">
        <v>256816157495602</v>
      </c>
      <c r="AT334" s="6">
        <v>238018460354643</v>
      </c>
      <c r="AU334" s="6">
        <v>249229723823794</v>
      </c>
      <c r="AV334" s="6">
        <v>242114306179843</v>
      </c>
      <c r="AW334" s="6">
        <v>221616669572839</v>
      </c>
      <c r="AX334" s="6">
        <v>247553132448563</v>
      </c>
      <c r="AY334" s="6">
        <v>23744080404592</v>
      </c>
      <c r="AZ334" s="6">
        <v>231937876176462</v>
      </c>
      <c r="BA334" s="6">
        <v>220811874108005</v>
      </c>
      <c r="BB334" s="6">
        <v>214187603283764</v>
      </c>
      <c r="BC334" s="6">
        <v>231633404987562</v>
      </c>
      <c r="BD334" s="6">
        <v>222725903164354</v>
      </c>
      <c r="BE334" s="6">
        <v>227323226979699</v>
      </c>
      <c r="BF334" s="6">
        <v>230474348677218</v>
      </c>
      <c r="BG334" s="6">
        <v>228849826355929</v>
      </c>
      <c r="BH334" s="6">
        <v>216465426908493</v>
      </c>
      <c r="BI334" s="6">
        <v>215811518033699</v>
      </c>
      <c r="BJ334" s="6">
        <v>218630690535677</v>
      </c>
      <c r="BK334" s="6">
        <v>226268205350861</v>
      </c>
      <c r="BL334" s="6">
        <v>230110958469647</v>
      </c>
      <c r="BM334" s="6">
        <v>242889757647376</v>
      </c>
    </row>
    <row r="335" spans="1:65" x14ac:dyDescent="0.45">
      <c r="A335" s="1" t="s">
        <v>329</v>
      </c>
      <c r="B335" s="2">
        <v>4765589</v>
      </c>
      <c r="C335" s="3" t="s">
        <v>1260</v>
      </c>
      <c r="D335" s="3" t="s">
        <v>1261</v>
      </c>
      <c r="E335" s="3" t="s">
        <v>847</v>
      </c>
      <c r="F335" s="5">
        <v>692337152050424</v>
      </c>
      <c r="G335" s="5">
        <v>730095824580383</v>
      </c>
      <c r="H335" s="5">
        <v>714504111293859</v>
      </c>
      <c r="I335" s="5">
        <v>681430994780629</v>
      </c>
      <c r="J335" s="5">
        <v>72665049748036</v>
      </c>
      <c r="K335" s="5">
        <v>788285237376547</v>
      </c>
      <c r="L335" s="5">
        <v>724179018935227</v>
      </c>
      <c r="M335" s="5">
        <v>773466054291302</v>
      </c>
      <c r="N335" s="5">
        <v>796509834592395</v>
      </c>
      <c r="O335" s="5">
        <v>805679764798217</v>
      </c>
      <c r="P335" s="5">
        <v>851395850161018</v>
      </c>
      <c r="Q335" s="5">
        <v>941097136490784</v>
      </c>
      <c r="R335" s="5">
        <v>106262300015081</v>
      </c>
      <c r="S335" s="5">
        <v>108185966108352</v>
      </c>
      <c r="T335" s="5">
        <v>105855185536351</v>
      </c>
      <c r="U335" s="5">
        <v>103938384257136</v>
      </c>
      <c r="V335" s="5">
        <v>108424629509412</v>
      </c>
      <c r="W335" s="5">
        <v>103007305105148</v>
      </c>
      <c r="X335" s="5">
        <v>946037747964367</v>
      </c>
      <c r="Y335" s="5">
        <v>940533463708542</v>
      </c>
      <c r="Z335" s="5">
        <v>89129252277598</v>
      </c>
      <c r="AA335" s="5">
        <v>882318033103392</v>
      </c>
      <c r="AB335" s="5">
        <v>76764777877409</v>
      </c>
      <c r="AC335" s="5">
        <v>746298488785996</v>
      </c>
      <c r="AD335" s="5">
        <v>721960811206928</v>
      </c>
      <c r="AE335" s="5">
        <v>721240847798882</v>
      </c>
      <c r="AF335" s="5">
        <v>710282985099563</v>
      </c>
      <c r="AG335" s="5">
        <v>646674757350964</v>
      </c>
      <c r="AH335" s="5">
        <v>62646504507797</v>
      </c>
      <c r="AI335" s="5">
        <v>600939897859085</v>
      </c>
      <c r="AJ335" s="5">
        <v>559453664413783</v>
      </c>
      <c r="AK335" s="5">
        <v>583459223055884</v>
      </c>
      <c r="AL335" s="5">
        <v>524001815059417</v>
      </c>
      <c r="AM335" s="5">
        <v>45398182747008</v>
      </c>
      <c r="AN335" s="5">
        <v>602781884430863</v>
      </c>
      <c r="AO335" s="5">
        <v>650904162853428</v>
      </c>
      <c r="AP335" s="6">
        <v>231172954368687</v>
      </c>
      <c r="AQ335" s="6">
        <v>22331329597806</v>
      </c>
      <c r="AR335" s="6">
        <v>216991105794083</v>
      </c>
      <c r="AS335" s="6">
        <v>208581258197951</v>
      </c>
      <c r="AT335" s="6">
        <v>194045171750786</v>
      </c>
      <c r="AU335" s="6">
        <v>192146241308216</v>
      </c>
      <c r="AV335" s="6">
        <v>196686238562756</v>
      </c>
      <c r="AW335" s="6">
        <v>192688565691362</v>
      </c>
      <c r="AX335" s="6">
        <v>200830027109922</v>
      </c>
      <c r="AY335" s="6">
        <v>20388340565705</v>
      </c>
      <c r="AZ335" s="6">
        <v>203653693533559</v>
      </c>
      <c r="BA335" s="6">
        <v>196919655392959</v>
      </c>
      <c r="BB335" s="6">
        <v>178202105944131</v>
      </c>
      <c r="BC335" s="6">
        <v>194577046702671</v>
      </c>
      <c r="BD335" s="6">
        <v>19326516614544</v>
      </c>
      <c r="BE335" s="6">
        <v>181217265062341</v>
      </c>
      <c r="BF335" s="6">
        <v>179237068755666</v>
      </c>
      <c r="BG335" s="6">
        <v>171852455479154</v>
      </c>
      <c r="BH335" s="6">
        <v>171057224305692</v>
      </c>
      <c r="BI335" s="6">
        <v>163802270751741</v>
      </c>
      <c r="BJ335" s="6">
        <v>167324918118711</v>
      </c>
      <c r="BK335" s="6">
        <v>15966912518271</v>
      </c>
      <c r="BL335" s="6">
        <v>162854272369152</v>
      </c>
      <c r="BM335" s="6">
        <v>176386574959646</v>
      </c>
    </row>
    <row r="336" spans="1:65" x14ac:dyDescent="0.45">
      <c r="A336" s="1" t="s">
        <v>330</v>
      </c>
      <c r="B336" s="2">
        <v>4004166</v>
      </c>
      <c r="C336" s="3" t="s">
        <v>1262</v>
      </c>
      <c r="D336" s="3" t="s">
        <v>1263</v>
      </c>
      <c r="E336" s="3" t="s">
        <v>1080</v>
      </c>
      <c r="F336" s="5">
        <v>235639216851063</v>
      </c>
      <c r="G336" s="5">
        <v>25075734120631</v>
      </c>
      <c r="H336" s="5">
        <v>252991296321544</v>
      </c>
      <c r="I336" s="5">
        <v>229744137199299</v>
      </c>
      <c r="J336" s="5">
        <v>236028693341064</v>
      </c>
      <c r="K336" s="5">
        <v>23669643144148</v>
      </c>
      <c r="L336" s="5">
        <v>220437030922616</v>
      </c>
      <c r="M336" s="5">
        <v>216196090181439</v>
      </c>
      <c r="N336" s="5">
        <v>225288401566788</v>
      </c>
      <c r="O336" s="5">
        <v>208421641231334</v>
      </c>
      <c r="P336" s="5">
        <v>201721698856158</v>
      </c>
      <c r="Q336" s="5">
        <v>216691704162165</v>
      </c>
      <c r="R336" s="5">
        <v>213648800033854</v>
      </c>
      <c r="S336" s="5">
        <v>196000478832709</v>
      </c>
      <c r="T336" s="5">
        <v>193228071641194</v>
      </c>
      <c r="U336" s="5">
        <v>179362238006975</v>
      </c>
      <c r="V336" s="5">
        <v>183121397191201</v>
      </c>
      <c r="W336" s="5">
        <v>182866040396161</v>
      </c>
      <c r="X336" s="5">
        <v>172657731119895</v>
      </c>
      <c r="Y336" s="5">
        <v>167708993205449</v>
      </c>
      <c r="Z336" s="5">
        <v>165574978057063</v>
      </c>
      <c r="AA336" s="5">
        <v>166316986363763</v>
      </c>
      <c r="AB336" s="5">
        <v>147308450733398</v>
      </c>
      <c r="AC336" s="5">
        <v>155478902097483</v>
      </c>
      <c r="AD336" s="5">
        <v>167541839948096</v>
      </c>
      <c r="AE336" s="5">
        <v>166770695791858</v>
      </c>
      <c r="AF336" s="5">
        <v>158062860839876</v>
      </c>
      <c r="AG336" s="5">
        <v>163430651295062</v>
      </c>
      <c r="AH336" s="5">
        <v>16222384684896</v>
      </c>
      <c r="AI336" s="5">
        <v>161121413257222</v>
      </c>
      <c r="AJ336" s="5">
        <v>16306770333886</v>
      </c>
      <c r="AK336" s="5">
        <v>164181850924054</v>
      </c>
      <c r="AL336" s="5">
        <v>167785278348583</v>
      </c>
      <c r="AM336" s="5">
        <v>151831537365963</v>
      </c>
      <c r="AN336" s="5">
        <v>166821610979091</v>
      </c>
      <c r="AO336" s="5">
        <v>17863001144589</v>
      </c>
      <c r="AP336" s="6">
        <v>13608840321307</v>
      </c>
      <c r="AQ336" s="6">
        <v>138860291061418</v>
      </c>
      <c r="AR336" s="6">
        <v>132969308825009</v>
      </c>
      <c r="AS336" s="6">
        <v>146097920171471</v>
      </c>
      <c r="AT336" s="6">
        <v>134902935854115</v>
      </c>
      <c r="AU336" s="6">
        <v>145389348063052</v>
      </c>
      <c r="AV336" s="6">
        <v>14178126812121</v>
      </c>
      <c r="AW336" s="6">
        <v>128865968805213</v>
      </c>
      <c r="AX336" s="6">
        <v>1419245646</v>
      </c>
      <c r="AY336" s="6">
        <v>124459904352029</v>
      </c>
      <c r="AZ336" s="6">
        <v>128645447176962</v>
      </c>
      <c r="BA336" s="6">
        <v>12217255245</v>
      </c>
      <c r="BB336" s="6">
        <v>109194663777995</v>
      </c>
      <c r="BC336" s="6">
        <v>123294287964349</v>
      </c>
      <c r="BD336" s="6">
        <v>117709517825919</v>
      </c>
      <c r="BE336" s="6">
        <v>143594281209463</v>
      </c>
      <c r="BF336" s="6">
        <v>135387172690268</v>
      </c>
      <c r="BG336" s="6">
        <v>14124515856</v>
      </c>
      <c r="BH336" s="6">
        <v>129971937179623</v>
      </c>
      <c r="BI336" s="6">
        <v>137063475964818</v>
      </c>
      <c r="BJ336" s="6">
        <v>141105353508</v>
      </c>
      <c r="BK336" s="6">
        <v>143472842420776</v>
      </c>
      <c r="BL336" s="6">
        <v>147864786868808</v>
      </c>
      <c r="BM336" s="6">
        <v>15691980867328</v>
      </c>
    </row>
    <row r="337" spans="1:65" x14ac:dyDescent="0.45">
      <c r="A337" s="1" t="s">
        <v>331</v>
      </c>
      <c r="B337" s="2">
        <v>3009080</v>
      </c>
      <c r="C337" s="3" t="s">
        <v>1264</v>
      </c>
      <c r="D337" s="3" t="s">
        <v>1265</v>
      </c>
      <c r="E337" s="3" t="s">
        <v>665</v>
      </c>
      <c r="F337" s="5">
        <v>269131869844761</v>
      </c>
      <c r="G337" s="5">
        <v>272869175370294</v>
      </c>
      <c r="H337" s="5">
        <v>264207157945761</v>
      </c>
      <c r="I337" s="5">
        <v>250459326162044</v>
      </c>
      <c r="J337" s="5">
        <v>25204436094759</v>
      </c>
      <c r="K337" s="5">
        <v>277851582509103</v>
      </c>
      <c r="L337" s="5">
        <v>281411886665295</v>
      </c>
      <c r="M337" s="5">
        <v>277394743372986</v>
      </c>
      <c r="N337" s="5">
        <v>261837199392906</v>
      </c>
      <c r="O337" s="5">
        <v>262066806252664</v>
      </c>
      <c r="P337" s="5">
        <v>235056276122053</v>
      </c>
      <c r="Q337" s="5">
        <v>264038404968208</v>
      </c>
      <c r="R337" s="5">
        <v>291434992057644</v>
      </c>
      <c r="S337" s="5">
        <v>267561174753911</v>
      </c>
      <c r="T337" s="5">
        <v>212080567308357</v>
      </c>
      <c r="U337" s="5">
        <v>208058755190078</v>
      </c>
      <c r="V337" s="5">
        <v>218831872305611</v>
      </c>
      <c r="W337" s="5">
        <v>202014222358206</v>
      </c>
      <c r="X337" s="5">
        <v>184878080490873</v>
      </c>
      <c r="Y337" s="5">
        <v>177883319786241</v>
      </c>
      <c r="Z337" s="5">
        <v>179224988623186</v>
      </c>
      <c r="AA337" s="5">
        <v>17218654489231</v>
      </c>
      <c r="AB337" s="5">
        <v>154385911831692</v>
      </c>
      <c r="AC337" s="5">
        <v>164386355545398</v>
      </c>
      <c r="AD337" s="5">
        <v>167264243176513</v>
      </c>
      <c r="AE337" s="5">
        <v>178168716741224</v>
      </c>
      <c r="AF337" s="5">
        <v>16918136179348</v>
      </c>
      <c r="AG337" s="5">
        <v>173673165561632</v>
      </c>
      <c r="AH337" s="5">
        <v>175660389133812</v>
      </c>
      <c r="AI337" s="5">
        <v>180682877412419</v>
      </c>
      <c r="AJ337" s="5">
        <v>161408026453404</v>
      </c>
      <c r="AK337" s="5">
        <v>190819121408201</v>
      </c>
      <c r="AL337" s="5">
        <v>194527273803088</v>
      </c>
      <c r="AM337" s="5">
        <v>164778192782112</v>
      </c>
      <c r="AN337" s="5">
        <v>168586125480978</v>
      </c>
      <c r="AO337" s="5">
        <v>185893826585495</v>
      </c>
      <c r="AP337" s="6">
        <v>50183559023401</v>
      </c>
      <c r="AQ337" s="6">
        <v>5249210172032</v>
      </c>
      <c r="AR337" s="6">
        <v>49736886721024</v>
      </c>
      <c r="AS337" s="6">
        <v>49326052350798</v>
      </c>
      <c r="AT337" s="6">
        <v>47983036346216</v>
      </c>
      <c r="AU337" s="6">
        <v>45711464857965</v>
      </c>
      <c r="AV337" s="6">
        <v>4440270516084</v>
      </c>
      <c r="AW337" s="6">
        <v>41688703770101</v>
      </c>
      <c r="AX337" s="6">
        <v>43163887634175</v>
      </c>
      <c r="AY337" s="6">
        <v>404325824339943</v>
      </c>
      <c r="AZ337" s="6">
        <v>387789340701</v>
      </c>
      <c r="BA337" s="6">
        <v>39157295814</v>
      </c>
      <c r="BB337" s="6">
        <v>332615664304</v>
      </c>
      <c r="BC337" s="6">
        <v>385723089024</v>
      </c>
      <c r="BD337" s="6">
        <v>3694091834475</v>
      </c>
      <c r="BE337" s="6">
        <v>36730452553707</v>
      </c>
      <c r="BF337" s="6">
        <v>3643377095083</v>
      </c>
      <c r="BG337" s="6">
        <v>2990374476303</v>
      </c>
      <c r="BH337" s="6">
        <v>300263360367</v>
      </c>
      <c r="BI337" s="6">
        <v>29430947074815</v>
      </c>
      <c r="BJ337" s="6">
        <v>28666001001494</v>
      </c>
      <c r="BK337" s="6">
        <v>27305626779123</v>
      </c>
      <c r="BL337" s="6">
        <v>2649114199368</v>
      </c>
      <c r="BM337" s="6">
        <v>278563746138</v>
      </c>
    </row>
    <row r="338" spans="1:65" x14ac:dyDescent="0.45">
      <c r="A338" s="1" t="s">
        <v>332</v>
      </c>
      <c r="B338" s="2">
        <v>4057057</v>
      </c>
      <c r="C338" s="3" t="s">
        <v>1266</v>
      </c>
      <c r="D338" s="3" t="s">
        <v>1267</v>
      </c>
      <c r="E338" s="3" t="s">
        <v>533</v>
      </c>
      <c r="F338" s="5">
        <v>30241827164631</v>
      </c>
      <c r="G338" s="5">
        <v>302613225270647</v>
      </c>
      <c r="H338" s="5">
        <v>300117051626903</v>
      </c>
      <c r="I338" s="5">
        <v>2533780063445</v>
      </c>
      <c r="J338" s="5">
        <v>243339427136165</v>
      </c>
      <c r="K338" s="5">
        <v>211629897625637</v>
      </c>
      <c r="L338" s="5">
        <v>189740050624147</v>
      </c>
      <c r="M338" s="5">
        <v>226006241468779</v>
      </c>
      <c r="N338" s="5">
        <v>238566284311384</v>
      </c>
      <c r="O338" s="5">
        <v>213612307875258</v>
      </c>
      <c r="P338" s="5">
        <v>20101833379587</v>
      </c>
      <c r="Q338" s="5">
        <v>226707561937293</v>
      </c>
      <c r="R338" s="5">
        <v>211932245806531</v>
      </c>
      <c r="S338" s="5">
        <v>209256643149111</v>
      </c>
      <c r="T338" s="5">
        <v>199156239301606</v>
      </c>
      <c r="U338" s="5">
        <v>164437784238182</v>
      </c>
      <c r="V338" s="5">
        <v>154232369018556</v>
      </c>
      <c r="W338" s="5">
        <v>147108137274886</v>
      </c>
      <c r="X338" s="5">
        <v>170270019845867</v>
      </c>
      <c r="Y338" s="5">
        <v>165158213852186</v>
      </c>
      <c r="Z338" s="5">
        <v>186804719586321</v>
      </c>
      <c r="AA338" s="5">
        <v>198010316974344</v>
      </c>
      <c r="AB338" s="5">
        <v>172399857726873</v>
      </c>
      <c r="AC338" s="5">
        <v>186867393211022</v>
      </c>
      <c r="AD338" s="5">
        <v>202148867624855</v>
      </c>
      <c r="AE338" s="5">
        <v>210881751098786</v>
      </c>
      <c r="AF338" s="5">
        <v>162802587659884</v>
      </c>
      <c r="AG338" s="5">
        <v>155250384545415</v>
      </c>
      <c r="AH338" s="5">
        <v>150386333635082</v>
      </c>
      <c r="AI338" s="5">
        <v>153445416161552</v>
      </c>
      <c r="AJ338" s="5">
        <v>751270077922419</v>
      </c>
      <c r="AK338" s="5">
        <v>565179302354072</v>
      </c>
      <c r="AL338" s="5">
        <v>514753790362997</v>
      </c>
      <c r="AM338" s="5">
        <v>43297747194338</v>
      </c>
      <c r="AN338" s="5">
        <v>74593864198203</v>
      </c>
      <c r="AO338" s="5">
        <v>726072202012014</v>
      </c>
      <c r="AP338" s="6">
        <v>33579749028</v>
      </c>
      <c r="AQ338" s="6">
        <v>34157743824</v>
      </c>
      <c r="AR338" s="6">
        <v>334553622914876</v>
      </c>
      <c r="AS338" s="6">
        <v>337546584166812</v>
      </c>
      <c r="AT338" s="6">
        <v>297956989127357</v>
      </c>
      <c r="AU338" s="6">
        <v>3695697621</v>
      </c>
      <c r="AV338" s="6">
        <v>360360728</v>
      </c>
      <c r="AW338" s="6">
        <v>33646883788</v>
      </c>
      <c r="AX338" s="6">
        <v>385247241337901</v>
      </c>
      <c r="AY338" s="6">
        <v>334282722451722</v>
      </c>
      <c r="AZ338" s="6">
        <v>34423846965</v>
      </c>
      <c r="BA338" s="6">
        <v>3322098486</v>
      </c>
      <c r="BB338" s="6">
        <v>2941624301</v>
      </c>
      <c r="BC338" s="6">
        <v>34200047616</v>
      </c>
      <c r="BD338" s="6">
        <v>346093177768125</v>
      </c>
      <c r="BE338" s="6">
        <v>36426986127391</v>
      </c>
      <c r="BF338" s="6">
        <v>353560791202511</v>
      </c>
      <c r="BG338" s="6">
        <v>362155899</v>
      </c>
      <c r="BH338" s="6">
        <v>3366191682</v>
      </c>
      <c r="BI338" s="6">
        <v>3488506056</v>
      </c>
      <c r="BJ338" s="6">
        <v>371484148179593</v>
      </c>
      <c r="BK338" s="6">
        <v>355252845768969</v>
      </c>
      <c r="BL338" s="6">
        <v>3674610576</v>
      </c>
      <c r="BM338" s="6">
        <v>405702629177925</v>
      </c>
    </row>
    <row r="339" spans="1:65" x14ac:dyDescent="0.45">
      <c r="A339" s="1" t="s">
        <v>333</v>
      </c>
      <c r="B339" s="2">
        <v>4913068</v>
      </c>
      <c r="C339" s="3" t="s">
        <v>1268</v>
      </c>
      <c r="D339" s="3" t="s">
        <v>1269</v>
      </c>
      <c r="E339" s="3" t="s">
        <v>539</v>
      </c>
      <c r="F339" s="5">
        <v>146807564077964</v>
      </c>
      <c r="G339" s="5">
        <v>149827051228048</v>
      </c>
      <c r="H339" s="5">
        <v>143995044437621</v>
      </c>
      <c r="I339" s="5">
        <v>131226903202854</v>
      </c>
      <c r="J339" s="5">
        <v>146974118007766</v>
      </c>
      <c r="K339" s="5">
        <v>147646639315822</v>
      </c>
      <c r="L339" s="5">
        <v>14641518006292</v>
      </c>
      <c r="M339" s="5">
        <v>153516143964008</v>
      </c>
      <c r="N339" s="5">
        <v>14708996788524</v>
      </c>
      <c r="O339" s="5">
        <v>131082361885846</v>
      </c>
      <c r="P339" s="5">
        <v>139488897291861</v>
      </c>
      <c r="Q339" s="5">
        <v>142954892165606</v>
      </c>
      <c r="R339" s="5">
        <v>13004726500728</v>
      </c>
      <c r="S339" s="5">
        <v>118701833470794</v>
      </c>
      <c r="T339" s="5">
        <v>127283416372355</v>
      </c>
      <c r="U339" s="5">
        <v>127464982025013</v>
      </c>
      <c r="V339" s="5">
        <v>136000780627507</v>
      </c>
      <c r="W339" s="5">
        <v>131503252130663</v>
      </c>
      <c r="X339" s="5">
        <v>13027713193507</v>
      </c>
      <c r="Y339" s="5">
        <v>123312717410293</v>
      </c>
      <c r="Z339" s="5">
        <v>12308312153258</v>
      </c>
      <c r="AA339" s="5">
        <v>117833678939981</v>
      </c>
      <c r="AB339" s="5">
        <v>108153397233836</v>
      </c>
      <c r="AC339" s="5">
        <v>102184328607933</v>
      </c>
      <c r="AD339" s="5">
        <v>105400427401808</v>
      </c>
      <c r="AE339" s="5">
        <v>987027230199584</v>
      </c>
      <c r="AF339" s="5">
        <v>949063558494295</v>
      </c>
      <c r="AG339" s="5">
        <v>994506825265186</v>
      </c>
      <c r="AH339" s="5">
        <v>103940109981293</v>
      </c>
      <c r="AI339" s="5">
        <v>101110764879591</v>
      </c>
      <c r="AJ339" s="5">
        <v>96939591441124</v>
      </c>
      <c r="AK339" s="5">
        <v>102750805105458</v>
      </c>
      <c r="AL339" s="5">
        <v>106183559457161</v>
      </c>
      <c r="AM339" s="5">
        <v>103381847957606</v>
      </c>
      <c r="AN339" s="5">
        <v>115828916078485</v>
      </c>
      <c r="AO339" s="5">
        <v>116061089703343</v>
      </c>
      <c r="AP339" s="6">
        <v>770737873024624</v>
      </c>
      <c r="AQ339" s="6">
        <v>80293044015076</v>
      </c>
      <c r="AR339" s="6">
        <v>691364367495036</v>
      </c>
      <c r="AS339" s="6">
        <v>720192834848768</v>
      </c>
      <c r="AT339" s="6">
        <v>685609574610087</v>
      </c>
      <c r="AU339" s="6">
        <v>70060860198072</v>
      </c>
      <c r="AV339" s="6">
        <v>907462550472192</v>
      </c>
      <c r="AW339" s="6">
        <v>867533115385584</v>
      </c>
      <c r="AX339" s="6">
        <v>9578532971847</v>
      </c>
      <c r="AY339" s="6">
        <v>97431769775736</v>
      </c>
      <c r="AZ339" s="6">
        <v>966878102650824</v>
      </c>
      <c r="BA339" s="6">
        <v>878321061543096</v>
      </c>
      <c r="BB339" s="6">
        <v>85926641376664</v>
      </c>
      <c r="BC339" s="6">
        <v>906536043551232</v>
      </c>
      <c r="BD339" s="6">
        <v>857909126379956</v>
      </c>
      <c r="BE339" s="6">
        <v>107693686482406</v>
      </c>
      <c r="BF339" s="6">
        <v>10144939157085</v>
      </c>
      <c r="BG339" s="6">
        <v>991662052007036</v>
      </c>
      <c r="BH339" s="6">
        <v>930157628066515</v>
      </c>
      <c r="BI339" s="6">
        <v>853488502714109</v>
      </c>
      <c r="BJ339" s="6">
        <v>79308620916561</v>
      </c>
      <c r="BK339" s="6">
        <v>737682050611276</v>
      </c>
      <c r="BL339" s="6">
        <v>70246772970192</v>
      </c>
      <c r="BM339" s="6">
        <v>678494506397551</v>
      </c>
    </row>
    <row r="340" spans="1:65" x14ac:dyDescent="0.45">
      <c r="A340" s="1" t="s">
        <v>334</v>
      </c>
      <c r="B340" s="2">
        <v>4095021</v>
      </c>
      <c r="C340" s="3" t="s">
        <v>1270</v>
      </c>
      <c r="D340" s="3" t="s">
        <v>1271</v>
      </c>
      <c r="E340" s="3" t="s">
        <v>1135</v>
      </c>
      <c r="F340" s="5">
        <v>460285433741627</v>
      </c>
      <c r="G340" s="5">
        <v>496992943912351</v>
      </c>
      <c r="H340" s="5">
        <v>507357265597693</v>
      </c>
      <c r="I340" s="5">
        <v>395992873519268</v>
      </c>
      <c r="J340" s="5">
        <v>427292838365429</v>
      </c>
      <c r="K340" s="5">
        <v>419744020993932</v>
      </c>
      <c r="L340" s="5">
        <v>377334611566225</v>
      </c>
      <c r="M340" s="5">
        <v>4520656442419</v>
      </c>
      <c r="N340" s="5">
        <v>396073120808907</v>
      </c>
      <c r="O340" s="5">
        <v>374132552201349</v>
      </c>
      <c r="P340" s="5">
        <v>328915114161005</v>
      </c>
      <c r="Q340" s="5">
        <v>331881615427496</v>
      </c>
      <c r="R340" s="5">
        <v>279196390200332</v>
      </c>
      <c r="S340" s="5">
        <v>268894695433233</v>
      </c>
      <c r="T340" s="5">
        <v>28336360418036</v>
      </c>
      <c r="U340" s="5">
        <v>264641452034047</v>
      </c>
      <c r="V340" s="5">
        <v>263789842948708</v>
      </c>
      <c r="W340" s="5">
        <v>271046230645105</v>
      </c>
      <c r="X340" s="5">
        <v>316930748343478</v>
      </c>
      <c r="Y340" s="5">
        <v>302577124777055</v>
      </c>
      <c r="Z340" s="5">
        <v>294511495418271</v>
      </c>
      <c r="AA340" s="5">
        <v>30419426211575</v>
      </c>
      <c r="AB340" s="5">
        <v>299909650851178</v>
      </c>
      <c r="AC340" s="5">
        <v>243968802849234</v>
      </c>
      <c r="AD340" s="5">
        <v>249744655375508</v>
      </c>
      <c r="AE340" s="5">
        <v>221402159019479</v>
      </c>
      <c r="AF340" s="5">
        <v>17489019020005</v>
      </c>
      <c r="AG340" s="5">
        <v>19278822994007</v>
      </c>
      <c r="AH340" s="5">
        <v>213589013285823</v>
      </c>
      <c r="AI340" s="5">
        <v>2289404336901</v>
      </c>
      <c r="AJ340" s="5">
        <v>278992954996304</v>
      </c>
      <c r="AK340" s="5">
        <v>307396592315531</v>
      </c>
      <c r="AL340" s="5">
        <v>292846485881466</v>
      </c>
      <c r="AM340" s="5">
        <v>213758981527</v>
      </c>
      <c r="AN340" s="5">
        <v>299131654752167</v>
      </c>
      <c r="AO340" s="5">
        <v>366220584506462</v>
      </c>
      <c r="AP340" s="6">
        <v>266110509673766</v>
      </c>
      <c r="AQ340" s="6">
        <v>272231322136925</v>
      </c>
      <c r="AR340" s="6">
        <v>287229373759875</v>
      </c>
      <c r="AS340" s="6">
        <v>287876867538851</v>
      </c>
      <c r="AT340" s="6">
        <v>277995497709252</v>
      </c>
      <c r="AU340" s="6">
        <v>259640647102795</v>
      </c>
      <c r="AV340" s="6">
        <v>261262146667306</v>
      </c>
      <c r="AW340" s="6">
        <v>266430577598109</v>
      </c>
      <c r="AX340" s="6">
        <v>26884975922742</v>
      </c>
      <c r="AY340" s="6">
        <v>267318019884802</v>
      </c>
      <c r="AZ340" s="6">
        <v>260787118435477</v>
      </c>
      <c r="BA340" s="6">
        <v>240706019070765</v>
      </c>
      <c r="BB340" s="6">
        <v>229779813779637</v>
      </c>
      <c r="BC340" s="6">
        <v>249544969784448</v>
      </c>
      <c r="BD340" s="6">
        <v>238599582676825</v>
      </c>
      <c r="BE340" s="6">
        <v>229600490192701</v>
      </c>
      <c r="BF340" s="6">
        <v>227898419740201</v>
      </c>
      <c r="BG340" s="6">
        <v>222588798555787</v>
      </c>
      <c r="BH340" s="6">
        <v>234438036919744</v>
      </c>
      <c r="BI340" s="6">
        <v>229575581820935</v>
      </c>
      <c r="BJ340" s="6">
        <v>218206593046341</v>
      </c>
      <c r="BK340" s="6">
        <v>206222469049558</v>
      </c>
      <c r="BL340" s="6">
        <v>200210731484482</v>
      </c>
      <c r="BM340" s="6">
        <v>210900824060243</v>
      </c>
    </row>
    <row r="341" spans="1:65" x14ac:dyDescent="0.45">
      <c r="A341" s="1" t="s">
        <v>335</v>
      </c>
      <c r="B341" s="2">
        <v>4056951</v>
      </c>
      <c r="C341" s="3" t="s">
        <v>1272</v>
      </c>
      <c r="D341" s="3" t="s">
        <v>1273</v>
      </c>
      <c r="E341" s="3" t="s">
        <v>533</v>
      </c>
      <c r="F341" s="5">
        <v>804999649549748</v>
      </c>
      <c r="G341" s="5">
        <v>859264813578151</v>
      </c>
      <c r="H341" s="5">
        <v>768351541335121</v>
      </c>
      <c r="I341" s="5">
        <v>743683444751336</v>
      </c>
      <c r="J341" s="5">
        <v>845736027558433</v>
      </c>
      <c r="K341" s="5">
        <v>813946679653698</v>
      </c>
      <c r="L341" s="5">
        <v>790404078805232</v>
      </c>
      <c r="M341" s="5">
        <v>817874337465803</v>
      </c>
      <c r="N341" s="5">
        <v>763422364523808</v>
      </c>
      <c r="O341" s="5">
        <v>793974928614098</v>
      </c>
      <c r="P341" s="5">
        <v>712308147691783</v>
      </c>
      <c r="Q341" s="5">
        <v>701144255058998</v>
      </c>
      <c r="R341" s="5">
        <v>70026403132007</v>
      </c>
      <c r="S341" s="5">
        <v>651104052775228</v>
      </c>
      <c r="T341" s="5">
        <v>629015961463978</v>
      </c>
      <c r="U341" s="5">
        <v>70414532894183</v>
      </c>
      <c r="V341" s="5">
        <v>734794496681184</v>
      </c>
      <c r="W341" s="5">
        <v>79413490437093</v>
      </c>
      <c r="X341" s="5">
        <v>779486840592508</v>
      </c>
      <c r="Y341" s="5">
        <v>782467885827018</v>
      </c>
      <c r="Z341" s="5">
        <v>793369556723304</v>
      </c>
      <c r="AA341" s="5">
        <v>78106774036302</v>
      </c>
      <c r="AB341" s="5">
        <v>651325280327915</v>
      </c>
      <c r="AC341" s="5">
        <v>69799816071048</v>
      </c>
      <c r="AD341" s="5">
        <v>7359227280054</v>
      </c>
      <c r="AE341" s="5">
        <v>771106633279368</v>
      </c>
      <c r="AF341" s="5">
        <v>787844933002684</v>
      </c>
      <c r="AG341" s="5">
        <v>714587940139626</v>
      </c>
      <c r="AH341" s="5">
        <v>690618877738493</v>
      </c>
      <c r="AI341" s="5">
        <v>790013702153799</v>
      </c>
      <c r="AJ341" s="5">
        <v>732619202401825</v>
      </c>
      <c r="AK341" s="5">
        <v>78825347201909</v>
      </c>
      <c r="AL341" s="5">
        <v>791657727397188</v>
      </c>
      <c r="AM341" s="5">
        <v>77548245623849</v>
      </c>
      <c r="AN341" s="5">
        <v>914956352942934</v>
      </c>
      <c r="AO341" s="5">
        <v>990523488369712</v>
      </c>
      <c r="AP341" s="6">
        <v>331488829553334</v>
      </c>
      <c r="AQ341" s="6">
        <v>334012110279713</v>
      </c>
      <c r="AR341" s="6">
        <v>349234708482222</v>
      </c>
      <c r="AS341" s="6">
        <v>392735151944981</v>
      </c>
      <c r="AT341" s="6">
        <v>420259599002868</v>
      </c>
      <c r="AU341" s="6">
        <v>380832374406746</v>
      </c>
      <c r="AV341" s="6">
        <v>365059901161103</v>
      </c>
      <c r="AW341" s="6">
        <v>372208094383759</v>
      </c>
      <c r="AX341" s="6">
        <v>344214417181603</v>
      </c>
      <c r="AY341" s="6">
        <v>338353501727122</v>
      </c>
      <c r="AZ341" s="6">
        <v>324060542394637</v>
      </c>
      <c r="BA341" s="6">
        <v>323498368551204</v>
      </c>
      <c r="BB341" s="6">
        <v>308250078820141</v>
      </c>
      <c r="BC341" s="6">
        <v>328417665085517</v>
      </c>
      <c r="BD341" s="6">
        <v>31652864500225</v>
      </c>
      <c r="BE341" s="6">
        <v>30238195622047</v>
      </c>
      <c r="BF341" s="6">
        <v>319099852711721</v>
      </c>
      <c r="BG341" s="6">
        <v>324303142633015</v>
      </c>
      <c r="BH341" s="6">
        <v>338774584658474</v>
      </c>
      <c r="BI341" s="6">
        <v>316566370147213</v>
      </c>
      <c r="BJ341" s="6">
        <v>290657976073668</v>
      </c>
      <c r="BK341" s="6">
        <v>283683250380064</v>
      </c>
      <c r="BL341" s="6">
        <v>276855163462332</v>
      </c>
      <c r="BM341" s="6">
        <v>273891214303746</v>
      </c>
    </row>
    <row r="342" spans="1:65" x14ac:dyDescent="0.45">
      <c r="A342" s="1" t="s">
        <v>336</v>
      </c>
      <c r="B342" s="2">
        <v>4104752</v>
      </c>
      <c r="C342" s="3" t="s">
        <v>1274</v>
      </c>
      <c r="D342" s="3" t="s">
        <v>1275</v>
      </c>
      <c r="E342" s="3" t="s">
        <v>979</v>
      </c>
      <c r="F342" s="5">
        <v>110470363941819</v>
      </c>
      <c r="G342" s="5">
        <v>12473895053896</v>
      </c>
      <c r="H342" s="5">
        <v>120146176896498</v>
      </c>
      <c r="I342" s="5">
        <v>128475774328715</v>
      </c>
      <c r="J342" s="5">
        <v>133334016945931</v>
      </c>
      <c r="K342" s="5">
        <v>138840016113204</v>
      </c>
      <c r="L342" s="5">
        <v>134478385144804</v>
      </c>
      <c r="M342" s="5">
        <v>148714083129149</v>
      </c>
      <c r="N342" s="5">
        <v>15408865101982</v>
      </c>
      <c r="O342" s="5">
        <v>152737969537868</v>
      </c>
      <c r="P342" s="5">
        <v>164032670639655</v>
      </c>
      <c r="Q342" s="5">
        <v>17045244917316</v>
      </c>
      <c r="R342" s="5">
        <v>199511337415698</v>
      </c>
      <c r="S342" s="5">
        <v>197078584463893</v>
      </c>
      <c r="T342" s="5">
        <v>178596067125833</v>
      </c>
      <c r="U342" s="5">
        <v>15030148406991</v>
      </c>
      <c r="V342" s="5">
        <v>16793061400813</v>
      </c>
      <c r="W342" s="5">
        <v>161527033406668</v>
      </c>
      <c r="X342" s="5">
        <v>155241868217724</v>
      </c>
      <c r="Y342" s="5">
        <v>143746399362492</v>
      </c>
      <c r="Z342" s="5">
        <v>140868757051188</v>
      </c>
      <c r="AA342" s="5">
        <v>11811695153328</v>
      </c>
      <c r="AB342" s="5">
        <v>111309599900848</v>
      </c>
      <c r="AC342" s="5">
        <v>117172093826397</v>
      </c>
      <c r="AD342" s="5">
        <v>122290411924125</v>
      </c>
      <c r="AE342" s="5">
        <v>116295332789639</v>
      </c>
      <c r="AF342" s="5">
        <v>120551695115036</v>
      </c>
      <c r="AG342" s="5">
        <v>114173866273867</v>
      </c>
      <c r="AH342" s="5">
        <v>109903339461518</v>
      </c>
      <c r="AI342" s="5">
        <v>107285723637397</v>
      </c>
      <c r="AJ342" s="5">
        <v>964777093051937</v>
      </c>
      <c r="AK342" s="5">
        <v>966373747249876</v>
      </c>
      <c r="AL342" s="5">
        <v>772666152629474</v>
      </c>
      <c r="AM342" s="5">
        <v>72082480215837</v>
      </c>
      <c r="AN342" s="5">
        <v>770977677268613</v>
      </c>
      <c r="AO342" s="5">
        <v>79198085053296</v>
      </c>
      <c r="AP342" s="6">
        <v>936973485710668</v>
      </c>
      <c r="AQ342" s="6">
        <v>975229457735234</v>
      </c>
      <c r="AR342" s="6">
        <v>95397937989818</v>
      </c>
      <c r="AS342" s="6">
        <v>91918114911734</v>
      </c>
      <c r="AT342" s="6">
        <v>842700325560184</v>
      </c>
      <c r="AU342" s="6">
        <v>776360657189807</v>
      </c>
      <c r="AV342" s="6">
        <v>770099076087713</v>
      </c>
      <c r="AW342" s="6">
        <v>77072108262413</v>
      </c>
      <c r="AX342" s="6">
        <v>778146971566965</v>
      </c>
      <c r="AY342" s="6">
        <v>691271899642764</v>
      </c>
      <c r="AZ342" s="6">
        <v>65706767013609</v>
      </c>
      <c r="BA342" s="6">
        <v>672848967440691</v>
      </c>
      <c r="BB342" s="6">
        <v>637545842871511</v>
      </c>
      <c r="BC342" s="6">
        <v>657846443776205</v>
      </c>
      <c r="BD342" s="6">
        <v>609682404621654</v>
      </c>
      <c r="BE342" s="6">
        <v>605514491588061</v>
      </c>
      <c r="BF342" s="6">
        <v>683886177340048</v>
      </c>
      <c r="BG342" s="6">
        <v>691434822813773</v>
      </c>
      <c r="BH342" s="6">
        <v>703579601082337</v>
      </c>
      <c r="BI342" s="6">
        <v>740806329591157</v>
      </c>
      <c r="BJ342" s="6">
        <v>717927995159153</v>
      </c>
      <c r="BK342" s="6">
        <v>686274061503838</v>
      </c>
      <c r="BL342" s="6">
        <v>658563924606588</v>
      </c>
      <c r="BM342" s="6">
        <v>752208445059177</v>
      </c>
    </row>
    <row r="343" spans="1:65" x14ac:dyDescent="0.45">
      <c r="A343" s="1" t="s">
        <v>337</v>
      </c>
      <c r="B343" s="2">
        <v>4062397</v>
      </c>
      <c r="C343" s="3" t="s">
        <v>1276</v>
      </c>
      <c r="D343" s="3" t="s">
        <v>1277</v>
      </c>
      <c r="E343" s="3" t="s">
        <v>522</v>
      </c>
      <c r="F343" s="5">
        <v>276521287688237</v>
      </c>
      <c r="G343" s="5">
        <v>308174579689146</v>
      </c>
      <c r="H343" s="5">
        <v>271386681815902</v>
      </c>
      <c r="I343" s="5">
        <v>265268939169923</v>
      </c>
      <c r="J343" s="5">
        <v>296281025358544</v>
      </c>
      <c r="K343" s="5">
        <v>297873071454528</v>
      </c>
      <c r="L343" s="5">
        <v>258343812009785</v>
      </c>
      <c r="M343" s="5">
        <v>278476274135872</v>
      </c>
      <c r="N343" s="5">
        <v>286857351829837</v>
      </c>
      <c r="O343" s="5">
        <v>278629311843669</v>
      </c>
      <c r="P343" s="5">
        <v>280454605585882</v>
      </c>
      <c r="Q343" s="5">
        <v>331068214194221</v>
      </c>
      <c r="R343" s="5">
        <v>359962585381977</v>
      </c>
      <c r="S343" s="5">
        <v>324715994106193</v>
      </c>
      <c r="T343" s="5">
        <v>329657046547784</v>
      </c>
      <c r="U343" s="5">
        <v>292871976956042</v>
      </c>
      <c r="V343" s="5">
        <v>320836693096008</v>
      </c>
      <c r="W343" s="5">
        <v>327189779316288</v>
      </c>
      <c r="X343" s="5">
        <v>339476676415772</v>
      </c>
      <c r="Y343" s="5">
        <v>349615268990465</v>
      </c>
      <c r="Z343" s="5">
        <v>337503589398663</v>
      </c>
      <c r="AA343" s="5">
        <v>303342329096242</v>
      </c>
      <c r="AB343" s="5">
        <v>263850813908042</v>
      </c>
      <c r="AC343" s="5">
        <v>262125721201909</v>
      </c>
      <c r="AD343" s="5">
        <v>278484653336375</v>
      </c>
      <c r="AE343" s="5">
        <v>290064832342614</v>
      </c>
      <c r="AF343" s="5">
        <v>262925589667372</v>
      </c>
      <c r="AG343" s="5">
        <v>245329919901441</v>
      </c>
      <c r="AH343" s="5">
        <v>237663657235998</v>
      </c>
      <c r="AI343" s="5">
        <v>214731247312108</v>
      </c>
      <c r="AJ343" s="5">
        <v>22234583654292</v>
      </c>
      <c r="AK343" s="5">
        <v>215757082648216</v>
      </c>
      <c r="AL343" s="5">
        <v>195881803107259</v>
      </c>
      <c r="AM343" s="5">
        <v>1794712681762</v>
      </c>
      <c r="AN343" s="5">
        <v>223912457837603</v>
      </c>
      <c r="AO343" s="5">
        <v>255606515880285</v>
      </c>
      <c r="AP343" s="6">
        <v>897738447831048</v>
      </c>
      <c r="AQ343" s="6">
        <v>865860731243927</v>
      </c>
      <c r="AR343" s="6">
        <v>877251729598056</v>
      </c>
      <c r="AS343" s="6">
        <v>850430235552537</v>
      </c>
      <c r="AT343" s="6">
        <v>859573148683474</v>
      </c>
      <c r="AU343" s="6">
        <v>799103610318928</v>
      </c>
      <c r="AV343" s="6">
        <v>812698573639606</v>
      </c>
      <c r="AW343" s="6">
        <v>728741263053056</v>
      </c>
      <c r="AX343" s="6">
        <v>930374391842453</v>
      </c>
      <c r="AY343" s="6">
        <v>615001467015649</v>
      </c>
      <c r="AZ343" s="6">
        <v>56741259815554</v>
      </c>
      <c r="BA343" s="6">
        <v>523226770018553</v>
      </c>
      <c r="BB343" s="6">
        <v>602507764966717</v>
      </c>
      <c r="BC343" s="6">
        <v>6237210708435</v>
      </c>
      <c r="BD343" s="6">
        <v>773954870958627</v>
      </c>
      <c r="BE343" s="6">
        <v>863560376553802</v>
      </c>
      <c r="BF343" s="6">
        <v>82452289530679</v>
      </c>
      <c r="BG343" s="6">
        <v>804567054627281</v>
      </c>
      <c r="BH343" s="6">
        <v>713261191281194</v>
      </c>
      <c r="BI343" s="6">
        <v>739197437750491</v>
      </c>
      <c r="BJ343" s="6">
        <v>626355768167064</v>
      </c>
      <c r="BK343" s="6">
        <v>667042997542608</v>
      </c>
      <c r="BL343" s="6">
        <v>7880714016903</v>
      </c>
      <c r="BM343" s="6">
        <v>812218717716452</v>
      </c>
    </row>
    <row r="344" spans="1:65" x14ac:dyDescent="0.45">
      <c r="A344" s="1" t="s">
        <v>338</v>
      </c>
      <c r="B344" s="2">
        <v>4057058</v>
      </c>
      <c r="C344" s="3" t="s">
        <v>1278</v>
      </c>
      <c r="D344" s="3" t="s">
        <v>1279</v>
      </c>
      <c r="E344" s="3" t="s">
        <v>533</v>
      </c>
      <c r="F344" s="5">
        <v>201317915958597</v>
      </c>
      <c r="G344" s="5">
        <v>210775114366465</v>
      </c>
      <c r="H344" s="5">
        <v>197219018710082</v>
      </c>
      <c r="I344" s="5">
        <v>190317971152542</v>
      </c>
      <c r="J344" s="5">
        <v>212562544856341</v>
      </c>
      <c r="K344" s="5">
        <v>209806183639963</v>
      </c>
      <c r="L344" s="5">
        <v>190985655493996</v>
      </c>
      <c r="M344" s="5">
        <v>207015242038418</v>
      </c>
      <c r="N344" s="5">
        <v>19765112377025</v>
      </c>
      <c r="O344" s="5">
        <v>189059422791271</v>
      </c>
      <c r="P344" s="5">
        <v>171371564823657</v>
      </c>
      <c r="Q344" s="5">
        <v>198926981888302</v>
      </c>
      <c r="R344" s="5">
        <v>198427410484157</v>
      </c>
      <c r="S344" s="5">
        <v>185357581759199</v>
      </c>
      <c r="T344" s="5">
        <v>19167987382848</v>
      </c>
      <c r="U344" s="5">
        <v>185127634539828</v>
      </c>
      <c r="V344" s="5">
        <v>19136495112489</v>
      </c>
      <c r="W344" s="5">
        <v>184015679056549</v>
      </c>
      <c r="X344" s="5">
        <v>181507251839663</v>
      </c>
      <c r="Y344" s="5">
        <v>183775963800846</v>
      </c>
      <c r="Z344" s="5">
        <v>18632022447843</v>
      </c>
      <c r="AA344" s="5">
        <v>188952480618888</v>
      </c>
      <c r="AB344" s="5">
        <v>166454715705775</v>
      </c>
      <c r="AC344" s="5">
        <v>175250697345913</v>
      </c>
      <c r="AD344" s="5">
        <v>177241606446735</v>
      </c>
      <c r="AE344" s="5">
        <v>182819556296415</v>
      </c>
      <c r="AF344" s="5">
        <v>18141561781035</v>
      </c>
      <c r="AG344" s="5">
        <v>178142798650874</v>
      </c>
      <c r="AH344" s="5">
        <v>177685057243323</v>
      </c>
      <c r="AI344" s="5">
        <v>17298628435444</v>
      </c>
      <c r="AJ344" s="5">
        <v>176519044725712</v>
      </c>
      <c r="AK344" s="5">
        <v>193205871187167</v>
      </c>
      <c r="AL344" s="5">
        <v>178497472860142</v>
      </c>
      <c r="AM344" s="5">
        <v>1724417264115</v>
      </c>
      <c r="AN344" s="5">
        <v>209521696056671</v>
      </c>
      <c r="AO344" s="5">
        <v>236022423752053</v>
      </c>
      <c r="AP344" s="6">
        <v>516325148170996</v>
      </c>
      <c r="AQ344" s="6">
        <v>537899251989096</v>
      </c>
      <c r="AR344" s="6">
        <v>536490633863098</v>
      </c>
      <c r="AS344" s="6">
        <v>493019141210568</v>
      </c>
      <c r="AT344" s="6">
        <v>438343340380368</v>
      </c>
      <c r="AU344" s="6">
        <v>47782624978803</v>
      </c>
      <c r="AV344" s="6">
        <v>476966466187068</v>
      </c>
      <c r="AW344" s="6">
        <v>443168378233724</v>
      </c>
      <c r="AX344" s="6">
        <v>5149700772909</v>
      </c>
      <c r="AY344" s="6">
        <v>475451550657864</v>
      </c>
      <c r="AZ344" s="6">
        <v>442494972583646</v>
      </c>
      <c r="BA344" s="6">
        <v>452031098953788</v>
      </c>
      <c r="BB344" s="6">
        <v>385183086474956</v>
      </c>
      <c r="BC344" s="6">
        <v>454206873938688</v>
      </c>
      <c r="BD344" s="6">
        <v>41153097068928</v>
      </c>
      <c r="BE344" s="6">
        <v>428923174946822</v>
      </c>
      <c r="BF344" s="6">
        <v>444884444223024</v>
      </c>
      <c r="BG344" s="6">
        <v>436969664304387</v>
      </c>
      <c r="BH344" s="6">
        <v>429679910918772</v>
      </c>
      <c r="BI344" s="6">
        <v>463580990277655</v>
      </c>
      <c r="BJ344" s="6">
        <v>40398040578285</v>
      </c>
      <c r="BK344" s="6">
        <v>43081948306728</v>
      </c>
      <c r="BL344" s="6">
        <v>43502905961424</v>
      </c>
      <c r="BM344" s="6">
        <v>480242918965012</v>
      </c>
    </row>
    <row r="345" spans="1:65" x14ac:dyDescent="0.45">
      <c r="A345" s="1" t="s">
        <v>339</v>
      </c>
      <c r="B345" s="2">
        <v>110230</v>
      </c>
      <c r="C345" s="3" t="s">
        <v>1280</v>
      </c>
      <c r="D345" s="3" t="s">
        <v>1281</v>
      </c>
      <c r="E345" s="3" t="s">
        <v>510</v>
      </c>
      <c r="F345" s="5">
        <v>192134576997238</v>
      </c>
      <c r="G345" s="5">
        <v>212782750832018</v>
      </c>
      <c r="H345" s="5">
        <v>218269253181</v>
      </c>
      <c r="I345" s="5">
        <v>18338526699911</v>
      </c>
      <c r="J345" s="5">
        <v>185006889841313</v>
      </c>
      <c r="K345" s="5">
        <v>165831543851346</v>
      </c>
      <c r="L345" s="5">
        <v>161443272901043</v>
      </c>
      <c r="M345" s="5">
        <v>1717698177527</v>
      </c>
      <c r="N345" s="5">
        <v>163067592012</v>
      </c>
      <c r="O345" s="5">
        <v>17262876691747</v>
      </c>
      <c r="P345" s="5">
        <v>16432496561923</v>
      </c>
      <c r="Q345" s="5">
        <v>172899397759945</v>
      </c>
      <c r="R345" s="5">
        <v>168583540081635</v>
      </c>
      <c r="S345" s="5">
        <v>161279305643863</v>
      </c>
      <c r="T345" s="5">
        <v>153791773050083</v>
      </c>
      <c r="U345" s="5">
        <v>149131363252838</v>
      </c>
      <c r="V345" s="5">
        <v>151914910795684</v>
      </c>
      <c r="W345" s="5">
        <v>140572999685261</v>
      </c>
      <c r="X345" s="5">
        <v>144967518152582</v>
      </c>
      <c r="Y345" s="5">
        <v>145941455941653</v>
      </c>
      <c r="Z345" s="5">
        <v>144425356575735</v>
      </c>
      <c r="AA345" s="5">
        <v>139267208006434</v>
      </c>
      <c r="AB345" s="5">
        <v>127483345251917</v>
      </c>
      <c r="AC345" s="5">
        <v>111508374826039</v>
      </c>
      <c r="AD345" s="5">
        <v>111419222799275</v>
      </c>
      <c r="AE345" s="5">
        <v>114449798296493</v>
      </c>
      <c r="AF345" s="5">
        <v>924588798622339</v>
      </c>
      <c r="AG345" s="5">
        <v>941432556194054</v>
      </c>
      <c r="AH345" s="5">
        <v>966992525483047</v>
      </c>
      <c r="AI345" s="5">
        <v>984590930944514</v>
      </c>
      <c r="AJ345" s="5">
        <v>101091287235299</v>
      </c>
      <c r="AK345" s="5">
        <v>95138075630213</v>
      </c>
      <c r="AL345" s="5">
        <v>911497146476037</v>
      </c>
      <c r="AM345" s="5">
        <v>78339355782688</v>
      </c>
      <c r="AN345" s="5">
        <v>110874569735123</v>
      </c>
      <c r="AO345" s="5">
        <v>1321066494</v>
      </c>
      <c r="AP345" s="6">
        <v>128178513464019</v>
      </c>
      <c r="AQ345" s="6">
        <v>130258520682711</v>
      </c>
      <c r="AR345" s="6">
        <v>122347215298732</v>
      </c>
      <c r="AS345" s="6">
        <v>132188367825707</v>
      </c>
      <c r="AT345" s="6">
        <v>125343885084202</v>
      </c>
      <c r="AU345" s="6">
        <v>12351786155544</v>
      </c>
      <c r="AV345" s="6">
        <v>120226228846209</v>
      </c>
      <c r="AW345" s="6">
        <v>115617476661847</v>
      </c>
      <c r="AX345" s="6">
        <v>115588302488012</v>
      </c>
      <c r="AY345" s="6">
        <v>10756880997097</v>
      </c>
      <c r="AZ345" s="6">
        <v>102038346215132</v>
      </c>
      <c r="BA345" s="6">
        <v>103763892785378</v>
      </c>
      <c r="BB345" s="6">
        <v>989625450173789</v>
      </c>
      <c r="BC345" s="6">
        <v>106442436793555</v>
      </c>
      <c r="BD345" s="6">
        <v>113138764156694</v>
      </c>
      <c r="BE345" s="6">
        <v>126933464426189</v>
      </c>
      <c r="BF345" s="6">
        <v>129488629738081</v>
      </c>
      <c r="BG345" s="6">
        <v>125797221765297</v>
      </c>
      <c r="BH345" s="6">
        <v>127979969921024</v>
      </c>
      <c r="BI345" s="6">
        <v>12409723728604</v>
      </c>
      <c r="BJ345" s="6">
        <v>113833611538618</v>
      </c>
      <c r="BK345" s="6">
        <v>110750446118057</v>
      </c>
      <c r="BL345" s="6">
        <v>114475566512034</v>
      </c>
      <c r="BM345" s="6">
        <v>115948160690665</v>
      </c>
    </row>
    <row r="346" spans="1:65" x14ac:dyDescent="0.45">
      <c r="A346" s="1" t="s">
        <v>340</v>
      </c>
      <c r="B346" s="2">
        <v>103146</v>
      </c>
      <c r="C346" s="3" t="s">
        <v>1282</v>
      </c>
      <c r="D346" s="3" t="s">
        <v>1283</v>
      </c>
      <c r="E346" s="3" t="s">
        <v>1284</v>
      </c>
      <c r="F346" s="5">
        <v>97367676919761</v>
      </c>
      <c r="G346" s="5">
        <v>10543492398961</v>
      </c>
      <c r="H346" s="5">
        <v>1033858735371</v>
      </c>
      <c r="I346" s="5">
        <v>76711668539272</v>
      </c>
      <c r="J346" s="5">
        <v>91529955080062</v>
      </c>
      <c r="K346" s="5">
        <v>962165025039799</v>
      </c>
      <c r="L346" s="5">
        <v>833213074605885</v>
      </c>
      <c r="M346" s="5">
        <v>87961565956836</v>
      </c>
      <c r="N346" s="5">
        <v>112594004421327</v>
      </c>
      <c r="O346" s="5">
        <v>107595999436891</v>
      </c>
      <c r="P346" s="5">
        <v>961107745</v>
      </c>
      <c r="Q346" s="5">
        <v>103512357052992</v>
      </c>
      <c r="R346" s="5">
        <v>109449191307996</v>
      </c>
      <c r="S346" s="5">
        <v>988815853458</v>
      </c>
      <c r="T346" s="5">
        <v>92683073692416</v>
      </c>
      <c r="U346" s="5">
        <v>80002485428004</v>
      </c>
      <c r="V346" s="5">
        <v>84336675599952</v>
      </c>
      <c r="W346" s="5">
        <v>7979306744772</v>
      </c>
      <c r="X346" s="5">
        <v>74577701246346</v>
      </c>
      <c r="Y346" s="5">
        <v>7152696468756</v>
      </c>
      <c r="Z346" s="5">
        <v>71662838054697</v>
      </c>
      <c r="AA346" s="5">
        <v>66785724</v>
      </c>
      <c r="AB346" s="5">
        <v>605512620225</v>
      </c>
      <c r="AC346" s="5">
        <v>6284590084368</v>
      </c>
      <c r="AD346" s="5">
        <v>6022601321715</v>
      </c>
      <c r="AE346" s="5">
        <v>61881713804205</v>
      </c>
      <c r="AF346" s="5">
        <v>6292526382496</v>
      </c>
      <c r="AG346" s="5">
        <v>63303546473856</v>
      </c>
      <c r="AH346" s="5">
        <v>6294738494352</v>
      </c>
      <c r="AI346" s="5">
        <v>65832743839968</v>
      </c>
      <c r="AJ346" s="5">
        <v>61252849072116</v>
      </c>
      <c r="AK346" s="5">
        <v>607884375735</v>
      </c>
      <c r="AL346" s="5">
        <v>602839450802511</v>
      </c>
      <c r="AM346" s="5">
        <v>540545709108951</v>
      </c>
      <c r="AN346" s="5">
        <v>56614163754372</v>
      </c>
      <c r="AO346" s="5">
        <v>52928688040668</v>
      </c>
      <c r="AP346" s="6">
        <v>77940380644257</v>
      </c>
      <c r="AQ346" s="6">
        <v>726926397271901</v>
      </c>
      <c r="AR346" s="6">
        <v>665459833029721</v>
      </c>
      <c r="AS346" s="6">
        <v>676117261466715</v>
      </c>
      <c r="AT346" s="6">
        <v>620233514413257</v>
      </c>
      <c r="AU346" s="6">
        <v>723734022472314</v>
      </c>
      <c r="AV346" s="6">
        <v>77143318604637</v>
      </c>
      <c r="AW346" s="6">
        <v>736329234204381</v>
      </c>
      <c r="AX346" s="6">
        <v>92329807264128</v>
      </c>
      <c r="AY346" s="6">
        <v>908436400920576</v>
      </c>
      <c r="AZ346" s="6">
        <v>86414784555287</v>
      </c>
      <c r="BA346" s="6">
        <v>815564162350278</v>
      </c>
      <c r="BB346" s="6">
        <v>726854912416464</v>
      </c>
      <c r="BC346" s="6">
        <v>791418721412352</v>
      </c>
      <c r="BD346" s="6">
        <v>929024487476046</v>
      </c>
      <c r="BE346" s="6">
        <v>960493642520706</v>
      </c>
      <c r="BF346" s="6">
        <v>928256834318454</v>
      </c>
      <c r="BG346" s="6">
        <v>942094655723336</v>
      </c>
      <c r="BH346" s="6">
        <v>880134239983555</v>
      </c>
      <c r="BI346" s="6">
        <v>941379073351378</v>
      </c>
      <c r="BJ346" s="6">
        <v>739555817734656</v>
      </c>
      <c r="BK346" s="6">
        <v>739051740131328</v>
      </c>
      <c r="BL346" s="6">
        <v>704643424063488</v>
      </c>
      <c r="BM346" s="6">
        <v>746876572308064</v>
      </c>
    </row>
    <row r="347" spans="1:65" x14ac:dyDescent="0.45">
      <c r="A347" s="1" t="s">
        <v>341</v>
      </c>
      <c r="B347" s="2">
        <v>4072932</v>
      </c>
      <c r="C347" s="3" t="s">
        <v>1285</v>
      </c>
      <c r="D347" s="3" t="s">
        <v>1286</v>
      </c>
      <c r="E347" s="3" t="s">
        <v>510</v>
      </c>
      <c r="F347" s="5">
        <v>34247817696</v>
      </c>
      <c r="G347" s="5">
        <v>38550462288</v>
      </c>
      <c r="H347" s="5">
        <v>39572856684</v>
      </c>
      <c r="I347" s="5">
        <v>32541981168</v>
      </c>
      <c r="J347" s="5">
        <v>353661051</v>
      </c>
      <c r="K347" s="5">
        <v>367613235</v>
      </c>
      <c r="L347" s="5">
        <v>34322808</v>
      </c>
      <c r="M347" s="5">
        <v>37138359375</v>
      </c>
      <c r="N347" s="5">
        <v>38714892264</v>
      </c>
      <c r="O347" s="5">
        <v>39997614384</v>
      </c>
      <c r="P347" s="5">
        <v>3738689448</v>
      </c>
      <c r="Q347" s="5">
        <v>37652465088</v>
      </c>
      <c r="R347" s="5">
        <v>35976313296</v>
      </c>
      <c r="S347" s="5">
        <v>34294077216</v>
      </c>
      <c r="T347" s="5">
        <v>36812235632</v>
      </c>
      <c r="U347" s="5">
        <v>35108505408</v>
      </c>
      <c r="V347" s="5">
        <v>346965541248</v>
      </c>
      <c r="W347" s="5">
        <v>3330719976</v>
      </c>
      <c r="X347" s="5">
        <v>34050740012</v>
      </c>
      <c r="Y347" s="5">
        <v>3458094069</v>
      </c>
      <c r="Z347" s="5">
        <v>33121419396</v>
      </c>
      <c r="AA347" s="5">
        <v>308140284</v>
      </c>
      <c r="AB347" s="5">
        <v>2845460976</v>
      </c>
      <c r="AC347" s="5">
        <v>254981851056</v>
      </c>
      <c r="AD347" s="5">
        <v>25235307765</v>
      </c>
      <c r="AE347" s="5">
        <v>250174538316</v>
      </c>
      <c r="AF347" s="5">
        <v>216775727652</v>
      </c>
      <c r="AG347" s="5">
        <v>213453471872</v>
      </c>
      <c r="AH347" s="5">
        <v>22369718133</v>
      </c>
      <c r="AI347" s="5">
        <v>21158831095</v>
      </c>
      <c r="AJ347" s="5">
        <v>213757173</v>
      </c>
      <c r="AK347" s="5">
        <v>216592404</v>
      </c>
      <c r="AL347" s="5">
        <v>225794248801742</v>
      </c>
      <c r="AM347" s="5">
        <v>187912574213364</v>
      </c>
      <c r="AN347" s="5">
        <v>27236853945</v>
      </c>
      <c r="AO347" s="5">
        <v>3301872024</v>
      </c>
      <c r="AP347" s="6">
        <v>110587115368334</v>
      </c>
      <c r="AQ347" s="6">
        <v>113088053826814</v>
      </c>
      <c r="AR347" s="6">
        <v>103210655262</v>
      </c>
      <c r="AS347" s="6">
        <v>104998869542884</v>
      </c>
      <c r="AT347" s="6">
        <v>991080671588923</v>
      </c>
      <c r="AU347" s="6">
        <v>101257347015</v>
      </c>
      <c r="AV347" s="6">
        <v>10462192698703</v>
      </c>
      <c r="AW347" s="6">
        <v>104312124914608</v>
      </c>
      <c r="AX347" s="6">
        <v>115265019425381</v>
      </c>
      <c r="AY347" s="6">
        <v>101047100075537</v>
      </c>
      <c r="AZ347" s="6">
        <v>102271575571276</v>
      </c>
      <c r="BA347" s="6">
        <v>994027853422628</v>
      </c>
      <c r="BB347" s="6">
        <v>905176445867285</v>
      </c>
      <c r="BC347" s="6">
        <v>100897667709754</v>
      </c>
      <c r="BD347" s="6">
        <v>986792763992706</v>
      </c>
      <c r="BE347" s="6">
        <v>115584903665825</v>
      </c>
      <c r="BF347" s="6">
        <v>116936610987158</v>
      </c>
      <c r="BG347" s="6">
        <v>114077103528</v>
      </c>
      <c r="BH347" s="6">
        <v>111702336210834</v>
      </c>
      <c r="BI347" s="6">
        <v>120800539577679</v>
      </c>
      <c r="BJ347" s="6">
        <v>108233295692029</v>
      </c>
      <c r="BK347" s="6">
        <v>105870426309099</v>
      </c>
      <c r="BL347" s="6">
        <v>110560929196454</v>
      </c>
      <c r="BM347" s="6">
        <v>1124737173315</v>
      </c>
    </row>
    <row r="348" spans="1:65" x14ac:dyDescent="0.45">
      <c r="A348" s="1" t="s">
        <v>342</v>
      </c>
      <c r="B348" s="2">
        <v>4391244</v>
      </c>
      <c r="C348" s="3" t="s">
        <v>1287</v>
      </c>
      <c r="D348" s="3" t="s">
        <v>1288</v>
      </c>
      <c r="E348" s="3" t="s">
        <v>504</v>
      </c>
      <c r="F348" s="5">
        <v>132712397071262</v>
      </c>
      <c r="G348" s="5">
        <v>144908178184424</v>
      </c>
      <c r="H348" s="5">
        <v>139974674544145</v>
      </c>
      <c r="I348" s="5">
        <v>125302655116193</v>
      </c>
      <c r="J348" s="5">
        <v>133998927260985</v>
      </c>
      <c r="K348" s="5">
        <v>141496151280939</v>
      </c>
      <c r="L348" s="5">
        <v>118993596551527</v>
      </c>
      <c r="M348" s="5">
        <v>127056478157017</v>
      </c>
      <c r="N348" s="5">
        <v>126745612099492</v>
      </c>
      <c r="O348" s="5">
        <v>113408004371318</v>
      </c>
      <c r="P348" s="5">
        <v>115893584566048</v>
      </c>
      <c r="Q348" s="5">
        <v>12234741428914</v>
      </c>
      <c r="R348" s="5">
        <v>125565631959021</v>
      </c>
      <c r="S348" s="5">
        <v>114594298437919</v>
      </c>
      <c r="T348" s="5">
        <v>129275233922552</v>
      </c>
      <c r="U348" s="5">
        <v>121319721141898</v>
      </c>
      <c r="V348" s="5">
        <v>130930401577736</v>
      </c>
      <c r="W348" s="5">
        <v>133429900674861</v>
      </c>
      <c r="X348" s="5">
        <v>139219278059153</v>
      </c>
      <c r="Y348" s="5">
        <v>128612584668472</v>
      </c>
      <c r="Z348" s="5">
        <v>127148632932964</v>
      </c>
      <c r="AA348" s="5">
        <v>136992688401204</v>
      </c>
      <c r="AB348" s="5">
        <v>132207094067204</v>
      </c>
      <c r="AC348" s="5">
        <v>127735532300821</v>
      </c>
      <c r="AD348" s="5">
        <v>114074225337924</v>
      </c>
      <c r="AE348" s="5">
        <v>10527425941747</v>
      </c>
      <c r="AF348" s="5">
        <v>835787296913602</v>
      </c>
      <c r="AG348" s="5">
        <v>817985529309414</v>
      </c>
      <c r="AH348" s="5">
        <v>887889860586498</v>
      </c>
      <c r="AI348" s="5">
        <v>836754107984711</v>
      </c>
      <c r="AJ348" s="5">
        <v>799735341735761</v>
      </c>
      <c r="AK348" s="5">
        <v>794871690929211</v>
      </c>
      <c r="AL348" s="5">
        <v>731096484712687</v>
      </c>
      <c r="AM348" s="5">
        <v>64331693014225</v>
      </c>
      <c r="AN348" s="5">
        <v>793419497817713</v>
      </c>
      <c r="AO348" s="5">
        <v>8659110487324</v>
      </c>
      <c r="AP348" s="6">
        <v>213841051786585</v>
      </c>
      <c r="AQ348" s="6">
        <v>226674752639492</v>
      </c>
      <c r="AR348" s="6">
        <v>233495861091854</v>
      </c>
      <c r="AS348" s="6">
        <v>223788064166313</v>
      </c>
      <c r="AT348" s="6">
        <v>213556480186778</v>
      </c>
      <c r="AU348" s="6">
        <v>195769416953302</v>
      </c>
      <c r="AV348" s="6">
        <v>190813101621748</v>
      </c>
      <c r="AW348" s="6">
        <v>197921451161276</v>
      </c>
      <c r="AX348" s="6">
        <v>189826327857883</v>
      </c>
      <c r="AY348" s="6">
        <v>199116646199935</v>
      </c>
      <c r="AZ348" s="6">
        <v>184490874832129</v>
      </c>
      <c r="BA348" s="6">
        <v>176970573165442</v>
      </c>
      <c r="BB348" s="6">
        <v>16248852241538</v>
      </c>
      <c r="BC348" s="6">
        <v>16704851887786</v>
      </c>
      <c r="BD348" s="6">
        <v>157160701422509</v>
      </c>
      <c r="BE348" s="6">
        <v>142020348641559</v>
      </c>
      <c r="BF348" s="6">
        <v>146350207837815</v>
      </c>
      <c r="BG348" s="6">
        <v>135526050661909</v>
      </c>
      <c r="BH348" s="6">
        <v>131112201797228</v>
      </c>
      <c r="BI348" s="6">
        <v>13000878223914</v>
      </c>
      <c r="BJ348" s="6">
        <v>118960552270626</v>
      </c>
      <c r="BK348" s="6">
        <v>119573090005053</v>
      </c>
      <c r="BL348" s="6">
        <v>114489597932237</v>
      </c>
      <c r="BM348" s="6">
        <v>120489867845936</v>
      </c>
    </row>
    <row r="349" spans="1:65" x14ac:dyDescent="0.45">
      <c r="A349" s="1" t="s">
        <v>343</v>
      </c>
      <c r="B349" s="2">
        <v>4050911</v>
      </c>
      <c r="C349" s="3" t="s">
        <v>1289</v>
      </c>
      <c r="D349" s="3" t="s">
        <v>1290</v>
      </c>
      <c r="E349" s="3" t="s">
        <v>548</v>
      </c>
      <c r="F349" s="5">
        <v>286049579674832</v>
      </c>
      <c r="G349" s="5">
        <v>292960013671242</v>
      </c>
      <c r="H349" s="5">
        <v>282922422133307</v>
      </c>
      <c r="I349" s="5">
        <v>286063136618529</v>
      </c>
      <c r="J349" s="5">
        <v>318786815401692</v>
      </c>
      <c r="K349" s="5">
        <v>321437183113364</v>
      </c>
      <c r="L349" s="5">
        <v>302219610606597</v>
      </c>
      <c r="M349" s="5">
        <v>318957194528254</v>
      </c>
      <c r="N349" s="5">
        <v>331875392806477</v>
      </c>
      <c r="O349" s="5">
        <v>3163793899609</v>
      </c>
      <c r="P349" s="5">
        <v>289855190044475</v>
      </c>
      <c r="Q349" s="5">
        <v>300354026988372</v>
      </c>
      <c r="R349" s="5">
        <v>2967016435687</v>
      </c>
      <c r="S349" s="5">
        <v>28034564364302</v>
      </c>
      <c r="T349" s="5">
        <v>278948307090253</v>
      </c>
      <c r="U349" s="5">
        <v>265653045712454</v>
      </c>
      <c r="V349" s="5">
        <v>273870938117737</v>
      </c>
      <c r="W349" s="5">
        <v>265174097739923</v>
      </c>
      <c r="X349" s="5">
        <v>254684514305735</v>
      </c>
      <c r="Y349" s="5">
        <v>257640276557788</v>
      </c>
      <c r="Z349" s="5">
        <v>265198661693808</v>
      </c>
      <c r="AA349" s="5">
        <v>259107299651639</v>
      </c>
      <c r="AB349" s="5">
        <v>22505427558836</v>
      </c>
      <c r="AC349" s="5">
        <v>235153728029357</v>
      </c>
      <c r="AD349" s="5">
        <v>24108841760718</v>
      </c>
      <c r="AE349" s="5">
        <v>24666602908745</v>
      </c>
      <c r="AF349" s="5">
        <v>252410636165319</v>
      </c>
      <c r="AG349" s="5">
        <v>236498169124119</v>
      </c>
      <c r="AH349" s="5">
        <v>221008918838758</v>
      </c>
      <c r="AI349" s="5">
        <v>239152000169819</v>
      </c>
      <c r="AJ349" s="5">
        <v>220875224432129</v>
      </c>
      <c r="AK349" s="5">
        <v>232135015086374</v>
      </c>
      <c r="AL349" s="5">
        <v>234146727586334</v>
      </c>
      <c r="AM349" s="5">
        <v>206435897805501</v>
      </c>
      <c r="AN349" s="5">
        <v>235673080612574</v>
      </c>
      <c r="AO349" s="5">
        <v>27004984068656</v>
      </c>
      <c r="AP349" s="6">
        <v>939588649788839</v>
      </c>
      <c r="AQ349" s="6">
        <v>986565241927622</v>
      </c>
      <c r="AR349" s="6">
        <v>100812412910562</v>
      </c>
      <c r="AS349" s="6">
        <v>106508545332575</v>
      </c>
      <c r="AT349" s="6">
        <v>98023886368626</v>
      </c>
      <c r="AU349" s="6">
        <v>100147577836536</v>
      </c>
      <c r="AV349" s="6">
        <v>980105407099354</v>
      </c>
      <c r="AW349" s="6">
        <v>988821813034925</v>
      </c>
      <c r="AX349" s="6">
        <v>100425288919867</v>
      </c>
      <c r="AY349" s="6">
        <v>100734132084924</v>
      </c>
      <c r="AZ349" s="6">
        <v>95974364434617</v>
      </c>
      <c r="BA349" s="6">
        <v>959308623819</v>
      </c>
      <c r="BB349" s="6">
        <v>866431116784094</v>
      </c>
      <c r="BC349" s="6">
        <v>950509458659174</v>
      </c>
      <c r="BD349" s="6">
        <v>946340188931808</v>
      </c>
      <c r="BE349" s="6">
        <v>940979637376917</v>
      </c>
      <c r="BF349" s="6">
        <v>961661303267834</v>
      </c>
      <c r="BG349" s="6">
        <v>919089422855447</v>
      </c>
      <c r="BH349" s="6">
        <v>899429196604627</v>
      </c>
      <c r="BI349" s="6">
        <v>842065347304526</v>
      </c>
      <c r="BJ349" s="6">
        <v>82591043720746</v>
      </c>
      <c r="BK349" s="6">
        <v>812743302358608</v>
      </c>
      <c r="BL349" s="6">
        <v>812846559737394</v>
      </c>
      <c r="BM349" s="6">
        <v>864790289426336</v>
      </c>
    </row>
    <row r="350" spans="1:65" x14ac:dyDescent="0.45">
      <c r="A350" s="1" t="s">
        <v>344</v>
      </c>
      <c r="B350" s="2">
        <v>103016</v>
      </c>
      <c r="C350" s="3" t="s">
        <v>1291</v>
      </c>
      <c r="D350" s="3" t="s">
        <v>1292</v>
      </c>
      <c r="E350" s="3" t="s">
        <v>916</v>
      </c>
      <c r="F350" s="5">
        <v>460477806219818</v>
      </c>
      <c r="G350" s="5">
        <v>507475177015991</v>
      </c>
      <c r="H350" s="5">
        <v>549885214973273</v>
      </c>
      <c r="I350" s="5">
        <v>524181431708031</v>
      </c>
      <c r="J350" s="5">
        <v>576621877824501</v>
      </c>
      <c r="K350" s="5">
        <v>561714303997894</v>
      </c>
      <c r="L350" s="5">
        <v>525007267703304</v>
      </c>
      <c r="M350" s="5">
        <v>540961833610243</v>
      </c>
      <c r="N350" s="5">
        <v>618161126449537</v>
      </c>
      <c r="O350" s="5">
        <v>616080880142266</v>
      </c>
      <c r="P350" s="5">
        <v>554715667872569</v>
      </c>
      <c r="Q350" s="5">
        <v>56130220290263</v>
      </c>
      <c r="R350" s="5">
        <v>577531309515725</v>
      </c>
      <c r="S350" s="5">
        <v>509320012966042</v>
      </c>
      <c r="T350" s="5">
        <v>503376889731617</v>
      </c>
      <c r="U350" s="5">
        <v>449176368394206</v>
      </c>
      <c r="V350" s="5">
        <v>48040994795162</v>
      </c>
      <c r="W350" s="5">
        <v>460928536248096</v>
      </c>
      <c r="X350" s="5">
        <v>443747968114604</v>
      </c>
      <c r="Y350" s="5">
        <v>405555304019976</v>
      </c>
      <c r="Z350" s="5">
        <v>408973445991871</v>
      </c>
      <c r="AA350" s="5">
        <v>367477097770877</v>
      </c>
      <c r="AB350" s="5">
        <v>338195156624168</v>
      </c>
      <c r="AC350" s="5">
        <v>327814865495285</v>
      </c>
      <c r="AD350" s="5">
        <v>33003846153559</v>
      </c>
      <c r="AE350" s="5">
        <v>328325916070108</v>
      </c>
      <c r="AF350" s="5">
        <v>343601050409879</v>
      </c>
      <c r="AG350" s="5">
        <v>331545574836388</v>
      </c>
      <c r="AH350" s="5">
        <v>310576665418992</v>
      </c>
      <c r="AI350" s="5">
        <v>295327311928182</v>
      </c>
      <c r="AJ350" s="5">
        <v>298045146840912</v>
      </c>
      <c r="AK350" s="5">
        <v>318760142686093</v>
      </c>
      <c r="AL350" s="5">
        <v>296308390395245</v>
      </c>
      <c r="AM350" s="5">
        <v>315630244531238</v>
      </c>
      <c r="AN350" s="5">
        <v>332308459951077</v>
      </c>
      <c r="AO350" s="5">
        <v>352560300220339</v>
      </c>
      <c r="AP350" s="6">
        <v>365784523307346</v>
      </c>
      <c r="AQ350" s="6">
        <v>366127985983896</v>
      </c>
      <c r="AR350" s="6">
        <v>300652375560095</v>
      </c>
      <c r="AS350" s="6">
        <v>278373759543225</v>
      </c>
      <c r="AT350" s="6">
        <v>288560871843025</v>
      </c>
      <c r="AU350" s="6">
        <v>298926218821741</v>
      </c>
      <c r="AV350" s="6">
        <v>300277193495448</v>
      </c>
      <c r="AW350" s="6">
        <v>295483284635597</v>
      </c>
      <c r="AX350" s="6">
        <v>334323984445479</v>
      </c>
      <c r="AY350" s="6">
        <v>398074992627728</v>
      </c>
      <c r="AZ350" s="6">
        <v>411534523505078</v>
      </c>
      <c r="BA350" s="6">
        <v>405201719955047</v>
      </c>
      <c r="BB350" s="6">
        <v>352720167267006</v>
      </c>
      <c r="BC350" s="6">
        <v>349181427565555</v>
      </c>
      <c r="BD350" s="6">
        <v>323531459738428</v>
      </c>
      <c r="BE350" s="6">
        <v>375386866656394</v>
      </c>
      <c r="BF350" s="6">
        <v>378255936071468</v>
      </c>
      <c r="BG350" s="6">
        <v>338851012603823</v>
      </c>
      <c r="BH350" s="6">
        <v>318621518077388</v>
      </c>
      <c r="BI350" s="6">
        <v>27755992796394</v>
      </c>
      <c r="BJ350" s="6">
        <v>271011997792424</v>
      </c>
      <c r="BK350" s="6">
        <v>301302363505939</v>
      </c>
      <c r="BL350" s="6">
        <v>282372952035938</v>
      </c>
      <c r="BM350" s="6">
        <v>315046545214071</v>
      </c>
    </row>
    <row r="351" spans="1:65" x14ac:dyDescent="0.45">
      <c r="A351" s="1" t="s">
        <v>345</v>
      </c>
      <c r="B351" s="2">
        <v>4006246</v>
      </c>
      <c r="C351" s="3" t="s">
        <v>1293</v>
      </c>
      <c r="D351" s="3" t="s">
        <v>1294</v>
      </c>
      <c r="E351" s="3" t="s">
        <v>808</v>
      </c>
      <c r="F351" s="5">
        <v>97056717939518</v>
      </c>
      <c r="G351" s="5">
        <v>989265369332619</v>
      </c>
      <c r="H351" s="5">
        <v>921345953437919</v>
      </c>
      <c r="I351" s="5">
        <v>885307373775</v>
      </c>
      <c r="J351" s="5">
        <v>93458905597662</v>
      </c>
      <c r="K351" s="5">
        <v>99000359114184</v>
      </c>
      <c r="L351" s="5">
        <v>900844455723254</v>
      </c>
      <c r="M351" s="5">
        <v>100247238670937</v>
      </c>
      <c r="N351" s="5">
        <v>941621351688115</v>
      </c>
      <c r="O351" s="5">
        <v>910616321071744</v>
      </c>
      <c r="P351" s="5">
        <v>109958998543963</v>
      </c>
      <c r="Q351" s="5">
        <v>119102669746885</v>
      </c>
      <c r="R351" s="5">
        <v>127253111337256</v>
      </c>
      <c r="S351" s="5">
        <v>112380549778329</v>
      </c>
      <c r="T351" s="5">
        <v>105273547086225</v>
      </c>
      <c r="U351" s="5">
        <v>102822950287546</v>
      </c>
      <c r="V351" s="5">
        <v>118421440939675</v>
      </c>
      <c r="W351" s="5">
        <v>120044033640171</v>
      </c>
      <c r="X351" s="5">
        <v>121028416354529</v>
      </c>
      <c r="Y351" s="5">
        <v>124689843547901</v>
      </c>
      <c r="Z351" s="5">
        <v>129238528952172</v>
      </c>
      <c r="AA351" s="5">
        <v>118165021451323</v>
      </c>
      <c r="AB351" s="5">
        <v>99134452960296</v>
      </c>
      <c r="AC351" s="5">
        <v>96072196726926</v>
      </c>
      <c r="AD351" s="5">
        <v>94504652617452</v>
      </c>
      <c r="AE351" s="5">
        <v>978682130042698</v>
      </c>
      <c r="AF351" s="5">
        <v>937688854281575</v>
      </c>
      <c r="AG351" s="5">
        <v>105717146094002</v>
      </c>
      <c r="AH351" s="5">
        <v>100029020153881</v>
      </c>
      <c r="AI351" s="5">
        <v>98837091135128</v>
      </c>
      <c r="AJ351" s="5">
        <v>81085584069817</v>
      </c>
      <c r="AK351" s="5">
        <v>819354995489968</v>
      </c>
      <c r="AL351" s="5">
        <v>692938846473878</v>
      </c>
      <c r="AM351" s="5">
        <v>54734634352944</v>
      </c>
      <c r="AN351" s="5">
        <v>986863014463914</v>
      </c>
      <c r="AO351" s="5">
        <v>108730561159407</v>
      </c>
      <c r="AP351" s="6">
        <v>147505625808701</v>
      </c>
      <c r="AQ351" s="6">
        <v>145684271448202</v>
      </c>
      <c r="AR351" s="6">
        <v>144111351871588</v>
      </c>
      <c r="AS351" s="6">
        <v>144762019168644</v>
      </c>
      <c r="AT351" s="6">
        <v>132628927939544</v>
      </c>
      <c r="AU351" s="6">
        <v>1437035742</v>
      </c>
      <c r="AV351" s="6">
        <v>133029055455997</v>
      </c>
      <c r="AW351" s="6">
        <v>125709731425598</v>
      </c>
      <c r="AX351" s="6">
        <v>14040711825</v>
      </c>
      <c r="AY351" s="6">
        <v>128312500263849</v>
      </c>
      <c r="AZ351" s="6">
        <v>146560042069105</v>
      </c>
      <c r="BA351" s="6">
        <v>136919674751184</v>
      </c>
      <c r="BB351" s="6">
        <v>120819027407021</v>
      </c>
      <c r="BC351" s="6">
        <v>150207285236736</v>
      </c>
      <c r="BD351" s="6">
        <v>15817609725</v>
      </c>
      <c r="BE351" s="6">
        <v>1695295528455</v>
      </c>
      <c r="BF351" s="6">
        <v>179951579381</v>
      </c>
      <c r="BG351" s="6">
        <v>1771510093</v>
      </c>
      <c r="BH351" s="6">
        <v>171159321469207</v>
      </c>
      <c r="BI351" s="6">
        <v>175710432794625</v>
      </c>
      <c r="BJ351" s="6">
        <v>17388330450832</v>
      </c>
      <c r="BK351" s="6">
        <v>169638386058688</v>
      </c>
      <c r="BL351" s="6">
        <v>178451850420453</v>
      </c>
      <c r="BM351" s="6">
        <v>179319958303725</v>
      </c>
    </row>
    <row r="352" spans="1:65" x14ac:dyDescent="0.45">
      <c r="A352" s="1" t="s">
        <v>346</v>
      </c>
      <c r="B352" s="2">
        <v>4062496</v>
      </c>
      <c r="C352" s="3" t="s">
        <v>1295</v>
      </c>
      <c r="D352" s="3" t="s">
        <v>1296</v>
      </c>
      <c r="E352" s="3" t="s">
        <v>507</v>
      </c>
      <c r="F352" s="5">
        <v>115318231818</v>
      </c>
      <c r="G352" s="5">
        <v>137498892713</v>
      </c>
      <c r="H352" s="5">
        <v>133625273634</v>
      </c>
      <c r="I352" s="5">
        <v>129388695492</v>
      </c>
      <c r="J352" s="5">
        <v>147484581609</v>
      </c>
      <c r="K352" s="5">
        <v>159709493352</v>
      </c>
      <c r="L352" s="5">
        <v>137714986668</v>
      </c>
      <c r="M352" s="5">
        <v>150449272974</v>
      </c>
      <c r="N352" s="5">
        <v>149385924807</v>
      </c>
      <c r="O352" s="5">
        <v>155039771628</v>
      </c>
      <c r="P352" s="5">
        <v>172608046065</v>
      </c>
      <c r="Q352" s="5">
        <v>1756859839488</v>
      </c>
      <c r="R352" s="5">
        <v>1800289828836</v>
      </c>
      <c r="S352" s="5">
        <v>1793518947072</v>
      </c>
      <c r="T352" s="5">
        <v>129779774976</v>
      </c>
      <c r="U352" s="5">
        <v>125528288832</v>
      </c>
      <c r="V352" s="5">
        <v>140183066304</v>
      </c>
      <c r="W352" s="5">
        <v>1424454192</v>
      </c>
      <c r="X352" s="5">
        <v>135977198736</v>
      </c>
      <c r="Y352" s="5">
        <v>12451999896</v>
      </c>
      <c r="Z352" s="5">
        <v>13015364832</v>
      </c>
      <c r="AA352" s="5">
        <v>128302340037218</v>
      </c>
      <c r="AB352" s="5">
        <v>127841627172819</v>
      </c>
      <c r="AC352" s="5">
        <v>146220882969184</v>
      </c>
      <c r="AD352" s="5">
        <v>14085242145</v>
      </c>
      <c r="AE352" s="5">
        <v>139268104209</v>
      </c>
      <c r="AF352" s="5">
        <v>119432826845002</v>
      </c>
      <c r="AG352" s="5">
        <v>113070616867409</v>
      </c>
      <c r="AH352" s="5">
        <v>112405912572235</v>
      </c>
      <c r="AI352" s="5">
        <v>10072270035964</v>
      </c>
      <c r="AJ352" s="5">
        <v>911745195861839</v>
      </c>
      <c r="AK352" s="5">
        <v>818402654326488</v>
      </c>
      <c r="AL352" s="5">
        <v>808960987549711</v>
      </c>
      <c r="AM352" s="5">
        <v>70367429701569</v>
      </c>
      <c r="AN352" s="5">
        <v>813825788797211</v>
      </c>
      <c r="AO352" s="5">
        <v>878645283068021</v>
      </c>
      <c r="AP352" s="6">
        <v>254898633108215</v>
      </c>
      <c r="AQ352" s="6">
        <v>256779822097703</v>
      </c>
      <c r="AR352" s="6">
        <v>250545269315936</v>
      </c>
      <c r="AS352" s="6">
        <v>254596338187564</v>
      </c>
      <c r="AT352" s="6">
        <v>260277147928392</v>
      </c>
      <c r="AU352" s="6">
        <v>255484883361258</v>
      </c>
      <c r="AV352" s="6">
        <v>244853187520144</v>
      </c>
      <c r="AW352" s="6">
        <v>244037828472086</v>
      </c>
      <c r="AX352" s="6">
        <v>237706315897019</v>
      </c>
      <c r="AY352" s="6">
        <v>230336469915988</v>
      </c>
      <c r="AZ352" s="6">
        <v>221494625633629</v>
      </c>
      <c r="BA352" s="6">
        <v>217357860850848</v>
      </c>
      <c r="BB352" s="6">
        <v>204360679449274</v>
      </c>
      <c r="BC352" s="6">
        <v>221703399759053</v>
      </c>
      <c r="BD352" s="6">
        <v>208415779637568</v>
      </c>
      <c r="BE352" s="6">
        <v>203625232272</v>
      </c>
      <c r="BF352" s="6">
        <v>20577802784</v>
      </c>
      <c r="BG352" s="6">
        <v>20165762496</v>
      </c>
      <c r="BH352" s="6">
        <v>192138213044864</v>
      </c>
      <c r="BI352" s="6">
        <v>189656952529075</v>
      </c>
      <c r="BJ352" s="6">
        <v>176582749932869</v>
      </c>
      <c r="BK352" s="6">
        <v>177539569899252</v>
      </c>
      <c r="BL352" s="6">
        <v>182235084656297</v>
      </c>
      <c r="BM352" s="6">
        <v>184853965933898</v>
      </c>
    </row>
    <row r="353" spans="1:65" x14ac:dyDescent="0.45">
      <c r="A353" s="1" t="s">
        <v>347</v>
      </c>
      <c r="B353" s="2">
        <v>4097102</v>
      </c>
      <c r="C353" s="3" t="s">
        <v>1297</v>
      </c>
      <c r="D353" s="3" t="s">
        <v>1298</v>
      </c>
      <c r="E353" s="3" t="s">
        <v>765</v>
      </c>
      <c r="F353" s="5">
        <v>19054047162861</v>
      </c>
      <c r="G353" s="5">
        <v>207690590958632</v>
      </c>
      <c r="H353" s="5">
        <v>205445400954588</v>
      </c>
      <c r="I353" s="5">
        <v>185804444431762</v>
      </c>
      <c r="J353" s="5">
        <v>200656589029489</v>
      </c>
      <c r="K353" s="5">
        <v>19545990502526</v>
      </c>
      <c r="L353" s="5">
        <v>172307452440982</v>
      </c>
      <c r="M353" s="5">
        <v>159401889073791</v>
      </c>
      <c r="N353" s="5">
        <v>158221906387871</v>
      </c>
      <c r="O353" s="5">
        <v>169052808974311</v>
      </c>
      <c r="P353" s="5">
        <v>13842540039776</v>
      </c>
      <c r="Q353" s="5">
        <v>130683832499405</v>
      </c>
      <c r="R353" s="5">
        <v>143668540742126</v>
      </c>
      <c r="S353" s="5">
        <v>143846775991565</v>
      </c>
      <c r="T353" s="5">
        <v>149481319791493</v>
      </c>
      <c r="U353" s="5">
        <v>136653024165361</v>
      </c>
      <c r="V353" s="5">
        <v>120365553884364</v>
      </c>
      <c r="W353" s="5">
        <v>106779098800404</v>
      </c>
      <c r="X353" s="5">
        <v>106441934209279</v>
      </c>
      <c r="Y353" s="5">
        <v>109016962201401</v>
      </c>
      <c r="Z353" s="5">
        <v>111158063220378</v>
      </c>
      <c r="AA353" s="5">
        <v>103716970251127</v>
      </c>
      <c r="AB353" s="5">
        <v>96233415633225</v>
      </c>
      <c r="AC353" s="5">
        <v>80613176558274</v>
      </c>
      <c r="AD353" s="5">
        <v>8175622949715</v>
      </c>
      <c r="AE353" s="5">
        <v>79400770931502</v>
      </c>
      <c r="AF353" s="5">
        <v>743800229689832</v>
      </c>
      <c r="AG353" s="5">
        <v>62501131939573</v>
      </c>
      <c r="AH353" s="5">
        <v>59170456757125</v>
      </c>
      <c r="AI353" s="5">
        <v>465061652936373</v>
      </c>
      <c r="AJ353" s="5">
        <v>479833019733302</v>
      </c>
      <c r="AK353" s="5">
        <v>457241866547928</v>
      </c>
      <c r="AL353" s="5">
        <v>457489503938254</v>
      </c>
      <c r="AM353" s="5">
        <v>41158887393351</v>
      </c>
      <c r="AN353" s="5">
        <v>494226648118671</v>
      </c>
      <c r="AO353" s="5">
        <v>50261336903745</v>
      </c>
      <c r="AP353" s="6">
        <v>198559673673953</v>
      </c>
      <c r="AQ353" s="6">
        <v>195228426711261</v>
      </c>
      <c r="AR353" s="6">
        <v>190802793371329</v>
      </c>
      <c r="AS353" s="6">
        <v>17802191492667</v>
      </c>
      <c r="AT353" s="6">
        <v>181961632425958</v>
      </c>
      <c r="AU353" s="6">
        <v>165814865013155</v>
      </c>
      <c r="AV353" s="6">
        <v>153774205863053</v>
      </c>
      <c r="AW353" s="6">
        <v>146801148403038</v>
      </c>
      <c r="AX353" s="6">
        <v>133663334169766</v>
      </c>
      <c r="AY353" s="6">
        <v>132749216247354</v>
      </c>
      <c r="AZ353" s="6">
        <v>12888944913394</v>
      </c>
      <c r="BA353" s="6">
        <v>118393650710641</v>
      </c>
      <c r="BB353" s="6">
        <v>141721783020314</v>
      </c>
      <c r="BC353" s="6">
        <v>140694174580351</v>
      </c>
      <c r="BD353" s="6">
        <v>133351721113397</v>
      </c>
      <c r="BE353" s="6">
        <v>141646917976787</v>
      </c>
      <c r="BF353" s="6">
        <v>136947729183703</v>
      </c>
      <c r="BG353" s="6">
        <v>129019789590346</v>
      </c>
      <c r="BH353" s="6">
        <v>126720856999361</v>
      </c>
      <c r="BI353" s="6">
        <v>125866880517752</v>
      </c>
      <c r="BJ353" s="6">
        <v>111879536205484</v>
      </c>
      <c r="BK353" s="6">
        <v>114450046079351</v>
      </c>
      <c r="BL353" s="6">
        <v>111520505918285</v>
      </c>
      <c r="BM353" s="6">
        <v>115806820422723</v>
      </c>
    </row>
    <row r="354" spans="1:65" x14ac:dyDescent="0.45">
      <c r="A354" s="1" t="s">
        <v>348</v>
      </c>
      <c r="B354" s="2">
        <v>4070417</v>
      </c>
      <c r="C354" s="3" t="s">
        <v>1299</v>
      </c>
      <c r="D354" s="3" t="s">
        <v>1300</v>
      </c>
      <c r="E354" s="3" t="s">
        <v>805</v>
      </c>
      <c r="F354" s="5">
        <v>166709506828991</v>
      </c>
      <c r="G354" s="5">
        <v>167676004837078</v>
      </c>
      <c r="H354" s="5">
        <v>165448017506472</v>
      </c>
      <c r="I354" s="5">
        <v>14589693449835</v>
      </c>
      <c r="J354" s="5">
        <v>145081899647619</v>
      </c>
      <c r="K354" s="5">
        <v>15612793108777</v>
      </c>
      <c r="L354" s="5">
        <v>149298488816627</v>
      </c>
      <c r="M354" s="5">
        <v>154270158252828</v>
      </c>
      <c r="N354" s="5">
        <v>149054496312617</v>
      </c>
      <c r="O354" s="5">
        <v>147169929111595</v>
      </c>
      <c r="P354" s="5">
        <v>139637783152152</v>
      </c>
      <c r="Q354" s="5">
        <v>14787935279799</v>
      </c>
      <c r="R354" s="5">
        <v>186622299015333</v>
      </c>
      <c r="S354" s="5">
        <v>161818936096628</v>
      </c>
      <c r="T354" s="5">
        <v>155717642570062</v>
      </c>
      <c r="U354" s="5">
        <v>153182254787022</v>
      </c>
      <c r="V354" s="5">
        <v>158196685091602</v>
      </c>
      <c r="W354" s="5">
        <v>146051702608866</v>
      </c>
      <c r="X354" s="5">
        <v>13530693991118</v>
      </c>
      <c r="Y354" s="5">
        <v>131333851254479</v>
      </c>
      <c r="Z354" s="5">
        <v>133274781071659</v>
      </c>
      <c r="AA354" s="5">
        <v>145927015907825</v>
      </c>
      <c r="AB354" s="5">
        <v>127496186085277</v>
      </c>
      <c r="AC354" s="5">
        <v>143382611055197</v>
      </c>
      <c r="AD354" s="5">
        <v>131291009411064</v>
      </c>
      <c r="AE354" s="5">
        <v>139798234788109</v>
      </c>
      <c r="AF354" s="5">
        <v>141245982629107</v>
      </c>
      <c r="AG354" s="5">
        <v>130944640828686</v>
      </c>
      <c r="AH354" s="5">
        <v>124971633384961</v>
      </c>
      <c r="AI354" s="5">
        <v>14425750596985</v>
      </c>
      <c r="AJ354" s="5">
        <v>135423336974476</v>
      </c>
      <c r="AK354" s="5">
        <v>142281110155909</v>
      </c>
      <c r="AL354" s="5">
        <v>13487307834</v>
      </c>
      <c r="AM354" s="5">
        <v>9751962183964</v>
      </c>
      <c r="AN354" s="5">
        <v>128704545348343</v>
      </c>
      <c r="AO354" s="5">
        <v>1327663722</v>
      </c>
      <c r="AP354" s="6">
        <v>961308766343191</v>
      </c>
      <c r="AQ354" s="6">
        <v>936758042430844</v>
      </c>
      <c r="AR354" s="6">
        <v>85656081521796</v>
      </c>
      <c r="AS354" s="6">
        <v>867609462973467</v>
      </c>
      <c r="AT354" s="6">
        <v>835191135338204</v>
      </c>
      <c r="AU354" s="6">
        <v>858274194976062</v>
      </c>
      <c r="AV354" s="6">
        <v>939075786727967</v>
      </c>
      <c r="AW354" s="6">
        <v>859125982435847</v>
      </c>
      <c r="AX354" s="6">
        <v>94837533160944</v>
      </c>
      <c r="AY354" s="6">
        <v>951918384467952</v>
      </c>
      <c r="AZ354" s="6">
        <v>916115573043792</v>
      </c>
      <c r="BA354" s="6">
        <v>8788620960891</v>
      </c>
      <c r="BB354" s="6">
        <v>763162968282198</v>
      </c>
      <c r="BC354" s="6">
        <v>855333800944589</v>
      </c>
      <c r="BD354" s="6">
        <v>846064096917588</v>
      </c>
      <c r="BE354" s="6">
        <v>927068340304918</v>
      </c>
      <c r="BF354" s="6">
        <v>88175771045429</v>
      </c>
      <c r="BG354" s="6">
        <v>748544520414401</v>
      </c>
      <c r="BH354" s="6">
        <v>694401420049764</v>
      </c>
      <c r="BI354" s="6">
        <v>705325546349801</v>
      </c>
      <c r="BJ354" s="6">
        <v>671388520560094</v>
      </c>
      <c r="BK354" s="6">
        <v>680436086071589</v>
      </c>
      <c r="BL354" s="6">
        <v>690900361513362</v>
      </c>
      <c r="BM354" s="6">
        <v>710298395499662</v>
      </c>
    </row>
    <row r="355" spans="1:65" x14ac:dyDescent="0.45">
      <c r="A355" s="1" t="s">
        <v>349</v>
      </c>
      <c r="B355" s="2">
        <v>4157135</v>
      </c>
      <c r="C355" s="3" t="s">
        <v>1301</v>
      </c>
      <c r="D355" s="3" t="s">
        <v>1302</v>
      </c>
      <c r="E355" s="3" t="s">
        <v>1126</v>
      </c>
      <c r="F355" s="5">
        <v>652305769009873</v>
      </c>
      <c r="G355" s="5">
        <v>723668509400782</v>
      </c>
      <c r="H355" s="5">
        <v>635343378035558</v>
      </c>
      <c r="I355" s="5">
        <v>587045482134221</v>
      </c>
      <c r="J355" s="5">
        <v>61463117809751</v>
      </c>
      <c r="K355" s="5">
        <v>674065449032413</v>
      </c>
      <c r="L355" s="5">
        <v>597819946775579</v>
      </c>
      <c r="M355" s="5">
        <v>660292207927681</v>
      </c>
      <c r="N355" s="5">
        <v>704614624105351</v>
      </c>
      <c r="O355" s="5">
        <v>726750936424733</v>
      </c>
      <c r="P355" s="5">
        <v>836796419097522</v>
      </c>
      <c r="Q355" s="5">
        <v>728499121382822</v>
      </c>
      <c r="R355" s="5">
        <v>769398141096913</v>
      </c>
      <c r="S355" s="5">
        <v>757892460767146</v>
      </c>
      <c r="T355" s="5">
        <v>808430977731283</v>
      </c>
      <c r="U355" s="5">
        <v>704258640327782</v>
      </c>
      <c r="V355" s="5">
        <v>723224229566227</v>
      </c>
      <c r="W355" s="5">
        <v>703325718535968</v>
      </c>
      <c r="X355" s="5">
        <v>730251224970775</v>
      </c>
      <c r="Y355" s="5">
        <v>744532628482368</v>
      </c>
      <c r="Z355" s="5">
        <v>810180574454158</v>
      </c>
      <c r="AA355" s="5">
        <v>767247977898912</v>
      </c>
      <c r="AB355" s="5">
        <v>707541713774292</v>
      </c>
      <c r="AC355" s="5">
        <v>60855284297616</v>
      </c>
      <c r="AD355" s="5">
        <v>6199750255608</v>
      </c>
      <c r="AE355" s="5">
        <v>5244983036076</v>
      </c>
      <c r="AF355" s="5">
        <v>419013398521379</v>
      </c>
      <c r="AG355" s="5">
        <v>422806367758261</v>
      </c>
      <c r="AH355" s="5">
        <v>420564210143689</v>
      </c>
      <c r="AI355" s="5">
        <v>437911865743709</v>
      </c>
      <c r="AJ355" s="5">
        <v>468220493722783</v>
      </c>
      <c r="AK355" s="5">
        <v>493505652696619</v>
      </c>
      <c r="AL355" s="5">
        <v>497340351866312</v>
      </c>
      <c r="AM355" s="5">
        <v>44847082020923</v>
      </c>
      <c r="AN355" s="5">
        <v>707493007011111</v>
      </c>
      <c r="AO355" s="5">
        <v>7639004411324</v>
      </c>
      <c r="AP355" s="6">
        <v>209220340404874</v>
      </c>
      <c r="AQ355" s="6">
        <v>205378200288737</v>
      </c>
      <c r="AR355" s="6">
        <v>180533695856296</v>
      </c>
      <c r="AS355" s="6">
        <v>176843100549312</v>
      </c>
      <c r="AT355" s="6">
        <v>162543114793435</v>
      </c>
      <c r="AU355" s="6">
        <v>169030207907412</v>
      </c>
      <c r="AV355" s="6">
        <v>170410330040264</v>
      </c>
      <c r="AW355" s="6">
        <v>158052778050701</v>
      </c>
      <c r="AX355" s="6">
        <v>190898646304133</v>
      </c>
      <c r="AY355" s="6">
        <v>186888891884548</v>
      </c>
      <c r="AZ355" s="6">
        <v>187437211366038</v>
      </c>
      <c r="BA355" s="6">
        <v>176914262905474</v>
      </c>
      <c r="BB355" s="6">
        <v>158072653968625</v>
      </c>
      <c r="BC355" s="6">
        <v>18582583052382</v>
      </c>
      <c r="BD355" s="6">
        <v>179252839983486</v>
      </c>
      <c r="BE355" s="6">
        <v>198786180929858</v>
      </c>
      <c r="BF355" s="6">
        <v>192010360147351</v>
      </c>
      <c r="BG355" s="6">
        <v>197396334536071</v>
      </c>
      <c r="BH355" s="6">
        <v>178921601103361</v>
      </c>
      <c r="BI355" s="6">
        <v>188934659175194</v>
      </c>
      <c r="BJ355" s="6">
        <v>174124368924983</v>
      </c>
      <c r="BK355" s="6">
        <v>181019246251064</v>
      </c>
      <c r="BL355" s="6">
        <v>18921761297712</v>
      </c>
      <c r="BM355" s="6">
        <v>202668537260631</v>
      </c>
    </row>
    <row r="356" spans="1:65" x14ac:dyDescent="0.45">
      <c r="A356" s="1" t="s">
        <v>350</v>
      </c>
      <c r="B356" s="2">
        <v>102771</v>
      </c>
      <c r="C356" s="3" t="s">
        <v>1303</v>
      </c>
      <c r="D356" s="3" t="s">
        <v>1304</v>
      </c>
      <c r="E356" s="3" t="s">
        <v>1039</v>
      </c>
      <c r="F356" s="5">
        <v>215019598742665</v>
      </c>
      <c r="G356" s="5">
        <v>243791633807687</v>
      </c>
      <c r="H356" s="5">
        <v>256990686282</v>
      </c>
      <c r="I356" s="5">
        <v>217501167592636</v>
      </c>
      <c r="J356" s="5">
        <v>223657223723222</v>
      </c>
      <c r="K356" s="5">
        <v>208022459477637</v>
      </c>
      <c r="L356" s="5">
        <v>185307287144031</v>
      </c>
      <c r="M356" s="5">
        <v>191178245204135</v>
      </c>
      <c r="N356" s="5">
        <v>192587054142515</v>
      </c>
      <c r="O356" s="5">
        <v>205403499996262</v>
      </c>
      <c r="P356" s="5">
        <v>20270953755313</v>
      </c>
      <c r="Q356" s="5">
        <v>196222301163412</v>
      </c>
      <c r="R356" s="5">
        <v>181900265076601</v>
      </c>
      <c r="S356" s="5">
        <v>179778951117723</v>
      </c>
      <c r="T356" s="5">
        <v>175453371588769</v>
      </c>
      <c r="U356" s="5">
        <v>163846870480643</v>
      </c>
      <c r="V356" s="5">
        <v>1626046001534</v>
      </c>
      <c r="W356" s="5">
        <v>14942859516</v>
      </c>
      <c r="X356" s="5">
        <v>15055206134992</v>
      </c>
      <c r="Y356" s="5">
        <v>149497287500843</v>
      </c>
      <c r="Z356" s="5">
        <v>149716002099216</v>
      </c>
      <c r="AA356" s="5">
        <v>143799526110003</v>
      </c>
      <c r="AB356" s="5">
        <v>132871443907045</v>
      </c>
      <c r="AC356" s="5">
        <v>113285754920252</v>
      </c>
      <c r="AD356" s="5">
        <v>107094994752487</v>
      </c>
      <c r="AE356" s="5">
        <v>104202492807652</v>
      </c>
      <c r="AF356" s="5">
        <v>89967439874727</v>
      </c>
      <c r="AG356" s="5">
        <v>849875127133149</v>
      </c>
      <c r="AH356" s="5">
        <v>868767033227492</v>
      </c>
      <c r="AI356" s="5">
        <v>80480000767451</v>
      </c>
      <c r="AJ356" s="5">
        <v>838110661414109</v>
      </c>
      <c r="AK356" s="5">
        <v>853937987329881</v>
      </c>
      <c r="AL356" s="5">
        <v>824322204455112</v>
      </c>
      <c r="AM356" s="5">
        <v>801049478825783</v>
      </c>
      <c r="AN356" s="5">
        <v>105918094801281</v>
      </c>
      <c r="AO356" s="5">
        <v>114550634913561</v>
      </c>
      <c r="AP356" s="6">
        <v>967553466701665</v>
      </c>
      <c r="AQ356" s="6">
        <v>10654122062056</v>
      </c>
      <c r="AR356" s="6">
        <v>111947349342102</v>
      </c>
      <c r="AS356" s="6">
        <v>102325073856216</v>
      </c>
      <c r="AT356" s="6">
        <v>976919766446939</v>
      </c>
      <c r="AU356" s="6">
        <v>986608549499252</v>
      </c>
      <c r="AV356" s="6">
        <v>103245757508462</v>
      </c>
      <c r="AW356" s="6">
        <v>110390788726008</v>
      </c>
      <c r="AX356" s="6">
        <v>113040271779214</v>
      </c>
      <c r="AY356" s="6">
        <v>121460364899007</v>
      </c>
      <c r="AZ356" s="6">
        <v>113990089621859</v>
      </c>
      <c r="BA356" s="6">
        <v>106412908220612</v>
      </c>
      <c r="BB356" s="6">
        <v>103202634900784</v>
      </c>
      <c r="BC356" s="6">
        <v>122496049885626</v>
      </c>
      <c r="BD356" s="6">
        <v>114131990417474</v>
      </c>
      <c r="BE356" s="6">
        <v>113965445445541</v>
      </c>
      <c r="BF356" s="6">
        <v>112924837818339</v>
      </c>
      <c r="BG356" s="6">
        <v>102424762090762</v>
      </c>
      <c r="BH356" s="6">
        <v>983292665369873</v>
      </c>
      <c r="BI356" s="6">
        <v>931394759687129</v>
      </c>
      <c r="BJ356" s="6">
        <v>876772154829389</v>
      </c>
      <c r="BK356" s="6">
        <v>905466430741622</v>
      </c>
      <c r="BL356" s="6">
        <v>898394909553372</v>
      </c>
      <c r="BM356" s="6">
        <v>864585900639683</v>
      </c>
    </row>
    <row r="357" spans="1:65" x14ac:dyDescent="0.45">
      <c r="A357" s="1" t="s">
        <v>351</v>
      </c>
      <c r="B357" s="2">
        <v>103118</v>
      </c>
      <c r="C357" s="3" t="s">
        <v>1305</v>
      </c>
      <c r="D357" s="3" t="s">
        <v>1306</v>
      </c>
      <c r="E357" s="3" t="s">
        <v>931</v>
      </c>
      <c r="F357" s="5">
        <v>372224916506023</v>
      </c>
      <c r="G357" s="5">
        <v>383560898146679</v>
      </c>
      <c r="H357" s="5">
        <v>388911071166382</v>
      </c>
      <c r="I357" s="5">
        <v>366546794370438</v>
      </c>
      <c r="J357" s="5">
        <v>418687944881455</v>
      </c>
      <c r="K357" s="5">
        <v>436398183911856</v>
      </c>
      <c r="L357" s="5">
        <v>392828750116079</v>
      </c>
      <c r="M357" s="5">
        <v>382543500613618</v>
      </c>
      <c r="N357" s="5">
        <v>393512774750379</v>
      </c>
      <c r="O357" s="5">
        <v>372993743989112</v>
      </c>
      <c r="P357" s="5">
        <v>348010742471892</v>
      </c>
      <c r="Q357" s="5">
        <v>350629989301912</v>
      </c>
      <c r="R357" s="5">
        <v>356174044606369</v>
      </c>
      <c r="S357" s="5">
        <v>340951058313116</v>
      </c>
      <c r="T357" s="5">
        <v>240535517566139</v>
      </c>
      <c r="U357" s="5">
        <v>217906388656095</v>
      </c>
      <c r="V357" s="5">
        <v>238246381710402</v>
      </c>
      <c r="W357" s="5">
        <v>235458653136062</v>
      </c>
      <c r="X357" s="5">
        <v>213991258734895</v>
      </c>
      <c r="Y357" s="5">
        <v>209624693340834</v>
      </c>
      <c r="Z357" s="5">
        <v>214712692548731</v>
      </c>
      <c r="AA357" s="5">
        <v>20201181541422</v>
      </c>
      <c r="AB357" s="5">
        <v>185966807981323</v>
      </c>
      <c r="AC357" s="5">
        <v>181662159662485</v>
      </c>
      <c r="AD357" s="5">
        <v>178387135415428</v>
      </c>
      <c r="AE357" s="5">
        <v>1761159625283</v>
      </c>
      <c r="AF357" s="5">
        <v>171310876403128</v>
      </c>
      <c r="AG357" s="5">
        <v>178505063809551</v>
      </c>
      <c r="AH357" s="5">
        <v>179034336894406</v>
      </c>
      <c r="AI357" s="5">
        <v>174318900585751</v>
      </c>
      <c r="AJ357" s="5">
        <v>181569907408869</v>
      </c>
      <c r="AK357" s="5">
        <v>170854107303467</v>
      </c>
      <c r="AL357" s="5">
        <v>17239394140056</v>
      </c>
      <c r="AM357" s="5">
        <v>155492911555254</v>
      </c>
      <c r="AN357" s="5">
        <v>22558109315102</v>
      </c>
      <c r="AO357" s="5">
        <v>235954848395169</v>
      </c>
      <c r="AP357" s="6">
        <v>328463410939041</v>
      </c>
      <c r="AQ357" s="6">
        <v>340344183346437</v>
      </c>
      <c r="AR357" s="6">
        <v>314383787237183</v>
      </c>
      <c r="AS357" s="6">
        <v>340125323218673</v>
      </c>
      <c r="AT357" s="6">
        <v>346802585284513</v>
      </c>
      <c r="AU357" s="6">
        <v>339289639166179</v>
      </c>
      <c r="AV357" s="6">
        <v>334232335632473</v>
      </c>
      <c r="AW357" s="6">
        <v>320381339854715</v>
      </c>
      <c r="AX357" s="6">
        <v>333367561070775</v>
      </c>
      <c r="AY357" s="6">
        <v>315688011105911</v>
      </c>
      <c r="AZ357" s="6">
        <v>294450275555598</v>
      </c>
      <c r="BA357" s="6">
        <v>255770000936269</v>
      </c>
      <c r="BB357" s="6">
        <v>240764860811371</v>
      </c>
      <c r="BC357" s="6">
        <v>271848852619308</v>
      </c>
      <c r="BD357" s="6">
        <v>258303662198248</v>
      </c>
      <c r="BE357" s="6">
        <v>263476922079869</v>
      </c>
      <c r="BF357" s="6">
        <v>265644909708161</v>
      </c>
      <c r="BG357" s="6">
        <v>26612639129007</v>
      </c>
      <c r="BH357" s="6">
        <v>243956110807967</v>
      </c>
      <c r="BI357" s="6">
        <v>244020711876082</v>
      </c>
      <c r="BJ357" s="6">
        <v>225716284312584</v>
      </c>
      <c r="BK357" s="6">
        <v>23470869015935</v>
      </c>
      <c r="BL357" s="6">
        <v>231666674400743</v>
      </c>
      <c r="BM357" s="6">
        <v>230894592071614</v>
      </c>
    </row>
    <row r="358" spans="1:65" x14ac:dyDescent="0.45">
      <c r="A358" s="1" t="s">
        <v>352</v>
      </c>
      <c r="B358" s="2">
        <v>103091</v>
      </c>
      <c r="C358" s="3" t="s">
        <v>1307</v>
      </c>
      <c r="D358" s="3" t="s">
        <v>1308</v>
      </c>
      <c r="E358" s="3" t="s">
        <v>931</v>
      </c>
      <c r="F358" s="5">
        <v>10007470569</v>
      </c>
      <c r="G358" s="5">
        <v>110232415162251</v>
      </c>
      <c r="H358" s="5">
        <v>104712330509957</v>
      </c>
      <c r="I358" s="5">
        <v>939704660117214</v>
      </c>
      <c r="J358" s="5">
        <v>103367825755206</v>
      </c>
      <c r="K358" s="5">
        <v>108876411349323</v>
      </c>
      <c r="L358" s="5">
        <v>977914001752202</v>
      </c>
      <c r="M358" s="5">
        <v>109585456554962</v>
      </c>
      <c r="N358" s="5">
        <v>111648716448651</v>
      </c>
      <c r="O358" s="5">
        <v>109781113646067</v>
      </c>
      <c r="P358" s="5">
        <v>100301848552341</v>
      </c>
      <c r="Q358" s="5">
        <v>109370510886168</v>
      </c>
      <c r="R358" s="5">
        <v>113121325044699</v>
      </c>
      <c r="S358" s="5">
        <v>105033907913469</v>
      </c>
      <c r="T358" s="5">
        <v>103093645315964</v>
      </c>
      <c r="U358" s="5">
        <v>983559464585069</v>
      </c>
      <c r="V358" s="5">
        <v>984279708099917</v>
      </c>
      <c r="W358" s="5">
        <v>933866981124228</v>
      </c>
      <c r="X358" s="5">
        <v>915169667070593</v>
      </c>
      <c r="Y358" s="5">
        <v>89768589201108</v>
      </c>
      <c r="Z358" s="5">
        <v>896310870881287</v>
      </c>
      <c r="AA358" s="5">
        <v>818339455972884</v>
      </c>
      <c r="AB358" s="5">
        <v>766830061168875</v>
      </c>
      <c r="AC358" s="5">
        <v>657667601343245</v>
      </c>
      <c r="AD358" s="5">
        <v>63064372256424</v>
      </c>
      <c r="AE358" s="5">
        <v>645313593226579</v>
      </c>
      <c r="AF358" s="5">
        <v>516736074956187</v>
      </c>
      <c r="AG358" s="5">
        <v>547836113132018</v>
      </c>
      <c r="AH358" s="5">
        <v>562041940358861</v>
      </c>
      <c r="AI358" s="5">
        <v>5867579092998</v>
      </c>
      <c r="AJ358" s="5">
        <v>689875835609158</v>
      </c>
      <c r="AK358" s="5">
        <v>651163457783762</v>
      </c>
      <c r="AL358" s="5">
        <v>671436475396995</v>
      </c>
      <c r="AM358" s="5">
        <v>5850049772385</v>
      </c>
      <c r="AN358" s="5">
        <v>873682145369914</v>
      </c>
      <c r="AO358" s="5">
        <v>935253016204848</v>
      </c>
      <c r="AP358" s="6">
        <v>372311223980008</v>
      </c>
      <c r="AQ358" s="6">
        <v>381328033656508</v>
      </c>
      <c r="AR358" s="6">
        <v>355888318172919</v>
      </c>
      <c r="AS358" s="6">
        <v>364419650547927</v>
      </c>
      <c r="AT358" s="6">
        <v>351509279725895</v>
      </c>
      <c r="AU358" s="6">
        <v>347438047716416</v>
      </c>
      <c r="AV358" s="6">
        <v>317674148707669</v>
      </c>
      <c r="AW358" s="6">
        <v>306524369873146</v>
      </c>
      <c r="AX358" s="6">
        <v>320267484481297</v>
      </c>
      <c r="AY358" s="6">
        <v>30741120855522</v>
      </c>
      <c r="AZ358" s="6">
        <v>308590136827069</v>
      </c>
      <c r="BA358" s="6">
        <v>298030345519032</v>
      </c>
      <c r="BB358" s="6">
        <v>269295333122816</v>
      </c>
      <c r="BC358" s="6">
        <v>288866759488358</v>
      </c>
      <c r="BD358" s="6">
        <v>326569898619855</v>
      </c>
      <c r="BE358" s="6">
        <v>318463644179692</v>
      </c>
      <c r="BF358" s="6">
        <v>310700459796202</v>
      </c>
      <c r="BG358" s="6">
        <v>281309453425376</v>
      </c>
      <c r="BH358" s="6">
        <v>273516155490544</v>
      </c>
      <c r="BI358" s="6">
        <v>256165319336882</v>
      </c>
      <c r="BJ358" s="6">
        <v>253532285414216</v>
      </c>
      <c r="BK358" s="6">
        <v>24233152508816</v>
      </c>
      <c r="BL358" s="6">
        <v>244404185617929</v>
      </c>
      <c r="BM358" s="6">
        <v>25310798488166</v>
      </c>
    </row>
    <row r="359" spans="1:65" x14ac:dyDescent="0.45">
      <c r="A359" s="1" t="s">
        <v>353</v>
      </c>
      <c r="B359" s="2">
        <v>4094029</v>
      </c>
      <c r="C359" s="3" t="s">
        <v>1309</v>
      </c>
      <c r="D359" s="3" t="s">
        <v>1310</v>
      </c>
      <c r="E359" s="3" t="s">
        <v>498</v>
      </c>
      <c r="F359" s="5">
        <v>721017933274035</v>
      </c>
      <c r="G359" s="5">
        <v>778504391989531</v>
      </c>
      <c r="H359" s="5">
        <v>809521440464018</v>
      </c>
      <c r="I359" s="5">
        <v>751041253045076</v>
      </c>
      <c r="J359" s="5">
        <v>616790965192926</v>
      </c>
      <c r="K359" s="5">
        <v>614464558695379</v>
      </c>
      <c r="L359" s="5">
        <v>609277745268099</v>
      </c>
      <c r="M359" s="5">
        <v>667599893800899</v>
      </c>
      <c r="N359" s="5">
        <v>673876459776529</v>
      </c>
      <c r="O359" s="5">
        <v>669202588656629</v>
      </c>
      <c r="P359" s="5">
        <v>586107459288016</v>
      </c>
      <c r="Q359" s="5">
        <v>568101634525529</v>
      </c>
      <c r="R359" s="5">
        <v>580592240707739</v>
      </c>
      <c r="S359" s="5">
        <v>590455884790352</v>
      </c>
      <c r="T359" s="5">
        <v>575379268624048</v>
      </c>
      <c r="U359" s="5">
        <v>542867666233416</v>
      </c>
      <c r="V359" s="5">
        <v>59314152726192</v>
      </c>
      <c r="W359" s="5">
        <v>50162293907051</v>
      </c>
      <c r="X359" s="5">
        <v>487825514632953</v>
      </c>
      <c r="Y359" s="5">
        <v>426904548976237</v>
      </c>
      <c r="Z359" s="5">
        <v>414251315556784</v>
      </c>
      <c r="AA359" s="5">
        <v>419822070287376</v>
      </c>
      <c r="AB359" s="5">
        <v>387829763654841</v>
      </c>
      <c r="AC359" s="5">
        <v>438076490455494</v>
      </c>
      <c r="AD359" s="5">
        <v>416839920866792</v>
      </c>
      <c r="AE359" s="5">
        <v>455701266791239</v>
      </c>
      <c r="AF359" s="5">
        <v>490825900010123</v>
      </c>
      <c r="AG359" s="5">
        <v>50164340867898</v>
      </c>
      <c r="AH359" s="5">
        <v>545695884487886</v>
      </c>
      <c r="AI359" s="5">
        <v>54258996220615</v>
      </c>
      <c r="AJ359" s="5">
        <v>562785557616891</v>
      </c>
      <c r="AK359" s="5">
        <v>559786885336256</v>
      </c>
      <c r="AL359" s="5">
        <v>535317592247995</v>
      </c>
      <c r="AM359" s="5">
        <v>483703984861097</v>
      </c>
      <c r="AN359" s="5">
        <v>440055837615505</v>
      </c>
      <c r="AO359" s="5">
        <v>333240832333719</v>
      </c>
      <c r="AP359" s="6">
        <v>249399795862788</v>
      </c>
      <c r="AQ359" s="6">
        <v>228351549941775</v>
      </c>
      <c r="AR359" s="6">
        <v>20466582948057</v>
      </c>
      <c r="AS359" s="6">
        <v>208197756783335</v>
      </c>
      <c r="AT359" s="6">
        <v>198687734975437</v>
      </c>
      <c r="AU359" s="6">
        <v>219057309976258</v>
      </c>
      <c r="AV359" s="6">
        <v>223315548480662</v>
      </c>
      <c r="AW359" s="6">
        <v>229000251215151</v>
      </c>
      <c r="AX359" s="6">
        <v>226288079588477</v>
      </c>
      <c r="AY359" s="6">
        <v>213634783657192</v>
      </c>
      <c r="AZ359" s="6">
        <v>217632063418662</v>
      </c>
      <c r="BA359" s="6">
        <v>219057359181507</v>
      </c>
      <c r="BB359" s="6">
        <v>178503374571313</v>
      </c>
      <c r="BC359" s="6">
        <v>208710957082199</v>
      </c>
      <c r="BD359" s="6">
        <v>193382181206462</v>
      </c>
      <c r="BE359" s="6">
        <v>233710735490833</v>
      </c>
      <c r="BF359" s="6">
        <v>220677926955694</v>
      </c>
      <c r="BG359" s="6">
        <v>204025271014615</v>
      </c>
      <c r="BH359" s="6">
        <v>188021745298657</v>
      </c>
      <c r="BI359" s="6">
        <v>190659657126553</v>
      </c>
      <c r="BJ359" s="6">
        <v>189731384621959</v>
      </c>
      <c r="BK359" s="6">
        <v>204656485255475</v>
      </c>
      <c r="BL359" s="6">
        <v>221626514977686</v>
      </c>
      <c r="BM359" s="6">
        <v>229041042547461</v>
      </c>
    </row>
    <row r="360" spans="1:65" x14ac:dyDescent="0.45">
      <c r="A360" s="1" t="s">
        <v>354</v>
      </c>
      <c r="B360" s="2">
        <v>100233</v>
      </c>
      <c r="C360" s="3" t="s">
        <v>1311</v>
      </c>
      <c r="D360" s="3" t="s">
        <v>1312</v>
      </c>
      <c r="E360" s="3" t="s">
        <v>637</v>
      </c>
      <c r="F360" s="5">
        <v>188512178461974</v>
      </c>
      <c r="G360" s="5">
        <v>210313214950476</v>
      </c>
      <c r="H360" s="5">
        <v>207417623262214</v>
      </c>
      <c r="I360" s="5">
        <v>191246502607565</v>
      </c>
      <c r="J360" s="5">
        <v>201046049473745</v>
      </c>
      <c r="K360" s="5">
        <v>194047659692976</v>
      </c>
      <c r="L360" s="5">
        <v>167614196522288</v>
      </c>
      <c r="M360" s="5">
        <v>192414313140004</v>
      </c>
      <c r="N360" s="5">
        <v>18343907064</v>
      </c>
      <c r="O360" s="5">
        <v>187789578231446</v>
      </c>
      <c r="P360" s="5">
        <v>201872476159901</v>
      </c>
      <c r="Q360" s="5">
        <v>195240212501823</v>
      </c>
      <c r="R360" s="5">
        <v>18273226746805</v>
      </c>
      <c r="S360" s="5">
        <v>192408658061074</v>
      </c>
      <c r="T360" s="5">
        <v>195474988349844</v>
      </c>
      <c r="U360" s="5">
        <v>175504155150363</v>
      </c>
      <c r="V360" s="5">
        <v>165214488691909</v>
      </c>
      <c r="W360" s="5">
        <v>1549750125</v>
      </c>
      <c r="X360" s="5">
        <v>163608967182656</v>
      </c>
      <c r="Y360" s="5">
        <v>184642785642554</v>
      </c>
      <c r="Z360" s="5">
        <v>174096614370749</v>
      </c>
      <c r="AA360" s="5">
        <v>169100917269542</v>
      </c>
      <c r="AB360" s="5">
        <v>163801599140522</v>
      </c>
      <c r="AC360" s="5">
        <v>134585444004416</v>
      </c>
      <c r="AD360" s="5">
        <v>126568254027813</v>
      </c>
      <c r="AE360" s="5">
        <v>122710237429921</v>
      </c>
      <c r="AF360" s="5">
        <v>109581116496937</v>
      </c>
      <c r="AG360" s="5">
        <v>942781687348569</v>
      </c>
      <c r="AH360" s="5">
        <v>928474450598926</v>
      </c>
      <c r="AI360" s="5">
        <v>880981852243634</v>
      </c>
      <c r="AJ360" s="5">
        <v>948281688196075</v>
      </c>
      <c r="AK360" s="5">
        <v>976315177216879</v>
      </c>
      <c r="AL360" s="5">
        <v>940789583862563</v>
      </c>
      <c r="AM360" s="5">
        <v>78149132695725</v>
      </c>
      <c r="AN360" s="5">
        <v>117697994323357</v>
      </c>
      <c r="AO360" s="5">
        <v>135475264434767</v>
      </c>
      <c r="AP360" s="6">
        <v>113927025018014</v>
      </c>
      <c r="AQ360" s="6">
        <v>11493630827712</v>
      </c>
      <c r="AR360" s="6">
        <v>109961153604169</v>
      </c>
      <c r="AS360" s="6">
        <v>10685172300675</v>
      </c>
      <c r="AT360" s="6">
        <v>101058389103626</v>
      </c>
      <c r="AU360" s="6">
        <v>102445549478688</v>
      </c>
      <c r="AV360" s="6">
        <v>976579255908547</v>
      </c>
      <c r="AW360" s="6">
        <v>966356182797</v>
      </c>
      <c r="AX360" s="6">
        <v>108548895339564</v>
      </c>
      <c r="AY360" s="6">
        <v>97951589390454</v>
      </c>
      <c r="AZ360" s="6">
        <v>94027953371814</v>
      </c>
      <c r="BA360" s="6">
        <v>877787835694962</v>
      </c>
      <c r="BB360" s="6">
        <v>79198504560129</v>
      </c>
      <c r="BC360" s="6">
        <v>91639920109354</v>
      </c>
      <c r="BD360" s="6">
        <v>866064622017302</v>
      </c>
      <c r="BE360" s="6">
        <v>949886821092761</v>
      </c>
      <c r="BF360" s="6">
        <v>895618138002932</v>
      </c>
      <c r="BG360" s="6">
        <v>915591464727972</v>
      </c>
      <c r="BH360" s="6">
        <v>846145933823181</v>
      </c>
      <c r="BI360" s="6">
        <v>8453160866302</v>
      </c>
      <c r="BJ360" s="6">
        <v>785703244978684</v>
      </c>
      <c r="BK360" s="6">
        <v>80787951542011</v>
      </c>
      <c r="BL360" s="6">
        <v>870269450778</v>
      </c>
      <c r="BM360" s="6">
        <v>87532255667679</v>
      </c>
    </row>
    <row r="361" spans="1:65" x14ac:dyDescent="0.45">
      <c r="A361" s="1" t="s">
        <v>355</v>
      </c>
      <c r="B361" s="2">
        <v>4102003</v>
      </c>
      <c r="C361" s="3" t="s">
        <v>1313</v>
      </c>
      <c r="D361" s="3" t="s">
        <v>1314</v>
      </c>
      <c r="E361" s="3" t="s">
        <v>1315</v>
      </c>
      <c r="F361" s="5">
        <v>381400309594026</v>
      </c>
      <c r="G361" s="5">
        <v>426820925330642</v>
      </c>
      <c r="H361" s="5">
        <v>423816050310152</v>
      </c>
      <c r="I361" s="5">
        <v>438305627900159</v>
      </c>
      <c r="J361" s="5">
        <v>447698628472706</v>
      </c>
      <c r="K361" s="5">
        <v>429429237151708</v>
      </c>
      <c r="L361" s="5">
        <v>395464578410271</v>
      </c>
      <c r="M361" s="5">
        <v>394081045777408</v>
      </c>
      <c r="N361" s="5">
        <v>402339344836168</v>
      </c>
      <c r="O361" s="5">
        <v>376658658855395</v>
      </c>
      <c r="P361" s="5">
        <v>338927529466997</v>
      </c>
      <c r="Q361" s="5">
        <v>361408310617162</v>
      </c>
      <c r="R361" s="5">
        <v>388816516548061</v>
      </c>
      <c r="S361" s="5">
        <v>372082431709202</v>
      </c>
      <c r="T361" s="5">
        <v>369104936951736</v>
      </c>
      <c r="U361" s="5">
        <v>329787046355059</v>
      </c>
      <c r="V361" s="5">
        <v>334801827658513</v>
      </c>
      <c r="W361" s="5">
        <v>317656428526879</v>
      </c>
      <c r="X361" s="5">
        <v>296006963999024</v>
      </c>
      <c r="Y361" s="5">
        <v>285797116405501</v>
      </c>
      <c r="Z361" s="5">
        <v>28189036406091</v>
      </c>
      <c r="AA361" s="5">
        <v>269935303818606</v>
      </c>
      <c r="AB361" s="5">
        <v>23481402807823</v>
      </c>
      <c r="AC361" s="5">
        <v>237674196009316</v>
      </c>
      <c r="AD361" s="5">
        <v>250916805077962</v>
      </c>
      <c r="AE361" s="5">
        <v>257929940178284</v>
      </c>
      <c r="AF361" s="5">
        <v>240967845863938</v>
      </c>
      <c r="AG361" s="5">
        <v>253192203019187</v>
      </c>
      <c r="AH361" s="5">
        <v>247024324734146</v>
      </c>
      <c r="AI361" s="5">
        <v>234606463925</v>
      </c>
      <c r="AJ361" s="5">
        <v>23192553303</v>
      </c>
      <c r="AK361" s="5">
        <v>24452750987</v>
      </c>
      <c r="AL361" s="5">
        <v>228547684180917</v>
      </c>
      <c r="AM361" s="5">
        <v>217996490140884</v>
      </c>
      <c r="AN361" s="5">
        <v>261865879306175</v>
      </c>
      <c r="AO361" s="5">
        <v>273619046551422</v>
      </c>
      <c r="AP361" s="6">
        <v>59466150562</v>
      </c>
      <c r="AQ361" s="6">
        <v>58703985496</v>
      </c>
      <c r="AR361" s="6">
        <v>565646274076</v>
      </c>
      <c r="AS361" s="6">
        <v>553365062154</v>
      </c>
      <c r="AT361" s="6">
        <v>582658974324</v>
      </c>
      <c r="AU361" s="6">
        <v>54185560965</v>
      </c>
      <c r="AV361" s="6">
        <v>492847719624</v>
      </c>
      <c r="AW361" s="6">
        <v>472388243576</v>
      </c>
      <c r="AX361" s="6">
        <v>484630140968011</v>
      </c>
      <c r="AY361" s="6">
        <v>461648609948641</v>
      </c>
      <c r="AZ361" s="6">
        <v>437399013942</v>
      </c>
      <c r="BA361" s="6">
        <v>41978191905</v>
      </c>
      <c r="BB361" s="6">
        <v>372399820364</v>
      </c>
      <c r="BC361" s="6">
        <v>405208397568</v>
      </c>
      <c r="BD361" s="6">
        <v>40414901748</v>
      </c>
      <c r="BE361" s="6">
        <v>422953015095</v>
      </c>
      <c r="BF361" s="6">
        <v>448609541125</v>
      </c>
      <c r="BG361" s="6">
        <v>4307590897</v>
      </c>
      <c r="BH361" s="6">
        <v>439157101047</v>
      </c>
      <c r="BI361" s="6">
        <v>42569151975</v>
      </c>
      <c r="BJ361" s="6">
        <v>39252688076</v>
      </c>
      <c r="BK361" s="6">
        <v>387429176432474</v>
      </c>
      <c r="BL361" s="6">
        <v>3988367838</v>
      </c>
      <c r="BM361" s="6">
        <v>3712450395</v>
      </c>
    </row>
    <row r="362" spans="1:65" x14ac:dyDescent="0.45">
      <c r="A362" s="1" t="s">
        <v>356</v>
      </c>
      <c r="B362" s="2">
        <v>4811222</v>
      </c>
      <c r="C362" s="3" t="s">
        <v>1316</v>
      </c>
      <c r="D362" s="3" t="s">
        <v>1317</v>
      </c>
      <c r="E362" s="3" t="s">
        <v>495</v>
      </c>
      <c r="F362" s="5">
        <v>286073443586761</v>
      </c>
      <c r="G362" s="5">
        <v>32698803982231</v>
      </c>
      <c r="H362" s="5">
        <v>331371939511541</v>
      </c>
      <c r="I362" s="5">
        <v>32599291842305</v>
      </c>
      <c r="J362" s="5">
        <v>319731491705872</v>
      </c>
      <c r="K362" s="5">
        <v>345231205519314</v>
      </c>
      <c r="L362" s="5">
        <v>293588714865789</v>
      </c>
      <c r="M362" s="5">
        <v>277421630522622</v>
      </c>
      <c r="N362" s="5">
        <v>277577375406261</v>
      </c>
      <c r="O362" s="5">
        <v>319276024970787</v>
      </c>
      <c r="P362" s="5">
        <v>321321783890835</v>
      </c>
      <c r="Q362" s="5">
        <v>298455434936755</v>
      </c>
      <c r="R362" s="5">
        <v>334850785725583</v>
      </c>
      <c r="S362" s="5">
        <v>329484279177746</v>
      </c>
      <c r="T362" s="5">
        <v>331322792284327</v>
      </c>
      <c r="U362" s="5">
        <v>331308444954161</v>
      </c>
      <c r="V362" s="5">
        <v>35857532409381</v>
      </c>
      <c r="W362" s="5">
        <v>33370175254761</v>
      </c>
      <c r="X362" s="5">
        <v>302807910369865</v>
      </c>
      <c r="Y362" s="5">
        <v>245779547956609</v>
      </c>
      <c r="Z362" s="5">
        <v>227385379942086</v>
      </c>
      <c r="AA362" s="5">
        <v>240533849509834</v>
      </c>
      <c r="AB362" s="5">
        <v>231843508629743</v>
      </c>
      <c r="AC362" s="5">
        <v>241622731817767</v>
      </c>
      <c r="AD362" s="5">
        <v>251815873234734</v>
      </c>
      <c r="AE362" s="5">
        <v>25414106584765</v>
      </c>
      <c r="AF362" s="5">
        <v>238680639139782</v>
      </c>
      <c r="AG362" s="5">
        <v>211540157585214</v>
      </c>
      <c r="AH362" s="5">
        <v>219122348024954</v>
      </c>
      <c r="AI362" s="5">
        <v>247645880465546</v>
      </c>
      <c r="AJ362" s="5">
        <v>246820542738048</v>
      </c>
      <c r="AK362" s="5">
        <v>209273862882261</v>
      </c>
      <c r="AL362" s="5">
        <v>205324266365694</v>
      </c>
      <c r="AM362" s="5">
        <v>193835734125033</v>
      </c>
      <c r="AN362" s="5">
        <v>209032701876326</v>
      </c>
      <c r="AO362" s="5">
        <v>207367599702602</v>
      </c>
      <c r="AP362" s="6">
        <v>128551583048</v>
      </c>
      <c r="AQ362" s="6">
        <v>129410671853438</v>
      </c>
      <c r="AR362" s="6">
        <v>122887760184784</v>
      </c>
      <c r="AS362" s="6">
        <v>119165028315226</v>
      </c>
      <c r="AT362" s="6">
        <v>124210994452492</v>
      </c>
      <c r="AU362" s="6">
        <v>10812243566875</v>
      </c>
      <c r="AV362" s="6">
        <v>103544686429957</v>
      </c>
      <c r="AW362" s="6">
        <v>10523738335847</v>
      </c>
      <c r="AX362" s="6">
        <v>114337067440567</v>
      </c>
      <c r="AY362" s="6">
        <v>10879401357</v>
      </c>
      <c r="AZ362" s="6">
        <v>109931314725</v>
      </c>
      <c r="BA362" s="6">
        <v>10149240465</v>
      </c>
      <c r="BB362" s="6">
        <v>9151664247</v>
      </c>
      <c r="BC362" s="6">
        <v>9645550848</v>
      </c>
      <c r="BD362" s="6">
        <v>91751040318</v>
      </c>
      <c r="BE362" s="6">
        <v>1035749174607</v>
      </c>
      <c r="BF362" s="6">
        <v>99531641594</v>
      </c>
      <c r="BG362" s="6">
        <v>8706509600425</v>
      </c>
      <c r="BH362" s="6">
        <v>868524491604</v>
      </c>
      <c r="BI362" s="6">
        <v>8240828799231</v>
      </c>
      <c r="BJ362" s="6">
        <v>734868268123873</v>
      </c>
      <c r="BK362" s="6">
        <v>692652103717059</v>
      </c>
      <c r="BL362" s="6">
        <v>68769280125</v>
      </c>
      <c r="BM362" s="6">
        <v>661426354527</v>
      </c>
    </row>
    <row r="363" spans="1:65" x14ac:dyDescent="0.45">
      <c r="A363" s="1" t="s">
        <v>357</v>
      </c>
      <c r="B363" s="2">
        <v>4812263</v>
      </c>
      <c r="C363" s="3" t="s">
        <v>1318</v>
      </c>
      <c r="D363" s="3" t="s">
        <v>1319</v>
      </c>
      <c r="E363" s="3" t="s">
        <v>513</v>
      </c>
      <c r="F363" s="5">
        <v>165731355255557</v>
      </c>
      <c r="G363" s="5">
        <v>171153247595015</v>
      </c>
      <c r="H363" s="5">
        <v>170515236766866</v>
      </c>
      <c r="I363" s="5">
        <v>154892600197141</v>
      </c>
      <c r="J363" s="5">
        <v>169267664549159</v>
      </c>
      <c r="K363" s="5">
        <v>189434472418656</v>
      </c>
      <c r="L363" s="5">
        <v>171622035550354</v>
      </c>
      <c r="M363" s="5">
        <v>175986463652395</v>
      </c>
      <c r="N363" s="5">
        <v>17548336957084</v>
      </c>
      <c r="O363" s="5">
        <v>198101060900703</v>
      </c>
      <c r="P363" s="5">
        <v>201848000799994</v>
      </c>
      <c r="Q363" s="5">
        <v>193986575641682</v>
      </c>
      <c r="R363" s="5">
        <v>223111916636751</v>
      </c>
      <c r="S363" s="5">
        <v>203955098519716</v>
      </c>
      <c r="T363" s="5">
        <v>193052893352573</v>
      </c>
      <c r="U363" s="5">
        <v>18865891295603</v>
      </c>
      <c r="V363" s="5">
        <v>175528781796614</v>
      </c>
      <c r="W363" s="5">
        <v>172102310667205</v>
      </c>
      <c r="X363" s="5">
        <v>14597565792998</v>
      </c>
      <c r="Y363" s="5">
        <v>133422052743236</v>
      </c>
      <c r="Z363" s="5">
        <v>120759379371257</v>
      </c>
      <c r="AA363" s="5">
        <v>122486992345255</v>
      </c>
      <c r="AB363" s="5">
        <v>116692401154817</v>
      </c>
      <c r="AC363" s="5">
        <v>13566410489873</v>
      </c>
      <c r="AD363" s="5">
        <v>131358668034563</v>
      </c>
      <c r="AE363" s="5">
        <v>124606438627335</v>
      </c>
      <c r="AF363" s="5">
        <v>124300680870672</v>
      </c>
      <c r="AG363" s="5">
        <v>119512180615311</v>
      </c>
      <c r="AH363" s="5">
        <v>110106862348745</v>
      </c>
      <c r="AI363" s="5">
        <v>111959399906248</v>
      </c>
      <c r="AJ363" s="5">
        <v>970872852122609</v>
      </c>
      <c r="AK363" s="5">
        <v>100662771597605</v>
      </c>
      <c r="AL363" s="5">
        <v>92108265704694</v>
      </c>
      <c r="AM363" s="5">
        <v>76248864146728</v>
      </c>
      <c r="AN363" s="5">
        <v>874847129658323</v>
      </c>
      <c r="AO363" s="5">
        <v>926769190715456</v>
      </c>
      <c r="AP363" s="6">
        <v>241806373455585</v>
      </c>
      <c r="AQ363" s="6">
        <v>241664477043334</v>
      </c>
      <c r="AR363" s="6">
        <v>2430975269746</v>
      </c>
      <c r="AS363" s="6">
        <v>250142755383121</v>
      </c>
      <c r="AT363" s="6">
        <v>269871409415448</v>
      </c>
      <c r="AU363" s="6">
        <v>2493644508465</v>
      </c>
      <c r="AV363" s="6">
        <v>22377220932066</v>
      </c>
      <c r="AW363" s="6">
        <v>219867332048374</v>
      </c>
      <c r="AX363" s="6">
        <v>20583954775125</v>
      </c>
      <c r="AY363" s="6">
        <v>200292835761196</v>
      </c>
      <c r="AZ363" s="6">
        <v>178509842898073</v>
      </c>
      <c r="BA363" s="6">
        <v>180576246064005</v>
      </c>
      <c r="BB363" s="6">
        <v>160230553726727</v>
      </c>
      <c r="BC363" s="6">
        <v>170956050475584</v>
      </c>
      <c r="BD363" s="6">
        <v>164545747535491</v>
      </c>
      <c r="BE363" s="6">
        <v>158777169215917</v>
      </c>
      <c r="BF363" s="6">
        <v>153582075290687</v>
      </c>
      <c r="BG363" s="6">
        <v>15528114138</v>
      </c>
      <c r="BH363" s="6">
        <v>163016186315466</v>
      </c>
      <c r="BI363" s="6">
        <v>156165255879417</v>
      </c>
      <c r="BJ363" s="6">
        <v>15456123949392</v>
      </c>
      <c r="BK363" s="6">
        <v>161936782271968</v>
      </c>
      <c r="BL363" s="6">
        <v>1499872572198</v>
      </c>
      <c r="BM363" s="6">
        <v>164889515183129</v>
      </c>
    </row>
    <row r="364" spans="1:65" x14ac:dyDescent="0.45">
      <c r="A364" s="1" t="s">
        <v>358</v>
      </c>
      <c r="B364" s="2">
        <v>4095448</v>
      </c>
      <c r="C364" s="3" t="s">
        <v>1320</v>
      </c>
      <c r="D364" s="3" t="s">
        <v>1321</v>
      </c>
      <c r="E364" s="3" t="s">
        <v>568</v>
      </c>
      <c r="F364" s="5">
        <v>276547484462984</v>
      </c>
      <c r="G364" s="5">
        <v>294246949496444</v>
      </c>
      <c r="H364" s="5">
        <v>298036698546686</v>
      </c>
      <c r="I364" s="5">
        <v>253229635452409</v>
      </c>
      <c r="J364" s="5">
        <v>27157064057715</v>
      </c>
      <c r="K364" s="5">
        <v>288907632666885</v>
      </c>
      <c r="L364" s="5">
        <v>221664242767553</v>
      </c>
      <c r="M364" s="5">
        <v>23103931285993</v>
      </c>
      <c r="N364" s="5">
        <v>278590157164098</v>
      </c>
      <c r="O364" s="5">
        <v>292910682234687</v>
      </c>
      <c r="P364" s="5">
        <v>275837386163368</v>
      </c>
      <c r="Q364" s="5">
        <v>300036537354724</v>
      </c>
      <c r="R364" s="5">
        <v>355863469623915</v>
      </c>
      <c r="S364" s="5">
        <v>345946869586664</v>
      </c>
      <c r="T364" s="5">
        <v>320482907767606</v>
      </c>
      <c r="U364" s="5">
        <v>294354602045481</v>
      </c>
      <c r="V364" s="5">
        <v>319907559417353</v>
      </c>
      <c r="W364" s="5">
        <v>300686529464533</v>
      </c>
      <c r="X364" s="5">
        <v>280010961667093</v>
      </c>
      <c r="Y364" s="5">
        <v>251169375974307</v>
      </c>
      <c r="Z364" s="5">
        <v>254996515148279</v>
      </c>
      <c r="AA364" s="5">
        <v>262690384049453</v>
      </c>
      <c r="AB364" s="5">
        <v>233554089993445</v>
      </c>
      <c r="AC364" s="5">
        <v>237814767550301</v>
      </c>
      <c r="AD364" s="5">
        <v>238194480854195</v>
      </c>
      <c r="AE364" s="5">
        <v>248421549133499</v>
      </c>
      <c r="AF364" s="5">
        <v>235961084357532</v>
      </c>
      <c r="AG364" s="5">
        <v>21793798092439</v>
      </c>
      <c r="AH364" s="5">
        <v>223628777981113</v>
      </c>
      <c r="AI364" s="5">
        <v>213835828091268</v>
      </c>
      <c r="AJ364" s="5">
        <v>21922209392328</v>
      </c>
      <c r="AK364" s="5">
        <v>225203382206432</v>
      </c>
      <c r="AL364" s="5">
        <v>200611347142853</v>
      </c>
      <c r="AM364" s="5">
        <v>15955279905565</v>
      </c>
      <c r="AN364" s="5">
        <v>193860030054075</v>
      </c>
      <c r="AO364" s="5">
        <v>20085518039818</v>
      </c>
      <c r="AP364" s="6">
        <v>139290615903222</v>
      </c>
      <c r="AQ364" s="6">
        <v>142298968180539</v>
      </c>
      <c r="AR364" s="6">
        <v>137510402077561</v>
      </c>
      <c r="AS364" s="6">
        <v>130304784530523</v>
      </c>
      <c r="AT364" s="6">
        <v>122818248067488</v>
      </c>
      <c r="AU364" s="6">
        <v>115193003841457</v>
      </c>
      <c r="AV364" s="6">
        <v>114637992154421</v>
      </c>
      <c r="AW364" s="6">
        <v>103936852232962</v>
      </c>
      <c r="AX364" s="6">
        <v>11939012071308</v>
      </c>
      <c r="AY364" s="6">
        <v>119155071913505</v>
      </c>
      <c r="AZ364" s="6">
        <v>115187559727339</v>
      </c>
      <c r="BA364" s="6">
        <v>110635286773043</v>
      </c>
      <c r="BB364" s="6">
        <v>964627805057512</v>
      </c>
      <c r="BC364" s="6">
        <v>108919932736355</v>
      </c>
      <c r="BD364" s="6">
        <v>102332768512986</v>
      </c>
      <c r="BE364" s="6">
        <v>117335633807634</v>
      </c>
      <c r="BF364" s="6">
        <v>132463119725559</v>
      </c>
      <c r="BG364" s="6">
        <v>129074029489691</v>
      </c>
      <c r="BH364" s="6">
        <v>138939342805665</v>
      </c>
      <c r="BI364" s="6">
        <v>138741149345016</v>
      </c>
      <c r="BJ364" s="6">
        <v>136559067575897</v>
      </c>
      <c r="BK364" s="6">
        <v>135544985187021</v>
      </c>
      <c r="BL364" s="6">
        <v>124568124517746</v>
      </c>
      <c r="BM364" s="6">
        <v>126392956710473</v>
      </c>
    </row>
    <row r="365" spans="1:65" x14ac:dyDescent="0.45">
      <c r="A365" s="1" t="s">
        <v>359</v>
      </c>
      <c r="B365" s="2">
        <v>4004396</v>
      </c>
      <c r="C365" s="3" t="s">
        <v>1322</v>
      </c>
      <c r="D365" s="3" t="s">
        <v>1323</v>
      </c>
      <c r="E365" s="3" t="s">
        <v>1315</v>
      </c>
      <c r="F365" s="5">
        <v>168378679886644</v>
      </c>
      <c r="G365" s="5">
        <v>193121430768913</v>
      </c>
      <c r="H365" s="5">
        <v>209574127200877</v>
      </c>
      <c r="I365" s="5">
        <v>174151583286205</v>
      </c>
      <c r="J365" s="5">
        <v>165059786635089</v>
      </c>
      <c r="K365" s="5">
        <v>186202827799333</v>
      </c>
      <c r="L365" s="5">
        <v>164503879606223</v>
      </c>
      <c r="M365" s="5">
        <v>162769403652806</v>
      </c>
      <c r="N365" s="5">
        <v>156731048159028</v>
      </c>
      <c r="O365" s="5">
        <v>155381102908744</v>
      </c>
      <c r="P365" s="5">
        <v>142985417695846</v>
      </c>
      <c r="Q365" s="5">
        <v>135524378851128</v>
      </c>
      <c r="R365" s="5">
        <v>148012441623283</v>
      </c>
      <c r="S365" s="5">
        <v>14528237346089</v>
      </c>
      <c r="T365" s="5">
        <v>149912000492212</v>
      </c>
      <c r="U365" s="5">
        <v>14999917183186</v>
      </c>
      <c r="V365" s="5">
        <v>16225342239073</v>
      </c>
      <c r="W365" s="5">
        <v>159001595135451</v>
      </c>
      <c r="X365" s="5">
        <v>141949484900885</v>
      </c>
      <c r="Y365" s="5">
        <v>13765110586891</v>
      </c>
      <c r="Z365" s="5">
        <v>152513329555578</v>
      </c>
      <c r="AA365" s="5">
        <v>144321057856063</v>
      </c>
      <c r="AB365" s="5">
        <v>134920733619996</v>
      </c>
      <c r="AC365" s="5">
        <v>145880801893386</v>
      </c>
      <c r="AD365" s="5">
        <v>157023198087539</v>
      </c>
      <c r="AE365" s="5">
        <v>156803339136291</v>
      </c>
      <c r="AF365" s="5">
        <v>162698161166463</v>
      </c>
      <c r="AG365" s="5">
        <v>151254805475089</v>
      </c>
      <c r="AH365" s="5">
        <v>151177476850607</v>
      </c>
      <c r="AI365" s="5">
        <v>145176572030248</v>
      </c>
      <c r="AJ365" s="5">
        <v>123462636255836</v>
      </c>
      <c r="AK365" s="5">
        <v>12323760784336</v>
      </c>
      <c r="AL365" s="5">
        <v>119844886934358</v>
      </c>
      <c r="AM365" s="5">
        <v>1077973035427</v>
      </c>
      <c r="AN365" s="5">
        <v>111589955171211</v>
      </c>
      <c r="AO365" s="5">
        <v>112086249785334</v>
      </c>
      <c r="AP365" s="6">
        <v>38051392538923</v>
      </c>
      <c r="AQ365" s="6">
        <v>376788456354079</v>
      </c>
      <c r="AR365" s="6">
        <v>355927130385457</v>
      </c>
      <c r="AS365" s="6">
        <v>371667690603765</v>
      </c>
      <c r="AT365" s="6">
        <v>353538746417678</v>
      </c>
      <c r="AU365" s="6">
        <v>333886194182845</v>
      </c>
      <c r="AV365" s="6">
        <v>331412356411926</v>
      </c>
      <c r="AW365" s="6">
        <v>323569031537898</v>
      </c>
      <c r="AX365" s="6">
        <v>313103425731862</v>
      </c>
      <c r="AY365" s="6">
        <v>307471407418098</v>
      </c>
      <c r="AZ365" s="6">
        <v>289819476166717</v>
      </c>
      <c r="BA365" s="6">
        <v>279471506278259</v>
      </c>
      <c r="BB365" s="6">
        <v>258590153118384</v>
      </c>
      <c r="BC365" s="6">
        <v>278482947038715</v>
      </c>
      <c r="BD365" s="6">
        <v>266050512362459</v>
      </c>
      <c r="BE365" s="6">
        <v>267728467066174</v>
      </c>
      <c r="BF365" s="6">
        <v>273466431986652</v>
      </c>
      <c r="BG365" s="6">
        <v>268520621283</v>
      </c>
      <c r="BH365" s="6">
        <v>262864378301634</v>
      </c>
      <c r="BI365" s="6">
        <v>241344804583407</v>
      </c>
      <c r="BJ365" s="6">
        <v>24435588531316</v>
      </c>
      <c r="BK365" s="6">
        <v>238685498782794</v>
      </c>
      <c r="BL365" s="6">
        <v>227888655188594</v>
      </c>
      <c r="BM365" s="6">
        <v>219267032228361</v>
      </c>
    </row>
    <row r="366" spans="1:65" x14ac:dyDescent="0.45">
      <c r="A366" s="1" t="s">
        <v>360</v>
      </c>
      <c r="B366" s="2">
        <v>4677071</v>
      </c>
      <c r="C366" s="3" t="s">
        <v>1324</v>
      </c>
      <c r="D366" s="3" t="s">
        <v>1325</v>
      </c>
      <c r="E366" s="3" t="s">
        <v>504</v>
      </c>
      <c r="F366" s="5">
        <v>428775467544331</v>
      </c>
      <c r="G366" s="5">
        <v>451348668448642</v>
      </c>
      <c r="H366" s="5">
        <v>444418181727199</v>
      </c>
      <c r="I366" s="5">
        <v>388801887403278</v>
      </c>
      <c r="J366" s="5">
        <v>423743524084578</v>
      </c>
      <c r="K366" s="5">
        <v>453424010292965</v>
      </c>
      <c r="L366" s="5">
        <v>399843774643144</v>
      </c>
      <c r="M366" s="5">
        <v>436782014123902</v>
      </c>
      <c r="N366" s="5">
        <v>47214801113653</v>
      </c>
      <c r="O366" s="5">
        <v>448919178601994</v>
      </c>
      <c r="P366" s="5">
        <v>421503060576448</v>
      </c>
      <c r="Q366" s="5">
        <v>411703817876352</v>
      </c>
      <c r="R366" s="5">
        <v>456214279022802</v>
      </c>
      <c r="S366" s="5">
        <v>43438036252412</v>
      </c>
      <c r="T366" s="5">
        <v>444938974304314</v>
      </c>
      <c r="U366" s="5">
        <v>405798476610656</v>
      </c>
      <c r="V366" s="5">
        <v>431641921701527</v>
      </c>
      <c r="W366" s="5">
        <v>435899654067694</v>
      </c>
      <c r="X366" s="5">
        <v>41734291940387</v>
      </c>
      <c r="Y366" s="5">
        <v>388577435995247</v>
      </c>
      <c r="Z366" s="5">
        <v>39034732699692</v>
      </c>
      <c r="AA366" s="5">
        <v>36062039169991</v>
      </c>
      <c r="AB366" s="5">
        <v>327519556967192</v>
      </c>
      <c r="AC366" s="5">
        <v>339450079931881</v>
      </c>
      <c r="AD366" s="5">
        <v>369587058396031</v>
      </c>
      <c r="AE366" s="5">
        <v>374678427995949</v>
      </c>
      <c r="AF366" s="5">
        <v>333657711422323</v>
      </c>
      <c r="AG366" s="5">
        <v>352326415886846</v>
      </c>
      <c r="AH366" s="5">
        <v>374178263098757</v>
      </c>
      <c r="AI366" s="5">
        <v>381621883583005</v>
      </c>
      <c r="AJ366" s="5">
        <v>360176571270319</v>
      </c>
      <c r="AK366" s="5">
        <v>369796996792685</v>
      </c>
      <c r="AL366" s="5">
        <v>325434154495452</v>
      </c>
      <c r="AM366" s="5">
        <v>301083094419744</v>
      </c>
      <c r="AN366" s="5">
        <v>339339564960278</v>
      </c>
      <c r="AO366" s="5">
        <v>358227068606062</v>
      </c>
      <c r="AP366" s="6">
        <v>474368473644138</v>
      </c>
      <c r="AQ366" s="6">
        <v>484384270774439</v>
      </c>
      <c r="AR366" s="6">
        <v>418256261060201</v>
      </c>
      <c r="AS366" s="6">
        <v>436422029748555</v>
      </c>
      <c r="AT366" s="6">
        <v>446280820623348</v>
      </c>
      <c r="AU366" s="6">
        <v>462371265506338</v>
      </c>
      <c r="AV366" s="6">
        <v>447636082735929</v>
      </c>
      <c r="AW366" s="6">
        <v>435921264043213</v>
      </c>
      <c r="AX366" s="6">
        <v>449547937136461</v>
      </c>
      <c r="AY366" s="6">
        <v>39641877495</v>
      </c>
      <c r="AZ366" s="6">
        <v>37950533652</v>
      </c>
      <c r="BA366" s="6">
        <v>344405140795589</v>
      </c>
      <c r="BB366" s="6">
        <v>278835706528569</v>
      </c>
      <c r="BC366" s="6">
        <v>293398158182473</v>
      </c>
      <c r="BD366" s="6">
        <v>284622476454026</v>
      </c>
      <c r="BE366" s="6">
        <v>29962314353534</v>
      </c>
      <c r="BF366" s="6">
        <v>301020729215764</v>
      </c>
      <c r="BG366" s="6">
        <v>265645508460166</v>
      </c>
      <c r="BH366" s="6">
        <v>261168933358434</v>
      </c>
      <c r="BI366" s="6">
        <v>269140640270005</v>
      </c>
      <c r="BJ366" s="6">
        <v>243100520765257</v>
      </c>
      <c r="BK366" s="6">
        <v>23504826318</v>
      </c>
      <c r="BL366" s="6">
        <v>23037198093</v>
      </c>
      <c r="BM366" s="6">
        <v>206689775682725</v>
      </c>
    </row>
    <row r="367" spans="1:65" x14ac:dyDescent="0.45">
      <c r="A367" s="1" t="s">
        <v>361</v>
      </c>
      <c r="B367" s="2">
        <v>4070608</v>
      </c>
      <c r="C367" s="3" t="s">
        <v>1326</v>
      </c>
      <c r="D367" s="3" t="s">
        <v>1327</v>
      </c>
      <c r="E367" s="3" t="s">
        <v>1328</v>
      </c>
      <c r="F367" s="5">
        <v>374009985187893</v>
      </c>
      <c r="G367" s="5">
        <v>39601461964131</v>
      </c>
      <c r="H367" s="5">
        <v>335857175867655</v>
      </c>
      <c r="I367" s="5">
        <v>298260726605044</v>
      </c>
      <c r="J367" s="5">
        <v>299738147449087</v>
      </c>
      <c r="K367" s="5">
        <v>278776929660929</v>
      </c>
      <c r="L367" s="5">
        <v>235087617706572</v>
      </c>
      <c r="M367" s="5">
        <v>278468386656923</v>
      </c>
      <c r="N367" s="5">
        <v>33266928818572</v>
      </c>
      <c r="O367" s="5">
        <v>285739082248756</v>
      </c>
      <c r="P367" s="5">
        <v>287549613909093</v>
      </c>
      <c r="Q367" s="5">
        <v>30835509969132</v>
      </c>
      <c r="R367" s="5">
        <v>355048344964229</v>
      </c>
      <c r="S367" s="5">
        <v>343939694465667</v>
      </c>
      <c r="T367" s="5">
        <v>34788678683841</v>
      </c>
      <c r="U367" s="5">
        <v>333744714127646</v>
      </c>
      <c r="V367" s="5">
        <v>358222312833562</v>
      </c>
      <c r="W367" s="5">
        <v>369361584966559</v>
      </c>
      <c r="X367" s="5">
        <v>373482507479272</v>
      </c>
      <c r="Y367" s="5">
        <v>369816755199957</v>
      </c>
      <c r="Z367" s="5">
        <v>388173069313823</v>
      </c>
      <c r="AA367" s="5">
        <v>364236089913587</v>
      </c>
      <c r="AB367" s="5">
        <v>343640981635819</v>
      </c>
      <c r="AC367" s="5">
        <v>326807874284576</v>
      </c>
      <c r="AD367" s="5">
        <v>357878884325368</v>
      </c>
      <c r="AE367" s="5">
        <v>320269755787914</v>
      </c>
      <c r="AF367" s="5">
        <v>260184519426582</v>
      </c>
      <c r="AG367" s="5">
        <v>282922369590972</v>
      </c>
      <c r="AH367" s="5">
        <v>271171051859446</v>
      </c>
      <c r="AI367" s="5">
        <v>269781644225802</v>
      </c>
      <c r="AJ367" s="5">
        <v>269590204668893</v>
      </c>
      <c r="AK367" s="5">
        <v>309952658437229</v>
      </c>
      <c r="AL367" s="5">
        <v>296791453666477</v>
      </c>
      <c r="AM367" s="5">
        <v>281666353353567</v>
      </c>
      <c r="AN367" s="5">
        <v>354983638032977</v>
      </c>
      <c r="AO367" s="5">
        <v>3631723497398</v>
      </c>
      <c r="AP367" s="6">
        <v>407332505709338</v>
      </c>
      <c r="AQ367" s="6">
        <v>421141424787962</v>
      </c>
      <c r="AR367" s="6">
        <v>414810202603309</v>
      </c>
      <c r="AS367" s="6">
        <v>439711528257995</v>
      </c>
      <c r="AT367" s="6">
        <v>417131329937622</v>
      </c>
      <c r="AU367" s="6">
        <v>448900432057281</v>
      </c>
      <c r="AV367" s="6">
        <v>433818027738135</v>
      </c>
      <c r="AW367" s="6">
        <v>449310506842779</v>
      </c>
      <c r="AX367" s="6">
        <v>47902429315818</v>
      </c>
      <c r="AY367" s="6">
        <v>501648372544889</v>
      </c>
      <c r="AZ367" s="6">
        <v>491498335080944</v>
      </c>
      <c r="BA367" s="6">
        <v>491778159382854</v>
      </c>
      <c r="BB367" s="6">
        <v>453830802932154</v>
      </c>
      <c r="BC367" s="6">
        <v>507276715718803</v>
      </c>
      <c r="BD367" s="6">
        <v>501505931037468</v>
      </c>
      <c r="BE367" s="6">
        <v>470408918622442</v>
      </c>
      <c r="BF367" s="6">
        <v>487575509355406</v>
      </c>
      <c r="BG367" s="6">
        <v>465593533488619</v>
      </c>
      <c r="BH367" s="6">
        <v>45175585033398</v>
      </c>
      <c r="BI367" s="6">
        <v>425588995238184</v>
      </c>
      <c r="BJ367" s="6">
        <v>400999273570605</v>
      </c>
      <c r="BK367" s="6">
        <v>389205561910045</v>
      </c>
      <c r="BL367" s="6">
        <v>391221106055653</v>
      </c>
      <c r="BM367" s="6">
        <v>408665209332421</v>
      </c>
    </row>
    <row r="368" spans="1:65" x14ac:dyDescent="0.45">
      <c r="A368" s="1" t="s">
        <v>362</v>
      </c>
      <c r="B368" s="2">
        <v>4980858</v>
      </c>
      <c r="C368" s="3" t="s">
        <v>1329</v>
      </c>
      <c r="D368" s="3" t="s">
        <v>1330</v>
      </c>
      <c r="E368" s="3" t="s">
        <v>660</v>
      </c>
      <c r="F368" s="5">
        <v>118025894992568</v>
      </c>
      <c r="G368" s="5">
        <v>148296784967338</v>
      </c>
      <c r="H368" s="5">
        <v>137689101131352</v>
      </c>
      <c r="I368" s="5">
        <v>985814508891274</v>
      </c>
      <c r="J368" s="5">
        <v>103451921032481</v>
      </c>
      <c r="K368" s="5">
        <v>967982402215895</v>
      </c>
      <c r="L368" s="5">
        <v>851424177279252</v>
      </c>
      <c r="M368" s="5">
        <v>138000317954272</v>
      </c>
      <c r="N368" s="5">
        <v>188127195090898</v>
      </c>
      <c r="O368" s="5">
        <v>192319917653729</v>
      </c>
      <c r="P368" s="5">
        <v>183167758084204</v>
      </c>
      <c r="Q368" s="5">
        <v>176999367699985</v>
      </c>
      <c r="R368" s="5">
        <v>1722842318872</v>
      </c>
      <c r="S368" s="5">
        <v>157827797386815</v>
      </c>
      <c r="T368" s="5">
        <v>186034969852552</v>
      </c>
      <c r="U368" s="5">
        <v>195467769688205</v>
      </c>
      <c r="V368" s="5">
        <v>17851225668546</v>
      </c>
      <c r="W368" s="5">
        <v>164965375182264</v>
      </c>
      <c r="X368" s="5">
        <v>183100331994649</v>
      </c>
      <c r="Y368" s="5">
        <v>19481792148869</v>
      </c>
      <c r="Z368" s="5">
        <v>184007578539185</v>
      </c>
      <c r="AA368" s="5">
        <v>18567470790367</v>
      </c>
      <c r="AB368" s="5">
        <v>183110267685214</v>
      </c>
      <c r="AC368" s="5">
        <v>12711204528555</v>
      </c>
      <c r="AD368" s="5">
        <v>144944514286399</v>
      </c>
      <c r="AE368" s="5">
        <v>147929301782911</v>
      </c>
      <c r="AF368" s="5">
        <v>107980915420471</v>
      </c>
      <c r="AG368" s="5">
        <v>118333699566077</v>
      </c>
      <c r="AH368" s="5">
        <v>123615801650464</v>
      </c>
      <c r="AI368" s="5">
        <v>862135139656525</v>
      </c>
      <c r="AJ368" s="5">
        <v>935881025391066</v>
      </c>
      <c r="AK368" s="5">
        <v>97693071447385</v>
      </c>
      <c r="AL368" s="5">
        <v>894024716691249</v>
      </c>
      <c r="AM368" s="5">
        <v>61184127683952</v>
      </c>
      <c r="AN368" s="5">
        <v>15281415086869</v>
      </c>
      <c r="AO368" s="5">
        <v>221383426687949</v>
      </c>
      <c r="AP368" s="6">
        <v>183521770230384</v>
      </c>
      <c r="AQ368" s="6">
        <v>152003889113339</v>
      </c>
      <c r="AR368" s="6">
        <v>140264163104281</v>
      </c>
      <c r="AS368" s="6">
        <v>124794138271684</v>
      </c>
      <c r="AT368" s="6">
        <v>117505870796069</v>
      </c>
      <c r="AU368" s="6">
        <v>132324868426546</v>
      </c>
      <c r="AV368" s="6">
        <v>117267362717058</v>
      </c>
      <c r="AW368" s="6">
        <v>103225469690249</v>
      </c>
      <c r="AX368" s="6">
        <v>136153389219445</v>
      </c>
      <c r="AY368" s="6">
        <v>127138327379158</v>
      </c>
      <c r="AZ368" s="6">
        <v>124814197515381</v>
      </c>
      <c r="BA368" s="6">
        <v>110987479152</v>
      </c>
      <c r="BB368" s="6">
        <v>103918829058997</v>
      </c>
      <c r="BC368" s="6">
        <v>114100636934957</v>
      </c>
      <c r="BD368" s="6">
        <v>137193757188507</v>
      </c>
      <c r="BE368" s="6">
        <v>139738225055399</v>
      </c>
      <c r="BF368" s="6">
        <v>140777844728978</v>
      </c>
      <c r="BG368" s="6">
        <v>144650396825525</v>
      </c>
      <c r="BH368" s="6">
        <v>150828306199458</v>
      </c>
      <c r="BI368" s="6">
        <v>153994733785906</v>
      </c>
      <c r="BJ368" s="6">
        <v>130894262711855</v>
      </c>
      <c r="BK368" s="6">
        <v>148522042106927</v>
      </c>
      <c r="BL368" s="6">
        <v>163266401025</v>
      </c>
      <c r="BM368" s="6">
        <v>1425950480393</v>
      </c>
    </row>
    <row r="369" spans="1:65" x14ac:dyDescent="0.45">
      <c r="A369" s="1" t="s">
        <v>363</v>
      </c>
      <c r="B369" s="2">
        <v>4001600</v>
      </c>
      <c r="C369" s="3" t="s">
        <v>1331</v>
      </c>
      <c r="D369" s="3" t="s">
        <v>1332</v>
      </c>
      <c r="E369" s="3" t="s">
        <v>628</v>
      </c>
      <c r="F369" s="5">
        <v>138979370500814</v>
      </c>
      <c r="G369" s="5">
        <v>140889624359689</v>
      </c>
      <c r="H369" s="5">
        <v>141129052929785</v>
      </c>
      <c r="I369" s="5">
        <v>122863742332029</v>
      </c>
      <c r="J369" s="5">
        <v>131165174347787</v>
      </c>
      <c r="K369" s="5">
        <v>134506844224057</v>
      </c>
      <c r="L369" s="5">
        <v>136351246431379</v>
      </c>
      <c r="M369" s="5">
        <v>131490539758374</v>
      </c>
      <c r="N369" s="5">
        <v>133564972347846</v>
      </c>
      <c r="O369" s="5">
        <v>132264211215273</v>
      </c>
      <c r="P369" s="5">
        <v>135821689080943</v>
      </c>
      <c r="Q369" s="5">
        <v>120716129739712</v>
      </c>
      <c r="R369" s="5">
        <v>113446512475851</v>
      </c>
      <c r="S369" s="5">
        <v>107629207349976</v>
      </c>
      <c r="T369" s="5">
        <v>11520590091421</v>
      </c>
      <c r="U369" s="5">
        <v>111189203560005</v>
      </c>
      <c r="V369" s="5">
        <v>107654694116303</v>
      </c>
      <c r="W369" s="5">
        <v>109888750982984</v>
      </c>
      <c r="X369" s="5">
        <v>108402923108999</v>
      </c>
      <c r="Y369" s="5">
        <v>109662620405896</v>
      </c>
      <c r="Z369" s="5">
        <v>104255099382385</v>
      </c>
      <c r="AA369" s="5">
        <v>991877323814351</v>
      </c>
      <c r="AB369" s="5">
        <v>898492488022945</v>
      </c>
      <c r="AC369" s="5">
        <v>829183213101243</v>
      </c>
      <c r="AD369" s="5">
        <v>88178382498664</v>
      </c>
      <c r="AE369" s="5">
        <v>905143920094879</v>
      </c>
      <c r="AF369" s="5">
        <v>703080822228523</v>
      </c>
      <c r="AG369" s="5">
        <v>739116842875809</v>
      </c>
      <c r="AH369" s="5">
        <v>769667890946255</v>
      </c>
      <c r="AI369" s="5">
        <v>722683766327931</v>
      </c>
      <c r="AJ369" s="5">
        <v>825915452403754</v>
      </c>
      <c r="AK369" s="5">
        <v>875393091928806</v>
      </c>
      <c r="AL369" s="5">
        <v>893600327139359</v>
      </c>
      <c r="AM369" s="5">
        <v>73673718212276</v>
      </c>
      <c r="AN369" s="5">
        <v>101701472268942</v>
      </c>
      <c r="AO369" s="5">
        <v>115659404504811</v>
      </c>
      <c r="AP369" s="6">
        <v>495918968881127</v>
      </c>
      <c r="AQ369" s="6">
        <v>45484275493997</v>
      </c>
      <c r="AR369" s="6">
        <v>405988751375061</v>
      </c>
      <c r="AS369" s="6">
        <v>433396545551584</v>
      </c>
      <c r="AT369" s="6">
        <v>40778396927211</v>
      </c>
      <c r="AU369" s="6">
        <v>496679234218773</v>
      </c>
      <c r="AV369" s="6">
        <v>483733342876593</v>
      </c>
      <c r="AW369" s="6">
        <v>431055577684265</v>
      </c>
      <c r="AX369" s="6">
        <v>527619390727968</v>
      </c>
      <c r="AY369" s="6">
        <v>538046627104751</v>
      </c>
      <c r="AZ369" s="6">
        <v>536220136953799</v>
      </c>
      <c r="BA369" s="6">
        <v>533759644630069</v>
      </c>
      <c r="BB369" s="6">
        <v>436382513028123</v>
      </c>
      <c r="BC369" s="6">
        <v>551598688324992</v>
      </c>
      <c r="BD369" s="6">
        <v>627763687996169</v>
      </c>
      <c r="BE369" s="6">
        <v>725746750568239</v>
      </c>
      <c r="BF369" s="6">
        <v>753131487857617</v>
      </c>
      <c r="BG369" s="6">
        <v>798579032300302</v>
      </c>
      <c r="BH369" s="6">
        <v>795778603949828</v>
      </c>
      <c r="BI369" s="6">
        <v>815819348465727</v>
      </c>
      <c r="BJ369" s="6">
        <v>786497920531353</v>
      </c>
      <c r="BK369" s="6">
        <v>730109691245873</v>
      </c>
      <c r="BL369" s="6">
        <v>743990635342282</v>
      </c>
      <c r="BM369" s="6">
        <v>818609550437305</v>
      </c>
    </row>
    <row r="370" spans="1:65" x14ac:dyDescent="0.45">
      <c r="A370" s="1" t="s">
        <v>364</v>
      </c>
      <c r="B370" s="2">
        <v>4023623</v>
      </c>
      <c r="C370" s="3" t="s">
        <v>1333</v>
      </c>
      <c r="D370" s="3" t="s">
        <v>1334</v>
      </c>
      <c r="E370" s="3" t="s">
        <v>923</v>
      </c>
      <c r="F370" s="5">
        <v>1021068140364</v>
      </c>
      <c r="G370" s="5">
        <v>111459490128</v>
      </c>
      <c r="H370" s="5">
        <v>105845944725</v>
      </c>
      <c r="I370" s="5">
        <v>103850542655</v>
      </c>
      <c r="J370" s="5">
        <v>116618120587</v>
      </c>
      <c r="K370" s="5">
        <v>1256073842628</v>
      </c>
      <c r="L370" s="5">
        <v>1095944994804</v>
      </c>
      <c r="M370" s="5">
        <v>1107225296892</v>
      </c>
      <c r="N370" s="5">
        <v>123979113119996</v>
      </c>
      <c r="O370" s="5">
        <v>128137600602271</v>
      </c>
      <c r="P370" s="5">
        <v>121479044635</v>
      </c>
      <c r="Q370" s="5">
        <v>892943593059099</v>
      </c>
      <c r="R370" s="5">
        <v>99955394775495</v>
      </c>
      <c r="S370" s="5">
        <v>973914274844602</v>
      </c>
      <c r="T370" s="5">
        <v>987716195676074</v>
      </c>
      <c r="U370" s="5">
        <v>883057175706532</v>
      </c>
      <c r="V370" s="5">
        <v>90572216046946</v>
      </c>
      <c r="W370" s="5">
        <v>870569597279242</v>
      </c>
      <c r="X370" s="5">
        <v>833885040713303</v>
      </c>
      <c r="Y370" s="5">
        <v>750012253755424</v>
      </c>
      <c r="Z370" s="5">
        <v>78175162255165</v>
      </c>
      <c r="AA370" s="5">
        <v>72421357056867</v>
      </c>
      <c r="AB370" s="5">
        <v>65522400828</v>
      </c>
      <c r="AC370" s="5">
        <v>62831083915095</v>
      </c>
      <c r="AD370" s="5">
        <v>646577522992894</v>
      </c>
      <c r="AE370" s="5">
        <v>708164929927669</v>
      </c>
      <c r="AF370" s="5">
        <v>666304678878</v>
      </c>
      <c r="AG370" s="5">
        <v>73987435966811</v>
      </c>
      <c r="AH370" s="5">
        <v>738485066706874</v>
      </c>
      <c r="AI370" s="5">
        <v>713321993967656</v>
      </c>
      <c r="AJ370" s="5">
        <v>705412391529834</v>
      </c>
      <c r="AK370" s="5">
        <v>704399390983321</v>
      </c>
      <c r="AL370" s="5">
        <v>645046678029803</v>
      </c>
      <c r="AM370" s="5">
        <v>537283888159655</v>
      </c>
      <c r="AN370" s="5">
        <v>589488805794</v>
      </c>
      <c r="AO370" s="5">
        <v>64752426024</v>
      </c>
      <c r="AP370" s="6">
        <v>804214679844159</v>
      </c>
      <c r="AQ370" s="6">
        <v>76897187002214</v>
      </c>
      <c r="AR370" s="6">
        <v>703730524197759</v>
      </c>
      <c r="AS370" s="6">
        <v>648302005669636</v>
      </c>
      <c r="AT370" s="6">
        <v>635576633922138</v>
      </c>
      <c r="AU370" s="6">
        <v>697708198990579</v>
      </c>
      <c r="AV370" s="6">
        <v>62933730073643</v>
      </c>
      <c r="AW370" s="6">
        <v>581702506021319</v>
      </c>
      <c r="AX370" s="6">
        <v>643058230501417</v>
      </c>
      <c r="AY370" s="6">
        <v>586217372854806</v>
      </c>
      <c r="AZ370" s="6">
        <v>61251259015297</v>
      </c>
      <c r="BA370" s="6">
        <v>587824850669688</v>
      </c>
      <c r="BB370" s="6">
        <v>54179565861857</v>
      </c>
      <c r="BC370" s="6">
        <v>575133378551194</v>
      </c>
      <c r="BD370" s="6">
        <v>664417267167024</v>
      </c>
      <c r="BE370" s="6">
        <v>828961124615971</v>
      </c>
      <c r="BF370" s="6">
        <v>865453924934352</v>
      </c>
      <c r="BG370" s="6">
        <v>833055675315372</v>
      </c>
      <c r="BH370" s="6">
        <v>818830154382246</v>
      </c>
      <c r="BI370" s="6">
        <v>829506981464622</v>
      </c>
      <c r="BJ370" s="6">
        <v>829659625364765</v>
      </c>
      <c r="BK370" s="6">
        <v>785051965267914</v>
      </c>
      <c r="BL370" s="6">
        <v>669531468875724</v>
      </c>
      <c r="BM370" s="6">
        <v>665700025942211</v>
      </c>
    </row>
    <row r="371" spans="1:65" x14ac:dyDescent="0.45">
      <c r="A371" s="1" t="s">
        <v>365</v>
      </c>
      <c r="B371" s="2">
        <v>4205848</v>
      </c>
      <c r="C371" s="3" t="s">
        <v>1335</v>
      </c>
      <c r="D371" s="3" t="s">
        <v>1336</v>
      </c>
      <c r="E371" s="3" t="s">
        <v>504</v>
      </c>
      <c r="F371" s="5">
        <v>122947882833</v>
      </c>
      <c r="G371" s="5">
        <v>155239030575</v>
      </c>
      <c r="H371" s="5">
        <v>164262839733</v>
      </c>
      <c r="I371" s="5">
        <v>146541343968</v>
      </c>
      <c r="J371" s="5">
        <v>154856536452</v>
      </c>
      <c r="K371" s="5">
        <v>17951114196</v>
      </c>
      <c r="L371" s="5">
        <v>15708787768</v>
      </c>
      <c r="M371" s="5">
        <v>148451085890773</v>
      </c>
      <c r="N371" s="5">
        <v>165933841945647</v>
      </c>
      <c r="O371" s="5">
        <v>189028028896</v>
      </c>
      <c r="P371" s="5">
        <v>184664810525</v>
      </c>
      <c r="Q371" s="5">
        <v>20457668304</v>
      </c>
      <c r="R371" s="5">
        <v>220104661365</v>
      </c>
      <c r="S371" s="5">
        <v>247507365248</v>
      </c>
      <c r="T371" s="5">
        <v>253729301848</v>
      </c>
      <c r="U371" s="5">
        <v>229094435064</v>
      </c>
      <c r="V371" s="5">
        <v>220017272376</v>
      </c>
      <c r="W371" s="5">
        <v>198140432787151</v>
      </c>
      <c r="X371" s="5">
        <v>190772036468</v>
      </c>
      <c r="Y371" s="5">
        <v>18016835701686</v>
      </c>
      <c r="Z371" s="5">
        <v>176575306894219</v>
      </c>
      <c r="AA371" s="5">
        <v>16625269404</v>
      </c>
      <c r="AB371" s="5">
        <v>16380721082625</v>
      </c>
      <c r="AC371" s="5">
        <v>17010462838596</v>
      </c>
      <c r="AD371" s="5">
        <v>166536175257375</v>
      </c>
      <c r="AE371" s="5">
        <v>1871513826</v>
      </c>
      <c r="AF371" s="5">
        <v>18137290717</v>
      </c>
      <c r="AG371" s="5">
        <v>19476194192</v>
      </c>
      <c r="AH371" s="5">
        <v>20754526975</v>
      </c>
      <c r="AI371" s="5">
        <v>148400741205</v>
      </c>
      <c r="AJ371" s="5">
        <v>149981755638</v>
      </c>
      <c r="AK371" s="5">
        <v>141408751897085</v>
      </c>
      <c r="AL371" s="5">
        <v>132494453025</v>
      </c>
      <c r="AM371" s="5">
        <v>117264511</v>
      </c>
      <c r="AN371" s="5">
        <v>13743596664</v>
      </c>
      <c r="AO371" s="5">
        <v>14586149094</v>
      </c>
      <c r="AP371" s="6">
        <v>827918472200666</v>
      </c>
      <c r="AQ371" s="6">
        <v>79874655477061</v>
      </c>
      <c r="AR371" s="6">
        <v>800379665143069</v>
      </c>
      <c r="AS371" s="6">
        <v>792613349552097</v>
      </c>
      <c r="AT371" s="6">
        <v>746330756163048</v>
      </c>
      <c r="AU371" s="6">
        <v>757042800246743</v>
      </c>
      <c r="AV371" s="6">
        <v>80649168578291</v>
      </c>
      <c r="AW371" s="6">
        <v>77497431206249</v>
      </c>
      <c r="AX371" s="6">
        <v>83211883544853</v>
      </c>
      <c r="AY371" s="6">
        <v>775618864704684</v>
      </c>
      <c r="AZ371" s="6">
        <v>7813844783952</v>
      </c>
      <c r="BA371" s="6">
        <v>806880333882447</v>
      </c>
      <c r="BB371" s="6">
        <v>706580866883965</v>
      </c>
      <c r="BC371" s="6">
        <v>824786193752064</v>
      </c>
      <c r="BD371" s="6">
        <v>76402017711252</v>
      </c>
      <c r="BE371" s="6">
        <v>891292757947812</v>
      </c>
      <c r="BF371" s="6">
        <v>858982486551057</v>
      </c>
      <c r="BG371" s="6">
        <v>817350260086256</v>
      </c>
      <c r="BH371" s="6">
        <v>779616795483086</v>
      </c>
      <c r="BI371" s="6">
        <v>717543733264751</v>
      </c>
      <c r="BJ371" s="6">
        <v>68081816554731</v>
      </c>
      <c r="BK371" s="6">
        <v>680434965987799</v>
      </c>
      <c r="BL371" s="6">
        <v>739649159003664</v>
      </c>
      <c r="BM371" s="6">
        <v>785080811639149</v>
      </c>
    </row>
    <row r="372" spans="1:65" x14ac:dyDescent="0.45">
      <c r="A372" s="1" t="s">
        <v>366</v>
      </c>
      <c r="B372" s="2">
        <v>4829067</v>
      </c>
      <c r="C372" s="3" t="s">
        <v>1337</v>
      </c>
      <c r="D372" s="3" t="s">
        <v>1338</v>
      </c>
      <c r="E372" s="3" t="s">
        <v>559</v>
      </c>
      <c r="F372" s="5">
        <v>28317856333559</v>
      </c>
      <c r="G372" s="5">
        <v>31334968732041</v>
      </c>
      <c r="H372" s="5">
        <v>2946875976468</v>
      </c>
      <c r="I372" s="5">
        <v>31315580227582</v>
      </c>
      <c r="J372" s="5">
        <v>348383103002187</v>
      </c>
      <c r="K372" s="5">
        <v>354982418613983</v>
      </c>
      <c r="L372" s="5">
        <v>330129239232213</v>
      </c>
      <c r="M372" s="5">
        <v>338318155845122</v>
      </c>
      <c r="N372" s="5">
        <v>355159434018976</v>
      </c>
      <c r="O372" s="5">
        <v>334592900142274</v>
      </c>
      <c r="P372" s="5">
        <v>2943651122802</v>
      </c>
      <c r="Q372" s="5">
        <v>316067319262587</v>
      </c>
      <c r="R372" s="5">
        <v>372103266778037</v>
      </c>
      <c r="S372" s="5">
        <v>331804205021102</v>
      </c>
      <c r="T372" s="5">
        <v>327171945272576</v>
      </c>
      <c r="U372" s="5">
        <v>312463750167278</v>
      </c>
      <c r="V372" s="5">
        <v>333173283373136</v>
      </c>
      <c r="W372" s="5">
        <v>314316153231865</v>
      </c>
      <c r="X372" s="5">
        <v>293909174749649</v>
      </c>
      <c r="Y372" s="5">
        <v>267465136765846</v>
      </c>
      <c r="Z372" s="5">
        <v>27240609769116</v>
      </c>
      <c r="AA372" s="5">
        <v>258522248749674</v>
      </c>
      <c r="AB372" s="5">
        <v>230526833822931</v>
      </c>
      <c r="AC372" s="5">
        <v>245930419381958</v>
      </c>
      <c r="AD372" s="5">
        <v>256276224714073</v>
      </c>
      <c r="AE372" s="5">
        <v>266990155074113</v>
      </c>
      <c r="AF372" s="5">
        <v>278913353860934</v>
      </c>
      <c r="AG372" s="5">
        <v>303597002115761</v>
      </c>
      <c r="AH372" s="5">
        <v>28659352242635</v>
      </c>
      <c r="AI372" s="5">
        <v>293958293002919</v>
      </c>
      <c r="AJ372" s="5">
        <v>295506474373165</v>
      </c>
      <c r="AK372" s="5">
        <v>315407208151023</v>
      </c>
      <c r="AL372" s="5">
        <v>297350675855735</v>
      </c>
      <c r="AM372" s="5">
        <v>274980006097797</v>
      </c>
      <c r="AN372" s="5">
        <v>269801745241175</v>
      </c>
      <c r="AO372" s="5">
        <v>25346838215945</v>
      </c>
      <c r="AP372" s="6">
        <v>253147121243268</v>
      </c>
      <c r="AQ372" s="6">
        <v>275316429372361</v>
      </c>
      <c r="AR372" s="6">
        <v>270662528984599</v>
      </c>
      <c r="AS372" s="6">
        <v>266246009475098</v>
      </c>
      <c r="AT372" s="6">
        <v>255693329816218</v>
      </c>
      <c r="AU372" s="6">
        <v>248868803844732</v>
      </c>
      <c r="AV372" s="6">
        <v>242345221628534</v>
      </c>
      <c r="AW372" s="6">
        <v>231899346977609</v>
      </c>
      <c r="AX372" s="6">
        <v>262844894380414</v>
      </c>
      <c r="AY372" s="6">
        <v>255628596330667</v>
      </c>
      <c r="AZ372" s="6">
        <v>271971130283187</v>
      </c>
      <c r="BA372" s="6">
        <v>278631238473562</v>
      </c>
      <c r="BB372" s="6">
        <v>228271914800061</v>
      </c>
      <c r="BC372" s="6">
        <v>271209196319908</v>
      </c>
      <c r="BD372" s="6">
        <v>243927756149712</v>
      </c>
      <c r="BE372" s="6">
        <v>308001911712209</v>
      </c>
      <c r="BF372" s="6">
        <v>302611147729405</v>
      </c>
      <c r="BG372" s="6">
        <v>288148984802402</v>
      </c>
      <c r="BH372" s="6">
        <v>252847827610525</v>
      </c>
      <c r="BI372" s="6">
        <v>25401942439728</v>
      </c>
      <c r="BJ372" s="6">
        <v>254651150017868</v>
      </c>
      <c r="BK372" s="6">
        <v>273868127656334</v>
      </c>
      <c r="BL372" s="6">
        <v>278518020239441</v>
      </c>
      <c r="BM372" s="6">
        <v>290030798643392</v>
      </c>
    </row>
    <row r="373" spans="1:65" x14ac:dyDescent="0.45">
      <c r="A373" s="1" t="s">
        <v>367</v>
      </c>
      <c r="B373" s="2">
        <v>4794937</v>
      </c>
      <c r="C373" s="3" t="s">
        <v>1339</v>
      </c>
      <c r="D373" s="3" t="s">
        <v>1340</v>
      </c>
      <c r="E373" s="3" t="s">
        <v>586</v>
      </c>
      <c r="F373" s="5">
        <v>101631654698233</v>
      </c>
      <c r="G373" s="5">
        <v>106045302135843</v>
      </c>
      <c r="H373" s="5">
        <v>103683771840124</v>
      </c>
      <c r="I373" s="5">
        <v>112926970847068</v>
      </c>
      <c r="J373" s="5">
        <v>138790171234761</v>
      </c>
      <c r="K373" s="5">
        <v>1646660232</v>
      </c>
      <c r="L373" s="5">
        <v>146823302788514</v>
      </c>
      <c r="M373" s="5">
        <v>169556808969599</v>
      </c>
      <c r="N373" s="5">
        <v>167251208767836</v>
      </c>
      <c r="O373" s="5">
        <v>177150004006252</v>
      </c>
      <c r="P373" s="5">
        <v>201088726359292</v>
      </c>
      <c r="Q373" s="5">
        <v>209405856308933</v>
      </c>
      <c r="R373" s="5">
        <v>221173925918217</v>
      </c>
      <c r="S373" s="5">
        <v>202796464101787</v>
      </c>
      <c r="T373" s="5">
        <v>171491427955705</v>
      </c>
      <c r="U373" s="5">
        <v>160888447000385</v>
      </c>
      <c r="V373" s="5">
        <v>167685680368988</v>
      </c>
      <c r="W373" s="5">
        <v>168206319</v>
      </c>
      <c r="X373" s="5">
        <v>169732858258851</v>
      </c>
      <c r="Y373" s="5">
        <v>179809495653244</v>
      </c>
      <c r="Z373" s="5">
        <v>176639638456466</v>
      </c>
      <c r="AA373" s="5">
        <v>15097581844368</v>
      </c>
      <c r="AB373" s="5">
        <v>143250856436919</v>
      </c>
      <c r="AC373" s="5">
        <v>128919902261624</v>
      </c>
      <c r="AD373" s="5">
        <v>130562178803658</v>
      </c>
      <c r="AE373" s="5">
        <v>126426923595521</v>
      </c>
      <c r="AF373" s="5">
        <v>105430458583638</v>
      </c>
      <c r="AG373" s="5">
        <v>108026564368846</v>
      </c>
      <c r="AH373" s="5">
        <v>103354417671488</v>
      </c>
      <c r="AI373" s="5">
        <v>980935033817039</v>
      </c>
      <c r="AJ373" s="5">
        <v>110392663032943</v>
      </c>
      <c r="AK373" s="5">
        <v>122434412496942</v>
      </c>
      <c r="AL373" s="5">
        <v>117173126983349</v>
      </c>
      <c r="AM373" s="5">
        <v>11588536090768</v>
      </c>
      <c r="AN373" s="5">
        <v>11377927599503</v>
      </c>
      <c r="AO373" s="5">
        <v>135046596637577</v>
      </c>
      <c r="AP373" s="6">
        <v>224507622715489</v>
      </c>
      <c r="AQ373" s="6">
        <v>217627431655825</v>
      </c>
      <c r="AR373" s="6">
        <v>2063684022512</v>
      </c>
      <c r="AS373" s="6">
        <v>200966425914036</v>
      </c>
      <c r="AT373" s="6">
        <v>183300319770801</v>
      </c>
      <c r="AU373" s="6">
        <v>201226216527064</v>
      </c>
      <c r="AV373" s="6">
        <v>192572278978023</v>
      </c>
      <c r="AW373" s="6">
        <v>172942464518335</v>
      </c>
      <c r="AX373" s="6">
        <v>198265701411015</v>
      </c>
      <c r="AY373" s="6">
        <v>183637605421878</v>
      </c>
      <c r="AZ373" s="6">
        <v>176008173353764</v>
      </c>
      <c r="BA373" s="6">
        <v>166743334231193</v>
      </c>
      <c r="BB373" s="6">
        <v>157980030015661</v>
      </c>
      <c r="BC373" s="6">
        <v>174575195864717</v>
      </c>
      <c r="BD373" s="6">
        <v>155509448220695</v>
      </c>
      <c r="BE373" s="6">
        <v>192854945030211</v>
      </c>
      <c r="BF373" s="6">
        <v>185243758508308</v>
      </c>
      <c r="BG373" s="6">
        <v>195427356548933</v>
      </c>
      <c r="BH373" s="6">
        <v>175652989895094</v>
      </c>
      <c r="BI373" s="6">
        <v>184286151002801</v>
      </c>
      <c r="BJ373" s="6">
        <v>180951039658308</v>
      </c>
      <c r="BK373" s="6">
        <v>191995537618619</v>
      </c>
      <c r="BL373" s="6">
        <v>200925327156126</v>
      </c>
      <c r="BM373" s="6">
        <v>204927391180611</v>
      </c>
    </row>
    <row r="374" spans="1:65" x14ac:dyDescent="0.45">
      <c r="A374" s="1" t="s">
        <v>368</v>
      </c>
      <c r="B374" s="2">
        <v>4057062</v>
      </c>
      <c r="C374" s="3" t="s">
        <v>1341</v>
      </c>
      <c r="D374" s="3" t="s">
        <v>1342</v>
      </c>
      <c r="E374" s="3" t="s">
        <v>548</v>
      </c>
      <c r="F374" s="5">
        <v>454535718078913</v>
      </c>
      <c r="G374" s="5">
        <v>506562180305818</v>
      </c>
      <c r="H374" s="5">
        <v>479780959765209</v>
      </c>
      <c r="I374" s="5">
        <v>480608193125368</v>
      </c>
      <c r="J374" s="5">
        <v>51483627700404</v>
      </c>
      <c r="K374" s="5">
        <v>510903344390136</v>
      </c>
      <c r="L374" s="5">
        <v>451807649619739</v>
      </c>
      <c r="M374" s="5">
        <v>480049890871754</v>
      </c>
      <c r="N374" s="5">
        <v>483492763724926</v>
      </c>
      <c r="O374" s="5">
        <v>477894504719021</v>
      </c>
      <c r="P374" s="5">
        <v>405387697613536</v>
      </c>
      <c r="Q374" s="5">
        <v>393900357959286</v>
      </c>
      <c r="R374" s="5">
        <v>371433549649254</v>
      </c>
      <c r="S374" s="5">
        <v>339611124488508</v>
      </c>
      <c r="T374" s="5">
        <v>352456806010063</v>
      </c>
      <c r="U374" s="5">
        <v>348528352243302</v>
      </c>
      <c r="V374" s="5">
        <v>358080075733908</v>
      </c>
      <c r="W374" s="5">
        <v>333454433892548</v>
      </c>
      <c r="X374" s="5">
        <v>338285531965306</v>
      </c>
      <c r="Y374" s="5">
        <v>336577698187292</v>
      </c>
      <c r="Z374" s="5">
        <v>346180643533424</v>
      </c>
      <c r="AA374" s="5">
        <v>341931311931401</v>
      </c>
      <c r="AB374" s="5">
        <v>290056435554638</v>
      </c>
      <c r="AC374" s="5">
        <v>294105475600111</v>
      </c>
      <c r="AD374" s="5">
        <v>300463899217227</v>
      </c>
      <c r="AE374" s="5">
        <v>307689620161739</v>
      </c>
      <c r="AF374" s="5">
        <v>311160727238784</v>
      </c>
      <c r="AG374" s="5">
        <v>291560376024674</v>
      </c>
      <c r="AH374" s="5">
        <v>299190609442687</v>
      </c>
      <c r="AI374" s="5">
        <v>307775322641395</v>
      </c>
      <c r="AJ374" s="5">
        <v>304746133046951</v>
      </c>
      <c r="AK374" s="5">
        <v>33236430908729</v>
      </c>
      <c r="AL374" s="5">
        <v>331021332532221</v>
      </c>
      <c r="AM374" s="5">
        <v>300640623681307</v>
      </c>
      <c r="AN374" s="5">
        <v>371488515970177</v>
      </c>
      <c r="AO374" s="5">
        <v>408459543694541</v>
      </c>
      <c r="AP374" s="6">
        <v>92526049672</v>
      </c>
      <c r="AQ374" s="6">
        <v>91570332508</v>
      </c>
      <c r="AR374" s="6">
        <v>898623060496</v>
      </c>
      <c r="AS374" s="6">
        <v>97064708454</v>
      </c>
      <c r="AT374" s="6">
        <v>105087445344</v>
      </c>
      <c r="AU374" s="6">
        <v>101839521105</v>
      </c>
      <c r="AV374" s="6">
        <v>892288666048</v>
      </c>
      <c r="AW374" s="6">
        <v>826443255712</v>
      </c>
      <c r="AX374" s="6">
        <v>8397176928</v>
      </c>
      <c r="AY374" s="6">
        <v>82372258584</v>
      </c>
      <c r="AZ374" s="6">
        <v>767242825416</v>
      </c>
      <c r="BA374" s="6">
        <v>73977063192</v>
      </c>
      <c r="BB374" s="6">
        <v>69779978576</v>
      </c>
      <c r="BC374" s="6">
        <v>731049652224</v>
      </c>
      <c r="BD374" s="6">
        <v>694537523595</v>
      </c>
      <c r="BE374" s="6">
        <v>660009238308</v>
      </c>
      <c r="BF374" s="6">
        <v>621222437925</v>
      </c>
      <c r="BG374" s="6">
        <v>603955037205</v>
      </c>
      <c r="BH374" s="6">
        <v>577796823</v>
      </c>
      <c r="BI374" s="6">
        <v>6707608542</v>
      </c>
      <c r="BJ374" s="6">
        <v>670182686544</v>
      </c>
      <c r="BK374" s="6">
        <v>661702336288</v>
      </c>
      <c r="BL374" s="6">
        <v>6573274344</v>
      </c>
      <c r="BM374" s="6">
        <v>641931321304</v>
      </c>
    </row>
    <row r="375" spans="1:65" x14ac:dyDescent="0.45">
      <c r="A375" s="1" t="s">
        <v>369</v>
      </c>
      <c r="B375" s="2">
        <v>4587650</v>
      </c>
      <c r="C375" s="3" t="s">
        <v>1343</v>
      </c>
      <c r="D375" s="3" t="s">
        <v>1344</v>
      </c>
      <c r="E375" s="3" t="s">
        <v>795</v>
      </c>
      <c r="F375" s="5">
        <v>73247220841746</v>
      </c>
      <c r="G375" s="5">
        <v>8138877138154</v>
      </c>
      <c r="H375" s="5">
        <v>85785620300268</v>
      </c>
      <c r="I375" s="5">
        <v>77638865498292</v>
      </c>
      <c r="J375" s="5">
        <v>87003335795572</v>
      </c>
      <c r="K375" s="5">
        <v>88287872218896</v>
      </c>
      <c r="L375" s="5">
        <v>91185678642593</v>
      </c>
      <c r="M375" s="5">
        <v>873461412260231</v>
      </c>
      <c r="N375" s="5">
        <v>909424522484474</v>
      </c>
      <c r="O375" s="5">
        <v>1002624756</v>
      </c>
      <c r="P375" s="5">
        <v>103283752</v>
      </c>
      <c r="Q375" s="5">
        <v>10407127749408</v>
      </c>
      <c r="R375" s="5">
        <v>113578868364885</v>
      </c>
      <c r="S375" s="5">
        <v>1143503753628</v>
      </c>
      <c r="T375" s="5">
        <v>12007812963776</v>
      </c>
      <c r="U375" s="5">
        <v>10637760285306</v>
      </c>
      <c r="V375" s="5">
        <v>10804139237808</v>
      </c>
      <c r="W375" s="5">
        <v>9819397628145</v>
      </c>
      <c r="X375" s="5">
        <v>915152602951839</v>
      </c>
      <c r="Y375" s="5">
        <v>76771438031279</v>
      </c>
      <c r="Z375" s="5">
        <v>831148181153981</v>
      </c>
      <c r="AA375" s="5">
        <v>83556978492</v>
      </c>
      <c r="AB375" s="5">
        <v>86461409709</v>
      </c>
      <c r="AC375" s="5">
        <v>872761383204</v>
      </c>
      <c r="AD375" s="5">
        <v>8776792120125</v>
      </c>
      <c r="AE375" s="5">
        <v>8723766997425</v>
      </c>
      <c r="AF375" s="5">
        <v>8327948755585</v>
      </c>
      <c r="AG375" s="5">
        <v>79218799826</v>
      </c>
      <c r="AH375" s="5">
        <v>7733602942373</v>
      </c>
      <c r="AI375" s="5">
        <v>7120722602376</v>
      </c>
      <c r="AJ375" s="5">
        <v>686412073820029</v>
      </c>
      <c r="AK375" s="5">
        <v>665447474045395</v>
      </c>
      <c r="AL375" s="5">
        <v>612812625230338</v>
      </c>
      <c r="AM375" s="5">
        <v>4949752444</v>
      </c>
      <c r="AN375" s="5">
        <v>562782883026</v>
      </c>
      <c r="AO375" s="5">
        <v>575262934559155</v>
      </c>
      <c r="AP375" s="6">
        <v>256303545027429</v>
      </c>
      <c r="AQ375" s="6">
        <v>247848394592966</v>
      </c>
      <c r="AR375" s="6">
        <v>215524600836791</v>
      </c>
      <c r="AS375" s="6">
        <v>202247886756949</v>
      </c>
      <c r="AT375" s="6">
        <v>173812257685872</v>
      </c>
      <c r="AU375" s="6">
        <v>194463642813491</v>
      </c>
      <c r="AV375" s="6">
        <v>1838392442848</v>
      </c>
      <c r="AW375" s="6">
        <v>18495591439</v>
      </c>
      <c r="AX375" s="6">
        <v>227488642923832</v>
      </c>
      <c r="AY375" s="6">
        <v>222033627116997</v>
      </c>
      <c r="AZ375" s="6">
        <v>238968567801759</v>
      </c>
      <c r="BA375" s="6">
        <v>235170684446868</v>
      </c>
      <c r="BB375" s="6">
        <v>209068517116279</v>
      </c>
      <c r="BC375" s="6">
        <v>244767363167209</v>
      </c>
      <c r="BD375" s="6">
        <v>230532349596656</v>
      </c>
      <c r="BE375" s="6">
        <v>273594361006046</v>
      </c>
      <c r="BF375" s="6">
        <v>284079578364851</v>
      </c>
      <c r="BG375" s="6">
        <v>286310275473054</v>
      </c>
      <c r="BH375" s="6">
        <v>291549729782086</v>
      </c>
      <c r="BI375" s="6">
        <v>301218821584546</v>
      </c>
      <c r="BJ375" s="6">
        <v>301964454026178</v>
      </c>
      <c r="BK375" s="6">
        <v>298348172164695</v>
      </c>
      <c r="BL375" s="6">
        <v>319626110134831</v>
      </c>
      <c r="BM375" s="6">
        <v>325611534256258</v>
      </c>
    </row>
    <row r="376" spans="1:65" x14ac:dyDescent="0.45">
      <c r="A376" s="1" t="s">
        <v>370</v>
      </c>
      <c r="B376" s="2">
        <v>103117</v>
      </c>
      <c r="C376" s="3" t="s">
        <v>1345</v>
      </c>
      <c r="D376" s="3" t="s">
        <v>1346</v>
      </c>
      <c r="E376" s="3" t="s">
        <v>931</v>
      </c>
      <c r="F376" s="5">
        <v>361238019422279</v>
      </c>
      <c r="G376" s="5">
        <v>380609895620098</v>
      </c>
      <c r="H376" s="5">
        <v>362176023388763</v>
      </c>
      <c r="I376" s="5">
        <v>299622691858449</v>
      </c>
      <c r="J376" s="5">
        <v>331471165176884</v>
      </c>
      <c r="K376" s="5">
        <v>350043644256163</v>
      </c>
      <c r="L376" s="5">
        <v>298412659471928</v>
      </c>
      <c r="M376" s="5">
        <v>351209054660227</v>
      </c>
      <c r="N376" s="5">
        <v>367654475293878</v>
      </c>
      <c r="O376" s="5">
        <v>388866271715602</v>
      </c>
      <c r="P376" s="5">
        <v>40252096956467</v>
      </c>
      <c r="Q376" s="5">
        <v>431871829805261</v>
      </c>
      <c r="R376" s="5">
        <v>46166313193238</v>
      </c>
      <c r="S376" s="5">
        <v>445606428288546</v>
      </c>
      <c r="T376" s="5">
        <v>416575626290366</v>
      </c>
      <c r="U376" s="5">
        <v>368516309252449</v>
      </c>
      <c r="V376" s="5">
        <v>374326187737645</v>
      </c>
      <c r="W376" s="5">
        <v>350408156673331</v>
      </c>
      <c r="X376" s="5">
        <v>361547192768061</v>
      </c>
      <c r="Y376" s="5">
        <v>346366087252646</v>
      </c>
      <c r="Z376" s="5">
        <v>332135502852947</v>
      </c>
      <c r="AA376" s="5">
        <v>318120441061621</v>
      </c>
      <c r="AB376" s="5">
        <v>306585049829861</v>
      </c>
      <c r="AC376" s="5">
        <v>251206818436884</v>
      </c>
      <c r="AD376" s="5">
        <v>228764510792532</v>
      </c>
      <c r="AE376" s="5">
        <v>226696989065583</v>
      </c>
      <c r="AF376" s="5">
        <v>164869145109924</v>
      </c>
      <c r="AG376" s="5">
        <v>168491638896874</v>
      </c>
      <c r="AH376" s="5">
        <v>173615497013105</v>
      </c>
      <c r="AI376" s="5">
        <v>161146596509868</v>
      </c>
      <c r="AJ376" s="5">
        <v>18578438793722</v>
      </c>
      <c r="AK376" s="5">
        <v>158690449933466</v>
      </c>
      <c r="AL376" s="5">
        <v>186534865500068</v>
      </c>
      <c r="AM376" s="5">
        <v>15319696342496</v>
      </c>
      <c r="AN376" s="5">
        <v>343437441509702</v>
      </c>
      <c r="AO376" s="5">
        <v>36855361025648</v>
      </c>
      <c r="AP376" s="6">
        <v>653532012217244</v>
      </c>
      <c r="AQ376" s="6">
        <v>659571222695181</v>
      </c>
      <c r="AR376" s="6">
        <v>586804579498856</v>
      </c>
      <c r="AS376" s="6">
        <v>600193506998826</v>
      </c>
      <c r="AT376" s="6">
        <v>53911513778148</v>
      </c>
      <c r="AU376" s="6">
        <v>629214556534137</v>
      </c>
      <c r="AV376" s="6">
        <v>589833272984592</v>
      </c>
      <c r="AW376" s="6">
        <v>501430933973823</v>
      </c>
      <c r="AX376" s="6">
        <v>63364413675024</v>
      </c>
      <c r="AY376" s="6">
        <v>704263509554022</v>
      </c>
      <c r="AZ376" s="6">
        <v>734408399225023</v>
      </c>
      <c r="BA376" s="6">
        <v>733260282377382</v>
      </c>
      <c r="BB376" s="6">
        <v>602274706221954</v>
      </c>
      <c r="BC376" s="6">
        <v>713646651531264</v>
      </c>
      <c r="BD376" s="6">
        <v>821435162229</v>
      </c>
      <c r="BE376" s="6">
        <v>913199560467645</v>
      </c>
      <c r="BF376" s="6">
        <v>924970820773175</v>
      </c>
      <c r="BG376" s="6">
        <v>949359327896739</v>
      </c>
      <c r="BH376" s="6">
        <v>929195023591431</v>
      </c>
      <c r="BI376" s="6">
        <v>100026687052818</v>
      </c>
      <c r="BJ376" s="6">
        <v>876502760756</v>
      </c>
      <c r="BK376" s="6">
        <v>848905655211478</v>
      </c>
      <c r="BL376" s="6">
        <v>894208836850875</v>
      </c>
      <c r="BM376" s="6">
        <v>864804347775504</v>
      </c>
    </row>
    <row r="377" spans="1:65" x14ac:dyDescent="0.45">
      <c r="A377" s="1" t="s">
        <v>371</v>
      </c>
      <c r="B377" s="2">
        <v>4967090</v>
      </c>
      <c r="C377" s="3" t="s">
        <v>1347</v>
      </c>
      <c r="D377" s="3" t="s">
        <v>1348</v>
      </c>
      <c r="E377" s="3" t="s">
        <v>507</v>
      </c>
      <c r="F377" s="5">
        <v>136569885422028</v>
      </c>
      <c r="G377" s="5">
        <v>148505685312077</v>
      </c>
      <c r="H377" s="5">
        <v>139558646115594</v>
      </c>
      <c r="I377" s="5">
        <v>139520833902692</v>
      </c>
      <c r="J377" s="5">
        <v>156996486064999</v>
      </c>
      <c r="K377" s="5">
        <v>171782133755096</v>
      </c>
      <c r="L377" s="5">
        <v>142611813016268</v>
      </c>
      <c r="M377" s="5">
        <v>163304182932174</v>
      </c>
      <c r="N377" s="5">
        <v>173813087057389</v>
      </c>
      <c r="O377" s="5">
        <v>1939706893424</v>
      </c>
      <c r="P377" s="5">
        <v>201793325908599</v>
      </c>
      <c r="Q377" s="5">
        <v>216348119883752</v>
      </c>
      <c r="R377" s="5">
        <v>225612362938683</v>
      </c>
      <c r="S377" s="5">
        <v>222533100368703</v>
      </c>
      <c r="T377" s="5">
        <v>238599101043688</v>
      </c>
      <c r="U377" s="5">
        <v>234700137427972</v>
      </c>
      <c r="V377" s="5">
        <v>256581916800689</v>
      </c>
      <c r="W377" s="5">
        <v>256771130046169</v>
      </c>
      <c r="X377" s="5">
        <v>266990862054774</v>
      </c>
      <c r="Y377" s="5">
        <v>2302793182602</v>
      </c>
      <c r="Z377" s="5">
        <v>248859870243506</v>
      </c>
      <c r="AA377" s="5">
        <v>258073892220514</v>
      </c>
      <c r="AB377" s="5">
        <v>242350636254599</v>
      </c>
      <c r="AC377" s="5">
        <v>229917043052786</v>
      </c>
      <c r="AD377" s="5">
        <v>20756793716568</v>
      </c>
      <c r="AE377" s="5">
        <v>196170643902551</v>
      </c>
      <c r="AF377" s="5">
        <v>202516137051266</v>
      </c>
      <c r="AG377" s="5">
        <v>206970740607786</v>
      </c>
      <c r="AH377" s="5">
        <v>202392657294312</v>
      </c>
      <c r="AI377" s="5">
        <v>205552560799773</v>
      </c>
      <c r="AJ377" s="5">
        <v>189552940222656</v>
      </c>
      <c r="AK377" s="5">
        <v>177891667834872</v>
      </c>
      <c r="AL377" s="5">
        <v>161011272813533</v>
      </c>
      <c r="AM377" s="5">
        <v>137915276962918</v>
      </c>
      <c r="AN377" s="5">
        <v>15500060587425</v>
      </c>
      <c r="AO377" s="5">
        <v>173662589745953</v>
      </c>
      <c r="AP377" s="6">
        <v>115153666322141</v>
      </c>
      <c r="AQ377" s="6">
        <v>116300953129984</v>
      </c>
      <c r="AR377" s="6">
        <v>107554101272007</v>
      </c>
      <c r="AS377" s="6">
        <v>112219769263972</v>
      </c>
      <c r="AT377" s="6">
        <v>118883507516458</v>
      </c>
      <c r="AU377" s="6">
        <v>113089246733539</v>
      </c>
      <c r="AV377" s="6">
        <v>110624577131457</v>
      </c>
      <c r="AW377" s="6">
        <v>101386422979273</v>
      </c>
      <c r="AX377" s="6">
        <v>98882423641953</v>
      </c>
      <c r="AY377" s="6">
        <v>964928960754066</v>
      </c>
      <c r="AZ377" s="6">
        <v>898445312193139</v>
      </c>
      <c r="BA377" s="6">
        <v>84140007568389</v>
      </c>
      <c r="BB377" s="6">
        <v>788574355863745</v>
      </c>
      <c r="BC377" s="6">
        <v>888695174784768</v>
      </c>
      <c r="BD377" s="6">
        <v>81721388683951</v>
      </c>
      <c r="BE377" s="6">
        <v>833195886621384</v>
      </c>
      <c r="BF377" s="6">
        <v>834116121215259</v>
      </c>
      <c r="BG377" s="6">
        <v>82770016100749</v>
      </c>
      <c r="BH377" s="6">
        <v>761607905506038</v>
      </c>
      <c r="BI377" s="6">
        <v>75363876767916</v>
      </c>
      <c r="BJ377" s="6">
        <v>664203058920423</v>
      </c>
      <c r="BK377" s="6">
        <v>644169480947818</v>
      </c>
      <c r="BL377" s="6">
        <v>63444884564061</v>
      </c>
      <c r="BM377" s="6">
        <v>621652722245944</v>
      </c>
    </row>
    <row r="378" spans="1:65" x14ac:dyDescent="0.45">
      <c r="A378" s="1" t="s">
        <v>372</v>
      </c>
      <c r="B378" s="2">
        <v>4011047</v>
      </c>
      <c r="C378" s="3" t="s">
        <v>1349</v>
      </c>
      <c r="D378" s="3" t="s">
        <v>1350</v>
      </c>
      <c r="E378" s="3" t="s">
        <v>631</v>
      </c>
      <c r="F378" s="5">
        <v>709316248058005</v>
      </c>
      <c r="G378" s="5">
        <v>708827224544821</v>
      </c>
      <c r="H378" s="5">
        <v>746119099553297</v>
      </c>
      <c r="I378" s="5">
        <v>517819141434165</v>
      </c>
      <c r="J378" s="5">
        <v>535758039944716</v>
      </c>
      <c r="K378" s="5">
        <v>51348251386568</v>
      </c>
      <c r="L378" s="5">
        <v>483516864120113</v>
      </c>
      <c r="M378" s="5">
        <v>605516897950778</v>
      </c>
      <c r="N378" s="5">
        <v>523214939846352</v>
      </c>
      <c r="O378" s="5">
        <v>521879224060965</v>
      </c>
      <c r="P378" s="5">
        <v>490386749629257</v>
      </c>
      <c r="Q378" s="5">
        <v>489523333081378</v>
      </c>
      <c r="R378" s="5">
        <v>369383782444505</v>
      </c>
      <c r="S378" s="5">
        <v>356898402769811</v>
      </c>
      <c r="T378" s="5">
        <v>391312722636265</v>
      </c>
      <c r="U378" s="5">
        <v>357626754993231</v>
      </c>
      <c r="V378" s="5">
        <v>332204585403479</v>
      </c>
      <c r="W378" s="5">
        <v>339870823121995</v>
      </c>
      <c r="X378" s="5">
        <v>377511087134073</v>
      </c>
      <c r="Y378" s="5">
        <v>359459048519807</v>
      </c>
      <c r="Z378" s="5">
        <v>314438336541059</v>
      </c>
      <c r="AA378" s="5">
        <v>323921362169054</v>
      </c>
      <c r="AB378" s="5">
        <v>322547352951466</v>
      </c>
      <c r="AC378" s="5">
        <v>254748283750841</v>
      </c>
      <c r="AD378" s="5">
        <v>248422023413642</v>
      </c>
      <c r="AE378" s="5">
        <v>242143522623449</v>
      </c>
      <c r="AF378" s="5">
        <v>178458442038001</v>
      </c>
      <c r="AG378" s="5">
        <v>183935918339117</v>
      </c>
      <c r="AH378" s="5">
        <v>220734065234507</v>
      </c>
      <c r="AI378" s="5">
        <v>212847939969123</v>
      </c>
      <c r="AJ378" s="5">
        <v>226787419990561</v>
      </c>
      <c r="AK378" s="5">
        <v>230567975008649</v>
      </c>
      <c r="AL378" s="5">
        <v>213378482708159</v>
      </c>
      <c r="AM378" s="5">
        <v>170409435304381</v>
      </c>
      <c r="AN378" s="5">
        <v>341945183983121</v>
      </c>
      <c r="AO378" s="5">
        <v>418483885082769</v>
      </c>
      <c r="AP378" s="6">
        <v>700418287296</v>
      </c>
      <c r="AQ378" s="6">
        <v>696125424384</v>
      </c>
      <c r="AR378" s="6">
        <v>726395218848</v>
      </c>
      <c r="AS378" s="6">
        <v>740124096396143</v>
      </c>
      <c r="AT378" s="6">
        <v>748538895239762</v>
      </c>
      <c r="AU378" s="6">
        <v>703256076692993</v>
      </c>
      <c r="AV378" s="6">
        <v>674065719302534</v>
      </c>
      <c r="AW378" s="6">
        <v>613327546619559</v>
      </c>
      <c r="AX378" s="6">
        <v>629063524388644</v>
      </c>
      <c r="AY378" s="6">
        <v>65662907941422</v>
      </c>
      <c r="AZ378" s="6">
        <v>616874123484653</v>
      </c>
      <c r="BA378" s="6">
        <v>580059929553925</v>
      </c>
      <c r="BB378" s="6">
        <v>512282787741087</v>
      </c>
      <c r="BC378" s="6">
        <v>579864087412178</v>
      </c>
      <c r="BD378" s="6">
        <v>536290344661018</v>
      </c>
      <c r="BE378" s="6">
        <v>571940580792529</v>
      </c>
      <c r="BF378" s="6">
        <v>545891278967388</v>
      </c>
      <c r="BG378" s="6">
        <v>521705986903298</v>
      </c>
      <c r="BH378" s="6">
        <v>540871483489922</v>
      </c>
      <c r="BI378" s="6">
        <v>55778955685335</v>
      </c>
      <c r="BJ378" s="6">
        <v>524367429521835</v>
      </c>
      <c r="BK378" s="6">
        <v>488256099160199</v>
      </c>
      <c r="BL378" s="6">
        <v>497558523322224</v>
      </c>
      <c r="BM378" s="6">
        <v>494536624359807</v>
      </c>
    </row>
    <row r="379" spans="1:65" x14ac:dyDescent="0.45">
      <c r="A379" s="1" t="s">
        <v>373</v>
      </c>
      <c r="B379" s="2">
        <v>4217596</v>
      </c>
      <c r="C379" s="3" t="s">
        <v>1351</v>
      </c>
      <c r="D379" s="3" t="s">
        <v>1352</v>
      </c>
      <c r="E379" s="3" t="s">
        <v>545</v>
      </c>
      <c r="F379" s="5">
        <v>89799478861231</v>
      </c>
      <c r="G379" s="5">
        <v>913575967347491</v>
      </c>
      <c r="H379" s="5">
        <v>831053084304007</v>
      </c>
      <c r="I379" s="5">
        <v>780942040217329</v>
      </c>
      <c r="J379" s="5">
        <v>824661577715052</v>
      </c>
      <c r="K379" s="5">
        <v>93247740789684</v>
      </c>
      <c r="L379" s="5">
        <v>816889467411332</v>
      </c>
      <c r="M379" s="5">
        <v>956023781160357</v>
      </c>
      <c r="N379" s="5">
        <v>102155184263888</v>
      </c>
      <c r="O379" s="5">
        <v>101424709181758</v>
      </c>
      <c r="P379" s="5">
        <v>118938883616037</v>
      </c>
      <c r="Q379" s="5">
        <v>124460656490661</v>
      </c>
      <c r="R379" s="5">
        <v>121605844165403</v>
      </c>
      <c r="S379" s="5">
        <v>120118882179098</v>
      </c>
      <c r="T379" s="5">
        <v>115100866792588</v>
      </c>
      <c r="U379" s="5">
        <v>113920250529109</v>
      </c>
      <c r="V379" s="5">
        <v>124269985963358</v>
      </c>
      <c r="W379" s="5">
        <v>117080494607134</v>
      </c>
      <c r="X379" s="5">
        <v>116189933267677</v>
      </c>
      <c r="Y379" s="5">
        <v>117417725531556</v>
      </c>
      <c r="Z379" s="5">
        <v>105039297425455</v>
      </c>
      <c r="AA379" s="5">
        <v>100508554801326</v>
      </c>
      <c r="AB379" s="5">
        <v>102010783808988</v>
      </c>
      <c r="AC379" s="5">
        <v>103515082075028</v>
      </c>
      <c r="AD379" s="5">
        <v>986150314364721</v>
      </c>
      <c r="AE379" s="5">
        <v>944958688226036</v>
      </c>
      <c r="AF379" s="5">
        <v>783707148727599</v>
      </c>
      <c r="AG379" s="5">
        <v>790779252978767</v>
      </c>
      <c r="AH379" s="5">
        <v>721949848402986</v>
      </c>
      <c r="AI379" s="5">
        <v>665444193505357</v>
      </c>
      <c r="AJ379" s="5">
        <v>719114688571698</v>
      </c>
      <c r="AK379" s="5">
        <v>700065247532506</v>
      </c>
      <c r="AL379" s="5">
        <v>632956960354752</v>
      </c>
      <c r="AM379" s="5">
        <v>584990897384166</v>
      </c>
      <c r="AN379" s="5">
        <v>698798121159947</v>
      </c>
      <c r="AO379" s="5">
        <v>7903514238114</v>
      </c>
      <c r="AP379" s="6">
        <v>10720364948606</v>
      </c>
      <c r="AQ379" s="6">
        <v>96431117561832</v>
      </c>
      <c r="AR379" s="6">
        <v>925410665221592</v>
      </c>
      <c r="AS379" s="6">
        <v>87833670392448</v>
      </c>
      <c r="AT379" s="6">
        <v>85716482434632</v>
      </c>
      <c r="AU379" s="6">
        <v>82063405403799</v>
      </c>
      <c r="AV379" s="6">
        <v>84823097354892</v>
      </c>
      <c r="AW379" s="6">
        <v>8502322359386</v>
      </c>
      <c r="AX379" s="6">
        <v>9743394659712</v>
      </c>
      <c r="AY379" s="6">
        <v>91662621893568</v>
      </c>
      <c r="AZ379" s="6">
        <v>817519887181824</v>
      </c>
      <c r="BA379" s="6">
        <v>6418856284416</v>
      </c>
      <c r="BB379" s="6">
        <v>58689273713664</v>
      </c>
      <c r="BC379" s="6">
        <v>64078419296256</v>
      </c>
      <c r="BD379" s="6">
        <v>5635653854592</v>
      </c>
      <c r="BE379" s="6">
        <v>863766299798784</v>
      </c>
      <c r="BF379" s="6">
        <v>86037424859008</v>
      </c>
      <c r="BG379" s="6">
        <v>9195403727744</v>
      </c>
      <c r="BH379" s="6">
        <v>98702715543168</v>
      </c>
      <c r="BI379" s="6">
        <v>100651189964544</v>
      </c>
      <c r="BJ379" s="6">
        <v>71379738674688</v>
      </c>
      <c r="BK379" s="6">
        <v>6731513986048</v>
      </c>
      <c r="BL379" s="6">
        <v>7218200441088</v>
      </c>
      <c r="BM379" s="6">
        <v>89346856233536</v>
      </c>
    </row>
    <row r="380" spans="1:65" x14ac:dyDescent="0.45">
      <c r="A380" s="1" t="s">
        <v>374</v>
      </c>
      <c r="B380" s="2">
        <v>4007403</v>
      </c>
      <c r="C380" s="3" t="s">
        <v>1353</v>
      </c>
      <c r="D380" s="3" t="s">
        <v>1354</v>
      </c>
      <c r="E380" s="3" t="s">
        <v>847</v>
      </c>
      <c r="F380" s="5">
        <v>113643604523034</v>
      </c>
      <c r="G380" s="5">
        <v>12401499257255</v>
      </c>
      <c r="H380" s="5">
        <v>119363613497164</v>
      </c>
      <c r="I380" s="5">
        <v>10937854141263</v>
      </c>
      <c r="J380" s="5">
        <v>115225472072275</v>
      </c>
      <c r="K380" s="5">
        <v>117241136592178</v>
      </c>
      <c r="L380" s="5">
        <v>100599194446187</v>
      </c>
      <c r="M380" s="5">
        <v>110385603001103</v>
      </c>
      <c r="N380" s="5">
        <v>107619436162907</v>
      </c>
      <c r="O380" s="5">
        <v>988068659712596</v>
      </c>
      <c r="P380" s="5">
        <v>100018583656403</v>
      </c>
      <c r="Q380" s="5">
        <v>99535227197112</v>
      </c>
      <c r="R380" s="5">
        <v>101386484903664</v>
      </c>
      <c r="S380" s="5">
        <v>981474419760829</v>
      </c>
      <c r="T380" s="5">
        <v>944242429186698</v>
      </c>
      <c r="U380" s="5">
        <v>97299147220506</v>
      </c>
      <c r="V380" s="5">
        <v>102855724253964</v>
      </c>
      <c r="W380" s="5">
        <v>99174665619414</v>
      </c>
      <c r="X380" s="5">
        <v>101908788019062</v>
      </c>
      <c r="Y380" s="5">
        <v>112981582541486</v>
      </c>
      <c r="Z380" s="5">
        <v>106817097101299</v>
      </c>
      <c r="AA380" s="5">
        <v>107019351458198</v>
      </c>
      <c r="AB380" s="5">
        <v>909909588406401</v>
      </c>
      <c r="AC380" s="5">
        <v>803870475066743</v>
      </c>
      <c r="AD380" s="5">
        <v>758499331547115</v>
      </c>
      <c r="AE380" s="5">
        <v>797678809419811</v>
      </c>
      <c r="AF380" s="5">
        <v>73285336848086</v>
      </c>
      <c r="AG380" s="5">
        <v>682438534362648</v>
      </c>
      <c r="AH380" s="5">
        <v>675531938252468</v>
      </c>
      <c r="AI380" s="5">
        <v>670209037143264</v>
      </c>
      <c r="AJ380" s="5">
        <v>668991909824064</v>
      </c>
      <c r="AK380" s="5">
        <v>63407566463472</v>
      </c>
      <c r="AL380" s="5">
        <v>647348611304736</v>
      </c>
      <c r="AM380" s="5">
        <v>54154927378188</v>
      </c>
      <c r="AN380" s="5">
        <v>719434050736905</v>
      </c>
      <c r="AO380" s="5">
        <v>789712066716474</v>
      </c>
      <c r="AP380" s="6">
        <v>207353631985838</v>
      </c>
      <c r="AQ380" s="6">
        <v>219403866716123</v>
      </c>
      <c r="AR380" s="6">
        <v>205039719135347</v>
      </c>
      <c r="AS380" s="6">
        <v>207417488156618</v>
      </c>
      <c r="AT380" s="6">
        <v>19332549767435</v>
      </c>
      <c r="AU380" s="6">
        <v>213880992997745</v>
      </c>
      <c r="AV380" s="6">
        <v>210020892874664</v>
      </c>
      <c r="AW380" s="6">
        <v>207963124880877</v>
      </c>
      <c r="AX380" s="6">
        <v>21329500101347</v>
      </c>
      <c r="AY380" s="6">
        <v>20176346019357</v>
      </c>
      <c r="AZ380" s="6">
        <v>203267949514395</v>
      </c>
      <c r="BA380" s="6">
        <v>188486817011129</v>
      </c>
      <c r="BB380" s="6">
        <v>147267869455183</v>
      </c>
      <c r="BC380" s="6">
        <v>164916844179287</v>
      </c>
      <c r="BD380" s="6">
        <v>183387846739327</v>
      </c>
      <c r="BE380" s="6">
        <v>198137653174783</v>
      </c>
      <c r="BF380" s="6">
        <v>20208661377405</v>
      </c>
      <c r="BG380" s="6">
        <v>183165972214538</v>
      </c>
      <c r="BH380" s="6">
        <v>215935850453668</v>
      </c>
      <c r="BI380" s="6">
        <v>224178947390638</v>
      </c>
      <c r="BJ380" s="6">
        <v>207342161524716</v>
      </c>
      <c r="BK380" s="6">
        <v>207285272210054</v>
      </c>
      <c r="BL380" s="6">
        <v>226570561086461</v>
      </c>
      <c r="BM380" s="6">
        <v>24577988416</v>
      </c>
    </row>
    <row r="381" spans="1:65" x14ac:dyDescent="0.45">
      <c r="A381" s="1" t="s">
        <v>375</v>
      </c>
      <c r="B381" s="2">
        <v>4121199</v>
      </c>
      <c r="C381" s="3" t="s">
        <v>1355</v>
      </c>
      <c r="D381" s="3" t="s">
        <v>1356</v>
      </c>
      <c r="E381" s="3" t="s">
        <v>827</v>
      </c>
      <c r="F381" s="5">
        <v>187061681673081</v>
      </c>
      <c r="G381" s="5">
        <v>229786342125069</v>
      </c>
      <c r="H381" s="5">
        <v>21826771949803</v>
      </c>
      <c r="I381" s="5">
        <v>186612375607517</v>
      </c>
      <c r="J381" s="5">
        <v>216213416572482</v>
      </c>
      <c r="K381" s="5">
        <v>221604708279954</v>
      </c>
      <c r="L381" s="5">
        <v>204880632846997</v>
      </c>
      <c r="M381" s="5">
        <v>253465787521304</v>
      </c>
      <c r="N381" s="5">
        <v>26282355945908</v>
      </c>
      <c r="O381" s="5">
        <v>244217580627625</v>
      </c>
      <c r="P381" s="5">
        <v>231036433753242</v>
      </c>
      <c r="Q381" s="5">
        <v>236541423213193</v>
      </c>
      <c r="R381" s="5">
        <v>222971564638033</v>
      </c>
      <c r="S381" s="5">
        <v>233167195621738</v>
      </c>
      <c r="T381" s="5">
        <v>242022696259198</v>
      </c>
      <c r="U381" s="5">
        <v>262535196099848</v>
      </c>
      <c r="V381" s="5">
        <v>249517903554081</v>
      </c>
      <c r="W381" s="5">
        <v>251971713855565</v>
      </c>
      <c r="X381" s="5">
        <v>264795402528931</v>
      </c>
      <c r="Y381" s="5">
        <v>298218965781677</v>
      </c>
      <c r="Z381" s="5">
        <v>308633604041361</v>
      </c>
      <c r="AA381" s="5">
        <v>307288851111989</v>
      </c>
      <c r="AB381" s="5">
        <v>283787714123319</v>
      </c>
      <c r="AC381" s="5">
        <v>213738554225772</v>
      </c>
      <c r="AD381" s="5">
        <v>224915731062212</v>
      </c>
      <c r="AE381" s="5">
        <v>228864675588634</v>
      </c>
      <c r="AF381" s="5">
        <v>200224714918754</v>
      </c>
      <c r="AG381" s="5">
        <v>1883756576898</v>
      </c>
      <c r="AH381" s="5">
        <v>185430249292924</v>
      </c>
      <c r="AI381" s="5">
        <v>154023376014462</v>
      </c>
      <c r="AJ381" s="5">
        <v>179010224233244</v>
      </c>
      <c r="AK381" s="5">
        <v>170178883239435</v>
      </c>
      <c r="AL381" s="5">
        <v>165362269679063</v>
      </c>
      <c r="AM381" s="5">
        <v>16763013703254</v>
      </c>
      <c r="AN381" s="5">
        <v>217267059865712</v>
      </c>
      <c r="AO381" s="5">
        <v>26099064589547</v>
      </c>
      <c r="AP381" s="6">
        <v>186725147421422</v>
      </c>
      <c r="AQ381" s="6">
        <v>192378708731757</v>
      </c>
      <c r="AR381" s="6">
        <v>183020995728065</v>
      </c>
      <c r="AS381" s="6">
        <v>189168693958274</v>
      </c>
      <c r="AT381" s="6">
        <v>193769983795921</v>
      </c>
      <c r="AU381" s="6">
        <v>178806949468989</v>
      </c>
      <c r="AV381" s="6">
        <v>169525064356968</v>
      </c>
      <c r="AW381" s="6">
        <v>156582103219833</v>
      </c>
      <c r="AX381" s="6">
        <v>161745532771536</v>
      </c>
      <c r="AY381" s="6">
        <v>153565374800376</v>
      </c>
      <c r="AZ381" s="6">
        <v>133638370784114</v>
      </c>
      <c r="BA381" s="6">
        <v>121846586211846</v>
      </c>
      <c r="BB381" s="6">
        <v>110005993031426</v>
      </c>
      <c r="BC381" s="6">
        <v>120655635004547</v>
      </c>
      <c r="BD381" s="6">
        <v>117532828596138</v>
      </c>
      <c r="BE381" s="6">
        <v>126112115701541</v>
      </c>
      <c r="BF381" s="6">
        <v>130748039379963</v>
      </c>
      <c r="BG381" s="6">
        <v>113871055761632</v>
      </c>
      <c r="BH381" s="6">
        <v>109287647246805</v>
      </c>
      <c r="BI381" s="6">
        <v>112559318734157</v>
      </c>
      <c r="BJ381" s="6">
        <v>105326206613595</v>
      </c>
      <c r="BK381" s="6">
        <v>100673171875476</v>
      </c>
      <c r="BL381" s="6">
        <v>103133028745492</v>
      </c>
      <c r="BM381" s="6">
        <v>110716100419835</v>
      </c>
    </row>
    <row r="382" spans="1:65" x14ac:dyDescent="0.45">
      <c r="A382" s="1" t="s">
        <v>376</v>
      </c>
      <c r="B382" s="2">
        <v>4102347</v>
      </c>
      <c r="C382" s="3" t="s">
        <v>1357</v>
      </c>
      <c r="D382" s="3" t="s">
        <v>1358</v>
      </c>
      <c r="E382" s="3" t="s">
        <v>847</v>
      </c>
      <c r="F382" s="5">
        <v>103987961825142</v>
      </c>
      <c r="G382" s="5">
        <v>117234817285368</v>
      </c>
      <c r="H382" s="5">
        <v>117431658269895</v>
      </c>
      <c r="I382" s="5">
        <v>113373477825922</v>
      </c>
      <c r="J382" s="5">
        <v>129301121563144</v>
      </c>
      <c r="K382" s="5">
        <v>141049288195573</v>
      </c>
      <c r="L382" s="5">
        <v>15143122644291</v>
      </c>
      <c r="M382" s="5">
        <v>167013603929648</v>
      </c>
      <c r="N382" s="5">
        <v>172115281534614</v>
      </c>
      <c r="O382" s="5">
        <v>192099110244207</v>
      </c>
      <c r="P382" s="5">
        <v>236671679005873</v>
      </c>
      <c r="Q382" s="5">
        <v>254213642688667</v>
      </c>
      <c r="R382" s="5">
        <v>270396394207804</v>
      </c>
      <c r="S382" s="5">
        <v>252778220043082</v>
      </c>
      <c r="T382" s="5">
        <v>253292766729833</v>
      </c>
      <c r="U382" s="5">
        <v>246492300882388</v>
      </c>
      <c r="V382" s="5">
        <v>266831394766121</v>
      </c>
      <c r="W382" s="5">
        <v>270701427782205</v>
      </c>
      <c r="X382" s="5">
        <v>279205986831341</v>
      </c>
      <c r="Y382" s="5">
        <v>287273997309348</v>
      </c>
      <c r="Z382" s="5">
        <v>277589965221141</v>
      </c>
      <c r="AA382" s="5">
        <v>273938329430738</v>
      </c>
      <c r="AB382" s="5">
        <v>23249885375201</v>
      </c>
      <c r="AC382" s="5">
        <v>228992840502235</v>
      </c>
      <c r="AD382" s="5">
        <v>233882435802672</v>
      </c>
      <c r="AE382" s="5">
        <v>247083837449119</v>
      </c>
      <c r="AF382" s="5">
        <v>228504412593098</v>
      </c>
      <c r="AG382" s="5">
        <v>220567627896124</v>
      </c>
      <c r="AH382" s="5">
        <v>215454506644003</v>
      </c>
      <c r="AI382" s="5">
        <v>20694977067716</v>
      </c>
      <c r="AJ382" s="5">
        <v>190891128345591</v>
      </c>
      <c r="AK382" s="5">
        <v>173920513618875</v>
      </c>
      <c r="AL382" s="5">
        <v>155155733659925</v>
      </c>
      <c r="AM382" s="5">
        <v>14016317224</v>
      </c>
      <c r="AN382" s="5">
        <v>201259544294642</v>
      </c>
      <c r="AO382" s="5">
        <v>218464767396506</v>
      </c>
      <c r="AP382" s="6">
        <v>3889188398734</v>
      </c>
      <c r="AQ382" s="6">
        <v>373012447016394</v>
      </c>
      <c r="AR382" s="6">
        <v>366859916085012</v>
      </c>
      <c r="AS382" s="6">
        <v>37368385427822</v>
      </c>
      <c r="AT382" s="6">
        <v>346809270266069</v>
      </c>
      <c r="AU382" s="6">
        <v>316660955934852</v>
      </c>
      <c r="AV382" s="6">
        <v>319429180890627</v>
      </c>
      <c r="AW382" s="6">
        <v>31732026808944</v>
      </c>
      <c r="AX382" s="6">
        <v>322481379532037</v>
      </c>
      <c r="AY382" s="6">
        <v>305423816182888</v>
      </c>
      <c r="AZ382" s="6">
        <v>30456374055258</v>
      </c>
      <c r="BA382" s="6">
        <v>289735073256136</v>
      </c>
      <c r="BB382" s="6">
        <v>284465435248286</v>
      </c>
      <c r="BC382" s="6">
        <v>309417506946278</v>
      </c>
      <c r="BD382" s="6">
        <v>328138670004903</v>
      </c>
      <c r="BE382" s="6">
        <v>327698770837548</v>
      </c>
      <c r="BF382" s="6">
        <v>335033601625906</v>
      </c>
      <c r="BG382" s="6">
        <v>299208549974191</v>
      </c>
      <c r="BH382" s="6">
        <v>304941579046084</v>
      </c>
      <c r="BI382" s="6">
        <v>290587682311958</v>
      </c>
      <c r="BJ382" s="6">
        <v>270331092658381</v>
      </c>
      <c r="BK382" s="6">
        <v>254484825306216</v>
      </c>
      <c r="BL382" s="6">
        <v>254974792187524</v>
      </c>
      <c r="BM382" s="6">
        <v>263348080329898</v>
      </c>
    </row>
    <row r="383" spans="1:65" x14ac:dyDescent="0.45">
      <c r="A383" s="1" t="s">
        <v>377</v>
      </c>
      <c r="B383" s="2">
        <v>4071032</v>
      </c>
      <c r="C383" s="3" t="s">
        <v>1359</v>
      </c>
      <c r="D383" s="3" t="s">
        <v>1360</v>
      </c>
      <c r="E383" s="3" t="s">
        <v>732</v>
      </c>
      <c r="F383" s="5">
        <v>106540448832</v>
      </c>
      <c r="G383" s="5">
        <v>113750813652</v>
      </c>
      <c r="H383" s="5">
        <v>1004760590358</v>
      </c>
      <c r="I383" s="5">
        <v>985941864952</v>
      </c>
      <c r="J383" s="5">
        <v>957770383822</v>
      </c>
      <c r="K383" s="5">
        <v>953283920328</v>
      </c>
      <c r="L383" s="5">
        <v>838093436106</v>
      </c>
      <c r="M383" s="5">
        <v>83918500965</v>
      </c>
      <c r="N383" s="5">
        <v>814710281688</v>
      </c>
      <c r="O383" s="5">
        <v>941994404582</v>
      </c>
      <c r="P383" s="5">
        <v>940243659485</v>
      </c>
      <c r="Q383" s="5">
        <v>101343843691944</v>
      </c>
      <c r="R383" s="5">
        <v>1206656390772</v>
      </c>
      <c r="S383" s="5">
        <v>1141202237056</v>
      </c>
      <c r="T383" s="5">
        <v>10824061648</v>
      </c>
      <c r="U383" s="5">
        <v>1122213943188</v>
      </c>
      <c r="V383" s="5">
        <v>1173646992648</v>
      </c>
      <c r="W383" s="5">
        <v>120699149259</v>
      </c>
      <c r="X383" s="5">
        <v>1111143427782</v>
      </c>
      <c r="Y383" s="5">
        <v>110098631682</v>
      </c>
      <c r="Z383" s="5">
        <v>1121453352471</v>
      </c>
      <c r="AA383" s="5">
        <v>109603380246737</v>
      </c>
      <c r="AB383" s="5">
        <v>105116440081848</v>
      </c>
      <c r="AC383" s="5">
        <v>938913142586186</v>
      </c>
      <c r="AD383" s="5">
        <v>102647283255</v>
      </c>
      <c r="AE383" s="5">
        <v>962590501158</v>
      </c>
      <c r="AF383" s="5">
        <v>875520871608</v>
      </c>
      <c r="AG383" s="5">
        <v>855277958208</v>
      </c>
      <c r="AH383" s="5">
        <v>825934862795</v>
      </c>
      <c r="AI383" s="5">
        <v>756170866401</v>
      </c>
      <c r="AJ383" s="5">
        <v>763975600542</v>
      </c>
      <c r="AK383" s="5">
        <v>819585874415</v>
      </c>
      <c r="AL383" s="5">
        <v>819432686919</v>
      </c>
      <c r="AM383" s="5">
        <v>702325161788068</v>
      </c>
      <c r="AN383" s="5">
        <v>837252671459954</v>
      </c>
      <c r="AO383" s="5">
        <v>898303600497173</v>
      </c>
      <c r="AP383" s="6">
        <v>597876199298775</v>
      </c>
      <c r="AQ383" s="6">
        <v>6099562138752</v>
      </c>
      <c r="AR383" s="6">
        <v>634445382652842</v>
      </c>
      <c r="AS383" s="6">
        <v>617259489504374</v>
      </c>
      <c r="AT383" s="6">
        <v>606348867646469</v>
      </c>
      <c r="AU383" s="6">
        <v>612110856026804</v>
      </c>
      <c r="AV383" s="6">
        <v>556614565769926</v>
      </c>
      <c r="AW383" s="6">
        <v>562840657769853</v>
      </c>
      <c r="AX383" s="6">
        <v>556523522698043</v>
      </c>
      <c r="AY383" s="6">
        <v>523465201176984</v>
      </c>
      <c r="AZ383" s="6">
        <v>539105033509479</v>
      </c>
      <c r="BA383" s="6">
        <v>515631427556771</v>
      </c>
      <c r="BB383" s="6">
        <v>471335010484907</v>
      </c>
      <c r="BC383" s="6">
        <v>512889289331443</v>
      </c>
      <c r="BD383" s="6">
        <v>513813049373101</v>
      </c>
      <c r="BE383" s="6">
        <v>511761072603669</v>
      </c>
      <c r="BF383" s="6">
        <v>4820192997676</v>
      </c>
      <c r="BG383" s="6">
        <v>4341778242282</v>
      </c>
      <c r="BH383" s="6">
        <v>433684324858063</v>
      </c>
      <c r="BI383" s="6">
        <v>404571164718497</v>
      </c>
      <c r="BJ383" s="6">
        <v>424943536050947</v>
      </c>
      <c r="BK383" s="6">
        <v>424118940947567</v>
      </c>
      <c r="BL383" s="6">
        <v>424134850407969</v>
      </c>
      <c r="BM383" s="6">
        <v>452270566448251</v>
      </c>
    </row>
    <row r="384" spans="1:65" x14ac:dyDescent="0.45">
      <c r="A384" s="1" t="s">
        <v>378</v>
      </c>
      <c r="B384" s="2">
        <v>100447</v>
      </c>
      <c r="C384" s="3" t="s">
        <v>1361</v>
      </c>
      <c r="D384" s="3" t="s">
        <v>1362</v>
      </c>
      <c r="E384" s="3" t="s">
        <v>565</v>
      </c>
      <c r="F384" s="5">
        <v>266333411176506</v>
      </c>
      <c r="G384" s="5">
        <v>283483276296919</v>
      </c>
      <c r="H384" s="5">
        <v>274604062289214</v>
      </c>
      <c r="I384" s="5">
        <v>227975608985616</v>
      </c>
      <c r="J384" s="5">
        <v>249483830270177</v>
      </c>
      <c r="K384" s="5">
        <v>256038119497981</v>
      </c>
      <c r="L384" s="5">
        <v>216503955694719</v>
      </c>
      <c r="M384" s="5">
        <v>248052144441001</v>
      </c>
      <c r="N384" s="5">
        <v>233293760568399</v>
      </c>
      <c r="O384" s="5">
        <v>287089862736267</v>
      </c>
      <c r="P384" s="5">
        <v>278161264358327</v>
      </c>
      <c r="Q384" s="5">
        <v>30877824130272</v>
      </c>
      <c r="R384" s="5">
        <v>298992890591577</v>
      </c>
      <c r="S384" s="5">
        <v>288606404173498</v>
      </c>
      <c r="T384" s="5">
        <v>311611265232649</v>
      </c>
      <c r="U384" s="5">
        <v>267260104278628</v>
      </c>
      <c r="V384" s="5">
        <v>270382815253781</v>
      </c>
      <c r="W384" s="5">
        <v>252334021213883</v>
      </c>
      <c r="X384" s="5">
        <v>241333625425629</v>
      </c>
      <c r="Y384" s="5">
        <v>248192095669685</v>
      </c>
      <c r="Z384" s="5">
        <v>242699252309167</v>
      </c>
      <c r="AA384" s="5">
        <v>251796432175376</v>
      </c>
      <c r="AB384" s="5">
        <v>211579811288826</v>
      </c>
      <c r="AC384" s="5">
        <v>20365109984814</v>
      </c>
      <c r="AD384" s="5">
        <v>209906337779168</v>
      </c>
      <c r="AE384" s="5">
        <v>208046973975301</v>
      </c>
      <c r="AF384" s="5">
        <v>178311328524825</v>
      </c>
      <c r="AG384" s="5">
        <v>17804314526281</v>
      </c>
      <c r="AH384" s="5">
        <v>200707931994763</v>
      </c>
      <c r="AI384" s="5">
        <v>190010993105428</v>
      </c>
      <c r="AJ384" s="5">
        <v>198751638801867</v>
      </c>
      <c r="AK384" s="5">
        <v>192990077501928</v>
      </c>
      <c r="AL384" s="5">
        <v>20281439107681</v>
      </c>
      <c r="AM384" s="5">
        <v>171769962674856</v>
      </c>
      <c r="AN384" s="5">
        <v>219452838990946</v>
      </c>
      <c r="AO384" s="5">
        <v>243804841019362</v>
      </c>
      <c r="AP384" s="6">
        <v>253707276443704</v>
      </c>
      <c r="AQ384" s="6">
        <v>262052903526927</v>
      </c>
      <c r="AR384" s="6">
        <v>242753782271761</v>
      </c>
      <c r="AS384" s="6">
        <v>246821916149566</v>
      </c>
      <c r="AT384" s="6">
        <v>236921186294554</v>
      </c>
      <c r="AU384" s="6">
        <v>239995806965215</v>
      </c>
      <c r="AV384" s="6">
        <v>227993393775827</v>
      </c>
      <c r="AW384" s="6">
        <v>214560516491834</v>
      </c>
      <c r="AX384" s="6">
        <v>226883382897938</v>
      </c>
      <c r="AY384" s="6">
        <v>211158080315186</v>
      </c>
      <c r="AZ384" s="6">
        <v>20835517686818</v>
      </c>
      <c r="BA384" s="6">
        <v>19426717098</v>
      </c>
      <c r="BB384" s="6">
        <v>19404538917689</v>
      </c>
      <c r="BC384" s="6">
        <v>211185933406249</v>
      </c>
      <c r="BD384" s="6">
        <v>206218611069942</v>
      </c>
      <c r="BE384" s="6">
        <v>228529285127119</v>
      </c>
      <c r="BF384" s="6">
        <v>242799737466322</v>
      </c>
      <c r="BG384" s="6">
        <v>247455927463636</v>
      </c>
      <c r="BH384" s="6">
        <v>240928594931073</v>
      </c>
      <c r="BI384" s="6">
        <v>252166668149315</v>
      </c>
      <c r="BJ384" s="6">
        <v>228252660851899</v>
      </c>
      <c r="BK384" s="6">
        <v>214759509565346</v>
      </c>
      <c r="BL384" s="6">
        <v>224023868327259</v>
      </c>
      <c r="BM384" s="6">
        <v>219951164007</v>
      </c>
    </row>
    <row r="385" spans="1:65" x14ac:dyDescent="0.45">
      <c r="A385" s="1" t="s">
        <v>379</v>
      </c>
      <c r="B385" s="2">
        <v>4120616</v>
      </c>
      <c r="C385" s="3" t="s">
        <v>1363</v>
      </c>
      <c r="D385" s="3" t="s">
        <v>1364</v>
      </c>
      <c r="E385" s="3" t="s">
        <v>1222</v>
      </c>
      <c r="F385" s="5">
        <v>16050367755107</v>
      </c>
      <c r="G385" s="5">
        <v>176942483002877</v>
      </c>
      <c r="H385" s="5">
        <v>166990821649359</v>
      </c>
      <c r="I385" s="5">
        <v>132127646007565</v>
      </c>
      <c r="J385" s="5">
        <v>146356816447614</v>
      </c>
      <c r="K385" s="5">
        <v>144071523377084</v>
      </c>
      <c r="L385" s="5">
        <v>119401319983327</v>
      </c>
      <c r="M385" s="5">
        <v>150164599222816</v>
      </c>
      <c r="N385" s="5">
        <v>153533615916954</v>
      </c>
      <c r="O385" s="5">
        <v>142335295786819</v>
      </c>
      <c r="P385" s="5">
        <v>120234373674514</v>
      </c>
      <c r="Q385" s="5">
        <v>983688117388186</v>
      </c>
      <c r="R385" s="5">
        <v>108311009787631</v>
      </c>
      <c r="S385" s="5">
        <v>105287424768906</v>
      </c>
      <c r="T385" s="5">
        <v>116642886920959</v>
      </c>
      <c r="U385" s="5">
        <v>102988811186004</v>
      </c>
      <c r="V385" s="5">
        <v>116707272604212</v>
      </c>
      <c r="W385" s="5">
        <v>110897828171321</v>
      </c>
      <c r="X385" s="5">
        <v>106172672224278</v>
      </c>
      <c r="Y385" s="5">
        <v>108194407266371</v>
      </c>
      <c r="Z385" s="5">
        <v>952029016861822</v>
      </c>
      <c r="AA385" s="5">
        <v>913469602398912</v>
      </c>
      <c r="AB385" s="5">
        <v>722942768825739</v>
      </c>
      <c r="AC385" s="5">
        <v>593898826623412</v>
      </c>
      <c r="AD385" s="5">
        <v>634070391853882</v>
      </c>
      <c r="AE385" s="5">
        <v>637345419552478</v>
      </c>
      <c r="AF385" s="5">
        <v>568258216919124</v>
      </c>
      <c r="AG385" s="5">
        <v>51289692981154</v>
      </c>
      <c r="AH385" s="5">
        <v>519463930251924</v>
      </c>
      <c r="AI385" s="5">
        <v>487332641862709</v>
      </c>
      <c r="AJ385" s="5">
        <v>487625024541331</v>
      </c>
      <c r="AK385" s="5">
        <v>502498576203568</v>
      </c>
      <c r="AL385" s="5">
        <v>471832448925361</v>
      </c>
      <c r="AM385" s="5">
        <v>43623411279812</v>
      </c>
      <c r="AN385" s="5">
        <v>517114816046789</v>
      </c>
      <c r="AO385" s="5">
        <v>580681515036744</v>
      </c>
      <c r="AP385" s="6">
        <v>123658536097834</v>
      </c>
      <c r="AQ385" s="6">
        <v>124837216212589</v>
      </c>
      <c r="AR385" s="6">
        <v>122193853708265</v>
      </c>
      <c r="AS385" s="6">
        <v>130097452996713</v>
      </c>
      <c r="AT385" s="6">
        <v>135799150787458</v>
      </c>
      <c r="AU385" s="6">
        <v>124591149335182</v>
      </c>
      <c r="AV385" s="6">
        <v>112282840115762</v>
      </c>
      <c r="AW385" s="6">
        <v>109189300461689</v>
      </c>
      <c r="AX385" s="6">
        <v>914028790978695</v>
      </c>
      <c r="AY385" s="6">
        <v>889310414436246</v>
      </c>
      <c r="AZ385" s="6">
        <v>810402747896363</v>
      </c>
      <c r="BA385" s="6">
        <v>981116175713625</v>
      </c>
      <c r="BB385" s="6">
        <v>95729393221847</v>
      </c>
      <c r="BC385" s="6">
        <v>103132336869408</v>
      </c>
      <c r="BD385" s="6">
        <v>12117901290887</v>
      </c>
      <c r="BE385" s="6">
        <v>126406220356375</v>
      </c>
      <c r="BF385" s="6">
        <v>12246182304581</v>
      </c>
      <c r="BG385" s="6">
        <v>10993027215423</v>
      </c>
      <c r="BH385" s="6">
        <v>1160343419928</v>
      </c>
      <c r="BI385" s="6">
        <v>1099546561008</v>
      </c>
      <c r="BJ385" s="6">
        <v>926985645937491</v>
      </c>
      <c r="BK385" s="6">
        <v>892578599080575</v>
      </c>
      <c r="BL385" s="6">
        <v>102848179024691</v>
      </c>
      <c r="BM385" s="6">
        <v>1161371298265</v>
      </c>
    </row>
    <row r="386" spans="1:65" x14ac:dyDescent="0.45">
      <c r="A386" s="1" t="s">
        <v>380</v>
      </c>
      <c r="B386" s="2">
        <v>4810920</v>
      </c>
      <c r="C386" s="3" t="s">
        <v>1365</v>
      </c>
      <c r="D386" s="3" t="s">
        <v>1366</v>
      </c>
      <c r="E386" s="3" t="s">
        <v>495</v>
      </c>
      <c r="F386" s="5">
        <v>172508470230806</v>
      </c>
      <c r="G386" s="5">
        <v>179793194969263</v>
      </c>
      <c r="H386" s="5">
        <v>174555703469244</v>
      </c>
      <c r="I386" s="5">
        <v>169597167695438</v>
      </c>
      <c r="J386" s="5">
        <v>199979472710071</v>
      </c>
      <c r="K386" s="5">
        <v>221404310388451</v>
      </c>
      <c r="L386" s="5">
        <v>197360913604958</v>
      </c>
      <c r="M386" s="5">
        <v>212875494782714</v>
      </c>
      <c r="N386" s="5">
        <v>212871482033282</v>
      </c>
      <c r="O386" s="5">
        <v>217918202507942</v>
      </c>
      <c r="P386" s="5">
        <v>2139918603888</v>
      </c>
      <c r="Q386" s="5">
        <v>200390403200486</v>
      </c>
      <c r="R386" s="5">
        <v>214079644275598</v>
      </c>
      <c r="S386" s="5">
        <v>193924412235276</v>
      </c>
      <c r="T386" s="5">
        <v>201651079310052</v>
      </c>
      <c r="U386" s="5">
        <v>175827910801417</v>
      </c>
      <c r="V386" s="5">
        <v>181717367430162</v>
      </c>
      <c r="W386" s="5">
        <v>183133200187782</v>
      </c>
      <c r="X386" s="5">
        <v>173426500719482</v>
      </c>
      <c r="Y386" s="5">
        <v>133689394068732</v>
      </c>
      <c r="Z386" s="5">
        <v>149725902029063</v>
      </c>
      <c r="AA386" s="5">
        <v>138517459002346</v>
      </c>
      <c r="AB386" s="5">
        <v>123310942230786</v>
      </c>
      <c r="AC386" s="5">
        <v>131563358430855</v>
      </c>
      <c r="AD386" s="5">
        <v>132208651394937</v>
      </c>
      <c r="AE386" s="5">
        <v>13836211375913</v>
      </c>
      <c r="AF386" s="5">
        <v>129320469529811</v>
      </c>
      <c r="AG386" s="5">
        <v>127616570948826</v>
      </c>
      <c r="AH386" s="5">
        <v>113578944140826</v>
      </c>
      <c r="AI386" s="5">
        <v>114629373274494</v>
      </c>
      <c r="AJ386" s="5">
        <v>115828500499508</v>
      </c>
      <c r="AK386" s="5">
        <v>126713443059968</v>
      </c>
      <c r="AL386" s="5">
        <v>110476935316193</v>
      </c>
      <c r="AM386" s="5">
        <v>108028762171967</v>
      </c>
      <c r="AN386" s="5">
        <v>122328649601711</v>
      </c>
      <c r="AO386" s="5">
        <v>115239227746137</v>
      </c>
      <c r="AP386" s="6">
        <v>663155225040871</v>
      </c>
      <c r="AQ386" s="6">
        <v>673430985679978</v>
      </c>
      <c r="AR386" s="6">
        <v>667736258929311</v>
      </c>
      <c r="AS386" s="6">
        <v>687638213715668</v>
      </c>
      <c r="AT386" s="6">
        <v>538559655440688</v>
      </c>
      <c r="AU386" s="6">
        <v>806305372170277</v>
      </c>
      <c r="AV386" s="6">
        <v>809024497326942</v>
      </c>
      <c r="AW386" s="6">
        <v>743362436698308</v>
      </c>
      <c r="AX386" s="6">
        <v>835164944536072</v>
      </c>
      <c r="AY386" s="6">
        <v>839445454945449</v>
      </c>
      <c r="AZ386" s="6">
        <v>889676141958095</v>
      </c>
      <c r="BA386" s="6">
        <v>979331648832936</v>
      </c>
      <c r="BB386" s="6">
        <v>8542388905182</v>
      </c>
      <c r="BC386" s="6">
        <v>996404863783219</v>
      </c>
      <c r="BD386" s="6">
        <v>108266148073316</v>
      </c>
      <c r="BE386" s="6">
        <v>125315212419924</v>
      </c>
      <c r="BF386" s="6">
        <v>12578500082279</v>
      </c>
      <c r="BG386" s="6">
        <v>115887037881484</v>
      </c>
      <c r="BH386" s="6">
        <v>115228226021471</v>
      </c>
      <c r="BI386" s="6">
        <v>107927738441852</v>
      </c>
      <c r="BJ386" s="6">
        <v>126864741375692</v>
      </c>
      <c r="BK386" s="6">
        <v>121879691865955</v>
      </c>
      <c r="BL386" s="6">
        <v>118782558266217</v>
      </c>
      <c r="BM386" s="6">
        <v>107537792622631</v>
      </c>
    </row>
    <row r="387" spans="1:65" x14ac:dyDescent="0.45">
      <c r="A387" s="1" t="s">
        <v>381</v>
      </c>
      <c r="B387" s="2">
        <v>4321488</v>
      </c>
      <c r="C387" s="3" t="s">
        <v>1367</v>
      </c>
      <c r="D387" s="3" t="s">
        <v>1368</v>
      </c>
      <c r="E387" s="3" t="s">
        <v>495</v>
      </c>
      <c r="F387" s="5">
        <v>865731473073702</v>
      </c>
      <c r="G387" s="5">
        <v>858290935181675</v>
      </c>
      <c r="H387" s="5">
        <v>877062451401109</v>
      </c>
      <c r="I387" s="5">
        <v>781422522939462</v>
      </c>
      <c r="J387" s="5">
        <v>770802258682145</v>
      </c>
      <c r="K387" s="5">
        <v>79616900341872</v>
      </c>
      <c r="L387" s="5">
        <v>71961374439167</v>
      </c>
      <c r="M387" s="5">
        <v>82655954513496</v>
      </c>
      <c r="N387" s="5">
        <v>864674854883549</v>
      </c>
      <c r="O387" s="5">
        <v>909004967624506</v>
      </c>
      <c r="P387" s="5">
        <v>885392030182381</v>
      </c>
      <c r="Q387" s="5">
        <v>835431989483203</v>
      </c>
      <c r="R387" s="5">
        <v>887051113634589</v>
      </c>
      <c r="S387" s="5">
        <v>791970536072383</v>
      </c>
      <c r="T387" s="5">
        <v>867688476027314</v>
      </c>
      <c r="U387" s="5">
        <v>858035867333675</v>
      </c>
      <c r="V387" s="5">
        <v>885267889700006</v>
      </c>
      <c r="W387" s="5">
        <v>861297010977782</v>
      </c>
      <c r="X387" s="5">
        <v>825289867773942</v>
      </c>
      <c r="Y387" s="5">
        <v>789094769720093</v>
      </c>
      <c r="Z387" s="5">
        <v>822532212791533</v>
      </c>
      <c r="AA387" s="5">
        <v>780986897152946</v>
      </c>
      <c r="AB387" s="5">
        <v>754596207664545</v>
      </c>
      <c r="AC387" s="5">
        <v>68419467618721</v>
      </c>
      <c r="AD387" s="5">
        <v>752784595683714</v>
      </c>
      <c r="AE387" s="5">
        <v>733865715689575</v>
      </c>
      <c r="AF387" s="5">
        <v>65109307396812</v>
      </c>
      <c r="AG387" s="5">
        <v>666504597397962</v>
      </c>
      <c r="AH387" s="5">
        <v>622607350717629</v>
      </c>
      <c r="AI387" s="5">
        <v>613355255633457</v>
      </c>
      <c r="AJ387" s="5">
        <v>601044132889818</v>
      </c>
      <c r="AK387" s="5">
        <v>660888099582374</v>
      </c>
      <c r="AL387" s="5">
        <v>638765963845123</v>
      </c>
      <c r="AM387" s="5">
        <v>567886839378859</v>
      </c>
      <c r="AN387" s="5">
        <v>649151787720306</v>
      </c>
      <c r="AO387" s="5">
        <v>7115524416</v>
      </c>
      <c r="AP387" s="6">
        <v>846961367293921</v>
      </c>
      <c r="AQ387" s="6">
        <v>77179495788396</v>
      </c>
      <c r="AR387" s="6">
        <v>811921614858533</v>
      </c>
      <c r="AS387" s="6">
        <v>857561974463388</v>
      </c>
      <c r="AT387" s="6">
        <v>764458931457614</v>
      </c>
      <c r="AU387" s="6">
        <v>812748722131201</v>
      </c>
      <c r="AV387" s="6">
        <v>802079333895663</v>
      </c>
      <c r="AW387" s="6">
        <v>802097420480927</v>
      </c>
      <c r="AX387" s="6">
        <v>833045052767813</v>
      </c>
      <c r="AY387" s="6">
        <v>860643805638375</v>
      </c>
      <c r="AZ387" s="6">
        <v>810167183251308</v>
      </c>
      <c r="BA387" s="6">
        <v>860907288632985</v>
      </c>
      <c r="BB387" s="6">
        <v>721322691428526</v>
      </c>
      <c r="BC387" s="6">
        <v>903771507678912</v>
      </c>
      <c r="BD387" s="6">
        <v>102968495505681</v>
      </c>
      <c r="BE387" s="6">
        <v>109319259727759</v>
      </c>
      <c r="BF387" s="6">
        <v>107011317270169</v>
      </c>
      <c r="BG387" s="6">
        <v>957776637059002</v>
      </c>
      <c r="BH387" s="6">
        <v>930969092887817</v>
      </c>
      <c r="BI387" s="6">
        <v>915431798154389</v>
      </c>
      <c r="BJ387" s="6">
        <v>851269128450279</v>
      </c>
      <c r="BK387" s="6">
        <v>7829988856008</v>
      </c>
      <c r="BL387" s="6">
        <v>80022623427747</v>
      </c>
      <c r="BM387" s="6">
        <v>83206691443104</v>
      </c>
    </row>
    <row r="388" spans="1:65" x14ac:dyDescent="0.45">
      <c r="A388" s="1" t="s">
        <v>382</v>
      </c>
      <c r="B388" s="2">
        <v>4276821</v>
      </c>
      <c r="C388" s="3" t="s">
        <v>1369</v>
      </c>
      <c r="D388" s="3" t="s">
        <v>1370</v>
      </c>
      <c r="E388" s="3" t="s">
        <v>586</v>
      </c>
      <c r="F388" s="5">
        <v>406558743771942</v>
      </c>
      <c r="G388" s="5">
        <v>463054247406547</v>
      </c>
      <c r="H388" s="5">
        <v>368399442802731</v>
      </c>
      <c r="I388" s="5">
        <v>293982991619705</v>
      </c>
      <c r="J388" s="5">
        <v>338255740650335</v>
      </c>
      <c r="K388" s="5">
        <v>274854180259969</v>
      </c>
      <c r="L388" s="5">
        <v>200354352862113</v>
      </c>
      <c r="M388" s="5">
        <v>24220227599444</v>
      </c>
      <c r="N388" s="5">
        <v>207192027065784</v>
      </c>
      <c r="O388" s="5">
        <v>176710649919602</v>
      </c>
      <c r="P388" s="5">
        <v>180408415156242</v>
      </c>
      <c r="Q388" s="5">
        <v>184773186737741</v>
      </c>
      <c r="R388" s="5">
        <v>197383698942723</v>
      </c>
      <c r="S388" s="5">
        <v>187601888120544</v>
      </c>
      <c r="T388" s="5">
        <v>154833497253675</v>
      </c>
      <c r="U388" s="5">
        <v>159626053514974</v>
      </c>
      <c r="V388" s="5">
        <v>156611327173661</v>
      </c>
      <c r="W388" s="5">
        <v>160128033730164</v>
      </c>
      <c r="X388" s="5">
        <v>148159232547164</v>
      </c>
      <c r="Y388" s="5">
        <v>142333683068529</v>
      </c>
      <c r="Z388" s="5">
        <v>153339282277517</v>
      </c>
      <c r="AA388" s="5">
        <v>16831018105272</v>
      </c>
      <c r="AB388" s="5">
        <v>136395010992045</v>
      </c>
      <c r="AC388" s="5">
        <v>13224016284384</v>
      </c>
      <c r="AD388" s="5">
        <v>13402276260024</v>
      </c>
      <c r="AE388" s="5">
        <v>12222294642973</v>
      </c>
      <c r="AF388" s="5">
        <v>102231305955939</v>
      </c>
      <c r="AG388" s="5">
        <v>117890079171744</v>
      </c>
      <c r="AH388" s="5">
        <v>120142221287204</v>
      </c>
      <c r="AI388" s="5">
        <v>133011851159296</v>
      </c>
      <c r="AJ388" s="5">
        <v>130989619861268</v>
      </c>
      <c r="AK388" s="5">
        <v>121247009621892</v>
      </c>
      <c r="AL388" s="5">
        <v>108674450699694</v>
      </c>
      <c r="AM388" s="5">
        <v>9926440631744</v>
      </c>
      <c r="AN388" s="5">
        <v>118298528463175</v>
      </c>
      <c r="AO388" s="5">
        <v>126314680521744</v>
      </c>
      <c r="AP388" s="6">
        <v>578936676351467</v>
      </c>
      <c r="AQ388" s="6">
        <v>574939255235602</v>
      </c>
      <c r="AR388" s="6">
        <v>490026232107408</v>
      </c>
      <c r="AS388" s="6">
        <v>500950905657902</v>
      </c>
      <c r="AT388" s="6">
        <v>497239556675411</v>
      </c>
      <c r="AU388" s="6">
        <v>397727303056704</v>
      </c>
      <c r="AV388" s="6">
        <v>389952463436372</v>
      </c>
      <c r="AW388" s="6">
        <v>369760475398568</v>
      </c>
      <c r="AX388" s="6">
        <v>356204457923811</v>
      </c>
      <c r="AY388" s="6">
        <v>369238451747636</v>
      </c>
      <c r="AZ388" s="6">
        <v>332852523847379</v>
      </c>
      <c r="BA388" s="6">
        <v>33255933685587</v>
      </c>
      <c r="BB388" s="6">
        <v>301218041969706</v>
      </c>
      <c r="BC388" s="6">
        <v>327042887725148</v>
      </c>
      <c r="BD388" s="6">
        <v>388905506433226</v>
      </c>
      <c r="BE388" s="6">
        <v>399618022788065</v>
      </c>
      <c r="BF388" s="6">
        <v>396769953387937</v>
      </c>
      <c r="BG388" s="6">
        <v>367548820955874</v>
      </c>
      <c r="BH388" s="6">
        <v>347830252521069</v>
      </c>
      <c r="BI388" s="6">
        <v>333303932430986</v>
      </c>
      <c r="BJ388" s="6">
        <v>323963601079932</v>
      </c>
      <c r="BK388" s="6">
        <v>304206791915008</v>
      </c>
      <c r="BL388" s="6">
        <v>335714762246327</v>
      </c>
      <c r="BM388" s="6">
        <v>328694891113893</v>
      </c>
    </row>
    <row r="389" spans="1:65" x14ac:dyDescent="0.45">
      <c r="A389" s="1" t="s">
        <v>383</v>
      </c>
      <c r="B389" s="2">
        <v>4389036</v>
      </c>
      <c r="C389" s="3" t="s">
        <v>1371</v>
      </c>
      <c r="D389" s="3" t="s">
        <v>1372</v>
      </c>
      <c r="E389" s="3" t="s">
        <v>692</v>
      </c>
      <c r="F389" s="5">
        <v>138528432419417</v>
      </c>
      <c r="G389" s="5">
        <v>164183270542535</v>
      </c>
      <c r="H389" s="5">
        <v>162022933406104</v>
      </c>
      <c r="I389" s="5">
        <v>138496864956621</v>
      </c>
      <c r="J389" s="5">
        <v>156655870514619</v>
      </c>
      <c r="K389" s="5">
        <v>158131580307228</v>
      </c>
      <c r="L389" s="5">
        <v>132499822308999</v>
      </c>
      <c r="M389" s="5">
        <v>173138930723791</v>
      </c>
      <c r="N389" s="5">
        <v>175165070880313</v>
      </c>
      <c r="O389" s="5">
        <v>163345548205978</v>
      </c>
      <c r="P389" s="5">
        <v>198581585999503</v>
      </c>
      <c r="Q389" s="5">
        <v>208091755814783</v>
      </c>
      <c r="R389" s="5">
        <v>223230996872517</v>
      </c>
      <c r="S389" s="5">
        <v>217468144307628</v>
      </c>
      <c r="T389" s="5">
        <v>219833792497229</v>
      </c>
      <c r="U389" s="5">
        <v>24026299099281</v>
      </c>
      <c r="V389" s="5">
        <v>240117922809912</v>
      </c>
      <c r="W389" s="5">
        <v>225816538021318</v>
      </c>
      <c r="X389" s="5">
        <v>238000530860015</v>
      </c>
      <c r="Y389" s="5">
        <v>226241398964095</v>
      </c>
      <c r="Z389" s="5">
        <v>211475517348955</v>
      </c>
      <c r="AA389" s="5">
        <v>202270203309876</v>
      </c>
      <c r="AB389" s="5">
        <v>186661291016811</v>
      </c>
      <c r="AC389" s="5">
        <v>1618898808</v>
      </c>
      <c r="AD389" s="5">
        <v>165653514178045</v>
      </c>
      <c r="AE389" s="5">
        <v>148833433796326</v>
      </c>
      <c r="AF389" s="5">
        <v>125338209331308</v>
      </c>
      <c r="AG389" s="5">
        <v>130097813320101</v>
      </c>
      <c r="AH389" s="5">
        <v>121149975648642</v>
      </c>
      <c r="AI389" s="5">
        <v>109200066919664</v>
      </c>
      <c r="AJ389" s="5">
        <v>114940102759086</v>
      </c>
      <c r="AK389" s="5">
        <v>106951705098502</v>
      </c>
      <c r="AL389" s="5">
        <v>105592973369452</v>
      </c>
      <c r="AM389" s="5">
        <v>89824664703865</v>
      </c>
      <c r="AN389" s="5">
        <v>162329835445061</v>
      </c>
      <c r="AO389" s="5">
        <v>18005109738</v>
      </c>
      <c r="AP389" s="6">
        <v>285651450240872</v>
      </c>
      <c r="AQ389" s="6">
        <v>281438983072567</v>
      </c>
      <c r="AR389" s="6">
        <v>269044501328298</v>
      </c>
      <c r="AS389" s="6">
        <v>286951313665746</v>
      </c>
      <c r="AT389" s="6">
        <v>278495583725465</v>
      </c>
      <c r="AU389" s="6">
        <v>278778239005266</v>
      </c>
      <c r="AV389" s="6">
        <v>283917472344713</v>
      </c>
      <c r="AW389" s="6">
        <v>254879494038721</v>
      </c>
      <c r="AX389" s="6">
        <v>287574605219974</v>
      </c>
      <c r="AY389" s="6">
        <v>243371002875412</v>
      </c>
      <c r="AZ389" s="6">
        <v>244257217636874</v>
      </c>
      <c r="BA389" s="6">
        <v>239466225953979</v>
      </c>
      <c r="BB389" s="6">
        <v>22659193884228</v>
      </c>
      <c r="BC389" s="6">
        <v>23307299683584</v>
      </c>
      <c r="BD389" s="6">
        <v>229746137877895</v>
      </c>
      <c r="BE389" s="6">
        <v>263718282109577</v>
      </c>
      <c r="BF389" s="6">
        <v>275220797094768</v>
      </c>
      <c r="BG389" s="6">
        <v>278612154358881</v>
      </c>
      <c r="BH389" s="6">
        <v>270273800358321</v>
      </c>
      <c r="BI389" s="6">
        <v>279532491423836</v>
      </c>
      <c r="BJ389" s="6">
        <v>266061361854097</v>
      </c>
      <c r="BK389" s="6">
        <v>285727495769122</v>
      </c>
      <c r="BL389" s="6">
        <v>296526030067613</v>
      </c>
      <c r="BM389" s="6">
        <v>289477869655851</v>
      </c>
    </row>
    <row r="390" spans="1:65" x14ac:dyDescent="0.45">
      <c r="A390" s="1" t="s">
        <v>384</v>
      </c>
      <c r="B390" s="2">
        <v>4089979</v>
      </c>
      <c r="C390" s="3" t="s">
        <v>1373</v>
      </c>
      <c r="D390" s="3" t="s">
        <v>1374</v>
      </c>
      <c r="E390" s="3" t="s">
        <v>504</v>
      </c>
      <c r="F390" s="5">
        <v>455361079906737</v>
      </c>
      <c r="G390" s="5">
        <v>5016976405275</v>
      </c>
      <c r="H390" s="5">
        <v>452397103018654</v>
      </c>
      <c r="I390" s="5">
        <v>476409204106077</v>
      </c>
      <c r="J390" s="5">
        <v>525347195297987</v>
      </c>
      <c r="K390" s="5">
        <v>55114721803953</v>
      </c>
      <c r="L390" s="5">
        <v>444408280167356</v>
      </c>
      <c r="M390" s="5">
        <v>455126752544537</v>
      </c>
      <c r="N390" s="5">
        <v>416635240968552</v>
      </c>
      <c r="O390" s="5">
        <v>459310931150139</v>
      </c>
      <c r="P390" s="5">
        <v>425895055553325</v>
      </c>
      <c r="Q390" s="5">
        <v>425353162512384</v>
      </c>
      <c r="R390" s="5">
        <v>497174041793088</v>
      </c>
      <c r="S390" s="5">
        <v>461374511819408</v>
      </c>
      <c r="T390" s="5">
        <v>439412382812123</v>
      </c>
      <c r="U390" s="5">
        <v>393961810134308</v>
      </c>
      <c r="V390" s="5">
        <v>429255186986469</v>
      </c>
      <c r="W390" s="5">
        <v>370414592862953</v>
      </c>
      <c r="X390" s="5">
        <v>354891188817266</v>
      </c>
      <c r="Y390" s="5">
        <v>318402418388969</v>
      </c>
      <c r="Z390" s="5">
        <v>312945490325124</v>
      </c>
      <c r="AA390" s="5">
        <v>321672788124667</v>
      </c>
      <c r="AB390" s="5">
        <v>308808691541475</v>
      </c>
      <c r="AC390" s="5">
        <v>322041142892559</v>
      </c>
      <c r="AD390" s="5">
        <v>324319781469639</v>
      </c>
      <c r="AE390" s="5">
        <v>288877236798832</v>
      </c>
      <c r="AF390" s="5">
        <v>278502832020663</v>
      </c>
      <c r="AG390" s="5">
        <v>276548296263266</v>
      </c>
      <c r="AH390" s="5">
        <v>280937368753731</v>
      </c>
      <c r="AI390" s="5">
        <v>253929186840789</v>
      </c>
      <c r="AJ390" s="5">
        <v>26128214782839</v>
      </c>
      <c r="AK390" s="5">
        <v>245376268925413</v>
      </c>
      <c r="AL390" s="5">
        <v>215761314172589</v>
      </c>
      <c r="AM390" s="5">
        <v>17606455558146</v>
      </c>
      <c r="AN390" s="5">
        <v>188414501917879</v>
      </c>
      <c r="AO390" s="5">
        <v>200292705350555</v>
      </c>
      <c r="AP390" s="6">
        <v>112620496002599</v>
      </c>
      <c r="AQ390" s="6">
        <v>113199762431393</v>
      </c>
      <c r="AR390" s="6">
        <v>10783647441929</v>
      </c>
      <c r="AS390" s="6">
        <v>107426891670007</v>
      </c>
      <c r="AT390" s="6">
        <v>102069316802394</v>
      </c>
      <c r="AU390" s="6">
        <v>952100251153128</v>
      </c>
      <c r="AV390" s="6">
        <v>872125537725842</v>
      </c>
      <c r="AW390" s="6">
        <v>766529990228772</v>
      </c>
      <c r="AX390" s="6">
        <v>803704847679195</v>
      </c>
      <c r="AY390" s="6">
        <v>76492180355382</v>
      </c>
      <c r="AZ390" s="6">
        <v>750497925853217</v>
      </c>
      <c r="BA390" s="6">
        <v>706227088535442</v>
      </c>
      <c r="BB390" s="6">
        <v>652508465958037</v>
      </c>
      <c r="BC390" s="6">
        <v>715625681477299</v>
      </c>
      <c r="BD390" s="6">
        <v>705349716811416</v>
      </c>
      <c r="BE390" s="6">
        <v>762498214441522</v>
      </c>
      <c r="BF390" s="6">
        <v>734062259471084</v>
      </c>
      <c r="BG390" s="6">
        <v>67053599946261</v>
      </c>
      <c r="BH390" s="6">
        <v>610167843459474</v>
      </c>
      <c r="BI390" s="6">
        <v>617956722272358</v>
      </c>
      <c r="BJ390" s="6">
        <v>553129817691733</v>
      </c>
      <c r="BK390" s="6">
        <v>543344005308354</v>
      </c>
      <c r="BL390" s="6">
        <v>543633205747905</v>
      </c>
      <c r="BM390" s="6">
        <v>543881286141436</v>
      </c>
    </row>
    <row r="391" spans="1:65" x14ac:dyDescent="0.45">
      <c r="A391" s="1" t="s">
        <v>385</v>
      </c>
      <c r="B391" s="2">
        <v>4064204</v>
      </c>
      <c r="C391" s="3" t="s">
        <v>1375</v>
      </c>
      <c r="D391" s="3" t="s">
        <v>1376</v>
      </c>
      <c r="E391" s="3" t="s">
        <v>1377</v>
      </c>
      <c r="F391" s="5">
        <v>362512424982784</v>
      </c>
      <c r="G391" s="5">
        <v>425120927764299</v>
      </c>
      <c r="H391" s="5">
        <v>443039519876579</v>
      </c>
      <c r="I391" s="5">
        <v>364956461881299</v>
      </c>
      <c r="J391" s="5">
        <v>413169444154096</v>
      </c>
      <c r="K391" s="5">
        <v>424067086415434</v>
      </c>
      <c r="L391" s="5">
        <v>412846523507562</v>
      </c>
      <c r="M391" s="5">
        <v>399756011133193</v>
      </c>
      <c r="N391" s="5">
        <v>41160064491439</v>
      </c>
      <c r="O391" s="5">
        <v>372980635091271</v>
      </c>
      <c r="P391" s="5">
        <v>393589192988732</v>
      </c>
      <c r="Q391" s="5">
        <v>357692224138258</v>
      </c>
      <c r="R391" s="5">
        <v>354086686445121</v>
      </c>
      <c r="S391" s="5">
        <v>318562026739724</v>
      </c>
      <c r="T391" s="5">
        <v>340679165889446</v>
      </c>
      <c r="U391" s="5">
        <v>346831976267208</v>
      </c>
      <c r="V391" s="5">
        <v>345550133115461</v>
      </c>
      <c r="W391" s="5">
        <v>319997547315894</v>
      </c>
      <c r="X391" s="5">
        <v>335466504986907</v>
      </c>
      <c r="Y391" s="5">
        <v>339999887984895</v>
      </c>
      <c r="Z391" s="5">
        <v>359514022473623</v>
      </c>
      <c r="AA391" s="5">
        <v>342417421488197</v>
      </c>
      <c r="AB391" s="5">
        <v>335923526606574</v>
      </c>
      <c r="AC391" s="5">
        <v>300062864323538</v>
      </c>
      <c r="AD391" s="5">
        <v>309219156520999</v>
      </c>
      <c r="AE391" s="5">
        <v>303823994055686</v>
      </c>
      <c r="AF391" s="5">
        <v>2416232952175</v>
      </c>
      <c r="AG391" s="5">
        <v>269455492319419</v>
      </c>
      <c r="AH391" s="5">
        <v>255829575251795</v>
      </c>
      <c r="AI391" s="5">
        <v>226773781789481</v>
      </c>
      <c r="AJ391" s="5">
        <v>246554491362456</v>
      </c>
      <c r="AK391" s="5">
        <v>251861860517525</v>
      </c>
      <c r="AL391" s="5">
        <v>261558543353085</v>
      </c>
      <c r="AM391" s="5">
        <v>211149543614373</v>
      </c>
      <c r="AN391" s="5">
        <v>308180837326749</v>
      </c>
      <c r="AO391" s="5">
        <v>378028486982124</v>
      </c>
      <c r="AP391" s="6">
        <v>101827077450819</v>
      </c>
      <c r="AQ391" s="6">
        <v>95195316883396</v>
      </c>
      <c r="AR391" s="6">
        <v>933350294936884</v>
      </c>
      <c r="AS391" s="6">
        <v>902569691023902</v>
      </c>
      <c r="AT391" s="6">
        <v>818464575364568</v>
      </c>
      <c r="AU391" s="6">
        <v>858235137948381</v>
      </c>
      <c r="AV391" s="6">
        <v>721631340018982</v>
      </c>
      <c r="AW391" s="6">
        <v>647939646975519</v>
      </c>
      <c r="AX391" s="6">
        <v>757347172407</v>
      </c>
      <c r="AY391" s="6">
        <v>614734712437824</v>
      </c>
      <c r="AZ391" s="6">
        <v>642661529599593</v>
      </c>
      <c r="BA391" s="6">
        <v>56319013197657</v>
      </c>
      <c r="BB391" s="6">
        <v>491275462434372</v>
      </c>
      <c r="BC391" s="6">
        <v>565020954707328</v>
      </c>
      <c r="BD391" s="6">
        <v>567453203928975</v>
      </c>
      <c r="BE391" s="6">
        <v>593407433245998</v>
      </c>
      <c r="BF391" s="6">
        <v>661578443706705</v>
      </c>
      <c r="BG391" s="6">
        <v>707049180262738</v>
      </c>
      <c r="BH391" s="6">
        <v>62426044290484</v>
      </c>
      <c r="BI391" s="6">
        <v>622071978414427</v>
      </c>
      <c r="BJ391" s="6">
        <v>524943649901412</v>
      </c>
      <c r="BK391" s="6">
        <v>72382746620651</v>
      </c>
      <c r="BL391" s="6">
        <v>7293654411498</v>
      </c>
      <c r="BM391" s="6">
        <v>722856456889848</v>
      </c>
    </row>
    <row r="392" spans="1:65" x14ac:dyDescent="0.45">
      <c r="A392" s="1" t="s">
        <v>386</v>
      </c>
      <c r="B392" s="2">
        <v>4091145</v>
      </c>
      <c r="C392" s="3" t="s">
        <v>1378</v>
      </c>
      <c r="D392" s="3" t="s">
        <v>1379</v>
      </c>
      <c r="E392" s="3" t="s">
        <v>1380</v>
      </c>
      <c r="F392" s="5">
        <v>162981703245732</v>
      </c>
      <c r="G392" s="5">
        <v>18272986570603</v>
      </c>
      <c r="H392" s="5">
        <v>190694773755244</v>
      </c>
      <c r="I392" s="5">
        <v>171586155944276</v>
      </c>
      <c r="J392" s="5">
        <v>179250000722585</v>
      </c>
      <c r="K392" s="5">
        <v>175886837693406</v>
      </c>
      <c r="L392" s="5">
        <v>161337576462879</v>
      </c>
      <c r="M392" s="5">
        <v>15574488950025</v>
      </c>
      <c r="N392" s="5">
        <v>146476989893125</v>
      </c>
      <c r="O392" s="5">
        <v>144343798309429</v>
      </c>
      <c r="P392" s="5">
        <v>137070226064399</v>
      </c>
      <c r="Q392" s="5">
        <v>120626315343067</v>
      </c>
      <c r="R392" s="5">
        <v>127379995238404</v>
      </c>
      <c r="S392" s="5">
        <v>120578921255963</v>
      </c>
      <c r="T392" s="5">
        <v>12414512349589</v>
      </c>
      <c r="U392" s="5">
        <v>13756498453241</v>
      </c>
      <c r="V392" s="5">
        <v>144868103392807</v>
      </c>
      <c r="W392" s="5">
        <v>151508609646349</v>
      </c>
      <c r="X392" s="5">
        <v>152303206636909</v>
      </c>
      <c r="Y392" s="5">
        <v>14470997117697</v>
      </c>
      <c r="Z392" s="5">
        <v>136949084241512</v>
      </c>
      <c r="AA392" s="5">
        <v>132665707085822</v>
      </c>
      <c r="AB392" s="5">
        <v>123230493823012</v>
      </c>
      <c r="AC392" s="5">
        <v>128915497097954</v>
      </c>
      <c r="AD392" s="5">
        <v>136828275037893</v>
      </c>
      <c r="AE392" s="5">
        <v>138058319680205</v>
      </c>
      <c r="AF392" s="5">
        <v>116381291883124</v>
      </c>
      <c r="AG392" s="5">
        <v>1205489437868</v>
      </c>
      <c r="AH392" s="5">
        <v>120813641798771</v>
      </c>
      <c r="AI392" s="5">
        <v>112443663121378</v>
      </c>
      <c r="AJ392" s="5">
        <v>114647951674212</v>
      </c>
      <c r="AK392" s="5">
        <v>111201388515898</v>
      </c>
      <c r="AL392" s="5">
        <v>990776523013193</v>
      </c>
      <c r="AM392" s="5">
        <v>65425965782905</v>
      </c>
      <c r="AN392" s="5">
        <v>702534866820184</v>
      </c>
      <c r="AO392" s="5">
        <v>611131773647652</v>
      </c>
      <c r="AP392" s="6">
        <v>671905703963845</v>
      </c>
      <c r="AQ392" s="6">
        <v>539749615158767</v>
      </c>
      <c r="AR392" s="6">
        <v>509218261352714</v>
      </c>
      <c r="AS392" s="6">
        <v>395695433169276</v>
      </c>
      <c r="AT392" s="6">
        <v>367434037698814</v>
      </c>
      <c r="AU392" s="6">
        <v>388861197902597</v>
      </c>
      <c r="AV392" s="6">
        <v>349923541241531</v>
      </c>
      <c r="AW392" s="6">
        <v>2959861274484</v>
      </c>
      <c r="AX392" s="6">
        <v>370078840062327</v>
      </c>
      <c r="AY392" s="6">
        <v>430690105289974</v>
      </c>
      <c r="AZ392" s="6">
        <v>485151553082421</v>
      </c>
      <c r="BA392" s="6">
        <v>460292712147765</v>
      </c>
      <c r="BB392" s="6">
        <v>499171383120539</v>
      </c>
      <c r="BC392" s="6">
        <v>531588383553305</v>
      </c>
      <c r="BD392" s="6">
        <v>508405474916597</v>
      </c>
      <c r="BE392" s="6">
        <v>38876051022285</v>
      </c>
      <c r="BF392" s="6">
        <v>44333760146443</v>
      </c>
      <c r="BG392" s="6">
        <v>432567461606216</v>
      </c>
      <c r="BH392" s="6">
        <v>49909570186809</v>
      </c>
      <c r="BI392" s="6">
        <v>414658117812039</v>
      </c>
      <c r="BJ392" s="6">
        <v>411164609210317</v>
      </c>
      <c r="BK392" s="6">
        <v>36557132682122</v>
      </c>
      <c r="BL392" s="6">
        <v>474607824083434</v>
      </c>
      <c r="BM392" s="6">
        <v>48098358556158</v>
      </c>
    </row>
    <row r="393" spans="1:65" x14ac:dyDescent="0.45">
      <c r="A393" s="1" t="s">
        <v>387</v>
      </c>
      <c r="B393" s="2">
        <v>4055767</v>
      </c>
      <c r="C393" s="3" t="s">
        <v>1381</v>
      </c>
      <c r="D393" s="3" t="s">
        <v>1382</v>
      </c>
      <c r="E393" s="3" t="s">
        <v>565</v>
      </c>
      <c r="F393" s="5">
        <v>228040124416109</v>
      </c>
      <c r="G393" s="5">
        <v>270672260800123</v>
      </c>
      <c r="H393" s="5">
        <v>239910946181137</v>
      </c>
      <c r="I393" s="5">
        <v>241691357591019</v>
      </c>
      <c r="J393" s="5">
        <v>26890706450388</v>
      </c>
      <c r="K393" s="5">
        <v>273199692242504</v>
      </c>
      <c r="L393" s="5">
        <v>247024433549988</v>
      </c>
      <c r="M393" s="5">
        <v>269256913644486</v>
      </c>
      <c r="N393" s="5">
        <v>265374839680701</v>
      </c>
      <c r="O393" s="5">
        <v>310052160876169</v>
      </c>
      <c r="P393" s="5">
        <v>293626043251372</v>
      </c>
      <c r="Q393" s="5">
        <v>316007576486369</v>
      </c>
      <c r="R393" s="5">
        <v>396296814024945</v>
      </c>
      <c r="S393" s="5">
        <v>398699085097402</v>
      </c>
      <c r="T393" s="5">
        <v>421538730217155</v>
      </c>
      <c r="U393" s="5">
        <v>385140852688654</v>
      </c>
      <c r="V393" s="5">
        <v>430414543586243</v>
      </c>
      <c r="W393" s="5">
        <v>390573994063757</v>
      </c>
      <c r="X393" s="5">
        <v>378775985073313</v>
      </c>
      <c r="Y393" s="5">
        <v>356169321136631</v>
      </c>
      <c r="Z393" s="5">
        <v>33794439077952</v>
      </c>
      <c r="AA393" s="5">
        <v>332543870060688</v>
      </c>
      <c r="AB393" s="5">
        <v>305467602643655</v>
      </c>
      <c r="AC393" s="5">
        <v>291890510057048</v>
      </c>
      <c r="AD393" s="5">
        <v>280236242177893</v>
      </c>
      <c r="AE393" s="5">
        <v>271699322303596</v>
      </c>
      <c r="AF393" s="5">
        <v>246102902670374</v>
      </c>
      <c r="AG393" s="5">
        <v>247850495219679</v>
      </c>
      <c r="AH393" s="5">
        <v>264322871969481</v>
      </c>
      <c r="AI393" s="5">
        <v>264973787314218</v>
      </c>
      <c r="AJ393" s="5">
        <v>249716922730743</v>
      </c>
      <c r="AK393" s="5">
        <v>247458386292526</v>
      </c>
      <c r="AL393" s="5">
        <v>240513214376732</v>
      </c>
      <c r="AM393" s="5">
        <v>207371476858455</v>
      </c>
      <c r="AN393" s="5">
        <v>253287362064727</v>
      </c>
      <c r="AO393" s="5">
        <v>28328442912</v>
      </c>
      <c r="AP393" s="6">
        <v>106862798355501</v>
      </c>
      <c r="AQ393" s="6">
        <v>101986427290145</v>
      </c>
      <c r="AR393" s="6">
        <v>989448858078086</v>
      </c>
      <c r="AS393" s="6">
        <v>110658240387342</v>
      </c>
      <c r="AT393" s="6">
        <v>105044846781649</v>
      </c>
      <c r="AU393" s="6">
        <v>104865577749446</v>
      </c>
      <c r="AV393" s="6">
        <v>94619113113664</v>
      </c>
      <c r="AW393" s="6">
        <v>877940506987877</v>
      </c>
      <c r="AX393" s="6">
        <v>9866483356757</v>
      </c>
      <c r="AY393" s="6">
        <v>887072254778477</v>
      </c>
      <c r="AZ393" s="6">
        <v>87171534636219</v>
      </c>
      <c r="BA393" s="6">
        <v>830726995988365</v>
      </c>
      <c r="BB393" s="6">
        <v>792796848545394</v>
      </c>
      <c r="BC393" s="6">
        <v>847079260119898</v>
      </c>
      <c r="BD393" s="6">
        <v>791335415937761</v>
      </c>
      <c r="BE393" s="6">
        <v>897768707428892</v>
      </c>
      <c r="BF393" s="6">
        <v>941401765289472</v>
      </c>
      <c r="BG393" s="6">
        <v>926845130872747</v>
      </c>
      <c r="BH393" s="6">
        <v>92767901373</v>
      </c>
      <c r="BI393" s="6">
        <v>9423059741604</v>
      </c>
      <c r="BJ393" s="6">
        <v>824685521077176</v>
      </c>
      <c r="BK393" s="6">
        <v>830560692532517</v>
      </c>
      <c r="BL393" s="6">
        <v>872999748143523</v>
      </c>
      <c r="BM393" s="6">
        <v>866789233998548</v>
      </c>
    </row>
    <row r="394" spans="1:65" x14ac:dyDescent="0.45">
      <c r="A394" s="1" t="s">
        <v>388</v>
      </c>
      <c r="B394" s="2">
        <v>4965854</v>
      </c>
      <c r="C394" s="3" t="s">
        <v>1383</v>
      </c>
      <c r="D394" s="3" t="s">
        <v>1384</v>
      </c>
      <c r="E394" s="3" t="s">
        <v>873</v>
      </c>
      <c r="F394" s="5">
        <v>163513627309186</v>
      </c>
      <c r="G394" s="5">
        <v>171993782831037</v>
      </c>
      <c r="H394" s="5">
        <v>19972683525918</v>
      </c>
      <c r="I394" s="5">
        <v>185290380575818</v>
      </c>
      <c r="J394" s="5">
        <v>20284561823747</v>
      </c>
      <c r="K394" s="5">
        <v>216649126653756</v>
      </c>
      <c r="L394" s="5">
        <v>190024197382912</v>
      </c>
      <c r="M394" s="5">
        <v>188179622457192</v>
      </c>
      <c r="N394" s="5">
        <v>130889316991188</v>
      </c>
      <c r="O394" s="5">
        <v>159738693226186</v>
      </c>
      <c r="P394" s="5">
        <v>16650050946282</v>
      </c>
      <c r="Q394" s="5">
        <v>168310706576049</v>
      </c>
      <c r="R394" s="5">
        <v>180178048571921</v>
      </c>
      <c r="S394" s="5">
        <v>169685237666905</v>
      </c>
      <c r="T394" s="5">
        <v>182384629463016</v>
      </c>
      <c r="U394" s="5">
        <v>154889578661482</v>
      </c>
      <c r="V394" s="5">
        <v>159147242863403</v>
      </c>
      <c r="W394" s="5">
        <v>170341605366964</v>
      </c>
      <c r="X394" s="5">
        <v>172673006309841</v>
      </c>
      <c r="Y394" s="5">
        <v>176088691583141</v>
      </c>
      <c r="Z394" s="5">
        <v>167921405064441</v>
      </c>
      <c r="AA394" s="5">
        <v>1733981092326</v>
      </c>
      <c r="AB394" s="5">
        <v>175595456921535</v>
      </c>
      <c r="AC394" s="5">
        <v>189935897214084</v>
      </c>
      <c r="AD394" s="5">
        <v>195385175277988</v>
      </c>
      <c r="AE394" s="5">
        <v>173720167569532</v>
      </c>
      <c r="AF394" s="5">
        <v>15199845185058</v>
      </c>
      <c r="AG394" s="5">
        <v>16087629092709</v>
      </c>
      <c r="AH394" s="5">
        <v>163733713389945</v>
      </c>
      <c r="AI394" s="5">
        <v>15852624393453</v>
      </c>
      <c r="AJ394" s="5">
        <v>148205875237435</v>
      </c>
      <c r="AK394" s="5">
        <v>146369179461204</v>
      </c>
      <c r="AL394" s="5">
        <v>12550606070853</v>
      </c>
      <c r="AM394" s="5">
        <v>122424656454373</v>
      </c>
      <c r="AN394" s="5">
        <v>110851364824312</v>
      </c>
      <c r="AO394" s="5">
        <v>127430616914938</v>
      </c>
      <c r="AP394" s="6">
        <v>539941030617113</v>
      </c>
      <c r="AQ394" s="6">
        <v>475151301125988</v>
      </c>
      <c r="AR394" s="6">
        <v>395933776122059</v>
      </c>
      <c r="AS394" s="6">
        <v>462050224210025</v>
      </c>
      <c r="AT394" s="6">
        <v>462047344938149</v>
      </c>
      <c r="AU394" s="6">
        <v>555561194675286</v>
      </c>
      <c r="AV394" s="6">
        <v>536421030408634</v>
      </c>
      <c r="AW394" s="6">
        <v>512815062305668</v>
      </c>
      <c r="AX394" s="6">
        <v>555409367261925</v>
      </c>
      <c r="AY394" s="6">
        <v>534942525645557</v>
      </c>
      <c r="AZ394" s="6">
        <v>506733862616923</v>
      </c>
      <c r="BA394" s="6">
        <v>47197795849251</v>
      </c>
      <c r="BB394" s="6">
        <v>367775203561679</v>
      </c>
      <c r="BC394" s="6">
        <v>397691820612617</v>
      </c>
      <c r="BD394" s="6">
        <v>5230442202717</v>
      </c>
      <c r="BE394" s="6">
        <v>578216945759299</v>
      </c>
      <c r="BF394" s="6">
        <v>560000689301647</v>
      </c>
      <c r="BG394" s="6">
        <v>493618412751348</v>
      </c>
      <c r="BH394" s="6">
        <v>465195569900844</v>
      </c>
      <c r="BI394" s="6">
        <v>473119792758227</v>
      </c>
      <c r="BJ394" s="6">
        <v>352964996428029</v>
      </c>
      <c r="BK394" s="6">
        <v>321473615061919</v>
      </c>
      <c r="BL394" s="6">
        <v>345328691048425</v>
      </c>
      <c r="BM394" s="6">
        <v>338438482655018</v>
      </c>
    </row>
    <row r="395" spans="1:65" x14ac:dyDescent="0.45">
      <c r="A395" s="1" t="s">
        <v>389</v>
      </c>
      <c r="B395" s="2">
        <v>4112718</v>
      </c>
      <c r="C395" s="3" t="s">
        <v>1385</v>
      </c>
      <c r="D395" s="3" t="s">
        <v>1386</v>
      </c>
      <c r="E395" s="3" t="s">
        <v>1126</v>
      </c>
      <c r="F395" s="5">
        <v>858580199428426</v>
      </c>
      <c r="G395" s="5">
        <v>882534475610527</v>
      </c>
      <c r="H395" s="5">
        <v>775478492841254</v>
      </c>
      <c r="I395" s="5">
        <v>701772659971242</v>
      </c>
      <c r="J395" s="5">
        <v>831804188230695</v>
      </c>
      <c r="K395" s="5">
        <v>83021387734318</v>
      </c>
      <c r="L395" s="5">
        <v>735147905836014</v>
      </c>
      <c r="M395" s="5">
        <v>809732221962885</v>
      </c>
      <c r="N395" s="5">
        <v>824645487630157</v>
      </c>
      <c r="O395" s="5">
        <v>882845769837717</v>
      </c>
      <c r="P395" s="5">
        <v>961488835107255</v>
      </c>
      <c r="Q395" s="5">
        <v>932231747023632</v>
      </c>
      <c r="R395" s="5">
        <v>982247729498406</v>
      </c>
      <c r="S395" s="5">
        <v>979355539945085</v>
      </c>
      <c r="T395" s="5">
        <v>938215460572978</v>
      </c>
      <c r="U395" s="5">
        <v>888979242513866</v>
      </c>
      <c r="V395" s="5">
        <v>955003764943872</v>
      </c>
      <c r="W395" s="5">
        <v>99437813392959</v>
      </c>
      <c r="X395" s="5">
        <v>102260227795676</v>
      </c>
      <c r="Y395" s="5">
        <v>102709783676831</v>
      </c>
      <c r="Z395" s="5">
        <v>110517628944477</v>
      </c>
      <c r="AA395" s="5">
        <v>975515210960316</v>
      </c>
      <c r="AB395" s="5">
        <v>967674341291133</v>
      </c>
      <c r="AC395" s="5">
        <v>722601142507876</v>
      </c>
      <c r="AD395" s="5">
        <v>70482899584629</v>
      </c>
      <c r="AE395" s="5">
        <v>657321758892014</v>
      </c>
      <c r="AF395" s="5">
        <v>529105639865189</v>
      </c>
      <c r="AG395" s="5">
        <v>36919826965373</v>
      </c>
      <c r="AH395" s="5">
        <v>340374568041123</v>
      </c>
      <c r="AI395" s="5">
        <v>311803766476271</v>
      </c>
      <c r="AJ395" s="5">
        <v>325813003808131</v>
      </c>
      <c r="AK395" s="5">
        <v>33775680356348</v>
      </c>
      <c r="AL395" s="5">
        <v>375449083528306</v>
      </c>
      <c r="AM395" s="5">
        <v>32528614760915</v>
      </c>
      <c r="AN395" s="5">
        <v>58857857141096</v>
      </c>
      <c r="AO395" s="5">
        <v>64139971376283</v>
      </c>
      <c r="AP395" s="6">
        <v>907186020875806</v>
      </c>
      <c r="AQ395" s="6">
        <v>957959965462342</v>
      </c>
      <c r="AR395" s="6">
        <v>943805734666959</v>
      </c>
      <c r="AS395" s="6">
        <v>103328285722733</v>
      </c>
      <c r="AT395" s="6">
        <v>941527615212</v>
      </c>
      <c r="AU395" s="6">
        <v>10193565605859</v>
      </c>
      <c r="AV395" s="6">
        <v>108494102322391</v>
      </c>
      <c r="AW395" s="6">
        <v>945913940274243</v>
      </c>
      <c r="AX395" s="6">
        <v>110102368509525</v>
      </c>
      <c r="AY395" s="6">
        <v>105554199581186</v>
      </c>
      <c r="AZ395" s="6">
        <v>111896919352923</v>
      </c>
      <c r="BA395" s="6">
        <v>112903695113267</v>
      </c>
      <c r="BB395" s="6">
        <v>975919606151767</v>
      </c>
      <c r="BC395" s="6">
        <v>120467227276892</v>
      </c>
      <c r="BD395" s="6">
        <v>115120269249007</v>
      </c>
      <c r="BE395" s="6">
        <v>152808007442143</v>
      </c>
      <c r="BF395" s="6">
        <v>147728294104757</v>
      </c>
      <c r="BG395" s="6">
        <v>144914718509602</v>
      </c>
      <c r="BH395" s="6">
        <v>144639793337001</v>
      </c>
      <c r="BI395" s="6">
        <v>146212393561778</v>
      </c>
      <c r="BJ395" s="6">
        <v>131768457164588</v>
      </c>
      <c r="BK395" s="6">
        <v>124361845326853</v>
      </c>
      <c r="BL395" s="6">
        <v>128313159192855</v>
      </c>
      <c r="BM395" s="6">
        <v>124241714538149</v>
      </c>
    </row>
    <row r="396" spans="1:65" x14ac:dyDescent="0.45">
      <c r="A396" s="1" t="s">
        <v>390</v>
      </c>
      <c r="B396" s="2">
        <v>4276678</v>
      </c>
      <c r="C396" s="3" t="s">
        <v>1387</v>
      </c>
      <c r="D396" s="3" t="s">
        <v>1388</v>
      </c>
      <c r="E396" s="3" t="s">
        <v>1092</v>
      </c>
      <c r="F396" s="5">
        <v>155687295467686</v>
      </c>
      <c r="G396" s="5">
        <v>163298110682504</v>
      </c>
      <c r="H396" s="5">
        <v>15664764279503</v>
      </c>
      <c r="I396" s="5">
        <v>139411496915683</v>
      </c>
      <c r="J396" s="5">
        <v>153482604017382</v>
      </c>
      <c r="K396" s="5">
        <v>154474207135732</v>
      </c>
      <c r="L396" s="5">
        <v>130136221733006</v>
      </c>
      <c r="M396" s="5">
        <v>153047910336134</v>
      </c>
      <c r="N396" s="5">
        <v>159007972105792</v>
      </c>
      <c r="O396" s="5">
        <v>155080283679408</v>
      </c>
      <c r="P396" s="5">
        <v>133179403313718</v>
      </c>
      <c r="Q396" s="5">
        <v>120774857489395</v>
      </c>
      <c r="R396" s="5">
        <v>105177321559534</v>
      </c>
      <c r="S396" s="5">
        <v>104883102045353</v>
      </c>
      <c r="T396" s="5">
        <v>108105048958208</v>
      </c>
      <c r="U396" s="5">
        <v>970833434173831</v>
      </c>
      <c r="V396" s="5">
        <v>850803957799257</v>
      </c>
      <c r="W396" s="5">
        <v>81169475536707</v>
      </c>
      <c r="X396" s="5">
        <v>85720616496067</v>
      </c>
      <c r="Y396" s="5">
        <v>72905669999517</v>
      </c>
      <c r="Z396" s="5">
        <v>659389464953823</v>
      </c>
      <c r="AA396" s="5">
        <v>6185326008546</v>
      </c>
      <c r="AB396" s="5">
        <v>584523597248667</v>
      </c>
      <c r="AC396" s="5">
        <v>516365294588443</v>
      </c>
      <c r="AD396" s="5">
        <v>493881789117615</v>
      </c>
      <c r="AE396" s="5">
        <v>450296002412895</v>
      </c>
      <c r="AF396" s="5">
        <v>321173701027095</v>
      </c>
      <c r="AG396" s="5">
        <v>278625179576212</v>
      </c>
      <c r="AH396" s="5">
        <v>331815979261935</v>
      </c>
      <c r="AI396" s="5">
        <v>360213153681915</v>
      </c>
      <c r="AJ396" s="5">
        <v>415744189963006</v>
      </c>
      <c r="AK396" s="5">
        <v>375131916236854</v>
      </c>
      <c r="AL396" s="5">
        <v>27615766358664</v>
      </c>
      <c r="AM396" s="5">
        <v>1465810502065</v>
      </c>
      <c r="AN396" s="5">
        <v>686584401809544</v>
      </c>
      <c r="AO396" s="5">
        <v>7664029709039</v>
      </c>
      <c r="AP396" s="6">
        <v>117727354406558</v>
      </c>
      <c r="AQ396" s="6">
        <v>113942011094137</v>
      </c>
      <c r="AR396" s="6">
        <v>101539474872969</v>
      </c>
      <c r="AS396" s="6">
        <v>994806052028867</v>
      </c>
      <c r="AT396" s="6">
        <v>925275909374023</v>
      </c>
      <c r="AU396" s="6">
        <v>100128635320532</v>
      </c>
      <c r="AV396" s="6">
        <v>977582868079646</v>
      </c>
      <c r="AW396" s="6">
        <v>940778672009154</v>
      </c>
      <c r="AX396" s="6">
        <v>101212697016396</v>
      </c>
      <c r="AY396" s="6">
        <v>106708531361573</v>
      </c>
      <c r="AZ396" s="6">
        <v>100212570169918</v>
      </c>
      <c r="BA396" s="6">
        <v>947646360934713</v>
      </c>
      <c r="BB396" s="6">
        <v>836439593857335</v>
      </c>
      <c r="BC396" s="6">
        <v>906073815718387</v>
      </c>
      <c r="BD396" s="6">
        <v>852342924943638</v>
      </c>
      <c r="BE396" s="6">
        <v>79731534286068</v>
      </c>
      <c r="BF396" s="6">
        <v>767274251820814</v>
      </c>
      <c r="BG396" s="6">
        <v>755061894821836</v>
      </c>
      <c r="BH396" s="6">
        <v>760193761645338</v>
      </c>
      <c r="BI396" s="6">
        <v>723285274388828</v>
      </c>
      <c r="BJ396" s="6">
        <v>669552352647451</v>
      </c>
      <c r="BK396" s="6">
        <v>610696921958476</v>
      </c>
      <c r="BL396" s="6">
        <v>588005437614777</v>
      </c>
      <c r="BM396" s="6">
        <v>613702783030954</v>
      </c>
    </row>
    <row r="397" spans="1:65" x14ac:dyDescent="0.45">
      <c r="A397" s="1" t="s">
        <v>391</v>
      </c>
      <c r="B397" s="2">
        <v>4094305</v>
      </c>
      <c r="C397" s="3" t="s">
        <v>1389</v>
      </c>
      <c r="D397" s="3" t="s">
        <v>1390</v>
      </c>
      <c r="E397" s="3" t="s">
        <v>787</v>
      </c>
      <c r="F397" s="5">
        <v>641933387378721</v>
      </c>
      <c r="G397" s="5">
        <v>745738150081746</v>
      </c>
      <c r="H397" s="5">
        <v>764523959253458</v>
      </c>
      <c r="I397" s="5">
        <v>696506794246809</v>
      </c>
      <c r="J397" s="5">
        <v>732745406725312</v>
      </c>
      <c r="K397" s="5">
        <v>742738490448036</v>
      </c>
      <c r="L397" s="5">
        <v>626456719606832</v>
      </c>
      <c r="M397" s="5">
        <v>699663857310957</v>
      </c>
      <c r="N397" s="5">
        <v>100328993124179</v>
      </c>
      <c r="O397" s="5">
        <v>883405543616253</v>
      </c>
      <c r="P397" s="5">
        <v>852338380305348</v>
      </c>
      <c r="Q397" s="5">
        <v>942915410665039</v>
      </c>
      <c r="R397" s="5">
        <v>975042049243823</v>
      </c>
      <c r="S397" s="5">
        <v>103651199973694</v>
      </c>
      <c r="T397" s="5">
        <v>109574223643191</v>
      </c>
      <c r="U397" s="5">
        <v>963304933167701</v>
      </c>
      <c r="V397" s="5">
        <v>102118002034581</v>
      </c>
      <c r="W397" s="5">
        <v>108871474737785</v>
      </c>
      <c r="X397" s="5">
        <v>10086603472492</v>
      </c>
      <c r="Y397" s="5">
        <v>921115719434552</v>
      </c>
      <c r="Z397" s="5">
        <v>857291190357552</v>
      </c>
      <c r="AA397" s="5">
        <v>841442925702552</v>
      </c>
      <c r="AB397" s="5">
        <v>759237983501356</v>
      </c>
      <c r="AC397" s="5">
        <v>747393126289043</v>
      </c>
      <c r="AD397" s="5">
        <v>722682120097468</v>
      </c>
      <c r="AE397" s="5">
        <v>752225111365209</v>
      </c>
      <c r="AF397" s="5">
        <v>653906937721588</v>
      </c>
      <c r="AG397" s="5">
        <v>67112263469712</v>
      </c>
      <c r="AH397" s="5">
        <v>633217318359723</v>
      </c>
      <c r="AI397" s="5">
        <v>532048291705147</v>
      </c>
      <c r="AJ397" s="5">
        <v>53286548700473</v>
      </c>
      <c r="AK397" s="5">
        <v>550196208547258</v>
      </c>
      <c r="AL397" s="5">
        <v>501394684795124</v>
      </c>
      <c r="AM397" s="5">
        <v>423827336518677</v>
      </c>
      <c r="AN397" s="5">
        <v>474599346049059</v>
      </c>
      <c r="AO397" s="5">
        <v>506166940391451</v>
      </c>
      <c r="AP397" s="6">
        <v>324617618191066</v>
      </c>
      <c r="AQ397" s="6">
        <v>327394132676662</v>
      </c>
      <c r="AR397" s="6">
        <v>309278901896403</v>
      </c>
      <c r="AS397" s="6">
        <v>32810686802727</v>
      </c>
      <c r="AT397" s="6">
        <v>306454475423545</v>
      </c>
      <c r="AU397" s="6">
        <v>317666458170288</v>
      </c>
      <c r="AV397" s="6">
        <v>297681488892292</v>
      </c>
      <c r="AW397" s="6">
        <v>285412661462574</v>
      </c>
      <c r="AX397" s="6">
        <v>294389714743079</v>
      </c>
      <c r="AY397" s="6">
        <v>278562175848</v>
      </c>
      <c r="AZ397" s="6">
        <v>2751121089288</v>
      </c>
      <c r="BA397" s="6">
        <v>264223421972577</v>
      </c>
      <c r="BB397" s="6">
        <v>248580686502053</v>
      </c>
      <c r="BC397" s="6">
        <v>271326159133402</v>
      </c>
      <c r="BD397" s="6">
        <v>291290074435674</v>
      </c>
      <c r="BE397" s="6">
        <v>29412815950517</v>
      </c>
      <c r="BF397" s="6">
        <v>299979365123345</v>
      </c>
      <c r="BG397" s="6">
        <v>28569025755553</v>
      </c>
      <c r="BH397" s="6">
        <v>274960980329975</v>
      </c>
      <c r="BI397" s="6">
        <v>281815993071297</v>
      </c>
      <c r="BJ397" s="6">
        <v>285279291021719</v>
      </c>
      <c r="BK397" s="6">
        <v>272240013952483</v>
      </c>
      <c r="BL397" s="6">
        <v>267831868488093</v>
      </c>
      <c r="BM397" s="6">
        <v>28491211383007</v>
      </c>
    </row>
    <row r="398" spans="1:65" x14ac:dyDescent="0.45">
      <c r="A398" s="1" t="s">
        <v>392</v>
      </c>
      <c r="B398" s="2">
        <v>4558889</v>
      </c>
      <c r="C398" s="3" t="s">
        <v>1391</v>
      </c>
      <c r="D398" s="3" t="s">
        <v>1392</v>
      </c>
      <c r="E398" s="3" t="s">
        <v>1067</v>
      </c>
      <c r="F398" s="5">
        <v>340763868193367</v>
      </c>
      <c r="G398" s="5">
        <v>387968423118115</v>
      </c>
      <c r="H398" s="5">
        <v>395356783214026</v>
      </c>
      <c r="I398" s="5">
        <v>359963175929479</v>
      </c>
      <c r="J398" s="5">
        <v>400802713306059</v>
      </c>
      <c r="K398" s="5">
        <v>419337327129035</v>
      </c>
      <c r="L398" s="5">
        <v>349416695927052</v>
      </c>
      <c r="M398" s="5">
        <v>389333647709458</v>
      </c>
      <c r="N398" s="5">
        <v>381465857440307</v>
      </c>
      <c r="O398" s="5">
        <v>383879874420441</v>
      </c>
      <c r="P398" s="5">
        <v>412939804137559</v>
      </c>
      <c r="Q398" s="5">
        <v>415692259414488</v>
      </c>
      <c r="R398" s="5">
        <v>463957950673</v>
      </c>
      <c r="S398" s="5">
        <v>445635367530251</v>
      </c>
      <c r="T398" s="5">
        <v>412922009732896</v>
      </c>
      <c r="U398" s="5">
        <v>388326755594919</v>
      </c>
      <c r="V398" s="5">
        <v>417429817170045</v>
      </c>
      <c r="W398" s="5">
        <v>407756617343588</v>
      </c>
      <c r="X398" s="5">
        <v>376813210295238</v>
      </c>
      <c r="Y398" s="5">
        <v>367856242750694</v>
      </c>
      <c r="Z398" s="5">
        <v>369141304274183</v>
      </c>
      <c r="AA398" s="5">
        <v>363964743596095</v>
      </c>
      <c r="AB398" s="5">
        <v>355605476348834</v>
      </c>
      <c r="AC398" s="5">
        <v>328193741194973</v>
      </c>
      <c r="AD398" s="5">
        <v>327351553074421</v>
      </c>
      <c r="AE398" s="5">
        <v>315391815605512</v>
      </c>
      <c r="AF398" s="5">
        <v>274884602580582</v>
      </c>
      <c r="AG398" s="5">
        <v>274708794511056</v>
      </c>
      <c r="AH398" s="5">
        <v>266690562494202</v>
      </c>
      <c r="AI398" s="5">
        <v>248488844721343</v>
      </c>
      <c r="AJ398" s="5">
        <v>239025349667431</v>
      </c>
      <c r="AK398" s="5">
        <v>241067256432844</v>
      </c>
      <c r="AL398" s="5">
        <v>222315204501526</v>
      </c>
      <c r="AM398" s="5">
        <v>191502852640918</v>
      </c>
      <c r="AN398" s="5">
        <v>251788406288448</v>
      </c>
      <c r="AO398" s="5">
        <v>277826994209024</v>
      </c>
      <c r="AP398" s="6">
        <v>413597555331023</v>
      </c>
      <c r="AQ398" s="6">
        <v>409872877064718</v>
      </c>
      <c r="AR398" s="6">
        <v>38676495795575</v>
      </c>
      <c r="AS398" s="6">
        <v>390847387457185</v>
      </c>
      <c r="AT398" s="6">
        <v>360482933267297</v>
      </c>
      <c r="AU398" s="6">
        <v>403666491277822</v>
      </c>
      <c r="AV398" s="6">
        <v>371507316314774</v>
      </c>
      <c r="AW398" s="6">
        <v>366702293585323</v>
      </c>
      <c r="AX398" s="6">
        <v>4243863759135</v>
      </c>
      <c r="AY398" s="6">
        <v>429040270443173</v>
      </c>
      <c r="AZ398" s="6">
        <v>44001672979978</v>
      </c>
      <c r="BA398" s="6">
        <v>4386780330336</v>
      </c>
      <c r="BB398" s="6">
        <v>406495702927403</v>
      </c>
      <c r="BC398" s="6">
        <v>44808421830695</v>
      </c>
      <c r="BD398" s="6">
        <v>41346753414735</v>
      </c>
      <c r="BE398" s="6">
        <v>438846610845156</v>
      </c>
      <c r="BF398" s="6">
        <v>449247354476811</v>
      </c>
      <c r="BG398" s="6">
        <v>45687602043675</v>
      </c>
      <c r="BH398" s="6">
        <v>467168923244171</v>
      </c>
      <c r="BI398" s="6">
        <v>474604184903744</v>
      </c>
      <c r="BJ398" s="6">
        <v>45627151963032</v>
      </c>
      <c r="BK398" s="6">
        <v>42220432007414</v>
      </c>
      <c r="BL398" s="6">
        <v>4716293209535</v>
      </c>
      <c r="BM398" s="6">
        <v>461938518330629</v>
      </c>
    </row>
    <row r="399" spans="1:65" x14ac:dyDescent="0.45">
      <c r="A399" s="1" t="s">
        <v>393</v>
      </c>
      <c r="B399" s="2">
        <v>4987124</v>
      </c>
      <c r="C399" s="3" t="s">
        <v>1393</v>
      </c>
      <c r="D399" s="3" t="s">
        <v>1394</v>
      </c>
      <c r="E399" s="3" t="s">
        <v>1085</v>
      </c>
      <c r="F399" s="5">
        <v>175389655326852</v>
      </c>
      <c r="G399" s="5">
        <v>190939226203702</v>
      </c>
      <c r="H399" s="5">
        <v>188619490751589</v>
      </c>
      <c r="I399" s="5">
        <v>161285562124596</v>
      </c>
      <c r="J399" s="5">
        <v>171404921702221</v>
      </c>
      <c r="K399" s="5">
        <v>179749409117102</v>
      </c>
      <c r="L399" s="5">
        <v>16808631887305</v>
      </c>
      <c r="M399" s="5">
        <v>17689750140059</v>
      </c>
      <c r="N399" s="5">
        <v>193261628499858</v>
      </c>
      <c r="O399" s="5">
        <v>200795677981111</v>
      </c>
      <c r="P399" s="5">
        <v>18045536679706</v>
      </c>
      <c r="Q399" s="5">
        <v>175541361255959</v>
      </c>
      <c r="R399" s="5">
        <v>179229300356334</v>
      </c>
      <c r="S399" s="5">
        <v>171898797580107</v>
      </c>
      <c r="T399" s="5">
        <v>181248573231203</v>
      </c>
      <c r="U399" s="5">
        <v>17274361109425</v>
      </c>
      <c r="V399" s="5">
        <v>182966270717346</v>
      </c>
      <c r="W399" s="5">
        <v>175206209955823</v>
      </c>
      <c r="X399" s="5">
        <v>162149515622403</v>
      </c>
      <c r="Y399" s="5">
        <v>157987878972758</v>
      </c>
      <c r="Z399" s="5">
        <v>137971069357032</v>
      </c>
      <c r="AA399" s="5">
        <v>130477469824884</v>
      </c>
      <c r="AB399" s="5">
        <v>11351495676948</v>
      </c>
      <c r="AC399" s="5">
        <v>108681913668395</v>
      </c>
      <c r="AD399" s="5">
        <v>118185145772962</v>
      </c>
      <c r="AE399" s="5">
        <v>116628275218766</v>
      </c>
      <c r="AF399" s="5">
        <v>978404357198587</v>
      </c>
      <c r="AG399" s="5">
        <v>973838766872428</v>
      </c>
      <c r="AH399" s="5">
        <v>967055636046154</v>
      </c>
      <c r="AI399" s="5">
        <v>955697076635069</v>
      </c>
      <c r="AJ399" s="5">
        <v>101305285882239</v>
      </c>
      <c r="AK399" s="5">
        <v>123380728375143</v>
      </c>
      <c r="AL399" s="5">
        <v>109145717334736</v>
      </c>
      <c r="AM399" s="5">
        <v>99127440373689</v>
      </c>
      <c r="AN399" s="5">
        <v>112356208007747</v>
      </c>
      <c r="AO399" s="5">
        <v>120090432247227</v>
      </c>
      <c r="AP399" s="6">
        <v>163369704494519</v>
      </c>
      <c r="AQ399" s="6">
        <v>187040834322066</v>
      </c>
      <c r="AR399" s="6">
        <v>171613765940901</v>
      </c>
      <c r="AS399" s="6">
        <v>196345861201702</v>
      </c>
      <c r="AT399" s="6">
        <v>186274247330125</v>
      </c>
      <c r="AU399" s="6">
        <v>172498882375702</v>
      </c>
      <c r="AV399" s="6">
        <v>179980964522751</v>
      </c>
      <c r="AW399" s="6">
        <v>172422780402404</v>
      </c>
      <c r="AX399" s="6">
        <v>189656146883111</v>
      </c>
      <c r="AY399" s="6">
        <v>191836496561922</v>
      </c>
      <c r="AZ399" s="6">
        <v>218270062116707</v>
      </c>
      <c r="BA399" s="6">
        <v>191551396403067</v>
      </c>
      <c r="BB399" s="6">
        <v>159957123714283</v>
      </c>
      <c r="BC399" s="6">
        <v>173919682665681</v>
      </c>
      <c r="BD399" s="6">
        <v>178042745105291</v>
      </c>
      <c r="BE399" s="6">
        <v>18389685384926</v>
      </c>
      <c r="BF399" s="6">
        <v>169660109819646</v>
      </c>
      <c r="BG399" s="6">
        <v>174913853341722</v>
      </c>
      <c r="BH399" s="6">
        <v>167530259283529</v>
      </c>
      <c r="BI399" s="6">
        <v>175967203342906</v>
      </c>
      <c r="BJ399" s="6">
        <v>160940552486883</v>
      </c>
      <c r="BK399" s="6">
        <v>156572826682918</v>
      </c>
      <c r="BL399" s="6">
        <v>174575645466547</v>
      </c>
      <c r="BM399" s="6">
        <v>16966724408507</v>
      </c>
    </row>
    <row r="400" spans="1:65" x14ac:dyDescent="0.45">
      <c r="A400" s="1" t="s">
        <v>394</v>
      </c>
      <c r="B400" s="2">
        <v>4071231</v>
      </c>
      <c r="C400" s="3" t="s">
        <v>1395</v>
      </c>
      <c r="D400" s="3" t="s">
        <v>1396</v>
      </c>
      <c r="E400" s="3" t="s">
        <v>589</v>
      </c>
      <c r="F400" s="5">
        <v>127304786046957</v>
      </c>
      <c r="G400" s="5">
        <v>141143828648359</v>
      </c>
      <c r="H400" s="5">
        <v>128983120112484</v>
      </c>
      <c r="I400" s="5">
        <v>120154296883896</v>
      </c>
      <c r="J400" s="5">
        <v>131757843852941</v>
      </c>
      <c r="K400" s="5">
        <v>158460898903815</v>
      </c>
      <c r="L400" s="5">
        <v>1372355595287</v>
      </c>
      <c r="M400" s="5">
        <v>163152748642392</v>
      </c>
      <c r="N400" s="5">
        <v>161708464861905</v>
      </c>
      <c r="O400" s="5">
        <v>172861511271917</v>
      </c>
      <c r="P400" s="5">
        <v>17055050186277</v>
      </c>
      <c r="Q400" s="5">
        <v>170896201641274</v>
      </c>
      <c r="R400" s="5">
        <v>234387084839719</v>
      </c>
      <c r="S400" s="5">
        <v>221076696499858</v>
      </c>
      <c r="T400" s="5">
        <v>197225380217364</v>
      </c>
      <c r="U400" s="5">
        <v>155391351035313</v>
      </c>
      <c r="V400" s="5">
        <v>169730973267736</v>
      </c>
      <c r="W400" s="5">
        <v>17800638592581</v>
      </c>
      <c r="X400" s="5">
        <v>187850788670023</v>
      </c>
      <c r="Y400" s="5">
        <v>180553876929592</v>
      </c>
      <c r="Z400" s="5">
        <v>17319261553512</v>
      </c>
      <c r="AA400" s="5">
        <v>172680188343437</v>
      </c>
      <c r="AB400" s="5">
        <v>177190149891494</v>
      </c>
      <c r="AC400" s="5">
        <v>155236997612694</v>
      </c>
      <c r="AD400" s="5">
        <v>16275144058457</v>
      </c>
      <c r="AE400" s="5">
        <v>153305193791523</v>
      </c>
      <c r="AF400" s="5">
        <v>125161956543885</v>
      </c>
      <c r="AG400" s="5">
        <v>112350986251776</v>
      </c>
      <c r="AH400" s="5">
        <v>118011475178907</v>
      </c>
      <c r="AI400" s="5">
        <v>124654254557673</v>
      </c>
      <c r="AJ400" s="5">
        <v>124484670279591</v>
      </c>
      <c r="AK400" s="5">
        <v>999325694139108</v>
      </c>
      <c r="AL400" s="5">
        <v>952501195670898</v>
      </c>
      <c r="AM400" s="5">
        <v>82132335321127</v>
      </c>
      <c r="AN400" s="5">
        <v>895375328101909</v>
      </c>
      <c r="AO400" s="5">
        <v>997472224033362</v>
      </c>
      <c r="AP400" s="6">
        <v>132843470393522</v>
      </c>
      <c r="AQ400" s="6">
        <v>127302351476546</v>
      </c>
      <c r="AR400" s="6">
        <v>125127088209052</v>
      </c>
      <c r="AS400" s="6">
        <v>129601610271038</v>
      </c>
      <c r="AT400" s="6">
        <v>12321247131342</v>
      </c>
      <c r="AU400" s="6">
        <v>11185908985533</v>
      </c>
      <c r="AV400" s="6">
        <v>106045469276889</v>
      </c>
      <c r="AW400" s="6">
        <v>98085277628654</v>
      </c>
      <c r="AX400" s="6">
        <v>103978530314116</v>
      </c>
      <c r="AY400" s="6">
        <v>102301318098877</v>
      </c>
      <c r="AZ400" s="6">
        <v>952129576679789</v>
      </c>
      <c r="BA400" s="6">
        <v>931094511363936</v>
      </c>
      <c r="BB400" s="6">
        <v>867368954803718</v>
      </c>
      <c r="BC400" s="6">
        <v>104091481308058</v>
      </c>
      <c r="BD400" s="6">
        <v>993720670183381</v>
      </c>
      <c r="BE400" s="6">
        <v>947891836833589</v>
      </c>
      <c r="BF400" s="6">
        <v>102177949601791</v>
      </c>
      <c r="BG400" s="6">
        <v>105072791202025</v>
      </c>
      <c r="BH400" s="6">
        <v>104464837636886</v>
      </c>
      <c r="BI400" s="6">
        <v>867420087351567</v>
      </c>
      <c r="BJ400" s="6">
        <v>10153611108176</v>
      </c>
      <c r="BK400" s="6">
        <v>105882364620917</v>
      </c>
      <c r="BL400" s="6">
        <v>105987863993602</v>
      </c>
      <c r="BM400" s="6">
        <v>112491781907073</v>
      </c>
    </row>
    <row r="401" spans="1:65" x14ac:dyDescent="0.45">
      <c r="A401" s="1" t="s">
        <v>395</v>
      </c>
      <c r="B401" s="2">
        <v>4574287</v>
      </c>
      <c r="C401" s="3" t="s">
        <v>1397</v>
      </c>
      <c r="D401" s="3" t="s">
        <v>1398</v>
      </c>
      <c r="E401" s="3" t="s">
        <v>947</v>
      </c>
      <c r="F401" s="5">
        <v>363961050497079</v>
      </c>
      <c r="G401" s="5">
        <v>596185525445145</v>
      </c>
      <c r="H401" s="5">
        <v>726634211657834</v>
      </c>
      <c r="I401" s="5">
        <v>847609757439088</v>
      </c>
      <c r="J401" s="5">
        <v>857484007780823</v>
      </c>
      <c r="K401" s="5">
        <v>912860855643864</v>
      </c>
      <c r="L401" s="5">
        <v>667636141639811</v>
      </c>
      <c r="M401" s="5">
        <v>732225029023734</v>
      </c>
      <c r="N401" s="5">
        <v>856017873592758</v>
      </c>
      <c r="O401" s="5">
        <v>100255976301256</v>
      </c>
      <c r="P401" s="5">
        <v>801090263654612</v>
      </c>
      <c r="Q401" s="5">
        <v>841672203503837</v>
      </c>
      <c r="R401" s="5">
        <v>935191753884127</v>
      </c>
      <c r="S401" s="5">
        <v>102215083669295</v>
      </c>
      <c r="T401" s="5">
        <v>967495902958206</v>
      </c>
      <c r="U401" s="5">
        <v>66240344368327</v>
      </c>
      <c r="V401" s="5">
        <v>617078412171473</v>
      </c>
      <c r="W401" s="5">
        <v>573525283505751</v>
      </c>
      <c r="X401" s="5">
        <v>552237828398477</v>
      </c>
      <c r="Y401" s="5">
        <v>494181784563343</v>
      </c>
      <c r="Z401" s="5">
        <v>568131329713107</v>
      </c>
      <c r="AA401" s="5">
        <v>54622993737177</v>
      </c>
      <c r="AB401" s="5">
        <v>53588692958669</v>
      </c>
      <c r="AC401" s="5">
        <v>61965220144004</v>
      </c>
      <c r="AD401" s="5">
        <v>546829926859461</v>
      </c>
      <c r="AE401" s="5">
        <v>450168409177704</v>
      </c>
      <c r="AF401" s="5">
        <v>315629258285045</v>
      </c>
      <c r="AG401" s="5">
        <v>340431544861897</v>
      </c>
      <c r="AH401" s="5">
        <v>388419468634673</v>
      </c>
      <c r="AI401" s="5">
        <v>225389864783465</v>
      </c>
      <c r="AJ401" s="5">
        <v>177867127246495</v>
      </c>
      <c r="AK401" s="5">
        <v>139228991303749</v>
      </c>
      <c r="AL401" s="5">
        <v>132487788002463</v>
      </c>
      <c r="AM401" s="5">
        <v>877345470310783</v>
      </c>
      <c r="AN401" s="5">
        <v>111757096123539</v>
      </c>
      <c r="AO401" s="5">
        <v>105770230523788</v>
      </c>
      <c r="AP401" s="6">
        <v>544413924422917</v>
      </c>
      <c r="AQ401" s="6">
        <v>577112686142652</v>
      </c>
      <c r="AR401" s="6">
        <v>477395573095484</v>
      </c>
      <c r="AS401" s="6">
        <v>501465415471958</v>
      </c>
      <c r="AT401" s="6">
        <v>454835461854214</v>
      </c>
      <c r="AU401" s="6">
        <v>518426468264653</v>
      </c>
      <c r="AV401" s="6">
        <v>471511594770609</v>
      </c>
      <c r="AW401" s="6">
        <v>498336726219981</v>
      </c>
      <c r="AX401" s="6">
        <v>545144715991795</v>
      </c>
      <c r="AY401" s="6">
        <v>508327019070037</v>
      </c>
      <c r="AZ401" s="6">
        <v>538507393783663</v>
      </c>
      <c r="BA401" s="6">
        <v>551392714599182</v>
      </c>
      <c r="BB401" s="6">
        <v>489840318346179</v>
      </c>
      <c r="BC401" s="6">
        <v>534338521401754</v>
      </c>
      <c r="BD401" s="6">
        <v>551950219164103</v>
      </c>
      <c r="BE401" s="6">
        <v>571545560896761</v>
      </c>
      <c r="BF401" s="6">
        <v>591165424418931</v>
      </c>
      <c r="BG401" s="6">
        <v>588659821676808</v>
      </c>
      <c r="BH401" s="6">
        <v>590913500367624</v>
      </c>
      <c r="BI401" s="6">
        <v>64363242009901</v>
      </c>
      <c r="BJ401" s="6">
        <v>621705951758488</v>
      </c>
      <c r="BK401" s="6">
        <v>571784064629787</v>
      </c>
      <c r="BL401" s="6">
        <v>584684304070066</v>
      </c>
      <c r="BM401" s="6">
        <v>574839498578658</v>
      </c>
    </row>
    <row r="402" spans="1:65" x14ac:dyDescent="0.45">
      <c r="A402" s="1" t="s">
        <v>396</v>
      </c>
      <c r="B402" s="2">
        <v>4112734</v>
      </c>
      <c r="C402" s="3" t="s">
        <v>1399</v>
      </c>
      <c r="D402" s="3" t="s">
        <v>1400</v>
      </c>
      <c r="E402" s="3" t="s">
        <v>507</v>
      </c>
      <c r="F402" s="5">
        <v>140307277668738</v>
      </c>
      <c r="G402" s="5">
        <v>15881784529575</v>
      </c>
      <c r="H402" s="5">
        <v>147430594756874</v>
      </c>
      <c r="I402" s="5">
        <v>144223813748603</v>
      </c>
      <c r="J402" s="5">
        <v>149881823255871</v>
      </c>
      <c r="K402" s="5">
        <v>160249429558563</v>
      </c>
      <c r="L402" s="5">
        <v>135536698730914</v>
      </c>
      <c r="M402" s="5">
        <v>151928924345975</v>
      </c>
      <c r="N402" s="5">
        <v>148970930139865</v>
      </c>
      <c r="O402" s="5">
        <v>152430480179825</v>
      </c>
      <c r="P402" s="5">
        <v>139802947794283</v>
      </c>
      <c r="Q402" s="5">
        <v>14799382258916</v>
      </c>
      <c r="R402" s="5">
        <v>153048279720865</v>
      </c>
      <c r="S402" s="5">
        <v>157618803662785</v>
      </c>
      <c r="T402" s="5">
        <v>149733775214541</v>
      </c>
      <c r="U402" s="5">
        <v>153104022660155</v>
      </c>
      <c r="V402" s="5">
        <v>14931901318549</v>
      </c>
      <c r="W402" s="5">
        <v>148353065978513</v>
      </c>
      <c r="X402" s="5">
        <v>149782419867044</v>
      </c>
      <c r="Y402" s="5">
        <v>143836304428973</v>
      </c>
      <c r="Z402" s="5">
        <v>138582058643964</v>
      </c>
      <c r="AA402" s="5">
        <v>148622316018626</v>
      </c>
      <c r="AB402" s="5">
        <v>131024718890846</v>
      </c>
      <c r="AC402" s="5">
        <v>125487632944692</v>
      </c>
      <c r="AD402" s="5">
        <v>123166055668966</v>
      </c>
      <c r="AE402" s="5">
        <v>123846801552574</v>
      </c>
      <c r="AF402" s="5">
        <v>113891539236066</v>
      </c>
      <c r="AG402" s="5">
        <v>111378730552424</v>
      </c>
      <c r="AH402" s="5">
        <v>108913477946627</v>
      </c>
      <c r="AI402" s="5">
        <v>987552401033787</v>
      </c>
      <c r="AJ402" s="5">
        <v>103548195653596</v>
      </c>
      <c r="AK402" s="5">
        <v>980242028914098</v>
      </c>
      <c r="AL402" s="5">
        <v>973752981699993</v>
      </c>
      <c r="AM402" s="5">
        <v>849059030967966</v>
      </c>
      <c r="AN402" s="5">
        <v>969349964249137</v>
      </c>
      <c r="AO402" s="5">
        <v>101429545940375</v>
      </c>
      <c r="AP402" s="6">
        <v>680459590925805</v>
      </c>
      <c r="AQ402" s="6">
        <v>677570596745824</v>
      </c>
      <c r="AR402" s="6">
        <v>597840822118389</v>
      </c>
      <c r="AS402" s="6">
        <v>525657062820787</v>
      </c>
      <c r="AT402" s="6">
        <v>528613422452665</v>
      </c>
      <c r="AU402" s="6">
        <v>57932983333368</v>
      </c>
      <c r="AV402" s="6">
        <v>52537786163291</v>
      </c>
      <c r="AW402" s="6">
        <v>503877039857763</v>
      </c>
      <c r="AX402" s="6">
        <v>538789454390649</v>
      </c>
      <c r="AY402" s="6">
        <v>544588850179895</v>
      </c>
      <c r="AZ402" s="6">
        <v>582158226352758</v>
      </c>
      <c r="BA402" s="6">
        <v>664206423475386</v>
      </c>
      <c r="BB402" s="6">
        <v>63161945267721</v>
      </c>
      <c r="BC402" s="6">
        <v>480466842109862</v>
      </c>
      <c r="BD402" s="6">
        <v>459718451918972</v>
      </c>
      <c r="BE402" s="6">
        <v>436208557475087</v>
      </c>
      <c r="BF402" s="6">
        <v>394870978628329</v>
      </c>
      <c r="BG402" s="6">
        <v>373087687287612</v>
      </c>
      <c r="BH402" s="6">
        <v>354354530477117</v>
      </c>
      <c r="BI402" s="6">
        <v>35339241451244</v>
      </c>
      <c r="BJ402" s="6">
        <v>346130073392481</v>
      </c>
      <c r="BK402" s="6">
        <v>331790847856251</v>
      </c>
      <c r="BL402" s="6">
        <v>389654431661559</v>
      </c>
      <c r="BM402" s="6">
        <v>412952426579359</v>
      </c>
    </row>
    <row r="403" spans="1:65" x14ac:dyDescent="0.45">
      <c r="A403" s="1" t="s">
        <v>397</v>
      </c>
      <c r="B403" s="2">
        <v>4783703</v>
      </c>
      <c r="C403" s="3" t="s">
        <v>1401</v>
      </c>
      <c r="D403" s="3" t="s">
        <v>1402</v>
      </c>
      <c r="E403" s="3" t="s">
        <v>581</v>
      </c>
      <c r="F403" s="5">
        <v>168997812427655</v>
      </c>
      <c r="G403" s="5">
        <v>193689953738268</v>
      </c>
      <c r="H403" s="5">
        <v>17965729197297</v>
      </c>
      <c r="I403" s="5">
        <v>139961731146941</v>
      </c>
      <c r="J403" s="5">
        <v>141118046163146</v>
      </c>
      <c r="K403" s="5">
        <v>139188890112588</v>
      </c>
      <c r="L403" s="5">
        <v>110198733533344</v>
      </c>
      <c r="M403" s="5">
        <v>113002733756914</v>
      </c>
      <c r="N403" s="5">
        <v>100439446594292</v>
      </c>
      <c r="O403" s="5">
        <v>94274335840337</v>
      </c>
      <c r="P403" s="5">
        <v>819897563805212</v>
      </c>
      <c r="Q403" s="5">
        <v>743464260689621</v>
      </c>
      <c r="R403" s="5">
        <v>850651666902708</v>
      </c>
      <c r="S403" s="5">
        <v>830712224624227</v>
      </c>
      <c r="T403" s="5">
        <v>853516178007546</v>
      </c>
      <c r="U403" s="5">
        <v>808919851776443</v>
      </c>
      <c r="V403" s="5">
        <v>893061933720202</v>
      </c>
      <c r="W403" s="5">
        <v>975894783535788</v>
      </c>
      <c r="X403" s="5">
        <v>104647662993954</v>
      </c>
      <c r="Y403" s="5">
        <v>924754810166628</v>
      </c>
      <c r="Z403" s="5">
        <v>993041353225057</v>
      </c>
      <c r="AA403" s="5">
        <v>105033426906554</v>
      </c>
      <c r="AB403" s="5">
        <v>70774074912429</v>
      </c>
      <c r="AC403" s="5">
        <v>531761521097515</v>
      </c>
      <c r="AD403" s="5">
        <v>46096579799254</v>
      </c>
      <c r="AE403" s="5">
        <v>395812197439738</v>
      </c>
      <c r="AF403" s="5">
        <v>299772960390229</v>
      </c>
      <c r="AG403" s="5">
        <v>298261810472595</v>
      </c>
      <c r="AH403" s="5">
        <v>341737223552758</v>
      </c>
      <c r="AI403" s="5">
        <v>349443096006145</v>
      </c>
      <c r="AJ403" s="5">
        <v>409867493323058</v>
      </c>
      <c r="AK403" s="5">
        <v>409104499109093</v>
      </c>
      <c r="AL403" s="5">
        <v>403876275964253</v>
      </c>
      <c r="AM403" s="5">
        <v>268214930464529</v>
      </c>
      <c r="AN403" s="5">
        <v>490724962337397</v>
      </c>
      <c r="AO403" s="5">
        <v>528698694601315</v>
      </c>
      <c r="AP403" s="6">
        <v>171713209870052</v>
      </c>
      <c r="AQ403" s="6">
        <v>168844268363445</v>
      </c>
      <c r="AR403" s="6">
        <v>166282932091801</v>
      </c>
      <c r="AS403" s="6">
        <v>175134091652031</v>
      </c>
      <c r="AT403" s="6">
        <v>180816513597823</v>
      </c>
      <c r="AU403" s="6">
        <v>186079408909254</v>
      </c>
      <c r="AV403" s="6">
        <v>171377301381534</v>
      </c>
      <c r="AW403" s="6">
        <v>170032785084421</v>
      </c>
      <c r="AX403" s="6">
        <v>182709760796582</v>
      </c>
      <c r="AY403" s="6">
        <v>183236304553295</v>
      </c>
      <c r="AZ403" s="6">
        <v>177848640548673</v>
      </c>
      <c r="BA403" s="6">
        <v>165355088474468</v>
      </c>
      <c r="BB403" s="6">
        <v>17185275381862</v>
      </c>
      <c r="BC403" s="6">
        <v>186723850374996</v>
      </c>
      <c r="BD403" s="6">
        <v>167422841819908</v>
      </c>
      <c r="BE403" s="6">
        <v>165817293212039</v>
      </c>
      <c r="BF403" s="6">
        <v>159979628686916</v>
      </c>
      <c r="BG403" s="6">
        <v>149585296640619</v>
      </c>
      <c r="BH403" s="6">
        <v>150129243103217</v>
      </c>
      <c r="BI403" s="6">
        <v>134216747952743</v>
      </c>
      <c r="BJ403" s="6">
        <v>125606034655096</v>
      </c>
      <c r="BK403" s="6">
        <v>140073416265575</v>
      </c>
      <c r="BL403" s="6">
        <v>136801394969148</v>
      </c>
      <c r="BM403" s="6">
        <v>146866929157876</v>
      </c>
    </row>
    <row r="404" spans="1:65" x14ac:dyDescent="0.45">
      <c r="A404" s="1" t="s">
        <v>398</v>
      </c>
      <c r="B404" s="2">
        <v>3002287</v>
      </c>
      <c r="C404" s="3" t="s">
        <v>1403</v>
      </c>
      <c r="D404" s="3" t="s">
        <v>1404</v>
      </c>
      <c r="E404" s="3" t="s">
        <v>628</v>
      </c>
      <c r="F404" s="5">
        <v>138306006176083</v>
      </c>
      <c r="G404" s="5">
        <v>144505738089178</v>
      </c>
      <c r="H404" s="5">
        <v>144497775545236</v>
      </c>
      <c r="I404" s="5">
        <v>127778734459368</v>
      </c>
      <c r="J404" s="5">
        <v>133206057810935</v>
      </c>
      <c r="K404" s="5">
        <v>138402829700839</v>
      </c>
      <c r="L404" s="5">
        <v>125642038895646</v>
      </c>
      <c r="M404" s="5">
        <v>130883787924375</v>
      </c>
      <c r="N404" s="5">
        <v>14133409745465</v>
      </c>
      <c r="O404" s="5">
        <v>144847393379031</v>
      </c>
      <c r="P404" s="5">
        <v>141108341513709</v>
      </c>
      <c r="Q404" s="5">
        <v>133939108321811</v>
      </c>
      <c r="R404" s="5">
        <v>149628957633853</v>
      </c>
      <c r="S404" s="5">
        <v>138457366785859</v>
      </c>
      <c r="T404" s="5">
        <v>140775622878092</v>
      </c>
      <c r="U404" s="5">
        <v>135002930287975</v>
      </c>
      <c r="V404" s="5">
        <v>137992832093691</v>
      </c>
      <c r="W404" s="5">
        <v>130393223768491</v>
      </c>
      <c r="X404" s="5">
        <v>130912542380847</v>
      </c>
      <c r="Y404" s="5">
        <v>126802422137606</v>
      </c>
      <c r="Z404" s="5">
        <v>12053466047469</v>
      </c>
      <c r="AA404" s="5">
        <v>10842522650713</v>
      </c>
      <c r="AB404" s="5">
        <v>941479467057288</v>
      </c>
      <c r="AC404" s="5">
        <v>853364483082203</v>
      </c>
      <c r="AD404" s="5">
        <v>904279702695053</v>
      </c>
      <c r="AE404" s="5">
        <v>863663443002327</v>
      </c>
      <c r="AF404" s="5">
        <v>703103330282138</v>
      </c>
      <c r="AG404" s="5">
        <v>700849746829224</v>
      </c>
      <c r="AH404" s="5">
        <v>75213380440947</v>
      </c>
      <c r="AI404" s="5">
        <v>673497759936972</v>
      </c>
      <c r="AJ404" s="5">
        <v>665216582961526</v>
      </c>
      <c r="AK404" s="5">
        <v>63368182186898</v>
      </c>
      <c r="AL404" s="5">
        <v>548527209037962</v>
      </c>
      <c r="AM404" s="5">
        <v>55248878700015</v>
      </c>
      <c r="AN404" s="5">
        <v>841903632472644</v>
      </c>
      <c r="AO404" s="5">
        <v>945666555439386</v>
      </c>
      <c r="AP404" s="6">
        <v>211321333225574</v>
      </c>
      <c r="AQ404" s="6">
        <v>207651473559062</v>
      </c>
      <c r="AR404" s="6">
        <v>209208084974714</v>
      </c>
      <c r="AS404" s="6">
        <v>213488896869014</v>
      </c>
      <c r="AT404" s="6">
        <v>213982538580451</v>
      </c>
      <c r="AU404" s="6">
        <v>202205020622365</v>
      </c>
      <c r="AV404" s="6">
        <v>190902234980123</v>
      </c>
      <c r="AW404" s="6">
        <v>188026988580417</v>
      </c>
      <c r="AX404" s="6">
        <v>186796329556002</v>
      </c>
      <c r="AY404" s="6">
        <v>17819864568</v>
      </c>
      <c r="AZ404" s="6">
        <v>169922114472</v>
      </c>
      <c r="BA404" s="6">
        <v>178848030144076</v>
      </c>
      <c r="BB404" s="6">
        <v>1760302179436</v>
      </c>
      <c r="BC404" s="6">
        <v>189471394965565</v>
      </c>
      <c r="BD404" s="6">
        <v>180058965782918</v>
      </c>
      <c r="BE404" s="6">
        <v>169078049272639</v>
      </c>
      <c r="BF404" s="6">
        <v>163299697108194</v>
      </c>
      <c r="BG404" s="6">
        <v>169459119629735</v>
      </c>
      <c r="BH404" s="6">
        <v>159965559446185</v>
      </c>
      <c r="BI404" s="6">
        <v>156938765624384</v>
      </c>
      <c r="BJ404" s="6">
        <v>152611604889447</v>
      </c>
      <c r="BK404" s="6">
        <v>150610505560824</v>
      </c>
      <c r="BL404" s="6">
        <v>151001061411777</v>
      </c>
      <c r="BM404" s="6">
        <v>163002910169269</v>
      </c>
    </row>
    <row r="405" spans="1:65" x14ac:dyDescent="0.45">
      <c r="A405" s="1" t="s">
        <v>399</v>
      </c>
      <c r="B405" s="2">
        <v>4055465</v>
      </c>
      <c r="C405" s="3" t="s">
        <v>1405</v>
      </c>
      <c r="D405" s="3" t="s">
        <v>1406</v>
      </c>
      <c r="E405" s="3" t="s">
        <v>1407</v>
      </c>
      <c r="F405" s="5">
        <v>179750174652175</v>
      </c>
      <c r="G405" s="5">
        <v>187317992200933</v>
      </c>
      <c r="H405" s="5">
        <v>176705898090961</v>
      </c>
      <c r="I405" s="5">
        <v>153941865638978</v>
      </c>
      <c r="J405" s="5">
        <v>168782181613797</v>
      </c>
      <c r="K405" s="5">
        <v>145489804221868</v>
      </c>
      <c r="L405" s="5">
        <v>134227540099111</v>
      </c>
      <c r="M405" s="5">
        <v>137201639313032</v>
      </c>
      <c r="N405" s="5">
        <v>129318073299784</v>
      </c>
      <c r="O405" s="5">
        <v>154583037186947</v>
      </c>
      <c r="P405" s="5">
        <v>126173153889797</v>
      </c>
      <c r="Q405" s="5">
        <v>13202469922862</v>
      </c>
      <c r="R405" s="5">
        <v>142456677171047</v>
      </c>
      <c r="S405" s="5">
        <v>138294689424961</v>
      </c>
      <c r="T405" s="5">
        <v>144816123844773</v>
      </c>
      <c r="U405" s="5">
        <v>13125770223534</v>
      </c>
      <c r="V405" s="5">
        <v>134755691049247</v>
      </c>
      <c r="W405" s="5">
        <v>133112219017194</v>
      </c>
      <c r="X405" s="5">
        <v>146492918233703</v>
      </c>
      <c r="Y405" s="5">
        <v>138907358621193</v>
      </c>
      <c r="Z405" s="5">
        <v>154512672955942</v>
      </c>
      <c r="AA405" s="5">
        <v>152610919191226</v>
      </c>
      <c r="AB405" s="5">
        <v>146085070806648</v>
      </c>
      <c r="AC405" s="5">
        <v>133641356188293</v>
      </c>
      <c r="AD405" s="5">
        <v>12778000767015</v>
      </c>
      <c r="AE405" s="5">
        <v>113751713325059</v>
      </c>
      <c r="AF405" s="5">
        <v>111296062429266</v>
      </c>
      <c r="AG405" s="5">
        <v>102579691668824</v>
      </c>
      <c r="AH405" s="5">
        <v>98757841441105</v>
      </c>
      <c r="AI405" s="5">
        <v>855996497564453</v>
      </c>
      <c r="AJ405" s="5">
        <v>856122497530965</v>
      </c>
      <c r="AK405" s="5">
        <v>747007257929363</v>
      </c>
      <c r="AL405" s="5">
        <v>80515556679393</v>
      </c>
      <c r="AM405" s="5">
        <v>8227170797664</v>
      </c>
      <c r="AN405" s="5">
        <v>101017209729747</v>
      </c>
      <c r="AO405" s="5">
        <v>118927871496403</v>
      </c>
      <c r="AP405" s="6">
        <v>140466264759157</v>
      </c>
      <c r="AQ405" s="6">
        <v>140868615795482</v>
      </c>
      <c r="AR405" s="6">
        <v>129414938116332</v>
      </c>
      <c r="AS405" s="6">
        <v>135027959908644</v>
      </c>
      <c r="AT405" s="6">
        <v>139611536074164</v>
      </c>
      <c r="AU405" s="6">
        <v>150024050210328</v>
      </c>
      <c r="AV405" s="6">
        <v>146512910042009</v>
      </c>
      <c r="AW405" s="6">
        <v>132205247240346</v>
      </c>
      <c r="AX405" s="6">
        <v>127757356956432</v>
      </c>
      <c r="AY405" s="6">
        <v>130292160963634</v>
      </c>
      <c r="AZ405" s="6">
        <v>123904381533702</v>
      </c>
      <c r="BA405" s="6">
        <v>119809903001663</v>
      </c>
      <c r="BB405" s="6">
        <v>109433172886983</v>
      </c>
      <c r="BC405" s="6">
        <v>121012686043154</v>
      </c>
      <c r="BD405" s="6">
        <v>112145051559306</v>
      </c>
      <c r="BE405" s="6">
        <v>117219274090244</v>
      </c>
      <c r="BF405" s="6">
        <v>108281485830785</v>
      </c>
      <c r="BG405" s="6">
        <v>109304378463223</v>
      </c>
      <c r="BH405" s="6">
        <v>990941357350369</v>
      </c>
      <c r="BI405" s="6">
        <v>951553051675575</v>
      </c>
      <c r="BJ405" s="6">
        <v>928569108990542</v>
      </c>
      <c r="BK405" s="6">
        <v>912149916620915</v>
      </c>
      <c r="BL405" s="6">
        <v>925503514230204</v>
      </c>
      <c r="BM405" s="6">
        <v>961048167753428</v>
      </c>
    </row>
    <row r="406" spans="1:65" x14ac:dyDescent="0.45">
      <c r="A406" s="1" t="s">
        <v>400</v>
      </c>
      <c r="B406" s="2">
        <v>103247</v>
      </c>
      <c r="C406" s="3" t="s">
        <v>1408</v>
      </c>
      <c r="D406" s="3" t="s">
        <v>1409</v>
      </c>
      <c r="E406" s="3" t="s">
        <v>556</v>
      </c>
      <c r="F406" s="5">
        <v>336500347419281</v>
      </c>
      <c r="G406" s="5">
        <v>344355616312544</v>
      </c>
      <c r="H406" s="5">
        <v>345104284282305</v>
      </c>
      <c r="I406" s="5">
        <v>343263757831981</v>
      </c>
      <c r="J406" s="5">
        <v>323393669636866</v>
      </c>
      <c r="K406" s="5">
        <v>315343319550492</v>
      </c>
      <c r="L406" s="5">
        <v>333361662989342</v>
      </c>
      <c r="M406" s="5">
        <v>350352397714495</v>
      </c>
      <c r="N406" s="5">
        <v>331369814928995</v>
      </c>
      <c r="O406" s="5">
        <v>347060522360941</v>
      </c>
      <c r="P406" s="5">
        <v>303290264843748</v>
      </c>
      <c r="Q406" s="5">
        <v>308848070560772</v>
      </c>
      <c r="R406" s="5">
        <v>296565346714554</v>
      </c>
      <c r="S406" s="5">
        <v>276517342942957</v>
      </c>
      <c r="T406" s="5">
        <v>316230721802209</v>
      </c>
      <c r="U406" s="5">
        <v>324785530052797</v>
      </c>
      <c r="V406" s="5">
        <v>338878143566561</v>
      </c>
      <c r="W406" s="5">
        <v>328171435050906</v>
      </c>
      <c r="X406" s="5">
        <v>329311753794057</v>
      </c>
      <c r="Y406" s="5">
        <v>335524255782274</v>
      </c>
      <c r="Z406" s="5">
        <v>316358190398398</v>
      </c>
      <c r="AA406" s="5">
        <v>296497334635848</v>
      </c>
      <c r="AB406" s="5">
        <v>266846329103874</v>
      </c>
      <c r="AC406" s="5">
        <v>26847651083779</v>
      </c>
      <c r="AD406" s="5">
        <v>273259169452621</v>
      </c>
      <c r="AE406" s="5">
        <v>260392439712024</v>
      </c>
      <c r="AF406" s="5">
        <v>237848664472072</v>
      </c>
      <c r="AG406" s="5">
        <v>250382689559846</v>
      </c>
      <c r="AH406" s="5">
        <v>24296479353531</v>
      </c>
      <c r="AI406" s="5">
        <v>250626532104194</v>
      </c>
      <c r="AJ406" s="5">
        <v>270721942800288</v>
      </c>
      <c r="AK406" s="5">
        <v>27635963879129</v>
      </c>
      <c r="AL406" s="5">
        <v>294200823597772</v>
      </c>
      <c r="AM406" s="5">
        <v>264541449272464</v>
      </c>
      <c r="AN406" s="5">
        <v>303298483083036</v>
      </c>
      <c r="AO406" s="5">
        <v>346383857075573</v>
      </c>
      <c r="AP406" s="6">
        <v>662228906809521</v>
      </c>
      <c r="AQ406" s="6">
        <v>638340086239763</v>
      </c>
      <c r="AR406" s="6">
        <v>601258583010788</v>
      </c>
      <c r="AS406" s="6">
        <v>658895555182706</v>
      </c>
      <c r="AT406" s="6">
        <v>649406522802132</v>
      </c>
      <c r="AU406" s="6">
        <v>598879975074781</v>
      </c>
      <c r="AV406" s="6">
        <v>582314726321906</v>
      </c>
      <c r="AW406" s="6">
        <v>522761158776234</v>
      </c>
      <c r="AX406" s="6">
        <v>553808129308072</v>
      </c>
      <c r="AY406" s="6">
        <v>532732942431805</v>
      </c>
      <c r="AZ406" s="6">
        <v>497714495346742</v>
      </c>
      <c r="BA406" s="6">
        <v>432138001196257</v>
      </c>
      <c r="BB406" s="6">
        <v>412306948647823</v>
      </c>
      <c r="BC406" s="6">
        <v>457184449443671</v>
      </c>
      <c r="BD406" s="6">
        <v>440605455545861</v>
      </c>
      <c r="BE406" s="6">
        <v>458330673313283</v>
      </c>
      <c r="BF406" s="6">
        <v>443252542055298</v>
      </c>
      <c r="BG406" s="6">
        <v>423218732060218</v>
      </c>
      <c r="BH406" s="6">
        <v>448887117549963</v>
      </c>
      <c r="BI406" s="6">
        <v>470450980294595</v>
      </c>
      <c r="BJ406" s="6">
        <v>451071868164834</v>
      </c>
      <c r="BK406" s="6">
        <v>447777195106319</v>
      </c>
      <c r="BL406" s="6">
        <v>416994450760742</v>
      </c>
      <c r="BM406" s="6">
        <v>39951644987838</v>
      </c>
    </row>
    <row r="407" spans="1:65" x14ac:dyDescent="0.45">
      <c r="A407" s="1" t="s">
        <v>401</v>
      </c>
      <c r="B407" s="2">
        <v>100144</v>
      </c>
      <c r="C407" s="3" t="s">
        <v>1410</v>
      </c>
      <c r="D407" s="3" t="s">
        <v>1411</v>
      </c>
      <c r="E407" s="3" t="s">
        <v>565</v>
      </c>
      <c r="F407" s="5">
        <v>344271195976737</v>
      </c>
      <c r="G407" s="5">
        <v>359759181544293</v>
      </c>
      <c r="H407" s="5">
        <v>3442128518004</v>
      </c>
      <c r="I407" s="5">
        <v>317444732457292</v>
      </c>
      <c r="J407" s="5">
        <v>333222471105466</v>
      </c>
      <c r="K407" s="5">
        <v>344188161726207</v>
      </c>
      <c r="L407" s="5">
        <v>32230977026876</v>
      </c>
      <c r="M407" s="5">
        <v>35094940878617</v>
      </c>
      <c r="N407" s="5">
        <v>32239811103732</v>
      </c>
      <c r="O407" s="5">
        <v>360590254905567</v>
      </c>
      <c r="P407" s="5">
        <v>380767987951393</v>
      </c>
      <c r="Q407" s="5">
        <v>436919858494497</v>
      </c>
      <c r="R407" s="5">
        <v>421744702772179</v>
      </c>
      <c r="S407" s="5">
        <v>401429042162583</v>
      </c>
      <c r="T407" s="5">
        <v>422788672727181</v>
      </c>
      <c r="U407" s="5">
        <v>386076455677763</v>
      </c>
      <c r="V407" s="5">
        <v>403813224628883</v>
      </c>
      <c r="W407" s="5">
        <v>378830980718979</v>
      </c>
      <c r="X407" s="5">
        <v>378272353900126</v>
      </c>
      <c r="Y407" s="5">
        <v>374107323808991</v>
      </c>
      <c r="Z407" s="5">
        <v>363630044405855</v>
      </c>
      <c r="AA407" s="5">
        <v>353333196581693</v>
      </c>
      <c r="AB407" s="5">
        <v>306197384874599</v>
      </c>
      <c r="AC407" s="5">
        <v>29075847271413</v>
      </c>
      <c r="AD407" s="5">
        <v>307442159137335</v>
      </c>
      <c r="AE407" s="5">
        <v>290047348730617</v>
      </c>
      <c r="AF407" s="5">
        <v>26127113842976</v>
      </c>
      <c r="AG407" s="5">
        <v>2590609035596</v>
      </c>
      <c r="AH407" s="5">
        <v>274030425126818</v>
      </c>
      <c r="AI407" s="5">
        <v>2684516647731</v>
      </c>
      <c r="AJ407" s="5">
        <v>304099935671242</v>
      </c>
      <c r="AK407" s="5">
        <v>296042627360847</v>
      </c>
      <c r="AL407" s="5">
        <v>30384254574102</v>
      </c>
      <c r="AM407" s="5">
        <v>27125763808052</v>
      </c>
      <c r="AN407" s="5">
        <v>322977755695852</v>
      </c>
      <c r="AO407" s="5">
        <v>3637999143548</v>
      </c>
      <c r="AP407" s="6">
        <v>752801013357929</v>
      </c>
      <c r="AQ407" s="6">
        <v>738128757160504</v>
      </c>
      <c r="AR407" s="6">
        <v>713802773487166</v>
      </c>
      <c r="AS407" s="6">
        <v>708684581366107</v>
      </c>
      <c r="AT407" s="6">
        <v>691323970066446</v>
      </c>
      <c r="AU407" s="6">
        <v>749943825784221</v>
      </c>
      <c r="AV407" s="6">
        <v>681753061012795</v>
      </c>
      <c r="AW407" s="6">
        <v>620742308210099</v>
      </c>
      <c r="AX407" s="6">
        <v>698546977776648</v>
      </c>
      <c r="AY407" s="6">
        <v>650197321897246</v>
      </c>
      <c r="AZ407" s="6">
        <v>659110351711711</v>
      </c>
      <c r="BA407" s="6">
        <v>667486212973106</v>
      </c>
      <c r="BB407" s="6">
        <v>56337892891955</v>
      </c>
      <c r="BC407" s="6">
        <v>650321199165757</v>
      </c>
      <c r="BD407" s="6">
        <v>779969024471823</v>
      </c>
      <c r="BE407" s="6">
        <v>756030967317739</v>
      </c>
      <c r="BF407" s="6">
        <v>80252781141644</v>
      </c>
      <c r="BG407" s="6">
        <v>795063420866005</v>
      </c>
      <c r="BH407" s="6">
        <v>740853013396105</v>
      </c>
      <c r="BI407" s="6">
        <v>759219409884875</v>
      </c>
      <c r="BJ407" s="6">
        <v>77610294062756</v>
      </c>
      <c r="BK407" s="6">
        <v>805307898693303</v>
      </c>
      <c r="BL407" s="6">
        <v>848545683233239</v>
      </c>
      <c r="BM407" s="6">
        <v>860143363823746</v>
      </c>
    </row>
    <row r="408" spans="1:65" x14ac:dyDescent="0.45">
      <c r="A408" s="1" t="s">
        <v>402</v>
      </c>
      <c r="B408" s="2">
        <v>4004086</v>
      </c>
      <c r="C408" s="3" t="s">
        <v>1412</v>
      </c>
      <c r="D408" s="3" t="s">
        <v>1413</v>
      </c>
      <c r="E408" s="3" t="s">
        <v>628</v>
      </c>
      <c r="F408" s="5">
        <v>106228933944986</v>
      </c>
      <c r="G408" s="5">
        <v>103379206341396</v>
      </c>
      <c r="H408" s="5">
        <v>858933139729387</v>
      </c>
      <c r="I408" s="5">
        <v>733222497381019</v>
      </c>
      <c r="J408" s="5">
        <v>94482616329441</v>
      </c>
      <c r="K408" s="5">
        <v>927458962096556</v>
      </c>
      <c r="L408" s="5">
        <v>773778923105512</v>
      </c>
      <c r="M408" s="5">
        <v>72462338056024</v>
      </c>
      <c r="N408" s="5">
        <v>835592585294119</v>
      </c>
      <c r="O408" s="5">
        <v>101775439430537</v>
      </c>
      <c r="P408" s="5">
        <v>106604579439012</v>
      </c>
      <c r="Q408" s="5">
        <v>104225358564046</v>
      </c>
      <c r="R408" s="5">
        <v>104034913917155</v>
      </c>
      <c r="S408" s="5">
        <v>103160325790764</v>
      </c>
      <c r="T408" s="5">
        <v>105221401074114</v>
      </c>
      <c r="U408" s="5">
        <v>111230665897898</v>
      </c>
      <c r="V408" s="5">
        <v>109001042528602</v>
      </c>
      <c r="W408" s="5">
        <v>111909668952707</v>
      </c>
      <c r="X408" s="5">
        <v>118157894047293</v>
      </c>
      <c r="Y408" s="5">
        <v>118529251949334</v>
      </c>
      <c r="Z408" s="5">
        <v>113910417938599</v>
      </c>
      <c r="AA408" s="5">
        <v>126662424058644</v>
      </c>
      <c r="AB408" s="5">
        <v>102156362284528</v>
      </c>
      <c r="AC408" s="5">
        <v>931559198714136</v>
      </c>
      <c r="AD408" s="5">
        <v>987893360983683</v>
      </c>
      <c r="AE408" s="5">
        <v>995271803496781</v>
      </c>
      <c r="AF408" s="5">
        <v>699458259323375</v>
      </c>
      <c r="AG408" s="5">
        <v>79437927953105</v>
      </c>
      <c r="AH408" s="5">
        <v>811267664794833</v>
      </c>
      <c r="AI408" s="5">
        <v>753863058805612</v>
      </c>
      <c r="AJ408" s="5">
        <v>919175264743507</v>
      </c>
      <c r="AK408" s="5">
        <v>740350128544488</v>
      </c>
      <c r="AL408" s="5">
        <v>727451383659454</v>
      </c>
      <c r="AM408" s="5">
        <v>765752657819422</v>
      </c>
      <c r="AN408" s="5">
        <v>140876761425261</v>
      </c>
      <c r="AO408" s="5">
        <v>161669476822624</v>
      </c>
      <c r="AP408" s="6">
        <v>195175835371851</v>
      </c>
      <c r="AQ408" s="6">
        <v>202355386666955</v>
      </c>
      <c r="AR408" s="6">
        <v>185153060812564</v>
      </c>
      <c r="AS408" s="6">
        <v>200986576270708</v>
      </c>
      <c r="AT408" s="6">
        <v>191595385435973</v>
      </c>
      <c r="AU408" s="6">
        <v>187185456342402</v>
      </c>
      <c r="AV408" s="6">
        <v>177013568582993</v>
      </c>
      <c r="AW408" s="6">
        <v>170776108485356</v>
      </c>
      <c r="AX408" s="6">
        <v>16841794231301</v>
      </c>
      <c r="AY408" s="6">
        <v>159247256889085</v>
      </c>
      <c r="AZ408" s="6">
        <v>155805313420694</v>
      </c>
      <c r="BA408" s="6">
        <v>1469419431863</v>
      </c>
      <c r="BB408" s="6">
        <v>13927029146154</v>
      </c>
      <c r="BC408" s="6">
        <v>14000920626702</v>
      </c>
      <c r="BD408" s="6">
        <v>143955152956788</v>
      </c>
      <c r="BE408" s="6">
        <v>154122270897355</v>
      </c>
      <c r="BF408" s="6">
        <v>155531513938081</v>
      </c>
      <c r="BG408" s="6">
        <v>161403834846437</v>
      </c>
      <c r="BH408" s="6">
        <v>156949211178134</v>
      </c>
      <c r="BI408" s="6">
        <v>160745192939197</v>
      </c>
      <c r="BJ408" s="6">
        <v>159695297153673</v>
      </c>
      <c r="BK408" s="6">
        <v>149561150365608</v>
      </c>
      <c r="BL408" s="6">
        <v>15451635902116</v>
      </c>
      <c r="BM408" s="6">
        <v>16850378930735</v>
      </c>
    </row>
    <row r="409" spans="1:65" x14ac:dyDescent="0.45">
      <c r="A409" s="1" t="s">
        <v>403</v>
      </c>
      <c r="B409" s="2">
        <v>4133211</v>
      </c>
      <c r="C409" s="3" t="s">
        <v>1414</v>
      </c>
      <c r="D409" s="3" t="s">
        <v>1415</v>
      </c>
      <c r="E409" s="3" t="s">
        <v>768</v>
      </c>
      <c r="F409" s="5">
        <v>159020196292749</v>
      </c>
      <c r="G409" s="5">
        <v>15600565814074</v>
      </c>
      <c r="H409" s="5">
        <v>160394372884514</v>
      </c>
      <c r="I409" s="5">
        <v>143853508570371</v>
      </c>
      <c r="J409" s="5">
        <v>15035484237388</v>
      </c>
      <c r="K409" s="5">
        <v>145426718792678</v>
      </c>
      <c r="L409" s="5">
        <v>138158469764621</v>
      </c>
      <c r="M409" s="5">
        <v>134731468837714</v>
      </c>
      <c r="N409" s="5">
        <v>135184467609877</v>
      </c>
      <c r="O409" s="5">
        <v>12104922361962</v>
      </c>
      <c r="P409" s="5">
        <v>120833301887442</v>
      </c>
      <c r="Q409" s="5">
        <v>11885556398347</v>
      </c>
      <c r="R409" s="5">
        <v>115307253268099</v>
      </c>
      <c r="S409" s="5">
        <v>108096746340341</v>
      </c>
      <c r="T409" s="5">
        <v>10437472194827</v>
      </c>
      <c r="U409" s="5">
        <v>108768509570913</v>
      </c>
      <c r="V409" s="5">
        <v>107139780570401</v>
      </c>
      <c r="W409" s="5">
        <v>111692535196685</v>
      </c>
      <c r="X409" s="5">
        <v>116525133628017</v>
      </c>
      <c r="Y409" s="5">
        <v>121002950854223</v>
      </c>
      <c r="Z409" s="5">
        <v>120278273692763</v>
      </c>
      <c r="AA409" s="5">
        <v>12977902580874</v>
      </c>
      <c r="AB409" s="5">
        <v>113874656514725</v>
      </c>
      <c r="AC409" s="5">
        <v>120066240038817</v>
      </c>
      <c r="AD409" s="5">
        <v>11974241305707</v>
      </c>
      <c r="AE409" s="5">
        <v>126505708030842</v>
      </c>
      <c r="AF409" s="5">
        <v>121052111198529</v>
      </c>
      <c r="AG409" s="5">
        <v>124511196181023</v>
      </c>
      <c r="AH409" s="5">
        <v>132977321329809</v>
      </c>
      <c r="AI409" s="5">
        <v>126611490414919</v>
      </c>
      <c r="AJ409" s="5">
        <v>133258192228709</v>
      </c>
      <c r="AK409" s="5">
        <v>138369553220457</v>
      </c>
      <c r="AL409" s="5">
        <v>137857214990173</v>
      </c>
      <c r="AM409" s="5">
        <v>126749639358888</v>
      </c>
      <c r="AN409" s="5">
        <v>123761997410628</v>
      </c>
      <c r="AO409" s="5">
        <v>131665862216797</v>
      </c>
      <c r="AP409" s="6">
        <v>273632432047378</v>
      </c>
      <c r="AQ409" s="6">
        <v>280936611768721</v>
      </c>
      <c r="AR409" s="6">
        <v>215525110522273</v>
      </c>
      <c r="AS409" s="6">
        <v>232308922272203</v>
      </c>
      <c r="AT409" s="6">
        <v>235034612539231</v>
      </c>
      <c r="AU409" s="6">
        <v>223247421995395</v>
      </c>
      <c r="AV409" s="6">
        <v>194250334655796</v>
      </c>
      <c r="AW409" s="6">
        <v>195543570007925</v>
      </c>
      <c r="AX409" s="6">
        <v>185137509237896</v>
      </c>
      <c r="AY409" s="6">
        <v>17131041093869</v>
      </c>
      <c r="AZ409" s="6">
        <v>163440293846427</v>
      </c>
      <c r="BA409" s="6">
        <v>157766636921553</v>
      </c>
      <c r="BB409" s="6">
        <v>159246172775537</v>
      </c>
      <c r="BC409" s="6">
        <v>16250874118153</v>
      </c>
      <c r="BD409" s="6">
        <v>161048153672788</v>
      </c>
      <c r="BE409" s="6">
        <v>149844522901233</v>
      </c>
      <c r="BF409" s="6">
        <v>148087935130348</v>
      </c>
      <c r="BG409" s="6">
        <v>143949624530766</v>
      </c>
      <c r="BH409" s="6">
        <v>137787718058068</v>
      </c>
      <c r="BI409" s="6">
        <v>134033834964903</v>
      </c>
      <c r="BJ409" s="6">
        <v>131762915814876</v>
      </c>
      <c r="BK409" s="6">
        <v>138388646392234</v>
      </c>
      <c r="BL409" s="6">
        <v>138972572691662</v>
      </c>
      <c r="BM409" s="6">
        <v>151139428563098</v>
      </c>
    </row>
    <row r="410" spans="1:65" x14ac:dyDescent="0.45">
      <c r="A410" s="1" t="s">
        <v>404</v>
      </c>
      <c r="B410" s="2">
        <v>102775</v>
      </c>
      <c r="C410" s="3" t="s">
        <v>1416</v>
      </c>
      <c r="D410" s="3" t="s">
        <v>1417</v>
      </c>
      <c r="E410" s="3" t="s">
        <v>1039</v>
      </c>
      <c r="F410" s="5">
        <v>145430910609472</v>
      </c>
      <c r="G410" s="5">
        <v>149412023531604</v>
      </c>
      <c r="H410" s="5">
        <v>157503828142067</v>
      </c>
      <c r="I410" s="5">
        <v>137941653587291</v>
      </c>
      <c r="J410" s="5">
        <v>132583868262336</v>
      </c>
      <c r="K410" s="5">
        <v>128376553101317</v>
      </c>
      <c r="L410" s="5">
        <v>114611639042226</v>
      </c>
      <c r="M410" s="5">
        <v>12390797263905</v>
      </c>
      <c r="N410" s="5">
        <v>119291026815504</v>
      </c>
      <c r="O410" s="5">
        <v>143740271254923</v>
      </c>
      <c r="P410" s="5">
        <v>142444394369286</v>
      </c>
      <c r="Q410" s="5">
        <v>148031253621072</v>
      </c>
      <c r="R410" s="5">
        <v>139808221480543</v>
      </c>
      <c r="S410" s="5">
        <v>12980936393178</v>
      </c>
      <c r="T410" s="5">
        <v>133934041812265</v>
      </c>
      <c r="U410" s="5">
        <v>118654074468203</v>
      </c>
      <c r="V410" s="5">
        <v>116524724746908</v>
      </c>
      <c r="W410" s="5">
        <v>108053407752238</v>
      </c>
      <c r="X410" s="5">
        <v>115836668906341</v>
      </c>
      <c r="Y410" s="5">
        <v>114301128286421</v>
      </c>
      <c r="Z410" s="5">
        <v>110328209480206</v>
      </c>
      <c r="AA410" s="5">
        <v>104532867725764</v>
      </c>
      <c r="AB410" s="5">
        <v>960213238425017</v>
      </c>
      <c r="AC410" s="5">
        <v>797831010926808</v>
      </c>
      <c r="AD410" s="5">
        <v>814771797276762</v>
      </c>
      <c r="AE410" s="5">
        <v>766930970624673</v>
      </c>
      <c r="AF410" s="5">
        <v>661624607582523</v>
      </c>
      <c r="AG410" s="5">
        <v>397590710697468</v>
      </c>
      <c r="AH410" s="5">
        <v>382995256354303</v>
      </c>
      <c r="AI410" s="5">
        <v>360754922673645</v>
      </c>
      <c r="AJ410" s="5">
        <v>38598395462767</v>
      </c>
      <c r="AK410" s="5">
        <v>415847827594045</v>
      </c>
      <c r="AL410" s="5">
        <v>443850791361413</v>
      </c>
      <c r="AM410" s="5">
        <v>393831733415484</v>
      </c>
      <c r="AN410" s="5">
        <v>47659408060751</v>
      </c>
      <c r="AO410" s="5">
        <v>527783554676906</v>
      </c>
      <c r="AP410" s="6">
        <v>212273990797326</v>
      </c>
      <c r="AQ410" s="6">
        <v>218313330924654</v>
      </c>
      <c r="AR410" s="6">
        <v>230465894155099</v>
      </c>
      <c r="AS410" s="6">
        <v>233032740211271</v>
      </c>
      <c r="AT410" s="6">
        <v>226932989479867</v>
      </c>
      <c r="AU410" s="6">
        <v>211255442641036</v>
      </c>
      <c r="AV410" s="6">
        <v>201092728207936</v>
      </c>
      <c r="AW410" s="6">
        <v>187394605289539</v>
      </c>
      <c r="AX410" s="6">
        <v>200480850780541</v>
      </c>
      <c r="AY410" s="6">
        <v>188738787166783</v>
      </c>
      <c r="AZ410" s="6">
        <v>183628946710579</v>
      </c>
      <c r="BA410" s="6">
        <v>180974845647784</v>
      </c>
      <c r="BB410" s="6">
        <v>169505505621837</v>
      </c>
      <c r="BC410" s="6">
        <v>179887035871851</v>
      </c>
      <c r="BD410" s="6">
        <v>177787609684386</v>
      </c>
      <c r="BE410" s="6">
        <v>203992979277081</v>
      </c>
      <c r="BF410" s="6">
        <v>197893979061211</v>
      </c>
      <c r="BG410" s="6">
        <v>194696059641213</v>
      </c>
      <c r="BH410" s="6">
        <v>192895804875578</v>
      </c>
      <c r="BI410" s="6">
        <v>184571516954109</v>
      </c>
      <c r="BJ410" s="6">
        <v>176424891688806</v>
      </c>
      <c r="BK410" s="6">
        <v>167740162379761</v>
      </c>
      <c r="BL410" s="6">
        <v>174320497903021</v>
      </c>
      <c r="BM410" s="6">
        <v>188595500766153</v>
      </c>
    </row>
    <row r="411" spans="1:65" x14ac:dyDescent="0.45">
      <c r="A411" s="1" t="s">
        <v>405</v>
      </c>
      <c r="B411" s="2">
        <v>103339</v>
      </c>
      <c r="C411" s="3" t="s">
        <v>1418</v>
      </c>
      <c r="D411" s="3" t="s">
        <v>1419</v>
      </c>
      <c r="E411" s="3" t="s">
        <v>716</v>
      </c>
      <c r="F411" s="5">
        <v>947897425754213</v>
      </c>
      <c r="G411" s="5">
        <v>975076996444855</v>
      </c>
      <c r="H411" s="5">
        <v>996846907125848</v>
      </c>
      <c r="I411" s="5">
        <v>86336872301805</v>
      </c>
      <c r="J411" s="5">
        <v>85871142625956</v>
      </c>
      <c r="K411" s="5">
        <v>856520751549627</v>
      </c>
      <c r="L411" s="5">
        <v>799793172079569</v>
      </c>
      <c r="M411" s="5">
        <v>793415585448023</v>
      </c>
      <c r="N411" s="5">
        <v>745541400726439</v>
      </c>
      <c r="O411" s="5">
        <v>686728871683327</v>
      </c>
      <c r="P411" s="5">
        <v>679596318418271</v>
      </c>
      <c r="Q411" s="5">
        <v>681928184396592</v>
      </c>
      <c r="R411" s="5">
        <v>669197947444787</v>
      </c>
      <c r="S411" s="5">
        <v>56426798347962</v>
      </c>
      <c r="T411" s="5">
        <v>628280411917272</v>
      </c>
      <c r="U411" s="5">
        <v>587359080953839</v>
      </c>
      <c r="V411" s="5">
        <v>609846420051853</v>
      </c>
      <c r="W411" s="5">
        <v>663849619297284</v>
      </c>
      <c r="X411" s="5">
        <v>686101812052261</v>
      </c>
      <c r="Y411" s="5">
        <v>728794564067723</v>
      </c>
      <c r="Z411" s="5">
        <v>719087519587587</v>
      </c>
      <c r="AA411" s="5">
        <v>715476370132246</v>
      </c>
      <c r="AB411" s="5">
        <v>610390025660541</v>
      </c>
      <c r="AC411" s="5">
        <v>645966814015512</v>
      </c>
      <c r="AD411" s="5">
        <v>61483048771452</v>
      </c>
      <c r="AE411" s="5">
        <v>632172357604286</v>
      </c>
      <c r="AF411" s="5">
        <v>52611388731606</v>
      </c>
      <c r="AG411" s="5">
        <v>529758717087507</v>
      </c>
      <c r="AH411" s="5">
        <v>544815591607331</v>
      </c>
      <c r="AI411" s="5">
        <v>53756408889106</v>
      </c>
      <c r="AJ411" s="5">
        <v>615260256720574</v>
      </c>
      <c r="AK411" s="5">
        <v>654901913227106</v>
      </c>
      <c r="AL411" s="5">
        <v>665596429538735</v>
      </c>
      <c r="AM411" s="5">
        <v>599659944403338</v>
      </c>
      <c r="AN411" s="5">
        <v>618883797963561</v>
      </c>
      <c r="AO411" s="5">
        <v>64799294731428</v>
      </c>
      <c r="AP411" s="6">
        <v>105833200510125</v>
      </c>
      <c r="AQ411" s="6">
        <v>108786623410011</v>
      </c>
      <c r="AR411" s="6">
        <v>108123568715454</v>
      </c>
      <c r="AS411" s="6">
        <v>115073426288825</v>
      </c>
      <c r="AT411" s="6">
        <v>109042729689536</v>
      </c>
      <c r="AU411" s="6">
        <v>113930168359752</v>
      </c>
      <c r="AV411" s="6">
        <v>115440913307258</v>
      </c>
      <c r="AW411" s="6">
        <v>124042309122314</v>
      </c>
      <c r="AX411" s="6">
        <v>124492516893076</v>
      </c>
      <c r="AY411" s="6">
        <v>11807064170649</v>
      </c>
      <c r="AZ411" s="6">
        <v>105783818407232</v>
      </c>
      <c r="BA411" s="6">
        <v>104157219594319</v>
      </c>
      <c r="BB411" s="6">
        <v>928882547583208</v>
      </c>
      <c r="BC411" s="6">
        <v>105002433421859</v>
      </c>
      <c r="BD411" s="6">
        <v>108847663830432</v>
      </c>
      <c r="BE411" s="6">
        <v>100448949148981</v>
      </c>
      <c r="BF411" s="6">
        <v>101296797828372</v>
      </c>
      <c r="BG411" s="6">
        <v>107803710308603</v>
      </c>
      <c r="BH411" s="6">
        <v>10458961429517</v>
      </c>
      <c r="BI411" s="6">
        <v>104741532900405</v>
      </c>
      <c r="BJ411" s="6">
        <v>10732966896854</v>
      </c>
      <c r="BK411" s="6">
        <v>114558977502483</v>
      </c>
      <c r="BL411" s="6">
        <v>117506611687374</v>
      </c>
      <c r="BM411" s="6">
        <v>115877310367935</v>
      </c>
    </row>
    <row r="412" spans="1:65" x14ac:dyDescent="0.45">
      <c r="A412" s="1" t="s">
        <v>406</v>
      </c>
      <c r="B412" s="2">
        <v>4091914</v>
      </c>
      <c r="C412" s="3" t="s">
        <v>1420</v>
      </c>
      <c r="D412" s="3" t="s">
        <v>1421</v>
      </c>
      <c r="E412" s="3" t="s">
        <v>737</v>
      </c>
      <c r="F412" s="5">
        <v>162012605184085</v>
      </c>
      <c r="G412" s="5">
        <v>177854132268063</v>
      </c>
      <c r="H412" s="5">
        <v>181899820392789</v>
      </c>
      <c r="I412" s="5">
        <v>161259996194242</v>
      </c>
      <c r="J412" s="5">
        <v>176511355623925</v>
      </c>
      <c r="K412" s="5">
        <v>171154959494604</v>
      </c>
      <c r="L412" s="5">
        <v>165987485374097</v>
      </c>
      <c r="M412" s="5">
        <v>166761151440496</v>
      </c>
      <c r="N412" s="5">
        <v>167529345847823</v>
      </c>
      <c r="O412" s="5">
        <v>154012822196107</v>
      </c>
      <c r="P412" s="5">
        <v>159761087275927</v>
      </c>
      <c r="Q412" s="5">
        <v>184128785545985</v>
      </c>
      <c r="R412" s="5">
        <v>18836674007873</v>
      </c>
      <c r="S412" s="5">
        <v>177512763203183</v>
      </c>
      <c r="T412" s="5">
        <v>173130878908526</v>
      </c>
      <c r="U412" s="5">
        <v>175485524870271</v>
      </c>
      <c r="V412" s="5">
        <v>17485138201377</v>
      </c>
      <c r="W412" s="5">
        <v>189655251975995</v>
      </c>
      <c r="X412" s="5">
        <v>188717267937313</v>
      </c>
      <c r="Y412" s="5">
        <v>180348113262238</v>
      </c>
      <c r="Z412" s="5">
        <v>188687612669288</v>
      </c>
      <c r="AA412" s="5">
        <v>206717528672765</v>
      </c>
      <c r="AB412" s="5">
        <v>188231324957012</v>
      </c>
      <c r="AC412" s="5">
        <v>217503120541265</v>
      </c>
      <c r="AD412" s="5">
        <v>208070113600584</v>
      </c>
      <c r="AE412" s="5">
        <v>214053744066191</v>
      </c>
      <c r="AF412" s="5">
        <v>2244597252144</v>
      </c>
      <c r="AG412" s="5">
        <v>225897987948414</v>
      </c>
      <c r="AH412" s="5">
        <v>235966015144703</v>
      </c>
      <c r="AI412" s="5">
        <v>251769285466157</v>
      </c>
      <c r="AJ412" s="5">
        <v>245485539303309</v>
      </c>
      <c r="AK412" s="5">
        <v>233634780412688</v>
      </c>
      <c r="AL412" s="5">
        <v>213200744696288</v>
      </c>
      <c r="AM412" s="5">
        <v>19722889871685</v>
      </c>
      <c r="AN412" s="5">
        <v>181345135364364</v>
      </c>
      <c r="AO412" s="5">
        <v>178081413970742</v>
      </c>
      <c r="AP412" s="6">
        <v>349631029655338</v>
      </c>
      <c r="AQ412" s="6">
        <v>338039247704428</v>
      </c>
      <c r="AR412" s="6">
        <v>35417618957975</v>
      </c>
      <c r="AS412" s="6">
        <v>312551902854586</v>
      </c>
      <c r="AT412" s="6">
        <v>283071975161272</v>
      </c>
      <c r="AU412" s="6">
        <v>350631920639058</v>
      </c>
      <c r="AV412" s="6">
        <v>332551917149571</v>
      </c>
      <c r="AW412" s="6">
        <v>302478549162198</v>
      </c>
      <c r="AX412" s="6">
        <v>361766067371604</v>
      </c>
      <c r="AY412" s="6">
        <v>354747610311138</v>
      </c>
      <c r="AZ412" s="6">
        <v>355393776623669</v>
      </c>
      <c r="BA412" s="6">
        <v>511630703575006</v>
      </c>
      <c r="BB412" s="6">
        <v>458399398610264</v>
      </c>
      <c r="BC412" s="6">
        <v>550564867029934</v>
      </c>
      <c r="BD412" s="6">
        <v>591909670363985</v>
      </c>
      <c r="BE412" s="6">
        <v>578103180268139</v>
      </c>
      <c r="BF412" s="6">
        <v>611819682639103</v>
      </c>
      <c r="BG412" s="6">
        <v>627674074957261</v>
      </c>
      <c r="BH412" s="6">
        <v>656439188708127</v>
      </c>
      <c r="BI412" s="6">
        <v>601059190939676</v>
      </c>
      <c r="BJ412" s="6">
        <v>569140929047012</v>
      </c>
      <c r="BK412" s="6">
        <v>617412220985688</v>
      </c>
      <c r="BL412" s="6">
        <v>669292260473655</v>
      </c>
      <c r="BM412" s="6">
        <v>767850661365218</v>
      </c>
    </row>
    <row r="413" spans="1:65" x14ac:dyDescent="0.45">
      <c r="A413" s="1" t="s">
        <v>407</v>
      </c>
      <c r="B413" s="2">
        <v>4202062</v>
      </c>
      <c r="C413" s="3" t="s">
        <v>1422</v>
      </c>
      <c r="D413" s="3" t="s">
        <v>1423</v>
      </c>
      <c r="E413" s="3" t="s">
        <v>1080</v>
      </c>
      <c r="F413" s="5">
        <v>257394497558149</v>
      </c>
      <c r="G413" s="5">
        <v>266747295374732</v>
      </c>
      <c r="H413" s="5">
        <v>26174680879341</v>
      </c>
      <c r="I413" s="5">
        <v>247062587708764</v>
      </c>
      <c r="J413" s="5">
        <v>264978068976615</v>
      </c>
      <c r="K413" s="5">
        <v>272072229595307</v>
      </c>
      <c r="L413" s="5">
        <v>260880754292414</v>
      </c>
      <c r="M413" s="5">
        <v>256098315920558</v>
      </c>
      <c r="N413" s="5">
        <v>26577380092224</v>
      </c>
      <c r="O413" s="5">
        <v>241973170455419</v>
      </c>
      <c r="P413" s="5">
        <v>240292394163374</v>
      </c>
      <c r="Q413" s="5">
        <v>235277645372616</v>
      </c>
      <c r="R413" s="5">
        <v>224883500502211</v>
      </c>
      <c r="S413" s="5">
        <v>200998346270739</v>
      </c>
      <c r="T413" s="5">
        <v>210566449534631</v>
      </c>
      <c r="U413" s="5">
        <v>195418146031283</v>
      </c>
      <c r="V413" s="5">
        <v>205927886653376</v>
      </c>
      <c r="W413" s="5">
        <v>207527012584852</v>
      </c>
      <c r="X413" s="5">
        <v>196769471487781</v>
      </c>
      <c r="Y413" s="5">
        <v>195601312156352</v>
      </c>
      <c r="Z413" s="5">
        <v>193480521474994</v>
      </c>
      <c r="AA413" s="5">
        <v>19352653331255</v>
      </c>
      <c r="AB413" s="5">
        <v>174485042449484</v>
      </c>
      <c r="AC413" s="5">
        <v>170461912396554</v>
      </c>
      <c r="AD413" s="5">
        <v>1926612992948</v>
      </c>
      <c r="AE413" s="5">
        <v>185536238656797</v>
      </c>
      <c r="AF413" s="5">
        <v>177227432465179</v>
      </c>
      <c r="AG413" s="5">
        <v>180595251827465</v>
      </c>
      <c r="AH413" s="5">
        <v>177967959498976</v>
      </c>
      <c r="AI413" s="5">
        <v>171525346641218</v>
      </c>
      <c r="AJ413" s="5">
        <v>170518559586403</v>
      </c>
      <c r="AK413" s="5">
        <v>180336732758057</v>
      </c>
      <c r="AL413" s="5">
        <v>18016231292532</v>
      </c>
      <c r="AM413" s="5">
        <v>172884545505263</v>
      </c>
      <c r="AN413" s="5">
        <v>208672408002909</v>
      </c>
      <c r="AO413" s="5">
        <v>225456704</v>
      </c>
      <c r="AP413" s="6">
        <v>206815632502686</v>
      </c>
      <c r="AQ413" s="6">
        <v>1989126021975</v>
      </c>
      <c r="AR413" s="6">
        <v>177194754634325</v>
      </c>
      <c r="AS413" s="6">
        <v>189526048502475</v>
      </c>
      <c r="AT413" s="6">
        <v>171980181205164</v>
      </c>
      <c r="AU413" s="6">
        <v>151869660434314</v>
      </c>
      <c r="AV413" s="6">
        <v>152400765625541</v>
      </c>
      <c r="AW413" s="6">
        <v>163381358915298</v>
      </c>
      <c r="AX413" s="6">
        <v>183707759187928</v>
      </c>
      <c r="AY413" s="6">
        <v>17485410486951</v>
      </c>
      <c r="AZ413" s="6">
        <v>205456110044526</v>
      </c>
      <c r="BA413" s="6">
        <v>197298525384932</v>
      </c>
      <c r="BB413" s="6">
        <v>191605910861475</v>
      </c>
      <c r="BC413" s="6">
        <v>208889513420943</v>
      </c>
      <c r="BD413" s="6">
        <v>209664987185549</v>
      </c>
      <c r="BE413" s="6">
        <v>199793078894093</v>
      </c>
      <c r="BF413" s="6">
        <v>21619586988531</v>
      </c>
      <c r="BG413" s="6">
        <v>19742021589118</v>
      </c>
      <c r="BH413" s="6">
        <v>194265340380436</v>
      </c>
      <c r="BI413" s="6">
        <v>167775371341494</v>
      </c>
      <c r="BJ413" s="6">
        <v>178185047938644</v>
      </c>
      <c r="BK413" s="6">
        <v>1693716696</v>
      </c>
      <c r="BL413" s="6">
        <v>1956813768</v>
      </c>
      <c r="BM413" s="6">
        <v>21502041924</v>
      </c>
    </row>
    <row r="414" spans="1:65" x14ac:dyDescent="0.45">
      <c r="A414" s="1" t="s">
        <v>408</v>
      </c>
      <c r="B414" s="2">
        <v>4578418</v>
      </c>
      <c r="C414" s="3" t="s">
        <v>1424</v>
      </c>
      <c r="D414" s="3" t="s">
        <v>1425</v>
      </c>
      <c r="E414" s="3" t="s">
        <v>528</v>
      </c>
      <c r="F414" s="5">
        <v>152706372469669</v>
      </c>
      <c r="G414" s="5">
        <v>151376011034011</v>
      </c>
      <c r="H414" s="5">
        <v>136431437360324</v>
      </c>
      <c r="I414" s="5">
        <v>132802490692417</v>
      </c>
      <c r="J414" s="5">
        <v>140805927365347</v>
      </c>
      <c r="K414" s="5">
        <v>158168238365196</v>
      </c>
      <c r="L414" s="5">
        <v>147777871583103</v>
      </c>
      <c r="M414" s="5">
        <v>161178971055687</v>
      </c>
      <c r="N414" s="5">
        <v>168902602166268</v>
      </c>
      <c r="O414" s="5">
        <v>185331684049029</v>
      </c>
      <c r="P414" s="5">
        <v>179551617159229</v>
      </c>
      <c r="Q414" s="5">
        <v>175297345964294</v>
      </c>
      <c r="R414" s="5">
        <v>182006270938148</v>
      </c>
      <c r="S414" s="5">
        <v>164677723483126</v>
      </c>
      <c r="T414" s="5">
        <v>177767087681814</v>
      </c>
      <c r="U414" s="5">
        <v>175820292022201</v>
      </c>
      <c r="V414" s="5">
        <v>188049101635344</v>
      </c>
      <c r="W414" s="5">
        <v>175102111134661</v>
      </c>
      <c r="X414" s="5">
        <v>164593588357016</v>
      </c>
      <c r="Y414" s="5">
        <v>158672291616243</v>
      </c>
      <c r="Z414" s="5">
        <v>167886707213613</v>
      </c>
      <c r="AA414" s="5">
        <v>160844255193182</v>
      </c>
      <c r="AB414" s="5">
        <v>156833542302795</v>
      </c>
      <c r="AC414" s="5">
        <v>147378265873512</v>
      </c>
      <c r="AD414" s="5">
        <v>14590440454593</v>
      </c>
      <c r="AE414" s="5">
        <v>137547817408682</v>
      </c>
      <c r="AF414" s="5">
        <v>134261243016988</v>
      </c>
      <c r="AG414" s="5">
        <v>140790769873282</v>
      </c>
      <c r="AH414" s="5">
        <v>129209647507872</v>
      </c>
      <c r="AI414" s="5">
        <v>117507058615833</v>
      </c>
      <c r="AJ414" s="5">
        <v>123836272848999</v>
      </c>
      <c r="AK414" s="5">
        <v>140367587028795</v>
      </c>
      <c r="AL414" s="5">
        <v>129019456307115</v>
      </c>
      <c r="AM414" s="5">
        <v>12349935917865</v>
      </c>
      <c r="AN414" s="5">
        <v>145106168840391</v>
      </c>
      <c r="AO414" s="5">
        <v>153513544611121</v>
      </c>
      <c r="AP414" s="6">
        <v>7303833219344</v>
      </c>
      <c r="AQ414" s="6">
        <v>654872290800678</v>
      </c>
      <c r="AR414" s="6">
        <v>688169379663912</v>
      </c>
      <c r="AS414" s="6">
        <v>725451966667935</v>
      </c>
      <c r="AT414" s="6">
        <v>64517757553144</v>
      </c>
      <c r="AU414" s="6">
        <v>873162854252304</v>
      </c>
      <c r="AV414" s="6">
        <v>848593890590118</v>
      </c>
      <c r="AW414" s="6">
        <v>743056613650467</v>
      </c>
      <c r="AX414" s="6">
        <v>89900411872929</v>
      </c>
      <c r="AY414" s="6">
        <v>937973460097179</v>
      </c>
      <c r="AZ414" s="6">
        <v>105843096768359</v>
      </c>
      <c r="BA414" s="6">
        <v>108627166021374</v>
      </c>
      <c r="BB414" s="6">
        <v>983411820510119</v>
      </c>
      <c r="BC414" s="6">
        <v>12256098446592</v>
      </c>
      <c r="BD414" s="6">
        <v>105366800788322</v>
      </c>
      <c r="BE414" s="6">
        <v>107756816967348</v>
      </c>
      <c r="BF414" s="6">
        <v>103838903562756</v>
      </c>
      <c r="BG414" s="6">
        <v>991637938152047</v>
      </c>
      <c r="BH414" s="6">
        <v>926605069259908</v>
      </c>
      <c r="BI414" s="6">
        <v>908741707910171</v>
      </c>
      <c r="BJ414" s="6">
        <v>860251304950576</v>
      </c>
      <c r="BK414" s="6">
        <v>76098727864983</v>
      </c>
      <c r="BL414" s="6">
        <v>830396728108584</v>
      </c>
      <c r="BM414" s="6">
        <v>845435574628281</v>
      </c>
    </row>
    <row r="415" spans="1:65" x14ac:dyDescent="0.45">
      <c r="A415" s="1" t="s">
        <v>409</v>
      </c>
      <c r="B415" s="2">
        <v>4913043</v>
      </c>
      <c r="C415" s="3" t="s">
        <v>1426</v>
      </c>
      <c r="D415" s="3" t="s">
        <v>1427</v>
      </c>
      <c r="E415" s="3" t="s">
        <v>1428</v>
      </c>
      <c r="F415" s="5">
        <v>828363106271083</v>
      </c>
      <c r="G415" s="5">
        <v>815835553922551</v>
      </c>
      <c r="H415" s="5">
        <v>72401629211895</v>
      </c>
      <c r="I415" s="5">
        <v>786218512959067</v>
      </c>
      <c r="J415" s="5">
        <v>901445348898472</v>
      </c>
      <c r="K415" s="5">
        <v>95678726521728</v>
      </c>
      <c r="L415" s="5">
        <v>870559678881984</v>
      </c>
      <c r="M415" s="5">
        <v>84819668741808</v>
      </c>
      <c r="N415" s="5">
        <v>898698267782417</v>
      </c>
      <c r="O415" s="5">
        <v>879243944671053</v>
      </c>
      <c r="P415" s="5">
        <v>946455902106598</v>
      </c>
      <c r="Q415" s="5">
        <v>100197156592312</v>
      </c>
      <c r="R415" s="5">
        <v>117168945460063</v>
      </c>
      <c r="S415" s="5">
        <v>106045003054615</v>
      </c>
      <c r="T415" s="5">
        <v>101296822269422</v>
      </c>
      <c r="U415" s="5">
        <v>93459415905022</v>
      </c>
      <c r="V415" s="5">
        <v>104218047933813</v>
      </c>
      <c r="W415" s="5">
        <v>102017616690525</v>
      </c>
      <c r="X415" s="5">
        <v>972505790222113</v>
      </c>
      <c r="Y415" s="5">
        <v>911716130569628</v>
      </c>
      <c r="Z415" s="5">
        <v>946301458799822</v>
      </c>
      <c r="AA415" s="5">
        <v>898933266986832</v>
      </c>
      <c r="AB415" s="5">
        <v>857067520037018</v>
      </c>
      <c r="AC415" s="5">
        <v>704958411426119</v>
      </c>
      <c r="AD415" s="5">
        <v>786891217126743</v>
      </c>
      <c r="AE415" s="5">
        <v>742229011135731</v>
      </c>
      <c r="AF415" s="5">
        <v>680839467139873</v>
      </c>
      <c r="AG415" s="5">
        <v>671344981902729</v>
      </c>
      <c r="AH415" s="5">
        <v>66917996584608</v>
      </c>
      <c r="AI415" s="5">
        <v>601127728887078</v>
      </c>
      <c r="AJ415" s="5">
        <v>6035774691372</v>
      </c>
      <c r="AK415" s="5">
        <v>639444913442599</v>
      </c>
      <c r="AL415" s="5">
        <v>57974872336421</v>
      </c>
      <c r="AM415" s="5">
        <v>521331199458524</v>
      </c>
      <c r="AN415" s="5">
        <v>600243380282801</v>
      </c>
      <c r="AO415" s="5">
        <v>63339534129139</v>
      </c>
      <c r="AP415" s="6">
        <v>623281168092827</v>
      </c>
      <c r="AQ415" s="6">
        <v>609290838153192</v>
      </c>
      <c r="AR415" s="6">
        <v>5777440623</v>
      </c>
      <c r="AS415" s="6">
        <v>572336501492413</v>
      </c>
      <c r="AT415" s="6">
        <v>52194419517669</v>
      </c>
      <c r="AU415" s="6">
        <v>5739285555</v>
      </c>
      <c r="AV415" s="6">
        <v>544622213789322</v>
      </c>
      <c r="AW415" s="6">
        <v>515383853024925</v>
      </c>
      <c r="AX415" s="6">
        <v>552389313</v>
      </c>
      <c r="AY415" s="6">
        <v>495753397461313</v>
      </c>
      <c r="AZ415" s="6">
        <v>50570780034</v>
      </c>
      <c r="BA415" s="6">
        <v>4894054587</v>
      </c>
      <c r="BB415" s="6">
        <v>471156866459104</v>
      </c>
      <c r="BC415" s="6">
        <v>553344428341371</v>
      </c>
      <c r="BD415" s="6">
        <v>527080268140038</v>
      </c>
      <c r="BE415" s="6">
        <v>544249323753914</v>
      </c>
      <c r="BF415" s="6">
        <v>574154930877005</v>
      </c>
      <c r="BG415" s="6">
        <v>57547114275</v>
      </c>
      <c r="BH415" s="6">
        <v>543652374312086</v>
      </c>
      <c r="BI415" s="6">
        <v>577496412730675</v>
      </c>
      <c r="BJ415" s="6">
        <v>5667927494</v>
      </c>
      <c r="BK415" s="6">
        <v>580001316926533</v>
      </c>
      <c r="BL415" s="6">
        <v>608934198120394</v>
      </c>
      <c r="BM415" s="6">
        <v>60086267494</v>
      </c>
    </row>
    <row r="416" spans="1:65" x14ac:dyDescent="0.45">
      <c r="A416" s="1" t="s">
        <v>410</v>
      </c>
      <c r="B416" s="2">
        <v>4039450</v>
      </c>
      <c r="C416" s="3" t="s">
        <v>1429</v>
      </c>
      <c r="D416" s="3" t="s">
        <v>1430</v>
      </c>
      <c r="E416" s="3" t="s">
        <v>1039</v>
      </c>
      <c r="F416" s="5">
        <v>113923025791677</v>
      </c>
      <c r="G416" s="5">
        <v>132767971617742</v>
      </c>
      <c r="H416" s="5">
        <v>124480764347562</v>
      </c>
      <c r="I416" s="5">
        <v>106776858652306</v>
      </c>
      <c r="J416" s="5">
        <v>118015637148262</v>
      </c>
      <c r="K416" s="5">
        <v>117465506605947</v>
      </c>
      <c r="L416" s="5">
        <v>102110535716239</v>
      </c>
      <c r="M416" s="5">
        <v>109487737566605</v>
      </c>
      <c r="N416" s="5">
        <v>10257636429821</v>
      </c>
      <c r="O416" s="5">
        <v>105151237882722</v>
      </c>
      <c r="P416" s="5">
        <v>107543673840604</v>
      </c>
      <c r="Q416" s="5">
        <v>110450715043981</v>
      </c>
      <c r="R416" s="5">
        <v>117328340994771</v>
      </c>
      <c r="S416" s="5">
        <v>117899716353911</v>
      </c>
      <c r="T416" s="5">
        <v>125942349713412</v>
      </c>
      <c r="U416" s="5">
        <v>114914431137029</v>
      </c>
      <c r="V416" s="5">
        <v>12342698843929</v>
      </c>
      <c r="W416" s="5">
        <v>112183853360246</v>
      </c>
      <c r="X416" s="5">
        <v>113629269475454</v>
      </c>
      <c r="Y416" s="5">
        <v>108356602978965</v>
      </c>
      <c r="Z416" s="5">
        <v>102958862220855</v>
      </c>
      <c r="AA416" s="5">
        <v>99026819931132</v>
      </c>
      <c r="AB416" s="5">
        <v>953267714228676</v>
      </c>
      <c r="AC416" s="5">
        <v>801448253530968</v>
      </c>
      <c r="AD416" s="5">
        <v>773439625059537</v>
      </c>
      <c r="AE416" s="5">
        <v>692155161676042</v>
      </c>
      <c r="AF416" s="5">
        <v>581987720192719</v>
      </c>
      <c r="AG416" s="5">
        <v>614029301118276</v>
      </c>
      <c r="AH416" s="5">
        <v>614846242627114</v>
      </c>
      <c r="AI416" s="5">
        <v>600041061199811</v>
      </c>
      <c r="AJ416" s="5">
        <v>629694442268986</v>
      </c>
      <c r="AK416" s="5">
        <v>633773792754582</v>
      </c>
      <c r="AL416" s="5">
        <v>601197960095172</v>
      </c>
      <c r="AM416" s="5">
        <v>5044288179294</v>
      </c>
      <c r="AN416" s="5">
        <v>657895016972715</v>
      </c>
      <c r="AO416" s="5">
        <v>7879255348602</v>
      </c>
      <c r="AP416" s="6">
        <v>277557265905003</v>
      </c>
      <c r="AQ416" s="6">
        <v>276268628430191</v>
      </c>
      <c r="AR416" s="6">
        <v>278553621126352</v>
      </c>
      <c r="AS416" s="6">
        <v>285472602096702</v>
      </c>
      <c r="AT416" s="6">
        <v>273570624552002</v>
      </c>
      <c r="AU416" s="6">
        <v>26603079594029</v>
      </c>
      <c r="AV416" s="6">
        <v>241703709557541</v>
      </c>
      <c r="AW416" s="6">
        <v>231570410985478</v>
      </c>
      <c r="AX416" s="6">
        <v>238375105794118</v>
      </c>
      <c r="AY416" s="6">
        <v>231917827530812</v>
      </c>
      <c r="AZ416" s="6">
        <v>216478590390704</v>
      </c>
      <c r="BA416" s="6">
        <v>210678815422272</v>
      </c>
      <c r="BB416" s="6">
        <v>200017555495707</v>
      </c>
      <c r="BC416" s="6">
        <v>207960922636691</v>
      </c>
      <c r="BD416" s="6">
        <v>195198803058989</v>
      </c>
      <c r="BE416" s="6">
        <v>178313563656806</v>
      </c>
      <c r="BF416" s="6">
        <v>177878866842547</v>
      </c>
      <c r="BG416" s="6">
        <v>172648587276</v>
      </c>
      <c r="BH416" s="6">
        <v>168239846241262</v>
      </c>
      <c r="BI416" s="6">
        <v>157811005086256</v>
      </c>
      <c r="BJ416" s="6">
        <v>150654653630918</v>
      </c>
      <c r="BK416" s="6">
        <v>162530359343658</v>
      </c>
      <c r="BL416" s="6">
        <v>162120403805003</v>
      </c>
      <c r="BM416" s="6">
        <v>174979655474739</v>
      </c>
    </row>
    <row r="417" spans="1:65" x14ac:dyDescent="0.45">
      <c r="A417" s="1" t="s">
        <v>411</v>
      </c>
      <c r="B417" s="2">
        <v>103647</v>
      </c>
      <c r="C417" s="3" t="s">
        <v>1431</v>
      </c>
      <c r="D417" s="3" t="s">
        <v>1432</v>
      </c>
      <c r="E417" s="3" t="s">
        <v>556</v>
      </c>
      <c r="F417" s="5">
        <v>225704330792257</v>
      </c>
      <c r="G417" s="5">
        <v>235571307869358</v>
      </c>
      <c r="H417" s="5">
        <v>232938224898625</v>
      </c>
      <c r="I417" s="5">
        <v>204117445834077</v>
      </c>
      <c r="J417" s="5">
        <v>206337391962428</v>
      </c>
      <c r="K417" s="5">
        <v>204246625231107</v>
      </c>
      <c r="L417" s="5">
        <v>205837479724029</v>
      </c>
      <c r="M417" s="5">
        <v>222268322593643</v>
      </c>
      <c r="N417" s="5">
        <v>21822330745032</v>
      </c>
      <c r="O417" s="5">
        <v>214387664757026</v>
      </c>
      <c r="P417" s="5">
        <v>205196331381818</v>
      </c>
      <c r="Q417" s="5">
        <v>218389553246422</v>
      </c>
      <c r="R417" s="5">
        <v>206617874353418</v>
      </c>
      <c r="S417" s="5">
        <v>199596548050638</v>
      </c>
      <c r="T417" s="5">
        <v>21466039685654</v>
      </c>
      <c r="U417" s="5">
        <v>210435129469986</v>
      </c>
      <c r="V417" s="5">
        <v>197718010453399</v>
      </c>
      <c r="W417" s="5">
        <v>186201431667323</v>
      </c>
      <c r="X417" s="5">
        <v>18668766227835</v>
      </c>
      <c r="Y417" s="5">
        <v>191524660836005</v>
      </c>
      <c r="Z417" s="5">
        <v>195856934203237</v>
      </c>
      <c r="AA417" s="5">
        <v>203314940287085</v>
      </c>
      <c r="AB417" s="5">
        <v>149781641185048</v>
      </c>
      <c r="AC417" s="5">
        <v>141751492451911</v>
      </c>
      <c r="AD417" s="5">
        <v>143479626974002</v>
      </c>
      <c r="AE417" s="5">
        <v>132518263134309</v>
      </c>
      <c r="AF417" s="5">
        <v>118442584984552</v>
      </c>
      <c r="AG417" s="5">
        <v>112437765562363</v>
      </c>
      <c r="AH417" s="5">
        <v>121200857930521</v>
      </c>
      <c r="AI417" s="5">
        <v>128137943829199</v>
      </c>
      <c r="AJ417" s="5">
        <v>122660482538949</v>
      </c>
      <c r="AK417" s="5">
        <v>123327665747298</v>
      </c>
      <c r="AL417" s="5">
        <v>124347477616185</v>
      </c>
      <c r="AM417" s="5">
        <v>114885743053172</v>
      </c>
      <c r="AN417" s="5">
        <v>162716475645949</v>
      </c>
      <c r="AO417" s="5">
        <v>192719251109299</v>
      </c>
      <c r="AP417" s="6">
        <v>377125747163689</v>
      </c>
      <c r="AQ417" s="6">
        <v>38761080134116</v>
      </c>
      <c r="AR417" s="6">
        <v>365511373684168</v>
      </c>
      <c r="AS417" s="6">
        <v>414135482981337</v>
      </c>
      <c r="AT417" s="6">
        <v>402923644359555</v>
      </c>
      <c r="AU417" s="6">
        <v>42499425573</v>
      </c>
      <c r="AV417" s="6">
        <v>410286349044</v>
      </c>
      <c r="AW417" s="6">
        <v>415342897428388</v>
      </c>
      <c r="AX417" s="6">
        <v>407323528449705</v>
      </c>
      <c r="AY417" s="6">
        <v>375106871198308</v>
      </c>
      <c r="AZ417" s="6">
        <v>373772356081697</v>
      </c>
      <c r="BA417" s="6">
        <v>3425635450484</v>
      </c>
      <c r="BB417" s="6">
        <v>307271927832112</v>
      </c>
      <c r="BC417" s="6">
        <v>3414156712537</v>
      </c>
      <c r="BD417" s="6">
        <v>359100247325024</v>
      </c>
      <c r="BE417" s="6">
        <v>356531410368</v>
      </c>
      <c r="BF417" s="6">
        <v>339230640945</v>
      </c>
      <c r="BG417" s="6">
        <v>298703771377352</v>
      </c>
      <c r="BH417" s="6">
        <v>295312733625</v>
      </c>
      <c r="BI417" s="6">
        <v>310145071674814</v>
      </c>
      <c r="BJ417" s="6">
        <v>290797283659316</v>
      </c>
      <c r="BK417" s="6">
        <v>288569159424</v>
      </c>
      <c r="BL417" s="6">
        <v>274589827347818</v>
      </c>
      <c r="BM417" s="6">
        <v>252958388690789</v>
      </c>
    </row>
    <row r="418" spans="1:65" x14ac:dyDescent="0.45">
      <c r="A418" s="1" t="s">
        <v>412</v>
      </c>
      <c r="B418" s="2">
        <v>4914369</v>
      </c>
      <c r="C418" s="3" t="s">
        <v>1433</v>
      </c>
      <c r="D418" s="3" t="s">
        <v>1434</v>
      </c>
      <c r="E418" s="3" t="s">
        <v>768</v>
      </c>
      <c r="F418" s="5">
        <v>444373026167262</v>
      </c>
      <c r="G418" s="5">
        <v>46767922535163</v>
      </c>
      <c r="H418" s="5">
        <v>494969593370983</v>
      </c>
      <c r="I418" s="5">
        <v>460875119841443</v>
      </c>
      <c r="J418" s="5">
        <v>457266462417766</v>
      </c>
      <c r="K418" s="5">
        <v>458121532343331</v>
      </c>
      <c r="L418" s="5">
        <v>423179709628722</v>
      </c>
      <c r="M418" s="5">
        <v>405729704075036</v>
      </c>
      <c r="N418" s="5">
        <v>440473315840288</v>
      </c>
      <c r="O418" s="5">
        <v>400242806623741</v>
      </c>
      <c r="P418" s="5">
        <v>369666294057181</v>
      </c>
      <c r="Q418" s="5">
        <v>362451396955899</v>
      </c>
      <c r="R418" s="5">
        <v>350449774265415</v>
      </c>
      <c r="S418" s="5">
        <v>324392274129092</v>
      </c>
      <c r="T418" s="5">
        <v>31238957403911</v>
      </c>
      <c r="U418" s="5">
        <v>300877279668216</v>
      </c>
      <c r="V418" s="5">
        <v>310187258879674</v>
      </c>
      <c r="W418" s="5">
        <v>31069906110697</v>
      </c>
      <c r="X418" s="5">
        <v>304084852175976</v>
      </c>
      <c r="Y418" s="5">
        <v>293909140452488</v>
      </c>
      <c r="Z418" s="5">
        <v>282721116715533</v>
      </c>
      <c r="AA418" s="5">
        <v>279160375433098</v>
      </c>
      <c r="AB418" s="5">
        <v>249385310958157</v>
      </c>
      <c r="AC418" s="5">
        <v>249383961281128</v>
      </c>
      <c r="AD418" s="5">
        <v>259200639698911</v>
      </c>
      <c r="AE418" s="5">
        <v>257555864737279</v>
      </c>
      <c r="AF418" s="5">
        <v>245371735209952</v>
      </c>
      <c r="AG418" s="5">
        <v>253929609911249</v>
      </c>
      <c r="AH418" s="5">
        <v>258649673515638</v>
      </c>
      <c r="AI418" s="5">
        <v>255690996669068</v>
      </c>
      <c r="AJ418" s="5">
        <v>239586180122365</v>
      </c>
      <c r="AK418" s="5">
        <v>253863603211725</v>
      </c>
      <c r="AL418" s="5">
        <v>251804522144442</v>
      </c>
      <c r="AM418" s="5">
        <v>25169984346325</v>
      </c>
      <c r="AN418" s="5">
        <v>273316089044384</v>
      </c>
      <c r="AO418" s="5">
        <v>292413340022459</v>
      </c>
      <c r="AP418" s="6">
        <v>476080962639354</v>
      </c>
      <c r="AQ418" s="6">
        <v>484555594439709</v>
      </c>
      <c r="AR418" s="6">
        <v>470071066010057</v>
      </c>
      <c r="AS418" s="6">
        <v>462961337703643</v>
      </c>
      <c r="AT418" s="6">
        <v>439675205611789</v>
      </c>
      <c r="AU418" s="6">
        <v>423191866628662</v>
      </c>
      <c r="AV418" s="6">
        <v>369842385795334</v>
      </c>
      <c r="AW418" s="6">
        <v>34554714343962</v>
      </c>
      <c r="AX418" s="6">
        <v>374233623925786</v>
      </c>
      <c r="AY418" s="6">
        <v>353792104841013</v>
      </c>
      <c r="AZ418" s="6">
        <v>350837732903008</v>
      </c>
      <c r="BA418" s="6">
        <v>342745776021267</v>
      </c>
      <c r="BB418" s="6">
        <v>320076255851042</v>
      </c>
      <c r="BC418" s="6">
        <v>34884804433418</v>
      </c>
      <c r="BD418" s="6">
        <v>323785846714716</v>
      </c>
      <c r="BE418" s="6">
        <v>363945218253707</v>
      </c>
      <c r="BF418" s="6">
        <v>364579592081058</v>
      </c>
      <c r="BG418" s="6">
        <v>349830042754509</v>
      </c>
      <c r="BH418" s="6">
        <v>325087450091981</v>
      </c>
      <c r="BI418" s="6">
        <v>302710509380801</v>
      </c>
      <c r="BJ418" s="6">
        <v>28336624126696</v>
      </c>
      <c r="BK418" s="6">
        <v>298498422352597</v>
      </c>
      <c r="BL418" s="6">
        <v>307518342515748</v>
      </c>
      <c r="BM418" s="6">
        <v>311914071567619</v>
      </c>
    </row>
    <row r="419" spans="1:65" x14ac:dyDescent="0.45">
      <c r="A419" s="1" t="s">
        <v>413</v>
      </c>
      <c r="B419" s="2">
        <v>4004135</v>
      </c>
      <c r="C419" s="3" t="s">
        <v>1435</v>
      </c>
      <c r="D419" s="3" t="s">
        <v>1436</v>
      </c>
      <c r="E419" s="3" t="s">
        <v>1123</v>
      </c>
      <c r="F419" s="5">
        <v>301220634677676</v>
      </c>
      <c r="G419" s="5">
        <v>320200835065966</v>
      </c>
      <c r="H419" s="5">
        <v>306581775626281</v>
      </c>
      <c r="I419" s="5">
        <v>288080318760112</v>
      </c>
      <c r="J419" s="5">
        <v>293166812107161</v>
      </c>
      <c r="K419" s="5">
        <v>303230439009635</v>
      </c>
      <c r="L419" s="5">
        <v>269648655091109</v>
      </c>
      <c r="M419" s="5">
        <v>290025534109188</v>
      </c>
      <c r="N419" s="5">
        <v>294560434683497</v>
      </c>
      <c r="O419" s="5">
        <v>27844323442749</v>
      </c>
      <c r="P419" s="5">
        <v>293688733781636</v>
      </c>
      <c r="Q419" s="5">
        <v>342134256627051</v>
      </c>
      <c r="R419" s="5">
        <v>381061977954565</v>
      </c>
      <c r="S419" s="5">
        <v>371144733022439</v>
      </c>
      <c r="T419" s="5">
        <v>339277507219819</v>
      </c>
      <c r="U419" s="5">
        <v>298901568899643</v>
      </c>
      <c r="V419" s="5">
        <v>291637501223596</v>
      </c>
      <c r="W419" s="5">
        <v>29416551213811</v>
      </c>
      <c r="X419" s="5">
        <v>2859652973342</v>
      </c>
      <c r="Y419" s="5">
        <v>278218214566884</v>
      </c>
      <c r="Z419" s="5">
        <v>289307052637091</v>
      </c>
      <c r="AA419" s="5">
        <v>280116665644959</v>
      </c>
      <c r="AB419" s="5">
        <v>229873656323566</v>
      </c>
      <c r="AC419" s="5">
        <v>240191266367884</v>
      </c>
      <c r="AD419" s="5">
        <v>233777776799737</v>
      </c>
      <c r="AE419" s="5">
        <v>249888673617288</v>
      </c>
      <c r="AF419" s="5">
        <v>246361754364224</v>
      </c>
      <c r="AG419" s="5">
        <v>254579399611268</v>
      </c>
      <c r="AH419" s="5">
        <v>256665703877883</v>
      </c>
      <c r="AI419" s="5">
        <v>241367439957007</v>
      </c>
      <c r="AJ419" s="5">
        <v>239414816364848</v>
      </c>
      <c r="AK419" s="5">
        <v>240387706384932</v>
      </c>
      <c r="AL419" s="5">
        <v>215839989962366</v>
      </c>
      <c r="AM419" s="5">
        <v>182605152404511</v>
      </c>
      <c r="AN419" s="5">
        <v>21607389411051</v>
      </c>
      <c r="AO419" s="5">
        <v>224434337207124</v>
      </c>
      <c r="AP419" s="6">
        <v>595293608289862</v>
      </c>
      <c r="AQ419" s="6">
        <v>590040017321326</v>
      </c>
      <c r="AR419" s="6">
        <v>589517349275889</v>
      </c>
      <c r="AS419" s="6">
        <v>59198937209136</v>
      </c>
      <c r="AT419" s="6">
        <v>55354065399936</v>
      </c>
      <c r="AU419" s="6">
        <v>527684104656</v>
      </c>
      <c r="AV419" s="6">
        <v>505376332394869</v>
      </c>
      <c r="AW419" s="6">
        <v>499288376129802</v>
      </c>
      <c r="AX419" s="6">
        <v>494383742469603</v>
      </c>
      <c r="AY419" s="6">
        <v>476384572073995</v>
      </c>
      <c r="AZ419" s="6">
        <v>451409248925441</v>
      </c>
      <c r="BA419" s="6">
        <v>436534833070152</v>
      </c>
      <c r="BB419" s="6">
        <v>39467890060518</v>
      </c>
      <c r="BC419" s="6">
        <v>430094566085975</v>
      </c>
      <c r="BD419" s="6">
        <v>403463949967524</v>
      </c>
      <c r="BE419" s="6">
        <v>380569980014212</v>
      </c>
      <c r="BF419" s="6">
        <v>38249633150387</v>
      </c>
      <c r="BG419" s="6">
        <v>42011455356594</v>
      </c>
      <c r="BH419" s="6">
        <v>401537089160506</v>
      </c>
      <c r="BI419" s="6">
        <v>389584026021726</v>
      </c>
      <c r="BJ419" s="6">
        <v>386758704962112</v>
      </c>
      <c r="BK419" s="6">
        <v>366138440854488</v>
      </c>
      <c r="BL419" s="6">
        <v>355538934345395</v>
      </c>
      <c r="BM419" s="6">
        <v>363954833288579</v>
      </c>
    </row>
    <row r="420" spans="1:65" x14ac:dyDescent="0.45">
      <c r="A420" s="1" t="s">
        <v>414</v>
      </c>
      <c r="B420" s="2">
        <v>4912995</v>
      </c>
      <c r="C420" s="3" t="s">
        <v>1437</v>
      </c>
      <c r="D420" s="3" t="s">
        <v>1438</v>
      </c>
      <c r="E420" s="3" t="s">
        <v>768</v>
      </c>
      <c r="F420" s="5">
        <v>158114751460392</v>
      </c>
      <c r="G420" s="5">
        <v>159258428193615</v>
      </c>
      <c r="H420" s="5">
        <v>16235339002154</v>
      </c>
      <c r="I420" s="5">
        <v>149319572630237</v>
      </c>
      <c r="J420" s="5">
        <v>148110522911915</v>
      </c>
      <c r="K420" s="5">
        <v>138234332292478</v>
      </c>
      <c r="L420" s="5">
        <v>130485242928175</v>
      </c>
      <c r="M420" s="5">
        <v>126741634364725</v>
      </c>
      <c r="N420" s="5">
        <v>140923111672195</v>
      </c>
      <c r="O420" s="5">
        <v>132206532886123</v>
      </c>
      <c r="P420" s="5">
        <v>13003030558518</v>
      </c>
      <c r="Q420" s="5">
        <v>13600648168234</v>
      </c>
      <c r="R420" s="5">
        <v>129414424330676</v>
      </c>
      <c r="S420" s="5">
        <v>121588062268957</v>
      </c>
      <c r="T420" s="5">
        <v>115130200393239</v>
      </c>
      <c r="U420" s="5">
        <v>112218125822136</v>
      </c>
      <c r="V420" s="5">
        <v>113530715930417</v>
      </c>
      <c r="W420" s="5">
        <v>119767669385883</v>
      </c>
      <c r="X420" s="5">
        <v>118397266103979</v>
      </c>
      <c r="Y420" s="5">
        <v>118453170639858</v>
      </c>
      <c r="Z420" s="5">
        <v>117941449046116</v>
      </c>
      <c r="AA420" s="5">
        <v>116762568385586</v>
      </c>
      <c r="AB420" s="5">
        <v>1014412167216</v>
      </c>
      <c r="AC420" s="5">
        <v>107015793969208</v>
      </c>
      <c r="AD420" s="5">
        <v>10782102806112</v>
      </c>
      <c r="AE420" s="5">
        <v>11188072029193</v>
      </c>
      <c r="AF420" s="5">
        <v>109828947080688</v>
      </c>
      <c r="AG420" s="5">
        <v>112222229932749</v>
      </c>
      <c r="AH420" s="5">
        <v>114679081572888</v>
      </c>
      <c r="AI420" s="5">
        <v>105473881282921</v>
      </c>
      <c r="AJ420" s="5">
        <v>107226556031269</v>
      </c>
      <c r="AK420" s="5">
        <v>116866105453274</v>
      </c>
      <c r="AL420" s="5">
        <v>119784559468357</v>
      </c>
      <c r="AM420" s="5">
        <v>1151897080425</v>
      </c>
      <c r="AN420" s="5">
        <v>106795156290055</v>
      </c>
      <c r="AO420" s="5">
        <v>106592789827896</v>
      </c>
      <c r="AP420" s="6">
        <v>654659062822059</v>
      </c>
      <c r="AQ420" s="6">
        <v>670735041502352</v>
      </c>
      <c r="AR420" s="6">
        <v>625233560193626</v>
      </c>
      <c r="AS420" s="6">
        <v>617996151800037</v>
      </c>
      <c r="AT420" s="6">
        <v>604209120985769</v>
      </c>
      <c r="AU420" s="6">
        <v>594475824668194</v>
      </c>
      <c r="AV420" s="6">
        <v>563538056207834</v>
      </c>
      <c r="AW420" s="6">
        <v>547096891519298</v>
      </c>
      <c r="AX420" s="6">
        <v>594988980911304</v>
      </c>
      <c r="AY420" s="6">
        <v>584635518536573</v>
      </c>
      <c r="AZ420" s="6">
        <v>555380861599667</v>
      </c>
      <c r="BA420" s="6">
        <v>535361254087939</v>
      </c>
      <c r="BB420" s="6">
        <v>481862801266472</v>
      </c>
      <c r="BC420" s="6">
        <v>533923391604365</v>
      </c>
      <c r="BD420" s="6">
        <v>600690174918649</v>
      </c>
      <c r="BE420" s="6">
        <v>598516031097475</v>
      </c>
      <c r="BF420" s="6">
        <v>588109131785734</v>
      </c>
      <c r="BG420" s="6">
        <v>51959763880105</v>
      </c>
      <c r="BH420" s="6">
        <v>510032712893553</v>
      </c>
      <c r="BI420" s="6">
        <v>485665181648164</v>
      </c>
      <c r="BJ420" s="6">
        <v>440559634261032</v>
      </c>
      <c r="BK420" s="6">
        <v>41579052867903</v>
      </c>
      <c r="BL420" s="6">
        <v>424506529738746</v>
      </c>
      <c r="BM420" s="6">
        <v>408272972563662</v>
      </c>
    </row>
    <row r="421" spans="1:65" x14ac:dyDescent="0.45">
      <c r="A421" s="1" t="s">
        <v>415</v>
      </c>
      <c r="B421" s="2">
        <v>4384788</v>
      </c>
      <c r="C421" s="3" t="s">
        <v>1439</v>
      </c>
      <c r="D421" s="3" t="s">
        <v>1440</v>
      </c>
      <c r="E421" s="3" t="s">
        <v>768</v>
      </c>
      <c r="F421" s="5">
        <v>466604648578549</v>
      </c>
      <c r="G421" s="5">
        <v>46740511594212</v>
      </c>
      <c r="H421" s="5">
        <v>476555540256026</v>
      </c>
      <c r="I421" s="5">
        <v>416776101905865</v>
      </c>
      <c r="J421" s="5">
        <v>455060432673816</v>
      </c>
      <c r="K421" s="5">
        <v>442483401427226</v>
      </c>
      <c r="L421" s="5">
        <v>446589305257168</v>
      </c>
      <c r="M421" s="5">
        <v>431614575809994</v>
      </c>
      <c r="N421" s="5">
        <v>49510822823316</v>
      </c>
      <c r="O421" s="5">
        <v>434333719440927</v>
      </c>
      <c r="P421" s="5">
        <v>427396283232582</v>
      </c>
      <c r="Q421" s="5">
        <v>391231389086726</v>
      </c>
      <c r="R421" s="5">
        <v>386391892408671</v>
      </c>
      <c r="S421" s="5">
        <v>364994675437271</v>
      </c>
      <c r="T421" s="5">
        <v>380292640856629</v>
      </c>
      <c r="U421" s="5">
        <v>388649246590403</v>
      </c>
      <c r="V421" s="5">
        <v>37301964402475</v>
      </c>
      <c r="W421" s="5">
        <v>396669250971414</v>
      </c>
      <c r="X421" s="5">
        <v>420687485861537</v>
      </c>
      <c r="Y421" s="5">
        <v>437465923877673</v>
      </c>
      <c r="Z421" s="5">
        <v>419837704247072</v>
      </c>
      <c r="AA421" s="5">
        <v>416838091272</v>
      </c>
      <c r="AB421" s="5">
        <v>367785339830983</v>
      </c>
      <c r="AC421" s="5">
        <v>337512338442473</v>
      </c>
      <c r="AD421" s="5">
        <v>346425424826539</v>
      </c>
      <c r="AE421" s="5">
        <v>336966558433112</v>
      </c>
      <c r="AF421" s="5">
        <v>320929766486959</v>
      </c>
      <c r="AG421" s="5">
        <v>311823804719686</v>
      </c>
      <c r="AH421" s="5">
        <v>358349522069683</v>
      </c>
      <c r="AI421" s="5">
        <v>355298626096491</v>
      </c>
      <c r="AJ421" s="5">
        <v>346236386435034</v>
      </c>
      <c r="AK421" s="5">
        <v>334877138710507</v>
      </c>
      <c r="AL421" s="5">
        <v>338727845502751</v>
      </c>
      <c r="AM421" s="5">
        <v>275059005317096</v>
      </c>
      <c r="AN421" s="5">
        <v>275100229673642</v>
      </c>
      <c r="AO421" s="5">
        <v>321634175586064</v>
      </c>
      <c r="AP421" s="6">
        <v>104481513322468</v>
      </c>
      <c r="AQ421" s="6">
        <v>107874455511216</v>
      </c>
      <c r="AR421" s="6">
        <v>810325737430152</v>
      </c>
      <c r="AS421" s="6">
        <v>773728919866535</v>
      </c>
      <c r="AT421" s="6">
        <v>100517890204359</v>
      </c>
      <c r="AU421" s="6">
        <v>105336566914744</v>
      </c>
      <c r="AV421" s="6">
        <v>891249629357506</v>
      </c>
      <c r="AW421" s="6">
        <v>794095632411125</v>
      </c>
      <c r="AX421" s="6">
        <v>87617438637645</v>
      </c>
      <c r="AY421" s="6">
        <v>781773641577225</v>
      </c>
      <c r="AZ421" s="6">
        <v>764500526576338</v>
      </c>
      <c r="BA421" s="6">
        <v>53862229000368</v>
      </c>
      <c r="BB421" s="6">
        <v>438331550258448</v>
      </c>
      <c r="BC421" s="6">
        <v>54403706827008</v>
      </c>
      <c r="BD421" s="6">
        <v>468463212576397</v>
      </c>
      <c r="BE421" s="6">
        <v>557437281231082</v>
      </c>
      <c r="BF421" s="6">
        <v>524569034366894</v>
      </c>
      <c r="BG421" s="6">
        <v>303495889749272</v>
      </c>
      <c r="BH421" s="6">
        <v>338644855430574</v>
      </c>
      <c r="BI421" s="6">
        <v>309003949945815</v>
      </c>
      <c r="BJ421" s="6">
        <v>17812908274056</v>
      </c>
      <c r="BK421" s="6">
        <v>16960486998816</v>
      </c>
      <c r="BL421" s="6">
        <v>192832620546384</v>
      </c>
      <c r="BM421" s="6">
        <v>160080186219446</v>
      </c>
    </row>
    <row r="422" spans="1:65" x14ac:dyDescent="0.45">
      <c r="A422" s="1" t="s">
        <v>416</v>
      </c>
      <c r="B422" s="2">
        <v>4004136</v>
      </c>
      <c r="C422" s="3" t="s">
        <v>1441</v>
      </c>
      <c r="D422" s="3" t="s">
        <v>1442</v>
      </c>
      <c r="E422" s="3" t="s">
        <v>1443</v>
      </c>
      <c r="F422" s="5">
        <v>298594400777438</v>
      </c>
      <c r="G422" s="5">
        <v>341436342928122</v>
      </c>
      <c r="H422" s="5">
        <v>342329912588383</v>
      </c>
      <c r="I422" s="5">
        <v>319365936800838</v>
      </c>
      <c r="J422" s="5">
        <v>340604065160175</v>
      </c>
      <c r="K422" s="5">
        <v>325793038614047</v>
      </c>
      <c r="L422" s="5">
        <v>323976245117895</v>
      </c>
      <c r="M422" s="5">
        <v>355951202117997</v>
      </c>
      <c r="N422" s="5">
        <v>370352938029601</v>
      </c>
      <c r="O422" s="5">
        <v>37354873078221</v>
      </c>
      <c r="P422" s="5">
        <v>306420697319256</v>
      </c>
      <c r="Q422" s="5">
        <v>286140525430337</v>
      </c>
      <c r="R422" s="5">
        <v>292610524406646</v>
      </c>
      <c r="S422" s="5">
        <v>273996694808164</v>
      </c>
      <c r="T422" s="5">
        <v>257368045827937</v>
      </c>
      <c r="U422" s="5">
        <v>25940344386341</v>
      </c>
      <c r="V422" s="5">
        <v>291397564273407</v>
      </c>
      <c r="W422" s="5">
        <v>256378132142979</v>
      </c>
      <c r="X422" s="5">
        <v>241437510261937</v>
      </c>
      <c r="Y422" s="5">
        <v>229720226759341</v>
      </c>
      <c r="Z422" s="5">
        <v>228423365674531</v>
      </c>
      <c r="AA422" s="5">
        <v>230587438107395</v>
      </c>
      <c r="AB422" s="5">
        <v>202682502453489</v>
      </c>
      <c r="AC422" s="5">
        <v>21638320926966</v>
      </c>
      <c r="AD422" s="5">
        <v>19767462796428</v>
      </c>
      <c r="AE422" s="5">
        <v>213799599822798</v>
      </c>
      <c r="AF422" s="5">
        <v>21401874148954</v>
      </c>
      <c r="AG422" s="5">
        <v>223607631589484</v>
      </c>
      <c r="AH422" s="5">
        <v>232182227212118</v>
      </c>
      <c r="AI422" s="5">
        <v>228772321662604</v>
      </c>
      <c r="AJ422" s="5">
        <v>233993160709873</v>
      </c>
      <c r="AK422" s="5">
        <v>230680715500096</v>
      </c>
      <c r="AL422" s="5">
        <v>224769517515087</v>
      </c>
      <c r="AM422" s="5">
        <v>215984496</v>
      </c>
      <c r="AN422" s="5">
        <v>204779098495876</v>
      </c>
      <c r="AO422" s="5">
        <v>193964052549164</v>
      </c>
      <c r="AP422" s="6">
        <v>314990875481078</v>
      </c>
      <c r="AQ422" s="6">
        <v>320284579991965</v>
      </c>
      <c r="AR422" s="6">
        <v>303473318372089</v>
      </c>
      <c r="AS422" s="6">
        <v>355071341801335</v>
      </c>
      <c r="AT422" s="6">
        <v>347917069630951</v>
      </c>
      <c r="AU422" s="6">
        <v>343027124718365</v>
      </c>
      <c r="AV422" s="6">
        <v>3433044322814</v>
      </c>
      <c r="AW422" s="6">
        <v>342028149801539</v>
      </c>
      <c r="AX422" s="6">
        <v>336020048798437</v>
      </c>
      <c r="AY422" s="6">
        <v>32188902373085</v>
      </c>
      <c r="AZ422" s="6">
        <v>307399121750422</v>
      </c>
      <c r="BA422" s="6">
        <v>28889616312</v>
      </c>
      <c r="BB422" s="6">
        <v>277039997613786</v>
      </c>
      <c r="BC422" s="6">
        <v>304993434862863</v>
      </c>
      <c r="BD422" s="6">
        <v>292834177812034</v>
      </c>
      <c r="BE422" s="6">
        <v>298845298623137</v>
      </c>
      <c r="BF422" s="6">
        <v>303481580214554</v>
      </c>
      <c r="BG422" s="6">
        <v>297676146605595</v>
      </c>
      <c r="BH422" s="6">
        <v>283389546551077</v>
      </c>
      <c r="BI422" s="6">
        <v>297913361571988</v>
      </c>
      <c r="BJ422" s="6">
        <v>294560813436915</v>
      </c>
      <c r="BK422" s="6">
        <v>30649903529697</v>
      </c>
      <c r="BL422" s="6">
        <v>30899630280519</v>
      </c>
      <c r="BM422" s="6">
        <v>327093147232</v>
      </c>
    </row>
    <row r="423" spans="1:65" x14ac:dyDescent="0.45">
      <c r="A423" s="1" t="s">
        <v>417</v>
      </c>
      <c r="B423" s="2">
        <v>4097833</v>
      </c>
      <c r="C423" s="3" t="s">
        <v>1444</v>
      </c>
      <c r="D423" s="3" t="s">
        <v>1445</v>
      </c>
      <c r="E423" s="3" t="s">
        <v>721</v>
      </c>
      <c r="F423" s="5">
        <v>139764601011504</v>
      </c>
      <c r="G423" s="5">
        <v>169374367297607</v>
      </c>
      <c r="H423" s="5">
        <v>187678180676689</v>
      </c>
      <c r="I423" s="5">
        <v>170171611566085</v>
      </c>
      <c r="J423" s="5">
        <v>184674867127828</v>
      </c>
      <c r="K423" s="5">
        <v>186889414808456</v>
      </c>
      <c r="L423" s="5">
        <v>16354936750702</v>
      </c>
      <c r="M423" s="5">
        <v>211389849771173</v>
      </c>
      <c r="N423" s="5">
        <v>218150828467849</v>
      </c>
      <c r="O423" s="5">
        <v>220482086221075</v>
      </c>
      <c r="P423" s="5">
        <v>171959604341866</v>
      </c>
      <c r="Q423" s="5">
        <v>135163091431699</v>
      </c>
      <c r="R423" s="5">
        <v>130920077302207</v>
      </c>
      <c r="S423" s="5">
        <v>115050547426468</v>
      </c>
      <c r="T423" s="5">
        <v>136571948440068</v>
      </c>
      <c r="U423" s="5">
        <v>117081259748759</v>
      </c>
      <c r="V423" s="5">
        <v>103570908749898</v>
      </c>
      <c r="W423" s="5">
        <v>999857331988065</v>
      </c>
      <c r="X423" s="5">
        <v>10221129191833</v>
      </c>
      <c r="Y423" s="5">
        <v>112617325798789</v>
      </c>
      <c r="Z423" s="5">
        <v>111038907115251</v>
      </c>
      <c r="AA423" s="5">
        <v>102096357406082</v>
      </c>
      <c r="AB423" s="5">
        <v>92116270265922</v>
      </c>
      <c r="AC423" s="5">
        <v>810716139633602</v>
      </c>
      <c r="AD423" s="5">
        <v>713093903028878</v>
      </c>
      <c r="AE423" s="5">
        <v>696537412074112</v>
      </c>
      <c r="AF423" s="5">
        <v>601799709287305</v>
      </c>
      <c r="AG423" s="5">
        <v>589815991614352</v>
      </c>
      <c r="AH423" s="5">
        <v>578089334879214</v>
      </c>
      <c r="AI423" s="5">
        <v>431559970343978</v>
      </c>
      <c r="AJ423" s="5">
        <v>421333807986553</v>
      </c>
      <c r="AK423" s="5">
        <v>41218307837029</v>
      </c>
      <c r="AL423" s="5">
        <v>398778267130277</v>
      </c>
      <c r="AM423" s="5">
        <v>37293904488204</v>
      </c>
      <c r="AN423" s="5">
        <v>586531093609352</v>
      </c>
      <c r="AO423" s="5">
        <v>677821519824768</v>
      </c>
      <c r="AP423" s="6">
        <v>232292718389874</v>
      </c>
      <c r="AQ423" s="6">
        <v>247963156630072</v>
      </c>
      <c r="AR423" s="6">
        <v>209952945128914</v>
      </c>
      <c r="AS423" s="6">
        <v>215294466280866</v>
      </c>
      <c r="AT423" s="6">
        <v>224806323995275</v>
      </c>
      <c r="AU423" s="6">
        <v>231251386137445</v>
      </c>
      <c r="AV423" s="6">
        <v>220851190622949</v>
      </c>
      <c r="AW423" s="6">
        <v>213179887582375</v>
      </c>
      <c r="AX423" s="6">
        <v>219770523781088</v>
      </c>
      <c r="AY423" s="6">
        <v>177849974210338</v>
      </c>
      <c r="AZ423" s="6">
        <v>147713323369609</v>
      </c>
      <c r="BA423" s="6">
        <v>145127955330878</v>
      </c>
      <c r="BB423" s="6">
        <v>142567502368351</v>
      </c>
      <c r="BC423" s="6">
        <v>1518455816273</v>
      </c>
      <c r="BD423" s="6">
        <v>150884189458384</v>
      </c>
      <c r="BE423" s="6">
        <v>14969135099599</v>
      </c>
      <c r="BF423" s="6">
        <v>143526688792777</v>
      </c>
      <c r="BG423" s="6">
        <v>144635941213306</v>
      </c>
      <c r="BH423" s="6">
        <v>133897661212921</v>
      </c>
      <c r="BI423" s="6">
        <v>127164621575071</v>
      </c>
      <c r="BJ423" s="6">
        <v>124945366701244</v>
      </c>
      <c r="BK423" s="6">
        <v>12281691706807</v>
      </c>
      <c r="BL423" s="6">
        <v>127042594016771</v>
      </c>
      <c r="BM423" s="6">
        <v>131604500603685</v>
      </c>
    </row>
    <row r="424" spans="1:65" x14ac:dyDescent="0.45">
      <c r="A424" s="1" t="s">
        <v>418</v>
      </c>
      <c r="B424" s="2">
        <v>100406</v>
      </c>
      <c r="C424" s="3" t="s">
        <v>1446</v>
      </c>
      <c r="D424" s="3" t="s">
        <v>1447</v>
      </c>
      <c r="E424" s="3" t="s">
        <v>637</v>
      </c>
      <c r="F424" s="5">
        <v>596042846929891</v>
      </c>
      <c r="G424" s="5">
        <v>658062279396548</v>
      </c>
      <c r="H424" s="5">
        <v>66118106316</v>
      </c>
      <c r="I424" s="5">
        <v>624940871054981</v>
      </c>
      <c r="J424" s="5">
        <v>643395155243128</v>
      </c>
      <c r="K424" s="5">
        <v>66864593736</v>
      </c>
      <c r="L424" s="5">
        <v>624187587299515</v>
      </c>
      <c r="M424" s="5">
        <v>676203138926227</v>
      </c>
      <c r="N424" s="5">
        <v>6540910035</v>
      </c>
      <c r="O424" s="5">
        <v>694810257055301</v>
      </c>
      <c r="P424" s="5">
        <v>742473242030179</v>
      </c>
      <c r="Q424" s="5">
        <v>7724130624</v>
      </c>
      <c r="R424" s="5">
        <v>745188589110495</v>
      </c>
      <c r="S424" s="5">
        <v>738684840221688</v>
      </c>
      <c r="T424" s="5">
        <v>77196968712</v>
      </c>
      <c r="U424" s="5">
        <v>717380893426347</v>
      </c>
      <c r="V424" s="5">
        <v>688063704232414</v>
      </c>
      <c r="W424" s="5">
        <v>653311608448389</v>
      </c>
      <c r="X424" s="5">
        <v>683541783978294</v>
      </c>
      <c r="Y424" s="5">
        <v>678647228860141</v>
      </c>
      <c r="Z424" s="5">
        <v>66049902375</v>
      </c>
      <c r="AA424" s="5">
        <v>633695741954654</v>
      </c>
      <c r="AB424" s="5">
        <v>590022564123737</v>
      </c>
      <c r="AC424" s="5">
        <v>50130273024</v>
      </c>
      <c r="AD424" s="5">
        <v>516099650388375</v>
      </c>
      <c r="AE424" s="5">
        <v>489472874270116</v>
      </c>
      <c r="AF424" s="5">
        <v>40754068494054</v>
      </c>
      <c r="AG424" s="5">
        <v>39733193473764</v>
      </c>
      <c r="AH424" s="5">
        <v>394867457965988</v>
      </c>
      <c r="AI424" s="5">
        <v>38321464175</v>
      </c>
      <c r="AJ424" s="5">
        <v>39663940816049</v>
      </c>
      <c r="AK424" s="5">
        <v>435202025740773</v>
      </c>
      <c r="AL424" s="5">
        <v>41342987928</v>
      </c>
      <c r="AM424" s="5">
        <v>373443322656768</v>
      </c>
      <c r="AN424" s="5">
        <v>4976708016</v>
      </c>
      <c r="AO424" s="5">
        <v>580185793</v>
      </c>
      <c r="AP424" s="6">
        <v>256189453452577</v>
      </c>
      <c r="AQ424" s="6">
        <v>249932614951378</v>
      </c>
      <c r="AR424" s="6">
        <v>242583102304036</v>
      </c>
      <c r="AS424" s="6">
        <v>267437905334115</v>
      </c>
      <c r="AT424" s="6">
        <v>260065100365738</v>
      </c>
      <c r="AU424" s="6">
        <v>26827429459945</v>
      </c>
      <c r="AV424" s="6">
        <v>298598989867476</v>
      </c>
      <c r="AW424" s="6">
        <v>286771458125316</v>
      </c>
      <c r="AX424" s="6">
        <v>306381763662051</v>
      </c>
      <c r="AY424" s="6">
        <v>310077498741437</v>
      </c>
      <c r="AZ424" s="6">
        <v>283811490495056</v>
      </c>
      <c r="BA424" s="6">
        <v>284597099891866</v>
      </c>
      <c r="BB424" s="6">
        <v>233131873877526</v>
      </c>
      <c r="BC424" s="6">
        <v>270708962754493</v>
      </c>
      <c r="BD424" s="6">
        <v>26020906716375</v>
      </c>
      <c r="BE424" s="6">
        <v>2830220039721</v>
      </c>
      <c r="BF424" s="6">
        <v>3082900002545</v>
      </c>
      <c r="BG424" s="6">
        <v>21040860261225</v>
      </c>
      <c r="BH424" s="6">
        <v>192320450508078</v>
      </c>
      <c r="BI424" s="6">
        <v>190680320566836</v>
      </c>
      <c r="BJ424" s="6">
        <v>176358686080469</v>
      </c>
      <c r="BK424" s="6">
        <v>167253751783311</v>
      </c>
      <c r="BL424" s="6">
        <v>188096510079878</v>
      </c>
      <c r="BM424" s="6">
        <v>208624704777631</v>
      </c>
    </row>
    <row r="425" spans="1:65" x14ac:dyDescent="0.45">
      <c r="A425" s="1" t="s">
        <v>419</v>
      </c>
      <c r="B425" s="2">
        <v>4004124</v>
      </c>
      <c r="C425" s="3" t="s">
        <v>1448</v>
      </c>
      <c r="D425" s="3" t="s">
        <v>1449</v>
      </c>
      <c r="E425" s="3" t="s">
        <v>737</v>
      </c>
      <c r="F425" s="5">
        <v>336057830617897</v>
      </c>
      <c r="G425" s="5">
        <v>342754025222662</v>
      </c>
      <c r="H425" s="5">
        <v>322733212368923</v>
      </c>
      <c r="I425" s="5">
        <v>307132460130133</v>
      </c>
      <c r="J425" s="5">
        <v>326719500459947</v>
      </c>
      <c r="K425" s="5">
        <v>326753912229317</v>
      </c>
      <c r="L425" s="5">
        <v>330022114421285</v>
      </c>
      <c r="M425" s="5">
        <v>330716552503163</v>
      </c>
      <c r="N425" s="5">
        <v>365523024612818</v>
      </c>
      <c r="O425" s="5">
        <v>329717730217095</v>
      </c>
      <c r="P425" s="5">
        <v>332760769174877</v>
      </c>
      <c r="Q425" s="5">
        <v>343379087088731</v>
      </c>
      <c r="R425" s="5">
        <v>348075357979215</v>
      </c>
      <c r="S425" s="5">
        <v>310410036591329</v>
      </c>
      <c r="T425" s="5">
        <v>299245307254843</v>
      </c>
      <c r="U425" s="5">
        <v>292902075896766</v>
      </c>
      <c r="V425" s="5">
        <v>292934537620603</v>
      </c>
      <c r="W425" s="5">
        <v>291320762733</v>
      </c>
      <c r="X425" s="5">
        <v>278608798013954</v>
      </c>
      <c r="Y425" s="5">
        <v>270883308873118</v>
      </c>
      <c r="Z425" s="5">
        <v>27153850737954</v>
      </c>
      <c r="AA425" s="5">
        <v>28413614730436</v>
      </c>
      <c r="AB425" s="5">
        <v>251412758713712</v>
      </c>
      <c r="AC425" s="5">
        <v>260085237356701</v>
      </c>
      <c r="AD425" s="5">
        <v>282047607530776</v>
      </c>
      <c r="AE425" s="5">
        <v>288111679630973</v>
      </c>
      <c r="AF425" s="5">
        <v>29171449988099</v>
      </c>
      <c r="AG425" s="5">
        <v>294681260250612</v>
      </c>
      <c r="AH425" s="5">
        <v>288081674711146</v>
      </c>
      <c r="AI425" s="5">
        <v>2748393745592</v>
      </c>
      <c r="AJ425" s="5">
        <v>263036785018274</v>
      </c>
      <c r="AK425" s="5">
        <v>258135354283215</v>
      </c>
      <c r="AL425" s="5">
        <v>266738031641479</v>
      </c>
      <c r="AM425" s="5">
        <v>2471922336884</v>
      </c>
      <c r="AN425" s="5">
        <v>254254965245302</v>
      </c>
      <c r="AO425" s="5">
        <v>27758438300048</v>
      </c>
      <c r="AP425" s="6">
        <v>116083614746693</v>
      </c>
      <c r="AQ425" s="6">
        <v>114258849232432</v>
      </c>
      <c r="AR425" s="6">
        <v>108491385226806</v>
      </c>
      <c r="AS425" s="6">
        <v>10697656930562</v>
      </c>
      <c r="AT425" s="6">
        <v>104522147582444</v>
      </c>
      <c r="AU425" s="6">
        <v>997934865152472</v>
      </c>
      <c r="AV425" s="6">
        <v>103229526098342</v>
      </c>
      <c r="AW425" s="6">
        <v>957985860836841</v>
      </c>
      <c r="AX425" s="6">
        <v>988029373794041</v>
      </c>
      <c r="AY425" s="6">
        <v>973108212189181</v>
      </c>
      <c r="AZ425" s="6">
        <v>90944277387503</v>
      </c>
      <c r="BA425" s="6">
        <v>863405204156656</v>
      </c>
      <c r="BB425" s="6">
        <v>78686849352163</v>
      </c>
      <c r="BC425" s="6">
        <v>887288651883379</v>
      </c>
      <c r="BD425" s="6">
        <v>831491394647735</v>
      </c>
      <c r="BE425" s="6">
        <v>846192978481696</v>
      </c>
      <c r="BF425" s="6">
        <v>829698447835472</v>
      </c>
      <c r="BG425" s="6">
        <v>806279589966793</v>
      </c>
      <c r="BH425" s="6">
        <v>714283573464671</v>
      </c>
      <c r="BI425" s="6">
        <v>718682918511025</v>
      </c>
      <c r="BJ425" s="6">
        <v>70089101764016</v>
      </c>
      <c r="BK425" s="6">
        <v>67456841478204</v>
      </c>
      <c r="BL425" s="6">
        <v>686355746782633</v>
      </c>
      <c r="BM425" s="6">
        <v>722441371366994</v>
      </c>
    </row>
    <row r="426" spans="1:65" x14ac:dyDescent="0.45">
      <c r="A426" s="1" t="s">
        <v>420</v>
      </c>
      <c r="B426" s="2">
        <v>103383</v>
      </c>
      <c r="C426" s="3" t="s">
        <v>1450</v>
      </c>
      <c r="D426" s="3" t="s">
        <v>1451</v>
      </c>
      <c r="E426" s="3" t="s">
        <v>556</v>
      </c>
      <c r="F426" s="5">
        <v>710097044158317</v>
      </c>
      <c r="G426" s="5">
        <v>749742584788438</v>
      </c>
      <c r="H426" s="5">
        <v>75971840367335</v>
      </c>
      <c r="I426" s="5">
        <v>693188612933164</v>
      </c>
      <c r="J426" s="5">
        <v>712304969590079</v>
      </c>
      <c r="K426" s="5">
        <v>659770025466214</v>
      </c>
      <c r="L426" s="5">
        <v>650523451546639</v>
      </c>
      <c r="M426" s="5">
        <v>650817153628022</v>
      </c>
      <c r="N426" s="5">
        <v>59583863597459</v>
      </c>
      <c r="O426" s="5">
        <v>600166117443502</v>
      </c>
      <c r="P426" s="5">
        <v>551691513251564</v>
      </c>
      <c r="Q426" s="5">
        <v>567579878042671</v>
      </c>
      <c r="R426" s="5">
        <v>528079288903676</v>
      </c>
      <c r="S426" s="5">
        <v>482422227208032</v>
      </c>
      <c r="T426" s="5">
        <v>48014034353761</v>
      </c>
      <c r="U426" s="5">
        <v>456360833569364</v>
      </c>
      <c r="V426" s="5">
        <v>477606722445468</v>
      </c>
      <c r="W426" s="5">
        <v>469409260636462</v>
      </c>
      <c r="X426" s="5">
        <v>484684300861906</v>
      </c>
      <c r="Y426" s="5">
        <v>475701179816495</v>
      </c>
      <c r="Z426" s="5">
        <v>490037563959217</v>
      </c>
      <c r="AA426" s="5">
        <v>47666422508801</v>
      </c>
      <c r="AB426" s="5">
        <v>415783511775</v>
      </c>
      <c r="AC426" s="5">
        <v>420404145066</v>
      </c>
      <c r="AD426" s="5">
        <v>4731237432</v>
      </c>
      <c r="AE426" s="5">
        <v>426696108727868</v>
      </c>
      <c r="AF426" s="5">
        <v>46180058784</v>
      </c>
      <c r="AG426" s="5">
        <v>472116412032</v>
      </c>
      <c r="AH426" s="5">
        <v>465396160080298</v>
      </c>
      <c r="AI426" s="5">
        <v>447037209308</v>
      </c>
      <c r="AJ426" s="5">
        <v>416649079348656</v>
      </c>
      <c r="AK426" s="5">
        <v>408966533625726</v>
      </c>
      <c r="AL426" s="5">
        <v>413571486366674</v>
      </c>
      <c r="AM426" s="5">
        <v>393287792437904</v>
      </c>
      <c r="AN426" s="5">
        <v>388921588771105</v>
      </c>
      <c r="AO426" s="5">
        <v>425507692970318</v>
      </c>
      <c r="AP426" s="6">
        <v>985735618197478</v>
      </c>
      <c r="AQ426" s="6">
        <v>101473266684901</v>
      </c>
      <c r="AR426" s="6">
        <v>101664363501899</v>
      </c>
      <c r="AS426" s="6">
        <v>989213672421652</v>
      </c>
      <c r="AT426" s="6">
        <v>110474291896389</v>
      </c>
      <c r="AU426" s="6">
        <v>117946394986867</v>
      </c>
      <c r="AV426" s="6">
        <v>115349767408845</v>
      </c>
      <c r="AW426" s="6">
        <v>109071928065705</v>
      </c>
      <c r="AX426" s="6">
        <v>111874053694725</v>
      </c>
      <c r="AY426" s="6">
        <v>105492041547235</v>
      </c>
      <c r="AZ426" s="6">
        <v>101543731336183</v>
      </c>
      <c r="BA426" s="6">
        <v>91006861115268</v>
      </c>
      <c r="BB426" s="6">
        <v>889589204905878</v>
      </c>
      <c r="BC426" s="6">
        <v>102560133685041</v>
      </c>
      <c r="BD426" s="6">
        <v>988869016837976</v>
      </c>
      <c r="BE426" s="6">
        <v>952761250568563</v>
      </c>
      <c r="BF426" s="6">
        <v>926363789690994</v>
      </c>
      <c r="BG426" s="6">
        <v>813894549101702</v>
      </c>
      <c r="BH426" s="6">
        <v>800156556366833</v>
      </c>
      <c r="BI426" s="6">
        <v>777895901796354</v>
      </c>
      <c r="BJ426" s="6">
        <v>69764439027272</v>
      </c>
      <c r="BK426" s="6">
        <v>634842124541161</v>
      </c>
      <c r="BL426" s="6">
        <v>66534257513997</v>
      </c>
      <c r="BM426" s="6">
        <v>76967659067445</v>
      </c>
    </row>
    <row r="427" spans="1:65" x14ac:dyDescent="0.45">
      <c r="A427" s="1" t="s">
        <v>421</v>
      </c>
      <c r="B427" s="2">
        <v>4191577</v>
      </c>
      <c r="C427" s="3" t="s">
        <v>1452</v>
      </c>
      <c r="D427" s="3" t="s">
        <v>1453</v>
      </c>
      <c r="E427" s="3" t="s">
        <v>522</v>
      </c>
      <c r="F427" s="5">
        <v>571931036557542</v>
      </c>
      <c r="G427" s="5">
        <v>622307411186037</v>
      </c>
      <c r="H427" s="5">
        <v>586104186377485</v>
      </c>
      <c r="I427" s="5">
        <v>538183575143078</v>
      </c>
      <c r="J427" s="5">
        <v>593980479283779</v>
      </c>
      <c r="K427" s="5">
        <v>611367714085919</v>
      </c>
      <c r="L427" s="5">
        <v>55442769161761</v>
      </c>
      <c r="M427" s="5">
        <v>646700451722434</v>
      </c>
      <c r="N427" s="5">
        <v>675353279033857</v>
      </c>
      <c r="O427" s="5">
        <v>582264869213626</v>
      </c>
      <c r="P427" s="5">
        <v>606757272793731</v>
      </c>
      <c r="Q427" s="5">
        <v>668607007477107</v>
      </c>
      <c r="R427" s="5">
        <v>809382958494721</v>
      </c>
      <c r="S427" s="5">
        <v>768141566673907</v>
      </c>
      <c r="T427" s="5">
        <v>715677339644329</v>
      </c>
      <c r="U427" s="5">
        <v>634892676631629</v>
      </c>
      <c r="V427" s="5">
        <v>676766686123397</v>
      </c>
      <c r="W427" s="5">
        <v>645381437083516</v>
      </c>
      <c r="X427" s="5">
        <v>611588850835284</v>
      </c>
      <c r="Y427" s="5">
        <v>619179763619424</v>
      </c>
      <c r="Z427" s="5">
        <v>60595642274696</v>
      </c>
      <c r="AA427" s="5">
        <v>557852953519128</v>
      </c>
      <c r="AB427" s="5">
        <v>501077479225846</v>
      </c>
      <c r="AC427" s="5">
        <v>463203813629966</v>
      </c>
      <c r="AD427" s="5">
        <v>488305593696393</v>
      </c>
      <c r="AE427" s="5">
        <v>508424265554573</v>
      </c>
      <c r="AF427" s="5">
        <v>479825688310704</v>
      </c>
      <c r="AG427" s="5">
        <v>485814438272529</v>
      </c>
      <c r="AH427" s="5">
        <v>459605108705313</v>
      </c>
      <c r="AI427" s="5">
        <v>448431669733043</v>
      </c>
      <c r="AJ427" s="5">
        <v>424201207239034</v>
      </c>
      <c r="AK427" s="5">
        <v>441294387105327</v>
      </c>
      <c r="AL427" s="5">
        <v>405050024869645</v>
      </c>
      <c r="AM427" s="5">
        <v>348623679399539</v>
      </c>
      <c r="AN427" s="5">
        <v>431058854163688</v>
      </c>
      <c r="AO427" s="5">
        <v>45997865210275</v>
      </c>
      <c r="AP427" s="6">
        <v>282274351697965</v>
      </c>
      <c r="AQ427" s="6">
        <v>285109316299766</v>
      </c>
      <c r="AR427" s="6">
        <v>272740327783902</v>
      </c>
      <c r="AS427" s="6">
        <v>272971734443767</v>
      </c>
      <c r="AT427" s="6">
        <v>265963925597923</v>
      </c>
      <c r="AU427" s="6">
        <v>267947311651033</v>
      </c>
      <c r="AV427" s="6">
        <v>268451539739447</v>
      </c>
      <c r="AW427" s="6">
        <v>25602035891408</v>
      </c>
      <c r="AX427" s="6">
        <v>263865047383066</v>
      </c>
      <c r="AY427" s="6">
        <v>232926144113569</v>
      </c>
      <c r="AZ427" s="6">
        <v>224471518964489</v>
      </c>
      <c r="BA427" s="6">
        <v>21454372172642</v>
      </c>
      <c r="BB427" s="6">
        <v>195739622232329</v>
      </c>
      <c r="BC427" s="6">
        <v>22460075254868</v>
      </c>
      <c r="BD427" s="6">
        <v>208225613984181</v>
      </c>
      <c r="BE427" s="6">
        <v>215994116155693</v>
      </c>
      <c r="BF427" s="6">
        <v>214060402174306</v>
      </c>
      <c r="BG427" s="6">
        <v>20649373048721</v>
      </c>
      <c r="BH427" s="6">
        <v>190704038924813</v>
      </c>
      <c r="BI427" s="6">
        <v>186179851932494</v>
      </c>
      <c r="BJ427" s="6">
        <v>172280510021988</v>
      </c>
      <c r="BK427" s="6">
        <v>173764852142309</v>
      </c>
      <c r="BL427" s="6">
        <v>181737490262328</v>
      </c>
      <c r="BM427" s="6">
        <v>190082123366133</v>
      </c>
    </row>
    <row r="428" spans="1:65" x14ac:dyDescent="0.45">
      <c r="A428" s="1" t="s">
        <v>422</v>
      </c>
      <c r="B428" s="2">
        <v>4004298</v>
      </c>
      <c r="C428" s="3" t="s">
        <v>1454</v>
      </c>
      <c r="D428" s="3" t="s">
        <v>1455</v>
      </c>
      <c r="E428" s="3" t="s">
        <v>533</v>
      </c>
      <c r="F428" s="5">
        <v>72676489567047</v>
      </c>
      <c r="G428" s="5">
        <v>713410133263166</v>
      </c>
      <c r="H428" s="5">
        <v>720256120070251</v>
      </c>
      <c r="I428" s="5">
        <v>73715314737248</v>
      </c>
      <c r="J428" s="5">
        <v>813438405991</v>
      </c>
      <c r="K428" s="5">
        <v>801321817335019</v>
      </c>
      <c r="L428" s="5">
        <v>724802758337275</v>
      </c>
      <c r="M428" s="5">
        <v>749320940222771</v>
      </c>
      <c r="N428" s="5">
        <v>739939750488494</v>
      </c>
      <c r="O428" s="5">
        <v>692047022469977</v>
      </c>
      <c r="P428" s="5">
        <v>611514151136111</v>
      </c>
      <c r="Q428" s="5">
        <v>657509480674816</v>
      </c>
      <c r="R428" s="5">
        <v>639087142099108</v>
      </c>
      <c r="S428" s="5">
        <v>574497667073335</v>
      </c>
      <c r="T428" s="5">
        <v>570647141851895</v>
      </c>
      <c r="U428" s="5">
        <v>566129979164208</v>
      </c>
      <c r="V428" s="5">
        <v>589622571029752</v>
      </c>
      <c r="W428" s="5">
        <v>570097335959717</v>
      </c>
      <c r="X428" s="5">
        <v>540262849245616</v>
      </c>
      <c r="Y428" s="5">
        <v>555213102786486</v>
      </c>
      <c r="Z428" s="5">
        <v>582322096819716</v>
      </c>
      <c r="AA428" s="5">
        <v>559583857086912</v>
      </c>
      <c r="AB428" s="5">
        <v>495328887799128</v>
      </c>
      <c r="AC428" s="5">
        <v>512681865038639</v>
      </c>
      <c r="AD428" s="5">
        <v>530434430525168</v>
      </c>
      <c r="AE428" s="5">
        <v>528928968812545</v>
      </c>
      <c r="AF428" s="5">
        <v>520704540534051</v>
      </c>
      <c r="AG428" s="5">
        <v>487655192377265</v>
      </c>
      <c r="AH428" s="5">
        <v>460985968832304</v>
      </c>
      <c r="AI428" s="5">
        <v>487529312153411</v>
      </c>
      <c r="AJ428" s="5">
        <v>486520083926</v>
      </c>
      <c r="AK428" s="5">
        <v>542069214878796</v>
      </c>
      <c r="AL428" s="5">
        <v>547585823180659</v>
      </c>
      <c r="AM428" s="5">
        <v>518898253175666</v>
      </c>
      <c r="AN428" s="5">
        <v>578068077514513</v>
      </c>
      <c r="AO428" s="5">
        <v>665954472886912</v>
      </c>
      <c r="AP428" s="6">
        <v>26721482924584</v>
      </c>
      <c r="AQ428" s="6">
        <v>27561333088366</v>
      </c>
      <c r="AR428" s="6">
        <v>251995911817951</v>
      </c>
      <c r="AS428" s="6">
        <v>254867829906962</v>
      </c>
      <c r="AT428" s="6">
        <v>261237617814586</v>
      </c>
      <c r="AU428" s="6">
        <v>231953682207658</v>
      </c>
      <c r="AV428" s="6">
        <v>226101551751442</v>
      </c>
      <c r="AW428" s="6">
        <v>210367106895429</v>
      </c>
      <c r="AX428" s="6">
        <v>227801121933105</v>
      </c>
      <c r="AY428" s="6">
        <v>213971684440189</v>
      </c>
      <c r="AZ428" s="6">
        <v>201630428528495</v>
      </c>
      <c r="BA428" s="6">
        <v>18038289608865</v>
      </c>
      <c r="BB428" s="6">
        <v>156667284928477</v>
      </c>
      <c r="BC428" s="6">
        <v>168492713928326</v>
      </c>
      <c r="BD428" s="6">
        <v>153557832419572</v>
      </c>
      <c r="BE428" s="6">
        <v>168642655514753</v>
      </c>
      <c r="BF428" s="6">
        <v>1586886695835</v>
      </c>
      <c r="BG428" s="6">
        <v>168248643938549</v>
      </c>
      <c r="BH428" s="6">
        <v>155099391313295</v>
      </c>
      <c r="BI428" s="6">
        <v>150247822987272</v>
      </c>
      <c r="BJ428" s="6">
        <v>138579151167909</v>
      </c>
      <c r="BK428" s="6">
        <v>130283870506829</v>
      </c>
      <c r="BL428" s="6">
        <v>1232489991734</v>
      </c>
      <c r="BM428" s="6">
        <v>132374588703832</v>
      </c>
    </row>
    <row r="429" spans="1:65" x14ac:dyDescent="0.45">
      <c r="A429" s="1" t="s">
        <v>423</v>
      </c>
      <c r="B429" s="2">
        <v>4074192</v>
      </c>
      <c r="C429" s="3" t="s">
        <v>1456</v>
      </c>
      <c r="D429" s="3" t="s">
        <v>1457</v>
      </c>
      <c r="E429" s="3" t="s">
        <v>1328</v>
      </c>
      <c r="F429" s="5">
        <v>860639364846563</v>
      </c>
      <c r="G429" s="5">
        <v>896954144814883</v>
      </c>
      <c r="H429" s="5">
        <v>846578631670155</v>
      </c>
      <c r="I429" s="5">
        <v>735526772140789</v>
      </c>
      <c r="J429" s="5">
        <v>718776713883097</v>
      </c>
      <c r="K429" s="5">
        <v>702527714904993</v>
      </c>
      <c r="L429" s="5">
        <v>625959502364106</v>
      </c>
      <c r="M429" s="5">
        <v>69423643404701</v>
      </c>
      <c r="N429" s="5">
        <v>682916883232611</v>
      </c>
      <c r="O429" s="5">
        <v>640900265680078</v>
      </c>
      <c r="P429" s="5">
        <v>702152676715477</v>
      </c>
      <c r="Q429" s="5">
        <v>766481817168455</v>
      </c>
      <c r="R429" s="5">
        <v>796323340224117</v>
      </c>
      <c r="S429" s="5">
        <v>734475267542819</v>
      </c>
      <c r="T429" s="5">
        <v>681067117315711</v>
      </c>
      <c r="U429" s="5">
        <v>684576030489422</v>
      </c>
      <c r="V429" s="5">
        <v>740864966238276</v>
      </c>
      <c r="W429" s="5">
        <v>699844970954804</v>
      </c>
      <c r="X429" s="5">
        <v>686033081519732</v>
      </c>
      <c r="Y429" s="5">
        <v>66859381597072</v>
      </c>
      <c r="Z429" s="5">
        <v>711806204677287</v>
      </c>
      <c r="AA429" s="5">
        <v>67968242377749</v>
      </c>
      <c r="AB429" s="5">
        <v>654833073483617</v>
      </c>
      <c r="AC429" s="5">
        <v>633406813445563</v>
      </c>
      <c r="AD429" s="5">
        <v>67027727268161</v>
      </c>
      <c r="AE429" s="5">
        <v>637166901182997</v>
      </c>
      <c r="AF429" s="5">
        <v>522688493979468</v>
      </c>
      <c r="AG429" s="5">
        <v>568253536470148</v>
      </c>
      <c r="AH429" s="5">
        <v>549551720025691</v>
      </c>
      <c r="AI429" s="5">
        <v>526432807379508</v>
      </c>
      <c r="AJ429" s="5">
        <v>538177620944279</v>
      </c>
      <c r="AK429" s="5">
        <v>568483959337563</v>
      </c>
      <c r="AL429" s="5">
        <v>537066313293723</v>
      </c>
      <c r="AM429" s="5">
        <v>521083748351348</v>
      </c>
      <c r="AN429" s="5">
        <v>654244854800464</v>
      </c>
      <c r="AO429" s="5">
        <v>640744411742582</v>
      </c>
      <c r="AP429" s="6">
        <v>925530681481822</v>
      </c>
      <c r="AQ429" s="6">
        <v>916439020381366</v>
      </c>
      <c r="AR429" s="6">
        <v>899908707022339</v>
      </c>
      <c r="AS429" s="6">
        <v>896186925298658</v>
      </c>
      <c r="AT429" s="6">
        <v>858935443755155</v>
      </c>
      <c r="AU429" s="6">
        <v>955435690557477</v>
      </c>
      <c r="AV429" s="6">
        <v>997508859513208</v>
      </c>
      <c r="AW429" s="6">
        <v>900674026152453</v>
      </c>
      <c r="AX429" s="6">
        <v>916312837233885</v>
      </c>
      <c r="AY429" s="6">
        <v>90536065048044</v>
      </c>
      <c r="AZ429" s="6">
        <v>88363940447786</v>
      </c>
      <c r="BA429" s="6">
        <v>825699818837502</v>
      </c>
      <c r="BB429" s="6">
        <v>721886133741967</v>
      </c>
      <c r="BC429" s="6">
        <v>843554245902374</v>
      </c>
      <c r="BD429" s="6">
        <v>825486406627239</v>
      </c>
      <c r="BE429" s="6">
        <v>934987059499645</v>
      </c>
      <c r="BF429" s="6">
        <v>906570228426095</v>
      </c>
      <c r="BG429" s="6">
        <v>751742429047175</v>
      </c>
      <c r="BH429" s="6">
        <v>701482650130842</v>
      </c>
      <c r="BI429" s="6">
        <v>706676337897111</v>
      </c>
      <c r="BJ429" s="6">
        <v>7123606387209</v>
      </c>
      <c r="BK429" s="6">
        <v>72533459882052</v>
      </c>
      <c r="BL429" s="6">
        <v>771231537238617</v>
      </c>
      <c r="BM429" s="6">
        <v>88238801287539</v>
      </c>
    </row>
    <row r="430" spans="1:65" x14ac:dyDescent="0.45">
      <c r="A430" s="1" t="s">
        <v>424</v>
      </c>
      <c r="B430" s="2">
        <v>4844112</v>
      </c>
      <c r="C430" s="3" t="s">
        <v>1458</v>
      </c>
      <c r="D430" s="3" t="s">
        <v>1459</v>
      </c>
      <c r="E430" s="3" t="s">
        <v>1239</v>
      </c>
      <c r="F430" s="5">
        <v>205337342235647</v>
      </c>
      <c r="G430" s="5">
        <v>247497599238781</v>
      </c>
      <c r="H430" s="5">
        <v>262884683566608</v>
      </c>
      <c r="I430" s="5">
        <v>297509026438478</v>
      </c>
      <c r="J430" s="5">
        <v>303962691255287</v>
      </c>
      <c r="K430" s="5">
        <v>21455721247338</v>
      </c>
      <c r="L430" s="5">
        <v>194880344524814</v>
      </c>
      <c r="M430" s="5">
        <v>235944872426268</v>
      </c>
      <c r="N430" s="5">
        <v>271733200132534</v>
      </c>
      <c r="O430" s="5">
        <v>30223905479733</v>
      </c>
      <c r="P430" s="5">
        <v>368363479536468</v>
      </c>
      <c r="Q430" s="5">
        <v>298402716165258</v>
      </c>
      <c r="R430" s="5">
        <v>387289798637423</v>
      </c>
      <c r="S430" s="5">
        <v>441001402412788</v>
      </c>
      <c r="T430" s="5">
        <v>310096549270554</v>
      </c>
      <c r="U430" s="5">
        <v>290340029690849</v>
      </c>
      <c r="V430" s="5">
        <v>324630065069575</v>
      </c>
      <c r="W430" s="5">
        <v>328521619519419</v>
      </c>
      <c r="X430" s="5">
        <v>310419869719451</v>
      </c>
      <c r="Y430" s="5">
        <v>229593060436028</v>
      </c>
      <c r="Z430" s="5">
        <v>28816591836829</v>
      </c>
      <c r="AA430" s="5">
        <v>263058468314443</v>
      </c>
      <c r="AB430" s="5">
        <v>315384771273917</v>
      </c>
      <c r="AC430" s="5">
        <v>296355297534238</v>
      </c>
      <c r="AD430" s="5">
        <v>307530422411625</v>
      </c>
      <c r="AE430" s="5">
        <v>354075687412704</v>
      </c>
      <c r="AF430" s="5">
        <v>228273831716606</v>
      </c>
      <c r="AG430" s="5">
        <v>206526979799346</v>
      </c>
      <c r="AH430" s="5">
        <v>188208712358951</v>
      </c>
      <c r="AI430" s="5">
        <v>175713055804641</v>
      </c>
      <c r="AJ430" s="5">
        <v>166370162945148</v>
      </c>
      <c r="AK430" s="5">
        <v>129077767690978</v>
      </c>
      <c r="AL430" s="5">
        <v>12311840288358</v>
      </c>
      <c r="AM430" s="5">
        <v>8004108931</v>
      </c>
      <c r="AN430" s="5">
        <v>119036875140225</v>
      </c>
      <c r="AO430" s="5">
        <v>1095863909917</v>
      </c>
      <c r="AP430" s="6">
        <v>67300434432</v>
      </c>
      <c r="AQ430" s="6">
        <v>380575984405133</v>
      </c>
      <c r="AR430" s="6">
        <v>36469268169631</v>
      </c>
      <c r="AS430" s="6">
        <v>375003770222086</v>
      </c>
      <c r="AT430" s="6">
        <v>331928138110563</v>
      </c>
      <c r="AU430" s="6">
        <v>354660453609969</v>
      </c>
      <c r="AV430" s="6">
        <v>330689327007954</v>
      </c>
      <c r="AW430" s="6">
        <v>321222411247249</v>
      </c>
      <c r="AX430" s="6">
        <v>34999476755712</v>
      </c>
      <c r="AY430" s="6">
        <v>31667001430579</v>
      </c>
      <c r="AZ430" s="6">
        <v>34178743376673</v>
      </c>
      <c r="BA430" s="6">
        <v>325195195824</v>
      </c>
      <c r="BB430" s="6">
        <v>2915693788656</v>
      </c>
      <c r="BC430" s="6">
        <v>347792519424</v>
      </c>
      <c r="BD430" s="6">
        <v>334702305732</v>
      </c>
      <c r="BE430" s="6">
        <v>323551343682255</v>
      </c>
      <c r="BF430" s="6">
        <v>344668279611039</v>
      </c>
      <c r="BG430" s="6">
        <v>336242723535062</v>
      </c>
      <c r="BH430" s="6">
        <v>337103291007506</v>
      </c>
      <c r="BI430" s="6">
        <v>35111641441905</v>
      </c>
      <c r="BJ430" s="6">
        <v>340977378958656</v>
      </c>
      <c r="BK430" s="6">
        <v>328970697159346</v>
      </c>
      <c r="BL430" s="6">
        <v>346438150898931</v>
      </c>
      <c r="BM430" s="6">
        <v>34695448665446</v>
      </c>
    </row>
    <row r="431" spans="1:65" x14ac:dyDescent="0.45">
      <c r="A431" s="1" t="s">
        <v>425</v>
      </c>
      <c r="B431" s="2">
        <v>4055530</v>
      </c>
      <c r="C431" s="3" t="s">
        <v>1460</v>
      </c>
      <c r="D431" s="3" t="s">
        <v>1461</v>
      </c>
      <c r="E431" s="3" t="s">
        <v>556</v>
      </c>
      <c r="F431" s="5">
        <v>411126157994273</v>
      </c>
      <c r="G431" s="5">
        <v>431337141575264</v>
      </c>
      <c r="H431" s="5">
        <v>43716217973915</v>
      </c>
      <c r="I431" s="5">
        <v>370762259534498</v>
      </c>
      <c r="J431" s="5">
        <v>380869415780184</v>
      </c>
      <c r="K431" s="5">
        <v>369234247823881</v>
      </c>
      <c r="L431" s="5">
        <v>38535924249284</v>
      </c>
      <c r="M431" s="5">
        <v>400454560495904</v>
      </c>
      <c r="N431" s="5">
        <v>389501900501117</v>
      </c>
      <c r="O431" s="5">
        <v>397253117682757</v>
      </c>
      <c r="P431" s="5">
        <v>369531415291982</v>
      </c>
      <c r="Q431" s="5">
        <v>357857595648</v>
      </c>
      <c r="R431" s="5">
        <v>338382240412856</v>
      </c>
      <c r="S431" s="5">
        <v>320731463992855</v>
      </c>
      <c r="T431" s="5">
        <v>342269485178315</v>
      </c>
      <c r="U431" s="5">
        <v>327220486909812</v>
      </c>
      <c r="V431" s="5">
        <v>337579641691848</v>
      </c>
      <c r="W431" s="5">
        <v>31321228889124</v>
      </c>
      <c r="X431" s="5">
        <v>317513660443755</v>
      </c>
      <c r="Y431" s="5">
        <v>329504620762879</v>
      </c>
      <c r="Z431" s="5">
        <v>323306022048551</v>
      </c>
      <c r="AA431" s="5">
        <v>32318949221184</v>
      </c>
      <c r="AB431" s="5">
        <v>303302264212913</v>
      </c>
      <c r="AC431" s="5">
        <v>28340466456</v>
      </c>
      <c r="AD431" s="5">
        <v>290678072639335</v>
      </c>
      <c r="AE431" s="5">
        <v>27478467038616</v>
      </c>
      <c r="AF431" s="5">
        <v>2623803835364</v>
      </c>
      <c r="AG431" s="5">
        <v>233276685527851</v>
      </c>
      <c r="AH431" s="5">
        <v>24576624154598</v>
      </c>
      <c r="AI431" s="5">
        <v>244884543793113</v>
      </c>
      <c r="AJ431" s="5">
        <v>256236045132934</v>
      </c>
      <c r="AK431" s="5">
        <v>243300154841988</v>
      </c>
      <c r="AL431" s="5">
        <v>233913753488138</v>
      </c>
      <c r="AM431" s="5">
        <v>230569615746925</v>
      </c>
      <c r="AN431" s="5">
        <v>277838913056159</v>
      </c>
      <c r="AO431" s="5">
        <v>3033327682</v>
      </c>
      <c r="AP431" s="6">
        <v>104229293949686</v>
      </c>
      <c r="AQ431" s="6">
        <v>102673919785871</v>
      </c>
      <c r="AR431" s="6">
        <v>939140653451809</v>
      </c>
      <c r="AS431" s="6">
        <v>9288372154635</v>
      </c>
      <c r="AT431" s="6">
        <v>899928745175638</v>
      </c>
      <c r="AU431" s="6">
        <v>803888117053612</v>
      </c>
      <c r="AV431" s="6">
        <v>727869853451468</v>
      </c>
      <c r="AW431" s="6">
        <v>733843118812318</v>
      </c>
      <c r="AX431" s="6">
        <v>793807828620975</v>
      </c>
      <c r="AY431" s="6">
        <v>69739364772</v>
      </c>
      <c r="AZ431" s="6">
        <v>6886080809007</v>
      </c>
      <c r="BA431" s="6">
        <v>641216054886759</v>
      </c>
      <c r="BB431" s="6">
        <v>630082779358732</v>
      </c>
      <c r="BC431" s="6">
        <v>660948992426342</v>
      </c>
      <c r="BD431" s="6">
        <v>722787141073146</v>
      </c>
      <c r="BE431" s="6">
        <v>815247177777481</v>
      </c>
      <c r="BF431" s="6">
        <v>822298284418105</v>
      </c>
      <c r="BG431" s="6">
        <v>736087773787516</v>
      </c>
      <c r="BH431" s="6">
        <v>728843651335233</v>
      </c>
      <c r="BI431" s="6">
        <v>760616581574266</v>
      </c>
      <c r="BJ431" s="6">
        <v>69320032630134</v>
      </c>
      <c r="BK431" s="6">
        <v>65589690197592</v>
      </c>
      <c r="BL431" s="6">
        <v>630472105809</v>
      </c>
      <c r="BM431" s="6">
        <v>608580893910257</v>
      </c>
    </row>
    <row r="432" spans="1:65" x14ac:dyDescent="0.45">
      <c r="A432" s="1" t="s">
        <v>426</v>
      </c>
      <c r="B432" s="2">
        <v>4097175</v>
      </c>
      <c r="C432" s="3" t="s">
        <v>1462</v>
      </c>
      <c r="D432" s="3" t="s">
        <v>1463</v>
      </c>
      <c r="E432" s="3" t="s">
        <v>1116</v>
      </c>
      <c r="F432" s="5">
        <v>148246386813149</v>
      </c>
      <c r="G432" s="5">
        <v>173067156945234</v>
      </c>
      <c r="H432" s="5">
        <v>196423358465426</v>
      </c>
      <c r="I432" s="5">
        <v>175374027098477</v>
      </c>
      <c r="J432" s="5">
        <v>202877584605072</v>
      </c>
      <c r="K432" s="5">
        <v>189471540295687</v>
      </c>
      <c r="L432" s="5">
        <v>164485519213176</v>
      </c>
      <c r="M432" s="5">
        <v>187505583749206</v>
      </c>
      <c r="N432" s="5">
        <v>192851880930219</v>
      </c>
      <c r="O432" s="5">
        <v>2247962140328</v>
      </c>
      <c r="P432" s="5">
        <v>240694345436871</v>
      </c>
      <c r="Q432" s="5">
        <v>232371029619975</v>
      </c>
      <c r="R432" s="5">
        <v>247555246500584</v>
      </c>
      <c r="S432" s="5">
        <v>233669269338805</v>
      </c>
      <c r="T432" s="5">
        <v>265685233986719</v>
      </c>
      <c r="U432" s="5">
        <v>265227572482502</v>
      </c>
      <c r="V432" s="5">
        <v>279105847777789</v>
      </c>
      <c r="W432" s="5">
        <v>269605209055842</v>
      </c>
      <c r="X432" s="5">
        <v>269350035483752</v>
      </c>
      <c r="Y432" s="5">
        <v>266330125428675</v>
      </c>
      <c r="Z432" s="5">
        <v>280709552115983</v>
      </c>
      <c r="AA432" s="5">
        <v>285379525436245</v>
      </c>
      <c r="AB432" s="5">
        <v>283619663391442</v>
      </c>
      <c r="AC432" s="5">
        <v>251345288594362</v>
      </c>
      <c r="AD432" s="5">
        <v>268159357585492</v>
      </c>
      <c r="AE432" s="5">
        <v>224210407236074</v>
      </c>
      <c r="AF432" s="5">
        <v>188015230162663</v>
      </c>
      <c r="AG432" s="5">
        <v>190946111655547</v>
      </c>
      <c r="AH432" s="5">
        <v>199335813530943</v>
      </c>
      <c r="AI432" s="5">
        <v>178548351272703</v>
      </c>
      <c r="AJ432" s="5">
        <v>178978972489301</v>
      </c>
      <c r="AK432" s="5">
        <v>190581642514033</v>
      </c>
      <c r="AL432" s="5">
        <v>178485510784695</v>
      </c>
      <c r="AM432" s="5">
        <v>158708889351558</v>
      </c>
      <c r="AN432" s="5">
        <v>1931442823781</v>
      </c>
      <c r="AO432" s="5">
        <v>225216255208806</v>
      </c>
      <c r="AP432" s="6">
        <v>296413871841279</v>
      </c>
      <c r="AQ432" s="6">
        <v>297940951593044</v>
      </c>
      <c r="AR432" s="6">
        <v>270855809212612</v>
      </c>
      <c r="AS432" s="6">
        <v>288098486136104</v>
      </c>
      <c r="AT432" s="6">
        <v>308495294510633</v>
      </c>
      <c r="AU432" s="6">
        <v>260589689885992</v>
      </c>
      <c r="AV432" s="6">
        <v>25885157526911</v>
      </c>
      <c r="AW432" s="6">
        <v>248369022715894</v>
      </c>
      <c r="AX432" s="6">
        <v>244533461973664</v>
      </c>
      <c r="AY432" s="6">
        <v>225962190123892</v>
      </c>
      <c r="AZ432" s="6">
        <v>197769084760785</v>
      </c>
      <c r="BA432" s="6">
        <v>197650975857696</v>
      </c>
      <c r="BB432" s="6">
        <v>170532915167736</v>
      </c>
      <c r="BC432" s="6">
        <v>190093967247744</v>
      </c>
      <c r="BD432" s="6">
        <v>193721001906096</v>
      </c>
      <c r="BE432" s="6">
        <v>187493421095219</v>
      </c>
      <c r="BF432" s="6">
        <v>198007856839782</v>
      </c>
      <c r="BG432" s="6">
        <v>181092113730025</v>
      </c>
      <c r="BH432" s="6">
        <v>216931989344319</v>
      </c>
      <c r="BI432" s="6">
        <v>212732713352005</v>
      </c>
      <c r="BJ432" s="6">
        <v>213366679037974</v>
      </c>
      <c r="BK432" s="6">
        <v>218737110413272</v>
      </c>
      <c r="BL432" s="6">
        <v>223879036564966</v>
      </c>
      <c r="BM432" s="6">
        <v>224774007566553</v>
      </c>
    </row>
    <row r="433" spans="1:65" x14ac:dyDescent="0.45">
      <c r="A433" s="1" t="s">
        <v>427</v>
      </c>
      <c r="B433" s="2">
        <v>4011165</v>
      </c>
      <c r="C433" s="3" t="s">
        <v>1464</v>
      </c>
      <c r="D433" s="3" t="s">
        <v>1465</v>
      </c>
      <c r="E433" s="3" t="s">
        <v>1092</v>
      </c>
      <c r="F433" s="5">
        <v>375060189852608</v>
      </c>
      <c r="G433" s="5">
        <v>409954173530425</v>
      </c>
      <c r="H433" s="5">
        <v>40326864337486</v>
      </c>
      <c r="I433" s="5">
        <v>355772704372386</v>
      </c>
      <c r="J433" s="5">
        <v>411721673332932</v>
      </c>
      <c r="K433" s="5">
        <v>407081839747194</v>
      </c>
      <c r="L433" s="5">
        <v>363643283014931</v>
      </c>
      <c r="M433" s="5">
        <v>420745372086052</v>
      </c>
      <c r="N433" s="5">
        <v>396086756462053</v>
      </c>
      <c r="O433" s="5">
        <v>366115296300143</v>
      </c>
      <c r="P433" s="5">
        <v>338601426984584</v>
      </c>
      <c r="Q433" s="5">
        <v>324782714201432</v>
      </c>
      <c r="R433" s="5">
        <v>278205032868686</v>
      </c>
      <c r="S433" s="5">
        <v>288789351852543</v>
      </c>
      <c r="T433" s="5">
        <v>295140617445163</v>
      </c>
      <c r="U433" s="5">
        <v>271920324305315</v>
      </c>
      <c r="V433" s="5">
        <v>254137409310421</v>
      </c>
      <c r="W433" s="5">
        <v>256523188015368</v>
      </c>
      <c r="X433" s="5">
        <v>27201286571819</v>
      </c>
      <c r="Y433" s="5">
        <v>262534075085534</v>
      </c>
      <c r="Z433" s="5">
        <v>245993984245414</v>
      </c>
      <c r="AA433" s="5">
        <v>24518510183228</v>
      </c>
      <c r="AB433" s="5">
        <v>229130367964087</v>
      </c>
      <c r="AC433" s="5">
        <v>212247331270995</v>
      </c>
      <c r="AD433" s="5">
        <v>198917317891324</v>
      </c>
      <c r="AE433" s="5">
        <v>213032424143036</v>
      </c>
      <c r="AF433" s="5">
        <v>19983593397225</v>
      </c>
      <c r="AG433" s="5">
        <v>203076147238754</v>
      </c>
      <c r="AH433" s="5">
        <v>210743409690122</v>
      </c>
      <c r="AI433" s="5">
        <v>196181096425977</v>
      </c>
      <c r="AJ433" s="5">
        <v>205044507274535</v>
      </c>
      <c r="AK433" s="5">
        <v>222946599538486</v>
      </c>
      <c r="AL433" s="5">
        <v>214797071399269</v>
      </c>
      <c r="AM433" s="5">
        <v>156207851211685</v>
      </c>
      <c r="AN433" s="5">
        <v>210030360092497</v>
      </c>
      <c r="AO433" s="5">
        <v>226197159559897</v>
      </c>
      <c r="AP433" s="6">
        <v>825182034446853</v>
      </c>
      <c r="AQ433" s="6">
        <v>850951289361014</v>
      </c>
      <c r="AR433" s="6">
        <v>80360800582</v>
      </c>
      <c r="AS433" s="6">
        <v>799768494071389</v>
      </c>
      <c r="AT433" s="6">
        <v>754911548177359</v>
      </c>
      <c r="AU433" s="6">
        <v>817512454760238</v>
      </c>
      <c r="AV433" s="6">
        <v>733130684527654</v>
      </c>
      <c r="AW433" s="6">
        <v>71697602824779</v>
      </c>
      <c r="AX433" s="6">
        <v>760933719</v>
      </c>
      <c r="AY433" s="6">
        <v>687108026200226</v>
      </c>
      <c r="AZ433" s="6">
        <v>726506239282347</v>
      </c>
      <c r="BA433" s="6">
        <v>7181758944</v>
      </c>
      <c r="BB433" s="6">
        <v>645053465250458</v>
      </c>
      <c r="BC433" s="6">
        <v>777325692367795</v>
      </c>
      <c r="BD433" s="6">
        <v>752301880538301</v>
      </c>
      <c r="BE433" s="6">
        <v>740459081443791</v>
      </c>
      <c r="BF433" s="6">
        <v>759391810387502</v>
      </c>
      <c r="BG433" s="6">
        <v>7410596562</v>
      </c>
      <c r="BH433" s="6">
        <v>704157722186037</v>
      </c>
      <c r="BI433" s="6">
        <v>704228035892515</v>
      </c>
      <c r="BJ433" s="6">
        <v>6889965581</v>
      </c>
      <c r="BK433" s="6">
        <v>677940130182054</v>
      </c>
      <c r="BL433" s="6">
        <v>735440501238862</v>
      </c>
      <c r="BM433" s="6">
        <v>76068104976</v>
      </c>
    </row>
    <row r="434" spans="1:65" x14ac:dyDescent="0.45">
      <c r="A434" s="1" t="s">
        <v>428</v>
      </c>
      <c r="B434" s="2">
        <v>4072879</v>
      </c>
      <c r="C434" s="3" t="s">
        <v>1466</v>
      </c>
      <c r="D434" s="3" t="s">
        <v>1467</v>
      </c>
      <c r="E434" s="3" t="s">
        <v>513</v>
      </c>
      <c r="F434" s="5">
        <v>203045347701799</v>
      </c>
      <c r="G434" s="5">
        <v>214064784634376</v>
      </c>
      <c r="H434" s="5">
        <v>204817471792002</v>
      </c>
      <c r="I434" s="5">
        <v>202645930220788</v>
      </c>
      <c r="J434" s="5">
        <v>212133439224859</v>
      </c>
      <c r="K434" s="5">
        <v>229663381821768</v>
      </c>
      <c r="L434" s="5">
        <v>203443446529376</v>
      </c>
      <c r="M434" s="5">
        <v>207095923609614</v>
      </c>
      <c r="N434" s="5">
        <v>205374907950502</v>
      </c>
      <c r="O434" s="5">
        <v>20799788853924</v>
      </c>
      <c r="P434" s="5">
        <v>18950581152464</v>
      </c>
      <c r="Q434" s="5">
        <v>204504904574384</v>
      </c>
      <c r="R434" s="5">
        <v>231189640849596</v>
      </c>
      <c r="S434" s="5">
        <v>221237028035118</v>
      </c>
      <c r="T434" s="5">
        <v>215388560226811</v>
      </c>
      <c r="U434" s="5">
        <v>19393329848126</v>
      </c>
      <c r="V434" s="5">
        <v>184967327409642</v>
      </c>
      <c r="W434" s="5">
        <v>178917467489999</v>
      </c>
      <c r="X434" s="5">
        <v>167221573870364</v>
      </c>
      <c r="Y434" s="5">
        <v>151404069127378</v>
      </c>
      <c r="Z434" s="5">
        <v>153631231434906</v>
      </c>
      <c r="AA434" s="5">
        <v>153120941196225</v>
      </c>
      <c r="AB434" s="5">
        <v>146487633778945</v>
      </c>
      <c r="AC434" s="5">
        <v>166417524197254</v>
      </c>
      <c r="AD434" s="5">
        <v>150914591803304</v>
      </c>
      <c r="AE434" s="5">
        <v>154193716980924</v>
      </c>
      <c r="AF434" s="5">
        <v>160905853986116</v>
      </c>
      <c r="AG434" s="5">
        <v>148740994115821</v>
      </c>
      <c r="AH434" s="5">
        <v>141954000489238</v>
      </c>
      <c r="AI434" s="5">
        <v>138421452419489</v>
      </c>
      <c r="AJ434" s="5">
        <v>127164509674558</v>
      </c>
      <c r="AK434" s="5">
        <v>124052721917181</v>
      </c>
      <c r="AL434" s="5">
        <v>120827781458411</v>
      </c>
      <c r="AM434" s="5">
        <v>102928035319564</v>
      </c>
      <c r="AN434" s="5">
        <v>105459973417427</v>
      </c>
      <c r="AO434" s="5">
        <v>113278971030485</v>
      </c>
      <c r="AP434" s="6">
        <v>121952335744885</v>
      </c>
      <c r="AQ434" s="6">
        <v>127801125266461</v>
      </c>
      <c r="AR434" s="6">
        <v>132106358451083</v>
      </c>
      <c r="AS434" s="6">
        <v>130200656214787</v>
      </c>
      <c r="AT434" s="6">
        <v>12828033671339</v>
      </c>
      <c r="AU434" s="6">
        <v>118063895938372</v>
      </c>
      <c r="AV434" s="6">
        <v>111166171733642</v>
      </c>
      <c r="AW434" s="6">
        <v>113203001556923</v>
      </c>
      <c r="AX434" s="6">
        <v>113048935039845</v>
      </c>
      <c r="AY434" s="6">
        <v>113890897827907</v>
      </c>
      <c r="AZ434" s="6">
        <v>107502645226613</v>
      </c>
      <c r="BA434" s="6">
        <v>105240549070125</v>
      </c>
      <c r="BB434" s="6">
        <v>953495094354941</v>
      </c>
      <c r="BC434" s="6">
        <v>101027530523451</v>
      </c>
      <c r="BD434" s="6">
        <v>92928526081213</v>
      </c>
      <c r="BE434" s="6">
        <v>93147175021632</v>
      </c>
      <c r="BF434" s="6">
        <v>921729683613197</v>
      </c>
      <c r="BG434" s="6">
        <v>880159283816748</v>
      </c>
      <c r="BH434" s="6">
        <v>861018512510292</v>
      </c>
      <c r="BI434" s="6">
        <v>837062525092122</v>
      </c>
      <c r="BJ434" s="6">
        <v>80118028449834</v>
      </c>
      <c r="BK434" s="6">
        <v>775088425110813</v>
      </c>
      <c r="BL434" s="6">
        <v>738372740330862</v>
      </c>
      <c r="BM434" s="6">
        <v>786304914764242</v>
      </c>
    </row>
    <row r="435" spans="1:65" x14ac:dyDescent="0.45">
      <c r="A435" s="1" t="s">
        <v>429</v>
      </c>
      <c r="B435" s="2">
        <v>4071364</v>
      </c>
      <c r="C435" s="3" t="s">
        <v>1468</v>
      </c>
      <c r="D435" s="3" t="s">
        <v>1469</v>
      </c>
      <c r="E435" s="3" t="s">
        <v>1470</v>
      </c>
      <c r="F435" s="5">
        <v>232530023142121</v>
      </c>
      <c r="G435" s="5">
        <v>242414691855787</v>
      </c>
      <c r="H435" s="5">
        <v>246701470692993</v>
      </c>
      <c r="I435" s="5">
        <v>210412237453173</v>
      </c>
      <c r="J435" s="5">
        <v>204057494625183</v>
      </c>
      <c r="K435" s="5">
        <v>21003201484503</v>
      </c>
      <c r="L435" s="5">
        <v>207469833820895</v>
      </c>
      <c r="M435" s="5">
        <v>195388123923608</v>
      </c>
      <c r="N435" s="5">
        <v>214374288069928</v>
      </c>
      <c r="O435" s="5">
        <v>235596596148639</v>
      </c>
      <c r="P435" s="5">
        <v>204653614709133</v>
      </c>
      <c r="Q435" s="5">
        <v>221833445129752</v>
      </c>
      <c r="R435" s="5">
        <v>238784825938255</v>
      </c>
      <c r="S435" s="5">
        <v>22753057407069</v>
      </c>
      <c r="T435" s="5">
        <v>214737267057978</v>
      </c>
      <c r="U435" s="5">
        <v>199877045966361</v>
      </c>
      <c r="V435" s="5">
        <v>188165016921042</v>
      </c>
      <c r="W435" s="5">
        <v>175793010258163</v>
      </c>
      <c r="X435" s="5">
        <v>180863136690259</v>
      </c>
      <c r="Y435" s="5">
        <v>171829195953939</v>
      </c>
      <c r="Z435" s="5">
        <v>18218293471364</v>
      </c>
      <c r="AA435" s="5">
        <v>175314296312818</v>
      </c>
      <c r="AB435" s="5">
        <v>1527978704339</v>
      </c>
      <c r="AC435" s="5">
        <v>136028662073363</v>
      </c>
      <c r="AD435" s="5">
        <v>133883639826651</v>
      </c>
      <c r="AE435" s="5">
        <v>137252251677154</v>
      </c>
      <c r="AF435" s="5">
        <v>133165259811524</v>
      </c>
      <c r="AG435" s="5">
        <v>141872350808262</v>
      </c>
      <c r="AH435" s="5">
        <v>144694205391767</v>
      </c>
      <c r="AI435" s="5">
        <v>139517131258346</v>
      </c>
      <c r="AJ435" s="5">
        <v>135412807772513</v>
      </c>
      <c r="AK435" s="5">
        <v>126912139245388</v>
      </c>
      <c r="AL435" s="5">
        <v>107574760151993</v>
      </c>
      <c r="AM435" s="5">
        <v>8926994275563</v>
      </c>
      <c r="AN435" s="5">
        <v>943910750014743</v>
      </c>
      <c r="AO435" s="5">
        <v>99256077354434</v>
      </c>
      <c r="AP435" s="6">
        <v>128940584856785</v>
      </c>
      <c r="AQ435" s="6">
        <v>124907682596972</v>
      </c>
      <c r="AR435" s="6">
        <v>123087795884418</v>
      </c>
      <c r="AS435" s="6">
        <v>135276737530793</v>
      </c>
      <c r="AT435" s="6">
        <v>127198542752782</v>
      </c>
      <c r="AU435" s="6">
        <v>183441055183609</v>
      </c>
      <c r="AV435" s="6">
        <v>178206636051945</v>
      </c>
      <c r="AW435" s="6">
        <v>174832610623581</v>
      </c>
      <c r="AX435" s="6">
        <v>182983108514367</v>
      </c>
      <c r="AY435" s="6">
        <v>184293765743323</v>
      </c>
      <c r="AZ435" s="6">
        <v>16275102468961</v>
      </c>
      <c r="BA435" s="6">
        <v>151154723946132</v>
      </c>
      <c r="BB435" s="6">
        <v>126835022071441</v>
      </c>
      <c r="BC435" s="6">
        <v>157201007508031</v>
      </c>
      <c r="BD435" s="6">
        <v>144966181362296</v>
      </c>
      <c r="BE435" s="6">
        <v>145134891681329</v>
      </c>
      <c r="BF435" s="6">
        <v>1338797167201</v>
      </c>
      <c r="BG435" s="6">
        <v>125674561549873</v>
      </c>
      <c r="BH435" s="6">
        <v>120419232977402</v>
      </c>
      <c r="BI435" s="6">
        <v>128149180585493</v>
      </c>
      <c r="BJ435" s="6">
        <v>125746220524648</v>
      </c>
      <c r="BK435" s="6">
        <v>101315897566852</v>
      </c>
      <c r="BL435" s="6">
        <v>101578949197362</v>
      </c>
      <c r="BM435" s="6">
        <v>108899584964017</v>
      </c>
    </row>
    <row r="436" spans="1:65" x14ac:dyDescent="0.45">
      <c r="A436" s="1" t="s">
        <v>430</v>
      </c>
      <c r="B436" s="2">
        <v>4402486</v>
      </c>
      <c r="C436" s="3" t="s">
        <v>1471</v>
      </c>
      <c r="D436" s="3" t="s">
        <v>1472</v>
      </c>
      <c r="E436" s="3" t="s">
        <v>492</v>
      </c>
      <c r="F436" s="5">
        <v>362231490620077</v>
      </c>
      <c r="G436" s="5">
        <v>398463574914247</v>
      </c>
      <c r="H436" s="5">
        <v>374070188376993</v>
      </c>
      <c r="I436" s="5">
        <v>342193801644834</v>
      </c>
      <c r="J436" s="5">
        <v>354472191891764</v>
      </c>
      <c r="K436" s="5">
        <v>337013864393954</v>
      </c>
      <c r="L436" s="5">
        <v>290533283419413</v>
      </c>
      <c r="M436" s="5">
        <v>300944944558503</v>
      </c>
      <c r="N436" s="5">
        <v>310406302520849</v>
      </c>
      <c r="O436" s="5">
        <v>321022720994291</v>
      </c>
      <c r="P436" s="5">
        <v>320121555885645</v>
      </c>
      <c r="Q436" s="5">
        <v>36710333255975</v>
      </c>
      <c r="R436" s="5">
        <v>421978199324663</v>
      </c>
      <c r="S436" s="5">
        <v>393356748112666</v>
      </c>
      <c r="T436" s="5">
        <v>371782212697016</v>
      </c>
      <c r="U436" s="5">
        <v>353947674119413</v>
      </c>
      <c r="V436" s="5">
        <v>399584654965476</v>
      </c>
      <c r="W436" s="5">
        <v>410480505479276</v>
      </c>
      <c r="X436" s="5">
        <v>371404869433357</v>
      </c>
      <c r="Y436" s="5">
        <v>365755066975884</v>
      </c>
      <c r="Z436" s="5">
        <v>345523997722255</v>
      </c>
      <c r="AA436" s="5">
        <v>33632065747344</v>
      </c>
      <c r="AB436" s="5">
        <v>30197676761082</v>
      </c>
      <c r="AC436" s="5">
        <v>283567673370033</v>
      </c>
      <c r="AD436" s="5">
        <v>284952161627043</v>
      </c>
      <c r="AE436" s="5">
        <v>293814471296384</v>
      </c>
      <c r="AF436" s="5">
        <v>273532960977658</v>
      </c>
      <c r="AG436" s="5">
        <v>24714872615527</v>
      </c>
      <c r="AH436" s="5">
        <v>237040165774411</v>
      </c>
      <c r="AI436" s="5">
        <v>226342174237603</v>
      </c>
      <c r="AJ436" s="5">
        <v>189136034657548</v>
      </c>
      <c r="AK436" s="5">
        <v>194102629927996</v>
      </c>
      <c r="AL436" s="5">
        <v>191150948921203</v>
      </c>
      <c r="AM436" s="5">
        <v>179174825970777</v>
      </c>
      <c r="AN436" s="5">
        <v>279730407729624</v>
      </c>
      <c r="AO436" s="5">
        <v>286393533505669</v>
      </c>
      <c r="AP436" s="6">
        <v>111836968353074</v>
      </c>
      <c r="AQ436" s="6">
        <v>11088352299202</v>
      </c>
      <c r="AR436" s="6">
        <v>103042980967271</v>
      </c>
      <c r="AS436" s="6">
        <v>104659203378776</v>
      </c>
      <c r="AT436" s="6">
        <v>103744846351452</v>
      </c>
      <c r="AU436" s="6">
        <v>113911945468481</v>
      </c>
      <c r="AV436" s="6">
        <v>105194568807583</v>
      </c>
      <c r="AW436" s="6">
        <v>105905571017216</v>
      </c>
      <c r="AX436" s="6">
        <v>111844235607019</v>
      </c>
      <c r="AY436" s="6">
        <v>107690867363138</v>
      </c>
      <c r="AZ436" s="6">
        <v>106449086162761</v>
      </c>
      <c r="BA436" s="6">
        <v>102316651153337</v>
      </c>
      <c r="BB436" s="6">
        <v>889527313629297</v>
      </c>
      <c r="BC436" s="6">
        <v>100069725694423</v>
      </c>
      <c r="BD436" s="6">
        <v>951825040061737</v>
      </c>
      <c r="BE436" s="6">
        <v>103638506089168</v>
      </c>
      <c r="BF436" s="6">
        <v>959561563420694</v>
      </c>
      <c r="BG436" s="6">
        <v>947151922198413</v>
      </c>
      <c r="BH436" s="6">
        <v>941816357742654</v>
      </c>
      <c r="BI436" s="6">
        <v>94965997691783</v>
      </c>
      <c r="BJ436" s="6">
        <v>852449372615231</v>
      </c>
      <c r="BK436" s="6">
        <v>847851425017708</v>
      </c>
      <c r="BL436" s="6">
        <v>839710365479212</v>
      </c>
      <c r="BM436" s="6">
        <v>844794688855297</v>
      </c>
    </row>
    <row r="437" spans="1:65" x14ac:dyDescent="0.45">
      <c r="A437" s="1" t="s">
        <v>431</v>
      </c>
      <c r="B437" s="2">
        <v>4421633</v>
      </c>
      <c r="C437" s="3" t="s">
        <v>1473</v>
      </c>
      <c r="D437" s="3" t="s">
        <v>1474</v>
      </c>
      <c r="E437" s="3" t="s">
        <v>628</v>
      </c>
      <c r="F437" s="5">
        <v>32035527562319</v>
      </c>
      <c r="G437" s="5">
        <v>331389482483442</v>
      </c>
      <c r="H437" s="5">
        <v>315790009831457</v>
      </c>
      <c r="I437" s="5">
        <v>29027008118726</v>
      </c>
      <c r="J437" s="5">
        <v>323307553055175</v>
      </c>
      <c r="K437" s="5">
        <v>333171737607088</v>
      </c>
      <c r="L437" s="5">
        <v>280333391406521</v>
      </c>
      <c r="M437" s="5">
        <v>308004250392796</v>
      </c>
      <c r="N437" s="5">
        <v>313036420391899</v>
      </c>
      <c r="O437" s="5">
        <v>32529414982117</v>
      </c>
      <c r="P437" s="5">
        <v>3292220226496</v>
      </c>
      <c r="Q437" s="5">
        <v>303943227702592</v>
      </c>
      <c r="R437" s="5">
        <v>309107106013766</v>
      </c>
      <c r="S437" s="5">
        <v>2833417567229</v>
      </c>
      <c r="T437" s="5">
        <v>297320292431916</v>
      </c>
      <c r="U437" s="5">
        <v>296989320232783</v>
      </c>
      <c r="V437" s="5">
        <v>283635350895963</v>
      </c>
      <c r="W437" s="5">
        <v>296658471943595</v>
      </c>
      <c r="X437" s="5">
        <v>299669589175748</v>
      </c>
      <c r="Y437" s="5">
        <v>292231063892372</v>
      </c>
      <c r="Z437" s="5">
        <v>279023987321489</v>
      </c>
      <c r="AA437" s="5">
        <v>273941077873171</v>
      </c>
      <c r="AB437" s="5">
        <v>260657093205391</v>
      </c>
      <c r="AC437" s="5">
        <v>248114430124404</v>
      </c>
      <c r="AD437" s="5">
        <v>275396502581348</v>
      </c>
      <c r="AE437" s="5">
        <v>263800787652518</v>
      </c>
      <c r="AF437" s="5">
        <v>222064431183408</v>
      </c>
      <c r="AG437" s="5">
        <v>219325209617414</v>
      </c>
      <c r="AH437" s="5">
        <v>226568124014895</v>
      </c>
      <c r="AI437" s="5">
        <v>197263700211771</v>
      </c>
      <c r="AJ437" s="5">
        <v>21239911330356</v>
      </c>
      <c r="AK437" s="5">
        <v>206624168005432</v>
      </c>
      <c r="AL437" s="5">
        <v>17818480781207</v>
      </c>
      <c r="AM437" s="5">
        <v>15643135015872</v>
      </c>
      <c r="AN437" s="5">
        <v>272312842831814</v>
      </c>
      <c r="AO437" s="5">
        <v>310708169141374</v>
      </c>
      <c r="AP437" s="6">
        <v>198631671410063</v>
      </c>
      <c r="AQ437" s="6">
        <v>21312672273472</v>
      </c>
      <c r="AR437" s="6">
        <v>206211758424186</v>
      </c>
      <c r="AS437" s="6">
        <v>208314010698314</v>
      </c>
      <c r="AT437" s="6">
        <v>196942257975238</v>
      </c>
      <c r="AU437" s="6">
        <v>212168665158873</v>
      </c>
      <c r="AV437" s="6">
        <v>202448968880192</v>
      </c>
      <c r="AW437" s="6">
        <v>183295451160816</v>
      </c>
      <c r="AX437" s="6">
        <v>208681478090474</v>
      </c>
      <c r="AY437" s="6">
        <v>189600577489165</v>
      </c>
      <c r="AZ437" s="6">
        <v>205662861497865</v>
      </c>
      <c r="BA437" s="6">
        <v>207581671423645</v>
      </c>
      <c r="BB437" s="6">
        <v>199252630523182</v>
      </c>
      <c r="BC437" s="6">
        <v>232699429912013</v>
      </c>
      <c r="BD437" s="6">
        <v>20584164557251</v>
      </c>
      <c r="BE437" s="6">
        <v>208961690586576</v>
      </c>
      <c r="BF437" s="6">
        <v>205304402985748</v>
      </c>
      <c r="BG437" s="6">
        <v>187283835635496</v>
      </c>
      <c r="BH437" s="6">
        <v>165709338349274</v>
      </c>
      <c r="BI437" s="6">
        <v>165492405827551</v>
      </c>
      <c r="BJ437" s="6">
        <v>155092967391776</v>
      </c>
      <c r="BK437" s="6">
        <v>160835891404732</v>
      </c>
      <c r="BL437" s="6">
        <v>158065772164455</v>
      </c>
      <c r="BM437" s="6">
        <v>161518302899126</v>
      </c>
    </row>
    <row r="438" spans="1:65" x14ac:dyDescent="0.45">
      <c r="A438" s="1" t="s">
        <v>432</v>
      </c>
      <c r="B438" s="2">
        <v>4104139</v>
      </c>
      <c r="C438" s="3" t="s">
        <v>1475</v>
      </c>
      <c r="D438" s="3" t="s">
        <v>1476</v>
      </c>
      <c r="E438" s="3" t="s">
        <v>504</v>
      </c>
      <c r="F438" s="5">
        <v>116675655335215</v>
      </c>
      <c r="G438" s="5">
        <v>142893297810463</v>
      </c>
      <c r="H438" s="5">
        <v>150674297608957</v>
      </c>
      <c r="I438" s="5">
        <v>137064873627422</v>
      </c>
      <c r="J438" s="5">
        <v>155531149335116</v>
      </c>
      <c r="K438" s="5">
        <v>170269909510732</v>
      </c>
      <c r="L438" s="5">
        <v>139336405918861</v>
      </c>
      <c r="M438" s="5">
        <v>158663881641892</v>
      </c>
      <c r="N438" s="5">
        <v>158463396437167</v>
      </c>
      <c r="O438" s="5">
        <v>16314046181481</v>
      </c>
      <c r="P438" s="5">
        <v>156035952548921</v>
      </c>
      <c r="Q438" s="5">
        <v>161710769046943</v>
      </c>
      <c r="R438" s="5">
        <v>19243851069475</v>
      </c>
      <c r="S438" s="5">
        <v>191227889704351</v>
      </c>
      <c r="T438" s="5">
        <v>190117888862291</v>
      </c>
      <c r="U438" s="5">
        <v>178562809088517</v>
      </c>
      <c r="V438" s="5">
        <v>200851006977066</v>
      </c>
      <c r="W438" s="5">
        <v>180886840840845</v>
      </c>
      <c r="X438" s="5">
        <v>173204604203558</v>
      </c>
      <c r="Y438" s="5">
        <v>160182711700237</v>
      </c>
      <c r="Z438" s="5">
        <v>171331753851552</v>
      </c>
      <c r="AA438" s="5">
        <v>166582583795578</v>
      </c>
      <c r="AB438" s="5">
        <v>153788990071002</v>
      </c>
      <c r="AC438" s="5">
        <v>135837011107145</v>
      </c>
      <c r="AD438" s="5">
        <v>136557059126045</v>
      </c>
      <c r="AE438" s="5">
        <v>125321055746483</v>
      </c>
      <c r="AF438" s="5">
        <v>103339995858665</v>
      </c>
      <c r="AG438" s="5">
        <v>103771785704755</v>
      </c>
      <c r="AH438" s="5">
        <v>109697007711771</v>
      </c>
      <c r="AI438" s="5">
        <v>939711563511346</v>
      </c>
      <c r="AJ438" s="5">
        <v>95855187434488</v>
      </c>
      <c r="AK438" s="5">
        <v>878872997857932</v>
      </c>
      <c r="AL438" s="5">
        <v>791908084506554</v>
      </c>
      <c r="AM438" s="5">
        <v>72461381059704</v>
      </c>
      <c r="AN438" s="5">
        <v>898075629228355</v>
      </c>
      <c r="AO438" s="5">
        <v>955503483815408</v>
      </c>
      <c r="AP438" s="6">
        <v>894813424205979</v>
      </c>
      <c r="AQ438" s="6">
        <v>932169732127823</v>
      </c>
      <c r="AR438" s="6">
        <v>886293880995928</v>
      </c>
      <c r="AS438" s="6">
        <v>943604468286108</v>
      </c>
      <c r="AT438" s="6">
        <v>926419634933895</v>
      </c>
      <c r="AU438" s="6">
        <v>921766510165677</v>
      </c>
      <c r="AV438" s="6">
        <v>781167370156738</v>
      </c>
      <c r="AW438" s="6">
        <v>71751325227384</v>
      </c>
      <c r="AX438" s="6">
        <v>816007951752924</v>
      </c>
      <c r="AY438" s="6">
        <v>856395946266934</v>
      </c>
      <c r="AZ438" s="6">
        <v>832414504335811</v>
      </c>
      <c r="BA438" s="6">
        <v>789676794766818</v>
      </c>
      <c r="BB438" s="6">
        <v>731912066193459</v>
      </c>
      <c r="BC438" s="6">
        <v>874899553113815</v>
      </c>
      <c r="BD438" s="6">
        <v>808773180718591</v>
      </c>
      <c r="BE438" s="6">
        <v>864532231833553</v>
      </c>
      <c r="BF438" s="6">
        <v>910770555394253</v>
      </c>
      <c r="BG438" s="6">
        <v>881035643</v>
      </c>
      <c r="BH438" s="6">
        <v>784564788093057</v>
      </c>
      <c r="BI438" s="6">
        <v>858208029242104</v>
      </c>
      <c r="BJ438" s="6">
        <v>809739938813364</v>
      </c>
      <c r="BK438" s="6">
        <v>733149551432226</v>
      </c>
      <c r="BL438" s="6">
        <v>736782220427444</v>
      </c>
      <c r="BM438" s="6">
        <v>882004006945629</v>
      </c>
    </row>
    <row r="439" spans="1:65" x14ac:dyDescent="0.45">
      <c r="A439" s="1" t="s">
        <v>433</v>
      </c>
      <c r="B439" s="2">
        <v>100438</v>
      </c>
      <c r="C439" s="3" t="s">
        <v>1477</v>
      </c>
      <c r="D439" s="3" t="s">
        <v>1478</v>
      </c>
      <c r="E439" s="3" t="s">
        <v>637</v>
      </c>
      <c r="F439" s="5">
        <v>534198179307792</v>
      </c>
      <c r="G439" s="5">
        <v>602241202640592</v>
      </c>
      <c r="H439" s="5">
        <v>600973742805666</v>
      </c>
      <c r="I439" s="5">
        <v>588946429738493</v>
      </c>
      <c r="J439" s="5">
        <v>616871574170232</v>
      </c>
      <c r="K439" s="5">
        <v>6587940872823</v>
      </c>
      <c r="L439" s="5">
        <v>60408296176092</v>
      </c>
      <c r="M439" s="5">
        <v>6172788179104</v>
      </c>
      <c r="N439" s="5">
        <v>609757242126283</v>
      </c>
      <c r="O439" s="5">
        <v>678362933553606</v>
      </c>
      <c r="P439" s="5">
        <v>735870504085302</v>
      </c>
      <c r="Q439" s="5">
        <v>74471596691328</v>
      </c>
      <c r="R439" s="5">
        <v>687242404564309</v>
      </c>
      <c r="S439" s="5">
        <v>702417678363436</v>
      </c>
      <c r="T439" s="5">
        <v>732673223922394</v>
      </c>
      <c r="U439" s="5">
        <v>675467244904032</v>
      </c>
      <c r="V439" s="5">
        <v>645273537816499</v>
      </c>
      <c r="W439" s="5">
        <v>612452407173</v>
      </c>
      <c r="X439" s="5">
        <v>629504542962138</v>
      </c>
      <c r="Y439" s="5">
        <v>681708608441953</v>
      </c>
      <c r="Z439" s="5">
        <v>662874545973439</v>
      </c>
      <c r="AA439" s="5">
        <v>668040432008429</v>
      </c>
      <c r="AB439" s="5">
        <v>634226570696918</v>
      </c>
      <c r="AC439" s="5">
        <v>53318929964964</v>
      </c>
      <c r="AD439" s="5">
        <v>528230166492069</v>
      </c>
      <c r="AE439" s="5">
        <v>5236039501977</v>
      </c>
      <c r="AF439" s="5">
        <v>48725260750296</v>
      </c>
      <c r="AG439" s="5">
        <v>436670843149902</v>
      </c>
      <c r="AH439" s="5">
        <v>437495377674946</v>
      </c>
      <c r="AI439" s="5">
        <v>42671955433242</v>
      </c>
      <c r="AJ439" s="5">
        <v>449608822117663</v>
      </c>
      <c r="AK439" s="5">
        <v>445791174779943</v>
      </c>
      <c r="AL439" s="5">
        <v>45967570215732</v>
      </c>
      <c r="AM439" s="5">
        <v>377466611069184</v>
      </c>
      <c r="AN439" s="5">
        <v>56310711430932</v>
      </c>
      <c r="AO439" s="5">
        <v>6243238155924</v>
      </c>
      <c r="AP439" s="6">
        <v>111688299243984</v>
      </c>
      <c r="AQ439" s="6">
        <v>10439774702681</v>
      </c>
      <c r="AR439" s="6">
        <v>900560901656753</v>
      </c>
      <c r="AS439" s="6">
        <v>882027403775914</v>
      </c>
      <c r="AT439" s="6">
        <v>789680576902829</v>
      </c>
      <c r="AU439" s="6">
        <v>877380899525895</v>
      </c>
      <c r="AV439" s="6">
        <v>916405139289089</v>
      </c>
      <c r="AW439" s="6">
        <v>776575837765242</v>
      </c>
      <c r="AX439" s="6">
        <v>98886397950522</v>
      </c>
      <c r="AY439" s="6">
        <v>802096731708525</v>
      </c>
      <c r="AZ439" s="6">
        <v>940635096813428</v>
      </c>
      <c r="BA439" s="6">
        <v>870344240704236</v>
      </c>
      <c r="BB439" s="6">
        <v>726271563151864</v>
      </c>
      <c r="BC439" s="6">
        <v>839000266144435</v>
      </c>
      <c r="BD439" s="6">
        <v>860351577609759</v>
      </c>
      <c r="BE439" s="6">
        <v>116518290399582</v>
      </c>
      <c r="BF439" s="6">
        <v>111116056201114</v>
      </c>
      <c r="BG439" s="6">
        <v>10521411338436</v>
      </c>
      <c r="BH439" s="6">
        <v>105770737824326</v>
      </c>
      <c r="BI439" s="6">
        <v>114413031506745</v>
      </c>
      <c r="BJ439" s="6">
        <v>1038521095989</v>
      </c>
      <c r="BK439" s="6">
        <v>118216610160692</v>
      </c>
      <c r="BL439" s="6">
        <v>121068182493121</v>
      </c>
      <c r="BM439" s="6">
        <v>122921892347118</v>
      </c>
    </row>
    <row r="440" spans="1:65" x14ac:dyDescent="0.45">
      <c r="A440" s="1" t="s">
        <v>434</v>
      </c>
      <c r="B440" s="2">
        <v>4964207</v>
      </c>
      <c r="C440" s="3" t="s">
        <v>1479</v>
      </c>
      <c r="D440" s="3" t="s">
        <v>1480</v>
      </c>
      <c r="E440" s="3" t="s">
        <v>504</v>
      </c>
      <c r="F440" s="5">
        <v>125618843294182</v>
      </c>
      <c r="G440" s="5">
        <v>138392273837122</v>
      </c>
      <c r="H440" s="5">
        <v>136155649592298</v>
      </c>
      <c r="I440" s="5">
        <v>147356631924765</v>
      </c>
      <c r="J440" s="5">
        <v>15338252709687</v>
      </c>
      <c r="K440" s="5">
        <v>16223663420622</v>
      </c>
      <c r="L440" s="5">
        <v>131907239570698</v>
      </c>
      <c r="M440" s="5">
        <v>137551583013823</v>
      </c>
      <c r="N440" s="5">
        <v>155176724679478</v>
      </c>
      <c r="O440" s="5">
        <v>165927991995426</v>
      </c>
      <c r="P440" s="5">
        <v>15769051646631</v>
      </c>
      <c r="Q440" s="5">
        <v>173333412024826</v>
      </c>
      <c r="R440" s="5">
        <v>193825999919541</v>
      </c>
      <c r="S440" s="5">
        <v>188671022431054</v>
      </c>
      <c r="T440" s="5">
        <v>191872796298836</v>
      </c>
      <c r="U440" s="5">
        <v>161626849295338</v>
      </c>
      <c r="V440" s="5">
        <v>168064513746163</v>
      </c>
      <c r="W440" s="5">
        <v>16918600431215</v>
      </c>
      <c r="X440" s="5">
        <v>155429904504623</v>
      </c>
      <c r="Y440" s="5">
        <v>134760684881716</v>
      </c>
      <c r="Z440" s="5">
        <v>143800568526661</v>
      </c>
      <c r="AA440" s="5">
        <v>146765853872388</v>
      </c>
      <c r="AB440" s="5">
        <v>155415623810199</v>
      </c>
      <c r="AC440" s="5">
        <v>140456432722571</v>
      </c>
      <c r="AD440" s="5">
        <v>143908699241328</v>
      </c>
      <c r="AE440" s="5">
        <v>144278827851898</v>
      </c>
      <c r="AF440" s="5">
        <v>132728814350471</v>
      </c>
      <c r="AG440" s="5">
        <v>119448233161609</v>
      </c>
      <c r="AH440" s="5">
        <v>116236260950893</v>
      </c>
      <c r="AI440" s="5">
        <v>12152052494856</v>
      </c>
      <c r="AJ440" s="5">
        <v>122560278226783</v>
      </c>
      <c r="AK440" s="5">
        <v>13423181813501</v>
      </c>
      <c r="AL440" s="5">
        <v>116558324345455</v>
      </c>
      <c r="AM440" s="5">
        <v>106317827616</v>
      </c>
      <c r="AN440" s="5">
        <v>1122506899038</v>
      </c>
      <c r="AO440" s="5">
        <v>113824446846634</v>
      </c>
      <c r="AP440" s="6">
        <v>248190099481314</v>
      </c>
      <c r="AQ440" s="6">
        <v>240652877484269</v>
      </c>
      <c r="AR440" s="6">
        <v>214836512124177</v>
      </c>
      <c r="AS440" s="6">
        <v>188876699097201</v>
      </c>
      <c r="AT440" s="6">
        <v>201621703070455</v>
      </c>
      <c r="AU440" s="6">
        <v>212625477303465</v>
      </c>
      <c r="AV440" s="6">
        <v>203787764375151</v>
      </c>
      <c r="AW440" s="6">
        <v>206147268653362</v>
      </c>
      <c r="AX440" s="6">
        <v>198081121685807</v>
      </c>
      <c r="AY440" s="6">
        <v>21139464445804</v>
      </c>
      <c r="AZ440" s="6">
        <v>204087491914608</v>
      </c>
      <c r="BA440" s="6">
        <v>22692905245332</v>
      </c>
      <c r="BB440" s="6">
        <v>209320755780154</v>
      </c>
      <c r="BC440" s="6">
        <v>239062758826598</v>
      </c>
      <c r="BD440" s="6">
        <v>222237722256614</v>
      </c>
      <c r="BE440" s="6">
        <v>220387755093012</v>
      </c>
      <c r="BF440" s="6">
        <v>222599193565189</v>
      </c>
      <c r="BG440" s="6">
        <v>207933748099801</v>
      </c>
      <c r="BH440" s="6">
        <v>202076013904615</v>
      </c>
      <c r="BI440" s="6">
        <v>199060659456224</v>
      </c>
      <c r="BJ440" s="6">
        <v>188165846814248</v>
      </c>
      <c r="BK440" s="6">
        <v>168397345946391</v>
      </c>
      <c r="BL440" s="6">
        <v>179235402878292</v>
      </c>
      <c r="BM440" s="6">
        <v>184459510042615</v>
      </c>
    </row>
    <row r="441" spans="1:65" x14ac:dyDescent="0.45">
      <c r="A441" s="1" t="s">
        <v>435</v>
      </c>
      <c r="B441" s="2">
        <v>3009699</v>
      </c>
      <c r="C441" s="3" t="s">
        <v>1481</v>
      </c>
      <c r="D441" s="3" t="s">
        <v>1482</v>
      </c>
      <c r="E441" s="3" t="s">
        <v>768</v>
      </c>
      <c r="F441" s="5">
        <v>208424175669792</v>
      </c>
      <c r="G441" s="5">
        <v>231114220732277</v>
      </c>
      <c r="H441" s="5">
        <v>248582876263504</v>
      </c>
      <c r="I441" s="5">
        <v>241796920820876</v>
      </c>
      <c r="J441" s="5">
        <v>269162359334146</v>
      </c>
      <c r="K441" s="5">
        <v>311962882326525</v>
      </c>
      <c r="L441" s="5">
        <v>297645498627775</v>
      </c>
      <c r="M441" s="5">
        <v>301985844498186</v>
      </c>
      <c r="N441" s="5">
        <v>320418018878916</v>
      </c>
      <c r="O441" s="5">
        <v>292455241527227</v>
      </c>
      <c r="P441" s="5">
        <v>29908403010077</v>
      </c>
      <c r="Q441" s="5">
        <v>29462808247558</v>
      </c>
      <c r="R441" s="5">
        <v>278264720960493</v>
      </c>
      <c r="S441" s="5">
        <v>255541303046413</v>
      </c>
      <c r="T441" s="5">
        <v>252306624709005</v>
      </c>
      <c r="U441" s="5">
        <v>248480970875866</v>
      </c>
      <c r="V441" s="5">
        <v>242690130287155</v>
      </c>
      <c r="W441" s="5">
        <v>219748264868417</v>
      </c>
      <c r="X441" s="5">
        <v>226928672618119</v>
      </c>
      <c r="Y441" s="5">
        <v>237947190927818</v>
      </c>
      <c r="Z441" s="5">
        <v>234830134473775</v>
      </c>
      <c r="AA441" s="5">
        <v>23088888832986</v>
      </c>
      <c r="AB441" s="5">
        <v>203992245497369</v>
      </c>
      <c r="AC441" s="5">
        <v>193267491701203</v>
      </c>
      <c r="AD441" s="5">
        <v>192177175509918</v>
      </c>
      <c r="AE441" s="5">
        <v>198646681664824</v>
      </c>
      <c r="AF441" s="5">
        <v>178885387420667</v>
      </c>
      <c r="AG441" s="5">
        <v>184509966760394</v>
      </c>
      <c r="AH441" s="5">
        <v>19135455606351</v>
      </c>
      <c r="AI441" s="5">
        <v>189241303835412</v>
      </c>
      <c r="AJ441" s="5">
        <v>193302092578496</v>
      </c>
      <c r="AK441" s="5">
        <v>201342543256781</v>
      </c>
      <c r="AL441" s="5">
        <v>207516431603869</v>
      </c>
      <c r="AM441" s="5">
        <v>192235282273125</v>
      </c>
      <c r="AN441" s="5">
        <v>225147554018494</v>
      </c>
      <c r="AO441" s="5">
        <v>272322874027274</v>
      </c>
      <c r="AP441" s="6">
        <v>111958352776182</v>
      </c>
      <c r="AQ441" s="6">
        <v>11087635012716</v>
      </c>
      <c r="AR441" s="6">
        <v>109116950878577</v>
      </c>
      <c r="AS441" s="6">
        <v>120709878260079</v>
      </c>
      <c r="AT441" s="6">
        <v>116315838795272</v>
      </c>
      <c r="AU441" s="6">
        <v>122177093033508</v>
      </c>
      <c r="AV441" s="6">
        <v>103286325513886</v>
      </c>
      <c r="AW441" s="6">
        <v>966732253836279</v>
      </c>
      <c r="AX441" s="6">
        <v>103151703662836</v>
      </c>
      <c r="AY441" s="6">
        <v>108202710923941</v>
      </c>
      <c r="AZ441" s="6">
        <v>110669046469583</v>
      </c>
      <c r="BA441" s="6">
        <v>10703306427699</v>
      </c>
      <c r="BB441" s="6">
        <v>941808988484476</v>
      </c>
      <c r="BC441" s="6">
        <v>112743921081181</v>
      </c>
      <c r="BD441" s="6">
        <v>100250775685634</v>
      </c>
      <c r="BE441" s="6">
        <v>102708161516198</v>
      </c>
      <c r="BF441" s="6">
        <v>104668932652878</v>
      </c>
      <c r="BG441" s="6">
        <v>984977966124467</v>
      </c>
      <c r="BH441" s="6">
        <v>90173567822478</v>
      </c>
      <c r="BI441" s="6">
        <v>931025537947464</v>
      </c>
      <c r="BJ441" s="6">
        <v>891718008387857</v>
      </c>
      <c r="BK441" s="6">
        <v>907738921374092</v>
      </c>
      <c r="BL441" s="6">
        <v>88171555705506</v>
      </c>
      <c r="BM441" s="6">
        <v>927001191959031</v>
      </c>
    </row>
    <row r="442" spans="1:65" x14ac:dyDescent="0.45">
      <c r="A442" s="1" t="s">
        <v>436</v>
      </c>
      <c r="B442" s="2">
        <v>4047176</v>
      </c>
      <c r="C442" s="3" t="s">
        <v>1483</v>
      </c>
      <c r="D442" s="3" t="s">
        <v>1484</v>
      </c>
      <c r="E442" s="3" t="s">
        <v>637</v>
      </c>
      <c r="F442" s="5">
        <v>624428650367754</v>
      </c>
      <c r="G442" s="5">
        <v>653980497302449</v>
      </c>
      <c r="H442" s="5">
        <v>637842403000712</v>
      </c>
      <c r="I442" s="5">
        <v>610929668867374</v>
      </c>
      <c r="J442" s="5">
        <v>672854665895087</v>
      </c>
      <c r="K442" s="5">
        <v>68752446782233</v>
      </c>
      <c r="L442" s="5">
        <v>65406340092908</v>
      </c>
      <c r="M442" s="5">
        <v>734944345640297</v>
      </c>
      <c r="N442" s="5">
        <v>684284754125566</v>
      </c>
      <c r="O442" s="5">
        <v>710526069128617</v>
      </c>
      <c r="P442" s="5">
        <v>747127771594533</v>
      </c>
      <c r="Q442" s="5">
        <v>77096815488</v>
      </c>
      <c r="R442" s="5">
        <v>732357940319578</v>
      </c>
      <c r="S442" s="5">
        <v>72801878498759</v>
      </c>
      <c r="T442" s="5">
        <v>774060849268005</v>
      </c>
      <c r="U442" s="5">
        <v>760373867251375</v>
      </c>
      <c r="V442" s="5">
        <v>720863143138329</v>
      </c>
      <c r="W442" s="5">
        <v>697470489735872</v>
      </c>
      <c r="X442" s="5">
        <v>715767876168311</v>
      </c>
      <c r="Y442" s="5">
        <v>742902240707606</v>
      </c>
      <c r="Z442" s="5">
        <v>741334758478144</v>
      </c>
      <c r="AA442" s="5">
        <v>708074757884117</v>
      </c>
      <c r="AB442" s="5">
        <v>62075775613575</v>
      </c>
      <c r="AC442" s="5">
        <v>531770163896866</v>
      </c>
      <c r="AD442" s="5">
        <v>573762056577701</v>
      </c>
      <c r="AE442" s="5">
        <v>544634800617614</v>
      </c>
      <c r="AF442" s="5">
        <v>503471469407244</v>
      </c>
      <c r="AG442" s="5">
        <v>459890368143173</v>
      </c>
      <c r="AH442" s="5">
        <v>458666297960234</v>
      </c>
      <c r="AI442" s="5">
        <v>469071258077498</v>
      </c>
      <c r="AJ442" s="5">
        <v>492831462277802</v>
      </c>
      <c r="AK442" s="5">
        <v>481804944082571</v>
      </c>
      <c r="AL442" s="5">
        <v>50756352167631</v>
      </c>
      <c r="AM442" s="5">
        <v>4769078237833</v>
      </c>
      <c r="AN442" s="5">
        <v>642917411709819</v>
      </c>
      <c r="AO442" s="5">
        <v>7363881096</v>
      </c>
      <c r="AP442" s="6">
        <v>34269592624289</v>
      </c>
      <c r="AQ442" s="6">
        <v>3558992698409</v>
      </c>
      <c r="AR442" s="6">
        <v>360534133978075</v>
      </c>
      <c r="AS442" s="6">
        <v>323954104147978</v>
      </c>
      <c r="AT442" s="6">
        <v>283636677437414</v>
      </c>
      <c r="AU442" s="6">
        <v>31986729608625</v>
      </c>
      <c r="AV442" s="6">
        <v>313907716969527</v>
      </c>
      <c r="AW442" s="6">
        <v>263512343207238</v>
      </c>
      <c r="AX442" s="6">
        <v>337907884535361</v>
      </c>
      <c r="AY442" s="6">
        <v>315646920751279</v>
      </c>
      <c r="AZ442" s="6">
        <v>299086458411901</v>
      </c>
      <c r="BA442" s="6">
        <v>325303805862601</v>
      </c>
      <c r="BB442" s="6">
        <v>277831936676531</v>
      </c>
      <c r="BC442" s="6">
        <v>299424482428186</v>
      </c>
      <c r="BD442" s="6">
        <v>343961448278764</v>
      </c>
      <c r="BE442" s="6">
        <v>418442435591749</v>
      </c>
      <c r="BF442" s="6">
        <v>434038168227077</v>
      </c>
      <c r="BG442" s="6">
        <v>435894305890964</v>
      </c>
      <c r="BH442" s="6">
        <v>409439459148593</v>
      </c>
      <c r="BI442" s="6">
        <v>448062808169743</v>
      </c>
      <c r="BJ442" s="6">
        <v>395897906584231</v>
      </c>
      <c r="BK442" s="6">
        <v>325090211258555</v>
      </c>
      <c r="BL442" s="6">
        <v>320784259464068</v>
      </c>
      <c r="BM442" s="6">
        <v>33759525528074</v>
      </c>
    </row>
    <row r="443" spans="1:65" x14ac:dyDescent="0.45">
      <c r="A443" s="1" t="s">
        <v>437</v>
      </c>
      <c r="B443" s="2">
        <v>4398745</v>
      </c>
      <c r="C443" s="3" t="s">
        <v>1485</v>
      </c>
      <c r="D443" s="3" t="s">
        <v>1486</v>
      </c>
      <c r="E443" s="3" t="s">
        <v>504</v>
      </c>
      <c r="F443" s="5">
        <v>461503086249797</v>
      </c>
      <c r="G443" s="5">
        <v>563560838820057</v>
      </c>
      <c r="H443" s="5">
        <v>532008784956599</v>
      </c>
      <c r="I443" s="5">
        <v>535066946768978</v>
      </c>
      <c r="J443" s="5">
        <v>565381553127819</v>
      </c>
      <c r="K443" s="5">
        <v>451452954073661</v>
      </c>
      <c r="L443" s="5">
        <v>384328291634851</v>
      </c>
      <c r="M443" s="5">
        <v>424636031462542</v>
      </c>
      <c r="N443" s="5">
        <v>583973945490546</v>
      </c>
      <c r="O443" s="5">
        <v>627916875584672</v>
      </c>
      <c r="P443" s="5">
        <v>627084232412149</v>
      </c>
      <c r="Q443" s="5">
        <v>647819451858586</v>
      </c>
      <c r="R443" s="5">
        <v>715303147513062</v>
      </c>
      <c r="S443" s="5">
        <v>654083705657728</v>
      </c>
      <c r="T443" s="5">
        <v>741455162914745</v>
      </c>
      <c r="U443" s="5">
        <v>728364884081587</v>
      </c>
      <c r="V443" s="5">
        <v>624838264437371</v>
      </c>
      <c r="W443" s="5">
        <v>688031456365538</v>
      </c>
      <c r="X443" s="5">
        <v>793844895827924</v>
      </c>
      <c r="Y443" s="5">
        <v>780636535558211</v>
      </c>
      <c r="Z443" s="5">
        <v>84727612270509</v>
      </c>
      <c r="AA443" s="5">
        <v>864251661201484</v>
      </c>
      <c r="AB443" s="5">
        <v>754387867325948</v>
      </c>
      <c r="AC443" s="5">
        <v>740008906646131</v>
      </c>
      <c r="AD443" s="5">
        <v>73535901425865</v>
      </c>
      <c r="AE443" s="5">
        <v>732854851588472</v>
      </c>
      <c r="AF443" s="5">
        <v>502461469498593</v>
      </c>
      <c r="AG443" s="5">
        <v>544476160160755</v>
      </c>
      <c r="AH443" s="5">
        <v>493038915176099</v>
      </c>
      <c r="AI443" s="5">
        <v>443532765084647</v>
      </c>
      <c r="AJ443" s="5">
        <v>478887205787746</v>
      </c>
      <c r="AK443" s="5">
        <v>566490880450701</v>
      </c>
      <c r="AL443" s="5">
        <v>477939551974745</v>
      </c>
      <c r="AM443" s="5">
        <v>438857625025456</v>
      </c>
      <c r="AN443" s="5">
        <v>52870325987871</v>
      </c>
      <c r="AO443" s="5">
        <v>558374340590506</v>
      </c>
      <c r="AP443" s="6">
        <v>191780565531111</v>
      </c>
      <c r="AQ443" s="6">
        <v>197259941677142</v>
      </c>
      <c r="AR443" s="6">
        <v>217682349873927</v>
      </c>
      <c r="AS443" s="6">
        <v>249541512051906</v>
      </c>
      <c r="AT443" s="6">
        <v>248611447941359</v>
      </c>
      <c r="AU443" s="6">
        <v>225264843576539</v>
      </c>
      <c r="AV443" s="6">
        <v>222881960034362</v>
      </c>
      <c r="AW443" s="6">
        <v>206731400950947</v>
      </c>
      <c r="AX443" s="6">
        <v>195467755727853</v>
      </c>
      <c r="AY443" s="6">
        <v>20277074492825</v>
      </c>
      <c r="AZ443" s="6">
        <v>196515384439986</v>
      </c>
      <c r="BA443" s="6">
        <v>20069052956715</v>
      </c>
      <c r="BB443" s="6">
        <v>182413486385791</v>
      </c>
      <c r="BC443" s="6">
        <v>1998870441045</v>
      </c>
      <c r="BD443" s="6">
        <v>182790750475967</v>
      </c>
      <c r="BE443" s="6">
        <v>166830805214665</v>
      </c>
      <c r="BF443" s="6">
        <v>183844135041771</v>
      </c>
      <c r="BG443" s="6">
        <v>171720592510475</v>
      </c>
      <c r="BH443" s="6">
        <v>173922621259252</v>
      </c>
      <c r="BI443" s="6">
        <v>167045925164413</v>
      </c>
      <c r="BJ443" s="6">
        <v>151739324779504</v>
      </c>
      <c r="BK443" s="6">
        <v>143463862807779</v>
      </c>
      <c r="BL443" s="6">
        <v>140957325069725</v>
      </c>
      <c r="BM443" s="6">
        <v>160253370162753</v>
      </c>
    </row>
    <row r="444" spans="1:65" x14ac:dyDescent="0.45">
      <c r="A444" s="1" t="s">
        <v>438</v>
      </c>
      <c r="B444" s="2">
        <v>103025</v>
      </c>
      <c r="C444" s="3" t="s">
        <v>1487</v>
      </c>
      <c r="D444" s="3" t="s">
        <v>1488</v>
      </c>
      <c r="E444" s="3" t="s">
        <v>623</v>
      </c>
      <c r="F444" s="5">
        <v>117975237485366</v>
      </c>
      <c r="G444" s="5">
        <v>13091161022817</v>
      </c>
      <c r="H444" s="5">
        <v>130898031880526</v>
      </c>
      <c r="I444" s="5">
        <v>13820890286295</v>
      </c>
      <c r="J444" s="5">
        <v>144757942670703</v>
      </c>
      <c r="K444" s="5">
        <v>15418051294404</v>
      </c>
      <c r="L444" s="5">
        <v>140229783400272</v>
      </c>
      <c r="M444" s="5">
        <v>141861640028074</v>
      </c>
      <c r="N444" s="5">
        <v>160763805240846</v>
      </c>
      <c r="O444" s="5">
        <v>164436795376452</v>
      </c>
      <c r="P444" s="5">
        <v>155509627927208</v>
      </c>
      <c r="Q444" s="5">
        <v>15690204496891</v>
      </c>
      <c r="R444" s="5">
        <v>163093363074515</v>
      </c>
      <c r="S444" s="5">
        <v>155616151186104</v>
      </c>
      <c r="T444" s="5">
        <v>148478546524524</v>
      </c>
      <c r="U444" s="5">
        <v>135692100662304</v>
      </c>
      <c r="V444" s="5">
        <v>13585417905387</v>
      </c>
      <c r="W444" s="5">
        <v>137608027547925</v>
      </c>
      <c r="X444" s="5">
        <v>122626710064376</v>
      </c>
      <c r="Y444" s="5">
        <v>116004194716002</v>
      </c>
      <c r="Z444" s="5">
        <v>114619372242627</v>
      </c>
      <c r="AA444" s="5">
        <v>110918206522764</v>
      </c>
      <c r="AB444" s="5">
        <v>1009992948097</v>
      </c>
      <c r="AC444" s="5">
        <v>932773384211478</v>
      </c>
      <c r="AD444" s="5">
        <v>925158534395445</v>
      </c>
      <c r="AE444" s="5">
        <v>94787259909178</v>
      </c>
      <c r="AF444" s="5">
        <v>789417847407191</v>
      </c>
      <c r="AG444" s="5">
        <v>819420655618682</v>
      </c>
      <c r="AH444" s="5">
        <v>859192394991581</v>
      </c>
      <c r="AI444" s="5">
        <v>902900503503764</v>
      </c>
      <c r="AJ444" s="5">
        <v>979489488285428</v>
      </c>
      <c r="AK444" s="5">
        <v>980894384228563</v>
      </c>
      <c r="AL444" s="5">
        <v>101000668586374</v>
      </c>
      <c r="AM444" s="5">
        <v>97969086287982</v>
      </c>
      <c r="AN444" s="5">
        <v>120505193509794</v>
      </c>
      <c r="AO444" s="5">
        <v>126642509253289</v>
      </c>
      <c r="AP444" s="6">
        <v>201587921665035</v>
      </c>
      <c r="AQ444" s="6">
        <v>203253340293722</v>
      </c>
      <c r="AR444" s="6">
        <v>200143548979474</v>
      </c>
      <c r="AS444" s="6">
        <v>204774505562849</v>
      </c>
      <c r="AT444" s="6">
        <v>219390880244962</v>
      </c>
      <c r="AU444" s="6">
        <v>224509213847965</v>
      </c>
      <c r="AV444" s="6">
        <v>219070703345851</v>
      </c>
      <c r="AW444" s="6">
        <v>208471429271583</v>
      </c>
      <c r="AX444" s="6">
        <v>210029831543359</v>
      </c>
      <c r="AY444" s="6">
        <v>19366282511132</v>
      </c>
      <c r="AZ444" s="6">
        <v>187158668834769</v>
      </c>
      <c r="BA444" s="6">
        <v>178640089877001</v>
      </c>
      <c r="BB444" s="6">
        <v>156570429679427</v>
      </c>
      <c r="BC444" s="6">
        <v>166623155025201</v>
      </c>
      <c r="BD444" s="6">
        <v>152239727864355</v>
      </c>
      <c r="BE444" s="6">
        <v>168022442788379</v>
      </c>
      <c r="BF444" s="6">
        <v>166592619429988</v>
      </c>
      <c r="BG444" s="6">
        <v>151299786229664</v>
      </c>
      <c r="BH444" s="6">
        <v>144973261713892</v>
      </c>
      <c r="BI444" s="6">
        <v>137705939007674</v>
      </c>
      <c r="BJ444" s="6">
        <v>943354971667976</v>
      </c>
      <c r="BK444" s="6">
        <v>936368097833875</v>
      </c>
      <c r="BL444" s="6">
        <v>922842976142178</v>
      </c>
      <c r="BM444" s="6">
        <v>910631883434718</v>
      </c>
    </row>
    <row r="445" spans="1:65" x14ac:dyDescent="0.45">
      <c r="A445" s="1" t="s">
        <v>439</v>
      </c>
      <c r="B445" s="2">
        <v>4107935</v>
      </c>
      <c r="C445" s="3" t="s">
        <v>1489</v>
      </c>
      <c r="D445" s="3" t="s">
        <v>1490</v>
      </c>
      <c r="E445" s="3" t="s">
        <v>1470</v>
      </c>
      <c r="F445" s="5">
        <v>22332018091804</v>
      </c>
      <c r="G445" s="5">
        <v>230883641560713</v>
      </c>
      <c r="H445" s="5">
        <v>217234921999237</v>
      </c>
      <c r="I445" s="5">
        <v>209564339277159</v>
      </c>
      <c r="J445" s="5">
        <v>213536751356667</v>
      </c>
      <c r="K445" s="5">
        <v>197575756991548</v>
      </c>
      <c r="L445" s="5">
        <v>191079223866859</v>
      </c>
      <c r="M445" s="5">
        <v>204355709055572</v>
      </c>
      <c r="N445" s="5">
        <v>196647458392858</v>
      </c>
      <c r="O445" s="5">
        <v>187581539572084</v>
      </c>
      <c r="P445" s="5">
        <v>180486582641592</v>
      </c>
      <c r="Q445" s="5">
        <v>175753677178835</v>
      </c>
      <c r="R445" s="5">
        <v>196223815401472</v>
      </c>
      <c r="S445" s="5">
        <v>18516385199569</v>
      </c>
      <c r="T445" s="5">
        <v>172690143014932</v>
      </c>
      <c r="U445" s="5">
        <v>169270425914372</v>
      </c>
      <c r="V445" s="5">
        <v>178362955134561</v>
      </c>
      <c r="W445" s="5">
        <v>155007360979464</v>
      </c>
      <c r="X445" s="5">
        <v>159685308844904</v>
      </c>
      <c r="Y445" s="5">
        <v>155165325577013</v>
      </c>
      <c r="Z445" s="5">
        <v>151648113646312</v>
      </c>
      <c r="AA445" s="5">
        <v>148052746126013</v>
      </c>
      <c r="AB445" s="5">
        <v>150089370950811</v>
      </c>
      <c r="AC445" s="5">
        <v>12984157001302</v>
      </c>
      <c r="AD445" s="5">
        <v>132256814227587</v>
      </c>
      <c r="AE445" s="5">
        <v>129783740235667</v>
      </c>
      <c r="AF445" s="5">
        <v>999337100050205</v>
      </c>
      <c r="AG445" s="5">
        <v>107431459069663</v>
      </c>
      <c r="AH445" s="5">
        <v>109389927168413</v>
      </c>
      <c r="AI445" s="5">
        <v>918637983360882</v>
      </c>
      <c r="AJ445" s="5">
        <v>101788492443895</v>
      </c>
      <c r="AK445" s="5">
        <v>123596882306984</v>
      </c>
      <c r="AL445" s="5">
        <v>112168854591679</v>
      </c>
      <c r="AM445" s="5">
        <v>9003153189212</v>
      </c>
      <c r="AN445" s="5">
        <v>133627176408595</v>
      </c>
      <c r="AO445" s="5">
        <v>138133138119684</v>
      </c>
      <c r="AP445" s="6">
        <v>218072848523883</v>
      </c>
      <c r="AQ445" s="6">
        <v>219344435806287</v>
      </c>
      <c r="AR445" s="6">
        <v>212720033939475</v>
      </c>
      <c r="AS445" s="6">
        <v>237133157470058</v>
      </c>
      <c r="AT445" s="6">
        <v>240144896602102</v>
      </c>
      <c r="AU445" s="6">
        <v>222892149080656</v>
      </c>
      <c r="AV445" s="6">
        <v>210652502592193</v>
      </c>
      <c r="AW445" s="6">
        <v>20555423897288</v>
      </c>
      <c r="AX445" s="6">
        <v>206165448350274</v>
      </c>
      <c r="AY445" s="6">
        <v>1937636983359</v>
      </c>
      <c r="AZ445" s="6">
        <v>18152530923784</v>
      </c>
      <c r="BA445" s="6">
        <v>168733883089491</v>
      </c>
      <c r="BB445" s="6">
        <v>156776873645306</v>
      </c>
      <c r="BC445" s="6">
        <v>179298041520676</v>
      </c>
      <c r="BD445" s="6">
        <v>174297566456882</v>
      </c>
      <c r="BE445" s="6">
        <v>170897140128652</v>
      </c>
      <c r="BF445" s="6">
        <v>168984298997504</v>
      </c>
      <c r="BG445" s="6">
        <v>155690279610087</v>
      </c>
      <c r="BH445" s="6">
        <v>152465234123283</v>
      </c>
      <c r="BI445" s="6">
        <v>150587565725975</v>
      </c>
      <c r="BJ445" s="6">
        <v>145587825351694</v>
      </c>
      <c r="BK445" s="6">
        <v>139562518316416</v>
      </c>
      <c r="BL445" s="6">
        <v>138111673949449</v>
      </c>
      <c r="BM445" s="6">
        <v>132462025970828</v>
      </c>
    </row>
    <row r="446" spans="1:65" x14ac:dyDescent="0.45">
      <c r="A446" s="1" t="s">
        <v>440</v>
      </c>
      <c r="B446" s="2">
        <v>4004099</v>
      </c>
      <c r="C446" s="3" t="s">
        <v>1491</v>
      </c>
      <c r="D446" s="3" t="s">
        <v>1492</v>
      </c>
      <c r="E446" s="3" t="s">
        <v>800</v>
      </c>
      <c r="F446" s="5">
        <v>124560637760904</v>
      </c>
      <c r="G446" s="5">
        <v>135545115408435</v>
      </c>
      <c r="H446" s="5">
        <v>128168638123127</v>
      </c>
      <c r="I446" s="5">
        <v>124069805892805</v>
      </c>
      <c r="J446" s="5">
        <v>139206257146054</v>
      </c>
      <c r="K446" s="5">
        <v>139161882321642</v>
      </c>
      <c r="L446" s="5">
        <v>128131983362889</v>
      </c>
      <c r="M446" s="5">
        <v>128655310445132</v>
      </c>
      <c r="N446" s="5">
        <v>139621159094099</v>
      </c>
      <c r="O446" s="5">
        <v>154547790070834</v>
      </c>
      <c r="P446" s="5">
        <v>139492638291231</v>
      </c>
      <c r="Q446" s="5">
        <v>140361777373968</v>
      </c>
      <c r="R446" s="5">
        <v>142411142316309</v>
      </c>
      <c r="S446" s="5">
        <v>134399470409866</v>
      </c>
      <c r="T446" s="5">
        <v>134208479753904</v>
      </c>
      <c r="U446" s="5">
        <v>110285353168776</v>
      </c>
      <c r="V446" s="5">
        <v>119799448529945</v>
      </c>
      <c r="W446" s="5">
        <v>120261042009856</v>
      </c>
      <c r="X446" s="5">
        <v>123220785074273</v>
      </c>
      <c r="Y446" s="5">
        <v>122491382899123</v>
      </c>
      <c r="Z446" s="5">
        <v>122645801348734</v>
      </c>
      <c r="AA446" s="5">
        <v>125199912021473</v>
      </c>
      <c r="AB446" s="5">
        <v>114022332956276</v>
      </c>
      <c r="AC446" s="5">
        <v>109622147274803</v>
      </c>
      <c r="AD446" s="5">
        <v>11470585711997</v>
      </c>
      <c r="AE446" s="5">
        <v>11506562627283</v>
      </c>
      <c r="AF446" s="5">
        <v>102459563436881</v>
      </c>
      <c r="AG446" s="5">
        <v>11381037416389</v>
      </c>
      <c r="AH446" s="5">
        <v>109276795399128</v>
      </c>
      <c r="AI446" s="5">
        <v>99472119564894</v>
      </c>
      <c r="AJ446" s="5">
        <v>101945079940423</v>
      </c>
      <c r="AK446" s="5">
        <v>103677781749581</v>
      </c>
      <c r="AL446" s="5">
        <v>991143905575461</v>
      </c>
      <c r="AM446" s="5">
        <v>88592577300136</v>
      </c>
      <c r="AN446" s="5">
        <v>100305509250277</v>
      </c>
      <c r="AO446" s="5">
        <v>112347115716763</v>
      </c>
      <c r="AP446" s="6">
        <v>22628339475049</v>
      </c>
      <c r="AQ446" s="6">
        <v>226119137944845</v>
      </c>
      <c r="AR446" s="6">
        <v>224356520480164</v>
      </c>
      <c r="AS446" s="6">
        <v>228940041946314</v>
      </c>
      <c r="AT446" s="6">
        <v>218695405110177</v>
      </c>
      <c r="AU446" s="6">
        <v>205379584932491</v>
      </c>
      <c r="AV446" s="6">
        <v>207636642698839</v>
      </c>
      <c r="AW446" s="6">
        <v>201646241186081</v>
      </c>
      <c r="AX446" s="6">
        <v>21109504880313</v>
      </c>
      <c r="AY446" s="6">
        <v>217696134898055</v>
      </c>
      <c r="AZ446" s="6">
        <v>206525652962962</v>
      </c>
      <c r="BA446" s="6">
        <v>198615140025505</v>
      </c>
      <c r="BB446" s="6">
        <v>202892469833577</v>
      </c>
      <c r="BC446" s="6">
        <v>220058562953353</v>
      </c>
      <c r="BD446" s="6">
        <v>208414771659566</v>
      </c>
      <c r="BE446" s="6">
        <v>189873898953135</v>
      </c>
      <c r="BF446" s="6">
        <v>193538851460817</v>
      </c>
      <c r="BG446" s="6">
        <v>182327360685886</v>
      </c>
      <c r="BH446" s="6">
        <v>178170273884412</v>
      </c>
      <c r="BI446" s="6">
        <v>168939030356236</v>
      </c>
      <c r="BJ446" s="6">
        <v>168716792638669</v>
      </c>
      <c r="BK446" s="6">
        <v>160525070492629</v>
      </c>
      <c r="BL446" s="6">
        <v>161399521927704</v>
      </c>
      <c r="BM446" s="6">
        <v>177320536729426</v>
      </c>
    </row>
    <row r="447" spans="1:65" x14ac:dyDescent="0.45">
      <c r="A447" s="1" t="s">
        <v>441</v>
      </c>
      <c r="B447" s="2">
        <v>4994529</v>
      </c>
      <c r="C447" s="3" t="s">
        <v>1493</v>
      </c>
      <c r="D447" s="3" t="s">
        <v>1494</v>
      </c>
      <c r="E447" s="3" t="s">
        <v>827</v>
      </c>
      <c r="F447" s="5">
        <v>115326702042946</v>
      </c>
      <c r="G447" s="5">
        <v>140028581057233</v>
      </c>
      <c r="H447" s="5">
        <v>142432007353221</v>
      </c>
      <c r="I447" s="5">
        <v>108394593254536</v>
      </c>
      <c r="J447" s="5">
        <v>113581126206534</v>
      </c>
      <c r="K447" s="5">
        <v>117725134455306</v>
      </c>
      <c r="L447" s="5">
        <v>110705513684421</v>
      </c>
      <c r="M447" s="5">
        <v>145055235185864</v>
      </c>
      <c r="N447" s="5">
        <v>156567689553999</v>
      </c>
      <c r="O447" s="5">
        <v>135477190117183</v>
      </c>
      <c r="P447" s="5">
        <v>128351408398824</v>
      </c>
      <c r="Q447" s="5">
        <v>123963703752315</v>
      </c>
      <c r="R447" s="5">
        <v>124651760220288</v>
      </c>
      <c r="S447" s="5">
        <v>121405010559502</v>
      </c>
      <c r="T447" s="5">
        <v>129204861940998</v>
      </c>
      <c r="U447" s="5">
        <v>13282170804716</v>
      </c>
      <c r="V447" s="5">
        <v>127514055846812</v>
      </c>
      <c r="W447" s="5">
        <v>127454795859706</v>
      </c>
      <c r="X447" s="5">
        <v>142716832610203</v>
      </c>
      <c r="Y447" s="5">
        <v>154916891146985</v>
      </c>
      <c r="Z447" s="5">
        <v>146330887787309</v>
      </c>
      <c r="AA447" s="5">
        <v>156130066288224</v>
      </c>
      <c r="AB447" s="5">
        <v>135777476381846</v>
      </c>
      <c r="AC447" s="5">
        <v>102733551038428</v>
      </c>
      <c r="AD447" s="5">
        <v>102885314584894</v>
      </c>
      <c r="AE447" s="5">
        <v>10968420227265</v>
      </c>
      <c r="AF447" s="5">
        <v>845482012411382</v>
      </c>
      <c r="AG447" s="5">
        <v>86111084599667</v>
      </c>
      <c r="AH447" s="5">
        <v>8762681846898</v>
      </c>
      <c r="AI447" s="5">
        <v>77184910675247</v>
      </c>
      <c r="AJ447" s="5">
        <v>89320802736467</v>
      </c>
      <c r="AK447" s="5">
        <v>732527420654274</v>
      </c>
      <c r="AL447" s="5">
        <v>774688119987969</v>
      </c>
      <c r="AM447" s="5">
        <v>7118800515918</v>
      </c>
      <c r="AN447" s="5">
        <v>138862014868763</v>
      </c>
      <c r="AO447" s="5">
        <v>1707275384804</v>
      </c>
      <c r="AP447" s="6">
        <v>501715162329359</v>
      </c>
      <c r="AQ447" s="6">
        <v>517540032257564</v>
      </c>
      <c r="AR447" s="6">
        <v>450950652717755</v>
      </c>
      <c r="AS447" s="6">
        <v>399369030330313</v>
      </c>
      <c r="AT447" s="6">
        <v>420700663921035</v>
      </c>
      <c r="AU447" s="6">
        <v>3842572003497</v>
      </c>
      <c r="AV447" s="6">
        <v>412750697551878</v>
      </c>
      <c r="AW447" s="6">
        <v>381825923262661</v>
      </c>
      <c r="AX447" s="6">
        <v>386588145098106</v>
      </c>
      <c r="AY447" s="6">
        <v>419020234958111</v>
      </c>
      <c r="AZ447" s="6">
        <v>423729243110824</v>
      </c>
      <c r="BA447" s="6">
        <v>42592434235195</v>
      </c>
      <c r="BB447" s="6">
        <v>36987199097201</v>
      </c>
      <c r="BC447" s="6">
        <v>408059041688045</v>
      </c>
      <c r="BD447" s="6">
        <v>382616148839068</v>
      </c>
      <c r="BE447" s="6">
        <v>423951751087096</v>
      </c>
      <c r="BF447" s="6">
        <v>405984052455034</v>
      </c>
      <c r="BG447" s="6">
        <v>382267131766063</v>
      </c>
      <c r="BH447" s="6">
        <v>371218120143501</v>
      </c>
      <c r="BI447" s="6">
        <v>336594550579056</v>
      </c>
      <c r="BJ447" s="6">
        <v>3232447897949</v>
      </c>
      <c r="BK447" s="6">
        <v>336496594071466</v>
      </c>
      <c r="BL447" s="6">
        <v>345238689187829</v>
      </c>
      <c r="BM447" s="6">
        <v>33973077767629</v>
      </c>
    </row>
    <row r="448" spans="1:65" x14ac:dyDescent="0.45">
      <c r="A448" s="1" t="s">
        <v>442</v>
      </c>
      <c r="B448" s="2">
        <v>4051574</v>
      </c>
      <c r="C448" s="3" t="s">
        <v>1495</v>
      </c>
      <c r="D448" s="3" t="s">
        <v>1496</v>
      </c>
      <c r="E448" s="3" t="s">
        <v>685</v>
      </c>
      <c r="F448" s="5">
        <v>140689393529394</v>
      </c>
      <c r="G448" s="5">
        <v>159128664177185</v>
      </c>
      <c r="H448" s="5">
        <v>146767203304264</v>
      </c>
      <c r="I448" s="5">
        <v>142504898482175</v>
      </c>
      <c r="J448" s="5">
        <v>167764970303228</v>
      </c>
      <c r="K448" s="5">
        <v>16695067241991</v>
      </c>
      <c r="L448" s="5">
        <v>152575125946206</v>
      </c>
      <c r="M448" s="5">
        <v>148431254963928</v>
      </c>
      <c r="N448" s="5">
        <v>148769477970877</v>
      </c>
      <c r="O448" s="5">
        <v>168172296667288</v>
      </c>
      <c r="P448" s="5">
        <v>163093079406651</v>
      </c>
      <c r="Q448" s="5">
        <v>156908916250459</v>
      </c>
      <c r="R448" s="5">
        <v>163806492669378</v>
      </c>
      <c r="S448" s="5">
        <v>152963685343768</v>
      </c>
      <c r="T448" s="5">
        <v>16080211422321</v>
      </c>
      <c r="U448" s="5">
        <v>136854570411509</v>
      </c>
      <c r="V448" s="5">
        <v>144364571304035</v>
      </c>
      <c r="W448" s="5">
        <v>14043125604778</v>
      </c>
      <c r="X448" s="5">
        <v>15269307171409</v>
      </c>
      <c r="Y448" s="5">
        <v>153282772243814</v>
      </c>
      <c r="Z448" s="5">
        <v>147338437356258</v>
      </c>
      <c r="AA448" s="5">
        <v>125918409032593</v>
      </c>
      <c r="AB448" s="5">
        <v>113102137138006</v>
      </c>
      <c r="AC448" s="5">
        <v>110374114051287</v>
      </c>
      <c r="AD448" s="5">
        <v>118999077125661</v>
      </c>
      <c r="AE448" s="5">
        <v>123724973421779</v>
      </c>
      <c r="AF448" s="5">
        <v>116481102624</v>
      </c>
      <c r="AG448" s="5">
        <v>12251480117512</v>
      </c>
      <c r="AH448" s="5">
        <v>118168587982925</v>
      </c>
      <c r="AI448" s="5">
        <v>104142549164</v>
      </c>
      <c r="AJ448" s="5">
        <v>851783412691203</v>
      </c>
      <c r="AK448" s="5">
        <v>773278764425909</v>
      </c>
      <c r="AL448" s="5">
        <v>744614766924825</v>
      </c>
      <c r="AM448" s="5">
        <v>729784411045326</v>
      </c>
      <c r="AN448" s="5">
        <v>706385611342675</v>
      </c>
      <c r="AO448" s="5">
        <v>799995364103267</v>
      </c>
      <c r="AP448" s="6">
        <v>92445063402972</v>
      </c>
      <c r="AQ448" s="6">
        <v>879733841535456</v>
      </c>
      <c r="AR448" s="6">
        <v>886236925237227</v>
      </c>
      <c r="AS448" s="6">
        <v>93580031439812</v>
      </c>
      <c r="AT448" s="6">
        <v>91319933094122</v>
      </c>
      <c r="AU448" s="6">
        <v>968734069198665</v>
      </c>
      <c r="AV448" s="6">
        <v>862499284062125</v>
      </c>
      <c r="AW448" s="6">
        <v>776867321649216</v>
      </c>
      <c r="AX448" s="6">
        <v>124284989704669</v>
      </c>
      <c r="AY448" s="6">
        <v>130282211294492</v>
      </c>
      <c r="AZ448" s="6">
        <v>119561385397048</v>
      </c>
      <c r="BA448" s="6">
        <v>134818814347078</v>
      </c>
      <c r="BB448" s="6">
        <v>123396597121596</v>
      </c>
      <c r="BC448" s="6">
        <v>154200381143416</v>
      </c>
      <c r="BD448" s="6">
        <v>142344896534062</v>
      </c>
      <c r="BE448" s="6">
        <v>162412037199515</v>
      </c>
      <c r="BF448" s="6">
        <v>173800273381307</v>
      </c>
      <c r="BG448" s="6">
        <v>16434062087625</v>
      </c>
      <c r="BH448" s="6">
        <v>159669933730804</v>
      </c>
      <c r="BI448" s="6">
        <v>17003886276107</v>
      </c>
      <c r="BJ448" s="6">
        <v>165250241136237</v>
      </c>
      <c r="BK448" s="6">
        <v>172346053986898</v>
      </c>
      <c r="BL448" s="6">
        <v>173906267890118</v>
      </c>
      <c r="BM448" s="6">
        <v>184786837085581</v>
      </c>
    </row>
    <row r="449" spans="1:65" x14ac:dyDescent="0.45">
      <c r="A449" s="1" t="s">
        <v>443</v>
      </c>
      <c r="B449" s="2">
        <v>4086110</v>
      </c>
      <c r="C449" s="3" t="s">
        <v>1497</v>
      </c>
      <c r="D449" s="3" t="s">
        <v>1498</v>
      </c>
      <c r="E449" s="3" t="s">
        <v>928</v>
      </c>
      <c r="F449" s="5">
        <v>230496785306356</v>
      </c>
      <c r="G449" s="5">
        <v>237265934640929</v>
      </c>
      <c r="H449" s="5">
        <v>221286401365726</v>
      </c>
      <c r="I449" s="5">
        <v>192787548403172</v>
      </c>
      <c r="J449" s="5">
        <v>202934124600383</v>
      </c>
      <c r="K449" s="5">
        <v>221395670411488</v>
      </c>
      <c r="L449" s="5">
        <v>166402020695284</v>
      </c>
      <c r="M449" s="5">
        <v>199032429223492</v>
      </c>
      <c r="N449" s="5">
        <v>215082179649345</v>
      </c>
      <c r="O449" s="5">
        <v>230841351783864</v>
      </c>
      <c r="P449" s="5">
        <v>207418217539642</v>
      </c>
      <c r="Q449" s="5">
        <v>206984067066847</v>
      </c>
      <c r="R449" s="5">
        <v>211523940266477</v>
      </c>
      <c r="S449" s="5">
        <v>217567088170377</v>
      </c>
      <c r="T449" s="5">
        <v>237348288378647</v>
      </c>
      <c r="U449" s="5">
        <v>219184603123142</v>
      </c>
      <c r="V449" s="5">
        <v>216276456695461</v>
      </c>
      <c r="W449" s="5">
        <v>201107515691803</v>
      </c>
      <c r="X449" s="5">
        <v>194735587003828</v>
      </c>
      <c r="Y449" s="5">
        <v>198326372300536</v>
      </c>
      <c r="Z449" s="5">
        <v>192507354247998</v>
      </c>
      <c r="AA449" s="5">
        <v>202938224031295</v>
      </c>
      <c r="AB449" s="5">
        <v>177454680059713</v>
      </c>
      <c r="AC449" s="5">
        <v>144536913248541</v>
      </c>
      <c r="AD449" s="5">
        <v>136761259828342</v>
      </c>
      <c r="AE449" s="5">
        <v>136997681144147</v>
      </c>
      <c r="AF449" s="5">
        <v>110362299933635</v>
      </c>
      <c r="AG449" s="5">
        <v>107114318993634</v>
      </c>
      <c r="AH449" s="5">
        <v>10675256610344</v>
      </c>
      <c r="AI449" s="5">
        <v>94666099124703</v>
      </c>
      <c r="AJ449" s="5">
        <v>954201480210634</v>
      </c>
      <c r="AK449" s="5">
        <v>900125532238317</v>
      </c>
      <c r="AL449" s="5">
        <v>84630668568039</v>
      </c>
      <c r="AM449" s="5">
        <v>6936582725436</v>
      </c>
      <c r="AN449" s="5">
        <v>895957222135853</v>
      </c>
      <c r="AO449" s="5">
        <v>910299164366526</v>
      </c>
      <c r="AP449" s="6">
        <v>104960219541647</v>
      </c>
      <c r="AQ449" s="6">
        <v>103472748656736</v>
      </c>
      <c r="AR449" s="6">
        <v>973955580743607</v>
      </c>
      <c r="AS449" s="6">
        <v>957615655194968</v>
      </c>
      <c r="AT449" s="6">
        <v>928828474152464</v>
      </c>
      <c r="AU449" s="6">
        <v>883931954457255</v>
      </c>
      <c r="AV449" s="6">
        <v>892914933148472</v>
      </c>
      <c r="AW449" s="6">
        <v>817738106138675</v>
      </c>
      <c r="AX449" s="6">
        <v>8244900947052</v>
      </c>
      <c r="AY449" s="6">
        <v>789891412623984</v>
      </c>
      <c r="AZ449" s="6">
        <v>757337414459333</v>
      </c>
      <c r="BA449" s="6">
        <v>760717004669379</v>
      </c>
      <c r="BB449" s="6">
        <v>663855604911193</v>
      </c>
      <c r="BC449" s="6">
        <v>778184077204262</v>
      </c>
      <c r="BD449" s="6">
        <v>706055283874797</v>
      </c>
      <c r="BE449" s="6">
        <v>688790270538433</v>
      </c>
      <c r="BF449" s="6">
        <v>666789612966957</v>
      </c>
      <c r="BG449" s="6">
        <v>64365636072232</v>
      </c>
      <c r="BH449" s="6">
        <v>654815231416166</v>
      </c>
      <c r="BI449" s="6">
        <v>614921880928586</v>
      </c>
      <c r="BJ449" s="6">
        <v>557290990168243</v>
      </c>
      <c r="BK449" s="6">
        <v>551411419646157</v>
      </c>
      <c r="BL449" s="6">
        <v>592189785160155</v>
      </c>
      <c r="BM449" s="6">
        <v>63806641593662</v>
      </c>
    </row>
    <row r="450" spans="1:65" x14ac:dyDescent="0.45">
      <c r="A450" s="1" t="s">
        <v>444</v>
      </c>
      <c r="B450" s="2">
        <v>111568</v>
      </c>
      <c r="C450" s="3" t="s">
        <v>1499</v>
      </c>
      <c r="D450" s="3" t="s">
        <v>1500</v>
      </c>
      <c r="E450" s="3" t="s">
        <v>716</v>
      </c>
      <c r="F450" s="5">
        <v>463520695308202</v>
      </c>
      <c r="G450" s="5">
        <v>496291537065218</v>
      </c>
      <c r="H450" s="5">
        <v>525145549595958</v>
      </c>
      <c r="I450" s="5">
        <v>481759316398796</v>
      </c>
      <c r="J450" s="5">
        <v>482323319434531</v>
      </c>
      <c r="K450" s="5">
        <v>498835350622468</v>
      </c>
      <c r="L450" s="5">
        <v>460959788757408</v>
      </c>
      <c r="M450" s="5">
        <v>434419082979427</v>
      </c>
      <c r="N450" s="5">
        <v>453102277360705</v>
      </c>
      <c r="O450" s="5">
        <v>431943269804555</v>
      </c>
      <c r="P450" s="5">
        <v>398717525018551</v>
      </c>
      <c r="Q450" s="5">
        <v>39737692804572</v>
      </c>
      <c r="R450" s="5">
        <v>415857185443327</v>
      </c>
      <c r="S450" s="5">
        <v>37119486477038</v>
      </c>
      <c r="T450" s="5">
        <v>375483325954643</v>
      </c>
      <c r="U450" s="5">
        <v>317886176656577</v>
      </c>
      <c r="V450" s="5">
        <v>332532957159652</v>
      </c>
      <c r="W450" s="5">
        <v>327937864505095</v>
      </c>
      <c r="X450" s="5">
        <v>318717551285124</v>
      </c>
      <c r="Y450" s="5">
        <v>318952782250363</v>
      </c>
      <c r="Z450" s="5">
        <v>312920248113437</v>
      </c>
      <c r="AA450" s="5">
        <v>299669692030631</v>
      </c>
      <c r="AB450" s="5">
        <v>260527029252279</v>
      </c>
      <c r="AC450" s="5">
        <v>260738971129555</v>
      </c>
      <c r="AD450" s="5">
        <v>272008775081439</v>
      </c>
      <c r="AE450" s="5">
        <v>267013023405091</v>
      </c>
      <c r="AF450" s="5">
        <v>248836518434953</v>
      </c>
      <c r="AG450" s="5">
        <v>252317311329759</v>
      </c>
      <c r="AH450" s="5">
        <v>248463455578558</v>
      </c>
      <c r="AI450" s="5">
        <v>242728187148833</v>
      </c>
      <c r="AJ450" s="5">
        <v>2485632210145</v>
      </c>
      <c r="AK450" s="5">
        <v>260057585320638</v>
      </c>
      <c r="AL450" s="5">
        <v>253291376623407</v>
      </c>
      <c r="AM450" s="5">
        <v>215265257033518</v>
      </c>
      <c r="AN450" s="5">
        <v>219912629115012</v>
      </c>
      <c r="AO450" s="5">
        <v>232827124060257</v>
      </c>
      <c r="AP450" s="6">
        <v>357763509279878</v>
      </c>
      <c r="AQ450" s="6">
        <v>357954373594067</v>
      </c>
      <c r="AR450" s="6">
        <v>344023334456567</v>
      </c>
      <c r="AS450" s="6">
        <v>339639089648226</v>
      </c>
      <c r="AT450" s="6">
        <v>353959172247669</v>
      </c>
      <c r="AU450" s="6">
        <v>344338325040831</v>
      </c>
      <c r="AV450" s="6">
        <v>330283992106444</v>
      </c>
      <c r="AW450" s="6">
        <v>313421546682227</v>
      </c>
      <c r="AX450" s="6">
        <v>317806035388156</v>
      </c>
      <c r="AY450" s="6">
        <v>302997437135218</v>
      </c>
      <c r="AZ450" s="6">
        <v>283182040429149</v>
      </c>
      <c r="BA450" s="6">
        <v>256618644787054</v>
      </c>
      <c r="BB450" s="6">
        <v>251721498983061</v>
      </c>
      <c r="BC450" s="6">
        <v>273714616613597</v>
      </c>
      <c r="BD450" s="6">
        <v>267530274878929</v>
      </c>
      <c r="BE450" s="6">
        <v>28488634686084</v>
      </c>
      <c r="BF450" s="6">
        <v>279071565270976</v>
      </c>
      <c r="BG450" s="6">
        <v>257677037208235</v>
      </c>
      <c r="BH450" s="6">
        <v>251502941129155</v>
      </c>
      <c r="BI450" s="6">
        <v>248391688488199</v>
      </c>
      <c r="BJ450" s="6">
        <v>232802696617109</v>
      </c>
      <c r="BK450" s="6">
        <v>217171305120118</v>
      </c>
      <c r="BL450" s="6">
        <v>224790722822959</v>
      </c>
      <c r="BM450" s="6">
        <v>223889340318278</v>
      </c>
    </row>
    <row r="451" spans="1:65" x14ac:dyDescent="0.45">
      <c r="A451" s="1" t="s">
        <v>445</v>
      </c>
      <c r="B451" s="2">
        <v>4540311</v>
      </c>
      <c r="C451" s="3" t="s">
        <v>1501</v>
      </c>
      <c r="D451" s="3" t="s">
        <v>1502</v>
      </c>
      <c r="E451" s="3" t="s">
        <v>995</v>
      </c>
      <c r="F451" s="5">
        <v>941355029567053</v>
      </c>
      <c r="G451" s="5">
        <v>906050626085419</v>
      </c>
      <c r="H451" s="5">
        <v>855037604756808</v>
      </c>
      <c r="I451" s="5">
        <v>656204903415505</v>
      </c>
      <c r="J451" s="5">
        <v>708884602421129</v>
      </c>
      <c r="K451" s="5">
        <v>820151691113981</v>
      </c>
      <c r="L451" s="5">
        <v>716582598105778</v>
      </c>
      <c r="M451" s="5">
        <v>86389706871805</v>
      </c>
      <c r="N451" s="5">
        <v>865771109096741</v>
      </c>
      <c r="O451" s="5">
        <v>976037577043165</v>
      </c>
      <c r="P451" s="5">
        <v>958727071752027</v>
      </c>
      <c r="Q451" s="5">
        <v>933275505117946</v>
      </c>
      <c r="R451" s="5">
        <v>916337090723395</v>
      </c>
      <c r="S451" s="5">
        <v>846644985734735</v>
      </c>
      <c r="T451" s="5">
        <v>89214492506328</v>
      </c>
      <c r="U451" s="5">
        <v>992411793528972</v>
      </c>
      <c r="V451" s="5">
        <v>109691721603398</v>
      </c>
      <c r="W451" s="5">
        <v>115243362898231</v>
      </c>
      <c r="X451" s="5">
        <v>105251018339695</v>
      </c>
      <c r="Y451" s="5">
        <v>11162212911694</v>
      </c>
      <c r="Z451" s="5">
        <v>105018026858668</v>
      </c>
      <c r="AA451" s="5">
        <v>967029315841272</v>
      </c>
      <c r="AB451" s="5">
        <v>881412744337713</v>
      </c>
      <c r="AC451" s="5">
        <v>872825994147749</v>
      </c>
      <c r="AD451" s="5">
        <v>95519556173325</v>
      </c>
      <c r="AE451" s="5">
        <v>928436078130745</v>
      </c>
      <c r="AF451" s="5">
        <v>798633119576046</v>
      </c>
      <c r="AG451" s="5">
        <v>774283027031837</v>
      </c>
      <c r="AH451" s="5">
        <v>784214141081578</v>
      </c>
      <c r="AI451" s="5">
        <v>788964949365921</v>
      </c>
      <c r="AJ451" s="5">
        <v>701039947251503</v>
      </c>
      <c r="AK451" s="5">
        <v>805565999917192</v>
      </c>
      <c r="AL451" s="5">
        <v>827091296216044</v>
      </c>
      <c r="AM451" s="5">
        <v>78201407673935</v>
      </c>
      <c r="AN451" s="5">
        <v>975849394718404</v>
      </c>
      <c r="AO451" s="5">
        <v>108312446121887</v>
      </c>
      <c r="AP451" s="6">
        <v>998494873450936</v>
      </c>
      <c r="AQ451" s="6">
        <v>117357854611333</v>
      </c>
      <c r="AR451" s="6">
        <v>119225576518622</v>
      </c>
      <c r="AS451" s="6">
        <v>120530839372147</v>
      </c>
      <c r="AT451" s="6">
        <v>111535342642474</v>
      </c>
      <c r="AU451" s="6">
        <v>930569050176828</v>
      </c>
      <c r="AV451" s="6">
        <v>960212324492762</v>
      </c>
      <c r="AW451" s="6">
        <v>102003940191119</v>
      </c>
      <c r="AX451" s="6">
        <v>117544032144</v>
      </c>
      <c r="AY451" s="6">
        <v>112692178132538</v>
      </c>
      <c r="AZ451" s="6">
        <v>111103274264714</v>
      </c>
      <c r="BA451" s="6">
        <v>109483782025302</v>
      </c>
      <c r="BB451" s="6">
        <v>998499415951884</v>
      </c>
      <c r="BC451" s="6">
        <v>103572864558182</v>
      </c>
      <c r="BD451" s="6">
        <v>10369026583281</v>
      </c>
      <c r="BE451" s="6">
        <v>111057798213039</v>
      </c>
      <c r="BF451" s="6">
        <v>105174055449845</v>
      </c>
      <c r="BG451" s="6">
        <v>101166683152327</v>
      </c>
      <c r="BH451" s="6">
        <v>106050172809421</v>
      </c>
      <c r="BI451" s="6">
        <v>110026704039997</v>
      </c>
      <c r="BJ451" s="6">
        <v>989616722557961</v>
      </c>
      <c r="BK451" s="6">
        <v>725756779039674</v>
      </c>
      <c r="BL451" s="6">
        <v>664952865550155</v>
      </c>
      <c r="BM451" s="6">
        <v>671601537376965</v>
      </c>
    </row>
    <row r="452" spans="1:65" x14ac:dyDescent="0.45">
      <c r="A452" s="1" t="s">
        <v>446</v>
      </c>
      <c r="B452" s="2">
        <v>4011157</v>
      </c>
      <c r="C452" s="3" t="s">
        <v>1503</v>
      </c>
      <c r="D452" s="3" t="s">
        <v>1504</v>
      </c>
      <c r="E452" s="3" t="s">
        <v>1135</v>
      </c>
      <c r="F452" s="5">
        <v>457627318871528</v>
      </c>
      <c r="G452" s="5">
        <v>499527577080473</v>
      </c>
      <c r="H452" s="5">
        <v>489493952102478</v>
      </c>
      <c r="I452" s="5">
        <v>429292265173455</v>
      </c>
      <c r="J452" s="5">
        <v>458141996292092</v>
      </c>
      <c r="K452" s="5">
        <v>427847489255865</v>
      </c>
      <c r="L452" s="5">
        <v>414901211526664</v>
      </c>
      <c r="M452" s="5">
        <v>492981123482266</v>
      </c>
      <c r="N452" s="5">
        <v>431698149855947</v>
      </c>
      <c r="O452" s="5">
        <v>374232709914824</v>
      </c>
      <c r="P452" s="5">
        <v>304381325388276</v>
      </c>
      <c r="Q452" s="5">
        <v>302847500238638</v>
      </c>
      <c r="R452" s="5">
        <v>270012305274021</v>
      </c>
      <c r="S452" s="5">
        <v>242804070236183</v>
      </c>
      <c r="T452" s="5">
        <v>273408752117552</v>
      </c>
      <c r="U452" s="5">
        <v>248923576058603</v>
      </c>
      <c r="V452" s="5">
        <v>229668139682038</v>
      </c>
      <c r="W452" s="5">
        <v>230804170052853</v>
      </c>
      <c r="X452" s="5">
        <v>269179490724109</v>
      </c>
      <c r="Y452" s="5">
        <v>26965172316753</v>
      </c>
      <c r="Z452" s="5">
        <v>251317799691664</v>
      </c>
      <c r="AA452" s="5">
        <v>249356339922144</v>
      </c>
      <c r="AB452" s="5">
        <v>259943931200973</v>
      </c>
      <c r="AC452" s="5">
        <v>189569111955124</v>
      </c>
      <c r="AD452" s="5">
        <v>188586099346516</v>
      </c>
      <c r="AE452" s="5">
        <v>183461754799419</v>
      </c>
      <c r="AF452" s="5">
        <v>135105628256283</v>
      </c>
      <c r="AG452" s="5">
        <v>150427008154035</v>
      </c>
      <c r="AH452" s="5">
        <v>179378683906756</v>
      </c>
      <c r="AI452" s="5">
        <v>19381200289337</v>
      </c>
      <c r="AJ452" s="5">
        <v>213093666923625</v>
      </c>
      <c r="AK452" s="5">
        <v>244385463565919</v>
      </c>
      <c r="AL452" s="5">
        <v>236091059905216</v>
      </c>
      <c r="AM452" s="5">
        <v>168637912698528</v>
      </c>
      <c r="AN452" s="5">
        <v>246589289745068</v>
      </c>
      <c r="AO452" s="5">
        <v>312291629150978</v>
      </c>
      <c r="AP452" s="6">
        <v>169823517343468</v>
      </c>
      <c r="AQ452" s="6">
        <v>170421393535813</v>
      </c>
      <c r="AR452" s="6">
        <v>169550313180095</v>
      </c>
      <c r="AS452" s="6">
        <v>183484784874306</v>
      </c>
      <c r="AT452" s="6">
        <v>16988873338372</v>
      </c>
      <c r="AU452" s="6">
        <v>164442450450486</v>
      </c>
      <c r="AV452" s="6">
        <v>159392955140713</v>
      </c>
      <c r="AW452" s="6">
        <v>148018150087666</v>
      </c>
      <c r="AX452" s="6">
        <v>148646754171762</v>
      </c>
      <c r="AY452" s="6">
        <v>139324369510656</v>
      </c>
      <c r="AZ452" s="6">
        <v>129026859713666</v>
      </c>
      <c r="BA452" s="6">
        <v>117179826133572</v>
      </c>
      <c r="BB452" s="6">
        <v>113946595744467</v>
      </c>
      <c r="BC452" s="6">
        <v>123283897526508</v>
      </c>
      <c r="BD452" s="6">
        <v>11799421783397</v>
      </c>
      <c r="BE452" s="6">
        <v>126593672062798</v>
      </c>
      <c r="BF452" s="6">
        <v>126255541664438</v>
      </c>
      <c r="BG452" s="6">
        <v>1265067247864</v>
      </c>
      <c r="BH452" s="6">
        <v>146219965904137</v>
      </c>
      <c r="BI452" s="6">
        <v>144825769372952</v>
      </c>
      <c r="BJ452" s="6">
        <v>122424136880603</v>
      </c>
      <c r="BK452" s="6">
        <v>12287595458092</v>
      </c>
      <c r="BL452" s="6">
        <v>127740658571662</v>
      </c>
      <c r="BM452" s="6">
        <v>14398909451501</v>
      </c>
    </row>
    <row r="453" spans="1:65" x14ac:dyDescent="0.45">
      <c r="A453" s="1" t="s">
        <v>447</v>
      </c>
      <c r="B453" s="2">
        <v>4046115</v>
      </c>
      <c r="C453" s="3" t="s">
        <v>1505</v>
      </c>
      <c r="D453" s="3" t="s">
        <v>1506</v>
      </c>
      <c r="E453" s="3" t="s">
        <v>525</v>
      </c>
      <c r="F453" s="5">
        <v>168494261413307</v>
      </c>
      <c r="G453" s="5">
        <v>180353318434359</v>
      </c>
      <c r="H453" s="5">
        <v>158175010088929</v>
      </c>
      <c r="I453" s="5">
        <v>163743796311663</v>
      </c>
      <c r="J453" s="5">
        <v>18994428042036</v>
      </c>
      <c r="K453" s="5">
        <v>210743101288774</v>
      </c>
      <c r="L453" s="5">
        <v>196641947722646</v>
      </c>
      <c r="M453" s="5">
        <v>211388377709185</v>
      </c>
      <c r="N453" s="5">
        <v>210607991293747</v>
      </c>
      <c r="O453" s="5">
        <v>222134815782813</v>
      </c>
      <c r="P453" s="5">
        <v>19210570499484</v>
      </c>
      <c r="Q453" s="5">
        <v>188954922127404</v>
      </c>
      <c r="R453" s="5">
        <v>179428828970359</v>
      </c>
      <c r="S453" s="5">
        <v>166166641068622</v>
      </c>
      <c r="T453" s="5">
        <v>181603091548788</v>
      </c>
      <c r="U453" s="5">
        <v>187429625466234</v>
      </c>
      <c r="V453" s="5">
        <v>180255253712556</v>
      </c>
      <c r="W453" s="5">
        <v>18907708227815</v>
      </c>
      <c r="X453" s="5">
        <v>180686252898482</v>
      </c>
      <c r="Y453" s="5">
        <v>170670329887966</v>
      </c>
      <c r="Z453" s="5">
        <v>172914294150366</v>
      </c>
      <c r="AA453" s="5">
        <v>170266361134262</v>
      </c>
      <c r="AB453" s="5">
        <v>163807875722358</v>
      </c>
      <c r="AC453" s="5">
        <v>142158846027812</v>
      </c>
      <c r="AD453" s="5">
        <v>15016617283905</v>
      </c>
      <c r="AE453" s="5">
        <v>150151553341702</v>
      </c>
      <c r="AF453" s="5">
        <v>126361796294189</v>
      </c>
      <c r="AG453" s="5">
        <v>133315883427225</v>
      </c>
      <c r="AH453" s="5">
        <v>128611357554066</v>
      </c>
      <c r="AI453" s="5">
        <v>120972166346294</v>
      </c>
      <c r="AJ453" s="5">
        <v>121400545829282</v>
      </c>
      <c r="AK453" s="5">
        <v>117285503953091</v>
      </c>
      <c r="AL453" s="5">
        <v>110319209101182</v>
      </c>
      <c r="AM453" s="5">
        <v>9093321166748</v>
      </c>
      <c r="AN453" s="5">
        <v>182302897530917</v>
      </c>
      <c r="AO453" s="5">
        <v>194529888830424</v>
      </c>
      <c r="AP453" s="6">
        <v>113097715726657</v>
      </c>
      <c r="AQ453" s="6">
        <v>113358151353428</v>
      </c>
      <c r="AR453" s="6">
        <v>115176985362991</v>
      </c>
      <c r="AS453" s="6">
        <v>12133996279935</v>
      </c>
      <c r="AT453" s="6">
        <v>118662594229153</v>
      </c>
      <c r="AU453" s="6">
        <v>1141995972672</v>
      </c>
      <c r="AV453" s="6">
        <v>110323629039542</v>
      </c>
      <c r="AW453" s="6">
        <v>10624944079637</v>
      </c>
      <c r="AX453" s="6">
        <v>104175144328179</v>
      </c>
      <c r="AY453" s="6">
        <v>921026116025179</v>
      </c>
      <c r="AZ453" s="6">
        <v>896334576318862</v>
      </c>
      <c r="BA453" s="6">
        <v>818897740079715</v>
      </c>
      <c r="BB453" s="6">
        <v>788348506992361</v>
      </c>
      <c r="BC453" s="6">
        <v>849722070557851</v>
      </c>
      <c r="BD453" s="6">
        <v>816824493427246</v>
      </c>
      <c r="BE453" s="6">
        <v>837996177867075</v>
      </c>
      <c r="BF453" s="6">
        <v>821250339491322</v>
      </c>
      <c r="BG453" s="6">
        <v>788471884179392</v>
      </c>
      <c r="BH453" s="6">
        <v>755110159932608</v>
      </c>
      <c r="BI453" s="6">
        <v>798007132355767</v>
      </c>
      <c r="BJ453" s="6">
        <v>78047344526012</v>
      </c>
      <c r="BK453" s="6">
        <v>71855192655052</v>
      </c>
      <c r="BL453" s="6">
        <v>680674333209885</v>
      </c>
      <c r="BM453" s="6">
        <v>712911737032597</v>
      </c>
    </row>
    <row r="454" spans="1:65" x14ac:dyDescent="0.45">
      <c r="A454" s="1" t="s">
        <v>448</v>
      </c>
      <c r="B454" s="2">
        <v>4087927</v>
      </c>
      <c r="C454" s="3" t="s">
        <v>1507</v>
      </c>
      <c r="D454" s="3" t="s">
        <v>1508</v>
      </c>
      <c r="E454" s="3" t="s">
        <v>519</v>
      </c>
      <c r="F454" s="5">
        <v>203795653883028</v>
      </c>
      <c r="G454" s="5">
        <v>205412986867372</v>
      </c>
      <c r="H454" s="5">
        <v>214922070338583</v>
      </c>
      <c r="I454" s="5">
        <v>190040746296987</v>
      </c>
      <c r="J454" s="5">
        <v>194103539182823</v>
      </c>
      <c r="K454" s="5">
        <v>198959421311657</v>
      </c>
      <c r="L454" s="5">
        <v>175346030416629</v>
      </c>
      <c r="M454" s="5">
        <v>178227252445718</v>
      </c>
      <c r="N454" s="5">
        <v>18574299601821</v>
      </c>
      <c r="O454" s="5">
        <v>220619650013835</v>
      </c>
      <c r="P454" s="5">
        <v>209668090083551</v>
      </c>
      <c r="Q454" s="5">
        <v>215379203513725</v>
      </c>
      <c r="R454" s="5">
        <v>247909214404197</v>
      </c>
      <c r="S454" s="5">
        <v>236428398296503</v>
      </c>
      <c r="T454" s="5">
        <v>21389820805595</v>
      </c>
      <c r="U454" s="5">
        <v>197886442456978</v>
      </c>
      <c r="V454" s="5">
        <v>204971275964738</v>
      </c>
      <c r="W454" s="5">
        <v>204058870577008</v>
      </c>
      <c r="X454" s="5">
        <v>216266108021598</v>
      </c>
      <c r="Y454" s="5">
        <v>203214280117454</v>
      </c>
      <c r="Z454" s="5">
        <v>204812499738728</v>
      </c>
      <c r="AA454" s="5">
        <v>191518310525947</v>
      </c>
      <c r="AB454" s="5">
        <v>18136499184941</v>
      </c>
      <c r="AC454" s="5">
        <v>182432998557777</v>
      </c>
      <c r="AD454" s="5">
        <v>20186834418276</v>
      </c>
      <c r="AE454" s="5">
        <v>1916388783424</v>
      </c>
      <c r="AF454" s="5">
        <v>186729011432636</v>
      </c>
      <c r="AG454" s="5">
        <v>200362548613076</v>
      </c>
      <c r="AH454" s="5">
        <v>206369327321766</v>
      </c>
      <c r="AI454" s="5">
        <v>20551126005022</v>
      </c>
      <c r="AJ454" s="5">
        <v>212349006990117</v>
      </c>
      <c r="AK454" s="5">
        <v>227612184245646</v>
      </c>
      <c r="AL454" s="5">
        <v>221252098885801</v>
      </c>
      <c r="AM454" s="5">
        <v>190787600971422</v>
      </c>
      <c r="AN454" s="5">
        <v>200866786787552</v>
      </c>
      <c r="AO454" s="5">
        <v>220426352299428</v>
      </c>
      <c r="AP454" s="6">
        <v>162490341153657</v>
      </c>
      <c r="AQ454" s="6">
        <v>154953723947303</v>
      </c>
      <c r="AR454" s="6">
        <v>149242039405565</v>
      </c>
      <c r="AS454" s="6">
        <v>148715235221084</v>
      </c>
      <c r="AT454" s="6">
        <v>135774406743438</v>
      </c>
      <c r="AU454" s="6">
        <v>142698324899592</v>
      </c>
      <c r="AV454" s="6">
        <v>130691923229617</v>
      </c>
      <c r="AW454" s="6">
        <v>130160537992575</v>
      </c>
      <c r="AX454" s="6">
        <v>13954320200835</v>
      </c>
      <c r="AY454" s="6">
        <v>149088312899064</v>
      </c>
      <c r="AZ454" s="6">
        <v>149498030565673</v>
      </c>
      <c r="BA454" s="6">
        <v>144055323403092</v>
      </c>
      <c r="BB454" s="6">
        <v>138893709576027</v>
      </c>
      <c r="BC454" s="6">
        <v>156210508266993</v>
      </c>
      <c r="BD454" s="6">
        <v>141300998793102</v>
      </c>
      <c r="BE454" s="6">
        <v>172680406152424</v>
      </c>
      <c r="BF454" s="6">
        <v>171225708440786</v>
      </c>
      <c r="BG454" s="6">
        <v>166232164946088</v>
      </c>
      <c r="BH454" s="6">
        <v>14807006309808</v>
      </c>
      <c r="BI454" s="6">
        <v>148457188444356</v>
      </c>
      <c r="BJ454" s="6">
        <v>13052795762004</v>
      </c>
      <c r="BK454" s="6">
        <v>128674579778542</v>
      </c>
      <c r="BL454" s="6">
        <v>120183092323339</v>
      </c>
      <c r="BM454" s="6">
        <v>122109525579307</v>
      </c>
    </row>
    <row r="455" spans="1:65" x14ac:dyDescent="0.45">
      <c r="A455" s="1" t="s">
        <v>449</v>
      </c>
      <c r="B455" s="2">
        <v>4241337</v>
      </c>
      <c r="C455" s="3" t="s">
        <v>1509</v>
      </c>
      <c r="D455" s="3" t="s">
        <v>1510</v>
      </c>
      <c r="E455" s="3" t="s">
        <v>923</v>
      </c>
      <c r="F455" s="5">
        <v>258159275734623</v>
      </c>
      <c r="G455" s="5">
        <v>278595103765767</v>
      </c>
      <c r="H455" s="5">
        <v>290212645435209</v>
      </c>
      <c r="I455" s="5">
        <v>272963554724478</v>
      </c>
      <c r="J455" s="5">
        <v>291680511390376</v>
      </c>
      <c r="K455" s="5">
        <v>294520532400312</v>
      </c>
      <c r="L455" s="5">
        <v>261450792937649</v>
      </c>
      <c r="M455" s="5">
        <v>257448037443205</v>
      </c>
      <c r="N455" s="5">
        <v>307392218998384</v>
      </c>
      <c r="O455" s="5">
        <v>311614652888823</v>
      </c>
      <c r="P455" s="5">
        <v>254700070299763</v>
      </c>
      <c r="Q455" s="5">
        <v>28220140651428</v>
      </c>
      <c r="R455" s="5">
        <v>324131446383874</v>
      </c>
      <c r="S455" s="5">
        <v>32152445969153</v>
      </c>
      <c r="T455" s="5">
        <v>293402106632616</v>
      </c>
      <c r="U455" s="5">
        <v>278802244904964</v>
      </c>
      <c r="V455" s="5">
        <v>275798086338728</v>
      </c>
      <c r="W455" s="5">
        <v>259539498918205</v>
      </c>
      <c r="X455" s="5">
        <v>238855733870907</v>
      </c>
      <c r="Y455" s="5">
        <v>229856700806101</v>
      </c>
      <c r="Z455" s="5">
        <v>254010087466483</v>
      </c>
      <c r="AA455" s="5">
        <v>2450662536983</v>
      </c>
      <c r="AB455" s="5">
        <v>220455658228156</v>
      </c>
      <c r="AC455" s="5">
        <v>245782606200381</v>
      </c>
      <c r="AD455" s="5">
        <v>275922730466705</v>
      </c>
      <c r="AE455" s="5">
        <v>269778709174567</v>
      </c>
      <c r="AF455" s="5">
        <v>247989357348408</v>
      </c>
      <c r="AG455" s="5">
        <v>256261196497464</v>
      </c>
      <c r="AH455" s="5">
        <v>253564711900296</v>
      </c>
      <c r="AI455" s="5">
        <v>258830157021555</v>
      </c>
      <c r="AJ455" s="5">
        <v>245400225150889</v>
      </c>
      <c r="AK455" s="5">
        <v>252030035070883</v>
      </c>
      <c r="AL455" s="5">
        <v>226948323114667</v>
      </c>
      <c r="AM455" s="5">
        <v>206838681985026</v>
      </c>
      <c r="AN455" s="5">
        <v>230004799295473</v>
      </c>
      <c r="AO455" s="5">
        <v>240147861611981</v>
      </c>
      <c r="AP455" s="6">
        <v>300452068089001</v>
      </c>
      <c r="AQ455" s="6">
        <v>307427522827798</v>
      </c>
      <c r="AR455" s="6">
        <v>299201460816965</v>
      </c>
      <c r="AS455" s="6">
        <v>309575940904866</v>
      </c>
      <c r="AT455" s="6">
        <v>296563352117869</v>
      </c>
      <c r="AU455" s="6">
        <v>283121147624663</v>
      </c>
      <c r="AV455" s="6">
        <v>277189557148374</v>
      </c>
      <c r="AW455" s="6">
        <v>260913567210204</v>
      </c>
      <c r="AX455" s="6">
        <v>26315817283396</v>
      </c>
      <c r="AY455" s="6">
        <v>249373349930143</v>
      </c>
      <c r="AZ455" s="6">
        <v>252534308539901</v>
      </c>
      <c r="BA455" s="6">
        <v>243052862843024</v>
      </c>
      <c r="BB455" s="6">
        <v>236363852724675</v>
      </c>
      <c r="BC455" s="6">
        <v>250562643053224</v>
      </c>
      <c r="BD455" s="6">
        <v>259478204973937</v>
      </c>
      <c r="BE455" s="6">
        <v>236724742771718</v>
      </c>
      <c r="BF455" s="6">
        <v>24369073079428</v>
      </c>
      <c r="BG455" s="6">
        <v>224993133191128</v>
      </c>
      <c r="BH455" s="6">
        <v>216623301659432</v>
      </c>
      <c r="BI455" s="6">
        <v>20901940986191</v>
      </c>
      <c r="BJ455" s="6">
        <v>216306165845569</v>
      </c>
      <c r="BK455" s="6">
        <v>214329528309652</v>
      </c>
      <c r="BL455" s="6">
        <v>218381435301744</v>
      </c>
      <c r="BM455" s="6">
        <v>253863467710086</v>
      </c>
    </row>
    <row r="456" spans="1:65" x14ac:dyDescent="0.45">
      <c r="A456" s="1" t="s">
        <v>450</v>
      </c>
      <c r="B456" s="2">
        <v>4057229</v>
      </c>
      <c r="C456" s="3" t="s">
        <v>1511</v>
      </c>
      <c r="D456" s="3" t="s">
        <v>1512</v>
      </c>
      <c r="E456" s="3" t="s">
        <v>609</v>
      </c>
      <c r="F456" s="5">
        <v>154832905895221</v>
      </c>
      <c r="G456" s="5">
        <v>158748504896313</v>
      </c>
      <c r="H456" s="5">
        <v>158720681105727</v>
      </c>
      <c r="I456" s="5">
        <v>162620536939425</v>
      </c>
      <c r="J456" s="5">
        <v>174343381102275</v>
      </c>
      <c r="K456" s="5">
        <v>190182718395105</v>
      </c>
      <c r="L456" s="5">
        <v>203881992592112</v>
      </c>
      <c r="M456" s="5">
        <v>200774084067981</v>
      </c>
      <c r="N456" s="5">
        <v>184507440334793</v>
      </c>
      <c r="O456" s="5">
        <v>19249619103552</v>
      </c>
      <c r="P456" s="5">
        <v>20062715298416</v>
      </c>
      <c r="Q456" s="5">
        <v>199493930245008</v>
      </c>
      <c r="R456" s="5">
        <v>191789688717204</v>
      </c>
      <c r="S456" s="5">
        <v>18721879992652</v>
      </c>
      <c r="T456" s="5">
        <v>18972612393745</v>
      </c>
      <c r="U456" s="5">
        <v>192928693826247</v>
      </c>
      <c r="V456" s="5">
        <v>192912845462172</v>
      </c>
      <c r="W456" s="5">
        <v>194678770543798</v>
      </c>
      <c r="X456" s="5">
        <v>195641802324893</v>
      </c>
      <c r="Y456" s="5">
        <v>191892321092593</v>
      </c>
      <c r="Z456" s="5">
        <v>198892272925253</v>
      </c>
      <c r="AA456" s="5">
        <v>205019606014154</v>
      </c>
      <c r="AB456" s="5">
        <v>189135943381405</v>
      </c>
      <c r="AC456" s="5">
        <v>186640677139519</v>
      </c>
      <c r="AD456" s="5">
        <v>198744913520072</v>
      </c>
      <c r="AE456" s="5">
        <v>20916017427045</v>
      </c>
      <c r="AF456" s="5">
        <v>202365721262631</v>
      </c>
      <c r="AG456" s="5">
        <v>209640777536917</v>
      </c>
      <c r="AH456" s="5">
        <v>205162041829854</v>
      </c>
      <c r="AI456" s="5">
        <v>201059115899156</v>
      </c>
      <c r="AJ456" s="5">
        <v>20271426238176</v>
      </c>
      <c r="AK456" s="5">
        <v>213575639616841</v>
      </c>
      <c r="AL456" s="5">
        <v>217307014903368</v>
      </c>
      <c r="AM456" s="5">
        <v>202220164320665</v>
      </c>
      <c r="AN456" s="5">
        <v>203681728949445</v>
      </c>
      <c r="AO456" s="5">
        <v>22173957407143</v>
      </c>
      <c r="AP456" s="6">
        <v>194566603779471</v>
      </c>
      <c r="AQ456" s="6">
        <v>198914378462368</v>
      </c>
      <c r="AR456" s="6">
        <v>164847735235022</v>
      </c>
      <c r="AS456" s="6">
        <v>165308961313957</v>
      </c>
      <c r="AT456" s="6">
        <v>171525779701162</v>
      </c>
      <c r="AU456" s="6">
        <v>18699260220168</v>
      </c>
      <c r="AV456" s="6">
        <v>184590669076188</v>
      </c>
      <c r="AW456" s="6">
        <v>168589128453151</v>
      </c>
      <c r="AX456" s="6">
        <v>189137546341811</v>
      </c>
      <c r="AY456" s="6">
        <v>166008302942229</v>
      </c>
      <c r="AZ456" s="6">
        <v>174698694196784</v>
      </c>
      <c r="BA456" s="6">
        <v>17046598563086</v>
      </c>
      <c r="BB456" s="6">
        <v>148368533926524</v>
      </c>
      <c r="BC456" s="6">
        <v>183702677019218</v>
      </c>
      <c r="BD456" s="6">
        <v>192386630676922</v>
      </c>
      <c r="BE456" s="6">
        <v>187229087931972</v>
      </c>
      <c r="BF456" s="6">
        <v>162657685654184</v>
      </c>
      <c r="BG456" s="6">
        <v>154416517688259</v>
      </c>
      <c r="BH456" s="6">
        <v>160532146334247</v>
      </c>
      <c r="BI456" s="6">
        <v>12400480513088</v>
      </c>
      <c r="BJ456" s="6">
        <v>109304169351273</v>
      </c>
      <c r="BK456" s="6">
        <v>96287872793875</v>
      </c>
      <c r="BL456" s="6">
        <v>110870743302487</v>
      </c>
      <c r="BM456" s="6">
        <v>111903397442052</v>
      </c>
    </row>
    <row r="457" spans="1:65" x14ac:dyDescent="0.45">
      <c r="A457" s="1" t="s">
        <v>451</v>
      </c>
      <c r="B457" s="2">
        <v>4159057</v>
      </c>
      <c r="C457" s="3" t="s">
        <v>1513</v>
      </c>
      <c r="D457" s="3" t="s">
        <v>1514</v>
      </c>
      <c r="E457" s="3" t="s">
        <v>498</v>
      </c>
      <c r="F457" s="5">
        <v>693609684207596</v>
      </c>
      <c r="G457" s="5">
        <v>787562949977922</v>
      </c>
      <c r="H457" s="5">
        <v>809927244071712</v>
      </c>
      <c r="I457" s="5">
        <v>757255329309619</v>
      </c>
      <c r="J457" s="5">
        <v>717469774804169</v>
      </c>
      <c r="K457" s="5">
        <v>703108850551394</v>
      </c>
      <c r="L457" s="5">
        <v>689416571545318</v>
      </c>
      <c r="M457" s="5">
        <v>640435087598021</v>
      </c>
      <c r="N457" s="5">
        <v>660011603514025</v>
      </c>
      <c r="O457" s="5">
        <v>598064785210531</v>
      </c>
      <c r="P457" s="5">
        <v>521456589780317</v>
      </c>
      <c r="Q457" s="5">
        <v>5522523768</v>
      </c>
      <c r="R457" s="5">
        <v>490945949067146</v>
      </c>
      <c r="S457" s="5">
        <v>421684893874396</v>
      </c>
      <c r="T457" s="5">
        <v>414897251420128</v>
      </c>
      <c r="U457" s="5">
        <v>406013976992731</v>
      </c>
      <c r="V457" s="5">
        <v>440212855226251</v>
      </c>
      <c r="W457" s="5">
        <v>440851702835044</v>
      </c>
      <c r="X457" s="5">
        <v>440213348945619</v>
      </c>
      <c r="Y457" s="5">
        <v>44312862423869</v>
      </c>
      <c r="Z457" s="5">
        <v>469555560483619</v>
      </c>
      <c r="AA457" s="5">
        <v>475951207001494</v>
      </c>
      <c r="AB457" s="5">
        <v>456678534886996</v>
      </c>
      <c r="AC457" s="5">
        <v>49073338248045</v>
      </c>
      <c r="AD457" s="5">
        <v>502413884220573</v>
      </c>
      <c r="AE457" s="5">
        <v>495524115209569</v>
      </c>
      <c r="AF457" s="5">
        <v>464931413690741</v>
      </c>
      <c r="AG457" s="5">
        <v>603600206823529</v>
      </c>
      <c r="AH457" s="5">
        <v>608149237555759</v>
      </c>
      <c r="AI457" s="5">
        <v>598870661810144</v>
      </c>
      <c r="AJ457" s="5">
        <v>668854741669674</v>
      </c>
      <c r="AK457" s="5">
        <v>671578583507142</v>
      </c>
      <c r="AL457" s="5">
        <v>595116064639061</v>
      </c>
      <c r="AM457" s="5">
        <v>561405951509585</v>
      </c>
      <c r="AN457" s="5">
        <v>52815729269686</v>
      </c>
      <c r="AO457" s="5">
        <v>530415333063</v>
      </c>
      <c r="AP457" s="6">
        <v>430815903451472</v>
      </c>
      <c r="AQ457" s="6">
        <v>434750146643792</v>
      </c>
      <c r="AR457" s="6">
        <v>427056426421492</v>
      </c>
      <c r="AS457" s="6">
        <v>447422833174365</v>
      </c>
      <c r="AT457" s="6">
        <v>460347151414966</v>
      </c>
      <c r="AU457" s="6">
        <v>445971959115345</v>
      </c>
      <c r="AV457" s="6">
        <v>430651515043655</v>
      </c>
      <c r="AW457" s="6">
        <v>416680025996865</v>
      </c>
      <c r="AX457" s="6">
        <v>40692357777667</v>
      </c>
      <c r="AY457" s="6">
        <v>393186519527046</v>
      </c>
      <c r="AZ457" s="6">
        <v>376772324249925</v>
      </c>
      <c r="BA457" s="6">
        <v>356084653238076</v>
      </c>
      <c r="BB457" s="6">
        <v>331373391960464</v>
      </c>
      <c r="BC457" s="6">
        <v>353015338356</v>
      </c>
      <c r="BD457" s="6">
        <v>337013447247771</v>
      </c>
      <c r="BE457" s="6">
        <v>333425406799699</v>
      </c>
      <c r="BF457" s="6">
        <v>33572975188536</v>
      </c>
      <c r="BG457" s="6">
        <v>329704778088</v>
      </c>
      <c r="BH457" s="6">
        <v>300676040567044</v>
      </c>
      <c r="BI457" s="6">
        <v>305954320463197</v>
      </c>
      <c r="BJ457" s="6">
        <v>290359145190177</v>
      </c>
      <c r="BK457" s="6">
        <v>295774478573716</v>
      </c>
      <c r="BL457" s="6">
        <v>306590431729982</v>
      </c>
      <c r="BM457" s="6">
        <v>308679391185634</v>
      </c>
    </row>
    <row r="458" spans="1:65" x14ac:dyDescent="0.45">
      <c r="A458" s="1" t="s">
        <v>452</v>
      </c>
      <c r="B458" s="2">
        <v>11078438</v>
      </c>
      <c r="C458" s="3" t="s">
        <v>1515</v>
      </c>
      <c r="D458" s="3" t="s">
        <v>1516</v>
      </c>
      <c r="E458" s="3" t="s">
        <v>568</v>
      </c>
      <c r="F458" s="5">
        <v>482246414307745</v>
      </c>
      <c r="G458" s="5">
        <v>506720934974337</v>
      </c>
      <c r="H458" s="5">
        <v>546010908493484</v>
      </c>
      <c r="I458" s="5">
        <v>373737335849957</v>
      </c>
      <c r="J458" s="5">
        <v>431638357116069</v>
      </c>
      <c r="K458" s="5">
        <v>421744135149619</v>
      </c>
      <c r="L458" s="5">
        <v>296197807518029</v>
      </c>
      <c r="M458" s="5">
        <v>385868961149818</v>
      </c>
      <c r="N458" s="5">
        <v>447869164998125</v>
      </c>
      <c r="O458" s="5">
        <v>47385515238992</v>
      </c>
      <c r="P458" s="5">
        <v>435716322863367</v>
      </c>
      <c r="Q458" s="5">
        <v>699647115331181</v>
      </c>
      <c r="R458" s="5">
        <v>824833284444962</v>
      </c>
      <c r="S458" s="5">
        <v>854574867143581</v>
      </c>
      <c r="T458" s="5">
        <v>782833603082918</v>
      </c>
      <c r="U458" s="5">
        <v>732655472216699</v>
      </c>
      <c r="V458" s="5">
        <v>841091031657216</v>
      </c>
      <c r="W458" s="5">
        <v>83283142896888</v>
      </c>
      <c r="X458" s="5">
        <v>81094918409505</v>
      </c>
      <c r="Y458" s="5">
        <v>717261896238525</v>
      </c>
      <c r="Z458" s="5">
        <v>664629580581165</v>
      </c>
      <c r="AA458" s="5">
        <v>598855026072</v>
      </c>
      <c r="AB458" s="5">
        <v>591656234425074</v>
      </c>
      <c r="AC458" s="5">
        <v>544339329394548</v>
      </c>
      <c r="AD458" s="5">
        <v>501247280292113</v>
      </c>
      <c r="AE458" s="5">
        <v>514118825121718</v>
      </c>
      <c r="AF458" s="5">
        <v>497394798366782</v>
      </c>
      <c r="AG458" s="5">
        <v>484397806617896</v>
      </c>
      <c r="AH458" s="5">
        <v>445864702970347</v>
      </c>
      <c r="AI458" s="5">
        <v>402529300642925</v>
      </c>
      <c r="AJ458" s="5">
        <v>395716925281428</v>
      </c>
      <c r="AK458" s="5">
        <v>376052256368268</v>
      </c>
      <c r="AL458" s="5">
        <v>317913006773389</v>
      </c>
      <c r="AM458" s="5">
        <v>25850927359075</v>
      </c>
      <c r="AN458" s="5">
        <v>352078595997314</v>
      </c>
      <c r="AO458" s="5">
        <v>111848</v>
      </c>
      <c r="AP458" s="6">
        <v>134155926469892</v>
      </c>
      <c r="AQ458" s="6">
        <v>12986795850314</v>
      </c>
      <c r="AR458" s="6">
        <v>122324993263699</v>
      </c>
      <c r="AS458" s="6">
        <v>136672759684065</v>
      </c>
      <c r="AT458" s="6">
        <v>128612327892643</v>
      </c>
      <c r="AU458" s="6">
        <v>12630096372983</v>
      </c>
      <c r="AV458" s="6">
        <v>131414449036634</v>
      </c>
      <c r="AW458" s="6">
        <v>125095000899255</v>
      </c>
      <c r="AX458" s="6">
        <v>134852557789877</v>
      </c>
      <c r="AY458" s="6">
        <v>160383420893015</v>
      </c>
      <c r="AZ458" s="6">
        <v>152102122966964</v>
      </c>
      <c r="BA458" s="6">
        <v>152896568553432</v>
      </c>
      <c r="BB458" s="6">
        <v>124803882301252</v>
      </c>
      <c r="BC458" s="6">
        <v>132847279405363</v>
      </c>
      <c r="BD458" s="6">
        <v>129157449624783</v>
      </c>
      <c r="BE458" s="6">
        <v>129134299467752</v>
      </c>
      <c r="BF458" s="6">
        <v>125801879100511</v>
      </c>
      <c r="BG458" s="6">
        <v>132060286227053</v>
      </c>
      <c r="BH458" s="6">
        <v>129991075665851</v>
      </c>
      <c r="BI458" s="6">
        <v>129430286109082</v>
      </c>
      <c r="BJ458" s="6">
        <v>122170327473859</v>
      </c>
      <c r="BK458" s="6">
        <v>126477275473257</v>
      </c>
      <c r="BL458" s="6">
        <v>132042884367139</v>
      </c>
      <c r="BM458" s="6">
        <v>137853685067691</v>
      </c>
    </row>
    <row r="459" spans="1:65" x14ac:dyDescent="0.45">
      <c r="A459" s="1" t="s">
        <v>453</v>
      </c>
      <c r="B459" s="2">
        <v>4761964</v>
      </c>
      <c r="C459" s="3" t="s">
        <v>1517</v>
      </c>
      <c r="D459" s="3" t="s">
        <v>1518</v>
      </c>
      <c r="E459" s="3" t="s">
        <v>665</v>
      </c>
      <c r="F459" s="5">
        <v>126293109290199</v>
      </c>
      <c r="G459" s="5">
        <v>12970621009127</v>
      </c>
      <c r="H459" s="5">
        <v>124231475293329</v>
      </c>
      <c r="I459" s="5">
        <v>105357471630542</v>
      </c>
      <c r="J459" s="5">
        <v>114979289263633</v>
      </c>
      <c r="K459" s="5">
        <v>11517197762845</v>
      </c>
      <c r="L459" s="5">
        <v>121421838044186</v>
      </c>
      <c r="M459" s="5">
        <v>138652216073172</v>
      </c>
      <c r="N459" s="5">
        <v>118564324085104</v>
      </c>
      <c r="O459" s="5">
        <v>118468029717453</v>
      </c>
      <c r="P459" s="5">
        <v>118591757275134</v>
      </c>
      <c r="Q459" s="5">
        <v>161638042338179</v>
      </c>
      <c r="R459" s="5">
        <v>143880676032195</v>
      </c>
      <c r="S459" s="5">
        <v>132083079540917</v>
      </c>
      <c r="T459" s="5">
        <v>139625255787824</v>
      </c>
      <c r="U459" s="5">
        <v>141377422104324</v>
      </c>
      <c r="V459" s="5">
        <v>149885941409266</v>
      </c>
      <c r="W459" s="5">
        <v>14335875007638</v>
      </c>
      <c r="X459" s="5">
        <v>145669409320796</v>
      </c>
      <c r="Y459" s="5">
        <v>151135360448233</v>
      </c>
      <c r="Z459" s="5">
        <v>13345855544905</v>
      </c>
      <c r="AA459" s="5">
        <v>143672285072026</v>
      </c>
      <c r="AB459" s="5">
        <v>149167915275209</v>
      </c>
      <c r="AC459" s="5">
        <v>170106643444092</v>
      </c>
      <c r="AD459" s="5" t="s">
        <v>1519</v>
      </c>
      <c r="AE459" s="5">
        <v>168879528</v>
      </c>
      <c r="AF459" s="5">
        <v>644983065191929</v>
      </c>
      <c r="AG459" s="5">
        <v>652864128696067</v>
      </c>
      <c r="AH459" s="5">
        <v>708314033055447</v>
      </c>
      <c r="AI459" s="5">
        <v>703967525506222</v>
      </c>
      <c r="AJ459" s="5">
        <v>738649773908899</v>
      </c>
      <c r="AK459" s="5">
        <v>793740577155855</v>
      </c>
      <c r="AL459" s="5">
        <v>791271602315637</v>
      </c>
      <c r="AM459" s="5">
        <v>70035437180709</v>
      </c>
      <c r="AN459" s="5">
        <v>806829698969286</v>
      </c>
      <c r="AO459" s="5">
        <v>99721138377168</v>
      </c>
      <c r="AP459" s="6">
        <v>25924438072316</v>
      </c>
      <c r="AQ459" s="6">
        <v>253795505248503</v>
      </c>
      <c r="AR459" s="6">
        <v>267130735571168</v>
      </c>
      <c r="AS459" s="6">
        <v>275111167186422</v>
      </c>
      <c r="AT459" s="6">
        <v>274662850872889</v>
      </c>
      <c r="AU459" s="6">
        <v>242211928955324</v>
      </c>
      <c r="AV459" s="6">
        <v>231107696132193</v>
      </c>
      <c r="AW459" s="6">
        <v>227940218304292</v>
      </c>
      <c r="AX459" s="6">
        <v>220803014479625</v>
      </c>
      <c r="AY459" s="6">
        <v>222267191415746</v>
      </c>
      <c r="AZ459" s="6">
        <v>211296606229542</v>
      </c>
      <c r="BA459" s="6">
        <v>201164233314547</v>
      </c>
      <c r="BB459" s="6">
        <v>190867021708599</v>
      </c>
      <c r="BC459" s="6">
        <v>201981906454671</v>
      </c>
      <c r="BD459" s="6">
        <v>190676809984014</v>
      </c>
      <c r="BE459" s="6">
        <v>181306566791847</v>
      </c>
      <c r="BF459" s="6">
        <v>183704109832462</v>
      </c>
      <c r="BG459" s="6">
        <v>178949004994429</v>
      </c>
      <c r="BH459" s="6">
        <v>174844833925741</v>
      </c>
      <c r="BI459" s="6">
        <v>17090766689504</v>
      </c>
      <c r="BJ459" s="6">
        <v>167982435976984</v>
      </c>
      <c r="BK459" s="6">
        <v>160885791483331</v>
      </c>
      <c r="BL459" s="6">
        <v>154851820089876</v>
      </c>
      <c r="BM459" s="6">
        <v>163122953070205</v>
      </c>
    </row>
    <row r="460" spans="1:65" x14ac:dyDescent="0.45">
      <c r="A460" s="1" t="s">
        <v>454</v>
      </c>
      <c r="B460" s="2">
        <v>6614190</v>
      </c>
      <c r="C460" s="3" t="s">
        <v>1520</v>
      </c>
      <c r="D460" s="3" t="s">
        <v>1521</v>
      </c>
      <c r="E460" s="3" t="s">
        <v>1061</v>
      </c>
      <c r="F460" s="5">
        <v>291979292665046</v>
      </c>
      <c r="G460" s="5">
        <v>319399266256315</v>
      </c>
      <c r="H460" s="5">
        <v>311868669349104</v>
      </c>
      <c r="I460" s="5">
        <v>293175558127867</v>
      </c>
      <c r="J460" s="5">
        <v>315468676481499</v>
      </c>
      <c r="K460" s="5">
        <v>322827721488954</v>
      </c>
      <c r="L460" s="5">
        <v>274427809964019</v>
      </c>
      <c r="M460" s="5">
        <v>276914002149172</v>
      </c>
      <c r="N460" s="5">
        <v>27237671702438</v>
      </c>
      <c r="O460" s="5">
        <v>191741185165202</v>
      </c>
      <c r="P460" s="5">
        <v>18633714269281</v>
      </c>
      <c r="Q460" s="5">
        <v>160707887826699</v>
      </c>
      <c r="R460" s="5">
        <v>166518009516569</v>
      </c>
      <c r="S460" s="5">
        <v>151776250369907</v>
      </c>
      <c r="T460" s="5">
        <v>15963832736082</v>
      </c>
      <c r="U460" s="5">
        <v>154167901539873</v>
      </c>
      <c r="V460" s="5">
        <v>140635686777144</v>
      </c>
      <c r="W460" s="5">
        <v>141206125115218</v>
      </c>
      <c r="X460" s="5">
        <v>14050274902005</v>
      </c>
      <c r="Y460" s="5">
        <v>137172526419487</v>
      </c>
      <c r="Z460" s="5">
        <v>141515744538559</v>
      </c>
      <c r="AA460" s="5">
        <v>129209713848077</v>
      </c>
      <c r="AB460" s="5">
        <v>126412338396038</v>
      </c>
      <c r="AC460" s="5">
        <v>111765033093454</v>
      </c>
      <c r="AD460" s="5">
        <v>111875511922425</v>
      </c>
      <c r="AE460" s="5">
        <v>113560080612902</v>
      </c>
      <c r="AF460" s="5">
        <v>105688488198862</v>
      </c>
      <c r="AG460" s="5">
        <v>106210184034299</v>
      </c>
      <c r="AH460" s="5">
        <v>997288727737239</v>
      </c>
      <c r="AI460" s="5">
        <v>979360285207368</v>
      </c>
      <c r="AJ460" s="5">
        <v>840740199938966</v>
      </c>
      <c r="AK460" s="5">
        <v>827026368404103</v>
      </c>
      <c r="AL460" s="5">
        <v>746209966829441</v>
      </c>
      <c r="AM460" s="5">
        <v>70960627873408</v>
      </c>
      <c r="AN460" s="5">
        <v>106755690514014</v>
      </c>
      <c r="AO460" s="5">
        <v>111441952858544</v>
      </c>
      <c r="AP460" s="6">
        <v>20276047083568</v>
      </c>
      <c r="AQ460" s="6">
        <v>209048326832527</v>
      </c>
      <c r="AR460" s="6">
        <v>19773500641158</v>
      </c>
      <c r="AS460" s="6">
        <v>203820007423756</v>
      </c>
      <c r="AT460" s="6">
        <v>18656093373002</v>
      </c>
      <c r="AU460" s="6">
        <v>192236240247323</v>
      </c>
      <c r="AV460" s="6">
        <v>18689642178888</v>
      </c>
      <c r="AW460" s="6">
        <v>17889429372525</v>
      </c>
      <c r="AX460" s="6">
        <v>194942879546893</v>
      </c>
      <c r="AY460" s="6">
        <v>195545196740678</v>
      </c>
      <c r="AZ460" s="6">
        <v>199302931585042</v>
      </c>
      <c r="BA460" s="6">
        <v>195612336493435</v>
      </c>
      <c r="BB460" s="6">
        <v>189449029155742</v>
      </c>
      <c r="BC460" s="6">
        <v>22566573730936</v>
      </c>
      <c r="BD460" s="6">
        <v>221578614521825</v>
      </c>
      <c r="BE460" s="6">
        <v>217874300634132</v>
      </c>
      <c r="BF460" s="6">
        <v>242639494360982</v>
      </c>
      <c r="BG460" s="6">
        <v>237382746690411</v>
      </c>
      <c r="BH460" s="6">
        <v>23154738664345</v>
      </c>
      <c r="BI460" s="6">
        <v>225649255281903</v>
      </c>
      <c r="BJ460" s="6">
        <v>209739110500908</v>
      </c>
      <c r="BK460" s="6">
        <v>207818163203973</v>
      </c>
      <c r="BL460" s="6">
        <v>234004129010772</v>
      </c>
      <c r="BM460" s="6">
        <v>258671338544852</v>
      </c>
    </row>
    <row r="461" spans="1:65" x14ac:dyDescent="0.45">
      <c r="A461" s="1" t="s">
        <v>455</v>
      </c>
      <c r="B461" s="2">
        <v>4163620</v>
      </c>
      <c r="C461" s="3" t="s">
        <v>1522</v>
      </c>
      <c r="D461" s="3" t="s">
        <v>1523</v>
      </c>
      <c r="E461" s="3" t="s">
        <v>553</v>
      </c>
      <c r="F461" s="5">
        <v>398021841262637</v>
      </c>
      <c r="G461" s="5">
        <v>430895986799811</v>
      </c>
      <c r="H461" s="5">
        <v>430500396312613</v>
      </c>
      <c r="I461" s="5">
        <v>372278422936255</v>
      </c>
      <c r="J461" s="5">
        <v>405427198156321</v>
      </c>
      <c r="K461" s="5">
        <v>427318890934142</v>
      </c>
      <c r="L461" s="5">
        <v>389163181860253</v>
      </c>
      <c r="M461" s="5">
        <v>408624304540453</v>
      </c>
      <c r="N461" s="5">
        <v>417871489995465</v>
      </c>
      <c r="O461" s="5">
        <v>415221022141232</v>
      </c>
      <c r="P461" s="5">
        <v>400282322341578</v>
      </c>
      <c r="Q461" s="5">
        <v>419978161212029</v>
      </c>
      <c r="R461" s="5">
        <v>398342708845472</v>
      </c>
      <c r="S461" s="5">
        <v>359375875028486</v>
      </c>
      <c r="T461" s="5">
        <v>384239581277765</v>
      </c>
      <c r="U461" s="5">
        <v>405272680523528</v>
      </c>
      <c r="V461" s="5">
        <v>409289417757897</v>
      </c>
      <c r="W461" s="5">
        <v>437995987489296</v>
      </c>
      <c r="X461" s="5">
        <v>41702665682948</v>
      </c>
      <c r="Y461" s="5">
        <v>394390626712344</v>
      </c>
      <c r="Z461" s="5">
        <v>410586637028024</v>
      </c>
      <c r="AA461" s="5">
        <v>382287512437555</v>
      </c>
      <c r="AB461" s="5">
        <v>372001800945026</v>
      </c>
      <c r="AC461" s="5">
        <v>337372290586534</v>
      </c>
      <c r="AD461" s="5">
        <v>37885289287247</v>
      </c>
      <c r="AE461" s="5">
        <v>372318291833761</v>
      </c>
      <c r="AF461" s="5">
        <v>328497890758332</v>
      </c>
      <c r="AG461" s="5">
        <v>359282295098431</v>
      </c>
      <c r="AH461" s="5">
        <v>374124920122278</v>
      </c>
      <c r="AI461" s="5">
        <v>339557345640904</v>
      </c>
      <c r="AJ461" s="5">
        <v>362342046775203</v>
      </c>
      <c r="AK461" s="5">
        <v>370717178574643</v>
      </c>
      <c r="AL461" s="5">
        <v>345882868615393</v>
      </c>
      <c r="AM461" s="5">
        <v>312332013758419</v>
      </c>
      <c r="AN461" s="5">
        <v>352071735353146</v>
      </c>
      <c r="AO461" s="5">
        <v>382313640378043</v>
      </c>
      <c r="AP461" s="6">
        <v>295723039481143</v>
      </c>
      <c r="AQ461" s="6">
        <v>3114744511304</v>
      </c>
      <c r="AR461" s="6">
        <v>330150432069264</v>
      </c>
      <c r="AS461" s="6">
        <v>336902406515438</v>
      </c>
      <c r="AT461" s="6">
        <v>329984182814008</v>
      </c>
      <c r="AU461" s="6">
        <v>3026571416328</v>
      </c>
      <c r="AV461" s="6">
        <v>290134160777266</v>
      </c>
      <c r="AW461" s="6">
        <v>295049727228803</v>
      </c>
      <c r="AX461" s="6">
        <v>269358522802162</v>
      </c>
      <c r="AY461" s="6">
        <v>267136310619288</v>
      </c>
      <c r="AZ461" s="6">
        <v>252106902711319</v>
      </c>
      <c r="BA461" s="6">
        <v>254118826321195</v>
      </c>
      <c r="BB461" s="6">
        <v>22772576423354</v>
      </c>
      <c r="BC461" s="6">
        <v>239968624262342</v>
      </c>
      <c r="BD461" s="6">
        <v>219274332119107</v>
      </c>
      <c r="BE461" s="6">
        <v>205955414564636</v>
      </c>
      <c r="BF461" s="6">
        <v>213806841449564</v>
      </c>
      <c r="BG461" s="6">
        <v>198979237664006</v>
      </c>
      <c r="BH461" s="6">
        <v>199871617605873</v>
      </c>
      <c r="BI461" s="6">
        <v>183931487915428</v>
      </c>
      <c r="BJ461" s="6">
        <v>164629208789335</v>
      </c>
      <c r="BK461" s="6">
        <v>164642108628755</v>
      </c>
      <c r="BL461" s="6">
        <v>159808604871825</v>
      </c>
      <c r="BM461" s="6">
        <v>178548596836003</v>
      </c>
    </row>
    <row r="462" spans="1:65" x14ac:dyDescent="0.45">
      <c r="A462" s="1" t="s">
        <v>456</v>
      </c>
      <c r="B462" s="2">
        <v>4085953</v>
      </c>
      <c r="C462" s="3" t="s">
        <v>1524</v>
      </c>
      <c r="D462" s="3" t="s">
        <v>1525</v>
      </c>
      <c r="E462" s="3" t="s">
        <v>1407</v>
      </c>
      <c r="F462" s="5">
        <v>863887036904712</v>
      </c>
      <c r="G462" s="5">
        <v>938883803945991</v>
      </c>
      <c r="H462" s="5">
        <v>967158588591064</v>
      </c>
      <c r="I462" s="5">
        <v>89164297601442</v>
      </c>
      <c r="J462" s="5">
        <v>102314551379807</v>
      </c>
      <c r="K462" s="5">
        <v>10943818177345</v>
      </c>
      <c r="L462" s="5">
        <v>943890467097243</v>
      </c>
      <c r="M462" s="5">
        <v>106139651357017</v>
      </c>
      <c r="N462" s="5">
        <v>104698254652051</v>
      </c>
      <c r="O462" s="5">
        <v>93933103455849</v>
      </c>
      <c r="P462" s="5">
        <v>912024004834306</v>
      </c>
      <c r="Q462" s="5">
        <v>939770762535936</v>
      </c>
      <c r="R462" s="5">
        <v>966300459471072</v>
      </c>
      <c r="S462" s="5">
        <v>851236025859072</v>
      </c>
      <c r="T462" s="5">
        <v>817455889679578</v>
      </c>
      <c r="U462" s="5">
        <v>711902400081984</v>
      </c>
      <c r="V462" s="5">
        <v>780379919576486</v>
      </c>
      <c r="W462" s="5">
        <v>77820310803321</v>
      </c>
      <c r="X462" s="5">
        <v>754178450046126</v>
      </c>
      <c r="Y462" s="5">
        <v>639565772048973</v>
      </c>
      <c r="Z462" s="5">
        <v>675186642930272</v>
      </c>
      <c r="AA462" s="5">
        <v>72522511321104</v>
      </c>
      <c r="AB462" s="5">
        <v>68963996475855</v>
      </c>
      <c r="AC462" s="5">
        <v>804687536390158</v>
      </c>
      <c r="AD462" s="5">
        <v>78613783258278</v>
      </c>
      <c r="AE462" s="5">
        <v>76449396797989</v>
      </c>
      <c r="AF462" s="5">
        <v>728536326283418</v>
      </c>
      <c r="AG462" s="5">
        <v>785038276168467</v>
      </c>
      <c r="AH462" s="5">
        <v>786246491628444</v>
      </c>
      <c r="AI462" s="5">
        <v>770649314121554</v>
      </c>
      <c r="AJ462" s="5">
        <v>80838877306693</v>
      </c>
      <c r="AK462" s="5">
        <v>898289548995384</v>
      </c>
      <c r="AL462" s="5">
        <v>87240689184462</v>
      </c>
      <c r="AM462" s="5">
        <v>709373725788</v>
      </c>
      <c r="AN462" s="5">
        <v>852843830374103</v>
      </c>
      <c r="AO462" s="5">
        <v>990045942415904</v>
      </c>
      <c r="AP462" s="6">
        <v>991172149373752</v>
      </c>
      <c r="AQ462" s="6">
        <v>98736433027089</v>
      </c>
      <c r="AR462" s="6">
        <v>95476726485932</v>
      </c>
      <c r="AS462" s="6">
        <v>959197511007603</v>
      </c>
      <c r="AT462" s="6">
        <v>975341894065868</v>
      </c>
      <c r="AU462" s="6">
        <v>909593993437342</v>
      </c>
      <c r="AV462" s="6">
        <v>808186963657034</v>
      </c>
      <c r="AW462" s="6">
        <v>755468590864242</v>
      </c>
      <c r="AX462" s="6">
        <v>814670655392842</v>
      </c>
      <c r="AY462" s="6">
        <v>72401503355478</v>
      </c>
      <c r="AZ462" s="6">
        <v>682371615613477</v>
      </c>
      <c r="BA462" s="6">
        <v>700198901981541</v>
      </c>
      <c r="BB462" s="6">
        <v>634265713137674</v>
      </c>
      <c r="BC462" s="6">
        <v>716820024420403</v>
      </c>
      <c r="BD462" s="6">
        <v>693239931767472</v>
      </c>
      <c r="BE462" s="6">
        <v>781495905863686</v>
      </c>
      <c r="BF462" s="6">
        <v>741549516147385</v>
      </c>
      <c r="BG462" s="6">
        <v>689394780722678</v>
      </c>
      <c r="BH462" s="6">
        <v>62615851934313</v>
      </c>
      <c r="BI462" s="6">
        <v>58690207731663</v>
      </c>
      <c r="BJ462" s="6">
        <v>540254512574788</v>
      </c>
      <c r="BK462" s="6">
        <v>530950753705702</v>
      </c>
      <c r="BL462" s="6">
        <v>528509068633728</v>
      </c>
      <c r="BM462" s="6">
        <v>598113086492994</v>
      </c>
    </row>
    <row r="463" spans="1:65" x14ac:dyDescent="0.45">
      <c r="A463" s="1" t="s">
        <v>457</v>
      </c>
      <c r="B463" s="2">
        <v>4063773</v>
      </c>
      <c r="C463" s="3" t="s">
        <v>1526</v>
      </c>
      <c r="D463" s="3" t="s">
        <v>1527</v>
      </c>
      <c r="E463" s="3" t="s">
        <v>792</v>
      </c>
      <c r="F463" s="5">
        <v>217768467453318</v>
      </c>
      <c r="G463" s="5">
        <v>236275315267435</v>
      </c>
      <c r="H463" s="5">
        <v>220017300012161</v>
      </c>
      <c r="I463" s="5">
        <v>213748159342129</v>
      </c>
      <c r="J463" s="5">
        <v>219695827189675</v>
      </c>
      <c r="K463" s="5">
        <v>215410484995976</v>
      </c>
      <c r="L463" s="5">
        <v>180649317313657</v>
      </c>
      <c r="M463" s="5">
        <v>204228344128881</v>
      </c>
      <c r="N463" s="5">
        <v>217263396371261</v>
      </c>
      <c r="O463" s="5">
        <v>219594256139335</v>
      </c>
      <c r="P463" s="5">
        <v>214567384650369</v>
      </c>
      <c r="Q463" s="5">
        <v>225477478148855</v>
      </c>
      <c r="R463" s="5">
        <v>242219977099726</v>
      </c>
      <c r="S463" s="5">
        <v>225629080372842</v>
      </c>
      <c r="T463" s="5">
        <v>218144005559717</v>
      </c>
      <c r="U463" s="5">
        <v>193645589430297</v>
      </c>
      <c r="V463" s="5">
        <v>2089946713434</v>
      </c>
      <c r="W463" s="5">
        <v>201295062117478</v>
      </c>
      <c r="X463" s="5">
        <v>194766695524976</v>
      </c>
      <c r="Y463" s="5">
        <v>199547184221728</v>
      </c>
      <c r="Z463" s="5">
        <v>19656940831757</v>
      </c>
      <c r="AA463" s="5">
        <v>190569581523</v>
      </c>
      <c r="AB463" s="5">
        <v>182937831451306</v>
      </c>
      <c r="AC463" s="5">
        <v>162805488198651</v>
      </c>
      <c r="AD463" s="5">
        <v>160661312590514</v>
      </c>
      <c r="AE463" s="5">
        <v>15483310515306</v>
      </c>
      <c r="AF463" s="5">
        <v>164616076284413</v>
      </c>
      <c r="AG463" s="5">
        <v>152879397250085</v>
      </c>
      <c r="AH463" s="5">
        <v>1329514318902</v>
      </c>
      <c r="AI463" s="5">
        <v>131447853168346</v>
      </c>
      <c r="AJ463" s="5">
        <v>136333598986078</v>
      </c>
      <c r="AK463" s="5">
        <v>129035845402565</v>
      </c>
      <c r="AL463" s="5">
        <v>136884378597758</v>
      </c>
      <c r="AM463" s="5">
        <v>130359772797982</v>
      </c>
      <c r="AN463" s="5">
        <v>14477684074662</v>
      </c>
      <c r="AO463" s="5">
        <v>169083352009473</v>
      </c>
      <c r="AP463" s="6">
        <v>168206404868606</v>
      </c>
      <c r="AQ463" s="6">
        <v>135852928357688</v>
      </c>
      <c r="AR463" s="6">
        <v>137735190860367</v>
      </c>
      <c r="AS463" s="6">
        <v>161901817703955</v>
      </c>
      <c r="AT463" s="6">
        <v>154128874348005</v>
      </c>
      <c r="AU463" s="6">
        <v>141869971723012</v>
      </c>
      <c r="AV463" s="6">
        <v>122434774771858</v>
      </c>
      <c r="AW463" s="6">
        <v>978321150241765</v>
      </c>
      <c r="AX463" s="6">
        <v>132699577058748</v>
      </c>
      <c r="AY463" s="6">
        <v>124546618075295</v>
      </c>
      <c r="AZ463" s="6">
        <v>128464292954873</v>
      </c>
      <c r="BA463" s="6">
        <v>113675221905538</v>
      </c>
      <c r="BB463" s="6">
        <v>934540682679542</v>
      </c>
      <c r="BC463" s="6">
        <v>116025865548042</v>
      </c>
      <c r="BD463" s="6">
        <v>110429833682845</v>
      </c>
      <c r="BE463" s="6">
        <v>146220920486957</v>
      </c>
      <c r="BF463" s="6">
        <v>158734860638993</v>
      </c>
      <c r="BG463" s="6">
        <v>179375192298837</v>
      </c>
      <c r="BH463" s="6">
        <v>198541454790968</v>
      </c>
      <c r="BI463" s="6">
        <v>214336695617521</v>
      </c>
      <c r="BJ463" s="6">
        <v>194169634485895</v>
      </c>
      <c r="BK463" s="6">
        <v>223271287629952</v>
      </c>
      <c r="BL463" s="6">
        <v>212118120600422</v>
      </c>
      <c r="BM463" s="6">
        <v>211579190794636</v>
      </c>
    </row>
    <row r="464" spans="1:65" x14ac:dyDescent="0.45">
      <c r="A464" s="1" t="s">
        <v>458</v>
      </c>
      <c r="B464" s="2">
        <v>103336</v>
      </c>
      <c r="C464" s="3" t="s">
        <v>1528</v>
      </c>
      <c r="D464" s="3" t="s">
        <v>1529</v>
      </c>
      <c r="E464" s="3" t="s">
        <v>556</v>
      </c>
      <c r="F464" s="5">
        <v>18026823863243</v>
      </c>
      <c r="G464" s="5">
        <v>196369276456583</v>
      </c>
      <c r="H464" s="5">
        <v>199539643321816</v>
      </c>
      <c r="I464" s="5">
        <v>174705292282956</v>
      </c>
      <c r="J464" s="5">
        <v>170676423113616</v>
      </c>
      <c r="K464" s="5">
        <v>162575259289381</v>
      </c>
      <c r="L464" s="5">
        <v>173164708094806</v>
      </c>
      <c r="M464" s="5">
        <v>175823956134015</v>
      </c>
      <c r="N464" s="5">
        <v>174626371679654</v>
      </c>
      <c r="O464" s="5">
        <v>158964160131482</v>
      </c>
      <c r="P464" s="5">
        <v>142161373592615</v>
      </c>
      <c r="Q464" s="5">
        <v>133366412923124</v>
      </c>
      <c r="R464" s="5">
        <v>12796809396908</v>
      </c>
      <c r="S464" s="5">
        <v>120106679619058</v>
      </c>
      <c r="T464" s="5">
        <v>121594893457945</v>
      </c>
      <c r="U464" s="5">
        <v>112091844824245</v>
      </c>
      <c r="V464" s="5">
        <v>113268737937704</v>
      </c>
      <c r="W464" s="5">
        <v>109412419497059</v>
      </c>
      <c r="X464" s="5">
        <v>111349329938556</v>
      </c>
      <c r="Y464" s="5">
        <v>113507222112853</v>
      </c>
      <c r="Z464" s="5">
        <v>122695103845074</v>
      </c>
      <c r="AA464" s="5">
        <v>11386312372013</v>
      </c>
      <c r="AB464" s="5">
        <v>101630557419835</v>
      </c>
      <c r="AC464" s="5">
        <v>910302722653859</v>
      </c>
      <c r="AD464" s="5">
        <v>96771009503106</v>
      </c>
      <c r="AE464" s="5">
        <v>971201794410581</v>
      </c>
      <c r="AF464" s="5">
        <v>918303339802008</v>
      </c>
      <c r="AG464" s="5">
        <v>926960848818186</v>
      </c>
      <c r="AH464" s="5">
        <v>923925617379185</v>
      </c>
      <c r="AI464" s="5">
        <v>9287487181778</v>
      </c>
      <c r="AJ464" s="5">
        <v>909847818323452</v>
      </c>
      <c r="AK464" s="5">
        <v>931618768496529</v>
      </c>
      <c r="AL464" s="5">
        <v>88769919634704</v>
      </c>
      <c r="AM464" s="5">
        <v>87078903526167</v>
      </c>
      <c r="AN464" s="5">
        <v>111979690631936</v>
      </c>
      <c r="AO464" s="5">
        <v>1216462849272</v>
      </c>
      <c r="AP464" s="6">
        <v>132888826054536</v>
      </c>
      <c r="AQ464" s="6">
        <v>136689030935076</v>
      </c>
      <c r="AR464" s="6">
        <v>117092374993225</v>
      </c>
      <c r="AS464" s="6">
        <v>123999510302948</v>
      </c>
      <c r="AT464" s="6">
        <v>118397992848052</v>
      </c>
      <c r="AU464" s="6">
        <v>12899433104448</v>
      </c>
      <c r="AV464" s="6">
        <v>116550946457088</v>
      </c>
      <c r="AW464" s="6">
        <v>103425958257248</v>
      </c>
      <c r="AX464" s="6">
        <v>1076346042156</v>
      </c>
      <c r="AY464" s="6">
        <v>106668699421838</v>
      </c>
      <c r="AZ464" s="6">
        <v>1044684065405</v>
      </c>
      <c r="BA464" s="6">
        <v>583328967785928</v>
      </c>
      <c r="BB464" s="6">
        <v>59279404420071</v>
      </c>
      <c r="BC464" s="6">
        <v>807224830106112</v>
      </c>
      <c r="BD464" s="6">
        <v>700117017895782</v>
      </c>
      <c r="BE464" s="6">
        <v>871468665264</v>
      </c>
      <c r="BF464" s="6">
        <v>899455327188072</v>
      </c>
      <c r="BG464" s="6">
        <v>908619358557876</v>
      </c>
      <c r="BH464" s="6">
        <v>813590875003885</v>
      </c>
      <c r="BI464" s="6">
        <v>805323415203758</v>
      </c>
      <c r="BJ464" s="6">
        <v>707006990818505</v>
      </c>
      <c r="BK464" s="6">
        <v>636066187194064</v>
      </c>
      <c r="BL464" s="6">
        <v>640130623924428</v>
      </c>
      <c r="BM464" s="6">
        <v>625416438466189</v>
      </c>
    </row>
    <row r="465" spans="1:65" x14ac:dyDescent="0.45">
      <c r="A465" s="1" t="s">
        <v>459</v>
      </c>
      <c r="B465" s="2">
        <v>4071818</v>
      </c>
      <c r="C465" s="3" t="s">
        <v>1530</v>
      </c>
      <c r="D465" s="3" t="s">
        <v>1531</v>
      </c>
      <c r="E465" s="3" t="s">
        <v>928</v>
      </c>
      <c r="F465" s="5">
        <v>262996287101869</v>
      </c>
      <c r="G465" s="5">
        <v>295488703712332</v>
      </c>
      <c r="H465" s="5">
        <v>298604273896748</v>
      </c>
      <c r="I465" s="5">
        <v>253784163437146</v>
      </c>
      <c r="J465" s="5">
        <v>280300246805316</v>
      </c>
      <c r="K465" s="5">
        <v>272308928659688</v>
      </c>
      <c r="L465" s="5">
        <v>222142896348915</v>
      </c>
      <c r="M465" s="5">
        <v>232000514522797</v>
      </c>
      <c r="N465" s="5">
        <v>242469101230737</v>
      </c>
      <c r="O465" s="5">
        <v>237274912159431</v>
      </c>
      <c r="P465" s="5">
        <v>217117558666031</v>
      </c>
      <c r="Q465" s="5">
        <v>227736231717678</v>
      </c>
      <c r="R465" s="5">
        <v>234770894339963</v>
      </c>
      <c r="S465" s="5">
        <v>220045702410667</v>
      </c>
      <c r="T465" s="5">
        <v>208556536536747</v>
      </c>
      <c r="U465" s="5">
        <v>17660091621409</v>
      </c>
      <c r="V465" s="5">
        <v>191337165246823</v>
      </c>
      <c r="W465" s="5">
        <v>195298891266363</v>
      </c>
      <c r="X465" s="5">
        <v>19249966976334</v>
      </c>
      <c r="Y465" s="5">
        <v>197602857951306</v>
      </c>
      <c r="Z465" s="5">
        <v>188637881956694</v>
      </c>
      <c r="AA465" s="5">
        <v>178792833236135</v>
      </c>
      <c r="AB465" s="5">
        <v>161340680537574</v>
      </c>
      <c r="AC465" s="5">
        <v>161103157892001</v>
      </c>
      <c r="AD465" s="5">
        <v>179153584314975</v>
      </c>
      <c r="AE465" s="5">
        <v>187833672250605</v>
      </c>
      <c r="AF465" s="5">
        <v>161193148478241</v>
      </c>
      <c r="AG465" s="5">
        <v>162764504760164</v>
      </c>
      <c r="AH465" s="5">
        <v>163759258504405</v>
      </c>
      <c r="AI465" s="5">
        <v>154659088781864</v>
      </c>
      <c r="AJ465" s="5">
        <v>149262467471631</v>
      </c>
      <c r="AK465" s="5">
        <v>148909907387158</v>
      </c>
      <c r="AL465" s="5">
        <v>134689836052126</v>
      </c>
      <c r="AM465" s="5">
        <v>12137359458315</v>
      </c>
      <c r="AN465" s="5">
        <v>135410875223713</v>
      </c>
      <c r="AO465" s="5">
        <v>146571428979835</v>
      </c>
      <c r="AP465" s="6">
        <v>200526911115504</v>
      </c>
      <c r="AQ465" s="6">
        <v>19957354612069</v>
      </c>
      <c r="AR465" s="6">
        <v>19525928338447</v>
      </c>
      <c r="AS465" s="6">
        <v>189239431658613</v>
      </c>
      <c r="AT465" s="6">
        <v>178194972819129</v>
      </c>
      <c r="AU465" s="6">
        <v>170073997247766</v>
      </c>
      <c r="AV465" s="6">
        <v>172400061589267</v>
      </c>
      <c r="AW465" s="6">
        <v>152337667423008</v>
      </c>
      <c r="AX465" s="6">
        <v>1781454016104</v>
      </c>
      <c r="AY465" s="6">
        <v>1752012696456</v>
      </c>
      <c r="AZ465" s="6">
        <v>16315960610316</v>
      </c>
      <c r="BA465" s="6">
        <v>17162314602503</v>
      </c>
      <c r="BB465" s="6">
        <v>143041194962981</v>
      </c>
      <c r="BC465" s="6">
        <v>174753243801834</v>
      </c>
      <c r="BD465" s="6">
        <v>176268823012453</v>
      </c>
      <c r="BE465" s="6">
        <v>210443899363876</v>
      </c>
      <c r="BF465" s="6">
        <v>226566380899301</v>
      </c>
      <c r="BG465" s="6">
        <v>221294029790104</v>
      </c>
      <c r="BH465" s="6">
        <v>2365658465388</v>
      </c>
      <c r="BI465" s="6">
        <v>242380281473667</v>
      </c>
      <c r="BJ465" s="6">
        <v>230595504579902</v>
      </c>
      <c r="BK465" s="6">
        <v>21520056750542</v>
      </c>
      <c r="BL465" s="6">
        <v>216921219362184</v>
      </c>
      <c r="BM465" s="6">
        <v>227795486069693</v>
      </c>
    </row>
    <row r="466" spans="1:65" x14ac:dyDescent="0.45">
      <c r="A466" s="1" t="s">
        <v>460</v>
      </c>
      <c r="B466" s="2">
        <v>3005566</v>
      </c>
      <c r="C466" s="3" t="s">
        <v>1532</v>
      </c>
      <c r="D466" s="3" t="s">
        <v>1533</v>
      </c>
      <c r="E466" s="3" t="s">
        <v>787</v>
      </c>
      <c r="F466" s="5">
        <v>357792289451341</v>
      </c>
      <c r="G466" s="5">
        <v>401168905458913</v>
      </c>
      <c r="H466" s="5">
        <v>390682870415278</v>
      </c>
      <c r="I466" s="5">
        <v>359006983537412</v>
      </c>
      <c r="J466" s="5">
        <v>360759726388007</v>
      </c>
      <c r="K466" s="5">
        <v>354874268991244</v>
      </c>
      <c r="L466" s="5">
        <v>318805142233003</v>
      </c>
      <c r="M466" s="5">
        <v>330047593867247</v>
      </c>
      <c r="N466" s="5">
        <v>399627425970246</v>
      </c>
      <c r="O466" s="5">
        <v>368897479120082</v>
      </c>
      <c r="P466" s="5">
        <v>333863953257172</v>
      </c>
      <c r="Q466" s="5">
        <v>34624207519523</v>
      </c>
      <c r="R466" s="5">
        <v>352909230465596</v>
      </c>
      <c r="S466" s="5">
        <v>347912323597101</v>
      </c>
      <c r="T466" s="5">
        <v>360325265979994</v>
      </c>
      <c r="U466" s="5">
        <v>335336560322572</v>
      </c>
      <c r="V466" s="5">
        <v>351586141399431</v>
      </c>
      <c r="W466" s="5">
        <v>336732890572098</v>
      </c>
      <c r="X466" s="5">
        <v>333276774222121</v>
      </c>
      <c r="Y466" s="5">
        <v>3278708068214</v>
      </c>
      <c r="Z466" s="5">
        <v>327228115222174</v>
      </c>
      <c r="AA466" s="5">
        <v>326011701978446</v>
      </c>
      <c r="AB466" s="5">
        <v>303805549256833</v>
      </c>
      <c r="AC466" s="5">
        <v>327449279632893</v>
      </c>
      <c r="AD466" s="5">
        <v>333410480395396</v>
      </c>
      <c r="AE466" s="5">
        <v>362265255505887</v>
      </c>
      <c r="AF466" s="5">
        <v>33739052120857</v>
      </c>
      <c r="AG466" s="5">
        <v>337634165293484</v>
      </c>
      <c r="AH466" s="5">
        <v>328925797740507</v>
      </c>
      <c r="AI466" s="5">
        <v>309764220122429</v>
      </c>
      <c r="AJ466" s="5">
        <v>301423231003605</v>
      </c>
      <c r="AK466" s="5">
        <v>316218375088012</v>
      </c>
      <c r="AL466" s="5">
        <v>314849368561968</v>
      </c>
      <c r="AM466" s="5">
        <v>292841034762752</v>
      </c>
      <c r="AN466" s="5">
        <v>277797509890898</v>
      </c>
      <c r="AO466" s="5">
        <v>29299499633809</v>
      </c>
      <c r="AP466" s="6">
        <v>50696500948763</v>
      </c>
      <c r="AQ466" s="6">
        <v>488858119328</v>
      </c>
      <c r="AR466" s="6">
        <v>467488104518482</v>
      </c>
      <c r="AS466" s="6">
        <v>486425258144555</v>
      </c>
      <c r="AT466" s="6">
        <v>467852262808</v>
      </c>
      <c r="AU466" s="6">
        <v>470928329172468</v>
      </c>
      <c r="AV466" s="6">
        <v>4489981472652</v>
      </c>
      <c r="AW466" s="6">
        <v>41358714228</v>
      </c>
      <c r="AX466" s="6">
        <v>400584057288345</v>
      </c>
      <c r="AY466" s="6">
        <v>395141349141</v>
      </c>
      <c r="AZ466" s="6">
        <v>40935536712817</v>
      </c>
      <c r="BA466" s="6">
        <v>380876951024964</v>
      </c>
      <c r="BB466" s="6">
        <v>353188433104628</v>
      </c>
      <c r="BC466" s="6">
        <v>4015353683712</v>
      </c>
      <c r="BD466" s="6">
        <v>422608790771118</v>
      </c>
      <c r="BE466" s="6">
        <v>455660242848266</v>
      </c>
      <c r="BF466" s="6">
        <v>490002870726</v>
      </c>
      <c r="BG466" s="6">
        <v>415354404187916</v>
      </c>
      <c r="BH466" s="6">
        <v>437203379818517</v>
      </c>
      <c r="BI466" s="6">
        <v>3952283435478</v>
      </c>
      <c r="BJ466" s="6">
        <v>329612308221816</v>
      </c>
      <c r="BK466" s="6">
        <v>357438191643381</v>
      </c>
      <c r="BL466" s="6">
        <v>35683070924592</v>
      </c>
      <c r="BM466" s="6">
        <v>346665352555846</v>
      </c>
    </row>
    <row r="467" spans="1:65" x14ac:dyDescent="0.45">
      <c r="A467" s="1" t="s">
        <v>461</v>
      </c>
      <c r="B467" s="2">
        <v>4216584</v>
      </c>
      <c r="C467" s="3" t="s">
        <v>1534</v>
      </c>
      <c r="D467" s="3" t="s">
        <v>1535</v>
      </c>
      <c r="E467" s="3" t="s">
        <v>1116</v>
      </c>
      <c r="F467" s="5">
        <v>215409314337125</v>
      </c>
      <c r="G467" s="5">
        <v>268448980194987</v>
      </c>
      <c r="H467" s="5">
        <v>319153205842809</v>
      </c>
      <c r="I467" s="5">
        <v>284700807959497</v>
      </c>
      <c r="J467" s="5">
        <v>319131260403346</v>
      </c>
      <c r="K467" s="5">
        <v>3568917381993</v>
      </c>
      <c r="L467" s="5">
        <v>311547897819847</v>
      </c>
      <c r="M467" s="5">
        <v>417350378096642</v>
      </c>
      <c r="N467" s="5">
        <v>417964127046667</v>
      </c>
      <c r="O467" s="5">
        <v>148571249914342</v>
      </c>
      <c r="P467" s="5">
        <v>164338578625141</v>
      </c>
      <c r="Q467" s="5">
        <v>162734734955984</v>
      </c>
      <c r="R467" s="5">
        <v>134813419008369</v>
      </c>
      <c r="S467" s="5">
        <v>134985395400723</v>
      </c>
      <c r="T467" s="5">
        <v>131959355957349</v>
      </c>
      <c r="U467" s="5">
        <v>142399468965641</v>
      </c>
      <c r="V467" s="5">
        <v>158534092454674</v>
      </c>
      <c r="W467" s="5">
        <v>15689929502567</v>
      </c>
      <c r="X467" s="5">
        <v>167356943839976</v>
      </c>
      <c r="Y467" s="5">
        <v>169806430344966</v>
      </c>
      <c r="Z467" s="5">
        <v>193631915760259</v>
      </c>
      <c r="AA467" s="5">
        <v>22866678369417</v>
      </c>
      <c r="AB467" s="5">
        <v>2652618870701</v>
      </c>
      <c r="AC467" s="5">
        <v>21367662293545</v>
      </c>
      <c r="AD467" s="5">
        <v>15599439123788</v>
      </c>
      <c r="AE467" s="5">
        <v>144584921094268</v>
      </c>
      <c r="AF467" s="5">
        <v>111510611755028</v>
      </c>
      <c r="AG467" s="5">
        <v>118635549585478</v>
      </c>
      <c r="AH467" s="5">
        <v>118546314665234</v>
      </c>
      <c r="AI467" s="5">
        <v>114111616486073</v>
      </c>
      <c r="AJ467" s="5">
        <v>121058879260439</v>
      </c>
      <c r="AK467" s="5">
        <v>125386055055224</v>
      </c>
      <c r="AL467" s="5">
        <v>13179240992848</v>
      </c>
      <c r="AM467" s="5">
        <v>115786622839524</v>
      </c>
      <c r="AN467" s="5">
        <v>158948197045407</v>
      </c>
      <c r="AO467" s="5">
        <v>177935275734746</v>
      </c>
      <c r="AP467" s="6">
        <v>231364956716542</v>
      </c>
      <c r="AQ467" s="6">
        <v>229230919799625</v>
      </c>
      <c r="AR467" s="6">
        <v>215532228112417</v>
      </c>
      <c r="AS467" s="6">
        <v>228285098016512</v>
      </c>
      <c r="AT467" s="6">
        <v>232182713474223</v>
      </c>
      <c r="AU467" s="6">
        <v>226242503118863</v>
      </c>
      <c r="AV467" s="6">
        <v>217537251529847</v>
      </c>
      <c r="AW467" s="6">
        <v>203470795623069</v>
      </c>
      <c r="AX467" s="6">
        <v>212564690611046</v>
      </c>
      <c r="AY467" s="6">
        <v>20204978897273</v>
      </c>
      <c r="AZ467" s="6">
        <v>195009362922772</v>
      </c>
      <c r="BA467" s="6">
        <v>184663065080449</v>
      </c>
      <c r="BB467" s="6">
        <v>172343399832871</v>
      </c>
      <c r="BC467" s="6">
        <v>182987598215981</v>
      </c>
      <c r="BD467" s="6">
        <v>165399723738709</v>
      </c>
      <c r="BE467" s="6">
        <v>158632659898863</v>
      </c>
      <c r="BF467" s="6">
        <v>165911352955058</v>
      </c>
      <c r="BG467" s="6">
        <v>179598160852585</v>
      </c>
      <c r="BH467" s="6">
        <v>171308025559002</v>
      </c>
      <c r="BI467" s="6">
        <v>170919091129255</v>
      </c>
      <c r="BJ467" s="6">
        <v>162868146656738</v>
      </c>
      <c r="BK467" s="6">
        <v>163631941178087</v>
      </c>
      <c r="BL467" s="6">
        <v>170982092312577</v>
      </c>
      <c r="BM467" s="6">
        <v>170332496781552</v>
      </c>
    </row>
    <row r="468" spans="1:65" x14ac:dyDescent="0.45">
      <c r="A468" s="1" t="s">
        <v>462</v>
      </c>
      <c r="B468" s="2">
        <v>4063852</v>
      </c>
      <c r="C468" s="3" t="s">
        <v>1536</v>
      </c>
      <c r="D468" s="3" t="s">
        <v>1537</v>
      </c>
      <c r="E468" s="3" t="s">
        <v>1315</v>
      </c>
      <c r="F468" s="5">
        <v>602550067299231</v>
      </c>
      <c r="G468" s="5">
        <v>667592084193241</v>
      </c>
      <c r="H468" s="5">
        <v>657418397054568</v>
      </c>
      <c r="I468" s="5">
        <v>67531681095173</v>
      </c>
      <c r="J468" s="5">
        <v>693700863415142</v>
      </c>
      <c r="K468" s="5">
        <v>666853621652962</v>
      </c>
      <c r="L468" s="5">
        <v>607616733967927</v>
      </c>
      <c r="M468" s="5">
        <v>613456633230763</v>
      </c>
      <c r="N468" s="5">
        <v>647877067239399</v>
      </c>
      <c r="O468" s="5">
        <v>592357083185672</v>
      </c>
      <c r="P468" s="5">
        <v>533109598115276</v>
      </c>
      <c r="Q468" s="5">
        <v>56185254580593</v>
      </c>
      <c r="R468" s="5">
        <v>613900880853157</v>
      </c>
      <c r="S468" s="5">
        <v>596295007910574</v>
      </c>
      <c r="T468" s="5">
        <v>579648024820487</v>
      </c>
      <c r="U468" s="5">
        <v>542661018592968</v>
      </c>
      <c r="V468" s="5">
        <v>553362760567782</v>
      </c>
      <c r="W468" s="5">
        <v>526302889902405</v>
      </c>
      <c r="X468" s="5">
        <v>498822607861792</v>
      </c>
      <c r="Y468" s="5">
        <v>487252800396444</v>
      </c>
      <c r="Z468" s="5">
        <v>484156585591069</v>
      </c>
      <c r="AA468" s="5">
        <v>463928279678983</v>
      </c>
      <c r="AB468" s="5">
        <v>387822152286746</v>
      </c>
      <c r="AC468" s="5">
        <v>387552768249467</v>
      </c>
      <c r="AD468" s="5">
        <v>407425228647583</v>
      </c>
      <c r="AE468" s="5">
        <v>421237249981838</v>
      </c>
      <c r="AF468" s="5">
        <v>391188797579768</v>
      </c>
      <c r="AG468" s="5">
        <v>40714938544924</v>
      </c>
      <c r="AH468" s="5">
        <v>40286321253507</v>
      </c>
      <c r="AI468" s="5">
        <v>391388659742726</v>
      </c>
      <c r="AJ468" s="5">
        <v>397174611272174</v>
      </c>
      <c r="AK468" s="5">
        <v>405235284991224</v>
      </c>
      <c r="AL468" s="5">
        <v>387315059159027</v>
      </c>
      <c r="AM468" s="5">
        <v>356819485101352</v>
      </c>
      <c r="AN468" s="5">
        <v>4279345611709</v>
      </c>
      <c r="AO468" s="5">
        <v>4657039894408</v>
      </c>
      <c r="AP468" s="6">
        <v>3370452085</v>
      </c>
      <c r="AQ468" s="6">
        <v>37065803136</v>
      </c>
      <c r="AR468" s="6">
        <v>33168011808</v>
      </c>
      <c r="AS468" s="6">
        <v>35538432048</v>
      </c>
      <c r="AT468" s="6">
        <v>36749718528</v>
      </c>
      <c r="AU468" s="6">
        <v>406786174391292</v>
      </c>
      <c r="AV468" s="6">
        <v>409008608159207</v>
      </c>
      <c r="AW468" s="6">
        <v>414560533753525</v>
      </c>
      <c r="AX468" s="6">
        <v>41365008745809</v>
      </c>
      <c r="AY468" s="6">
        <v>381461157</v>
      </c>
      <c r="AZ468" s="6">
        <v>3823651326</v>
      </c>
      <c r="BA468" s="6">
        <v>348646518</v>
      </c>
      <c r="BB468" s="6">
        <v>3068219264</v>
      </c>
      <c r="BC468" s="6">
        <v>314313216</v>
      </c>
      <c r="BD468" s="6">
        <v>2550252789</v>
      </c>
      <c r="BE468" s="6">
        <v>27264961962</v>
      </c>
      <c r="BF468" s="6">
        <v>286409033448684</v>
      </c>
      <c r="BG468" s="6">
        <v>227978722667089</v>
      </c>
      <c r="BH468" s="6">
        <v>223325275916606</v>
      </c>
      <c r="BI468" s="6">
        <v>241637647229338</v>
      </c>
      <c r="BJ468" s="6">
        <v>222422904737446</v>
      </c>
      <c r="BK468" s="6">
        <v>21913560624</v>
      </c>
      <c r="BL468" s="6">
        <v>217859733</v>
      </c>
      <c r="BM468" s="6">
        <v>2023970991</v>
      </c>
    </row>
    <row r="469" spans="1:65" x14ac:dyDescent="0.45">
      <c r="A469" s="1" t="s">
        <v>463</v>
      </c>
      <c r="B469" s="2">
        <v>4337758</v>
      </c>
      <c r="C469" s="3" t="s">
        <v>1538</v>
      </c>
      <c r="D469" s="3" t="s">
        <v>1539</v>
      </c>
      <c r="E469" s="3" t="s">
        <v>513</v>
      </c>
      <c r="F469" s="5">
        <v>19043223278603</v>
      </c>
      <c r="G469" s="5">
        <v>199667683305015</v>
      </c>
      <c r="H469" s="5">
        <v>181154964763957</v>
      </c>
      <c r="I469" s="5">
        <v>164578959057418</v>
      </c>
      <c r="J469" s="5">
        <v>177520088725649</v>
      </c>
      <c r="K469" s="5">
        <v>214976916783341</v>
      </c>
      <c r="L469" s="5">
        <v>190714397310082</v>
      </c>
      <c r="M469" s="5">
        <v>184128703364069</v>
      </c>
      <c r="N469" s="5">
        <v>173687361098933</v>
      </c>
      <c r="O469" s="5">
        <v>169088556512784</v>
      </c>
      <c r="P469" s="5">
        <v>170683135232753</v>
      </c>
      <c r="Q469" s="5">
        <v>174443570899396</v>
      </c>
      <c r="R469" s="5">
        <v>199971406901914</v>
      </c>
      <c r="S469" s="5">
        <v>177654425334804</v>
      </c>
      <c r="T469" s="5">
        <v>195048006431588</v>
      </c>
      <c r="U469" s="5">
        <v>189170129168176</v>
      </c>
      <c r="V469" s="5">
        <v>215236873974119</v>
      </c>
      <c r="W469" s="5">
        <v>202753901586953</v>
      </c>
      <c r="X469" s="5">
        <v>179849223065621</v>
      </c>
      <c r="Y469" s="5">
        <v>163139895867502</v>
      </c>
      <c r="Z469" s="5">
        <v>154702077970473</v>
      </c>
      <c r="AA469" s="5">
        <v>150559540132596</v>
      </c>
      <c r="AB469" s="5">
        <v>140764659663558</v>
      </c>
      <c r="AC469" s="5">
        <v>135285719152692</v>
      </c>
      <c r="AD469" s="5">
        <v>125501239040061</v>
      </c>
      <c r="AE469" s="5">
        <v>120448646098118</v>
      </c>
      <c r="AF469" s="5">
        <v>118636280310008</v>
      </c>
      <c r="AG469" s="5">
        <v>103194113495375</v>
      </c>
      <c r="AH469" s="5">
        <v>112025006044983</v>
      </c>
      <c r="AI469" s="5">
        <v>111575550436505</v>
      </c>
      <c r="AJ469" s="5">
        <v>992417469046608</v>
      </c>
      <c r="AK469" s="5">
        <v>111290188628812</v>
      </c>
      <c r="AL469" s="5">
        <v>105824658024294</v>
      </c>
      <c r="AM469" s="5">
        <v>102974436039475</v>
      </c>
      <c r="AN469" s="5">
        <v>110152432779725</v>
      </c>
      <c r="AO469" s="5">
        <v>130066318444047</v>
      </c>
      <c r="AP469" s="6">
        <v>132196777058015</v>
      </c>
      <c r="AQ469" s="6">
        <v>117172886855577</v>
      </c>
      <c r="AR469" s="6">
        <v>116571377573464</v>
      </c>
      <c r="AS469" s="6">
        <v>106775894567583</v>
      </c>
      <c r="AT469" s="6">
        <v>107248446469839</v>
      </c>
      <c r="AU469" s="6">
        <v>125204798350546</v>
      </c>
      <c r="AV469" s="6">
        <v>116735368787546</v>
      </c>
      <c r="AW469" s="6">
        <v>103154395279795</v>
      </c>
      <c r="AX469" s="6">
        <v>138770372085896</v>
      </c>
      <c r="AY469" s="6">
        <v>114435805400255</v>
      </c>
      <c r="AZ469" s="6">
        <v>119013977729899</v>
      </c>
      <c r="BA469" s="6">
        <v>116773417602</v>
      </c>
      <c r="BB469" s="6">
        <v>939383046756</v>
      </c>
      <c r="BC469" s="6">
        <v>105066849792</v>
      </c>
      <c r="BD469" s="6">
        <v>9655934064</v>
      </c>
      <c r="BE469" s="6">
        <v>1188092928288</v>
      </c>
      <c r="BF469" s="6">
        <v>138836390224</v>
      </c>
      <c r="BG469" s="6">
        <v>154755420509</v>
      </c>
      <c r="BH469" s="6">
        <v>1557475030926</v>
      </c>
      <c r="BI469" s="6">
        <v>1825590940443</v>
      </c>
      <c r="BJ469" s="6">
        <v>167243611738439</v>
      </c>
      <c r="BK469" s="6">
        <v>160836610919131</v>
      </c>
      <c r="BL469" s="6">
        <v>140690636520525</v>
      </c>
      <c r="BM469" s="6">
        <v>1365389284857</v>
      </c>
    </row>
    <row r="470" spans="1:65" x14ac:dyDescent="0.45">
      <c r="A470" s="1" t="s">
        <v>464</v>
      </c>
      <c r="B470" s="2">
        <v>4009725</v>
      </c>
      <c r="C470" s="3" t="s">
        <v>1540</v>
      </c>
      <c r="D470" s="3" t="s">
        <v>1541</v>
      </c>
      <c r="E470" s="3" t="s">
        <v>548</v>
      </c>
      <c r="F470" s="5">
        <v>276734600199722</v>
      </c>
      <c r="G470" s="5">
        <v>303246323674188</v>
      </c>
      <c r="H470" s="5">
        <v>291341732998234</v>
      </c>
      <c r="I470" s="5">
        <v>287678544474551</v>
      </c>
      <c r="J470" s="5">
        <v>323029267128959</v>
      </c>
      <c r="K470" s="5">
        <v>32103451593313</v>
      </c>
      <c r="L470" s="5">
        <v>303675838257669</v>
      </c>
      <c r="M470" s="5">
        <v>308923164230797</v>
      </c>
      <c r="N470" s="5">
        <v>299465484379133</v>
      </c>
      <c r="O470" s="5">
        <v>283414651893068</v>
      </c>
      <c r="P470" s="5">
        <v>255276876028678</v>
      </c>
      <c r="Q470" s="5">
        <v>273283998778207</v>
      </c>
      <c r="R470" s="5">
        <v>269234888723227</v>
      </c>
      <c r="S470" s="5">
        <v>243276661374652</v>
      </c>
      <c r="T470" s="5">
        <v>245672676837365</v>
      </c>
      <c r="U470" s="5">
        <v>240042397571878</v>
      </c>
      <c r="V470" s="5">
        <v>252484700029791</v>
      </c>
      <c r="W470" s="5">
        <v>250328906888506</v>
      </c>
      <c r="X470" s="5">
        <v>236640341524683</v>
      </c>
      <c r="Y470" s="5">
        <v>243052258094953</v>
      </c>
      <c r="Z470" s="5">
        <v>254799879085246</v>
      </c>
      <c r="AA470" s="5">
        <v>251523331283591</v>
      </c>
      <c r="AB470" s="5">
        <v>210233834392378</v>
      </c>
      <c r="AC470" s="5">
        <v>231011065341004</v>
      </c>
      <c r="AD470" s="5">
        <v>237315671083828</v>
      </c>
      <c r="AE470" s="5">
        <v>250595906447271</v>
      </c>
      <c r="AF470" s="5">
        <v>272163080091881</v>
      </c>
      <c r="AG470" s="5">
        <v>260296701155012</v>
      </c>
      <c r="AH470" s="5">
        <v>248240414858755</v>
      </c>
      <c r="AI470" s="5">
        <v>253998224305126</v>
      </c>
      <c r="AJ470" s="5">
        <v>245678676402145</v>
      </c>
      <c r="AK470" s="5">
        <v>260268611710027</v>
      </c>
      <c r="AL470" s="5">
        <v>261090697184719</v>
      </c>
      <c r="AM470" s="5">
        <v>252973131474973</v>
      </c>
      <c r="AN470" s="5">
        <v>264825170758062</v>
      </c>
      <c r="AO470" s="5">
        <v>284208972820342</v>
      </c>
      <c r="AP470" s="6">
        <v>296677489316221</v>
      </c>
      <c r="AQ470" s="6">
        <v>292652207633111</v>
      </c>
      <c r="AR470" s="6">
        <v>298769179041308</v>
      </c>
      <c r="AS470" s="6">
        <v>312056239307828</v>
      </c>
      <c r="AT470" s="6">
        <v>306173875204468</v>
      </c>
      <c r="AU470" s="6">
        <v>275656825205857</v>
      </c>
      <c r="AV470" s="6">
        <v>269070176669201</v>
      </c>
      <c r="AW470" s="6">
        <v>264746417485074</v>
      </c>
      <c r="AX470" s="6">
        <v>259530389976637</v>
      </c>
      <c r="AY470" s="6">
        <v>257533045067945</v>
      </c>
      <c r="AZ470" s="6">
        <v>247708810629303</v>
      </c>
      <c r="BA470" s="6">
        <v>234959981256</v>
      </c>
      <c r="BB470" s="6">
        <v>2211952350036</v>
      </c>
      <c r="BC470" s="6">
        <v>238113802368</v>
      </c>
      <c r="BD470" s="6">
        <v>222498231009319</v>
      </c>
      <c r="BE470" s="6">
        <v>206860657980892</v>
      </c>
      <c r="BF470" s="6">
        <v>21073698975798</v>
      </c>
      <c r="BG470" s="6">
        <v>203847997571701</v>
      </c>
      <c r="BH470" s="6">
        <v>199229342114796</v>
      </c>
      <c r="BI470" s="6">
        <v>198670495058028</v>
      </c>
      <c r="BJ470" s="6">
        <v>197400306693716</v>
      </c>
      <c r="BK470" s="6">
        <v>187904460411063</v>
      </c>
      <c r="BL470" s="6">
        <v>180090339682126</v>
      </c>
      <c r="BM470" s="6">
        <v>186298180728385</v>
      </c>
    </row>
    <row r="471" spans="1:65" x14ac:dyDescent="0.45">
      <c r="A471" s="1" t="s">
        <v>465</v>
      </c>
      <c r="B471" s="2">
        <v>100382</v>
      </c>
      <c r="C471" s="3" t="s">
        <v>1542</v>
      </c>
      <c r="D471" s="3" t="s">
        <v>1543</v>
      </c>
      <c r="E471" s="3" t="s">
        <v>637</v>
      </c>
      <c r="F471" s="5">
        <v>147218517800248</v>
      </c>
      <c r="G471" s="5">
        <v>177176833490759</v>
      </c>
      <c r="H471" s="5">
        <v>177224738982329</v>
      </c>
      <c r="I471" s="5">
        <v>155577068986769</v>
      </c>
      <c r="J471" s="5">
        <v>164617055260717</v>
      </c>
      <c r="K471" s="5">
        <v>163135963686553</v>
      </c>
      <c r="L471" s="5">
        <v>142024581932959</v>
      </c>
      <c r="M471" s="5">
        <v>161704829897303</v>
      </c>
      <c r="N471" s="5">
        <v>156903566486467</v>
      </c>
      <c r="O471" s="5">
        <v>165839330502477</v>
      </c>
      <c r="P471" s="5">
        <v>181290570826806</v>
      </c>
      <c r="Q471" s="5">
        <v>186645304416862</v>
      </c>
      <c r="R471" s="5">
        <v>168216613143906</v>
      </c>
      <c r="S471" s="5">
        <v>169020447203878</v>
      </c>
      <c r="T471" s="5">
        <v>176836446445108</v>
      </c>
      <c r="U471" s="5">
        <v>164431140074507</v>
      </c>
      <c r="V471" s="5">
        <v>158988060088242</v>
      </c>
      <c r="W471" s="5">
        <v>159030684629366</v>
      </c>
      <c r="X471" s="5">
        <v>157892452896597</v>
      </c>
      <c r="Y471" s="5">
        <v>158455337862174</v>
      </c>
      <c r="Z471" s="5">
        <v>155085226617373</v>
      </c>
      <c r="AA471" s="5">
        <v>137615910328778</v>
      </c>
      <c r="AB471" s="5">
        <v>12358707272611</v>
      </c>
      <c r="AC471" s="5">
        <v>102005440868607</v>
      </c>
      <c r="AD471" s="5">
        <v>102006746869148</v>
      </c>
      <c r="AE471" s="5">
        <v>946126050479234</v>
      </c>
      <c r="AF471" s="5">
        <v>760641181967281</v>
      </c>
      <c r="AG471" s="5">
        <v>824879410146692</v>
      </c>
      <c r="AH471" s="5">
        <v>832310285904799</v>
      </c>
      <c r="AI471" s="5">
        <v>84479697415855</v>
      </c>
      <c r="AJ471" s="5">
        <v>932674001532672</v>
      </c>
      <c r="AK471" s="5">
        <v>976199780470269</v>
      </c>
      <c r="AL471" s="5">
        <v>10877855754065</v>
      </c>
      <c r="AM471" s="5">
        <v>106802807905521</v>
      </c>
      <c r="AN471" s="5">
        <v>152289921520484</v>
      </c>
      <c r="AO471" s="5">
        <v>175051098041468</v>
      </c>
      <c r="AP471" s="6">
        <v>126432959346908</v>
      </c>
      <c r="AQ471" s="6">
        <v>126682021031022</v>
      </c>
      <c r="AR471" s="6">
        <v>123891740343017</v>
      </c>
      <c r="AS471" s="6">
        <v>131456356656252</v>
      </c>
      <c r="AT471" s="6">
        <v>125397135038521</v>
      </c>
      <c r="AU471" s="6">
        <v>129804689314101</v>
      </c>
      <c r="AV471" s="6">
        <v>132255857317815</v>
      </c>
      <c r="AW471" s="6">
        <v>119804367141909</v>
      </c>
      <c r="AX471" s="6">
        <v>13387329313659</v>
      </c>
      <c r="AY471" s="6">
        <v>126449341176787</v>
      </c>
      <c r="AZ471" s="6">
        <v>119116076817976</v>
      </c>
      <c r="BA471" s="6">
        <v>11180131876179</v>
      </c>
      <c r="BB471" s="6">
        <v>104726379512304</v>
      </c>
      <c r="BC471" s="6">
        <v>115837662169728</v>
      </c>
      <c r="BD471" s="6">
        <v>104127353568765</v>
      </c>
      <c r="BE471" s="6">
        <v>123476588158734</v>
      </c>
      <c r="BF471" s="6">
        <v>11746362696827</v>
      </c>
      <c r="BG471" s="6">
        <v>117506834006245</v>
      </c>
      <c r="BH471" s="6">
        <v>103907094347959</v>
      </c>
      <c r="BI471" s="6">
        <v>108640252890259</v>
      </c>
      <c r="BJ471" s="6">
        <v>108570049044741</v>
      </c>
      <c r="BK471" s="6">
        <v>112482231879977</v>
      </c>
      <c r="BL471" s="6">
        <v>109880506795059</v>
      </c>
      <c r="BM471" s="6">
        <v>104329304782204</v>
      </c>
    </row>
    <row r="472" spans="1:65" x14ac:dyDescent="0.45">
      <c r="A472" s="1" t="s">
        <v>466</v>
      </c>
      <c r="B472" s="2">
        <v>102952</v>
      </c>
      <c r="C472" s="3" t="s">
        <v>1544</v>
      </c>
      <c r="D472" s="3" t="s">
        <v>1545</v>
      </c>
      <c r="E472" s="3" t="s">
        <v>525</v>
      </c>
      <c r="F472" s="5">
        <v>289821666808052</v>
      </c>
      <c r="G472" s="5">
        <v>325462334006058</v>
      </c>
      <c r="H472" s="5">
        <v>286036906775285</v>
      </c>
      <c r="I472" s="5">
        <v>303940507356862</v>
      </c>
      <c r="J472" s="5">
        <v>352651073814534</v>
      </c>
      <c r="K472" s="5">
        <v>384273442860597</v>
      </c>
      <c r="L472" s="5">
        <v>357617699043017</v>
      </c>
      <c r="M472" s="5">
        <v>376978421335337</v>
      </c>
      <c r="N472" s="5">
        <v>391181558729667</v>
      </c>
      <c r="O472" s="5">
        <v>387153487038888</v>
      </c>
      <c r="P472" s="5">
        <v>331746169908313</v>
      </c>
      <c r="Q472" s="5">
        <v>336655527315794</v>
      </c>
      <c r="R472" s="5">
        <v>328273432671862</v>
      </c>
      <c r="S472" s="5">
        <v>307472981860562</v>
      </c>
      <c r="T472" s="5">
        <v>29380760321113</v>
      </c>
      <c r="U472" s="5">
        <v>300419866500154</v>
      </c>
      <c r="V472" s="5">
        <v>313353230380306</v>
      </c>
      <c r="W472" s="5">
        <v>309413102356172</v>
      </c>
      <c r="X472" s="5">
        <v>2926256722407</v>
      </c>
      <c r="Y472" s="5">
        <v>256143753875925</v>
      </c>
      <c r="Z472" s="5">
        <v>260417719174995</v>
      </c>
      <c r="AA472" s="5">
        <v>254723693152016</v>
      </c>
      <c r="AB472" s="5">
        <v>234232648497047</v>
      </c>
      <c r="AC472" s="5">
        <v>208328100662808</v>
      </c>
      <c r="AD472" s="5">
        <v>22044901243491</v>
      </c>
      <c r="AE472" s="5">
        <v>219900323312788</v>
      </c>
      <c r="AF472" s="5">
        <v>192544616806798</v>
      </c>
      <c r="AG472" s="5">
        <v>195775137814508</v>
      </c>
      <c r="AH472" s="5">
        <v>20078623484836</v>
      </c>
      <c r="AI472" s="5">
        <v>189010695768296</v>
      </c>
      <c r="AJ472" s="5">
        <v>191978063465098</v>
      </c>
      <c r="AK472" s="5">
        <v>190277315431015</v>
      </c>
      <c r="AL472" s="5">
        <v>195444902312271</v>
      </c>
      <c r="AM472" s="5">
        <v>171036656846328</v>
      </c>
      <c r="AN472" s="5">
        <v>279164178593233</v>
      </c>
      <c r="AO472" s="5">
        <v>310797122907055</v>
      </c>
      <c r="AP472" s="6">
        <v>271491566971925</v>
      </c>
      <c r="AQ472" s="6">
        <v>276353915578158</v>
      </c>
      <c r="AR472" s="6">
        <v>27646944423</v>
      </c>
      <c r="AS472" s="6">
        <v>316538270878282</v>
      </c>
      <c r="AT472" s="6">
        <v>323079571416782</v>
      </c>
      <c r="AU472" s="6">
        <v>30933845769208</v>
      </c>
      <c r="AV472" s="6">
        <v>297581596324019</v>
      </c>
      <c r="AW472" s="6">
        <v>280940799899208</v>
      </c>
      <c r="AX472" s="6">
        <v>285001141425</v>
      </c>
      <c r="AY472" s="6">
        <v>272496301368142</v>
      </c>
      <c r="AZ472" s="6">
        <v>254263861278787</v>
      </c>
      <c r="BA472" s="6">
        <v>25622659491241</v>
      </c>
      <c r="BB472" s="6">
        <v>250725048504607</v>
      </c>
      <c r="BC472" s="6">
        <v>254365788216361</v>
      </c>
      <c r="BD472" s="6">
        <v>25001574555</v>
      </c>
      <c r="BE472" s="6">
        <v>248318880635611</v>
      </c>
      <c r="BF472" s="6">
        <v>237558929822477</v>
      </c>
      <c r="BG472" s="6">
        <v>218990287223613</v>
      </c>
      <c r="BH472" s="6">
        <v>216692397670187</v>
      </c>
      <c r="BI472" s="6">
        <v>225465735544166</v>
      </c>
      <c r="BJ472" s="6">
        <v>23689534648</v>
      </c>
      <c r="BK472" s="6">
        <v>230191226607628</v>
      </c>
      <c r="BL472" s="6">
        <v>221620714678327</v>
      </c>
      <c r="BM472" s="6">
        <v>229162104569743</v>
      </c>
    </row>
    <row r="473" spans="1:65" x14ac:dyDescent="0.45">
      <c r="A473" s="1" t="s">
        <v>467</v>
      </c>
      <c r="B473" s="2">
        <v>4102413</v>
      </c>
      <c r="C473" s="3" t="s">
        <v>1546</v>
      </c>
      <c r="D473" s="3" t="s">
        <v>1547</v>
      </c>
      <c r="E473" s="3" t="s">
        <v>528</v>
      </c>
      <c r="F473" s="5">
        <v>163033219280141</v>
      </c>
      <c r="G473" s="5">
        <v>168461915333186</v>
      </c>
      <c r="H473" s="5">
        <v>172274856991883</v>
      </c>
      <c r="I473" s="5">
        <v>18582518868051</v>
      </c>
      <c r="J473" s="5">
        <v>218133152524625</v>
      </c>
      <c r="K473" s="5">
        <v>249506103645802</v>
      </c>
      <c r="L473" s="5">
        <v>214261605091366</v>
      </c>
      <c r="M473" s="5">
        <v>214304610431572</v>
      </c>
      <c r="N473" s="5">
        <v>222286855695587</v>
      </c>
      <c r="O473" s="5">
        <v>274634739146546</v>
      </c>
      <c r="P473" s="5">
        <v>256044730071419</v>
      </c>
      <c r="Q473" s="5">
        <v>260069296752374</v>
      </c>
      <c r="R473" s="5">
        <v>305505109872995</v>
      </c>
      <c r="S473" s="5">
        <v>290931747566937</v>
      </c>
      <c r="T473" s="5">
        <v>275398914422562</v>
      </c>
      <c r="U473" s="5">
        <v>270980300001487</v>
      </c>
      <c r="V473" s="5">
        <v>283053207615404</v>
      </c>
      <c r="W473" s="5">
        <v>256772822004999</v>
      </c>
      <c r="X473" s="5">
        <v>223586107739429</v>
      </c>
      <c r="Y473" s="5">
        <v>210494961914655</v>
      </c>
      <c r="Z473" s="5">
        <v>201684289837551</v>
      </c>
      <c r="AA473" s="5">
        <v>177297346217242</v>
      </c>
      <c r="AB473" s="5">
        <v>171887322750628</v>
      </c>
      <c r="AC473" s="5">
        <v>182393056214081</v>
      </c>
      <c r="AD473" s="5">
        <v>171219747593889</v>
      </c>
      <c r="AE473" s="5">
        <v>170199882854019</v>
      </c>
      <c r="AF473" s="5">
        <v>172592828306032</v>
      </c>
      <c r="AG473" s="5">
        <v>172864619815202</v>
      </c>
      <c r="AH473" s="5">
        <v>175395657009224</v>
      </c>
      <c r="AI473" s="5">
        <v>167822017954463</v>
      </c>
      <c r="AJ473" s="5">
        <v>14857586843864</v>
      </c>
      <c r="AK473" s="5">
        <v>143029732623793</v>
      </c>
      <c r="AL473" s="5">
        <v>127333751723299</v>
      </c>
      <c r="AM473" s="5">
        <v>102248055</v>
      </c>
      <c r="AN473" s="5">
        <v>101086574760854</v>
      </c>
      <c r="AO473" s="5">
        <v>104080388811575</v>
      </c>
      <c r="AP473" s="6">
        <v>122737461554592</v>
      </c>
      <c r="AQ473" s="6">
        <v>122807861436268</v>
      </c>
      <c r="AR473" s="6">
        <v>115064754989556</v>
      </c>
      <c r="AS473" s="6">
        <v>10242181527518</v>
      </c>
      <c r="AT473" s="6">
        <v>100880226794442</v>
      </c>
      <c r="AU473" s="6">
        <v>102542353149079</v>
      </c>
      <c r="AV473" s="6">
        <v>993712075745953</v>
      </c>
      <c r="AW473" s="6">
        <v>830157005507026</v>
      </c>
      <c r="AX473" s="6">
        <v>101715225080269</v>
      </c>
      <c r="AY473" s="6">
        <v>100571493456413</v>
      </c>
      <c r="AZ473" s="6">
        <v>948486156168201</v>
      </c>
      <c r="BA473" s="6">
        <v>81542265679728</v>
      </c>
      <c r="BB473" s="6">
        <v>748267516912753</v>
      </c>
      <c r="BC473" s="6">
        <v>854412429390336</v>
      </c>
      <c r="BD473" s="6">
        <v>788881151238975</v>
      </c>
      <c r="BE473" s="6">
        <v>817185263709649</v>
      </c>
      <c r="BF473" s="6">
        <v>794400514675395</v>
      </c>
      <c r="BG473" s="6">
        <v>629349910840268</v>
      </c>
      <c r="BH473" s="6">
        <v>655612910893913</v>
      </c>
      <c r="BI473" s="6">
        <v>703061721958649</v>
      </c>
      <c r="BJ473" s="6">
        <v>595859015682417</v>
      </c>
      <c r="BK473" s="6">
        <v>602733438624716</v>
      </c>
      <c r="BL473" s="6">
        <v>602453087850978</v>
      </c>
      <c r="BM473" s="6">
        <v>52661640421017</v>
      </c>
    </row>
    <row r="474" spans="1:65" x14ac:dyDescent="0.45">
      <c r="A474" s="1" t="s">
        <v>468</v>
      </c>
      <c r="B474" s="2">
        <v>4071659</v>
      </c>
      <c r="C474" s="3" t="s">
        <v>1548</v>
      </c>
      <c r="D474" s="3" t="s">
        <v>1549</v>
      </c>
      <c r="E474" s="3" t="s">
        <v>586</v>
      </c>
      <c r="F474" s="5">
        <v>937746077154383</v>
      </c>
      <c r="G474" s="5">
        <v>113199367965101</v>
      </c>
      <c r="H474" s="5">
        <v>110376834622772</v>
      </c>
      <c r="I474" s="5">
        <v>104394195072991</v>
      </c>
      <c r="J474" s="5">
        <v>131960925537031</v>
      </c>
      <c r="K474" s="5">
        <v>150751596824695</v>
      </c>
      <c r="L474" s="5">
        <v>134300070845472</v>
      </c>
      <c r="M474" s="5">
        <v>177156369584469</v>
      </c>
      <c r="N474" s="5">
        <v>157579473708215</v>
      </c>
      <c r="O474" s="5">
        <v>139858341162269</v>
      </c>
      <c r="P474" s="5">
        <v>141945940219321</v>
      </c>
      <c r="Q474" s="5">
        <v>143949446757717</v>
      </c>
      <c r="R474" s="5">
        <v>178681943455259</v>
      </c>
      <c r="S474" s="5">
        <v>159911321227678</v>
      </c>
      <c r="T474" s="5">
        <v>140880636191902</v>
      </c>
      <c r="U474" s="5">
        <v>150349283732612</v>
      </c>
      <c r="V474" s="5">
        <v>16531309137529</v>
      </c>
      <c r="W474" s="5">
        <v>167740021035671</v>
      </c>
      <c r="X474" s="5">
        <v>183947664496093</v>
      </c>
      <c r="Y474" s="5">
        <v>189161767286065</v>
      </c>
      <c r="Z474" s="5">
        <v>179724098516777</v>
      </c>
      <c r="AA474" s="5">
        <v>17408052666909</v>
      </c>
      <c r="AB474" s="5">
        <v>173373579929331</v>
      </c>
      <c r="AC474" s="5">
        <v>141434497512465</v>
      </c>
      <c r="AD474" s="5">
        <v>137766187622846</v>
      </c>
      <c r="AE474" s="5">
        <v>114247348923193</v>
      </c>
      <c r="AF474" s="5">
        <v>98497146342009</v>
      </c>
      <c r="AG474" s="5">
        <v>941641159564626</v>
      </c>
      <c r="AH474" s="5">
        <v>972267357611571</v>
      </c>
      <c r="AI474" s="5">
        <v>109188368692678</v>
      </c>
      <c r="AJ474" s="5">
        <v>117577779801041</v>
      </c>
      <c r="AK474" s="5">
        <v>119613124434611</v>
      </c>
      <c r="AL474" s="5">
        <v>125915128500142</v>
      </c>
      <c r="AM474" s="5">
        <v>113217927807712</v>
      </c>
      <c r="AN474" s="5">
        <v>151022328422475</v>
      </c>
      <c r="AO474" s="5">
        <v>17570957332335</v>
      </c>
      <c r="AP474" s="6">
        <v>27434148939537</v>
      </c>
      <c r="AQ474" s="6">
        <v>271207435634703</v>
      </c>
      <c r="AR474" s="6">
        <v>254602605419941</v>
      </c>
      <c r="AS474" s="6">
        <v>258471108887351</v>
      </c>
      <c r="AT474" s="6">
        <v>259847379384173</v>
      </c>
      <c r="AU474" s="6">
        <v>248654411956383</v>
      </c>
      <c r="AV474" s="6">
        <v>211904603197611</v>
      </c>
      <c r="AW474" s="6">
        <v>209317368056627</v>
      </c>
      <c r="AX474" s="6">
        <v>224874474884304</v>
      </c>
      <c r="AY474" s="6">
        <v>232772064527376</v>
      </c>
      <c r="AZ474" s="6">
        <v>22281143333778</v>
      </c>
      <c r="BA474" s="6">
        <v>195094937647487</v>
      </c>
      <c r="BB474" s="6">
        <v>184780198280419</v>
      </c>
      <c r="BC474" s="6">
        <v>210813727489559</v>
      </c>
      <c r="BD474" s="6">
        <v>20421168482539</v>
      </c>
      <c r="BE474" s="6">
        <v>230256766173937</v>
      </c>
      <c r="BF474" s="6">
        <v>216727033275342</v>
      </c>
      <c r="BG474" s="6">
        <v>21802239338572</v>
      </c>
      <c r="BH474" s="6">
        <v>194155055670605</v>
      </c>
      <c r="BI474" s="6">
        <v>194413013072555</v>
      </c>
      <c r="BJ474" s="6">
        <v>193803343211852</v>
      </c>
      <c r="BK474" s="6">
        <v>180133076188664</v>
      </c>
      <c r="BL474" s="6">
        <v>193413647955937</v>
      </c>
      <c r="BM474" s="6">
        <v>206910816088384</v>
      </c>
    </row>
    <row r="475" spans="1:65" x14ac:dyDescent="0.45">
      <c r="A475" s="1" t="s">
        <v>469</v>
      </c>
      <c r="B475" s="2">
        <v>4994265</v>
      </c>
      <c r="C475" s="3" t="s">
        <v>1550</v>
      </c>
      <c r="D475" s="3" t="s">
        <v>1551</v>
      </c>
      <c r="E475" s="3" t="s">
        <v>702</v>
      </c>
      <c r="F475" s="5">
        <v>169850430200145</v>
      </c>
      <c r="G475" s="5">
        <v>178279561938957</v>
      </c>
      <c r="H475" s="5">
        <v>171569871365059</v>
      </c>
      <c r="I475" s="5">
        <v>150884645173894</v>
      </c>
      <c r="J475" s="5">
        <v>158281410632843</v>
      </c>
      <c r="K475" s="5">
        <v>167374637087561</v>
      </c>
      <c r="L475" s="5">
        <v>143410789736456</v>
      </c>
      <c r="M475" s="5">
        <v>160814258396869</v>
      </c>
      <c r="N475" s="5">
        <v>155826941775859</v>
      </c>
      <c r="O475" s="5">
        <v>160409791070947</v>
      </c>
      <c r="P475" s="5">
        <v>153153785737079</v>
      </c>
      <c r="Q475" s="5">
        <v>14827968856129</v>
      </c>
      <c r="R475" s="5">
        <v>151310678280832</v>
      </c>
      <c r="S475" s="5">
        <v>147134146946617</v>
      </c>
      <c r="T475" s="5">
        <v>14658593936607</v>
      </c>
      <c r="U475" s="5">
        <v>140607397447536</v>
      </c>
      <c r="V475" s="5">
        <v>143798483811498</v>
      </c>
      <c r="W475" s="5">
        <v>135245294861128</v>
      </c>
      <c r="X475" s="5">
        <v>131186730834012</v>
      </c>
      <c r="Y475" s="5">
        <v>128338082171836</v>
      </c>
      <c r="Z475" s="5">
        <v>128943273539345</v>
      </c>
      <c r="AA475" s="5">
        <v>127399638219394</v>
      </c>
      <c r="AB475" s="5">
        <v>113079572387781</v>
      </c>
      <c r="AC475" s="5">
        <v>116354543898635</v>
      </c>
      <c r="AD475" s="5">
        <v>11389324615722</v>
      </c>
      <c r="AE475" s="5">
        <v>116727416237686</v>
      </c>
      <c r="AF475" s="5">
        <v>968482380889586</v>
      </c>
      <c r="AG475" s="5">
        <v>100282170141404</v>
      </c>
      <c r="AH475" s="5">
        <v>105938000327544</v>
      </c>
      <c r="AI475" s="5">
        <v>100038965410953</v>
      </c>
      <c r="AJ475" s="5">
        <v>973453838080135</v>
      </c>
      <c r="AK475" s="5">
        <v>104530231228457</v>
      </c>
      <c r="AL475" s="5">
        <v>980011803177607</v>
      </c>
      <c r="AM475" s="5">
        <v>83966257021192</v>
      </c>
      <c r="AN475" s="5">
        <v>119759911980458</v>
      </c>
      <c r="AO475" s="5">
        <v>12770216644709</v>
      </c>
      <c r="AP475" s="6">
        <v>561733451326862</v>
      </c>
      <c r="AQ475" s="6">
        <v>52099494299636</v>
      </c>
      <c r="AR475" s="6">
        <v>548031320319481</v>
      </c>
      <c r="AS475" s="6">
        <v>545664815366956</v>
      </c>
      <c r="AT475" s="6">
        <v>548910179751303</v>
      </c>
      <c r="AU475" s="6">
        <v>494110393844577</v>
      </c>
      <c r="AV475" s="6">
        <v>477387807537893</v>
      </c>
      <c r="AW475" s="6">
        <v>433911193056995</v>
      </c>
      <c r="AX475" s="6">
        <v>435507574019154</v>
      </c>
      <c r="AY475" s="6">
        <v>429443900965975</v>
      </c>
      <c r="AZ475" s="6">
        <v>396151983570501</v>
      </c>
      <c r="BA475" s="6">
        <v>361384006979938</v>
      </c>
      <c r="BB475" s="6">
        <v>35894790960981</v>
      </c>
      <c r="BC475" s="6">
        <v>398322531358779</v>
      </c>
      <c r="BD475" s="6">
        <v>383760733950376</v>
      </c>
      <c r="BE475" s="6">
        <v>379704582174867</v>
      </c>
      <c r="BF475" s="6">
        <v>376072632893757</v>
      </c>
      <c r="BG475" s="6">
        <v>356398726765626</v>
      </c>
      <c r="BH475" s="6">
        <v>353300879821113</v>
      </c>
      <c r="BI475" s="6">
        <v>347364533098046</v>
      </c>
      <c r="BJ475" s="6">
        <v>335396576408171</v>
      </c>
      <c r="BK475" s="6">
        <v>329537407540627</v>
      </c>
      <c r="BL475" s="6">
        <v>321356068759744</v>
      </c>
      <c r="BM475" s="6">
        <v>300575211765315</v>
      </c>
    </row>
    <row r="476" spans="1:65" x14ac:dyDescent="0.45">
      <c r="A476" s="1" t="s">
        <v>470</v>
      </c>
      <c r="B476" s="2">
        <v>4006248</v>
      </c>
      <c r="C476" s="3" t="s">
        <v>1552</v>
      </c>
      <c r="D476" s="3" t="s">
        <v>1553</v>
      </c>
      <c r="E476" s="3" t="s">
        <v>1554</v>
      </c>
      <c r="F476" s="5">
        <v>213465236439</v>
      </c>
      <c r="G476" s="5">
        <v>23342468164379</v>
      </c>
      <c r="H476" s="5">
        <v>23019122424753</v>
      </c>
      <c r="I476" s="5">
        <v>2156203564872</v>
      </c>
      <c r="J476" s="5">
        <v>2510960736116</v>
      </c>
      <c r="K476" s="5">
        <v>2636123128032</v>
      </c>
      <c r="L476" s="5">
        <v>23587626378816</v>
      </c>
      <c r="M476" s="5">
        <v>27424769070816</v>
      </c>
      <c r="N476" s="5">
        <v>29120040153684</v>
      </c>
      <c r="O476" s="5">
        <v>254891490346573</v>
      </c>
      <c r="P476" s="5">
        <v>2583994953384</v>
      </c>
      <c r="Q476" s="5">
        <v>26974505155104</v>
      </c>
      <c r="R476" s="5">
        <v>2712260035683</v>
      </c>
      <c r="S476" s="5">
        <v>2499382794964</v>
      </c>
      <c r="T476" s="5">
        <v>2313849142352</v>
      </c>
      <c r="U476" s="5">
        <v>23010718004064</v>
      </c>
      <c r="V476" s="5">
        <v>228678121728</v>
      </c>
      <c r="W476" s="5">
        <v>2131965067176</v>
      </c>
      <c r="X476" s="5">
        <v>2174958258502</v>
      </c>
      <c r="Y476" s="5">
        <v>233351852487</v>
      </c>
      <c r="Z476" s="5">
        <v>24146825591715</v>
      </c>
      <c r="AA476" s="5">
        <v>227103439286592</v>
      </c>
      <c r="AB476" s="5">
        <v>2093268463524</v>
      </c>
      <c r="AC476" s="5">
        <v>1920355084797</v>
      </c>
      <c r="AD476" s="5">
        <v>20460032907825</v>
      </c>
      <c r="AE476" s="5">
        <v>18136412883864</v>
      </c>
      <c r="AF476" s="5">
        <v>17479397177227</v>
      </c>
      <c r="AG476" s="5">
        <v>18125058269744</v>
      </c>
      <c r="AH476" s="5">
        <v>18921088592105</v>
      </c>
      <c r="AI476" s="5">
        <v>17543090158731</v>
      </c>
      <c r="AJ476" s="5">
        <v>148927456367859</v>
      </c>
      <c r="AK476" s="5">
        <v>135517754773502</v>
      </c>
      <c r="AL476" s="5">
        <v>149176771239819</v>
      </c>
      <c r="AM476" s="5">
        <v>114992578155</v>
      </c>
      <c r="AN476" s="5">
        <v>17611853085666</v>
      </c>
      <c r="AO476" s="5">
        <v>1946194437</v>
      </c>
    </row>
    <row r="477" spans="1:65" x14ac:dyDescent="0.45">
      <c r="A477" s="1" t="s">
        <v>471</v>
      </c>
      <c r="B477" s="2">
        <v>4252151</v>
      </c>
      <c r="C477" s="3" t="s">
        <v>1555</v>
      </c>
      <c r="D477" s="3" t="s">
        <v>1556</v>
      </c>
      <c r="E477" s="3" t="s">
        <v>1557</v>
      </c>
      <c r="F477" s="5">
        <v>715803926250878</v>
      </c>
      <c r="G477" s="5">
        <v>754465038908</v>
      </c>
      <c r="H477" s="5">
        <v>835421588959728</v>
      </c>
      <c r="I477" s="5">
        <v>801760042531509</v>
      </c>
      <c r="J477" s="5">
        <v>9903908175875</v>
      </c>
      <c r="K477" s="5">
        <v>973611211880326</v>
      </c>
      <c r="L477" s="5">
        <v>729814699380109</v>
      </c>
      <c r="M477" s="5">
        <v>8253274304808</v>
      </c>
      <c r="N477" s="5">
        <v>867071865538032</v>
      </c>
      <c r="O477" s="5">
        <v>9340508264346</v>
      </c>
      <c r="P477" s="5">
        <v>941097463969377</v>
      </c>
      <c r="Q477" s="5">
        <v>104565793791761</v>
      </c>
      <c r="R477" s="5">
        <v>108495049041947</v>
      </c>
      <c r="S477" s="5">
        <v>12675282531648</v>
      </c>
      <c r="T477" s="5">
        <v>119445422401</v>
      </c>
      <c r="U477" s="5">
        <v>113779526324369</v>
      </c>
      <c r="V477" s="5">
        <v>1177212713424</v>
      </c>
      <c r="W477" s="5">
        <v>96064604358987</v>
      </c>
      <c r="X477" s="5">
        <v>101146943263484</v>
      </c>
      <c r="Y477" s="5">
        <v>1046575802895</v>
      </c>
      <c r="Z477" s="5">
        <v>106859075439038</v>
      </c>
      <c r="AA477" s="5">
        <v>116330212088832</v>
      </c>
      <c r="AB477" s="5">
        <v>831062381960346</v>
      </c>
      <c r="AC477" s="5">
        <v>813394446002794</v>
      </c>
      <c r="AD477" s="5">
        <v>63762490254072</v>
      </c>
      <c r="AE477" s="5">
        <v>7024950427653</v>
      </c>
      <c r="AF477" s="5">
        <v>608918459077405</v>
      </c>
      <c r="AG477" s="5">
        <v>599204392646922</v>
      </c>
      <c r="AH477" s="5">
        <v>571110082704</v>
      </c>
      <c r="AI477" s="5">
        <v>572636855761582</v>
      </c>
      <c r="AJ477" s="5">
        <v>566661466866637</v>
      </c>
      <c r="AK477" s="5">
        <v>5820058587805</v>
      </c>
      <c r="AL477" s="5">
        <v>436471995182045</v>
      </c>
      <c r="AM477" s="5">
        <v>29870253104692</v>
      </c>
      <c r="AN477" s="5">
        <v>439481957660649</v>
      </c>
      <c r="AO477" s="5">
        <v>489688048255296</v>
      </c>
    </row>
    <row r="478" spans="1:65" x14ac:dyDescent="0.45">
      <c r="A478" s="1" t="s">
        <v>472</v>
      </c>
      <c r="B478" s="2">
        <v>4248534</v>
      </c>
      <c r="C478" s="3" t="s">
        <v>1558</v>
      </c>
      <c r="D478" s="3" t="s">
        <v>1559</v>
      </c>
      <c r="E478" s="3" t="s">
        <v>578</v>
      </c>
      <c r="F478" s="5">
        <v>247705590469492</v>
      </c>
      <c r="G478" s="5">
        <v>258364664699636</v>
      </c>
      <c r="H478" s="5">
        <v>23885420681856</v>
      </c>
      <c r="I478" s="5">
        <v>225339903328399</v>
      </c>
      <c r="J478" s="5">
        <v>225826935304219</v>
      </c>
      <c r="K478" s="5">
        <v>223102504416345</v>
      </c>
      <c r="L478" s="5">
        <v>210515743004745</v>
      </c>
      <c r="M478" s="5">
        <v>219340118508009</v>
      </c>
      <c r="N478" s="5">
        <v>227302950806283</v>
      </c>
      <c r="O478" s="5">
        <v>25038046732767</v>
      </c>
      <c r="P478" s="5">
        <v>233087056996774</v>
      </c>
      <c r="Q478" s="5">
        <v>260276577430383</v>
      </c>
      <c r="R478" s="5">
        <v>260208628479628</v>
      </c>
      <c r="S478" s="5">
        <v>249667315277171</v>
      </c>
      <c r="T478" s="5">
        <v>261079359686672</v>
      </c>
      <c r="U478" s="5">
        <v>258814489983421</v>
      </c>
      <c r="V478" s="5">
        <v>241300294388801</v>
      </c>
      <c r="W478" s="5">
        <v>224065429909709</v>
      </c>
      <c r="X478" s="5">
        <v>250213438863167</v>
      </c>
      <c r="Y478" s="5">
        <v>276585330821818</v>
      </c>
      <c r="Z478" s="5">
        <v>277545482774871</v>
      </c>
      <c r="AA478" s="5">
        <v>251502070214794</v>
      </c>
      <c r="AB478" s="5">
        <v>235189319038078</v>
      </c>
      <c r="AC478" s="5">
        <v>215506629858161</v>
      </c>
      <c r="AD478" s="5">
        <v>222014971904016</v>
      </c>
      <c r="AE478" s="5">
        <v>22454367480216</v>
      </c>
      <c r="AF478" s="5">
        <v>201847960661413</v>
      </c>
      <c r="AG478" s="5">
        <v>229150350521764</v>
      </c>
      <c r="AH478" s="5">
        <v>221540917123098</v>
      </c>
      <c r="AI478" s="5">
        <v>228751328845555</v>
      </c>
      <c r="AJ478" s="5">
        <v>225300036727011</v>
      </c>
      <c r="AK478" s="5">
        <v>23495364297658</v>
      </c>
      <c r="AL478" s="5">
        <v>209806849510633</v>
      </c>
      <c r="AM478" s="5">
        <v>198952265436015</v>
      </c>
      <c r="AN478" s="5">
        <v>221505760230347</v>
      </c>
      <c r="AO478" s="5">
        <v>245038465997675</v>
      </c>
    </row>
    <row r="479" spans="1:65" x14ac:dyDescent="0.45">
      <c r="A479" s="1" t="s">
        <v>473</v>
      </c>
      <c r="B479" s="2">
        <v>4334777</v>
      </c>
      <c r="C479" s="3" t="s">
        <v>1560</v>
      </c>
      <c r="D479" s="3" t="s">
        <v>1561</v>
      </c>
      <c r="E479" s="3" t="s">
        <v>504</v>
      </c>
      <c r="F479" s="5">
        <v>402411200452781</v>
      </c>
      <c r="G479" s="5">
        <v>418453988120384</v>
      </c>
      <c r="H479" s="5">
        <v>403431469624109</v>
      </c>
      <c r="I479" s="5">
        <v>397423268044301</v>
      </c>
      <c r="J479" s="5">
        <v>418308177246643</v>
      </c>
      <c r="K479" s="5">
        <v>385739840755804</v>
      </c>
      <c r="L479" s="5">
        <v>338713859118281</v>
      </c>
      <c r="M479" s="5">
        <v>369561978749972</v>
      </c>
      <c r="N479" s="5">
        <v>4923054513</v>
      </c>
      <c r="O479" s="5">
        <v>54106034892</v>
      </c>
      <c r="P479" s="5">
        <v>51196225275</v>
      </c>
      <c r="Q479" s="5">
        <v>56471832</v>
      </c>
      <c r="R479" s="5">
        <v>600517935</v>
      </c>
      <c r="S479" s="5">
        <v>60824214</v>
      </c>
      <c r="T479" s="5">
        <v>62192126592</v>
      </c>
      <c r="U479" s="5">
        <v>53470062816</v>
      </c>
      <c r="V479" s="5">
        <v>57392445696</v>
      </c>
      <c r="W479" s="5">
        <v>488310448874616</v>
      </c>
      <c r="X479" s="5">
        <v>497587683140177</v>
      </c>
      <c r="Y479" s="5">
        <v>463760294543435</v>
      </c>
      <c r="Z479" s="5">
        <v>500885594956773</v>
      </c>
      <c r="AA479" s="5">
        <v>5143395348</v>
      </c>
      <c r="AB479" s="5">
        <v>48800121707</v>
      </c>
      <c r="AC479" s="5">
        <v>451391587501619</v>
      </c>
      <c r="AD479" s="5">
        <v>471721539255561</v>
      </c>
      <c r="AE479" s="5">
        <v>452939047868718</v>
      </c>
      <c r="AF479" s="5">
        <v>4276101891686</v>
      </c>
      <c r="AG479" s="5">
        <v>434489595406462</v>
      </c>
      <c r="AH479" s="5">
        <v>475548535113517</v>
      </c>
      <c r="AI479" s="5">
        <v>359649534089323</v>
      </c>
      <c r="AJ479" s="5">
        <v>39153017689951</v>
      </c>
      <c r="AK479" s="5">
        <v>388019532181058</v>
      </c>
      <c r="AL479" s="5">
        <v>328167354057177</v>
      </c>
      <c r="AM479" s="5">
        <v>274920464</v>
      </c>
      <c r="AN479" s="5">
        <v>3623333175</v>
      </c>
      <c r="AO479" s="5">
        <v>383033398</v>
      </c>
    </row>
    <row r="480" spans="1:65" x14ac:dyDescent="0.45">
      <c r="A480" s="1" t="s">
        <v>474</v>
      </c>
      <c r="B480" s="2">
        <v>4107971</v>
      </c>
      <c r="C480" s="3" t="s">
        <v>1562</v>
      </c>
      <c r="D480" s="3" t="s">
        <v>1563</v>
      </c>
      <c r="E480" s="3" t="s">
        <v>1105</v>
      </c>
      <c r="F480" s="5">
        <v>867451407056238</v>
      </c>
      <c r="G480" s="5">
        <v>911943196439523</v>
      </c>
      <c r="H480" s="5">
        <v>729117833236137</v>
      </c>
      <c r="I480" s="5">
        <v>725235692853005</v>
      </c>
      <c r="J480" s="5">
        <v>67877106140697</v>
      </c>
      <c r="K480" s="5">
        <v>716105697482102</v>
      </c>
      <c r="L480" s="5">
        <v>62717643165599</v>
      </c>
      <c r="M480" s="5">
        <v>708925953303282</v>
      </c>
      <c r="N480" s="5">
        <v>775244306105981</v>
      </c>
      <c r="O480" s="5">
        <v>832084597689307</v>
      </c>
      <c r="P480" s="5">
        <v>886007161732056</v>
      </c>
      <c r="Q480" s="5">
        <v>875259149690736</v>
      </c>
      <c r="R480" s="5">
        <v>857888281366639</v>
      </c>
      <c r="S480" s="5">
        <v>824575783502679</v>
      </c>
      <c r="T480" s="5">
        <v>891075341236192</v>
      </c>
      <c r="U480" s="5">
        <v>83901988003554</v>
      </c>
      <c r="V480" s="5">
        <v>988522599155246</v>
      </c>
      <c r="W480" s="5">
        <v>951009562570872</v>
      </c>
      <c r="X480" s="5">
        <v>118339934290962</v>
      </c>
      <c r="Y480" s="5">
        <v>124135461071555</v>
      </c>
      <c r="Z480" s="5">
        <v>123433269213334</v>
      </c>
      <c r="AA480" s="5">
        <v>123521525934559</v>
      </c>
      <c r="AB480" s="5">
        <v>124864028359451</v>
      </c>
      <c r="AC480" s="5">
        <v>878357457347891</v>
      </c>
      <c r="AD480" s="5">
        <v>988115815716728</v>
      </c>
      <c r="AE480" s="5">
        <v>900806127944085</v>
      </c>
      <c r="AF480" s="5">
        <v>665671745067979</v>
      </c>
      <c r="AG480" s="5">
        <v>654974384924713</v>
      </c>
      <c r="AH480" s="5">
        <v>783482851597215</v>
      </c>
      <c r="AI480" s="5">
        <v>655866391370623</v>
      </c>
      <c r="AJ480" s="5">
        <v>709071950506678</v>
      </c>
      <c r="AK480" s="5">
        <v>802468339640268</v>
      </c>
      <c r="AL480" s="5">
        <v>843346157186887</v>
      </c>
      <c r="AM480" s="5">
        <v>58481944966991</v>
      </c>
      <c r="AN480" s="5">
        <v>104835069234333</v>
      </c>
      <c r="AO480" s="5">
        <v>121566581943541</v>
      </c>
    </row>
    <row r="481" spans="1:41" x14ac:dyDescent="0.45">
      <c r="A481" s="1" t="s">
        <v>475</v>
      </c>
      <c r="B481" s="2">
        <v>4025308</v>
      </c>
      <c r="C481" s="3" t="s">
        <v>1564</v>
      </c>
      <c r="D481" s="3" t="s">
        <v>1565</v>
      </c>
      <c r="E481" s="3" t="s">
        <v>533</v>
      </c>
      <c r="F481" s="5">
        <v>359005558854518</v>
      </c>
      <c r="G481" s="5">
        <v>372634273706297</v>
      </c>
      <c r="H481" s="5">
        <v>360339838247525</v>
      </c>
      <c r="I481" s="5">
        <v>35700592533376</v>
      </c>
      <c r="J481" s="5">
        <v>403257460981073</v>
      </c>
      <c r="K481" s="5">
        <v>392442605490238</v>
      </c>
      <c r="L481" s="5">
        <v>368670448551285</v>
      </c>
      <c r="M481" s="5">
        <v>382479577020756</v>
      </c>
      <c r="N481" s="5">
        <v>378623431770036</v>
      </c>
      <c r="O481" s="5">
        <v>353561695856688</v>
      </c>
      <c r="P481" s="5">
        <v>326296212476214</v>
      </c>
      <c r="Q481" s="5">
        <v>335015523760954</v>
      </c>
      <c r="R481" s="5">
        <v>320666079230577</v>
      </c>
      <c r="S481" s="5">
        <v>304573933043159</v>
      </c>
      <c r="T481" s="5">
        <v>300890340213362</v>
      </c>
      <c r="U481" s="5">
        <v>29035196405175</v>
      </c>
      <c r="V481" s="5">
        <v>31361242737495</v>
      </c>
      <c r="W481" s="5">
        <v>309788181061222</v>
      </c>
      <c r="X481" s="5">
        <v>299044877641056</v>
      </c>
      <c r="Y481" s="5">
        <v>31300514395872</v>
      </c>
      <c r="Z481" s="5">
        <v>31900426605492</v>
      </c>
      <c r="AA481" s="5">
        <v>304666883481712</v>
      </c>
      <c r="AB481" s="5">
        <v>26035448496201</v>
      </c>
      <c r="AC481" s="5">
        <v>283238952611896</v>
      </c>
      <c r="AD481" s="5">
        <v>292844652785564</v>
      </c>
      <c r="AE481" s="5">
        <v>302824444641906</v>
      </c>
      <c r="AF481" s="5">
        <v>315761989102413</v>
      </c>
      <c r="AG481" s="5">
        <v>308737977350225</v>
      </c>
      <c r="AH481" s="5">
        <v>305307079711396</v>
      </c>
      <c r="AI481" s="5">
        <v>306587204943956</v>
      </c>
      <c r="AJ481" s="5">
        <v>2916667441575</v>
      </c>
      <c r="AK481" s="5">
        <v>307195966529277</v>
      </c>
      <c r="AL481" s="5">
        <v>305043129049687</v>
      </c>
      <c r="AM481" s="5">
        <v>28790163353952</v>
      </c>
      <c r="AN481" s="5">
        <v>297317217923658</v>
      </c>
      <c r="AO481" s="5">
        <v>327267359507405</v>
      </c>
    </row>
    <row r="482" spans="1:41" x14ac:dyDescent="0.45">
      <c r="A482" s="1" t="s">
        <v>476</v>
      </c>
      <c r="B482" s="2">
        <v>4317520</v>
      </c>
      <c r="C482" s="3" t="s">
        <v>1566</v>
      </c>
      <c r="D482" s="3" t="s">
        <v>1567</v>
      </c>
      <c r="E482" s="3" t="s">
        <v>847</v>
      </c>
      <c r="F482" s="5">
        <v>186457825980347</v>
      </c>
      <c r="G482" s="5">
        <v>196343780798579</v>
      </c>
      <c r="H482" s="5">
        <v>186645711944851</v>
      </c>
      <c r="I482" s="5">
        <v>160523444344099</v>
      </c>
      <c r="J482" s="5">
        <v>162980154240803</v>
      </c>
      <c r="K482" s="5">
        <v>162490832125669</v>
      </c>
      <c r="L482" s="5">
        <v>134685914912315</v>
      </c>
      <c r="M482" s="5">
        <v>141425771200506</v>
      </c>
      <c r="N482" s="5">
        <v>137538492589166</v>
      </c>
      <c r="O482" s="5">
        <v>138194980873082</v>
      </c>
      <c r="P482" s="5">
        <v>142499647226615</v>
      </c>
      <c r="Q482" s="5">
        <v>169076321864248</v>
      </c>
      <c r="R482" s="5">
        <v>190145165994184</v>
      </c>
      <c r="S482" s="5">
        <v>193757326434714</v>
      </c>
      <c r="T482" s="5">
        <v>203465693622106</v>
      </c>
      <c r="U482" s="5">
        <v>192253919896854</v>
      </c>
      <c r="V482" s="5">
        <v>20805552605725</v>
      </c>
      <c r="W482" s="5">
        <v>191008913475645</v>
      </c>
      <c r="X482" s="5">
        <v>182155753576398</v>
      </c>
      <c r="Y482" s="5">
        <v>174491735971614</v>
      </c>
      <c r="Z482" s="5">
        <v>165572270912619</v>
      </c>
      <c r="AA482" s="5">
        <v>161306239942786</v>
      </c>
      <c r="AB482" s="5">
        <v>148410402768856</v>
      </c>
      <c r="AC482" s="5">
        <v>143412111200647</v>
      </c>
      <c r="AD482" s="5">
        <v>149977030760534</v>
      </c>
      <c r="AE482" s="5">
        <v>144722860956889</v>
      </c>
      <c r="AF482" s="5">
        <v>134768170589648</v>
      </c>
      <c r="AG482" s="5">
        <v>128916704492495</v>
      </c>
      <c r="AH482" s="5">
        <v>12069972358307</v>
      </c>
      <c r="AI482" s="5">
        <v>111016877054142</v>
      </c>
      <c r="AJ482" s="5">
        <v>103853324992126</v>
      </c>
      <c r="AK482" s="5">
        <v>107360546935892</v>
      </c>
      <c r="AL482" s="5">
        <v>118449111326258</v>
      </c>
      <c r="AM482" s="5">
        <v>106814860567506</v>
      </c>
      <c r="AN482" s="5">
        <v>126742002974665</v>
      </c>
      <c r="AO482" s="5">
        <v>132641270264857</v>
      </c>
    </row>
    <row r="483" spans="1:41" x14ac:dyDescent="0.45">
      <c r="A483" s="1" t="s">
        <v>477</v>
      </c>
      <c r="B483" s="2">
        <v>4025819</v>
      </c>
      <c r="C483" s="3" t="s">
        <v>1568</v>
      </c>
      <c r="D483" s="3" t="s">
        <v>1569</v>
      </c>
      <c r="E483" s="3" t="s">
        <v>732</v>
      </c>
      <c r="F483" s="5">
        <v>337587290625709</v>
      </c>
      <c r="G483" s="5">
        <v>351438294261213</v>
      </c>
      <c r="H483" s="5">
        <v>340273603178207</v>
      </c>
      <c r="I483" s="5">
        <v>308573599695262</v>
      </c>
      <c r="J483" s="5">
        <v>314277720236249</v>
      </c>
      <c r="K483" s="5">
        <v>342590712810247</v>
      </c>
      <c r="L483" s="5">
        <v>309641317917438</v>
      </c>
      <c r="M483" s="5">
        <v>322868701082303</v>
      </c>
      <c r="N483" s="5">
        <v>319990733898</v>
      </c>
      <c r="O483" s="5">
        <v>308344747999733</v>
      </c>
      <c r="P483" s="5">
        <v>315444386528552</v>
      </c>
      <c r="Q483" s="5">
        <v>327581448646409</v>
      </c>
      <c r="R483" s="5">
        <v>357914340367926</v>
      </c>
      <c r="S483" s="5">
        <v>319467149144997</v>
      </c>
      <c r="T483" s="5">
        <v>31766144928</v>
      </c>
      <c r="U483" s="5">
        <v>311993057231479</v>
      </c>
      <c r="V483" s="5">
        <v>328193152287437</v>
      </c>
      <c r="W483" s="5">
        <v>3278548392</v>
      </c>
      <c r="X483" s="5">
        <v>289012682255962</v>
      </c>
      <c r="Y483" s="5">
        <v>293240146874989</v>
      </c>
      <c r="Z483" s="5">
        <v>296679930336</v>
      </c>
      <c r="AA483" s="5">
        <v>276559060716403</v>
      </c>
      <c r="AB483" s="5">
        <v>25674996412049</v>
      </c>
      <c r="AC483" s="5">
        <v>252217069664084</v>
      </c>
      <c r="AD483" s="5">
        <v>267723831338574</v>
      </c>
      <c r="AE483" s="5">
        <v>267045259040204</v>
      </c>
      <c r="AF483" s="5">
        <v>241380332501185</v>
      </c>
      <c r="AG483" s="5">
        <v>234341466663493</v>
      </c>
      <c r="AH483" s="5">
        <v>241657776887672</v>
      </c>
      <c r="AI483" s="5">
        <v>231652544060822</v>
      </c>
      <c r="AJ483" s="5">
        <v>232446126684457</v>
      </c>
      <c r="AK483" s="5">
        <v>242932204051702</v>
      </c>
      <c r="AL483" s="5">
        <v>237666669948095</v>
      </c>
      <c r="AM483" s="5">
        <v>187599718912606</v>
      </c>
      <c r="AN483" s="5">
        <v>24413243062468</v>
      </c>
      <c r="AO483" s="5">
        <v>288562643870609</v>
      </c>
    </row>
    <row r="484" spans="1:41" x14ac:dyDescent="0.45">
      <c r="A484" s="1" t="s">
        <v>478</v>
      </c>
      <c r="B484" s="2">
        <v>4376897</v>
      </c>
      <c r="C484" s="3" t="s">
        <v>1570</v>
      </c>
      <c r="D484" s="3" t="s">
        <v>1571</v>
      </c>
      <c r="E484" s="3" t="s">
        <v>1085</v>
      </c>
      <c r="F484" s="5">
        <v>123871676098969</v>
      </c>
      <c r="G484" s="5">
        <v>135316803987958</v>
      </c>
      <c r="H484" s="5">
        <v>148336948921372</v>
      </c>
      <c r="I484" s="5">
        <v>138381581937499</v>
      </c>
      <c r="J484" s="5">
        <v>15511002186837</v>
      </c>
      <c r="K484" s="5">
        <v>184155108323493</v>
      </c>
      <c r="L484" s="5">
        <v>147664979746654</v>
      </c>
      <c r="M484" s="5">
        <v>165537708398325</v>
      </c>
      <c r="N484" s="5">
        <v>185242581650297</v>
      </c>
      <c r="O484" s="5">
        <v>197675714118876</v>
      </c>
      <c r="P484" s="5">
        <v>195375519509898</v>
      </c>
      <c r="Q484" s="5">
        <v>24291420158463</v>
      </c>
      <c r="R484" s="5">
        <v>279691045272058</v>
      </c>
      <c r="S484" s="5">
        <v>279159973661735</v>
      </c>
      <c r="T484" s="5">
        <v>246593519058013</v>
      </c>
      <c r="U484" s="5">
        <v>237485331162836</v>
      </c>
      <c r="V484" s="5">
        <v>26565328577008</v>
      </c>
      <c r="W484" s="5">
        <v>249223661509032</v>
      </c>
      <c r="X484" s="5">
        <v>238966209973518</v>
      </c>
      <c r="Y484" s="5">
        <v>218234697088039</v>
      </c>
      <c r="Z484" s="5">
        <v>216917173833444</v>
      </c>
      <c r="AA484" s="5">
        <v>221020012687042</v>
      </c>
      <c r="AB484" s="5">
        <v>220702167671964</v>
      </c>
      <c r="AC484" s="5">
        <v>170342906925717</v>
      </c>
      <c r="AD484" s="5">
        <v>167514696049487</v>
      </c>
      <c r="AE484" s="5">
        <v>168812544797737</v>
      </c>
      <c r="AF484" s="5">
        <v>129824637874885</v>
      </c>
      <c r="AG484" s="5">
        <v>1146779634703</v>
      </c>
      <c r="AH484" s="5">
        <v>127846188918542</v>
      </c>
      <c r="AI484" s="5">
        <v>126585037648959</v>
      </c>
      <c r="AJ484" s="5">
        <v>120749950670339</v>
      </c>
      <c r="AK484" s="5">
        <v>124795618102798</v>
      </c>
      <c r="AL484" s="5">
        <v>111456291505102</v>
      </c>
      <c r="AM484" s="5">
        <v>9023549708628</v>
      </c>
      <c r="AN484" s="5">
        <v>103607510824367</v>
      </c>
      <c r="AO484" s="5">
        <v>116252571277471</v>
      </c>
    </row>
    <row r="485" spans="1:41" x14ac:dyDescent="0.45">
      <c r="A485" s="1" t="s">
        <v>479</v>
      </c>
      <c r="B485" s="2">
        <v>4812735</v>
      </c>
      <c r="C485" s="3" t="s">
        <v>1572</v>
      </c>
      <c r="D485" s="3" t="s">
        <v>1573</v>
      </c>
      <c r="E485" s="3" t="s">
        <v>495</v>
      </c>
      <c r="F485" s="5">
        <v>25035757607286</v>
      </c>
      <c r="G485" s="5">
        <v>244396131291402</v>
      </c>
      <c r="H485" s="5">
        <v>2402962503412</v>
      </c>
      <c r="I485" s="5">
        <v>223709790915193</v>
      </c>
      <c r="J485" s="5">
        <v>221496274415221</v>
      </c>
      <c r="K485" s="5">
        <v>226817925659575</v>
      </c>
      <c r="L485" s="5">
        <v>210626063661294</v>
      </c>
      <c r="M485" s="5">
        <v>234826682961231</v>
      </c>
      <c r="N485" s="5">
        <v>239840476469874</v>
      </c>
      <c r="O485" s="5">
        <v>241004107978446</v>
      </c>
      <c r="P485" s="5">
        <v>236920011539143</v>
      </c>
      <c r="Q485" s="5">
        <v>229449341379946</v>
      </c>
      <c r="R485" s="5">
        <v>233364327310267</v>
      </c>
      <c r="S485" s="5">
        <v>22167044889833</v>
      </c>
      <c r="T485" s="5">
        <v>258482249458473</v>
      </c>
      <c r="U485" s="5">
        <v>263722542013064</v>
      </c>
      <c r="V485" s="5">
        <v>26619068582375</v>
      </c>
      <c r="W485" s="5">
        <v>287211321889891</v>
      </c>
      <c r="X485" s="5">
        <v>282775923566104</v>
      </c>
      <c r="Y485" s="5">
        <v>287944563863213</v>
      </c>
      <c r="Z485" s="5">
        <v>306794318045348</v>
      </c>
      <c r="AA485" s="5">
        <v>284119165439626</v>
      </c>
      <c r="AB485" s="5">
        <v>280124971255714</v>
      </c>
      <c r="AC485" s="5">
        <v>262400630446927</v>
      </c>
      <c r="AD485" s="5">
        <v>261105615270656</v>
      </c>
      <c r="AE485" s="5">
        <v>25861854215976</v>
      </c>
      <c r="AF485" s="5">
        <v>234701353234383</v>
      </c>
      <c r="AG485" s="5">
        <v>240046994680663</v>
      </c>
      <c r="AH485" s="5">
        <v>244000188764674</v>
      </c>
      <c r="AI485" s="5">
        <v>235748531503949</v>
      </c>
      <c r="AJ485" s="5">
        <v>219341137245444</v>
      </c>
      <c r="AK485" s="5">
        <v>235015773712998</v>
      </c>
      <c r="AL485" s="5">
        <v>22614639772032</v>
      </c>
      <c r="AM485" s="5">
        <v>1901115227648</v>
      </c>
      <c r="AN485" s="5">
        <v>25553018027157</v>
      </c>
      <c r="AO485" s="5">
        <v>274394868600996</v>
      </c>
    </row>
    <row r="486" spans="1:41" x14ac:dyDescent="0.45">
      <c r="A486" s="1" t="s">
        <v>480</v>
      </c>
      <c r="B486" s="2">
        <v>4810470</v>
      </c>
      <c r="C486" s="3" t="s">
        <v>1574</v>
      </c>
      <c r="D486" s="3" t="s">
        <v>1575</v>
      </c>
      <c r="E486" s="3" t="s">
        <v>665</v>
      </c>
      <c r="F486" s="5">
        <v>639109775564858</v>
      </c>
      <c r="G486" s="5">
        <v>696635750888282</v>
      </c>
      <c r="H486" s="5">
        <v>713835543291384</v>
      </c>
      <c r="I486" s="5">
        <v>707947895600447</v>
      </c>
      <c r="J486" s="5">
        <v>727574581656918</v>
      </c>
      <c r="K486" s="5">
        <v>842293610552331</v>
      </c>
      <c r="L486" s="5">
        <v>77385457505305</v>
      </c>
      <c r="M486" s="5">
        <v>749823706468077</v>
      </c>
      <c r="N486" s="5">
        <v>792608141935929</v>
      </c>
      <c r="O486" s="5">
        <v>800968730035015</v>
      </c>
      <c r="P486" s="5">
        <v>813891200585385</v>
      </c>
      <c r="Q486" s="5">
        <v>843926413622049</v>
      </c>
      <c r="R486" s="5">
        <v>101521247195501</v>
      </c>
      <c r="S486" s="5">
        <v>932028951889759</v>
      </c>
      <c r="T486" s="5">
        <v>886132320186037</v>
      </c>
      <c r="U486" s="5">
        <v>793875443127185</v>
      </c>
      <c r="V486" s="5">
        <v>821360604345318</v>
      </c>
      <c r="W486" s="5">
        <v>811262822767461</v>
      </c>
      <c r="X486" s="5">
        <v>746219423907768</v>
      </c>
      <c r="Y486" s="5">
        <v>688250010911639</v>
      </c>
      <c r="Z486" s="5">
        <v>683218459023655</v>
      </c>
      <c r="AA486" s="5">
        <v>637544787578741</v>
      </c>
      <c r="AB486" s="5">
        <v>609666301308458</v>
      </c>
      <c r="AC486" s="5">
        <v>603928283183219</v>
      </c>
      <c r="AD486" s="5">
        <v>643019536563787</v>
      </c>
      <c r="AE486" s="5">
        <v>637761629671478</v>
      </c>
      <c r="AF486" s="5">
        <v>646442708581555</v>
      </c>
      <c r="AG486" s="5">
        <v>669141972329288</v>
      </c>
      <c r="AH486" s="5">
        <v>636331130378496</v>
      </c>
      <c r="AI486" s="5">
        <v>608945804758203</v>
      </c>
      <c r="AJ486" s="5">
        <v>578353159846904</v>
      </c>
      <c r="AK486" s="5">
        <v>595486937910675</v>
      </c>
      <c r="AL486" s="5">
        <v>561354951300592</v>
      </c>
      <c r="AM486" s="5">
        <v>508644281482155</v>
      </c>
      <c r="AN486" s="5">
        <v>575363662233939</v>
      </c>
      <c r="AO486" s="5">
        <v>57659558352935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2026-04-07T16:57:49Z</dcterms:created>
  <dcterms:modified xsi:type="dcterms:W3CDTF">2026-04-08T10:27:29Z</dcterms:modified>
</cp:coreProperties>
</file>