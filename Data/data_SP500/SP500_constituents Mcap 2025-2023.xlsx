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Data\"/>
    </mc:Choice>
  </mc:AlternateContent>
  <xr:revisionPtr revIDLastSave="0" documentId="8_{609A4FEB-9AF4-494C-891E-FD680084496E}" xr6:coauthVersionLast="47" xr6:coauthVersionMax="47" xr10:uidLastSave="{00000000-0000-0000-0000-000000000000}"/>
  <bookViews>
    <workbookView xWindow="-98" yWindow="-98" windowWidth="19396" windowHeight="11475" firstSheet="1" activeTab="1" xr2:uid="{3A3E8ADE-AD73-41F9-804C-4C3359457592}"/>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1" l="1"/>
  <c r="AI4" i="1"/>
  <c r="L2" i="1"/>
  <c r="AB2" i="1"/>
  <c r="A2" i="1"/>
  <c r="T4" i="1"/>
  <c r="AJ4" i="1"/>
  <c r="M2" i="1"/>
  <c r="AC2" i="1"/>
  <c r="B2" i="1"/>
  <c r="U4" i="1"/>
  <c r="AK4" i="1"/>
  <c r="N2" i="1"/>
  <c r="AD2" i="1"/>
  <c r="F4" i="1"/>
  <c r="V4" i="1"/>
  <c r="AL4" i="1"/>
  <c r="O2" i="1"/>
  <c r="AE2" i="1"/>
  <c r="G4" i="1"/>
  <c r="W4" i="1"/>
  <c r="AM4" i="1"/>
  <c r="P2" i="1"/>
  <c r="AF2" i="1"/>
  <c r="H4" i="1"/>
  <c r="X4" i="1"/>
  <c r="AN4" i="1"/>
  <c r="Q2" i="1"/>
  <c r="AG2" i="1"/>
  <c r="I4" i="1"/>
  <c r="Y4" i="1"/>
  <c r="AO4" i="1"/>
  <c r="R2" i="1"/>
  <c r="AH2" i="1"/>
  <c r="J4" i="1"/>
  <c r="Z4" i="1"/>
  <c r="C2" i="1"/>
  <c r="S2" i="1"/>
  <c r="AI2" i="1"/>
  <c r="K4" i="1"/>
  <c r="AA4" i="1"/>
  <c r="D2" i="1"/>
  <c r="T2" i="1"/>
  <c r="AJ2" i="1"/>
  <c r="L4" i="1"/>
  <c r="AB4" i="1"/>
  <c r="E2" i="1"/>
  <c r="U2" i="1"/>
  <c r="AK2" i="1"/>
  <c r="M4" i="1"/>
  <c r="AC4" i="1"/>
  <c r="F2" i="1"/>
  <c r="V2" i="1"/>
  <c r="AL2" i="1"/>
  <c r="N4" i="1"/>
  <c r="AD4" i="1"/>
  <c r="G2" i="1"/>
  <c r="W2" i="1"/>
  <c r="AM2" i="1"/>
  <c r="O4" i="1"/>
  <c r="AE4" i="1"/>
  <c r="H2" i="1"/>
  <c r="X2" i="1"/>
  <c r="AN2" i="1"/>
  <c r="P4" i="1"/>
  <c r="AF4" i="1"/>
  <c r="I2" i="1"/>
  <c r="Y2" i="1"/>
  <c r="AO2" i="1"/>
  <c r="Q4" i="1"/>
  <c r="AG4" i="1"/>
  <c r="J2" i="1"/>
  <c r="Z2" i="1"/>
  <c r="R4" i="1"/>
  <c r="AH4" i="1"/>
  <c r="A1" i="1" s="1"/>
  <c r="K2" i="1"/>
  <c r="AA2" i="1"/>
</calcChain>
</file>

<file path=xl/sharedStrings.xml><?xml version="1.0" encoding="utf-8"?>
<sst xmlns="http://schemas.openxmlformats.org/spreadsheetml/2006/main" count="2010" uniqueCount="1605">
  <si>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</si>
  <si>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</si>
  <si>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</si>
  <si>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</si>
  <si>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</si>
  <si>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</si>
  <si>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</si>
  <si>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</si>
  <si>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</si>
  <si>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</si>
  <si>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Airbnb, Inc. (NASDAQGS:ABNB)</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</si>
  <si>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</si>
  <si>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</si>
  <si>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</si>
  <si>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</si>
  <si>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</si>
  <si>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</si>
  <si>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</si>
  <si>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</si>
  <si>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</si>
  <si>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Amcor plc (NYSE:AMCR)</t>
  </si>
  <si>
    <t>Ameren Corporation (NYSE:AEE)</t>
  </si>
  <si>
    <t>American Electric Power Company, Inc. (NASDAQGS:AEP)</t>
  </si>
  <si>
    <t>American Express Company (NYSE:AXP)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</si>
  <si>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</si>
  <si>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</si>
  <si>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</si>
  <si>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</si>
  <si>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</si>
  <si>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</si>
  <si>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</si>
  <si>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</si>
  <si>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</si>
  <si>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</si>
  <si>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Apollo Global Management, Inc. (NYSE:APO)</t>
  </si>
  <si>
    <t>Apple Inc. (NASDAQGS:AAPL)</t>
  </si>
  <si>
    <t>Applied Materials, Inc. (NASDAQGS:AMAT)</t>
  </si>
  <si>
    <t>AppLovin Corporation (NASDAQGS:APP)</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</si>
  <si>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</si>
  <si>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</si>
  <si>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</si>
  <si>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</si>
  <si>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</si>
  <si>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</si>
  <si>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</si>
  <si>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</si>
  <si>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</si>
  <si>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</si>
  <si>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</si>
  <si>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</si>
  <si>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</si>
  <si>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</si>
  <si>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</si>
  <si>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Baker Hughes Company (NASDAQGS:BKR)</t>
  </si>
  <si>
    <t>Ball Corporation (NYSE:BALL)</t>
  </si>
  <si>
    <t>Bank of America Corporation (NYSE:BAC)</t>
  </si>
  <si>
    <t>Baxter International Inc. (NYSE:BAX)</t>
  </si>
  <si>
    <t>Becton, Dickinson and Company (NYSE:BDX)</t>
  </si>
  <si>
    <t>Berkshire Hathaway Inc. (NYSE:BRK.A)</t>
  </si>
  <si>
    <t>Best Buy Co., Inc. (NYSE:BBY)</t>
  </si>
  <si>
    <t>Bio-Techne Corporation (NASDAQGS:TECH)</t>
  </si>
  <si>
    <t>Biogen Inc. (NASDAQGS:BIIB)</t>
  </si>
  <si>
    <t>BlackRock, Inc. (NYSE:BLK)</t>
  </si>
  <si>
    <t>Blackstone Inc. (NYSE:BX)</t>
  </si>
  <si>
    <t>Block, Inc. (NYSE:XYZ)</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</si>
  <si>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</si>
  <si>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</si>
  <si>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</si>
  <si>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</si>
  <si>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</si>
  <si>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</si>
  <si>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</si>
  <si>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</si>
  <si>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</si>
  <si>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</si>
  <si>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</si>
  <si>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</si>
  <si>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</si>
  <si>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Capital One Financial Corporation (NYSE:COF)</t>
  </si>
  <si>
    <t>Cardinal Health, Inc. (NYSE:CAH)</t>
  </si>
  <si>
    <t>Carnival Corporation &amp; plc (NYSE:CCL)</t>
  </si>
  <si>
    <t>Carrier Global Corporation (NYSE:CARR)</t>
  </si>
  <si>
    <t>Carvana Co. (NYSE:CVNA)</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</si>
  <si>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</si>
  <si>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</si>
  <si>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</si>
  <si>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</si>
  <si>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</si>
  <si>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</si>
  <si>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</si>
  <si>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</si>
  <si>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</si>
  <si>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</si>
  <si>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</si>
  <si>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</si>
  <si>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</si>
  <si>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</si>
  <si>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</si>
  <si>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</si>
  <si>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</si>
  <si>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</si>
  <si>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Citigroup Inc. (NYSE:C)</t>
  </si>
  <si>
    <t>Citizens Financial Group, Inc. (NYSE:CFG)</t>
  </si>
  <si>
    <t>CME Group Inc. (NASDAQGS:CME)</t>
  </si>
  <si>
    <t>CMS Energy Corporation (NYSE:CMS)</t>
  </si>
  <si>
    <t>Cognizant Technology Solutions Corporation (NASDAQGS:CTSH)</t>
  </si>
  <si>
    <t>Coherent Corp. (NYSE:COHR)</t>
  </si>
  <si>
    <t>Coinbase Global, Inc. (NASDAQGS:COIN)</t>
  </si>
  <si>
    <t>Colgate-Palmolive Company (NYSE:CL)</t>
  </si>
  <si>
    <t>Comcast Corporation (NASDAQGS:CMCSA)</t>
  </si>
  <si>
    <t>Comfort Systems USA, Inc. (NYSE:FIX)</t>
  </si>
  <si>
    <t>Conagra Brands, Inc. (NYSE:CAG)</t>
  </si>
  <si>
    <t>ConocoPhillips (NYSE:COP)</t>
  </si>
  <si>
    <t>Consolidated Edison, Inc. (NYSE:ED)</t>
  </si>
  <si>
    <t>Constellation Brands, Inc. (NYSE:STZ)</t>
  </si>
  <si>
    <t>Constellation Energy Corporation (NASDAQGS:CEG)</t>
  </si>
  <si>
    <t>Copart, Inc. (NASDAQGS:CPRT)</t>
  </si>
  <si>
    <t>Corning Incorporated (NYSE:GLW)</t>
  </si>
  <si>
    <t>Corpay, Inc. (NYSE:CPAY)</t>
  </si>
  <si>
    <t>Corteva, Inc. (NYSE:CTVA)</t>
  </si>
  <si>
    <t>CoStar Group, Inc. (NASDAQGS:CSGP)</t>
  </si>
  <si>
    <t>Costco Wholesale Corporation (NASDAQGS:COST)</t>
  </si>
  <si>
    <t>Coterra Energy Inc. (NYSE:CTRA)</t>
  </si>
  <si>
    <t>CRH plc (NYSE:CRH)</t>
  </si>
  <si>
    <t>CrowdStrike Holdings, Inc. (NASDAQGS:CRWD)</t>
  </si>
  <si>
    <t>Crown Castle Inc. (NYSE:CCI)</t>
  </si>
  <si>
    <t>CSX Corporation (NASDAQGS:CSX)</t>
  </si>
  <si>
    <t>Cummins Inc. (NYSE:CMI)</t>
  </si>
  <si>
    <t>CVS Health Corporation (NYSE:CVS)</t>
  </si>
  <si>
    <t>D.R. Horton, Inc. (NYSE:DHI)</t>
  </si>
  <si>
    <t>Danaher Corporation (NYSE:DHR)</t>
  </si>
  <si>
    <t>Darden Restaurants, Inc. (NYSE:DRI)</t>
  </si>
  <si>
    <t>Datadog, Inc. (NASDAQGS:DDOG)</t>
  </si>
  <si>
    <t>DaVita Inc. (NYSE:DVA)</t>
  </si>
  <si>
    <t>Deckers Outdoor Corporation (NYSE:DECK)</t>
  </si>
  <si>
    <t>Deere &amp; Company (NYSE:DE)</t>
  </si>
  <si>
    <t>Dell Technologies Inc. (NYSE:DELL)</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</si>
  <si>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</si>
  <si>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</si>
  <si>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</si>
  <si>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</si>
  <si>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</si>
  <si>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</si>
  <si>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</si>
  <si>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</si>
  <si>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</si>
  <si>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DoorDash, Inc. (NASDAQGS:DASH)</t>
  </si>
  <si>
    <t>Dover Corporation (NYSE:DOV)</t>
  </si>
  <si>
    <t>Dow Inc. (NYSE:DOW)</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</si>
  <si>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</si>
  <si>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</si>
  <si>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</si>
  <si>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</si>
  <si>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</si>
  <si>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</si>
  <si>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</si>
  <si>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</si>
  <si>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</si>
  <si>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</si>
  <si>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</si>
  <si>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</si>
  <si>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</si>
  <si>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</si>
  <si>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</si>
  <si>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</si>
  <si>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</si>
  <si>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</si>
  <si>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</si>
  <si>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</si>
  <si>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</si>
  <si>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</si>
  <si>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</si>
  <si>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</si>
  <si>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</si>
  <si>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</si>
  <si>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</si>
  <si>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Expand Energy Corporation (NASDAQGS:EXE)</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</si>
  <si>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</si>
  <si>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</si>
  <si>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</si>
  <si>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</si>
  <si>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</si>
  <si>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</si>
  <si>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</si>
  <si>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</si>
  <si>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</si>
  <si>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</si>
  <si>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</si>
  <si>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Fifth Third Bancorp (NASDAQGS:FITB)</t>
  </si>
  <si>
    <t>First Solar, Inc. (NASDAQGS:FSLR)</t>
  </si>
  <si>
    <t>FirstEnergy Corp. (NYSE:FE)</t>
  </si>
  <si>
    <t>Fiserv, Inc. (NASDAQGS:FISV)</t>
  </si>
  <si>
    <t>Ford Motor Company (NYSE:F)</t>
  </si>
  <si>
    <t>Fortinet, Inc. (NASDAQGS:FTNT)</t>
  </si>
  <si>
    <t>Fortive Corporation (NYSE:FTV)</t>
  </si>
  <si>
    <t>Fox Corporation (NASDAQGS:FOXA)</t>
  </si>
  <si>
    <t>Franklin Resources, Inc. (NYSE:BEN)</t>
  </si>
  <si>
    <t>Freeport-McMoRan Inc. (NYSE:FCX)</t>
  </si>
  <si>
    <t>Garmin Ltd. (NYSE:GRMN)</t>
  </si>
  <si>
    <t>Gartner, Inc. (NYSE:IT)</t>
  </si>
  <si>
    <t>GE HealthCare Technologies Inc. (NASDAQGS:GEHC)</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</si>
  <si>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</si>
  <si>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</si>
  <si>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</si>
  <si>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</si>
  <si>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</si>
  <si>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</si>
  <si>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</si>
  <si>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</si>
  <si>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</si>
  <si>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</si>
  <si>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GoDaddy Inc. (NYSE:GDDY)</t>
  </si>
  <si>
    <t>Halliburton Company (NYSE:HAL)</t>
  </si>
  <si>
    <t>Hasbro, Inc. (NASDAQGS:HAS)</t>
  </si>
  <si>
    <t>HCA Healthcare, Inc. (NYSE:HCA)</t>
  </si>
  <si>
    <t>Healthpeak Properties, Inc. (NYSE:DOC)</t>
  </si>
  <si>
    <t>Henry Schein, Inc. (NASDAQGS:HSIC)</t>
  </si>
  <si>
    <t>Hewlett Packard Enterprise Company (NYSE:HPE)</t>
  </si>
  <si>
    <t>Hilton Worldwide Holdings Inc. (NYSE:HLT)</t>
  </si>
  <si>
    <t>Honeywell International Inc. (NASDAQGS:HON)</t>
  </si>
  <si>
    <t>Hormel Foods Corporation (NYSE:HRL)</t>
  </si>
  <si>
    <t>Host Hotels &amp; Resorts, Inc. (NASDAQGS:HST)</t>
  </si>
  <si>
    <t>Howmet Aerospace Inc. (NYSE:HWM)</t>
  </si>
  <si>
    <t>HP Inc. (NYSE:HPQ)</t>
  </si>
  <si>
    <t>Hubbell Incorporated (NYSE:HUBB)</t>
  </si>
  <si>
    <t>Humana Inc. (NYSE:HUM)</t>
  </si>
  <si>
    <t>Huntington Bancshares Incorporated (NASDAQGS:HBAN)</t>
  </si>
  <si>
    <t>Huntington Ingalls Industries, Inc. (NYSE:HII)</t>
  </si>
  <si>
    <t>IDEX Corporation (NYSE:IEX)</t>
  </si>
  <si>
    <t>IDEXX Laboratories, Inc. (NASDAQGS:IDXX)</t>
  </si>
  <si>
    <t>Illinois Tool Works Inc. (NYSE:ITW)</t>
  </si>
  <si>
    <t>Incyte Corporation (NASDAQGS:INCY)</t>
  </si>
  <si>
    <t>Ingersoll Rand Inc. (NYSE:IR)</t>
  </si>
  <si>
    <t>Insulet Corporation (NASDAQGS:PODD)</t>
  </si>
  <si>
    <t>Intel Corporation (NASDAQGS:INTC)</t>
  </si>
  <si>
    <t>Interactive Brokers Group, Inc. (NASDAQGS:IBKR)</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</si>
  <si>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</si>
  <si>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</si>
  <si>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</si>
  <si>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</si>
  <si>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</si>
  <si>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</si>
  <si>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</si>
  <si>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Invitation Homes Inc. (NYSE:INVH)</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</si>
  <si>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</si>
  <si>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</si>
  <si>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</si>
  <si>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</si>
  <si>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</si>
  <si>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</si>
  <si>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</si>
  <si>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</si>
  <si>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JPMorgan Chase &amp; Co. (NYSE:JPM)</t>
  </si>
  <si>
    <t>Keurig Dr Pepper Inc. (NASDAQGS:KDP)</t>
  </si>
  <si>
    <t>KeyCorp (NYSE:KEY)</t>
  </si>
  <si>
    <t>Keysight Technologies, Inc. (NYSE:KEYS)</t>
  </si>
  <si>
    <t>Kimberly-Clark Corporation (NASDAQGS:KMB)</t>
  </si>
  <si>
    <t>Kimco Realty Corporation (NYSE:KIM)</t>
  </si>
  <si>
    <t>Kinder Morgan, Inc. (NYSE:KMI)</t>
  </si>
  <si>
    <t>KKR &amp; Co. Inc. (NYSE:KKR)</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</si>
  <si>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</si>
  <si>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</si>
  <si>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</si>
  <si>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</si>
  <si>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</si>
  <si>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</si>
  <si>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</si>
  <si>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</si>
  <si>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</si>
  <si>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</si>
  <si>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</si>
  <si>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</si>
  <si>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</si>
  <si>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</si>
  <si>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Lumentum Holdings Inc. (NASDAQGS:LITE)</t>
  </si>
  <si>
    <t>LyondellBasell Industries N.V. (NYSE:LYB)</t>
  </si>
  <si>
    <t>M&amp;T Bank Corporation (NYSE:MTB)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</si>
  <si>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</si>
  <si>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</si>
  <si>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</si>
  <si>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</si>
  <si>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</si>
  <si>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</si>
  <si>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</si>
  <si>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</si>
  <si>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</si>
  <si>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</si>
  <si>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</si>
  <si>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</si>
  <si>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</si>
  <si>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</si>
  <si>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</si>
  <si>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</si>
  <si>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</si>
  <si>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</si>
  <si>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</si>
  <si>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Moderna, Inc. (NASDAQGS:MRNA)</t>
  </si>
  <si>
    <t>Molson Coors Beverage Company (NYSE:TAP)</t>
  </si>
  <si>
    <t>Mondelez International, Inc. (NASDAQGS:MDLZ)</t>
  </si>
  <si>
    <t>Monolithic Power Systems, Inc. (NASDAQGS:MPWR)</t>
  </si>
  <si>
    <t>Monster Beverage Corporation (NASDAQGS:MNST)</t>
  </si>
  <si>
    <t>Moody's Corporation (NYSE:MCO)</t>
  </si>
  <si>
    <t>Morgan Stanley (NYSE:MS)</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</si>
  <si>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</si>
  <si>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</si>
  <si>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</si>
  <si>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</si>
  <si>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</si>
  <si>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</si>
  <si>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</si>
  <si>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</si>
  <si>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</si>
  <si>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</si>
  <si>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</si>
  <si>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</si>
  <si>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Northern Trust Corporation (NASDAQGS:NTRS)</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</si>
  <si>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</si>
  <si>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</si>
  <si>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</si>
  <si>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</si>
  <si>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</si>
  <si>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</si>
  <si>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</si>
  <si>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</si>
  <si>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</si>
  <si>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</si>
  <si>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</si>
  <si>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</si>
  <si>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</si>
  <si>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</si>
  <si>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Otis Worldwide Corporation (NYSE:OTIS)</t>
  </si>
  <si>
    <t>PACCAR Inc (NASDAQGS:PCAR)</t>
  </si>
  <si>
    <t>Packaging Corporation of America (NYSE:PKG)</t>
  </si>
  <si>
    <t>Palantir Technologies Inc. (NASDAQGS:PLTR)</t>
  </si>
  <si>
    <t>Palo Alto Networks, Inc. (NASDAQGS:PANW)</t>
  </si>
  <si>
    <t>Paramount Skydance Corporation (NASDAQGS:PSKY)</t>
  </si>
  <si>
    <t>Parker-Hannifin Corporation (NYSE:PH)</t>
  </si>
  <si>
    <t>Paychex, Inc. (NASDAQGS:PAYX)</t>
  </si>
  <si>
    <t>PayPal Holdings, Inc. (NASDAQGS:PYPL)</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</si>
  <si>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</si>
  <si>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</si>
  <si>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</si>
  <si>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</si>
  <si>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</si>
  <si>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</si>
  <si>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</si>
  <si>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</si>
  <si>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</si>
  <si>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</si>
  <si>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</si>
  <si>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</si>
  <si>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</si>
  <si>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</si>
  <si>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</si>
  <si>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</si>
  <si>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</si>
  <si>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</si>
  <si>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</si>
  <si>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</si>
  <si>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</si>
  <si>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Raymond James Financial, Inc. (NYSE:RJF)</t>
  </si>
  <si>
    <t>Realty Income Corporation (NYSE:O)</t>
  </si>
  <si>
    <t>Regency Centers Corporation (NASDAQGS:REG)</t>
  </si>
  <si>
    <t>Regeneron Pharmaceuticals, Inc. (NASDAQGS:REGN)</t>
  </si>
  <si>
    <t>Regions Financial Corporation (NYSE:RF)</t>
  </si>
  <si>
    <t>Republic Services, Inc. (NYSE:RSG)</t>
  </si>
  <si>
    <t>ResMed Inc. (NYSE:RMD)</t>
  </si>
  <si>
    <t>Revvity, Inc. (NYSE:RVTY)</t>
  </si>
  <si>
    <t>Robinhood Markets, Inc. (NASDAQGS:HOOD)</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</si>
  <si>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</si>
  <si>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</si>
  <si>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</si>
  <si>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</si>
  <si>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</si>
  <si>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</si>
  <si>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</si>
  <si>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</si>
  <si>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</si>
  <si>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</si>
  <si>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</si>
  <si>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</si>
  <si>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</si>
  <si>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</si>
  <si>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</si>
  <si>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</si>
  <si>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</si>
  <si>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</si>
  <si>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</si>
  <si>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</si>
  <si>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State Street Corporation (NYSE:STT)</t>
  </si>
  <si>
    <t>Steel Dynamics, Inc. (NASDAQGS:STLD)</t>
  </si>
  <si>
    <t>STERIS plc (NYSE:STE)</t>
  </si>
  <si>
    <t>Stryker Corporation (NYSE:SYK)</t>
  </si>
  <si>
    <t>Super Micro Computer, Inc. (NASDAQGS:SMCI)</t>
  </si>
  <si>
    <t>Synchrony Financial (NYSE:SYF)</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</si>
  <si>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</si>
  <si>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</si>
  <si>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</si>
  <si>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</si>
  <si>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</si>
  <si>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</si>
  <si>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</si>
  <si>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</si>
  <si>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</si>
  <si>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</si>
  <si>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</si>
  <si>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</si>
  <si>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</si>
  <si>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</si>
  <si>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</si>
  <si>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</si>
  <si>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</si>
  <si>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Bank of New York Mellon Corporation (NYSE:BK)</t>
  </si>
  <si>
    <t>The Boeing Company (NYSE:BA)</t>
  </si>
  <si>
    <t>The Campbell's Company (NASDAQGS:CPB)</t>
  </si>
  <si>
    <t>The Charles Schwab Corporation (NYSE:SCHW)</t>
  </si>
  <si>
    <t>The Cigna Group (NYSE:CI)</t>
  </si>
  <si>
    <t>The Clorox Company (NYSE:CLX)</t>
  </si>
  <si>
    <t>The Coca-Cola Company (NYSE:KO)</t>
  </si>
  <si>
    <t>The Cooper Companies, Inc. (NASDAQGS:COO)</t>
  </si>
  <si>
    <t>The Estée Lauder Companies Inc. (NYSE:EL)</t>
  </si>
  <si>
    <t>The Goldman Sachs Group, Inc. (NYSE:GS)</t>
  </si>
  <si>
    <t>The Hartford Insurance Group, Inc. (NYSE:HIG)</t>
  </si>
  <si>
    <t>The Hershey Company (NYSE:HSY)</t>
  </si>
  <si>
    <t>The Home Depot, Inc. (NYSE:HD)</t>
  </si>
  <si>
    <t>The J. M. Smucker Company (NYSE:SJM)</t>
  </si>
  <si>
    <t>The Kraft Heinz Company (NASDAQGS:KHC)</t>
  </si>
  <si>
    <t>The Kroger Co. (NYSE:KR)</t>
  </si>
  <si>
    <t>The Mosaic Company (NYSE:MOS)</t>
  </si>
  <si>
    <t>The PNC Financial Services Group, Inc. (NYSE:PNC)</t>
  </si>
  <si>
    <t>The Procter &amp; Gamble Company (NYSE:PG)</t>
  </si>
  <si>
    <t>The Progressive Corporation (NYSE:PGR)</t>
  </si>
  <si>
    <t>The Sherwin-Williams Company (NYSE:SHW)</t>
  </si>
  <si>
    <t>The Southern Company (NYSE:SO)</t>
  </si>
  <si>
    <t>The TJX Companies, Inc. (NYSE:TJX)</t>
  </si>
  <si>
    <t>The Trade Desk, Inc. (NASDAQGM:TTD)</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</si>
  <si>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</si>
  <si>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</si>
  <si>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</si>
  <si>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</si>
  <si>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</si>
  <si>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</si>
  <si>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</si>
  <si>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</si>
  <si>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Truist Financial Corporation (NYSE:TFC)</t>
  </si>
  <si>
    <t>Tyler Technologies, Inc. (NYSE:TYL)</t>
  </si>
  <si>
    <t>Tyson Foods, Inc. (NYSE:TSN)</t>
  </si>
  <si>
    <t>U.S. Bancorp (NYSE:USB)</t>
  </si>
  <si>
    <t>Uber Technologies, Inc. (NYSE:UBER)</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</si>
  <si>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</si>
  <si>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</si>
  <si>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</si>
  <si>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</si>
  <si>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</si>
  <si>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</si>
  <si>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</si>
  <si>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</si>
  <si>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</si>
  <si>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</si>
  <si>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</si>
  <si>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</si>
  <si>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</si>
  <si>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</si>
  <si>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Vertiv Holdings Co (NYSE:VRT)</t>
  </si>
  <si>
    <t>Viatris Inc. (NASDAQGS:VTRS)</t>
  </si>
  <si>
    <t>VICI Properties Inc. (NYSE:VICI)</t>
  </si>
  <si>
    <t>Visa Inc. (NYSE:V)</t>
  </si>
  <si>
    <t>Vistra Corp. (NYSE:VST)</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</si>
  <si>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</si>
  <si>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</si>
  <si>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</si>
  <si>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</si>
  <si>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</si>
  <si>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</si>
  <si>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</si>
  <si>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</si>
  <si>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Wells Fargo &amp; Company (NYSE:WFC)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</si>
  <si>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</si>
  <si>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</si>
  <si>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</si>
  <si>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</si>
  <si>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</si>
  <si>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</si>
  <si>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</si>
  <si>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</si>
  <si>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</si>
  <si>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</si>
  <si>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</si>
  <si>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</si>
  <si>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</si>
  <si>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</si>
  <si>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</si>
  <si>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SP_COMPANY_NAME_ABBR</t>
  </si>
  <si>
    <t>SP_TICKER</t>
  </si>
  <si>
    <t>MI_INDUSTRY_CLASSIFICATION</t>
  </si>
  <si>
    <t>SP_MARKETCAP</t>
  </si>
  <si>
    <t>SP_ENTITY_NAME</t>
  </si>
  <si>
    <t>SP_ENTITY_ID</t>
  </si>
  <si>
    <t>3M Co.</t>
  </si>
  <si>
    <t>MMM</t>
  </si>
  <si>
    <t>Industrial Conglomerates</t>
  </si>
  <si>
    <t>A. O. Smith Corp.</t>
  </si>
  <si>
    <t>AOS</t>
  </si>
  <si>
    <t>Building Products</t>
  </si>
  <si>
    <t>Abbott Laboratories</t>
  </si>
  <si>
    <t>ABT</t>
  </si>
  <si>
    <t>Health Care Equipment</t>
  </si>
  <si>
    <t>AbbVie Inc.</t>
  </si>
  <si>
    <t>ABBV</t>
  </si>
  <si>
    <t>Biotechnology</t>
  </si>
  <si>
    <t>Accenture plc</t>
  </si>
  <si>
    <t>ACN</t>
  </si>
  <si>
    <t>IT Consulting and Other Services</t>
  </si>
  <si>
    <t>Adobe Inc.</t>
  </si>
  <si>
    <t>ADBE</t>
  </si>
  <si>
    <t>Application Software</t>
  </si>
  <si>
    <t>Advanced Micro Devices Inc.</t>
  </si>
  <si>
    <t>AMD</t>
  </si>
  <si>
    <t>Semiconductors</t>
  </si>
  <si>
    <t>Aflac Inc.</t>
  </si>
  <si>
    <t>AFL</t>
  </si>
  <si>
    <t>Life and Health</t>
  </si>
  <si>
    <t>Agilent Technologies Inc</t>
  </si>
  <si>
    <t>A</t>
  </si>
  <si>
    <t>Life Sciences Tools and Services</t>
  </si>
  <si>
    <t>Air Products &amp; Chemicals Inc.</t>
  </si>
  <si>
    <t>APD</t>
  </si>
  <si>
    <t>Industrial Gases</t>
  </si>
  <si>
    <t>Airbnb Inc.</t>
  </si>
  <si>
    <t>ABNB</t>
  </si>
  <si>
    <t>Hotels, Resorts and Cruise Lines</t>
  </si>
  <si>
    <t>Akamai Technologies Inc.</t>
  </si>
  <si>
    <t>AKAM</t>
  </si>
  <si>
    <t>Internet Services and Infrastructure</t>
  </si>
  <si>
    <t>Albemarle Corp.</t>
  </si>
  <si>
    <t>ALB</t>
  </si>
  <si>
    <t>Specialty Chemicals</t>
  </si>
  <si>
    <t>Alexandria Real Estate</t>
  </si>
  <si>
    <t>ARE</t>
  </si>
  <si>
    <t>Health Care REIT</t>
  </si>
  <si>
    <t>Align Technology Inc.</t>
  </si>
  <si>
    <t>ALGN</t>
  </si>
  <si>
    <t>Health Care Supplies</t>
  </si>
  <si>
    <t>Allegion plc</t>
  </si>
  <si>
    <t>ALLE</t>
  </si>
  <si>
    <t>Alliant Energy</t>
  </si>
  <si>
    <t>LNT</t>
  </si>
  <si>
    <t>Electric Utilities</t>
  </si>
  <si>
    <t>Alphabet Inc.</t>
  </si>
  <si>
    <t>GOOGL</t>
  </si>
  <si>
    <t>Interactive Media and Services</t>
  </si>
  <si>
    <t>Altria Group</t>
  </si>
  <si>
    <t>MO</t>
  </si>
  <si>
    <t>Tobacco Producers</t>
  </si>
  <si>
    <t>Amazon.com Inc.</t>
  </si>
  <si>
    <t>AMZN</t>
  </si>
  <si>
    <t>Broadline Retail</t>
  </si>
  <si>
    <t>Amcor plc</t>
  </si>
  <si>
    <t>AMCR</t>
  </si>
  <si>
    <t>Packaging and Materials: Paper and Plastic</t>
  </si>
  <si>
    <t>Ameren Corp.</t>
  </si>
  <si>
    <t>AEE</t>
  </si>
  <si>
    <t>Multi-Utilities</t>
  </si>
  <si>
    <t>American Electric Power Co.</t>
  </si>
  <si>
    <t>AEP</t>
  </si>
  <si>
    <t>American Express Co.</t>
  </si>
  <si>
    <t>AXP</t>
  </si>
  <si>
    <t>Payment Processors</t>
  </si>
  <si>
    <t>American International Group</t>
  </si>
  <si>
    <t>AIG</t>
  </si>
  <si>
    <t>Property and Casualty</t>
  </si>
  <si>
    <t>American Tower Corp.</t>
  </si>
  <si>
    <t>AMT</t>
  </si>
  <si>
    <t>Telecom Tower REIT</t>
  </si>
  <si>
    <t>American Water Works Co.</t>
  </si>
  <si>
    <t>AWK</t>
  </si>
  <si>
    <t>Water Utilities</t>
  </si>
  <si>
    <t>Ameriprise Financial Inc.</t>
  </si>
  <si>
    <t>AMP</t>
  </si>
  <si>
    <t>Asset Management</t>
  </si>
  <si>
    <t>AMETEK Inc.</t>
  </si>
  <si>
    <t>AME</t>
  </si>
  <si>
    <t>Electrical Components and Equipment: Light</t>
  </si>
  <si>
    <t>Amgen Inc.</t>
  </si>
  <si>
    <t>AMGN</t>
  </si>
  <si>
    <t>Amphenol Corp.</t>
  </si>
  <si>
    <t>APH</t>
  </si>
  <si>
    <t>Electronic Components</t>
  </si>
  <si>
    <t>Analog Devices Inc.</t>
  </si>
  <si>
    <t>ADI</t>
  </si>
  <si>
    <t>Aon plc</t>
  </si>
  <si>
    <t>AON</t>
  </si>
  <si>
    <t>Insurance Broker</t>
  </si>
  <si>
    <t>APA Corp.</t>
  </si>
  <si>
    <t>APA</t>
  </si>
  <si>
    <t>Oil and Gas Exploration and Production</t>
  </si>
  <si>
    <t>Apollo Global Management Inc.</t>
  </si>
  <si>
    <t>APO</t>
  </si>
  <si>
    <t>Apple Inc.</t>
  </si>
  <si>
    <t>AAPL</t>
  </si>
  <si>
    <t>Technology Hardware, Storage and Peripherals</t>
  </si>
  <si>
    <t>Applied Materials Inc.</t>
  </si>
  <si>
    <t>AMAT</t>
  </si>
  <si>
    <t>Semiconductor Materials and Equipment</t>
  </si>
  <si>
    <t>AppLovin Corp.</t>
  </si>
  <si>
    <t>APP</t>
  </si>
  <si>
    <t>Aptiv PLC</t>
  </si>
  <si>
    <t>APTV</t>
  </si>
  <si>
    <t>Automotive Parts and Equipment</t>
  </si>
  <si>
    <t>Arch Capital Group Ltd.</t>
  </si>
  <si>
    <t>ACGL</t>
  </si>
  <si>
    <t>Archer-Daniels-Midland Co.</t>
  </si>
  <si>
    <t>ADM</t>
  </si>
  <si>
    <t>Agricultural Products and Services</t>
  </si>
  <si>
    <t>Ares Management Corporation</t>
  </si>
  <si>
    <t>ARES</t>
  </si>
  <si>
    <t>Arista Networks Inc.</t>
  </si>
  <si>
    <t>ANET</t>
  </si>
  <si>
    <t>Communications Equipment</t>
  </si>
  <si>
    <t>Arthur J. Gallagher &amp; Co.</t>
  </si>
  <si>
    <t>AJG</t>
  </si>
  <si>
    <t>Assurant Inc.</t>
  </si>
  <si>
    <t>AIZ</t>
  </si>
  <si>
    <t>AT&amp;T Inc.</t>
  </si>
  <si>
    <t>T</t>
  </si>
  <si>
    <t>Integrated Telecommunication Services</t>
  </si>
  <si>
    <t>Atmos Energy Corp.</t>
  </si>
  <si>
    <t>ATO</t>
  </si>
  <si>
    <t>Gas Utilities</t>
  </si>
  <si>
    <t>Autodesk Inc.</t>
  </si>
  <si>
    <t>ADSK</t>
  </si>
  <si>
    <t>Automatic Data Processing Inc.</t>
  </si>
  <si>
    <t>ADP</t>
  </si>
  <si>
    <t>Human Resource and Employment Services</t>
  </si>
  <si>
    <t>AutoZone Inc.</t>
  </si>
  <si>
    <t>AZO</t>
  </si>
  <si>
    <t>Automotive Retail</t>
  </si>
  <si>
    <t>AvalonBay Communities Inc.</t>
  </si>
  <si>
    <t>AVB</t>
  </si>
  <si>
    <t>Multi-Family Residential REIT</t>
  </si>
  <si>
    <t>Avery Dennison Corp.</t>
  </si>
  <si>
    <t>AVY</t>
  </si>
  <si>
    <t>Axon Enterprise Inc.</t>
  </si>
  <si>
    <t>AXON</t>
  </si>
  <si>
    <t>Aerospace and Defense</t>
  </si>
  <si>
    <t>Baker Hughes Co.</t>
  </si>
  <si>
    <t>BKR</t>
  </si>
  <si>
    <t>Oil and Gas Equipment and Services</t>
  </si>
  <si>
    <t>Ball Corp.</t>
  </si>
  <si>
    <t>BALL</t>
  </si>
  <si>
    <t>Containers and Packaging: Metal, Glass, and Plastic</t>
  </si>
  <si>
    <t>Bank of America Corporation</t>
  </si>
  <si>
    <t>BAC</t>
  </si>
  <si>
    <t>Bank</t>
  </si>
  <si>
    <t>Baxter International Inc.</t>
  </si>
  <si>
    <t>BAX</t>
  </si>
  <si>
    <t>Becton Dickinson &amp; Co.</t>
  </si>
  <si>
    <t>BDX</t>
  </si>
  <si>
    <t>Berkshire Hathaway Inc.</t>
  </si>
  <si>
    <t>BRK.A</t>
  </si>
  <si>
    <t>Holding Companies, Patent Owners, and Trusts or Estates</t>
  </si>
  <si>
    <t>Best Buy Co.</t>
  </si>
  <si>
    <t>BBY</t>
  </si>
  <si>
    <t>Computer and Electronics Retail</t>
  </si>
  <si>
    <t>Bio-Techne Corp.</t>
  </si>
  <si>
    <t>TECH</t>
  </si>
  <si>
    <t>Biogen Inc.</t>
  </si>
  <si>
    <t>BIIB</t>
  </si>
  <si>
    <t>BlackRock Inc.</t>
  </si>
  <si>
    <t>BLK</t>
  </si>
  <si>
    <t>Blackstone Inc.</t>
  </si>
  <si>
    <t>BX</t>
  </si>
  <si>
    <t>Block Inc.</t>
  </si>
  <si>
    <t>XYZ</t>
  </si>
  <si>
    <t>Booking Holdings</t>
  </si>
  <si>
    <t>BKNG</t>
  </si>
  <si>
    <t>Boston Scientific Corp.</t>
  </si>
  <si>
    <t>BSX</t>
  </si>
  <si>
    <t>Bristol-Myers Squibb Co.</t>
  </si>
  <si>
    <t>BMY</t>
  </si>
  <si>
    <t>Pharmaceuticals</t>
  </si>
  <si>
    <t>Broadcom Inc.</t>
  </si>
  <si>
    <t>AVGO</t>
  </si>
  <si>
    <t>Broadridge Finl Solutions Inc.</t>
  </si>
  <si>
    <t>BR</t>
  </si>
  <si>
    <t>Investment and Capital Markets Technology</t>
  </si>
  <si>
    <t>Brown &amp; Brown Inc.</t>
  </si>
  <si>
    <t>BRO</t>
  </si>
  <si>
    <t>Brown-Forman Corp.</t>
  </si>
  <si>
    <t>BF.B</t>
  </si>
  <si>
    <t>Distillers and Vintners</t>
  </si>
  <si>
    <t>Builders FirstSource Inc.</t>
  </si>
  <si>
    <t>BLDR</t>
  </si>
  <si>
    <t>Bunge Global SA</t>
  </si>
  <si>
    <t>BG</t>
  </si>
  <si>
    <t>BXP Inc.</t>
  </si>
  <si>
    <t>BXP</t>
  </si>
  <si>
    <t>Office REIT</t>
  </si>
  <si>
    <t>C.H. Robinson Worldwide Inc.</t>
  </si>
  <si>
    <t>CHRW</t>
  </si>
  <si>
    <t>Air Freight and Logistics</t>
  </si>
  <si>
    <t>Cadence Design Systems Inc.</t>
  </si>
  <si>
    <t>CDNS</t>
  </si>
  <si>
    <t>Camden Property Trust</t>
  </si>
  <si>
    <t>CPT</t>
  </si>
  <si>
    <t>Capital One Financial Corp.</t>
  </si>
  <si>
    <t>COF</t>
  </si>
  <si>
    <t>Specialty Finance: Consumer Focused</t>
  </si>
  <si>
    <t>Cardinal Health Inc.</t>
  </si>
  <si>
    <t>CAH</t>
  </si>
  <si>
    <t>Health Care Distributors</t>
  </si>
  <si>
    <t>Carnival Corp. &amp; plc</t>
  </si>
  <si>
    <t>CCL</t>
  </si>
  <si>
    <t>Carrier Global Corp.</t>
  </si>
  <si>
    <t>CARR</t>
  </si>
  <si>
    <t>Carvana Co.</t>
  </si>
  <si>
    <t>CVNA</t>
  </si>
  <si>
    <t>Caterpillar Inc.</t>
  </si>
  <si>
    <t>CAT</t>
  </si>
  <si>
    <t>Machinery and Equipment: Construction and Heavy Transportation</t>
  </si>
  <si>
    <t>Cboe Global Markets Inc.</t>
  </si>
  <si>
    <t>CBOE</t>
  </si>
  <si>
    <t>Financial Exchanges</t>
  </si>
  <si>
    <t>CBRE Group Inc.</t>
  </si>
  <si>
    <t>CBRE</t>
  </si>
  <si>
    <t>Real Estate Services</t>
  </si>
  <si>
    <t>CDW Corp.</t>
  </si>
  <si>
    <t>CDW</t>
  </si>
  <si>
    <t>Technology Distributors</t>
  </si>
  <si>
    <t>Cencora Inc.</t>
  </si>
  <si>
    <t>COR</t>
  </si>
  <si>
    <t>Centene Corp.</t>
  </si>
  <si>
    <t>CNC</t>
  </si>
  <si>
    <t>Managed Care</t>
  </si>
  <si>
    <t>CenterPoint Energy Inc.</t>
  </si>
  <si>
    <t>CNP</t>
  </si>
  <si>
    <t>CF Industries Holdings Inc.</t>
  </si>
  <si>
    <t>CF</t>
  </si>
  <si>
    <t>Fertilizers and Agricultural Chemicals</t>
  </si>
  <si>
    <t>Charles River Laboratories Int</t>
  </si>
  <si>
    <t>CRL</t>
  </si>
  <si>
    <t>Charter Communications Inc.</t>
  </si>
  <si>
    <t>CHTR</t>
  </si>
  <si>
    <t>Cable and Satellite</t>
  </si>
  <si>
    <t>Chevron Corp.</t>
  </si>
  <si>
    <t>CVX</t>
  </si>
  <si>
    <t>Integrated Oil and Gas</t>
  </si>
  <si>
    <t>Chipotle Mexican Grill Inc.</t>
  </si>
  <si>
    <t>CMG</t>
  </si>
  <si>
    <t>Restaurants</t>
  </si>
  <si>
    <t>Chubb Ltd.</t>
  </si>
  <si>
    <t>CB</t>
  </si>
  <si>
    <t>Church &amp; Dwight Co.</t>
  </si>
  <si>
    <t>CHD</t>
  </si>
  <si>
    <t>Household Products Producers</t>
  </si>
  <si>
    <t>Ciena Corp.</t>
  </si>
  <si>
    <t>CIEN</t>
  </si>
  <si>
    <t>Cincinnati Financial Corp.</t>
  </si>
  <si>
    <t>CINF</t>
  </si>
  <si>
    <t>Cintas Corp.</t>
  </si>
  <si>
    <t>CTAS</t>
  </si>
  <si>
    <t>Diversified Support Services</t>
  </si>
  <si>
    <t>Cisco Systems Inc.</t>
  </si>
  <si>
    <t>CSCO</t>
  </si>
  <si>
    <t>Citigroup Inc.</t>
  </si>
  <si>
    <t>C</t>
  </si>
  <si>
    <t>Citizens Financial Group Inc.</t>
  </si>
  <si>
    <t>CFG</t>
  </si>
  <si>
    <t>CME Group Inc.</t>
  </si>
  <si>
    <t>CME</t>
  </si>
  <si>
    <t>CMS Energy Corp.</t>
  </si>
  <si>
    <t>CMS</t>
  </si>
  <si>
    <t>Cognizant Technology Solutions</t>
  </si>
  <si>
    <t>CTSH</t>
  </si>
  <si>
    <t>Coherent Corp.</t>
  </si>
  <si>
    <t>COHR</t>
  </si>
  <si>
    <t>Coinbase Global Inc.</t>
  </si>
  <si>
    <t>COIN</t>
  </si>
  <si>
    <t>Financial Media and Data Solutions</t>
  </si>
  <si>
    <t>Colgate-Palmolive Co.</t>
  </si>
  <si>
    <t>CL</t>
  </si>
  <si>
    <t>Comcast Corp.</t>
  </si>
  <si>
    <t>CMCSA</t>
  </si>
  <si>
    <t>Comfort Systems USA Inc.</t>
  </si>
  <si>
    <t>FIX</t>
  </si>
  <si>
    <t>Construction and Engineering</t>
  </si>
  <si>
    <t>Conagra Brands Inc.</t>
  </si>
  <si>
    <t>CAG</t>
  </si>
  <si>
    <t>Packaged Foods and Meats Producers</t>
  </si>
  <si>
    <t>ConocoPhillips</t>
  </si>
  <si>
    <t>COP</t>
  </si>
  <si>
    <t>Consolidated Edison Inc.</t>
  </si>
  <si>
    <t>ED</t>
  </si>
  <si>
    <t>Constellation Brands Inc.</t>
  </si>
  <si>
    <t>STZ</t>
  </si>
  <si>
    <t>Constellation Energy Corp.</t>
  </si>
  <si>
    <t>CEG</t>
  </si>
  <si>
    <t>Copart Inc.</t>
  </si>
  <si>
    <t>CPRT</t>
  </si>
  <si>
    <t>Corning Inc.</t>
  </si>
  <si>
    <t>GLW</t>
  </si>
  <si>
    <t>Corpay Inc.</t>
  </si>
  <si>
    <t>CPAY</t>
  </si>
  <si>
    <t>Corteva Inc.</t>
  </si>
  <si>
    <t>CTVA</t>
  </si>
  <si>
    <t>CoStar Group Inc.</t>
  </si>
  <si>
    <t>CSGP</t>
  </si>
  <si>
    <t>Costco Wholesale Corp.</t>
  </si>
  <si>
    <t>COST</t>
  </si>
  <si>
    <t>Consumer Staples Merchandise Retail</t>
  </si>
  <si>
    <t>Coterra Energy Inc.</t>
  </si>
  <si>
    <t>CTRA</t>
  </si>
  <si>
    <t>CRH plc</t>
  </si>
  <si>
    <t>CRH</t>
  </si>
  <si>
    <t>Construction Materials</t>
  </si>
  <si>
    <t>CrowdStrike Holdings Inc.</t>
  </si>
  <si>
    <t>CRWD</t>
  </si>
  <si>
    <t>Systems Software</t>
  </si>
  <si>
    <t>Crown Castle Inc.</t>
  </si>
  <si>
    <t>CCI</t>
  </si>
  <si>
    <t>CSX Corp.</t>
  </si>
  <si>
    <t>CSX</t>
  </si>
  <si>
    <t>Rail Transportation</t>
  </si>
  <si>
    <t>Cummins Inc.</t>
  </si>
  <si>
    <t>CMI</t>
  </si>
  <si>
    <t>CVS Health Corp.</t>
  </si>
  <si>
    <t>CVS</t>
  </si>
  <si>
    <t>Health Care Services</t>
  </si>
  <si>
    <t>D.R. Horton, Inc.</t>
  </si>
  <si>
    <t>DHI</t>
  </si>
  <si>
    <t>Homebuilding Producers</t>
  </si>
  <si>
    <t>Danaher Corp.</t>
  </si>
  <si>
    <t>DHR</t>
  </si>
  <si>
    <t>Darden Restaurants Inc.</t>
  </si>
  <si>
    <t>DRI</t>
  </si>
  <si>
    <t>Datadog Inc.</t>
  </si>
  <si>
    <t>DDOG</t>
  </si>
  <si>
    <t>DaVita Inc.</t>
  </si>
  <si>
    <t>DVA</t>
  </si>
  <si>
    <t>Deckers Outdoor Corp.</t>
  </si>
  <si>
    <t>DECK</t>
  </si>
  <si>
    <t>Footwear Producers</t>
  </si>
  <si>
    <t>Deere &amp; Co.</t>
  </si>
  <si>
    <t>DE</t>
  </si>
  <si>
    <t>Machinery: Agricultural and Farm</t>
  </si>
  <si>
    <t>Dell Technologies Inc.</t>
  </si>
  <si>
    <t>DELL</t>
  </si>
  <si>
    <t>Delta Air Lines Inc.</t>
  </si>
  <si>
    <t>DAL</t>
  </si>
  <si>
    <t>Passenger Airlines</t>
  </si>
  <si>
    <t>Devon Energy Corp.</t>
  </si>
  <si>
    <t>DVN</t>
  </si>
  <si>
    <t>DexCom Inc.</t>
  </si>
  <si>
    <t>DXCM</t>
  </si>
  <si>
    <t>Diamondback Energy Inc.</t>
  </si>
  <si>
    <t>FANG</t>
  </si>
  <si>
    <t>Digital Realty Trust Inc.</t>
  </si>
  <si>
    <t>DLR</t>
  </si>
  <si>
    <t>Data Center REIT</t>
  </si>
  <si>
    <t>Dollar General Corp.</t>
  </si>
  <si>
    <t>DG</t>
  </si>
  <si>
    <t>Dollar Tree Inc.</t>
  </si>
  <si>
    <t>DLTR</t>
  </si>
  <si>
    <t>Dominion Energy</t>
  </si>
  <si>
    <t>D</t>
  </si>
  <si>
    <t>Domino's Pizza Inc.</t>
  </si>
  <si>
    <t>DPZ</t>
  </si>
  <si>
    <t>DoorDash Inc.</t>
  </si>
  <si>
    <t>DASH</t>
  </si>
  <si>
    <t>Dover Corp.</t>
  </si>
  <si>
    <t>DOV</t>
  </si>
  <si>
    <t>Machinery and Supplies and Components: Industrial</t>
  </si>
  <si>
    <t>Dow Inc.</t>
  </si>
  <si>
    <t>DOW</t>
  </si>
  <si>
    <t>Commodity Chemicals</t>
  </si>
  <si>
    <t>DTE Energy Co.</t>
  </si>
  <si>
    <t>DTE</t>
  </si>
  <si>
    <t>Duke Energy Corp</t>
  </si>
  <si>
    <t>DUK</t>
  </si>
  <si>
    <t>DuPont de Nemours Inc.</t>
  </si>
  <si>
    <t>DD</t>
  </si>
  <si>
    <t>Eaton Corp. plc</t>
  </si>
  <si>
    <t>ETN</t>
  </si>
  <si>
    <t>eBay Inc.</t>
  </si>
  <si>
    <t>EBAY</t>
  </si>
  <si>
    <t>EchoStar Corp.</t>
  </si>
  <si>
    <t>SATS</t>
  </si>
  <si>
    <t>Ecolab Inc.</t>
  </si>
  <si>
    <t>ECL</t>
  </si>
  <si>
    <t>Edison International</t>
  </si>
  <si>
    <t>EIX</t>
  </si>
  <si>
    <t>Edwards Lifesciences Corp.</t>
  </si>
  <si>
    <t>EW</t>
  </si>
  <si>
    <t>Electronic Arts Inc.</t>
  </si>
  <si>
    <t>EA</t>
  </si>
  <si>
    <t>Interactive Home Entertainment</t>
  </si>
  <si>
    <t>Elevance Health Inc.</t>
  </si>
  <si>
    <t>ELV</t>
  </si>
  <si>
    <t>Eli Lilly &amp; Co.</t>
  </si>
  <si>
    <t>LLY</t>
  </si>
  <si>
    <t>EMCOR Group</t>
  </si>
  <si>
    <t>EME</t>
  </si>
  <si>
    <t>Emerson Electric Co.</t>
  </si>
  <si>
    <t>EMR</t>
  </si>
  <si>
    <t>Entergy Corp.</t>
  </si>
  <si>
    <t>ETR</t>
  </si>
  <si>
    <t>EOG Resources Inc.</t>
  </si>
  <si>
    <t>EOG</t>
  </si>
  <si>
    <t>EPAM Systems Inc.</t>
  </si>
  <si>
    <t>EPAM</t>
  </si>
  <si>
    <t>EQT Corp.</t>
  </si>
  <si>
    <t>EQT</t>
  </si>
  <si>
    <t>Equifax Inc.</t>
  </si>
  <si>
    <t>EFX</t>
  </si>
  <si>
    <t>Research and Consulting Services</t>
  </si>
  <si>
    <t>Equinix Inc.</t>
  </si>
  <si>
    <t>EQIX</t>
  </si>
  <si>
    <t>Equity Residential</t>
  </si>
  <si>
    <t>EQR</t>
  </si>
  <si>
    <t>Erie Indemnity Co.</t>
  </si>
  <si>
    <t>ERIE</t>
  </si>
  <si>
    <t>Essex Property Trust Inc.</t>
  </si>
  <si>
    <t>ESS</t>
  </si>
  <si>
    <t>Everest Group</t>
  </si>
  <si>
    <t>EG</t>
  </si>
  <si>
    <t>Reinsurance</t>
  </si>
  <si>
    <t>Evergy, Inc.</t>
  </si>
  <si>
    <t>EVRG</t>
  </si>
  <si>
    <t>Eversource Energy</t>
  </si>
  <si>
    <t>ES</t>
  </si>
  <si>
    <t>Exelon Corp.</t>
  </si>
  <si>
    <t>EXC</t>
  </si>
  <si>
    <t>Expand Energy Corp.</t>
  </si>
  <si>
    <t>EXE</t>
  </si>
  <si>
    <t>Expedia Group, Inc.</t>
  </si>
  <si>
    <t>EXPE</t>
  </si>
  <si>
    <t>Expeditors Intl WA Inc</t>
  </si>
  <si>
    <t>EXPD</t>
  </si>
  <si>
    <t>Extra Space Storage Inc.</t>
  </si>
  <si>
    <t>EXR</t>
  </si>
  <si>
    <t>Self-Storage REIT</t>
  </si>
  <si>
    <t>Exxon Mobil Corp.</t>
  </si>
  <si>
    <t>XOM</t>
  </si>
  <si>
    <t>F5 Inc.</t>
  </si>
  <si>
    <t>FFIV</t>
  </si>
  <si>
    <t>FactSet Research Systems Inc.</t>
  </si>
  <si>
    <t>FDS</t>
  </si>
  <si>
    <t>Fair Isaac Corp.</t>
  </si>
  <si>
    <t>FICO</t>
  </si>
  <si>
    <t>Fastenal Co.</t>
  </si>
  <si>
    <t>FAST</t>
  </si>
  <si>
    <t>Trading Companies and Distributors</t>
  </si>
  <si>
    <t>Federal Realty Investment</t>
  </si>
  <si>
    <t>FRT</t>
  </si>
  <si>
    <t>Retail REIT</t>
  </si>
  <si>
    <t>FedEx Corp.</t>
  </si>
  <si>
    <t>FDX</t>
  </si>
  <si>
    <t>Fidelity National Information</t>
  </si>
  <si>
    <t>FIS</t>
  </si>
  <si>
    <t>Fifth Third Bancorp</t>
  </si>
  <si>
    <t>FITB</t>
  </si>
  <si>
    <t>First Solar Inc.</t>
  </si>
  <si>
    <t>FSLR</t>
  </si>
  <si>
    <t>FirstEnergy Corp.</t>
  </si>
  <si>
    <t>FE</t>
  </si>
  <si>
    <t>Fiserv Inc.</t>
  </si>
  <si>
    <t>FISV</t>
  </si>
  <si>
    <t>Banking Technology</t>
  </si>
  <si>
    <t>Ford Motor Co.</t>
  </si>
  <si>
    <t>F</t>
  </si>
  <si>
    <t>Automobile Manufacturers</t>
  </si>
  <si>
    <t>Fortinet Inc.</t>
  </si>
  <si>
    <t>FTNT</t>
  </si>
  <si>
    <t>Fortive Corp.</t>
  </si>
  <si>
    <t>FTV</t>
  </si>
  <si>
    <t>Fox Corp.</t>
  </si>
  <si>
    <t>FOXA</t>
  </si>
  <si>
    <t>Broadcasting</t>
  </si>
  <si>
    <t>Franklin Resources Inc.</t>
  </si>
  <si>
    <t>BEN</t>
  </si>
  <si>
    <t>Freeport-McMoRan Inc.</t>
  </si>
  <si>
    <t>FCX</t>
  </si>
  <si>
    <t>Copper</t>
  </si>
  <si>
    <t>Garmin Ltd.</t>
  </si>
  <si>
    <t>GRMN</t>
  </si>
  <si>
    <t>Consumer Electronics Producers</t>
  </si>
  <si>
    <t>Gartner Inc.</t>
  </si>
  <si>
    <t>IT</t>
  </si>
  <si>
    <t>GE Hlthcr Technologies Inc</t>
  </si>
  <si>
    <t>GEHC</t>
  </si>
  <si>
    <t>Gen Digital Inc.</t>
  </si>
  <si>
    <t>GEN</t>
  </si>
  <si>
    <t>Generac Holdings Inc.</t>
  </si>
  <si>
    <t>GNRC</t>
  </si>
  <si>
    <t>General Dynamics Corp.</t>
  </si>
  <si>
    <t>GD</t>
  </si>
  <si>
    <t>General Electric Co.</t>
  </si>
  <si>
    <t>GE</t>
  </si>
  <si>
    <t>General Mills Inc.</t>
  </si>
  <si>
    <t>GIS</t>
  </si>
  <si>
    <t>General Motors Co.</t>
  </si>
  <si>
    <t>GM</t>
  </si>
  <si>
    <t>Genuine Parts Co.</t>
  </si>
  <si>
    <t>GPC</t>
  </si>
  <si>
    <t>Other Distributors</t>
  </si>
  <si>
    <t>Gilead Sciences Inc.</t>
  </si>
  <si>
    <t>GILD</t>
  </si>
  <si>
    <t>Global Payments Inc.</t>
  </si>
  <si>
    <t>GPN</t>
  </si>
  <si>
    <t>Globe Life Inc.</t>
  </si>
  <si>
    <t>GL</t>
  </si>
  <si>
    <t>GoDaddy Inc.</t>
  </si>
  <si>
    <t>GDDY</t>
  </si>
  <si>
    <t>Halliburton Co.</t>
  </si>
  <si>
    <t>HAL</t>
  </si>
  <si>
    <t>Hasbro Inc.</t>
  </si>
  <si>
    <t>HAS</t>
  </si>
  <si>
    <t>Leisure Products Producers</t>
  </si>
  <si>
    <t>HCA Healthcare Inc.</t>
  </si>
  <si>
    <t>HCA</t>
  </si>
  <si>
    <t>Health Care Facilities</t>
  </si>
  <si>
    <t>Healthpeak Properties</t>
  </si>
  <si>
    <t>DOC</t>
  </si>
  <si>
    <t>Henry Schein Inc.</t>
  </si>
  <si>
    <t>HSIC</t>
  </si>
  <si>
    <t>Hewlett Packard Entpr Co.</t>
  </si>
  <si>
    <t>HPE</t>
  </si>
  <si>
    <t>Hilton Worldwide Holdings Inc</t>
  </si>
  <si>
    <t>HLT</t>
  </si>
  <si>
    <t>Honeywell International Inc.</t>
  </si>
  <si>
    <t>HON</t>
  </si>
  <si>
    <t>Hormel Foods Corp.</t>
  </si>
  <si>
    <t>HRL</t>
  </si>
  <si>
    <t>Host Hotels &amp; Resorts</t>
  </si>
  <si>
    <t>HST</t>
  </si>
  <si>
    <t>Hotel and Resort REIT</t>
  </si>
  <si>
    <t>Howmet Aerospace Inc.</t>
  </si>
  <si>
    <t>HWM</t>
  </si>
  <si>
    <t>HP Inc.</t>
  </si>
  <si>
    <t>HPQ</t>
  </si>
  <si>
    <t>Hubbell Inc.</t>
  </si>
  <si>
    <t>HUBB</t>
  </si>
  <si>
    <t>Humana Inc.</t>
  </si>
  <si>
    <t>HUM</t>
  </si>
  <si>
    <t>Huntington Bancshares Inc.</t>
  </si>
  <si>
    <t>HBAN</t>
  </si>
  <si>
    <t>Huntington Ingalls Indstrs Inc</t>
  </si>
  <si>
    <t>HII</t>
  </si>
  <si>
    <t>IDEX Corp.</t>
  </si>
  <si>
    <t>IEX</t>
  </si>
  <si>
    <t>IDEXX Laboratories Inc.</t>
  </si>
  <si>
    <t>IDXX</t>
  </si>
  <si>
    <t>Illinois Tool Works Inc.</t>
  </si>
  <si>
    <t>ITW</t>
  </si>
  <si>
    <t>Incyte Corp.</t>
  </si>
  <si>
    <t>INCY</t>
  </si>
  <si>
    <t>Ingersoll Rand Inc.</t>
  </si>
  <si>
    <t>IR</t>
  </si>
  <si>
    <t>Insulet Corp.</t>
  </si>
  <si>
    <t>PODD</t>
  </si>
  <si>
    <t>Intel Corp.</t>
  </si>
  <si>
    <t>INTC</t>
  </si>
  <si>
    <t>Interactive Brokers Group Inc.</t>
  </si>
  <si>
    <t>IBKR</t>
  </si>
  <si>
    <t>Investment Banks, Brokers and Capital Markets</t>
  </si>
  <si>
    <t>Intercontinental Exchange Inc.</t>
  </si>
  <si>
    <t>ICE</t>
  </si>
  <si>
    <t>Intl Bus Machines Corp</t>
  </si>
  <si>
    <t>IBM</t>
  </si>
  <si>
    <t>Intl Flavors &amp; Fragrances Inc</t>
  </si>
  <si>
    <t>IFF</t>
  </si>
  <si>
    <t>International Paper Company</t>
  </si>
  <si>
    <t>IP</t>
  </si>
  <si>
    <t>Intuit Inc.</t>
  </si>
  <si>
    <t>INTU</t>
  </si>
  <si>
    <t>Intuitive Surgical Inc.</t>
  </si>
  <si>
    <t>ISRG</t>
  </si>
  <si>
    <t>Invesco Ltd.</t>
  </si>
  <si>
    <t>IVZ</t>
  </si>
  <si>
    <t>Invitation Homes Inc.</t>
  </si>
  <si>
    <t>INVH</t>
  </si>
  <si>
    <t>Single-Family Residential REIT</t>
  </si>
  <si>
    <t>IQVIA Holdings Inc.</t>
  </si>
  <si>
    <t>IQV</t>
  </si>
  <si>
    <t>Iron Mountain Inc.</t>
  </si>
  <si>
    <t>IRM</t>
  </si>
  <si>
    <t>Other Specialized REIT</t>
  </si>
  <si>
    <t>J.B. Hunt Transport Svcs Inc</t>
  </si>
  <si>
    <t>JBHT</t>
  </si>
  <si>
    <t>Cargo Ground Transportation</t>
  </si>
  <si>
    <t>Jabil Inc.</t>
  </si>
  <si>
    <t>JBL</t>
  </si>
  <si>
    <t>Electronic Manufacturing Services</t>
  </si>
  <si>
    <t>Jack Henry &amp; Assoc. Inc.</t>
  </si>
  <si>
    <t>JKHY</t>
  </si>
  <si>
    <t>Jacobs Solutions Inc.</t>
  </si>
  <si>
    <t>J</t>
  </si>
  <si>
    <t>Johnson &amp; Johnson</t>
  </si>
  <si>
    <t>JNJ</t>
  </si>
  <si>
    <t>Johnson Controls Intl plc</t>
  </si>
  <si>
    <t>JCI</t>
  </si>
  <si>
    <t>JPMorgan Chase &amp; Co.</t>
  </si>
  <si>
    <t>JPM</t>
  </si>
  <si>
    <t>Keurig Dr Pepper Inc.</t>
  </si>
  <si>
    <t>KDP</t>
  </si>
  <si>
    <t>Soft Drinks and Non-alcoholic Beverages</t>
  </si>
  <si>
    <t>KeyCorp</t>
  </si>
  <si>
    <t>KEY</t>
  </si>
  <si>
    <t>Keysight Technologies Inc.</t>
  </si>
  <si>
    <t>KEYS</t>
  </si>
  <si>
    <t>Electronic Equipment and Instruments</t>
  </si>
  <si>
    <t>Kimberly-Clark Corp.</t>
  </si>
  <si>
    <t>KMB</t>
  </si>
  <si>
    <t>Kimco Realty Corp.</t>
  </si>
  <si>
    <t>KIM</t>
  </si>
  <si>
    <t>Kinder Morgan Inc.</t>
  </si>
  <si>
    <t>KMI</t>
  </si>
  <si>
    <t>Oil and Gas Storage and Transportation</t>
  </si>
  <si>
    <t>KKR &amp; Co.</t>
  </si>
  <si>
    <t>KKR</t>
  </si>
  <si>
    <t>KLA Corp.</t>
  </si>
  <si>
    <t>KLAC</t>
  </si>
  <si>
    <t>L3Harris Technologies Inc.</t>
  </si>
  <si>
    <t>LHX</t>
  </si>
  <si>
    <t>Labcorp Holdings Inc.</t>
  </si>
  <si>
    <t>LH</t>
  </si>
  <si>
    <t>Lam Research Corp.</t>
  </si>
  <si>
    <t>LRCX</t>
  </si>
  <si>
    <t>Las Vegas Sands Corp.</t>
  </si>
  <si>
    <t>LVS</t>
  </si>
  <si>
    <t>Casinos and Gaming</t>
  </si>
  <si>
    <t>Leidos Holdings Inc.</t>
  </si>
  <si>
    <t>LDOS</t>
  </si>
  <si>
    <t>Lennar Corp.</t>
  </si>
  <si>
    <t>LEN</t>
  </si>
  <si>
    <t>Lennox International Inc.</t>
  </si>
  <si>
    <t>LII</t>
  </si>
  <si>
    <t>Linde plc</t>
  </si>
  <si>
    <t>LIN</t>
  </si>
  <si>
    <t>Live Nation Entertainment Inc.</t>
  </si>
  <si>
    <t>LYV</t>
  </si>
  <si>
    <t>Movies and Entertainment</t>
  </si>
  <si>
    <t>Lockheed Martin Corp.</t>
  </si>
  <si>
    <t>LMT</t>
  </si>
  <si>
    <t>Loews Corp.</t>
  </si>
  <si>
    <t>L</t>
  </si>
  <si>
    <t>Lowe's Companies Inc.</t>
  </si>
  <si>
    <t>LOW</t>
  </si>
  <si>
    <t>Home Improvement Retail</t>
  </si>
  <si>
    <t>lululemon athletica inc.</t>
  </si>
  <si>
    <t>LULU</t>
  </si>
  <si>
    <t>Apparel, Accessories and Luxury Goods</t>
  </si>
  <si>
    <t>Lumentum Holdings Inc.</t>
  </si>
  <si>
    <t>LITE</t>
  </si>
  <si>
    <t>LyondellBasell Industries N.V.</t>
  </si>
  <si>
    <t>LYB</t>
  </si>
  <si>
    <t>M&amp;T Bank Corp.</t>
  </si>
  <si>
    <t>MTB</t>
  </si>
  <si>
    <t>Marathon Petroleum Corp.</t>
  </si>
  <si>
    <t>MPC</t>
  </si>
  <si>
    <t>Oil and Gas Refining and Marketing</t>
  </si>
  <si>
    <t>Marriott International Inc.</t>
  </si>
  <si>
    <t>MAR</t>
  </si>
  <si>
    <t>Marsh &amp; McLennan Cos Inc</t>
  </si>
  <si>
    <t>MRSH</t>
  </si>
  <si>
    <t>Martin Marietta Materials Inc.</t>
  </si>
  <si>
    <t>MLM</t>
  </si>
  <si>
    <t>Masco Corp.</t>
  </si>
  <si>
    <t>MAS</t>
  </si>
  <si>
    <t>Mastercard Inc.</t>
  </si>
  <si>
    <t>MA</t>
  </si>
  <si>
    <t>McCormick &amp; Co.</t>
  </si>
  <si>
    <t>MKC</t>
  </si>
  <si>
    <t>McDonald's Corp.</t>
  </si>
  <si>
    <t>MCD</t>
  </si>
  <si>
    <t>McKesson Corp.</t>
  </si>
  <si>
    <t>MCK</t>
  </si>
  <si>
    <t>Medtronic plc</t>
  </si>
  <si>
    <t>MDT</t>
  </si>
  <si>
    <t>Merck &amp; Co.</t>
  </si>
  <si>
    <t>MRK</t>
  </si>
  <si>
    <t>Meta Platforms Inc.</t>
  </si>
  <si>
    <t>META</t>
  </si>
  <si>
    <t>MetLife Inc.</t>
  </si>
  <si>
    <t>MET</t>
  </si>
  <si>
    <t>Mettler-Toledo Intl Inc.</t>
  </si>
  <si>
    <t>MTD</t>
  </si>
  <si>
    <t>MGM Resorts International</t>
  </si>
  <si>
    <t>MGM</t>
  </si>
  <si>
    <t>Microchip Technology Inc.</t>
  </si>
  <si>
    <t>MCHP</t>
  </si>
  <si>
    <t>Micron Technology Inc.</t>
  </si>
  <si>
    <t>MU</t>
  </si>
  <si>
    <t>Microsoft Corp.</t>
  </si>
  <si>
    <t>MSFT</t>
  </si>
  <si>
    <t>MAA</t>
  </si>
  <si>
    <t>Moderna Inc.</t>
  </si>
  <si>
    <t>MRNA</t>
  </si>
  <si>
    <t>Molson Coors Beverage Co.</t>
  </si>
  <si>
    <t>TAP</t>
  </si>
  <si>
    <t>Brewer: Beer and Malt Liquor</t>
  </si>
  <si>
    <t>Mondelez International</t>
  </si>
  <si>
    <t>MDLZ</t>
  </si>
  <si>
    <t>Monolithic Power Systems Inc.</t>
  </si>
  <si>
    <t>MPWR</t>
  </si>
  <si>
    <t>Monster Beverage Corp.</t>
  </si>
  <si>
    <t>MNST</t>
  </si>
  <si>
    <t>Moody's Corp.</t>
  </si>
  <si>
    <t>MCO</t>
  </si>
  <si>
    <t>Morgan Stanley</t>
  </si>
  <si>
    <t>MS</t>
  </si>
  <si>
    <t>Motorola Solutions Inc.</t>
  </si>
  <si>
    <t>MSI</t>
  </si>
  <si>
    <t>MSCI Inc.</t>
  </si>
  <si>
    <t>MSCI</t>
  </si>
  <si>
    <t>Nasdaq Inc.</t>
  </si>
  <si>
    <t>NDAQ</t>
  </si>
  <si>
    <t>NetApp Inc.</t>
  </si>
  <si>
    <t>NTAP</t>
  </si>
  <si>
    <t>Netflix Inc.</t>
  </si>
  <si>
    <t>NFLX</t>
  </si>
  <si>
    <t>Newmont Corp.</t>
  </si>
  <si>
    <t>NEM</t>
  </si>
  <si>
    <t>Gold</t>
  </si>
  <si>
    <t>News Corp.</t>
  </si>
  <si>
    <t>NWSA</t>
  </si>
  <si>
    <t>Publishing</t>
  </si>
  <si>
    <t>NextEra Energy Inc.</t>
  </si>
  <si>
    <t>NEE</t>
  </si>
  <si>
    <t>NIKE Inc.</t>
  </si>
  <si>
    <t>NKE</t>
  </si>
  <si>
    <t>NiSource Inc.</t>
  </si>
  <si>
    <t>NI</t>
  </si>
  <si>
    <t>Nordson Corp.</t>
  </si>
  <si>
    <t>NDSN</t>
  </si>
  <si>
    <t>Norfolk Southern Corporation</t>
  </si>
  <si>
    <t>NSC</t>
  </si>
  <si>
    <t>Northern Trust Corp.</t>
  </si>
  <si>
    <t>NTRS</t>
  </si>
  <si>
    <t>Northrop Grumman Corp.</t>
  </si>
  <si>
    <t>NOC</t>
  </si>
  <si>
    <t>Norwegian Cruise Line Hldgs Lt</t>
  </si>
  <si>
    <t>NCLH</t>
  </si>
  <si>
    <t>NRG Energy Inc.</t>
  </si>
  <si>
    <t>NRG</t>
  </si>
  <si>
    <t>Nucor Corp.</t>
  </si>
  <si>
    <t>NUE</t>
  </si>
  <si>
    <t>Steel</t>
  </si>
  <si>
    <t>NVIDIA Corp.</t>
  </si>
  <si>
    <t>NVDA</t>
  </si>
  <si>
    <t>NVR Inc.</t>
  </si>
  <si>
    <t>NVR</t>
  </si>
  <si>
    <t>NXP Semiconductors N.V.</t>
  </si>
  <si>
    <t>NXPI</t>
  </si>
  <si>
    <t>O'Reilly Automotive Inc.</t>
  </si>
  <si>
    <t>ORLY</t>
  </si>
  <si>
    <t>Occidental Petroleum Corp.</t>
  </si>
  <si>
    <t>OXY</t>
  </si>
  <si>
    <t>Old Dominion Freight Line Inc.</t>
  </si>
  <si>
    <t>ODFL</t>
  </si>
  <si>
    <t>Omnicom Group Inc.</t>
  </si>
  <si>
    <t>OMC</t>
  </si>
  <si>
    <t>Advertising</t>
  </si>
  <si>
    <t>ON Semiconductor Corp.</t>
  </si>
  <si>
    <t>ON</t>
  </si>
  <si>
    <t>ONEOK Inc.</t>
  </si>
  <si>
    <t>OKE</t>
  </si>
  <si>
    <t>Oracle Corporation</t>
  </si>
  <si>
    <t>ORCL</t>
  </si>
  <si>
    <t>Otis Worldwide Corp.</t>
  </si>
  <si>
    <t>OTIS</t>
  </si>
  <si>
    <t>PACCAR Inc</t>
  </si>
  <si>
    <t>PCAR</t>
  </si>
  <si>
    <t>Packaging Corp. America</t>
  </si>
  <si>
    <t>PKG</t>
  </si>
  <si>
    <t>Palantir Technologies Inc.</t>
  </si>
  <si>
    <t>PLTR</t>
  </si>
  <si>
    <t>Palo Alto Networks Inc.</t>
  </si>
  <si>
    <t>PANW</t>
  </si>
  <si>
    <t>Paramount Skydance Corp.</t>
  </si>
  <si>
    <t>PSKY</t>
  </si>
  <si>
    <t>Parker-Hannifin Corp.</t>
  </si>
  <si>
    <t>PH</t>
  </si>
  <si>
    <t>Paychex Inc.</t>
  </si>
  <si>
    <t>PAYX</t>
  </si>
  <si>
    <t>PayPal Holdings Inc.</t>
  </si>
  <si>
    <t>PYPL</t>
  </si>
  <si>
    <t>Pentair plc</t>
  </si>
  <si>
    <t>PNR</t>
  </si>
  <si>
    <t>PepsiCo Inc.</t>
  </si>
  <si>
    <t>PEP</t>
  </si>
  <si>
    <t>Pfizer Inc.</t>
  </si>
  <si>
    <t>PFE</t>
  </si>
  <si>
    <t>PG&amp;E Corp.</t>
  </si>
  <si>
    <t>PCG</t>
  </si>
  <si>
    <t>Philip Morris Intl Inc</t>
  </si>
  <si>
    <t>PM</t>
  </si>
  <si>
    <t>Phillips 66</t>
  </si>
  <si>
    <t>PSX</t>
  </si>
  <si>
    <t>Pinnacle West Capital Corp.</t>
  </si>
  <si>
    <t>PNW</t>
  </si>
  <si>
    <t>Pool Corp.</t>
  </si>
  <si>
    <t>POOL</t>
  </si>
  <si>
    <t>PPG Industries Inc.</t>
  </si>
  <si>
    <t>PPG</t>
  </si>
  <si>
    <t>PPL Corp.</t>
  </si>
  <si>
    <t>PPL</t>
  </si>
  <si>
    <t>Principal Financial Group Inc.</t>
  </si>
  <si>
    <t>PFG</t>
  </si>
  <si>
    <t>Prologis Inc.</t>
  </si>
  <si>
    <t>PLD</t>
  </si>
  <si>
    <t>Industrial REIT</t>
  </si>
  <si>
    <t>Prudential Financial Inc.</t>
  </si>
  <si>
    <t>PRU</t>
  </si>
  <si>
    <t>PTC Inc.</t>
  </si>
  <si>
    <t>PTC</t>
  </si>
  <si>
    <t>Public Svc Entpr Group Inc.</t>
  </si>
  <si>
    <t>PEG</t>
  </si>
  <si>
    <t>Public Storage</t>
  </si>
  <si>
    <t>PSA</t>
  </si>
  <si>
    <t>PulteGroup Inc.</t>
  </si>
  <si>
    <t>PHM</t>
  </si>
  <si>
    <t>QUALCOMM Inc.</t>
  </si>
  <si>
    <t>QCOM</t>
  </si>
  <si>
    <t>Quanta Services Inc.</t>
  </si>
  <si>
    <t>PWR</t>
  </si>
  <si>
    <t>Quest Diagnostics Inc.</t>
  </si>
  <si>
    <t>DGX</t>
  </si>
  <si>
    <t>Ralph Lauren Corp.</t>
  </si>
  <si>
    <t>RL</t>
  </si>
  <si>
    <t>Raymond James Financial Inc.</t>
  </si>
  <si>
    <t>RJF</t>
  </si>
  <si>
    <t>Realty Income Corp.</t>
  </si>
  <si>
    <t>O</t>
  </si>
  <si>
    <t>Regency Centers Corp.</t>
  </si>
  <si>
    <t>REG</t>
  </si>
  <si>
    <t>Regeneron Pharmaceuticals Inc.</t>
  </si>
  <si>
    <t>REGN</t>
  </si>
  <si>
    <t>Regions Financial Corp.</t>
  </si>
  <si>
    <t>RF</t>
  </si>
  <si>
    <t>Repub Services Inc.</t>
  </si>
  <si>
    <t>RSG</t>
  </si>
  <si>
    <t>Environmental and Facilities Services</t>
  </si>
  <si>
    <t>ResMed Inc.</t>
  </si>
  <si>
    <t>RMD</t>
  </si>
  <si>
    <t>Revvity Inc.</t>
  </si>
  <si>
    <t>RVTY</t>
  </si>
  <si>
    <t>Robinhood Markets Inc.</t>
  </si>
  <si>
    <t>HOOD</t>
  </si>
  <si>
    <t>Rockwell Automation Inc.</t>
  </si>
  <si>
    <t>ROK</t>
  </si>
  <si>
    <t>Rollins Inc.</t>
  </si>
  <si>
    <t>ROL</t>
  </si>
  <si>
    <t>Roper Technologies Inc.</t>
  </si>
  <si>
    <t>ROP</t>
  </si>
  <si>
    <t>Ross Stores Inc.</t>
  </si>
  <si>
    <t>ROST</t>
  </si>
  <si>
    <t>Apparel Retail</t>
  </si>
  <si>
    <t>Royal Caribbean Cruises Ltd.</t>
  </si>
  <si>
    <t>RCL</t>
  </si>
  <si>
    <t>RTX Corp.</t>
  </si>
  <si>
    <t>RTX</t>
  </si>
  <si>
    <t>S&amp;P Global Inc.</t>
  </si>
  <si>
    <t>SPGI</t>
  </si>
  <si>
    <t>Salesforce Inc.</t>
  </si>
  <si>
    <t>CRM</t>
  </si>
  <si>
    <t>SBA Communications Corp</t>
  </si>
  <si>
    <t>SBAC</t>
  </si>
  <si>
    <t>Seagate Technology Hldgs plc</t>
  </si>
  <si>
    <t>STX</t>
  </si>
  <si>
    <t>Sempra</t>
  </si>
  <si>
    <t>SRE</t>
  </si>
  <si>
    <t>ServiceNow Inc.</t>
  </si>
  <si>
    <t>NOW</t>
  </si>
  <si>
    <t>Simon Property Group</t>
  </si>
  <si>
    <t>SPG</t>
  </si>
  <si>
    <t>Skyworks Solutions Inc.</t>
  </si>
  <si>
    <t>SWKS</t>
  </si>
  <si>
    <t>SLB N.V.</t>
  </si>
  <si>
    <t>SLB</t>
  </si>
  <si>
    <t>Smurfit Westrock Plc</t>
  </si>
  <si>
    <t>SW</t>
  </si>
  <si>
    <t>Snap-on Inc.</t>
  </si>
  <si>
    <t>SNA</t>
  </si>
  <si>
    <t>Southwest Airlines Co.</t>
  </si>
  <si>
    <t>LUV</t>
  </si>
  <si>
    <t>Stanley Black &amp; Decker Inc.</t>
  </si>
  <si>
    <t>SWK</t>
  </si>
  <si>
    <t>Starbucks Corp.</t>
  </si>
  <si>
    <t>SBUX</t>
  </si>
  <si>
    <t>State Street Corp.</t>
  </si>
  <si>
    <t>STT</t>
  </si>
  <si>
    <t>Steel Dynamics Inc.</t>
  </si>
  <si>
    <t>STLD</t>
  </si>
  <si>
    <t>STERIS plc</t>
  </si>
  <si>
    <t>STE</t>
  </si>
  <si>
    <t>Stryker Corp.</t>
  </si>
  <si>
    <t>SYK</t>
  </si>
  <si>
    <t>Super Micro Computer Inc.</t>
  </si>
  <si>
    <t>SMCI</t>
  </si>
  <si>
    <t>Synchrony Financial</t>
  </si>
  <si>
    <t>SYF</t>
  </si>
  <si>
    <t>Synopsys Inc.</t>
  </si>
  <si>
    <t>SNPS</t>
  </si>
  <si>
    <t>Sysco Corp.</t>
  </si>
  <si>
    <t>SYY</t>
  </si>
  <si>
    <t>Food Distributors</t>
  </si>
  <si>
    <t>T-Mobile US Inc.</t>
  </si>
  <si>
    <t>TMUS</t>
  </si>
  <si>
    <t>Wireless Telecommunication Services</t>
  </si>
  <si>
    <t>T. Rowe Price Group Inc.</t>
  </si>
  <si>
    <t>TROW</t>
  </si>
  <si>
    <t>Take-Two Interactive Software</t>
  </si>
  <si>
    <t>TTWO</t>
  </si>
  <si>
    <t>Tapestry Inc.</t>
  </si>
  <si>
    <t>TPR</t>
  </si>
  <si>
    <t>Targa Resources Corp.</t>
  </si>
  <si>
    <t>TRGP</t>
  </si>
  <si>
    <t>Target Corp.</t>
  </si>
  <si>
    <t>TGT</t>
  </si>
  <si>
    <t>TE Connectivity plc</t>
  </si>
  <si>
    <t>TEL</t>
  </si>
  <si>
    <t>Teledyne Technologies Inc.</t>
  </si>
  <si>
    <t>TDY</t>
  </si>
  <si>
    <t>Teradyne Inc.</t>
  </si>
  <si>
    <t>TER</t>
  </si>
  <si>
    <t>Tesla Inc.</t>
  </si>
  <si>
    <t>TSLA</t>
  </si>
  <si>
    <t>Texas Instruments Inc.</t>
  </si>
  <si>
    <t>TXN</t>
  </si>
  <si>
    <t>Texas Pacific Land Corp.</t>
  </si>
  <si>
    <t>TPL</t>
  </si>
  <si>
    <t>Textron Inc.</t>
  </si>
  <si>
    <t>TXT</t>
  </si>
  <si>
    <t>The AES Corp.</t>
  </si>
  <si>
    <t>AES</t>
  </si>
  <si>
    <t>Independent Power Producers and Energy Traders</t>
  </si>
  <si>
    <t>The Allstate Corp.</t>
  </si>
  <si>
    <t>ALL</t>
  </si>
  <si>
    <t>The Bank New York Mellon</t>
  </si>
  <si>
    <t>BK</t>
  </si>
  <si>
    <t>The Boeing Co.</t>
  </si>
  <si>
    <t>BA</t>
  </si>
  <si>
    <t>The Campbell's Co.</t>
  </si>
  <si>
    <t>CPB</t>
  </si>
  <si>
    <t>The Charles Schwab Corp.</t>
  </si>
  <si>
    <t>SCHW</t>
  </si>
  <si>
    <t>The Cigna Group</t>
  </si>
  <si>
    <t>CI</t>
  </si>
  <si>
    <t>The Clorox Co.</t>
  </si>
  <si>
    <t>CLX</t>
  </si>
  <si>
    <t>The Coca-Cola Co.</t>
  </si>
  <si>
    <t>KO</t>
  </si>
  <si>
    <t>The Cooper Companies Inc.</t>
  </si>
  <si>
    <t>COO</t>
  </si>
  <si>
    <t>The Estée Lauder Cos Inc</t>
  </si>
  <si>
    <t>EL</t>
  </si>
  <si>
    <t>Personal Care and Beauty Products: Producers</t>
  </si>
  <si>
    <t>The Goldman Sachs Group</t>
  </si>
  <si>
    <t>GS</t>
  </si>
  <si>
    <t>The Hartford Insurance Group</t>
  </si>
  <si>
    <t>HIG</t>
  </si>
  <si>
    <t>The Hershey Co.</t>
  </si>
  <si>
    <t>HSY</t>
  </si>
  <si>
    <t>The Home Depot Inc.</t>
  </si>
  <si>
    <t>HD</t>
  </si>
  <si>
    <t>The J. M. Smucker Co.</t>
  </si>
  <si>
    <t>SJM</t>
  </si>
  <si>
    <t>The Kraft Heinz Co.</t>
  </si>
  <si>
    <t>KHC</t>
  </si>
  <si>
    <t>The Kroger Co.</t>
  </si>
  <si>
    <t>KR</t>
  </si>
  <si>
    <t>Food Retail</t>
  </si>
  <si>
    <t>The Mosaic Co.</t>
  </si>
  <si>
    <t>MOS</t>
  </si>
  <si>
    <t>The PNC Finl Svcs Grp</t>
  </si>
  <si>
    <t>PNC</t>
  </si>
  <si>
    <t>The Procter &amp; Gamble Co.</t>
  </si>
  <si>
    <t>PG</t>
  </si>
  <si>
    <t>The Progressive Corp.</t>
  </si>
  <si>
    <t>PGR</t>
  </si>
  <si>
    <t>The Sherwin-Williams Co.</t>
  </si>
  <si>
    <t>SHW</t>
  </si>
  <si>
    <t>The Southern Co.</t>
  </si>
  <si>
    <t>SO</t>
  </si>
  <si>
    <t>The TJX Companies Inc.</t>
  </si>
  <si>
    <t>TJX</t>
  </si>
  <si>
    <t>The Trade Desk Inc.</t>
  </si>
  <si>
    <t>TTD</t>
  </si>
  <si>
    <t>The Travelers Companies Inc.</t>
  </si>
  <si>
    <t>TRV</t>
  </si>
  <si>
    <t>The Walt Disney Co.</t>
  </si>
  <si>
    <t>DIS</t>
  </si>
  <si>
    <t>The Williams Companies Inc.</t>
  </si>
  <si>
    <t>WMB</t>
  </si>
  <si>
    <t>Thermo Fisher Scientific Inc.</t>
  </si>
  <si>
    <t>TMO</t>
  </si>
  <si>
    <t>Tractor Supply Co.</t>
  </si>
  <si>
    <t>TSCO</t>
  </si>
  <si>
    <t>Other Specialty Retail</t>
  </si>
  <si>
    <t>Trane Technologies plc</t>
  </si>
  <si>
    <t>TT</t>
  </si>
  <si>
    <t>TransDigm Group Inc</t>
  </si>
  <si>
    <t>TDG</t>
  </si>
  <si>
    <t>Trimble Inc.</t>
  </si>
  <si>
    <t>TRMB</t>
  </si>
  <si>
    <t>Truist Financial Corp.</t>
  </si>
  <si>
    <t>TFC</t>
  </si>
  <si>
    <t>Tyler Technologies Inc.</t>
  </si>
  <si>
    <t>TYL</t>
  </si>
  <si>
    <t>Tyson Foods Inc.</t>
  </si>
  <si>
    <t>TSN</t>
  </si>
  <si>
    <t>U.S. Bancorp</t>
  </si>
  <si>
    <t>USB</t>
  </si>
  <si>
    <t>Uber Technologies Inc.</t>
  </si>
  <si>
    <t>UBER</t>
  </si>
  <si>
    <t>UDR Inc.</t>
  </si>
  <si>
    <t>UDR</t>
  </si>
  <si>
    <t>Ulta Beauty Inc.</t>
  </si>
  <si>
    <t>ULTA</t>
  </si>
  <si>
    <t>Union Pacific Corp.</t>
  </si>
  <si>
    <t>UNP</t>
  </si>
  <si>
    <t>United Airlines Holdings Inc.</t>
  </si>
  <si>
    <t>UAL</t>
  </si>
  <si>
    <t>United Parcel Service Inc.</t>
  </si>
  <si>
    <t>UPS</t>
  </si>
  <si>
    <t>United Rentals Inc.</t>
  </si>
  <si>
    <t>URI</t>
  </si>
  <si>
    <t>UnitedHealth Group Inc.</t>
  </si>
  <si>
    <t>UNH</t>
  </si>
  <si>
    <t>Universal Health Services Inc.</t>
  </si>
  <si>
    <t>UHS</t>
  </si>
  <si>
    <t>Valero Energy Corp.</t>
  </si>
  <si>
    <t>VLO</t>
  </si>
  <si>
    <t>Ventas Inc.</t>
  </si>
  <si>
    <t>VTR</t>
  </si>
  <si>
    <t>VeriSign Inc.</t>
  </si>
  <si>
    <t>VRSN</t>
  </si>
  <si>
    <t>Verisk Analytics Inc.</t>
  </si>
  <si>
    <t>VRSK</t>
  </si>
  <si>
    <t>Verizon Communications Inc.</t>
  </si>
  <si>
    <t>VZ</t>
  </si>
  <si>
    <t>Vertex Pharmaceuticals Inc.</t>
  </si>
  <si>
    <t>VRTX</t>
  </si>
  <si>
    <t>Vertiv Holdings Co</t>
  </si>
  <si>
    <t>VRT</t>
  </si>
  <si>
    <t>Viatris Inc.</t>
  </si>
  <si>
    <t>VTRS</t>
  </si>
  <si>
    <t>VICI Properties Inc.</t>
  </si>
  <si>
    <t>VICI</t>
  </si>
  <si>
    <t>Visa Inc.</t>
  </si>
  <si>
    <t>V</t>
  </si>
  <si>
    <t>Vistra Corp.</t>
  </si>
  <si>
    <t>VST</t>
  </si>
  <si>
    <t>Vulcan Materials Co.</t>
  </si>
  <si>
    <t>VMC</t>
  </si>
  <si>
    <t>W. R. Berkley Corp.</t>
  </si>
  <si>
    <t>WRB</t>
  </si>
  <si>
    <t>W.W. Grainger Inc.</t>
  </si>
  <si>
    <t>GWW</t>
  </si>
  <si>
    <t>Walmart Inc.</t>
  </si>
  <si>
    <t>WMT</t>
  </si>
  <si>
    <t>Warner Bros. Discovery Inc.</t>
  </si>
  <si>
    <t>WBD</t>
  </si>
  <si>
    <t>Waste Mgmt Inc.</t>
  </si>
  <si>
    <t>WM</t>
  </si>
  <si>
    <t>Waters Corp.</t>
  </si>
  <si>
    <t>WAT</t>
  </si>
  <si>
    <t>WEC Energy Group Inc.</t>
  </si>
  <si>
    <t>WEC</t>
  </si>
  <si>
    <t>Wells Fargo &amp; Co.</t>
  </si>
  <si>
    <t>WFC</t>
  </si>
  <si>
    <t>Welltower Inc.</t>
  </si>
  <si>
    <t>WELL</t>
  </si>
  <si>
    <t>W Pharmaceutical Svcs Inc</t>
  </si>
  <si>
    <t>WST</t>
  </si>
  <si>
    <t>Western Digital Corp.</t>
  </si>
  <si>
    <t>WDC</t>
  </si>
  <si>
    <t>Westinghouse Air Brake Technol</t>
  </si>
  <si>
    <t>WAB</t>
  </si>
  <si>
    <t>Weyerhaeuser Co.</t>
  </si>
  <si>
    <t>WY</t>
  </si>
  <si>
    <t>Timber REIT</t>
  </si>
  <si>
    <t>Williams-Sonoma Inc.</t>
  </si>
  <si>
    <t>WSM</t>
  </si>
  <si>
    <t>Homefurnishing Retail</t>
  </si>
  <si>
    <t>Willis Towers Watson Plc</t>
  </si>
  <si>
    <t>WTW</t>
  </si>
  <si>
    <t>Workday Inc.</t>
  </si>
  <si>
    <t>WDAY</t>
  </si>
  <si>
    <t>Wynn Resorts Ltd.</t>
  </si>
  <si>
    <t>WYNN</t>
  </si>
  <si>
    <t>Xcel Energy Inc.</t>
  </si>
  <si>
    <t>XEL</t>
  </si>
  <si>
    <t>Xylem Inc.</t>
  </si>
  <si>
    <t>XYL</t>
  </si>
  <si>
    <t>Yum! Brands Inc.</t>
  </si>
  <si>
    <t>YUM</t>
  </si>
  <si>
    <t>Zebra Technologies Corp.</t>
  </si>
  <si>
    <t>ZBRA</t>
  </si>
  <si>
    <t>Zimmer Biomet Holdings Inc.</t>
  </si>
  <si>
    <t>ZBH</t>
  </si>
  <si>
    <t>Zoetis Inc.</t>
  </si>
  <si>
    <t>ZTS</t>
  </si>
  <si>
    <t>允䅁䙁䅙䅁坁䅁䅁免硁䍁䄸杍㕁䍁䄸杍睁䑁䅉䅎䅁䍁䅳䅁坁䅁䅁䅍㑁䍁䄸睍睁䍁䄸杍睁䑁䅉䅎䅁䉁䄰䅁煁䅁䅁睕兂䙁䄸睑偂䕁䄰䅕䉂䕁䄴兗時䕁䄴兑乂䕁䅕睘䉂䕁䅉村卂䅁䅁䅁䅁䑁䅙䅁乂䕁䅫睘䩂䕁䄴䅒噂䙁䅍䅖卂䙁䅫睘䑂䕁䅷兑呂䙁䅍兓䝂䕁䅫睑䉂䙁䅑兓偂䕁䄴䅁允䅁䅁李䅁䕁䄰兙祂䝁䅳党あ䍁䅁睑桂䡁䅁兡あ䝁䅅䅢灂䡁䅯兙あ䝁䅫睢畂䍁䅁䅋獃䕉䄰克䅁䅁䅙䅁䍁䅁䅁䅁䉁䅁䅁䅪䅁䕁䄸䅣あ䝁䅫睢畂䡁䅍杏䑂䡁䅕杣祂䑁䄰兒噂䙁䅉䅌乂䝁䅅睚㥁䙁䅍䅤桂䝁䄴䅚桂䡁䅉䅚獁䕁䅍睢畂䡁䅙兔求䡁䅑䅡療䝁䅑児卂䍁䅷杒灂䝁䅷兡畂䝁䅣杖求䡁䅉児䑂䡁䅕杣祂䝁䅕杢あ䍁䄸杕求䡁䅍䅤桂䡁䅑党歂䅁䅁杁䅁䉁䅙䅁睁䑁䅫睌祁䑁䅫睌祁䑁䅁杍穁䅁䅁䅃䅁䉁䅯䅁㡁䑁䄴䅍祁䍁䄸杍㑁䍁䄸杍睁䑁䅉睍䅁䕁䅯䅁ぁ䅁䅁睑療䝁䄰䅣桂䝁䄴入杁䕁䄴兙瑂䝁䅕䅌杁䕁䅅杙楂䡁䅉党㉂䝁䅫兙あ䝁䅕䅚䅁䅁䅍䅁慁䅁䅁䅐⭁䑁䅅免癁䑁䅍䅍癁䑁䅉䅍祁䑁䅍䅁剂䅁䅁杇䅁䑁䅷材睁䑁䅅睌穁䑁䅅睌祁䑁䅁杍穁䅁䅁睐䅁䉁䅯䅁呂䙁䅁睘乂䕁䅅杕䱂䕁䅕䅖䑂䕁䅅䅕䅁䅁䅑䅁慁䅁䅁䅐⭁䑁䅅䅍癁䑁䅍免癁䑁䅉䅍祁䑁䅑䅁癁䅁䅁杆䅁䑁䅁杍癁䑁䅉兏癁䑁䅉䅍祁䑁䅑䅁䙁䅁䅁杆䅁䑁䅁兏癁䑁䅍䅍癁䑁䅉䅍祁䑁䅑䅁敁䅁䅁杆䅁䑁䅁睎癁䑁䅍免癁䑁䅉䅍祁䑁䅍䅁湁䅁䅁杆䅁䑁䅁免癁䑁䅍免癁䑁䅉䅍祁䑁䅕䅁楁䅁䅁杆䅁䑁䅁䅏癁䑁䅉兏癁䑁䅉䅍祁䑁䅕䅁䡁䅁䅁杆䅁䑁䅅䅍癁䑁䅍免癁䑁䅉䅍祁䑁䅍䅁䩁䅁䅁杇䅁䑁䅷材睁䑁䅉睌祁䑁䅫睌祁䑁䅁杍ぁ䅁䅁睍䅁䉁䅙䅁硁䑁䅁睌穁䑁䅅睌祁䑁䅁杍ぁ䅁䅁权䅁䉁䅙䅁硁䑁䅁睌穁䑁䅅睌祁䑁䅁杍ㅁ䅁䅁睃䅁䉁䅙䅁硁䑁䅉睌穁䑁䅅睌祁䑁䅁杍ぁ䅁䅁䅄䅁䑁䅁䅁䩂䝁䄴䅚ㅂ䡁䅍䅤祂䡁䅫䅉䑂䝁䅷兙穂䡁䅍兡浂䝁䅫睙桂䡁䅑兡療䝁䄴䅁剁䅁䅁杆䅁䑁䅅杍癁䑁䅍免癁䑁䅉䅍祁䑁䅕䅁乁䅁䅁䅆䅁䙁䅍䅕時䙁䅑兓䑂䕁䅳兒卂䅁䅁杄䅁䅁䄴䅁啂䝁䅫睙牂䝁䅕杣䅁䅁䄸䅁坁䅁䅁免硁䍁䄸杍㑁䍁䄸杍睁䑁䅉兎䅁䉁䅉䅁坁䅁䅁免祁䍁䄸杍㕁䍁䄸杍睁䑁䅉睍䅁䍁䅷䅁慁䅁䅁䅐⭁䑁䅁兏癁䑁䅉兏癁䑁䅉䅍祁䑁䅍䅁ㅁ䅁䅁杆䅁䑁䅁兎癁䑁䅍免癁䑁䅉䅍祁䑁䅑䅁流䅁䅁杆䅁䑁䅁杍癁䑁䅉䅏癁䑁䅉䅍祁䑁䅍䅁呁䅁䅁杇䅁䑁䅷材睁䑁䅧睌穁䑁䅁睌祁䑁䅁杍ぁ䅁䅁䅐䅁䉁䅙䅁睁䑁䅑睌祁䑁䅧睌祁䑁䅁杍穁䅁䅁杆䅁䉁䅙䅁睁䑁䅉睌祁䑁䅧睌祁䑁䅁杍ㅁ䅁䅁䅆䅁䉁䅙䅁睁䑁䅍睌祁䑁䅧睌祁䑁䅁杍ぁ䅁䅁兆䅁䉁䅙䅁睁䑁䅑睌穁䑁䅁睌祁䑁䅁杍ぁ䅁䅁睆䅁䉁䅙䅁睁䑁䅑睌穁䑁䅁睌祁䑁䅁杍ㅁ䅁䅁䅇䅁䉁䅙䅁睁䑁䅕睌穁䑁䅁睌祁䑁䅁杍ㅁ䅁䅁兇䅁䉁䅙䅁硁䑁䅅睌穁䑁䅁睌祁䑁䅁杍穁䅁䅁兌䅁䉁䅙䅁睁䑁䅣睌穁䑁䅅睌祁䑁䅁杍ㅁ䅁䅁克䅁䉁䅙䅁睁䑁䅙睌祁䑁䅧睌祁䑁䅁杍ぁ䅁䅁杇䅁䉁䅙䅁睁䑁䅅睌穁䑁䅅睌祁䑁䅁杍穁䅁䅁䅉䅁䉁䅙䅁睁䑁䅙睌穁䑁䅁睌祁䑁䅁杍穁䅁䅁睇䅁䉁䅙䅁睁䑁䅙睌穁䑁䅁睌祁䑁䅁杍ㅁ䅁䅁䅈䅁䉁䅙䅁睁䑁䅅睌穁䑁䅅睌祁䑁䅁杍ぁ䅁䅁光䅁䉁䅙䅁睁䑁䅫睌穁䑁䅁睌祁䑁䅁杍ㅁ䅁䅁睈䅁䉁䅙䅁睁䑁䅍睌穁䑁䅅睌祁䑁䅁杍穁䅁䅁睉䅁䉁䅙䅁睁䑁䅕睌穁䑁䅅睌祁䑁䅁杍穁䅁䅁兊䅁䉁䅙䅁睁䑁䅍睌穁䑁䅅睌祁䑁䅁杍ㅁ䅁䅁䅊䅁䉁䅙䅁睁䑁䅣睌穁䑁䅅睌祁䑁䅁杍ぁ䅁䅁䅋䅁䉁䅯䅁㡁䑁䄴䅍ㅁ䍁䄸睍睁䍁䄸杍睁䑁䅉兎䅁䑁䅫䅁坁䅁䅁䅍㑁䍁䄸睍硁䍁䄸杍睁䑁䅉睍䅁䍁䅯䅁慁䅁䅁䅐⭁䑁䅅䅍癁䑁䅍免癁䑁䅉䅍祁䑁䅍䅁畁䅁䅁杇䅁䑁䅷材硁䑁䅁睌穁䑁䅅睌祁䑁䅁杍ㅁ䅁䅁䅍䅁䉁䅯䅁㡁䑁䄴免祁䍁䄸睍硁䍁䄸杍睁䑁䅉䅎䅁䑁䅅䅁慁䅁䅁䅐⭁䑁䅅杍癁䑁䅍免癁䑁䅉䅍祁䑁䅕䅁祁䅁䅁杇䅁䑁䅷材睁䑁䅣睌穁䑁䅅睌祁䑁䅁杍穁䅁䅁杒䅁䉁䅯䅁㡁䑁䄴䅍㕁䍁䄸睍睁䍁䄸杍睁䑁䅉䅎䅁䑁䄰䅁慁䅁䅁䅐⭁䑁䅁䅏癁䑁䅉兏癁䑁䅉䅍祁䑁䅕䅁ぁ䅁䅁杇䅁䑁䅷材硁䑁䅅睌祁䑁䅧睌祁䑁䅁杍ㅁ䅁䅁李䅁䉁䅯䅁㡁䑁䄴䅍ぁ䍁䄸睍睁䍁䄸杍睁䑁䅉䅎䅁䑁䅣䅁慁䅁䅁䅐⭁䑁䅁䅎癁䑁䅍䅍癁䑁䅉䅍祁䑁䅕䅁㑁䅁䅁杇䅁䑁䅷材睁䑁䅙睌穁䑁䅁睌祁䑁䅁杍穁䅁䅁杏䅁䉁䅯䅁㡁䑁䄴䅍㉁䍁䄸睍睁䍁䄸杍睁䑁䅉兎䅁䑁䅳䅁慁䅁䅁䅐⭁䑁䅁兏癁䑁䅍䅍癁䑁䅉䅍祁䑁䅕䅁⭁䅁䅁杇䅁䑁䅷材睁䑁䅅睌穁䑁䅅睌祁䑁䅁杍ぁ䅁䅁䅑䅁䉁䅯䅁㡁䑁䄴䅍硁䍁䄸睍硁䍁䄸杍睁䑁䅉兎䅁䕁䅅䅁慁䅁䅁䅐⭁䑁䅁睍癁䑁䅍免癁䑁䅉䅍祁䑁䅍䅁䍂䅁䅁杇䅁䑁䅷材睁䑁䅍睌穁䑁䅅睌祁䑁䅁杍ㅁ䅁䅁睑䅁䉁䅯䅁㡁䑁䄴䅍ㅁ䍁䄸睍硁䍁䄸杍睁䑁䅉睍䅁䕁䅑䅁慁䅁䅁䅐⭁䑁䅁兎癁䑁䅍免癁䑁䅉䅍祁䑁䅑䅁䙂䅁䅁杇䅁䑁䅷材睁䑁䅣睌穁䑁䅅睌祁䑁䅁杍ぁ䅁䅁睒䅁䉁䅯䅁㡁䑁䄴䅍㍁䍁䄸睍硁䍁䄸杍睁䑁䅉兎䅁䕁䅧䅁慁䅁䅁䅐⭁䑁䅁䅏癁䑁䅍免癁䑁䅉䅍祁䑁䅍䅁䩂䅁䅁杇䅁䑁䅷材睁䑁䅉睌祁䑁䅧睌祁䑁䅁杍ㅁ䅁䅁睓䅁䉁䅯䅁㡁䑁䄴䅍穁䍁䄸杍㑁䍁䄸杍睁䑁䅉䅎䅁䕁䅷䅁慁䅁䅁䅐⭁䑁䅁䅎癁䑁䅉䅏癁䑁䅉䅍祁䑁䅍䅁乂䅁䅁杇䅁䑁䅷材睁䑁䅙睌祁䑁䅧睌祁䑁䅁杍ぁ䅁䅁杔䅁䉁䅯䅁㡁䑁䄴免硁䍁䄸杍㕁䍁䄸杍睁䑁䅉䅎䅁䕁䄸䅁慁䅁䅁䅐⭁䑁䅅杍癁䑁䅉兏癁䑁䅉䅍祁䑁䅍䅁兂䅁䅁杇䅁䙁䅍䅕時䕁䅕杔啂䕁䅫䅖婂䙁䄸兓䕂䅁䅁杕䅁䉁䅑䅁䙂䝁䄴䅤灂䡁䅑入杁䕁䅫䅒䅁䙁䅍䅁敁䅁䅁睕兂䙁䄸兒佂䙁䅑兓啂䙁䅫睘佂䕁䅅兔䙂䅁䅁䅖䅁䉁䅧䅁䙂䝁䄴䅤灂䡁䅑入杁䕁䄴兙瑂䝁䅕䅁噂䅁䅁兔䅁䅁杷允䅁䅁䅙䅁䑁䅁䄸䅁䙁䅁䅁䅁ぁ桒䉂权䅁䅁䅁权䉁䅁䅁权䉁䅁䅁权䍁䅁䅁允䅁䅁䅅䅁䭁䅁䅍䅁䵁䅉䅅䅁䝁䅁䅁睁偁䅁䅁兂䅁䅁䅁䕎兙兑䅯䅂䅁䅁䅯䅃䅁䅁䅯允䅁䅁䅯杁䅁䅁䅅䅁䉁䅁䅁权䝁䅁䅁䍄䉁䅁䅁杂䅁䅁䅍睄䅁䅁䅕䅁䅁䑁䝒䕅䭅䅁䅑䅁䭁䅁䅕䅁䭁䅁䅅䅁䭁䅁䅉䅁䉁䅁䅁允䅁䅁䅯杂䅁䅁杷允䅁䅁䅙䅁䑁䅁䄸䅁䙁䅁䅁䅁ぁ桒䉂权䕁䅁䅁权䵁䅁䅁权䉁䅁䅁权䍁䅁䅁允䅁䅁䅅䅁䭁䅁䅙䅁䵁䅉䅅䅁䝁䅁䅁睁偁䅁䅁兂䅁䅁䅁䕎兙兑䅯䅂䅁䅁䅯杋䅁䅁䅯允䅁䅁䅯杁䅁䅁䅅䅁䉁䅁䅁权䝁䅁䅁䍄䉁䅁䅁杂䅁䅁䅍睄䅁䅁䅕䅁䅁䑁䝒䕅䭅䅁䅑䅁䭁䅁䅣䅁䭁䅁䅅䅁䭁䅁䅉䅁䉁䅁䅁允䅁䅁䅯杂䅁䅁杷允䅁䅁䅑䅁䑁䅁䄸䅁䙁䅁䅁䅁ぁ桒䉂权䕁䅁䅁权ぁ䅁䅁允䅁䅁䅅䅁䭁䅁䅣䅁䵁䅉䅅䅁䝁䅁䅁睁偁䅁䅁兂䅁䅁䅁䕎兙兑䅯䅂䅁䅁䅯睉䅁䅁䅯允䅁䅁䅯杁䅁䅁䅅䅁䉁䅁䅁权䝁䅁䅁䍄䉁䅁䅁䅂䅁䅁䅍睄䅁䅁䅕䅁䅁䑁䝒䕅䭅䅁䅑䅁䭁䑁䅳䅁䉁䅁䅁允䅁䅁䅯䅈䅁䅁杷允䅁䅁䅙䅁䑁䅁䄸䅁䙁䅁䅁䅁ぁ桒䉂权䕁䅁䅁权䩁䅁䅁权䉁䅁䅁权䍁䅁䅁允䅁䅁䅅䅁䭁䅁䅙䅁䵁䅉䅅䅁䕁䅁䅁睁偁䅁䅁兂䅁䅁䅁䕎兙兑䅯䅂䅁䅁䅯睍䅁䅁䅅䅁䉁䅁䅁权䙁䅁䅁䍄䉁䅁䅁䅂䅁䅁䅍睄䅁䅁䅕䅁䅁䑁䝒䕅䭅䅁䅑䅁䭁䑁䅷䅁䉁䅁䅁允䅁䅁䅯先䅁䅁杷允䅁䅁䅙䅁䑁䅁䄸䅁䙁䅁䅁䅁ぁ桒䉂权䕁䅁䅁权䭁䅁䅁权䉁䅁䅁权䍁䅁䅁允䅁䅁䅅䅁䭁䅁䅙䅁䵁䅉䅅䅁䝁䅁䅁睁偁䅁䅁兂䅁䅁䅁䕎兙兑䅯䅂䅁䅁䅯兆䅁䅁䅯允䅁䅁䅯杁䅁䅁䅅䅁䉁䅁䅁权䝁䅁䅁䍄䉁䅁䅁䅂䅁䅁䅍睄䅁䅁䅕䅁䅁䑁䝒䕅䭅䅁䅑䅁䭁䍁䄸䅁䉁䅁䅁允䅁䅁䅯权䅁䅁杷允䅁䅁䅙䅁䑁䅁䄸䅁䙁䅁䅁䅁ぁ桒䉂权䕁䅁䅁权䱁䅁䅁权䉁䅁䅁权䍁䅁䅁允䅁䅁䅅䅁䭁䅁䅙䅁䵁䅉䅅䅁䕁䅁䅁睁偁䅁䅁兂䅁䅁䅁䕎兙兑䅯䅂䅁䅁䅯免䅁䅁䅅䅁䉁䅁䅁权䵁䅁䅁䍄䉁䅁䅁䅂䅁䅁䅍睄䅁䅁䅕䅁䅁䑁䝒䕅䭅䅁䅑䅁䭁䑁䅉䅁䉁䅁䅁允䅁䅁䅯兄䅁䅁杷允䅁䅁䅑䅁䑁䅁䄸䅁䙁䅁䅁䅁ぁ桒䉂权䕁䅁䅁权㍁䅁䅁允䅁䅁䅅䅁䭁䉁䅣䅁䵁䅉䅅䅁䝁䅁䅁睁偁䅁䅁兂䅁䅁䅁䕎兙兑䅯䅂䅁䅁䅯兄䅁䅁䅯允䅁䅁䅯杁䅁䅁䅅䅁䉁䅁䅁权䝁䅁䅁䍄䉁䅁䅁杂䅁䅁䅍睄䅁䅁䅕䅁䅁䑁䝒䕅䭅䅁䅑䅁䭁䉁䅉䅁䭁䅁䅅䅁䭁䅁䅉䅁䉁䅁䅁允䅁䅁䅯杂䅁䅁杷允䅁䅁䅙䅁䑁䅁䄸䅁䙁䅁䅁䅁ぁ桒䉂权䕁䅁䅁权獁䅁䅁权䉁䅁䅁权䍁䅁䅁允䅁䅁䅅䅁䭁䅁䅙䅁䵁䅉䅅䅁䝁䅁䅁睁偁䅁䅁兂䅁䅁䅁䕎兙兑䅯杄䅁䅁䅯允䅁䅁䅯允䅁䅁䅯杁䅁䅁䅅䅁䉁䅁䅁权偁䅁䅁䍄䉁䅁䅁杂䅁䅁䅍睄䅁䅁䅕䅁䅁䑁䝒䕅䭅䉁䅁䅁䭁䅁䅅䅁䭁䅁䅅䅁䭁䅁䅉䅁䉁䅁䅁允䅁䅁䅯充䅁䅁杷允䅁䅁䅑䅁䑁䅁䄸䅁䙁䅁䅁䅁ぁ桒䉂权䕁䅁䅁权⽁䅁䅁允䅁䅁䅅䅁䭁䍁䅁䅁䵁䅉䅅䅁䝁䅁䅁睁偁䅁䅁兂䅁䅁䅁䕎兙兑䅯䅂䅁䅁䅯睅䅁䅁䅯允䅁䅁䅯杁䅁䅁䅅䅁䉁䅁䅁权䝁䅁䅁䍄䉁䅁䅁䅂䅁䅁䅍睄䅁䅁䅕䅁䅁䑁䝒䕅䭅䅁䅑䅁䭁䑁䅯䅁䉁䅁䅁允䅁䅁䅯睇䅁䅁杷允䅁䅁䅑䅁䑁䅁䄸䅁䙁䅁䅁䅁ぁ桒䉂权䕁䅁䅁权䕂䅁䅁允䅁䅁䅅䅁䭁䍁䅕䅁䵁䅉䅅䅁䝁䅁䅁睁偁䅁䅁兂䅁䅁䅁䕎兙兑䅯䅂䅁䅁䅯䅆䅁䅁䅯允䅁䅁䅯杁䅁䅁䅅䅁䉁䅁䅁权䝁䅁䅁䍄䉁䅁䅁杂䅁䅁䅍睄䅁䅁䅕䅁䅁䑁䝒䕅䭅䅁䅑䅁䭁䉁䅯䅁䭁䅁䅅䅁䭁䅁䅉䅁䉁䅁䅁允䅁䅁䅯杂䅁䅁杷允䅁䅁䅙䅁䑁䅁䄸䅁䙁䅁䅁䅁ぁ桒䉂权䕁䅁䅁权坁䅁䅁权䉁䅁䅁权䍁䅁䅁允䅁䅁䅅䅁䭁䅁䅙䅁䵁䅉䅅䅁䝁䅁䅁睁偁䅁䅁兂䅁䅁䅁䕎兙兑䅯䅂䅁䅁䅯䅈䅁䅁䅯允䅁䅁䅯杁䅁䅁䅅䅁䉁䅁䅁权䝁䅁䅁䍄䉁䅁䅁杂䅁䅁䅍睄䅁䅁䅕䅁䅁䑁䝒䕅䭅䅁䅑䅁䭁䉁䅣䅁䭁䅁䅅䅁䭁䅁䅉䅁䉁䅁䅁允䅁䅁䅯杂䅁䅁杷允䅁䅁䅙䅁䑁䅁䄸䅁䙁䅁䅁䅁ぁ桒䉂权䕁䅁䅁权潁䅁䅁权䉁䅁䅁权䍁䅁䅁允䅁䅁䅅䅁䭁䅁䅙䅁䵁䅉䅅䅁䝁䅁䅁睁偁䅁䅁兂䅁䅁䅁䕎兙兑䅯䅂䅁䅁䅯䅇䅁䅁䅯允䅁䅁䅯杁䅁䅁䅅䅁䉁䅁䅁权䝁䅁䅁䍄䉁䅁䅁䅂䅁䅁䅍睄䅁䅁䅕䅁䅁䑁䝒䕅䭅䅁䅑䅁䭁䑁䅫䅁䉁䅁䅁允䅁䅁䅯兇䅁䅁杷允䅁䅁䅙䅁䑁䅁䄸䅁䙁䅁䅁䅁ぁ桒䉂权䕁䅁䅁权婁䅁䅁权䉁䅁䅁权䍁䅁䅁允䅁䅁䅅䅁䭁䅁䅙䅁䵁䅉䅅䅁䝁䅁䅁睁偁䅁䅁兂䅁䅁䅁䕎兙兑䅯䅂䅁䅁䅯睇䅁䅁䅯允䅁䅁䅯杁䅁䅁䅅䅁䉁䅁䅁权䝁䅁䅁䍄䉁䅁䅁杂䅁䅁䅍睄䅁䅁䅕䅁䅁䑁䝒䕅䭅䅁䅑䅁䭁䍁䅫䅁䭁䅁䅅䅁䭁䅁䅉䅁䉁䅁䅁允䅁䅁䅯杂䅁䅁杷允䅁䅁䅙䅁䑁䅁䄸䅁䙁䅁䅁䅁ぁ桒䉂权䕁䅁䅁权摁䅁䅁权䉁䅁䅁权䍁䅁䅁允䅁䅁䅅䅁䭁䅁䅙䅁䵁䅉䅅䅁䕁䅁䅁睁偁䅁䅁兂䅁䅁䅁䕎兙兑䅯䅂䅁䅁䅯杌䅁䅁䅅䅁䉁䅁䅁权䩁䅁䅁䍄䉁䅁䅁杂䅁䅁䅍睄䅁䅁䅕䅁䅁䑁䝒䕅䭅䅁䅑䅁䭁䉁䄴䅁䭁䅁䅅䅁䭁䅁䅉䅁䉁䅁䅁允䅁䅁䅯杂䅁䅁杷允䅁䅁䅙䅁䑁䅁䄸䅁䙁䅁䅁䅁ぁ桒䉂权䕁䅁䅁权晁䅁䅁权䉁䅁䅁权䍁䅁䅁允䅁䅁䅅䅁䭁䅁䅙䅁䵁䅉䅅䅁䝁䅁䅁睁偁䅁䅁兂䅁䅁䅁䕎兙兑䅯䅂䅁䅁䅯睊䅁䅁䅯允䅁䅁䅯杁䅁䅁䅅䅁䉁䅁䅁权䝁䅁䅁䍄䉁䅁䅁杂䅁䅁䅍睄䅁䅁䅕䅁䅁䑁䝒䕅䭅䅁䅑䅁䭁䍁䅁䅁䭁䅁䅅䅁䭁䅁䅉䅁䉁䅁䅁允䅁䅁䅯杂䅁䅁杷允䅁䅁䅙䅁䑁䅁䄸䅁䙁䅁䅁䅁ぁ桒䉂权䕁䅁䅁权桁䅁䅁权䉁䅁䅁权䍁䅁䅁允䅁䅁䅅䅁䭁䅁䅙䅁䵁䅉䅅䅁䝁䅁䅁睁偁䅁䅁兂䅁䅁䅁䕎兙兑䅯䅂䅁䅁䅯杉䅁䅁䅯允䅁䅁䅯杁䅁䅁䅅䅁䉁䅁䅁权䝁䅁䅁䍄䉁䅁䅁杂䅁䅁䅍睄䅁䅁䅕䅁䅁䑁䝒䕅䭅䅁䅑䅁䭁䍁䅑䅁䭁䅁䅅䅁䭁䅁䅉䅁䉁䅁䅁允䅁䅁䅯杂䅁䅁杷允䅁䅁䅙䅁䑁䅁䄸䅁䙁䅁䅁䅁ぁ桒䉂权䕁䅁䅁权汁䅁䅁权䉁䅁䅁权䍁䅁䅁允䅁䅁䅅䅁䭁䅁䅙䅁䵁䅉䅅䅁䝁䅁䅁睁偁䅁䅁兂䅁䅁䅁䕎兙兑䅯䅂䅁䅁䅯杊䅁䅁䅯允䅁䅁䅯杁䅁䅁䅅䅁䉁䅁䅁权䝁䅁䅁䍄䉁䅁䅁杂䅁䅁䅍睄䅁䅁䅕䅁䅁䑁䝒䕅䭅䅁䅑䅁䭁䍁䅳䅁䭁䅁䅅䅁䭁䅁䅉䅁䉁䅁䅁允䅁䅁䅯杂䅁䅁杷允䅁䅁䅑䅁䑁䅁䄸䅁䙁䅁䅁䅁ぁ桒䉂权䕁䅁䅁权䍂䅁䅁允䅁䅁䅅䅁䭁䍁䅍䅁䵁䅉䅅䅁䝁䅁䅁睁偁䅁䅁兂䅁䅁䅁䕎兙兑䅯䅂䅁䅁䅯兌䅁䅁䅯允䅁䅁䅯杁䅁䅁䅅䅁䉁䅁䅁权䝁䅁䅁䍄䉁䅁䅁䅂䅁䅁䅍睄䅁䅁䅕䅁䅁䑁䝒䕅䭅䅁䅑䅁䭁䑁䅁䅁䉁䅁䅁允䅁䅁䅯睃䅁䅁杷允䅁䅁䅑䅁䑁䅁䄸䅁䙁䅁䅁䅁ぁ桒䉂权䕁䅁䅁权ㅁ䅁䅁允䅁䅁䅅䅁䭁䅁䅧䅁䵁䅉䅅䅁䕁䅁䅁睁偁䅁䅁兂䅁䅁䅁䕎兙兑䅯䅂䅁䅁䅯李䅁䅁䅅䅁䉁䅁䅁权十䅁䅁䍄䉁䅁䅁䅂䅁䅁䅍睄䅁䅁䅕䅁䅁䑁䝒䕅䭅䅁䅑䅁䭁䕁䄴䅁䉁䅁䅁允䅁䅁䅯杇䅁䅁杷允䅁䅁䅑䅁䑁䅁䄸䅁䙁䅁䅁䅁ぁ桒䉂权䕁䅁䅁权㑁䅁䅁允䅁䅁䅅䅁䭁䉁䅧䅁䵁䅉䅅䅁䕁䅁䅁睁偁䅁䅁兂䅁䅁䅁䕎兙兑䅯䅂䅁䅁䅯兑䅁䅁䅅䅁䉁䅁䅁权楁䅁䅁䍄䉁䅁䅁䅂䅁䅁䅍睄䅁䅁䅕䅁䅁䑁䝒䕅䭅䅁䅑䅁䭁䑁䄰䅁䉁䅁䅁允䅁䅁䅯杈䅁䅁杷允䅁䅁䅑䅁䑁䅁䄸䅁䙁䅁䅁䅁ぁ桒䉂权䕁䅁䅁权⭁䅁䅁允䅁䅁䅅䅁䭁䉁䄸䅁䵁䅉䅅䅁䕁䅁䅁睁偁䅁䅁兂䅁䅁䅁䕎兙兑䅯䅂䅁䅁䅯䅑䅁䅁䅅䅁䉁䅁䅁权桁䅁䅁䍄䉁䅁䅁䅂䅁䅁䅍睄䅁䅁䅕䅁䅁䑁䝒䕅䭅䅁䅑䅁䭁䕁䅍䅁䉁䅁䅁允䅁䅁䅯䅊䅁䅁杷允䅁䅁䅑䅁䑁䅁䄸䅁䙁䅁䅁䅁ぁ桒䉂权䕁䅁䅁权䙂䅁䅁允䅁䅁䅅䅁䭁䍁䅙䅁䵁䅉䅅䅁䕁䅁䅁睁偁䅁䅁兂䅁䅁䅁䕎兙兑䅯䅂䅁䅁䅯杒䅁䅁䅅䅁䉁䅁䅁权湁䅁䅁䍄䉁䅁䅁䅂䅁䅁䅍睄䅁䅁䅕䅁䅁䑁䝒䕅䭅䅁䅑䅁䭁䕁䅣䅁䉁䅁䅁允䅁䅁䅯䅋䅁䅁杷允䅁䅁䅑䅁䑁䅁䄸䅁䙁䅁䅁䅁ぁ桒䉂权䕁䅁䅁权䥂䅁䅁允䅁䅁䅅䅁䭁䍁䅫䅁䵁䅉䅅䅁䕁䅁䅁睁偁䅁䅁兂䅁䅁䅁䕎兙兑䅯䅂䅁䅁䅯兓䅁䅁䅅䅁䉁䅁䅁权煁䅁䅁䍄䉁䅁䅁䅂䅁䅁䅍睄䅁䅁䅕䅁䅁䑁䝒䕅䭅䅁䅑䅁䭁䕁䅯䅁䉁䅁䅁允䅁䅁䅯睅䅁䅁杷允䅁䅁䅑䅁䑁䅁䄸䅁䙁䅁䅁䅁ぁ桒䉂权䕁䅁䅁权䱂䅁䅁允䅁䅁䅅䅁䭁䉁䅑䅁䵁䅉䅅䅁䕁䅁䅁睁偁䅁䅁兂䅁䅁䅁䕎兙兑䅯䅂䅁䅁䅯䅔䅁䅁䅅䅁䉁䅁䅁权噁䅁䅁䍄䉁䅁䅁䅂䅁䅁䅍睄䅁䅁䅕䅁䅁䑁䝒䕅䭅䅁䅑䅁䭁䕁䄰䅁䉁䅁䅁允䅁䅁䅯杆䅁䅁杷允䅁䅁䅑䅁䑁䅁䄸䅁䙁䅁䅁䅁ぁ桒䉂权䕁䅁䅁权偂䅁䅁允䅁䅁䅅䅁䭁䍁䅳䅁䵁䅉䅅䅁䕁䅁䅁睁偁䅁䅁兂䅁䅁䅁䕎兙兑䅯䅂䅁䅁䅯䅕䅁䅁䅅䅁䉁䅁䅁权獁䅁䅁䍄䉁䅁䅁䅂䅁䅁䅍睄䅁䅁䅕䅁䅁䑁䝒䕅䭅䅁䅑䅁䭁䙁䅅䅁䉁䅁䅁允䅁䅁䅯兌䅁䅁杷允䅁䅁䅙䅁䑁䅁䄸䅁䙁䅁䅁䅁ぁ桒䉂权卂䅁䅁权䉁䅁䅁权䉁䅁䅁权䍁䅁䅁允䅁䅁䅅䅁䭁䙁䅍䅁䵁䅉䅅䅁䝁䅁䅁睁偁䅁䅁兂䅁䅁䅁䕎兙兑䅯䅖䅁䅁䅯允䅁䅁䅯允䅁䅁䅯杁䅁䅁䅅䅁䉁䅁䅁权噂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</si>
</sst>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3EEC-E76B-42F0-8AB7-0299A266CCFA}">
  <dimension ref="A1"/>
  <sheetViews>
    <sheetView workbookViewId="0"/>
  </sheetViews>
  <sheetFormatPr baseColWidth="10" defaultRowHeight="14.25" x14ac:dyDescent="0.45"/>
  <sheetData>
    <row r="1" spans="1:1" x14ac:dyDescent="0.45">
      <c r="A1" t="s">
        <v>1604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DB71-81FF-49EF-B952-49426F49C801}">
  <dimension ref="A1:AO497"/>
  <sheetViews>
    <sheetView tabSelected="1" workbookViewId="0"/>
  </sheetViews>
  <sheetFormatPr baseColWidth="10" defaultRowHeight="14.25" x14ac:dyDescent="0.45"/>
  <cols>
    <col min="6" max="6" width="21.33203125" bestFit="1" customWidth="1"/>
  </cols>
  <sheetData>
    <row r="1" spans="1:41" x14ac:dyDescent="0.45">
      <c r="A1" t="str">
        <f>_xll.SNL.Clients.Office.Excel.Functions.SPGTable($B$6:$B$497,$C$3:$AO$3,,"Options:Curr=EUR,Mag=Standard,ConvMethod=R,FilingVer=Current/Restated")</f>
        <v>SPGTable</v>
      </c>
    </row>
    <row r="2" spans="1:41" x14ac:dyDescent="0.45">
      <c r="A2" s="3" t="str">
        <f>_xll.SNL.Clients.Office.Excel.Functions.SPGLabel(266637,"SP_ENTITY_NAME","","","Options:Curr=EUR,Mag=Standard,ConvMethod=R,FilingVer=Current/Restated")</f>
        <v>Entity Name</v>
      </c>
      <c r="B2" s="3" t="str">
        <f>_xll.SNL.Clients.Office.Excel.Functions.SPGLabel(266637,"SP_ENTITY_ID","","","Options:Curr=EUR,Mag=Standard,ConvMethod=R,FilingVer=Current/Restated")</f>
        <v>Entity ID</v>
      </c>
      <c r="C2" s="3" t="str">
        <f>_xll.SNL.Clients.Office.Excel.Functions.SPGLabel(266637,"SP_COMPANY_NAME_ABBR","","","Options:Curr=EUR,Mag=Standard,ConvMethod=R,FilingVer=Current/Restated")</f>
        <v>Company Name, Abbreviated</v>
      </c>
      <c r="D2" s="3" t="str">
        <f>_xll.SNL.Clients.Office.Excel.Functions.SPGLabel(266637,"SP_TICKER","","","Options:Curr=EUR,Mag=Standard,ConvMethod=R,FilingVer=Current/Restated")</f>
        <v>Ticker</v>
      </c>
      <c r="E2" s="3" t="str">
        <f>_xll.SNL.Clients.Office.Excel.Functions.SPGLabel(266637,"MI_INDUSTRY_CLASSIFICATION","","","Options:Curr=EUR,Mag=Standard,ConvMethod=R,FilingVer=Current/Restated")</f>
        <v>Industry Classification</v>
      </c>
      <c r="F2" s="3" t="str">
        <f>_xll.SNL.Clients.Office.Excel.Functions.SPGLabel(266637,"SP_MARKETCAP","12/31/2025","","Options:Curr=EUR,Mag=Standard,ConvMethod=R,FilingVer=Current/Restated")</f>
        <v>Market Capitalization (€M)</v>
      </c>
      <c r="G2" s="3" t="str">
        <f>_xll.SNL.Clients.Office.Excel.Functions.SPGLabel(266637,"SP_MARKETCAP","11/28/2025","","Options:Curr=EUR,Mag=Standard,ConvMethod=R,FilingVer=Current/Restated")</f>
        <v>Market Capitalization (€M)</v>
      </c>
      <c r="H2" s="3" t="str">
        <f>_xll.SNL.Clients.Office.Excel.Functions.SPGLabel(266637,"SP_MARKETCAP","10/31/2025","","Options:Curr=EUR,Mag=Standard,ConvMethod=R,FilingVer=Current/Restated")</f>
        <v>Market Capitalization (€M)</v>
      </c>
      <c r="I2" s="3" t="str">
        <f>_xll.SNL.Clients.Office.Excel.Functions.SPGLabel(266637,"SP_MARKETCAP","09/30/2025","","Options:Curr=EUR,Mag=Standard,ConvMethod=R,FilingVer=Current/Restated")</f>
        <v>Market Capitalization (€M)</v>
      </c>
      <c r="J2" s="3" t="str">
        <f>_xll.SNL.Clients.Office.Excel.Functions.SPGLabel(266637,"SP_MARKETCAP","08/29/2025","","Options:Curr=EUR,Mag=Standard,ConvMethod=R,FilingVer=Current/Restated")</f>
        <v>Market Capitalization (€M)</v>
      </c>
      <c r="K2" s="3" t="str">
        <f>_xll.SNL.Clients.Office.Excel.Functions.SPGLabel(266637,"SP_MARKETCAP","07/31/2025","","Options:Curr=EUR,Mag=Standard,ConvMethod=R,FilingVer=Current/Restated")</f>
        <v>Market Capitalization (€M)</v>
      </c>
      <c r="L2" s="3" t="str">
        <f>_xll.SNL.Clients.Office.Excel.Functions.SPGLabel(266637,"SP_MARKETCAP","06/30/2025","","Options:Curr=EUR,Mag=Standard,ConvMethod=R,FilingVer=Current/Restated")</f>
        <v>Market Capitalization (€M)</v>
      </c>
      <c r="M2" s="3" t="str">
        <f>_xll.SNL.Clients.Office.Excel.Functions.SPGLabel(266637,"SP_MARKETCAP","05/30/2025","","Options:Curr=EUR,Mag=Standard,ConvMethod=R,FilingVer=Current/Restated")</f>
        <v>Market Capitalization (€M)</v>
      </c>
      <c r="N2" s="3" t="str">
        <f>_xll.SNL.Clients.Office.Excel.Functions.SPGLabel(266637,"SP_MARKETCAP","04/30/2025","","Options:Curr=EUR,Mag=Standard,ConvMethod=R,FilingVer=Current/Restated")</f>
        <v>Market Capitalization (€M)</v>
      </c>
      <c r="O2" s="3" t="str">
        <f>_xll.SNL.Clients.Office.Excel.Functions.SPGLabel(266637,"SP_MARKETCAP","03/31/2025","","Options:Curr=EUR,Mag=Standard,ConvMethod=R,FilingVer=Current/Restated")</f>
        <v>Market Capitalization (€M)</v>
      </c>
      <c r="P2" s="3" t="str">
        <f>_xll.SNL.Clients.Office.Excel.Functions.SPGLabel(266637,"SP_MARKETCAP","02/28/2025","","Options:Curr=EUR,Mag=Standard,ConvMethod=R,FilingVer=Current/Restated")</f>
        <v>Market Capitalization (€M)</v>
      </c>
      <c r="Q2" s="3" t="str">
        <f>_xll.SNL.Clients.Office.Excel.Functions.SPGLabel(266637,"SP_MARKETCAP","01/31/2025","","Options:Curr=EUR,Mag=Standard,ConvMethod=R,FilingVer=Current/Restated")</f>
        <v>Market Capitalization (€M)</v>
      </c>
      <c r="R2" s="3" t="str">
        <f>_xll.SNL.Clients.Office.Excel.Functions.SPGLabel(266637,"SP_MARKETCAP","12/31/2024","","Options:Curr=EUR,Mag=Standard,ConvMethod=R,FilingVer=Current/Restated")</f>
        <v>Market Capitalization (€M)</v>
      </c>
      <c r="S2" s="3" t="str">
        <f>_xll.SNL.Clients.Office.Excel.Functions.SPGLabel(266637,"SP_MARKETCAP","11/29/2024","","Options:Curr=EUR,Mag=Standard,ConvMethod=R,FilingVer=Current/Restated")</f>
        <v>Market Capitalization (€M)</v>
      </c>
      <c r="T2" s="3" t="str">
        <f>_xll.SNL.Clients.Office.Excel.Functions.SPGLabel(266637,"SP_MARKETCAP","10/31/2024","","Options:Curr=EUR,Mag=Standard,ConvMethod=R,FilingVer=Current/Restated")</f>
        <v>Market Capitalization (€M)</v>
      </c>
      <c r="U2" s="3" t="str">
        <f>_xll.SNL.Clients.Office.Excel.Functions.SPGLabel(266637,"SP_MARKETCAP","09/30/2024","","Options:Curr=EUR,Mag=Standard,ConvMethod=R,FilingVer=Current/Restated")</f>
        <v>Market Capitalization (€M)</v>
      </c>
      <c r="V2" s="3" t="str">
        <f>_xll.SNL.Clients.Office.Excel.Functions.SPGLabel(266637,"SP_MARKETCAP","08/30/2024","","Options:Curr=EUR,Mag=Standard,ConvMethod=R,FilingVer=Current/Restated")</f>
        <v>Market Capitalization (€M)</v>
      </c>
      <c r="W2" s="3" t="str">
        <f>_xll.SNL.Clients.Office.Excel.Functions.SPGLabel(266637,"SP_MARKETCAP","07/31/2024","","Options:Curr=EUR,Mag=Standard,ConvMethod=R,FilingVer=Current/Restated")</f>
        <v>Market Capitalization (€M)</v>
      </c>
      <c r="X2" s="3" t="str">
        <f>_xll.SNL.Clients.Office.Excel.Functions.SPGLabel(266637,"SP_MARKETCAP","06/28/2024","","Options:Curr=EUR,Mag=Standard,ConvMethod=R,FilingVer=Current/Restated")</f>
        <v>Market Capitalization (€M)</v>
      </c>
      <c r="Y2" s="3" t="str">
        <f>_xll.SNL.Clients.Office.Excel.Functions.SPGLabel(266637,"SP_MARKETCAP","05/31/2024","","Options:Curr=EUR,Mag=Standard,ConvMethod=R,FilingVer=Current/Restated")</f>
        <v>Market Capitalization (€M)</v>
      </c>
      <c r="Z2" s="3" t="str">
        <f>_xll.SNL.Clients.Office.Excel.Functions.SPGLabel(266637,"SP_MARKETCAP","04/30/2024","","Options:Curr=EUR,Mag=Standard,ConvMethod=R,FilingVer=Current/Restated")</f>
        <v>Market Capitalization (€M)</v>
      </c>
      <c r="AA2" s="3" t="str">
        <f>_xll.SNL.Clients.Office.Excel.Functions.SPGLabel(266637,"SP_MARKETCAP","03/28/2024","","Options:Curr=EUR,Mag=Standard,ConvMethod=R,FilingVer=Current/Restated")</f>
        <v>Market Capitalization (€M)</v>
      </c>
      <c r="AB2" s="3" t="str">
        <f>_xll.SNL.Clients.Office.Excel.Functions.SPGLabel(266637,"SP_MARKETCAP","02/29/2024","","Options:Curr=EUR,Mag=Standard,ConvMethod=R,FilingVer=Current/Restated")</f>
        <v>Market Capitalization (€M)</v>
      </c>
      <c r="AC2" s="3" t="str">
        <f>_xll.SNL.Clients.Office.Excel.Functions.SPGLabel(266637,"SP_MARKETCAP","01/31/2024","","Options:Curr=EUR,Mag=Standard,ConvMethod=R,FilingVer=Current/Restated")</f>
        <v>Market Capitalization (€M)</v>
      </c>
      <c r="AD2" s="3" t="str">
        <f>_xll.SNL.Clients.Office.Excel.Functions.SPGLabel(266637,"SP_MARKETCAP","12/29/2023","","Options:Curr=EUR,Mag=Standard,ConvMethod=R,FilingVer=Current/Restated")</f>
        <v>Market Capitalization (€M)</v>
      </c>
      <c r="AE2" s="3" t="str">
        <f>_xll.SNL.Clients.Office.Excel.Functions.SPGLabel(266637,"SP_MARKETCAP","11/30/2023","","Options:Curr=EUR,Mag=Standard,ConvMethod=R,FilingVer=Current/Restated")</f>
        <v>Market Capitalization (€M)</v>
      </c>
      <c r="AF2" s="3" t="str">
        <f>_xll.SNL.Clients.Office.Excel.Functions.SPGLabel(266637,"SP_MARKETCAP","10/31/2023","","Options:Curr=EUR,Mag=Standard,ConvMethod=R,FilingVer=Current/Restated")</f>
        <v>Market Capitalization (€M)</v>
      </c>
      <c r="AG2" s="3" t="str">
        <f>_xll.SNL.Clients.Office.Excel.Functions.SPGLabel(266637,"SP_MARKETCAP","09/29/2023","","Options:Curr=EUR,Mag=Standard,ConvMethod=R,FilingVer=Current/Restated")</f>
        <v>Market Capitalization (€M)</v>
      </c>
      <c r="AH2" s="3" t="str">
        <f>_xll.SNL.Clients.Office.Excel.Functions.SPGLabel(266637,"SP_MARKETCAP","08/31/2023","","Options:Curr=EUR,Mag=Standard,ConvMethod=R,FilingVer=Current/Restated")</f>
        <v>Market Capitalization (€M)</v>
      </c>
      <c r="AI2" s="3" t="str">
        <f>_xll.SNL.Clients.Office.Excel.Functions.SPGLabel(266637,"SP_MARKETCAP","07/31/2023","","Options:Curr=EUR,Mag=Standard,ConvMethod=R,FilingVer=Current/Restated")</f>
        <v>Market Capitalization (€M)</v>
      </c>
      <c r="AJ2" s="3" t="str">
        <f>_xll.SNL.Clients.Office.Excel.Functions.SPGLabel(266637,"SP_MARKETCAP","06/30/2023","","Options:Curr=EUR,Mag=Standard,ConvMethod=R,FilingVer=Current/Restated")</f>
        <v>Market Capitalization (€M)</v>
      </c>
      <c r="AK2" s="3" t="str">
        <f>_xll.SNL.Clients.Office.Excel.Functions.SPGLabel(266637,"SP_MARKETCAP","05/31/2023","","Options:Curr=EUR,Mag=Standard,ConvMethod=R,FilingVer=Current/Restated")</f>
        <v>Market Capitalization (€M)</v>
      </c>
      <c r="AL2" s="3" t="str">
        <f>_xll.SNL.Clients.Office.Excel.Functions.SPGLabel(266637,"SP_MARKETCAP","04/28/2023","","Options:Curr=EUR,Mag=Standard,ConvMethod=R,FilingVer=Current/Restated")</f>
        <v>Market Capitalization (€M)</v>
      </c>
      <c r="AM2" s="3" t="str">
        <f>_xll.SNL.Clients.Office.Excel.Functions.SPGLabel(266637,"SP_MARKETCAP","03/31/2023","","Options:Curr=EUR,Mag=Standard,ConvMethod=R,FilingVer=Current/Restated")</f>
        <v>Market Capitalization (€M)</v>
      </c>
      <c r="AN2" s="3" t="str">
        <f>_xll.SNL.Clients.Office.Excel.Functions.SPGLabel(266637,"SP_MARKETCAP","02/28/2023","","Options:Curr=EUR,Mag=Standard,ConvMethod=R,FilingVer=Current/Restated")</f>
        <v>Market Capitalization (€M)</v>
      </c>
      <c r="AO2" s="3" t="str">
        <f>_xll.SNL.Clients.Office.Excel.Functions.SPGLabel(266637,"SP_MARKETCAP","01/31/2023","","Options:Curr=EUR,Mag=Standard,ConvMethod=R,FilingVer=Current/Restated")</f>
        <v>Market Capitalization (€M)</v>
      </c>
    </row>
    <row r="3" spans="1:41" x14ac:dyDescent="0.45">
      <c r="A3" s="2" t="s">
        <v>496</v>
      </c>
      <c r="B3" s="2" t="s">
        <v>497</v>
      </c>
      <c r="C3" s="2" t="s">
        <v>492</v>
      </c>
      <c r="D3" s="2" t="s">
        <v>493</v>
      </c>
      <c r="E3" s="2" t="s">
        <v>494</v>
      </c>
      <c r="F3" s="2" t="s">
        <v>495</v>
      </c>
      <c r="G3" s="2" t="s">
        <v>495</v>
      </c>
      <c r="H3" s="2" t="s">
        <v>495</v>
      </c>
      <c r="I3" s="2" t="s">
        <v>495</v>
      </c>
      <c r="J3" s="2" t="s">
        <v>495</v>
      </c>
      <c r="K3" s="2" t="s">
        <v>495</v>
      </c>
      <c r="L3" s="2" t="s">
        <v>495</v>
      </c>
      <c r="M3" s="2" t="s">
        <v>495</v>
      </c>
      <c r="N3" s="2" t="s">
        <v>495</v>
      </c>
      <c r="O3" s="2" t="s">
        <v>495</v>
      </c>
      <c r="P3" s="2" t="s">
        <v>495</v>
      </c>
      <c r="Q3" s="2" t="s">
        <v>495</v>
      </c>
      <c r="R3" s="2" t="s">
        <v>495</v>
      </c>
      <c r="S3" s="2" t="s">
        <v>495</v>
      </c>
      <c r="T3" s="2" t="s">
        <v>495</v>
      </c>
      <c r="U3" s="2" t="s">
        <v>495</v>
      </c>
      <c r="V3" s="2" t="s">
        <v>495</v>
      </c>
      <c r="W3" s="2" t="s">
        <v>495</v>
      </c>
      <c r="X3" s="2" t="s">
        <v>495</v>
      </c>
      <c r="Y3" s="2" t="s">
        <v>495</v>
      </c>
      <c r="Z3" s="2" t="s">
        <v>495</v>
      </c>
      <c r="AA3" s="2" t="s">
        <v>495</v>
      </c>
      <c r="AB3" s="2" t="s">
        <v>495</v>
      </c>
      <c r="AC3" s="2" t="s">
        <v>495</v>
      </c>
      <c r="AD3" s="2" t="s">
        <v>495</v>
      </c>
      <c r="AE3" s="2" t="s">
        <v>495</v>
      </c>
      <c r="AF3" s="2" t="s">
        <v>495</v>
      </c>
      <c r="AG3" s="2" t="s">
        <v>495</v>
      </c>
      <c r="AH3" s="2" t="s">
        <v>495</v>
      </c>
      <c r="AI3" s="2" t="s">
        <v>495</v>
      </c>
      <c r="AJ3" s="2" t="s">
        <v>495</v>
      </c>
      <c r="AK3" s="2" t="s">
        <v>495</v>
      </c>
      <c r="AL3" s="2" t="s">
        <v>495</v>
      </c>
      <c r="AM3" s="2" t="s">
        <v>495</v>
      </c>
      <c r="AN3" s="2" t="s">
        <v>495</v>
      </c>
      <c r="AO3" s="2" t="s">
        <v>495</v>
      </c>
    </row>
    <row r="4" spans="1:41" x14ac:dyDescent="0.45">
      <c r="A4" s="4"/>
      <c r="B4" s="4"/>
      <c r="C4" s="4"/>
      <c r="D4" s="4"/>
      <c r="E4" s="4"/>
      <c r="F4" s="4" t="str">
        <f>_xll.SNL.Clients.Office.Excel.Functions.SPGLabel(266637,"SP_MARKETCAP","&lt;&gt;12/31/2025")</f>
        <v>12/31/2025</v>
      </c>
      <c r="G4" s="4" t="str">
        <f>_xll.SNL.Clients.Office.Excel.Functions.SPGLabel(266637,"SP_MARKETCAP","&lt;&gt;11/28/2025")</f>
        <v>11/28/2025</v>
      </c>
      <c r="H4" s="4" t="str">
        <f>_xll.SNL.Clients.Office.Excel.Functions.SPGLabel(266637,"SP_MARKETCAP","&lt;&gt;10/31/2025")</f>
        <v>10/31/2025</v>
      </c>
      <c r="I4" s="4" t="str">
        <f>_xll.SNL.Clients.Office.Excel.Functions.SPGLabel(266637,"SP_MARKETCAP","&lt;&gt;09/30/2025")</f>
        <v>09/30/2025</v>
      </c>
      <c r="J4" s="4" t="str">
        <f>_xll.SNL.Clients.Office.Excel.Functions.SPGLabel(266637,"SP_MARKETCAP","&lt;&gt;08/29/2025")</f>
        <v>08/29/2025</v>
      </c>
      <c r="K4" s="4" t="str">
        <f>_xll.SNL.Clients.Office.Excel.Functions.SPGLabel(266637,"SP_MARKETCAP","&lt;&gt;07/31/2025")</f>
        <v>07/31/2025</v>
      </c>
      <c r="L4" s="4" t="str">
        <f>_xll.SNL.Clients.Office.Excel.Functions.SPGLabel(266637,"SP_MARKETCAP","&lt;&gt;06/30/2025")</f>
        <v>06/30/2025</v>
      </c>
      <c r="M4" s="4" t="str">
        <f>_xll.SNL.Clients.Office.Excel.Functions.SPGLabel(266637,"SP_MARKETCAP","&lt;&gt;05/30/2025")</f>
        <v>05/30/2025</v>
      </c>
      <c r="N4" s="4" t="str">
        <f>_xll.SNL.Clients.Office.Excel.Functions.SPGLabel(266637,"SP_MARKETCAP","&lt;&gt;04/30/2025")</f>
        <v>04/30/2025</v>
      </c>
      <c r="O4" s="4" t="str">
        <f>_xll.SNL.Clients.Office.Excel.Functions.SPGLabel(266637,"SP_MARKETCAP","&lt;&gt;03/31/2025")</f>
        <v>03/31/2025</v>
      </c>
      <c r="P4" s="4" t="str">
        <f>_xll.SNL.Clients.Office.Excel.Functions.SPGLabel(266637,"SP_MARKETCAP","&lt;&gt;02/28/2025")</f>
        <v>02/28/2025</v>
      </c>
      <c r="Q4" s="4" t="str">
        <f>_xll.SNL.Clients.Office.Excel.Functions.SPGLabel(266637,"SP_MARKETCAP","&lt;&gt;01/31/2025")</f>
        <v>01/31/2025</v>
      </c>
      <c r="R4" s="4" t="str">
        <f>_xll.SNL.Clients.Office.Excel.Functions.SPGLabel(266637,"SP_MARKETCAP","&lt;&gt;12/31/2024")</f>
        <v>12/31/2024</v>
      </c>
      <c r="S4" s="4" t="str">
        <f>_xll.SNL.Clients.Office.Excel.Functions.SPGLabel(266637,"SP_MARKETCAP","&lt;&gt;11/29/2024")</f>
        <v>11/29/2024</v>
      </c>
      <c r="T4" s="4" t="str">
        <f>_xll.SNL.Clients.Office.Excel.Functions.SPGLabel(266637,"SP_MARKETCAP","&lt;&gt;10/31/2024")</f>
        <v>10/31/2024</v>
      </c>
      <c r="U4" s="4" t="str">
        <f>_xll.SNL.Clients.Office.Excel.Functions.SPGLabel(266637,"SP_MARKETCAP","&lt;&gt;09/30/2024")</f>
        <v>09/30/2024</v>
      </c>
      <c r="V4" s="4" t="str">
        <f>_xll.SNL.Clients.Office.Excel.Functions.SPGLabel(266637,"SP_MARKETCAP","&lt;&gt;08/30/2024")</f>
        <v>08/30/2024</v>
      </c>
      <c r="W4" s="4" t="str">
        <f>_xll.SNL.Clients.Office.Excel.Functions.SPGLabel(266637,"SP_MARKETCAP","&lt;&gt;07/31/2024")</f>
        <v>07/31/2024</v>
      </c>
      <c r="X4" s="4" t="str">
        <f>_xll.SNL.Clients.Office.Excel.Functions.SPGLabel(266637,"SP_MARKETCAP","&lt;&gt;06/28/2024")</f>
        <v>06/28/2024</v>
      </c>
      <c r="Y4" s="4" t="str">
        <f>_xll.SNL.Clients.Office.Excel.Functions.SPGLabel(266637,"SP_MARKETCAP","&lt;&gt;05/31/2024")</f>
        <v>05/31/2024</v>
      </c>
      <c r="Z4" s="4" t="str">
        <f>_xll.SNL.Clients.Office.Excel.Functions.SPGLabel(266637,"SP_MARKETCAP","&lt;&gt;04/30/2024")</f>
        <v>04/30/2024</v>
      </c>
      <c r="AA4" s="4" t="str">
        <f>_xll.SNL.Clients.Office.Excel.Functions.SPGLabel(266637,"SP_MARKETCAP","&lt;&gt;03/28/2024")</f>
        <v>03/28/2024</v>
      </c>
      <c r="AB4" s="4" t="str">
        <f>_xll.SNL.Clients.Office.Excel.Functions.SPGLabel(266637,"SP_MARKETCAP","&lt;&gt;02/29/2024")</f>
        <v>02/29/2024</v>
      </c>
      <c r="AC4" s="4" t="str">
        <f>_xll.SNL.Clients.Office.Excel.Functions.SPGLabel(266637,"SP_MARKETCAP","&lt;&gt;01/31/2024")</f>
        <v>01/31/2024</v>
      </c>
      <c r="AD4" s="4" t="str">
        <f>_xll.SNL.Clients.Office.Excel.Functions.SPGLabel(266637,"SP_MARKETCAP","&lt;&gt;12/29/2023")</f>
        <v>12/29/2023</v>
      </c>
      <c r="AE4" s="4" t="str">
        <f>_xll.SNL.Clients.Office.Excel.Functions.SPGLabel(266637,"SP_MARKETCAP","&lt;&gt;11/30/2023")</f>
        <v>11/30/2023</v>
      </c>
      <c r="AF4" s="4" t="str">
        <f>_xll.SNL.Clients.Office.Excel.Functions.SPGLabel(266637,"SP_MARKETCAP","&lt;&gt;10/31/2023")</f>
        <v>10/31/2023</v>
      </c>
      <c r="AG4" s="4" t="str">
        <f>_xll.SNL.Clients.Office.Excel.Functions.SPGLabel(266637,"SP_MARKETCAP","&lt;&gt;09/29/2023")</f>
        <v>09/29/2023</v>
      </c>
      <c r="AH4" s="4" t="str">
        <f>_xll.SNL.Clients.Office.Excel.Functions.SPGLabel(266637,"SP_MARKETCAP","&lt;&gt;08/31/2023")</f>
        <v>08/31/2023</v>
      </c>
      <c r="AI4" s="4" t="str">
        <f>_xll.SNL.Clients.Office.Excel.Functions.SPGLabel(266637,"SP_MARKETCAP","&lt;&gt;07/31/2023")</f>
        <v>07/31/2023</v>
      </c>
      <c r="AJ4" s="4" t="str">
        <f>_xll.SNL.Clients.Office.Excel.Functions.SPGLabel(266637,"SP_MARKETCAP","&lt;&gt;06/30/2023")</f>
        <v>06/30/2023</v>
      </c>
      <c r="AK4" s="4" t="str">
        <f>_xll.SNL.Clients.Office.Excel.Functions.SPGLabel(266637,"SP_MARKETCAP","&lt;&gt;05/31/2023")</f>
        <v>05/31/2023</v>
      </c>
      <c r="AL4" s="4" t="str">
        <f>_xll.SNL.Clients.Office.Excel.Functions.SPGLabel(266637,"SP_MARKETCAP","&lt;&gt;04/28/2023")</f>
        <v>04/28/2023</v>
      </c>
      <c r="AM4" s="4" t="str">
        <f>_xll.SNL.Clients.Office.Excel.Functions.SPGLabel(266637,"SP_MARKETCAP","&lt;&gt;03/31/2023")</f>
        <v>03/31/2023</v>
      </c>
      <c r="AN4" s="4" t="str">
        <f>_xll.SNL.Clients.Office.Excel.Functions.SPGLabel(266637,"SP_MARKETCAP","&lt;&gt;02/28/2023")</f>
        <v>02/28/2023</v>
      </c>
      <c r="AO4" s="4" t="str">
        <f>_xll.SNL.Clients.Office.Excel.Functions.SPGLabel(266637,"SP_MARKETCAP","&lt;&gt;01/31/2023")</f>
        <v>01/31/2023</v>
      </c>
    </row>
    <row r="5" spans="1:41" x14ac:dyDescent="0.4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1:41" x14ac:dyDescent="0.45">
      <c r="A6" s="1" t="s">
        <v>0</v>
      </c>
      <c r="B6" s="2">
        <v>105135</v>
      </c>
      <c r="C6" s="3" t="s">
        <v>498</v>
      </c>
      <c r="D6" s="3" t="s">
        <v>499</v>
      </c>
      <c r="E6" s="3" t="s">
        <v>500</v>
      </c>
      <c r="F6" s="5">
        <v>724363441783942</v>
      </c>
      <c r="G6" s="5">
        <v>788210052240442</v>
      </c>
      <c r="H6" s="5">
        <v>76685257416564</v>
      </c>
      <c r="I6" s="5">
        <v>704455585803656</v>
      </c>
      <c r="J6" s="5">
        <v>708198284172561</v>
      </c>
      <c r="K6" s="5">
        <v>69480545412579</v>
      </c>
      <c r="L6" s="5">
        <v>697657200640743</v>
      </c>
      <c r="M6" s="5">
        <v>703622914129445</v>
      </c>
      <c r="N6" s="5">
        <v>658923825181632</v>
      </c>
      <c r="O6" s="5">
        <v>732798102788776</v>
      </c>
      <c r="P6" s="5">
        <v>809386981928</v>
      </c>
      <c r="Q6" s="5">
        <v>789955104101809</v>
      </c>
      <c r="R6" s="5">
        <v>678999404709328</v>
      </c>
      <c r="S6" s="5">
        <v>689191924493305</v>
      </c>
      <c r="T6" s="5">
        <v>644326481462281</v>
      </c>
      <c r="U6" s="5">
        <v>673316474156616</v>
      </c>
      <c r="V6" s="5">
        <v>668965642920122</v>
      </c>
      <c r="W6" s="5">
        <v>647447302273002</v>
      </c>
      <c r="X6" s="5">
        <v>527762361297462</v>
      </c>
      <c r="Y6" s="5">
        <v>510968771260812</v>
      </c>
      <c r="Z6" s="5">
        <v>499442577227031</v>
      </c>
      <c r="AA6" s="5">
        <v>543398574130647</v>
      </c>
      <c r="AB6" s="5">
        <v>471012111724</v>
      </c>
      <c r="AC6" s="5">
        <v>480537790183807</v>
      </c>
      <c r="AD6" s="5">
        <v>546251514381365</v>
      </c>
      <c r="AE6" s="5">
        <v>501709790865278</v>
      </c>
      <c r="AF6" s="5">
        <v>475457565546737</v>
      </c>
      <c r="AG6" s="5">
        <v>488249315690277</v>
      </c>
      <c r="AH6" s="5">
        <v>542883119724682</v>
      </c>
      <c r="AI6" s="5">
        <v>55847889304493</v>
      </c>
      <c r="AJ6" s="5">
        <v>505786549347695</v>
      </c>
      <c r="AK6" s="5">
        <v>483004323854077</v>
      </c>
      <c r="AL6" s="5">
        <v>530962122003934</v>
      </c>
      <c r="AM6" s="5">
        <v>533508882227602</v>
      </c>
      <c r="AN6" s="5">
        <v>5587083954</v>
      </c>
      <c r="AO6" s="5">
        <v>581948015374064</v>
      </c>
    </row>
    <row r="7" spans="1:41" x14ac:dyDescent="0.45">
      <c r="A7" s="1" t="s">
        <v>1</v>
      </c>
      <c r="B7" s="2">
        <v>4020605</v>
      </c>
      <c r="C7" s="3" t="s">
        <v>501</v>
      </c>
      <c r="D7" s="3" t="s">
        <v>502</v>
      </c>
      <c r="E7" s="3" t="s">
        <v>503</v>
      </c>
      <c r="F7" s="5">
        <v>793122226061933</v>
      </c>
      <c r="G7" s="5">
        <v>792279224616634</v>
      </c>
      <c r="H7" s="5">
        <v>796625922971394</v>
      </c>
      <c r="I7" s="5">
        <v>876753549630594</v>
      </c>
      <c r="J7" s="5">
        <v>854031229948518</v>
      </c>
      <c r="K7" s="5">
        <v>867186552880044</v>
      </c>
      <c r="L7" s="5">
        <v>793435353617491</v>
      </c>
      <c r="M7" s="5">
        <v>805422933433593</v>
      </c>
      <c r="N7" s="5">
        <v>849979816673177</v>
      </c>
      <c r="O7" s="5">
        <v>867935630276554</v>
      </c>
      <c r="P7" s="5">
        <v>917063561722946</v>
      </c>
      <c r="Q7" s="5">
        <v>938835908228979</v>
      </c>
      <c r="R7" s="5">
        <v>955288673911506</v>
      </c>
      <c r="S7" s="5">
        <v>10236914870441</v>
      </c>
      <c r="T7" s="5">
        <v>100289156888673</v>
      </c>
      <c r="U7" s="5">
        <v>117466141497128</v>
      </c>
      <c r="V7" s="5">
        <v>110392166857307</v>
      </c>
      <c r="W7" s="5">
        <v>114600837616742</v>
      </c>
      <c r="X7" s="5">
        <v>111946368676371</v>
      </c>
      <c r="Y7" s="5">
        <v>113118512250399</v>
      </c>
      <c r="Z7" s="5">
        <v>113628226107803</v>
      </c>
      <c r="AA7" s="5">
        <v>121800671697184</v>
      </c>
      <c r="AB7" s="5">
        <v>112783826346714</v>
      </c>
      <c r="AC7" s="5">
        <v>106384387508226</v>
      </c>
      <c r="AD7" s="5">
        <v>110920852826843</v>
      </c>
      <c r="AE7" s="5">
        <v>10276222266246</v>
      </c>
      <c r="AF7" s="5">
        <v>981968862471552</v>
      </c>
      <c r="AG7" s="5">
        <v>940259422914568</v>
      </c>
      <c r="AH7" s="5">
        <v>1005954215165</v>
      </c>
      <c r="AI7" s="5">
        <v>991800005192334</v>
      </c>
      <c r="AJ7" s="5">
        <v>10029408450911</v>
      </c>
      <c r="AK7" s="5">
        <v>90257259289883</v>
      </c>
      <c r="AL7" s="5">
        <v>930895726683681</v>
      </c>
      <c r="AM7" s="5">
        <v>960511443777756</v>
      </c>
      <c r="AN7" s="5">
        <v>932787993561378</v>
      </c>
      <c r="AO7" s="5">
        <v>952271095589253</v>
      </c>
    </row>
    <row r="8" spans="1:41" x14ac:dyDescent="0.45">
      <c r="A8" s="1" t="s">
        <v>2</v>
      </c>
      <c r="B8" s="2">
        <v>4004092</v>
      </c>
      <c r="C8" s="3" t="s">
        <v>504</v>
      </c>
      <c r="D8" s="3" t="s">
        <v>505</v>
      </c>
      <c r="E8" s="3" t="s">
        <v>506</v>
      </c>
      <c r="F8" s="5">
        <v>185550102234246</v>
      </c>
      <c r="G8" s="5">
        <v>193298848238262</v>
      </c>
      <c r="H8" s="5">
        <v>186369756526417</v>
      </c>
      <c r="I8" s="5">
        <v>198685687569657</v>
      </c>
      <c r="J8" s="5">
        <v>19738725641236</v>
      </c>
      <c r="K8" s="5">
        <v>191999254786196</v>
      </c>
      <c r="L8" s="5">
        <v>20149483670036</v>
      </c>
      <c r="M8" s="5">
        <v>204820601956829</v>
      </c>
      <c r="N8" s="5">
        <v>200504060727818</v>
      </c>
      <c r="O8" s="5">
        <v>212849662034058</v>
      </c>
      <c r="P8" s="5">
        <v>230043104365373</v>
      </c>
      <c r="Q8" s="5">
        <v>213479267779464</v>
      </c>
      <c r="R8" s="5">
        <v>189494346928673</v>
      </c>
      <c r="S8" s="5">
        <v>195247980625184</v>
      </c>
      <c r="T8" s="5">
        <v>181101083385466</v>
      </c>
      <c r="U8" s="5">
        <v>177854648448187</v>
      </c>
      <c r="V8" s="5">
        <v>178178340626709</v>
      </c>
      <c r="W8" s="5">
        <v>17031608323908</v>
      </c>
      <c r="X8" s="5">
        <v>168708295459714</v>
      </c>
      <c r="Y8" s="5">
        <v>163924643590681</v>
      </c>
      <c r="Z8" s="5">
        <v>171962218459305</v>
      </c>
      <c r="AA8" s="5">
        <v>18258724465319</v>
      </c>
      <c r="AB8" s="5">
        <v>190443180469843</v>
      </c>
      <c r="AC8" s="5">
        <v>18105416102022</v>
      </c>
      <c r="AD8" s="5">
        <v>172877280178138</v>
      </c>
      <c r="AE8" s="5">
        <v>166007995153255</v>
      </c>
      <c r="AF8" s="5">
        <v>155299918819018</v>
      </c>
      <c r="AG8" s="5">
        <v>158791988358962</v>
      </c>
      <c r="AH8" s="5">
        <v>164640005922924</v>
      </c>
      <c r="AI8" s="5">
        <v>175669869828185</v>
      </c>
      <c r="AJ8" s="5">
        <v>173655261704714</v>
      </c>
      <c r="AK8" s="5">
        <v>166428685713173</v>
      </c>
      <c r="AL8" s="5">
        <v>173962972937752</v>
      </c>
      <c r="AM8" s="5">
        <v>161976074483515</v>
      </c>
      <c r="AN8" s="5">
        <v>166530425153156</v>
      </c>
      <c r="AO8" s="5">
        <v>177466841020295</v>
      </c>
    </row>
    <row r="9" spans="1:41" x14ac:dyDescent="0.45">
      <c r="A9" s="1" t="s">
        <v>3</v>
      </c>
      <c r="B9" s="2">
        <v>4558282</v>
      </c>
      <c r="C9" s="3" t="s">
        <v>507</v>
      </c>
      <c r="D9" s="3" t="s">
        <v>508</v>
      </c>
      <c r="E9" s="3" t="s">
        <v>509</v>
      </c>
      <c r="F9" s="5">
        <v>34394176789559</v>
      </c>
      <c r="G9" s="5">
        <v>347058633761199</v>
      </c>
      <c r="H9" s="5">
        <v>333951373406732</v>
      </c>
      <c r="I9" s="5">
        <v>348615329679846</v>
      </c>
      <c r="J9" s="5">
        <v>317752528863033</v>
      </c>
      <c r="K9" s="5">
        <v>291882704242967</v>
      </c>
      <c r="L9" s="5">
        <v>279189589985787</v>
      </c>
      <c r="M9" s="5">
        <v>289723204119935</v>
      </c>
      <c r="N9" s="5">
        <v>304195521320117</v>
      </c>
      <c r="O9" s="5">
        <v>342912731411829</v>
      </c>
      <c r="P9" s="5">
        <v>354657554468494</v>
      </c>
      <c r="Q9" s="5">
        <v>312660473105051</v>
      </c>
      <c r="R9" s="5">
        <v>303312724910059</v>
      </c>
      <c r="S9" s="5">
        <v>30638865176764</v>
      </c>
      <c r="T9" s="5">
        <v>331656243848991</v>
      </c>
      <c r="U9" s="5">
        <v>312749826772947</v>
      </c>
      <c r="V9" s="5">
        <v>313497525379237</v>
      </c>
      <c r="W9" s="5">
        <v>302379570269626</v>
      </c>
      <c r="X9" s="5">
        <v>282679436289252</v>
      </c>
      <c r="Y9" s="5">
        <v>262548169221883</v>
      </c>
      <c r="Z9" s="5">
        <v>2693170492747</v>
      </c>
      <c r="AA9" s="5">
        <v>298510152286461</v>
      </c>
      <c r="AB9" s="5">
        <v>287694661001539</v>
      </c>
      <c r="AC9" s="5">
        <v>267527436249829</v>
      </c>
      <c r="AD9" s="5">
        <v>247530745789555</v>
      </c>
      <c r="AE9" s="5">
        <v>230503959398629</v>
      </c>
      <c r="AF9" s="5">
        <v>235857663252292</v>
      </c>
      <c r="AG9" s="5">
        <v>248574856352532</v>
      </c>
      <c r="AH9" s="5">
        <v>239158741805562</v>
      </c>
      <c r="AI9" s="5">
        <v>239465083433435</v>
      </c>
      <c r="AJ9" s="5">
        <v>217735717705142</v>
      </c>
      <c r="AK9" s="5">
        <v>228383537610402</v>
      </c>
      <c r="AL9" s="5">
        <v>24156363851809</v>
      </c>
      <c r="AM9" s="5">
        <v>258771634977292</v>
      </c>
      <c r="AN9" s="5">
        <v>25651663751576</v>
      </c>
      <c r="AO9" s="5">
        <v>240490834644543</v>
      </c>
    </row>
    <row r="10" spans="1:41" x14ac:dyDescent="0.45">
      <c r="A10" s="1" t="s">
        <v>4</v>
      </c>
      <c r="B10" s="2">
        <v>4142760</v>
      </c>
      <c r="C10" s="3" t="s">
        <v>510</v>
      </c>
      <c r="D10" s="3" t="s">
        <v>511</v>
      </c>
      <c r="E10" s="3" t="s">
        <v>512</v>
      </c>
      <c r="F10" s="5">
        <v>140604429347037</v>
      </c>
      <c r="G10" s="5">
        <v>1337019451152</v>
      </c>
      <c r="H10" s="5">
        <v>134468870882936</v>
      </c>
      <c r="I10" s="5">
        <v>130909423410854</v>
      </c>
      <c r="J10" s="5">
        <v>138427986069858</v>
      </c>
      <c r="K10" s="5">
        <v>145435369783318</v>
      </c>
      <c r="L10" s="5">
        <v>15851902287929</v>
      </c>
      <c r="M10" s="5">
        <v>174794840403759</v>
      </c>
      <c r="N10" s="5">
        <v>165064736358668</v>
      </c>
      <c r="O10" s="5">
        <v>180733285070212</v>
      </c>
      <c r="P10" s="5">
        <v>209500345456569</v>
      </c>
      <c r="Q10" s="5">
        <v>231652996531895</v>
      </c>
      <c r="R10" s="5">
        <v>21253430531926</v>
      </c>
      <c r="S10" s="5">
        <v>214609350436907</v>
      </c>
      <c r="T10" s="5">
        <v>198441169304435</v>
      </c>
      <c r="U10" s="5">
        <v>198520116610811</v>
      </c>
      <c r="V10" s="5">
        <v>193651122219605</v>
      </c>
      <c r="W10" s="5">
        <v>191355977703494</v>
      </c>
      <c r="X10" s="5">
        <v>177374872822271</v>
      </c>
      <c r="Y10" s="5">
        <v>163657898290183</v>
      </c>
      <c r="Z10" s="5">
        <v>17693126097931</v>
      </c>
      <c r="AA10" s="5">
        <v>201753797825276</v>
      </c>
      <c r="AB10" s="5">
        <v>217383704914665</v>
      </c>
      <c r="AC10" s="5">
        <v>210285666819755</v>
      </c>
      <c r="AD10" s="5">
        <v>199050023582416</v>
      </c>
      <c r="AE10" s="5">
        <v>191707928232752</v>
      </c>
      <c r="AF10" s="5">
        <v>176481819154115</v>
      </c>
      <c r="AG10" s="5">
        <v>183030018269265</v>
      </c>
      <c r="AH10" s="5">
        <v>188302465658815</v>
      </c>
      <c r="AI10" s="5">
        <v>181073582533423</v>
      </c>
      <c r="AJ10" s="5">
        <v>178300158327711</v>
      </c>
      <c r="AK10" s="5">
        <v>181278021754883</v>
      </c>
      <c r="AL10" s="5">
        <v>160390743371397</v>
      </c>
      <c r="AM10" s="5">
        <v>166130585702506</v>
      </c>
      <c r="AN10" s="5">
        <v>15752830001503</v>
      </c>
      <c r="AO10" s="5">
        <v>16179367798573</v>
      </c>
    </row>
    <row r="11" spans="1:41" x14ac:dyDescent="0.45">
      <c r="A11" s="1" t="s">
        <v>5</v>
      </c>
      <c r="B11" s="2">
        <v>4047847</v>
      </c>
      <c r="C11" s="3" t="s">
        <v>513</v>
      </c>
      <c r="D11" s="3" t="s">
        <v>514</v>
      </c>
      <c r="E11" s="3" t="s">
        <v>515</v>
      </c>
      <c r="F11" s="5">
        <v>1247790017838</v>
      </c>
      <c r="G11" s="5">
        <v>1155671348832</v>
      </c>
      <c r="H11" s="5">
        <v>123507415122</v>
      </c>
      <c r="I11" s="5">
        <v>125851598145</v>
      </c>
      <c r="J11" s="5">
        <v>129356748486</v>
      </c>
      <c r="K11" s="5">
        <v>1326442000716</v>
      </c>
      <c r="L11" s="5">
        <v>139743493344</v>
      </c>
      <c r="M11" s="5">
        <v>1559119798054</v>
      </c>
      <c r="N11" s="5">
        <v>1408622419464</v>
      </c>
      <c r="O11" s="5">
        <v>1512336416472</v>
      </c>
      <c r="P11" s="5">
        <v>183309246727358</v>
      </c>
      <c r="Q11" s="5">
        <v>1832049917685</v>
      </c>
      <c r="R11" s="5">
        <v>1890731245624</v>
      </c>
      <c r="S11" s="5">
        <v>2152571194508</v>
      </c>
      <c r="T11" s="5">
        <v>193825201536</v>
      </c>
      <c r="U11" s="5">
        <v>2043591294296</v>
      </c>
      <c r="V11" s="5">
        <v>2302682975154</v>
      </c>
      <c r="W11" s="5">
        <v>22601188764</v>
      </c>
      <c r="X11" s="5">
        <v>2298964627188</v>
      </c>
      <c r="Y11" s="5">
        <v>183730711808</v>
      </c>
      <c r="Z11" s="5">
        <v>193911699968</v>
      </c>
      <c r="AA11" s="5">
        <v>20928708864</v>
      </c>
      <c r="AB11" s="5">
        <v>234278392656</v>
      </c>
      <c r="AC11" s="5">
        <v>257372337352</v>
      </c>
      <c r="AD11" s="5">
        <v>245745452306</v>
      </c>
      <c r="AE11" s="5">
        <v>2550750269157</v>
      </c>
      <c r="AF11" s="5">
        <v>229286707887</v>
      </c>
      <c r="AG11" s="5">
        <v>219342377656</v>
      </c>
      <c r="AH11" s="5">
        <v>235061292584</v>
      </c>
      <c r="AI11" s="5">
        <v>2258920451164</v>
      </c>
      <c r="AJ11" s="5">
        <v>204159584072</v>
      </c>
      <c r="AK11" s="5">
        <v>1798160681559</v>
      </c>
      <c r="AL11" s="5">
        <v>1569245341092</v>
      </c>
      <c r="AM11" s="5">
        <v>1626983891676</v>
      </c>
      <c r="AN11" s="5">
        <v>13970266002</v>
      </c>
      <c r="AO11" s="5">
        <v>1560969989964</v>
      </c>
    </row>
    <row r="12" spans="1:41" x14ac:dyDescent="0.45">
      <c r="A12" s="1" t="s">
        <v>6</v>
      </c>
      <c r="B12" s="2">
        <v>4066743</v>
      </c>
      <c r="C12" s="3" t="s">
        <v>516</v>
      </c>
      <c r="D12" s="3" t="s">
        <v>517</v>
      </c>
      <c r="E12" s="3" t="s">
        <v>518</v>
      </c>
      <c r="F12" s="5">
        <v>296954894114991</v>
      </c>
      <c r="G12" s="5">
        <v>305417128431603</v>
      </c>
      <c r="H12" s="5">
        <v>360362243118332</v>
      </c>
      <c r="I12" s="5">
        <v>223779786101833</v>
      </c>
      <c r="J12" s="5">
        <v>225627831809556</v>
      </c>
      <c r="K12" s="5">
        <v>249907356098997</v>
      </c>
      <c r="L12" s="5">
        <v>195910782862831</v>
      </c>
      <c r="M12" s="5">
        <v>158226915643334</v>
      </c>
      <c r="N12" s="5">
        <v>138685261303969</v>
      </c>
      <c r="O12" s="5">
        <v>153637238535991</v>
      </c>
      <c r="P12" s="5">
        <v>155526095136121</v>
      </c>
      <c r="Q12" s="5">
        <v>181033076772666</v>
      </c>
      <c r="R12" s="5">
        <v>189334654856414</v>
      </c>
      <c r="S12" s="5">
        <v>21098842888826</v>
      </c>
      <c r="T12" s="5">
        <v>215327823845501</v>
      </c>
      <c r="U12" s="5">
        <v>238101545311006</v>
      </c>
      <c r="V12" s="5">
        <v>217383307421742</v>
      </c>
      <c r="W12" s="5">
        <v>216066549436214</v>
      </c>
      <c r="X12" s="5">
        <v>244949979474</v>
      </c>
      <c r="Y12" s="5">
        <v>24900775682</v>
      </c>
      <c r="Z12" s="5">
        <v>2393777744805</v>
      </c>
      <c r="AA12" s="5">
        <v>270053188656102</v>
      </c>
      <c r="AB12" s="5">
        <v>28778699120445</v>
      </c>
      <c r="AC12" s="5">
        <v>249735808940031</v>
      </c>
      <c r="AD12" s="5">
        <v>215445883620234</v>
      </c>
      <c r="AE12" s="5">
        <v>179468363061411</v>
      </c>
      <c r="AF12" s="5">
        <v>150629446675245</v>
      </c>
      <c r="AG12" s="5">
        <v>156953323404304</v>
      </c>
      <c r="AH12" s="5">
        <v>157485693586699</v>
      </c>
      <c r="AI12" s="5">
        <v>167166126079867</v>
      </c>
      <c r="AJ12" s="5">
        <v>168027669680317</v>
      </c>
      <c r="AK12" s="5">
        <v>178615610563228</v>
      </c>
      <c r="AL12" s="5">
        <v>130326764864808</v>
      </c>
      <c r="AM12" s="5">
        <v>145181983543261</v>
      </c>
      <c r="AN12" s="5">
        <v>119278758698532</v>
      </c>
      <c r="AO12" s="5">
        <v>111559898324258</v>
      </c>
    </row>
    <row r="13" spans="1:41" x14ac:dyDescent="0.45">
      <c r="A13" s="1" t="s">
        <v>7</v>
      </c>
      <c r="B13" s="2">
        <v>103316</v>
      </c>
      <c r="C13" s="3" t="s">
        <v>519</v>
      </c>
      <c r="D13" s="3" t="s">
        <v>520</v>
      </c>
      <c r="E13" s="3" t="s">
        <v>521</v>
      </c>
      <c r="F13" s="5">
        <v>492231852542184</v>
      </c>
      <c r="G13" s="5">
        <v>498596613333145</v>
      </c>
      <c r="H13" s="5">
        <v>497038852871577</v>
      </c>
      <c r="I13" s="5">
        <v>509169793761459</v>
      </c>
      <c r="J13" s="5">
        <v>488593243239949</v>
      </c>
      <c r="K13" s="5">
        <v>469607039423343</v>
      </c>
      <c r="L13" s="5">
        <v>485494855919273</v>
      </c>
      <c r="M13" s="5">
        <v>493337517572845</v>
      </c>
      <c r="N13" s="5">
        <v>51965703926136</v>
      </c>
      <c r="O13" s="5">
        <v>561495787960248</v>
      </c>
      <c r="P13" s="5">
        <v>575074379293765</v>
      </c>
      <c r="Q13" s="5">
        <v>573918063077383</v>
      </c>
      <c r="R13" s="5">
        <v>555043418470822</v>
      </c>
      <c r="S13" s="5">
        <v>600244010341164</v>
      </c>
      <c r="T13" s="5">
        <v>5372964285003</v>
      </c>
      <c r="U13" s="5">
        <v>561369702114827</v>
      </c>
      <c r="V13" s="5">
        <v>5587745177886</v>
      </c>
      <c r="W13" s="5">
        <v>4947407870328</v>
      </c>
      <c r="X13" s="5">
        <v>473630586939073</v>
      </c>
      <c r="Y13" s="5">
        <v>470880981246938</v>
      </c>
      <c r="Z13" s="5">
        <v>450138772330828</v>
      </c>
      <c r="AA13" s="5">
        <v>457387234325147</v>
      </c>
      <c r="AB13" s="5">
        <v>430982372377563</v>
      </c>
      <c r="AC13" s="5">
        <v>44968746513262</v>
      </c>
      <c r="AD13" s="5">
        <v>436168000602097</v>
      </c>
      <c r="AE13" s="5">
        <v>443175001817353</v>
      </c>
      <c r="AF13" s="5">
        <v>43919701378203</v>
      </c>
      <c r="AG13" s="5">
        <v>430774900922052</v>
      </c>
      <c r="AH13" s="5">
        <v>408438983436721</v>
      </c>
      <c r="AI13" s="5">
        <v>396622551145254</v>
      </c>
      <c r="AJ13" s="5">
        <v>38632340533916</v>
      </c>
      <c r="AK13" s="5">
        <v>364036148219198</v>
      </c>
      <c r="AL13" s="5">
        <v>3835135953792</v>
      </c>
      <c r="AM13" s="5">
        <v>363555256922308</v>
      </c>
      <c r="AN13" s="5">
        <v>393021422382504</v>
      </c>
      <c r="AO13" s="5">
        <v>42077333448612</v>
      </c>
    </row>
    <row r="14" spans="1:41" x14ac:dyDescent="0.45">
      <c r="A14" s="1" t="s">
        <v>8</v>
      </c>
      <c r="B14" s="2">
        <v>4075849</v>
      </c>
      <c r="C14" s="3" t="s">
        <v>522</v>
      </c>
      <c r="D14" s="3" t="s">
        <v>523</v>
      </c>
      <c r="E14" s="3" t="s">
        <v>524</v>
      </c>
      <c r="F14" s="5">
        <v>328549163457653</v>
      </c>
      <c r="G14" s="5">
        <v>374702855402568</v>
      </c>
      <c r="H14" s="5">
        <v>359745372037892</v>
      </c>
      <c r="I14" s="5">
        <v>31012878578185</v>
      </c>
      <c r="J14" s="5">
        <v>304555249602154</v>
      </c>
      <c r="K14" s="5">
        <v>285106967168327</v>
      </c>
      <c r="L14" s="5">
        <v>285443904864149</v>
      </c>
      <c r="M14" s="5">
        <v>280060573796387</v>
      </c>
      <c r="N14" s="5">
        <v>270387539405849</v>
      </c>
      <c r="O14" s="5">
        <v>308566374102274</v>
      </c>
      <c r="P14" s="5">
        <v>350675612669273</v>
      </c>
      <c r="Q14" s="5">
        <v>415887725407267</v>
      </c>
      <c r="R14" s="5">
        <v>370585625057898</v>
      </c>
      <c r="S14" s="5">
        <v>372941099658856</v>
      </c>
      <c r="T14" s="5">
        <v>344837769721772</v>
      </c>
      <c r="U14" s="5">
        <v>382511191282657</v>
      </c>
      <c r="V14" s="5">
        <v>371267496354192</v>
      </c>
      <c r="W14" s="5">
        <v>381196082659392</v>
      </c>
      <c r="X14" s="5">
        <v>352983036828081</v>
      </c>
      <c r="Y14" s="5">
        <v>350637311413071</v>
      </c>
      <c r="Z14" s="5">
        <v>375579089308255</v>
      </c>
      <c r="AA14" s="5">
        <v>394784027762269</v>
      </c>
      <c r="AB14" s="5">
        <v>372373324067843</v>
      </c>
      <c r="AC14" s="5">
        <v>351350506938233</v>
      </c>
      <c r="AD14" s="5">
        <v>36854185164369</v>
      </c>
      <c r="AE14" s="5">
        <v>342309487981966</v>
      </c>
      <c r="AF14" s="5">
        <v>286266524770745</v>
      </c>
      <c r="AG14" s="5">
        <v>309111244574093</v>
      </c>
      <c r="AH14" s="5">
        <v>326605049330254</v>
      </c>
      <c r="AI14" s="5">
        <v>326372845809222</v>
      </c>
      <c r="AJ14" s="5">
        <v>32535350976882</v>
      </c>
      <c r="AK14" s="5">
        <v>320580712105007</v>
      </c>
      <c r="AL14" s="5">
        <v>362864978585169</v>
      </c>
      <c r="AM14" s="5">
        <v>37651165754236</v>
      </c>
      <c r="AN14" s="5">
        <v>395954133627096</v>
      </c>
      <c r="AO14" s="5">
        <v>414560236208342</v>
      </c>
    </row>
    <row r="15" spans="1:41" x14ac:dyDescent="0.45">
      <c r="A15" s="1" t="s">
        <v>9</v>
      </c>
      <c r="B15" s="2">
        <v>4014726</v>
      </c>
      <c r="C15" s="3" t="s">
        <v>525</v>
      </c>
      <c r="D15" s="3" t="s">
        <v>526</v>
      </c>
      <c r="E15" s="3" t="s">
        <v>527</v>
      </c>
      <c r="F15" s="5">
        <v>4683039749929</v>
      </c>
      <c r="G15" s="5">
        <v>501116341130143</v>
      </c>
      <c r="H15" s="5">
        <v>468087122864292</v>
      </c>
      <c r="I15" s="5">
        <v>517302025016918</v>
      </c>
      <c r="J15" s="5">
        <v>55957694131536</v>
      </c>
      <c r="K15" s="5">
        <v>560088941542934</v>
      </c>
      <c r="L15" s="5">
        <v>534493540822153</v>
      </c>
      <c r="M15" s="5">
        <v>54702120668276</v>
      </c>
      <c r="N15" s="5">
        <v>531580522000415</v>
      </c>
      <c r="O15" s="5">
        <v>607047066651493</v>
      </c>
      <c r="P15" s="5">
        <v>675996237836505</v>
      </c>
      <c r="Q15" s="5">
        <v>71730608735241</v>
      </c>
      <c r="R15" s="5">
        <v>62300656577406</v>
      </c>
      <c r="S15" s="5">
        <v>704669781442504</v>
      </c>
      <c r="T15" s="5">
        <v>635815318438813</v>
      </c>
      <c r="U15" s="5">
        <v>593476753155254</v>
      </c>
      <c r="V15" s="5">
        <v>560473278298491</v>
      </c>
      <c r="W15" s="5">
        <v>541976021312418</v>
      </c>
      <c r="X15" s="5">
        <v>5353972447995</v>
      </c>
      <c r="Y15" s="5">
        <v>546703734344815</v>
      </c>
      <c r="Z15" s="5">
        <v>491352004420674</v>
      </c>
      <c r="AA15" s="5">
        <v>498606954543379</v>
      </c>
      <c r="AB15" s="5">
        <v>481304903616346</v>
      </c>
      <c r="AC15" s="5">
        <v>52376477415402</v>
      </c>
      <c r="AD15" s="5">
        <v>55047426588714</v>
      </c>
      <c r="AE15" s="5">
        <v>551224695169212</v>
      </c>
      <c r="AF15" s="5">
        <v>593869083177991</v>
      </c>
      <c r="AG15" s="5">
        <v>594817347379195</v>
      </c>
      <c r="AH15" s="5">
        <v>605226038716346</v>
      </c>
      <c r="AI15" s="5">
        <v>615405302135058</v>
      </c>
      <c r="AJ15" s="5">
        <v>609436949082161</v>
      </c>
      <c r="AK15" s="5">
        <v>560935524915546</v>
      </c>
      <c r="AL15" s="5">
        <v>592338482972482</v>
      </c>
      <c r="AM15" s="5">
        <v>587071761511075</v>
      </c>
      <c r="AN15" s="5">
        <v>598276010126992</v>
      </c>
      <c r="AO15" s="5">
        <v>655071420689038</v>
      </c>
    </row>
    <row r="16" spans="1:41" x14ac:dyDescent="0.45">
      <c r="A16" s="1" t="s">
        <v>10</v>
      </c>
      <c r="B16" s="2">
        <v>4819787</v>
      </c>
      <c r="C16" s="3" t="s">
        <v>528</v>
      </c>
      <c r="D16" s="3" t="s">
        <v>529</v>
      </c>
      <c r="E16" s="3" t="s">
        <v>530</v>
      </c>
      <c r="F16" s="5">
        <v>700896199927753</v>
      </c>
      <c r="G16" s="5">
        <v>611759462999091</v>
      </c>
      <c r="H16" s="5">
        <v>671684855581206</v>
      </c>
      <c r="I16" s="5">
        <v>633579834003082</v>
      </c>
      <c r="J16" s="5">
        <v>6831943780216</v>
      </c>
      <c r="K16" s="5">
        <v>714441181656446</v>
      </c>
      <c r="L16" s="5">
        <v>695521685011901</v>
      </c>
      <c r="M16" s="5">
        <v>701694985266135</v>
      </c>
      <c r="N16" s="5">
        <v>664799401943165</v>
      </c>
      <c r="O16" s="5">
        <v>686731814049988</v>
      </c>
      <c r="P16" s="5">
        <v>829289268817292</v>
      </c>
      <c r="Q16" s="5">
        <v>788453418996875</v>
      </c>
      <c r="R16" s="5">
        <v>793015888870572</v>
      </c>
      <c r="S16" s="5">
        <v>805987016549551</v>
      </c>
      <c r="T16" s="5">
        <v>785100544984094</v>
      </c>
      <c r="U16" s="5">
        <v>719051857303564</v>
      </c>
      <c r="V16" s="5">
        <v>670748143576195</v>
      </c>
      <c r="W16" s="5">
        <v>818652938069736</v>
      </c>
      <c r="X16" s="5">
        <v>898407344449644</v>
      </c>
      <c r="Y16" s="5">
        <v>848404975989407</v>
      </c>
      <c r="Z16" s="5">
        <v>942163525865919</v>
      </c>
      <c r="AA16" s="5">
        <v>97242229766063</v>
      </c>
      <c r="AB16" s="5">
        <v>929212526753155</v>
      </c>
      <c r="AC16" s="5">
        <v>851494950493024</v>
      </c>
      <c r="AD16" s="5">
        <v>789402156075768</v>
      </c>
      <c r="AE16" s="5">
        <v>742456163579747</v>
      </c>
      <c r="AF16" s="5">
        <v>714407909929135</v>
      </c>
      <c r="AG16" s="5">
        <v>827186148226211</v>
      </c>
      <c r="AH16" s="5">
        <v>773925894500112</v>
      </c>
      <c r="AI16" s="5">
        <v>87036421700395</v>
      </c>
      <c r="AJ16" s="5">
        <v>739884804728947</v>
      </c>
      <c r="AK16" s="5">
        <v>649144701003735</v>
      </c>
      <c r="AL16" s="5">
        <v>683295933687375</v>
      </c>
      <c r="AM16" s="5">
        <v>722856983871734</v>
      </c>
      <c r="AN16" s="5">
        <v>733160264893814</v>
      </c>
      <c r="AO16" s="5">
        <v>647733780806418</v>
      </c>
    </row>
    <row r="17" spans="1:41" x14ac:dyDescent="0.45">
      <c r="A17" s="1" t="s">
        <v>11</v>
      </c>
      <c r="B17" s="2">
        <v>4186103</v>
      </c>
      <c r="C17" s="3" t="s">
        <v>531</v>
      </c>
      <c r="D17" s="3" t="s">
        <v>532</v>
      </c>
      <c r="E17" s="3" t="s">
        <v>533</v>
      </c>
      <c r="F17" s="5">
        <v>106907444502905</v>
      </c>
      <c r="G17" s="5">
        <v>111066909324054</v>
      </c>
      <c r="H17" s="5">
        <v>93360754834776</v>
      </c>
      <c r="I17" s="5">
        <v>925843910257094</v>
      </c>
      <c r="J17" s="5">
        <v>969977818051413</v>
      </c>
      <c r="K17" s="5">
        <v>975345674322755</v>
      </c>
      <c r="L17" s="5">
        <v>992969946228936</v>
      </c>
      <c r="M17" s="5">
        <v>978370786545277</v>
      </c>
      <c r="N17" s="5">
        <v>10377540215018</v>
      </c>
      <c r="O17" s="5">
        <v>111954396367296</v>
      </c>
      <c r="P17" s="5">
        <v>116558544329857</v>
      </c>
      <c r="Q17" s="5">
        <v>144388849847369</v>
      </c>
      <c r="R17" s="5">
        <v>138792211086083</v>
      </c>
      <c r="S17" s="5">
        <v>133870506118418</v>
      </c>
      <c r="T17" s="5">
        <v>141062430699036</v>
      </c>
      <c r="U17" s="5">
        <v>137148656433129</v>
      </c>
      <c r="V17" s="5">
        <v>139515146512289</v>
      </c>
      <c r="W17" s="5">
        <v>138319753917946</v>
      </c>
      <c r="X17" s="5">
        <v>128055056450959</v>
      </c>
      <c r="Y17" s="5">
        <v>129552084411322</v>
      </c>
      <c r="Z17" s="5">
        <v>144615875625593</v>
      </c>
      <c r="AA17" s="5">
        <v>154268613206715</v>
      </c>
      <c r="AB17" s="5">
        <v>155488410843876</v>
      </c>
      <c r="AC17" s="5">
        <v>171316140506807</v>
      </c>
      <c r="AD17" s="5">
        <v>161497237710622</v>
      </c>
      <c r="AE17" s="5">
        <v>159775060966986</v>
      </c>
      <c r="AF17" s="5">
        <v>14837840357633</v>
      </c>
      <c r="AG17" s="5">
        <v>152713075490166</v>
      </c>
      <c r="AH17" s="5">
        <v>146999534519551</v>
      </c>
      <c r="AI17" s="5">
        <v>130512248197695</v>
      </c>
      <c r="AJ17" s="5">
        <v>125294181327458</v>
      </c>
      <c r="AK17" s="5">
        <v>131557718437545</v>
      </c>
      <c r="AL17" s="5">
        <v>116091855435936</v>
      </c>
      <c r="AM17" s="5">
        <v>112644258076865</v>
      </c>
      <c r="AN17" s="5">
        <v>106875765310248</v>
      </c>
      <c r="AO17" s="5">
        <v>128775564148394</v>
      </c>
    </row>
    <row r="18" spans="1:41" x14ac:dyDescent="0.45">
      <c r="A18" s="1" t="s">
        <v>12</v>
      </c>
      <c r="B18" s="2">
        <v>4121019</v>
      </c>
      <c r="C18" s="3" t="s">
        <v>534</v>
      </c>
      <c r="D18" s="3" t="s">
        <v>535</v>
      </c>
      <c r="E18" s="3" t="s">
        <v>536</v>
      </c>
      <c r="F18" s="5">
        <v>141783691870579</v>
      </c>
      <c r="G18" s="5">
        <v>13194291580895</v>
      </c>
      <c r="H18" s="5">
        <v>100225151537821</v>
      </c>
      <c r="I18" s="5">
        <v>813241829146709</v>
      </c>
      <c r="J18" s="5">
        <v>854355820709266</v>
      </c>
      <c r="K18" s="5">
        <v>697899475362558</v>
      </c>
      <c r="L18" s="5">
        <v>627879877254357</v>
      </c>
      <c r="M18" s="5">
        <v>578200886121723</v>
      </c>
      <c r="N18" s="5">
        <v>607200559805658</v>
      </c>
      <c r="O18" s="5">
        <v>783939900308947</v>
      </c>
      <c r="P18" s="5">
        <v>870437870486771</v>
      </c>
      <c r="Q18" s="5">
        <v>952067330918846</v>
      </c>
      <c r="R18" s="5">
        <v>977285293292381</v>
      </c>
      <c r="S18" s="5">
        <v>119982897768623</v>
      </c>
      <c r="T18" s="5">
        <v>102543434067776</v>
      </c>
      <c r="U18" s="5">
        <v>998056807102971</v>
      </c>
      <c r="V18" s="5">
        <v>959012724815588</v>
      </c>
      <c r="W18" s="5">
        <v>101726284251438</v>
      </c>
      <c r="X18" s="5">
        <v>10477435065422</v>
      </c>
      <c r="Y18" s="5">
        <v>13285333636986</v>
      </c>
      <c r="Z18" s="5">
        <v>132231615033482</v>
      </c>
      <c r="AA18" s="5">
        <v>143338849035346</v>
      </c>
      <c r="AB18" s="5">
        <v>149718151803282</v>
      </c>
      <c r="AC18" s="5">
        <v>124107959694674</v>
      </c>
      <c r="AD18" s="5">
        <v>153393701081752</v>
      </c>
      <c r="AE18" s="5">
        <v>130487993547889</v>
      </c>
      <c r="AF18" s="5">
        <v>140812926433043</v>
      </c>
      <c r="AG18" s="5">
        <v>188522043827208</v>
      </c>
      <c r="AH18" s="5">
        <v>214991754027505</v>
      </c>
      <c r="AI18" s="5">
        <v>226016822556786</v>
      </c>
      <c r="AJ18" s="5">
        <v>23977753346384</v>
      </c>
      <c r="AK18" s="5">
        <v>213070303347008</v>
      </c>
      <c r="AL18" s="5">
        <v>19711612222254</v>
      </c>
      <c r="AM18" s="5">
        <v>238640001421087</v>
      </c>
      <c r="AN18" s="5">
        <v>280759497140795</v>
      </c>
      <c r="AO18" s="5">
        <v>303579224193059</v>
      </c>
    </row>
    <row r="19" spans="1:41" x14ac:dyDescent="0.45">
      <c r="A19" s="1" t="s">
        <v>13</v>
      </c>
      <c r="B19" s="2">
        <v>111908</v>
      </c>
      <c r="C19" s="3" t="s">
        <v>537</v>
      </c>
      <c r="D19" s="3" t="s">
        <v>538</v>
      </c>
      <c r="E19" s="3" t="s">
        <v>539</v>
      </c>
      <c r="F19" s="5">
        <v>720372832859968</v>
      </c>
      <c r="G19" s="5">
        <v>799920923841547</v>
      </c>
      <c r="H19" s="5">
        <v>872364556862766</v>
      </c>
      <c r="I19" s="5">
        <v>122853920344425</v>
      </c>
      <c r="J19" s="5">
        <v>121897931269503</v>
      </c>
      <c r="K19" s="5">
        <v>115562704442685</v>
      </c>
      <c r="L19" s="5">
        <v>106984009037049</v>
      </c>
      <c r="M19" s="5">
        <v>107008230939187</v>
      </c>
      <c r="N19" s="5">
        <v>11078644114878</v>
      </c>
      <c r="O19" s="5">
        <v>14814967528704</v>
      </c>
      <c r="P19" s="5">
        <v>170118194387755</v>
      </c>
      <c r="Q19" s="5">
        <v>162118497238365</v>
      </c>
      <c r="R19" s="5">
        <v>164667195751882</v>
      </c>
      <c r="S19" s="5">
        <v>182584607227104</v>
      </c>
      <c r="T19" s="5">
        <v>179546463221254</v>
      </c>
      <c r="U19" s="5">
        <v>186245976499012</v>
      </c>
      <c r="V19" s="5">
        <v>189100747269983</v>
      </c>
      <c r="W19" s="5">
        <v>189577810904051</v>
      </c>
      <c r="X19" s="5">
        <v>190916600723809</v>
      </c>
      <c r="Y19" s="5">
        <v>191899092444262</v>
      </c>
      <c r="Z19" s="5">
        <v>189506208438961</v>
      </c>
      <c r="AA19" s="5">
        <v>208787078111237</v>
      </c>
      <c r="AB19" s="5">
        <v>20186426044257</v>
      </c>
      <c r="AC19" s="5">
        <v>194973307383243</v>
      </c>
      <c r="AD19" s="5">
        <v>199301018198265</v>
      </c>
      <c r="AE19" s="5">
        <v>174312178873402</v>
      </c>
      <c r="AF19" s="5">
        <v>153178798276555</v>
      </c>
      <c r="AG19" s="5">
        <v>163640535535277</v>
      </c>
      <c r="AH19" s="5">
        <v>185599546427837</v>
      </c>
      <c r="AI19" s="5">
        <v>197324893459749</v>
      </c>
      <c r="AJ19" s="5">
        <v>179859495240313</v>
      </c>
      <c r="AK19" s="5">
        <v>184189469120137</v>
      </c>
      <c r="AL19" s="5">
        <v>194674060071213</v>
      </c>
      <c r="AM19" s="5">
        <v>200076618787261</v>
      </c>
      <c r="AN19" s="5">
        <v>244213348251901</v>
      </c>
      <c r="AO19" s="5">
        <v>256157323080847</v>
      </c>
    </row>
    <row r="20" spans="1:41" x14ac:dyDescent="0.45">
      <c r="A20" s="1" t="s">
        <v>14</v>
      </c>
      <c r="B20" s="2">
        <v>4811737</v>
      </c>
      <c r="C20" s="3" t="s">
        <v>540</v>
      </c>
      <c r="D20" s="3" t="s">
        <v>541</v>
      </c>
      <c r="E20" s="3" t="s">
        <v>542</v>
      </c>
      <c r="F20" s="5">
        <v>954224385628523</v>
      </c>
      <c r="G20" s="5">
        <v>910770443331672</v>
      </c>
      <c r="H20" s="5">
        <v>866516250400128</v>
      </c>
      <c r="I20" s="5">
        <v>773610805971821</v>
      </c>
      <c r="J20" s="5">
        <v>879706188861427</v>
      </c>
      <c r="K20" s="5">
        <v>817487965476382</v>
      </c>
      <c r="L20" s="5">
        <v>116856070369703</v>
      </c>
      <c r="M20" s="5">
        <v>115586083041449</v>
      </c>
      <c r="N20" s="5">
        <v>111826299983447</v>
      </c>
      <c r="O20" s="5">
        <v>108171815286563</v>
      </c>
      <c r="P20" s="5">
        <v>132295108461384</v>
      </c>
      <c r="Q20" s="5">
        <v>157372928846869</v>
      </c>
      <c r="R20" s="5">
        <v>150351120252655</v>
      </c>
      <c r="S20" s="5">
        <v>164699137532824</v>
      </c>
      <c r="T20" s="5">
        <v>14124680724</v>
      </c>
      <c r="U20" s="5">
        <v>170326721579793</v>
      </c>
      <c r="V20" s="5">
        <v>160203244981831</v>
      </c>
      <c r="W20" s="5">
        <v>161296374453614</v>
      </c>
      <c r="X20" s="5">
        <v>169629680043263</v>
      </c>
      <c r="Y20" s="5">
        <v>178548092219063</v>
      </c>
      <c r="Z20" s="5">
        <v>198728038133325</v>
      </c>
      <c r="AA20" s="5">
        <v>228007384606043</v>
      </c>
      <c r="AB20" s="5">
        <v>210117885286419</v>
      </c>
      <c r="AC20" s="5">
        <v>187558860601402</v>
      </c>
      <c r="AD20" s="5">
        <v>189855069734092</v>
      </c>
      <c r="AE20" s="5">
        <v>150140106343671</v>
      </c>
      <c r="AF20" s="5">
        <v>133715428528172</v>
      </c>
      <c r="AG20" s="5">
        <v>220773971733885</v>
      </c>
      <c r="AH20" s="5">
        <v>261185867530723</v>
      </c>
      <c r="AI20" s="5">
        <v>262374624825901</v>
      </c>
      <c r="AJ20" s="5">
        <v>247864603693022</v>
      </c>
      <c r="AK20" s="5">
        <v>20293816409152</v>
      </c>
      <c r="AL20" s="5">
        <v>22619156066922</v>
      </c>
      <c r="AM20" s="5">
        <v>236003861251904</v>
      </c>
      <c r="AN20" s="5">
        <v>22335661894131</v>
      </c>
      <c r="AO20" s="5">
        <v>193984533515163</v>
      </c>
    </row>
    <row r="21" spans="1:41" x14ac:dyDescent="0.45">
      <c r="A21" s="1" t="s">
        <v>15</v>
      </c>
      <c r="B21" s="2">
        <v>4987299</v>
      </c>
      <c r="C21" s="3" t="s">
        <v>543</v>
      </c>
      <c r="D21" s="3" t="s">
        <v>544</v>
      </c>
      <c r="E21" s="3" t="s">
        <v>503</v>
      </c>
      <c r="F21" s="5">
        <v>116665930360073</v>
      </c>
      <c r="G21" s="5">
        <v>123184225590432</v>
      </c>
      <c r="H21" s="5">
        <v>123647351079183</v>
      </c>
      <c r="I21" s="5">
        <v>129761654984406</v>
      </c>
      <c r="J21" s="5">
        <v>124616542531704</v>
      </c>
      <c r="K21" s="5">
        <v>124518028499213</v>
      </c>
      <c r="L21" s="5">
        <v>105598122590922</v>
      </c>
      <c r="M21" s="5">
        <v>108216886448279</v>
      </c>
      <c r="N21" s="5">
        <v>105574631134752</v>
      </c>
      <c r="O21" s="5">
        <v>104153827399388</v>
      </c>
      <c r="P21" s="5">
        <v>106743909083065</v>
      </c>
      <c r="Q21" s="5">
        <v>111008285877258</v>
      </c>
      <c r="R21" s="5">
        <v>109725452222392</v>
      </c>
      <c r="S21" s="5">
        <v>116040290753787</v>
      </c>
      <c r="T21" s="5">
        <v>111790386010536</v>
      </c>
      <c r="U21" s="5">
        <v>113850695596251</v>
      </c>
      <c r="V21" s="5">
        <v>109367746309787</v>
      </c>
      <c r="W21" s="5">
        <v>110140743230272</v>
      </c>
      <c r="X21" s="5">
        <v>964203264629892</v>
      </c>
      <c r="Y21" s="5">
        <v>982223279351451</v>
      </c>
      <c r="Z21" s="5">
        <v>994051294858675</v>
      </c>
      <c r="AA21" s="5">
        <v>10919303298205</v>
      </c>
      <c r="AB21" s="5">
        <v>103570306820024</v>
      </c>
      <c r="AC21" s="5">
        <v>100244106302388</v>
      </c>
      <c r="AD21" s="5">
        <v>100618985545477</v>
      </c>
      <c r="AE21" s="5">
        <v>853944075986629</v>
      </c>
      <c r="AF21" s="5">
        <v>817282399470084</v>
      </c>
      <c r="AG21" s="5">
        <v>864178105997056</v>
      </c>
      <c r="AH21" s="5">
        <v>921100461852512</v>
      </c>
      <c r="AI21" s="5">
        <v>930808440054022</v>
      </c>
      <c r="AJ21" s="5">
        <v>9668709699086</v>
      </c>
      <c r="AK21" s="5">
        <v>864318304607285</v>
      </c>
      <c r="AL21" s="5">
        <v>88039835153894</v>
      </c>
      <c r="AM21" s="5">
        <v>863159487414385</v>
      </c>
      <c r="AN21" s="5">
        <v>932913293542542</v>
      </c>
      <c r="AO21" s="5">
        <v>950729443119027</v>
      </c>
    </row>
    <row r="22" spans="1:41" x14ac:dyDescent="0.45">
      <c r="A22" s="1" t="s">
        <v>16</v>
      </c>
      <c r="B22" s="2">
        <v>4057038</v>
      </c>
      <c r="C22" s="3" t="s">
        <v>545</v>
      </c>
      <c r="D22" s="3" t="s">
        <v>546</v>
      </c>
      <c r="E22" s="3" t="s">
        <v>547</v>
      </c>
      <c r="F22" s="5">
        <v>142328100761537</v>
      </c>
      <c r="G22" s="5">
        <v>154003250538134</v>
      </c>
      <c r="H22" s="5">
        <v>148918702062546</v>
      </c>
      <c r="I22" s="5">
        <v>147686394863694</v>
      </c>
      <c r="J22" s="5">
        <v>142947723000009</v>
      </c>
      <c r="K22" s="5">
        <v>145987275506829</v>
      </c>
      <c r="L22" s="5">
        <v>132266132951513</v>
      </c>
      <c r="M22" s="5">
        <v>140879436720704</v>
      </c>
      <c r="N22" s="5">
        <v>138102184880019</v>
      </c>
      <c r="O22" s="5">
        <v>152825967444922</v>
      </c>
      <c r="P22" s="5">
        <v>159200057673733</v>
      </c>
      <c r="Q22" s="5">
        <v>145359465513385</v>
      </c>
      <c r="R22" s="5">
        <v>146577998671859</v>
      </c>
      <c r="S22" s="5">
        <v>153705385350339</v>
      </c>
      <c r="T22" s="5">
        <v>141741665145</v>
      </c>
      <c r="U22" s="5">
        <v>13957335624772</v>
      </c>
      <c r="V22" s="5">
        <v>135128867556895</v>
      </c>
      <c r="W22" s="5">
        <v>131855325951149</v>
      </c>
      <c r="X22" s="5">
        <v>12179278223789</v>
      </c>
      <c r="Y22" s="5">
        <v>121726018574167</v>
      </c>
      <c r="Z22" s="5">
        <v>119402829909014</v>
      </c>
      <c r="AA22" s="5">
        <v>119497216234738</v>
      </c>
      <c r="AB22" s="5">
        <v>113128526953428</v>
      </c>
      <c r="AC22" s="5">
        <v>114447621479812</v>
      </c>
      <c r="AD22" s="5">
        <v>118431446764566</v>
      </c>
      <c r="AE22" s="5">
        <v>118320502552911</v>
      </c>
      <c r="AF22" s="5">
        <v>116784759844149</v>
      </c>
      <c r="AG22" s="5">
        <v>115762634439791</v>
      </c>
      <c r="AH22" s="5">
        <v>116979499169348</v>
      </c>
      <c r="AI22" s="5">
        <v>122585926443887</v>
      </c>
      <c r="AJ22" s="5">
        <v>120846333006438</v>
      </c>
      <c r="AK22" s="5">
        <v>121382387297814</v>
      </c>
      <c r="AL22" s="5">
        <v>125598271295709</v>
      </c>
      <c r="AM22" s="5">
        <v>123432484782859</v>
      </c>
      <c r="AN22" s="5">
        <v>121290231492695</v>
      </c>
      <c r="AO22" s="5">
        <v>124871866135404</v>
      </c>
    </row>
    <row r="23" spans="1:41" x14ac:dyDescent="0.45">
      <c r="A23" s="1" t="s">
        <v>17</v>
      </c>
      <c r="B23" s="2">
        <v>4633618</v>
      </c>
      <c r="C23" s="3" t="s">
        <v>548</v>
      </c>
      <c r="D23" s="3" t="s">
        <v>549</v>
      </c>
      <c r="E23" s="3" t="s">
        <v>550</v>
      </c>
      <c r="F23" s="5">
        <v>322053031422</v>
      </c>
      <c r="G23" s="5">
        <v>3331699260736</v>
      </c>
      <c r="H23" s="5">
        <v>294478816338</v>
      </c>
      <c r="I23" s="5">
        <v>250788840327</v>
      </c>
      <c r="J23" s="5">
        <v>2204188789686</v>
      </c>
      <c r="K23" s="5">
        <v>203343413388</v>
      </c>
      <c r="L23" s="5">
        <v>182633096524892</v>
      </c>
      <c r="M23" s="5">
        <v>18419889763927</v>
      </c>
      <c r="N23" s="5">
        <v>17085126432517</v>
      </c>
      <c r="O23" s="5">
        <v>1752145453116</v>
      </c>
      <c r="P23" s="5">
        <v>2005217299918</v>
      </c>
      <c r="Q23" s="5">
        <v>2411169358734</v>
      </c>
      <c r="R23" s="5">
        <v>2244297684954</v>
      </c>
      <c r="S23" s="5">
        <v>1968238738018</v>
      </c>
      <c r="T23" s="5">
        <v>193714043283</v>
      </c>
      <c r="U23" s="5">
        <v>183722072884</v>
      </c>
      <c r="V23" s="5">
        <v>1827068431385</v>
      </c>
      <c r="W23" s="5">
        <v>1959479907</v>
      </c>
      <c r="X23" s="5">
        <v>210752418242367</v>
      </c>
      <c r="Y23" s="5">
        <v>197325237262309</v>
      </c>
      <c r="Z23" s="5">
        <v>189105103984816</v>
      </c>
      <c r="AA23" s="5">
        <v>1744258230096</v>
      </c>
      <c r="AB23" s="5">
        <v>159945987839</v>
      </c>
      <c r="AC23" s="5">
        <v>16143612368</v>
      </c>
      <c r="AD23" s="5">
        <v>1588163793488</v>
      </c>
      <c r="AE23" s="5">
        <v>1528200191587</v>
      </c>
      <c r="AF23" s="5">
        <v>147651139677</v>
      </c>
      <c r="AG23" s="5">
        <v>1564358958504</v>
      </c>
      <c r="AH23" s="5">
        <v>158935531862</v>
      </c>
      <c r="AI23" s="5">
        <v>1520556376638</v>
      </c>
      <c r="AJ23" s="5">
        <v>139899844608</v>
      </c>
      <c r="AK23" s="5">
        <v>1466579217037</v>
      </c>
      <c r="AL23" s="5">
        <v>123960378711</v>
      </c>
      <c r="AM23" s="5">
        <v>1224206984988</v>
      </c>
      <c r="AN23" s="5">
        <v>108785055708</v>
      </c>
      <c r="AO23" s="5">
        <v>118361021229</v>
      </c>
    </row>
    <row r="24" spans="1:41" x14ac:dyDescent="0.45">
      <c r="A24" s="1" t="s">
        <v>18</v>
      </c>
      <c r="B24" s="2">
        <v>4087349</v>
      </c>
      <c r="C24" s="3" t="s">
        <v>551</v>
      </c>
      <c r="D24" s="3" t="s">
        <v>552</v>
      </c>
      <c r="E24" s="3" t="s">
        <v>553</v>
      </c>
      <c r="F24" s="5">
        <v>824379181779421</v>
      </c>
      <c r="G24" s="5">
        <v>854279713037076</v>
      </c>
      <c r="H24" s="5">
        <v>820559163222259</v>
      </c>
      <c r="I24" s="5">
        <v>945827961735199</v>
      </c>
      <c r="J24" s="5">
        <v>96522887116121</v>
      </c>
      <c r="K24" s="5">
        <v>909626479687144</v>
      </c>
      <c r="L24" s="5">
        <v>84093637691073</v>
      </c>
      <c r="M24" s="5">
        <v>899759927383981</v>
      </c>
      <c r="N24" s="5">
        <v>878185754855846</v>
      </c>
      <c r="O24" s="5">
        <v>938832930181971</v>
      </c>
      <c r="P24" s="5">
        <v>907503803417708</v>
      </c>
      <c r="Q24" s="5">
        <v>851651709401703</v>
      </c>
      <c r="R24" s="5">
        <v>855997684435186</v>
      </c>
      <c r="S24" s="5">
        <v>927502877981685</v>
      </c>
      <c r="T24" s="5">
        <v>850078533147421</v>
      </c>
      <c r="U24" s="5">
        <v>780810293860242</v>
      </c>
      <c r="V24" s="5">
        <v>829454630015819</v>
      </c>
      <c r="W24" s="5">
        <v>772667781873187</v>
      </c>
      <c r="X24" s="5">
        <v>730194167761996</v>
      </c>
      <c r="Y24" s="5">
        <v>73251828807631</v>
      </c>
      <c r="Z24" s="5">
        <v>703730645918635</v>
      </c>
      <c r="AA24" s="5">
        <v>712145751906879</v>
      </c>
      <c r="AB24" s="5">
        <v>667396939462278</v>
      </c>
      <c r="AC24" s="5">
        <v>654020849737631</v>
      </c>
      <c r="AD24" s="5">
        <v>645478180183411</v>
      </c>
      <c r="AE24" s="5">
        <v>681750965718208</v>
      </c>
      <c r="AF24" s="5">
        <v>6724554717072</v>
      </c>
      <c r="AG24" s="5">
        <v>705031961564674</v>
      </c>
      <c r="AH24" s="5">
        <v>723523397608374</v>
      </c>
      <c r="AI24" s="5">
        <v>735688122209739</v>
      </c>
      <c r="AJ24" s="5">
        <v>740698585384128</v>
      </c>
      <c r="AK24" s="5">
        <v>743991733422513</v>
      </c>
      <c r="AL24" s="5">
        <v>768438296127917</v>
      </c>
      <c r="AM24" s="5">
        <v>733299780670651</v>
      </c>
      <c r="AN24" s="5">
        <v>780953122353286</v>
      </c>
      <c r="AO24" s="5">
        <v>743184019558427</v>
      </c>
    </row>
    <row r="25" spans="1:41" x14ac:dyDescent="0.45">
      <c r="A25" s="1" t="s">
        <v>19</v>
      </c>
      <c r="B25" s="2">
        <v>3001792</v>
      </c>
      <c r="C25" s="3" t="s">
        <v>554</v>
      </c>
      <c r="D25" s="3" t="s">
        <v>555</v>
      </c>
      <c r="E25" s="3" t="s">
        <v>556</v>
      </c>
      <c r="F25" s="5">
        <v>210158308733159</v>
      </c>
      <c r="G25" s="5">
        <v>215011168638087</v>
      </c>
      <c r="H25" s="5">
        <v>226353286849697</v>
      </c>
      <c r="I25" s="5">
        <v>199582643469056</v>
      </c>
      <c r="J25" s="5">
        <v>208789223754509</v>
      </c>
      <c r="K25" s="5">
        <v>218166453492</v>
      </c>
      <c r="L25" s="5">
        <v>198324700371783</v>
      </c>
      <c r="M25" s="5">
        <v>191811279405303</v>
      </c>
      <c r="N25" s="5">
        <v>172501629316319</v>
      </c>
      <c r="O25" s="5">
        <v>186550295232046</v>
      </c>
      <c r="P25" s="5">
        <v>216217320195438</v>
      </c>
      <c r="Q25" s="5">
        <v>240448784014058</v>
      </c>
      <c r="R25" s="5">
        <v>222822337520708</v>
      </c>
      <c r="S25" s="5">
        <v>207185823212587</v>
      </c>
      <c r="T25" s="5">
        <v>18044696184</v>
      </c>
      <c r="U25" s="5">
        <v>175342590672147</v>
      </c>
      <c r="V25" s="5">
        <v>169379400005451</v>
      </c>
      <c r="W25" s="5">
        <v>179794802330839</v>
      </c>
      <c r="X25" s="5">
        <v>187694166206057</v>
      </c>
      <c r="Y25" s="5">
        <v>169310961903071</v>
      </c>
      <c r="Z25" s="5">
        <v>17025130887681</v>
      </c>
      <c r="AA25" s="5">
        <v>17346490901451</v>
      </c>
      <c r="AB25" s="5">
        <v>169855161057407</v>
      </c>
      <c r="AC25" s="5">
        <v>147826075382123</v>
      </c>
      <c r="AD25" s="5">
        <v>142051706376717</v>
      </c>
      <c r="AE25" s="5">
        <v>138424258060628</v>
      </c>
      <c r="AF25" s="5">
        <v>130177457769879</v>
      </c>
      <c r="AG25" s="5">
        <v>123919257622597</v>
      </c>
      <c r="AH25" s="5">
        <v>13128844699422</v>
      </c>
      <c r="AI25" s="5">
        <v>124459354311014</v>
      </c>
      <c r="AJ25" s="5">
        <v>122518637139919</v>
      </c>
      <c r="AK25" s="5">
        <v>116085861197601</v>
      </c>
      <c r="AL25" s="5">
        <v>980358787967678</v>
      </c>
      <c r="AM25" s="5">
        <v>974187679260608</v>
      </c>
      <c r="AN25" s="5">
        <v>909594528261787</v>
      </c>
      <c r="AO25" s="5">
        <v>968665335173829</v>
      </c>
    </row>
    <row r="26" spans="1:41" x14ac:dyDescent="0.45">
      <c r="A26" s="1" t="s">
        <v>20</v>
      </c>
      <c r="B26" s="2">
        <v>4160328</v>
      </c>
      <c r="C26" s="3" t="s">
        <v>557</v>
      </c>
      <c r="D26" s="3" t="s">
        <v>558</v>
      </c>
      <c r="E26" s="3" t="s">
        <v>559</v>
      </c>
      <c r="F26" s="5">
        <v>163853264570893</v>
      </c>
      <c r="G26" s="5">
        <v>169345647636211</v>
      </c>
      <c r="H26" s="5">
        <v>15806930567142</v>
      </c>
      <c r="I26" s="5">
        <v>160896704517292</v>
      </c>
      <c r="J26" s="5">
        <v>170044484573118</v>
      </c>
      <c r="K26" s="5">
        <v>188349566746638</v>
      </c>
      <c r="L26" s="5">
        <v>178717787905599</v>
      </c>
      <c r="M26" s="5">
        <v>18388002748915</v>
      </c>
      <c r="N26" s="5">
        <v>185721182487048</v>
      </c>
      <c r="O26" s="5">
        <v>129621714775524</v>
      </c>
      <c r="P26" s="5">
        <v>140481615824057</v>
      </c>
      <c r="Q26" s="5">
        <v>135069372947545</v>
      </c>
      <c r="R26" s="5">
        <v>13127807312532</v>
      </c>
      <c r="S26" s="5">
        <v>145656119808203</v>
      </c>
      <c r="T26" s="5">
        <v>148055722730433</v>
      </c>
      <c r="U26" s="5">
        <v>146723287232344</v>
      </c>
      <c r="V26" s="5">
        <v>149387031640818</v>
      </c>
      <c r="W26" s="5">
        <v>140530550172012</v>
      </c>
      <c r="X26" s="5">
        <v>131834939649935</v>
      </c>
      <c r="Y26" s="5">
        <v>1354469964798</v>
      </c>
      <c r="Z26" s="5">
        <v>120757029437285</v>
      </c>
      <c r="AA26" s="5">
        <v>127165146957092</v>
      </c>
      <c r="AB26" s="5">
        <v>121056268463533</v>
      </c>
      <c r="AC26" s="5">
        <v>125536982186755</v>
      </c>
      <c r="AD26" s="5">
        <v>125965619921187</v>
      </c>
      <c r="AE26" s="5">
        <v>125545373820805</v>
      </c>
      <c r="AF26" s="5">
        <v>119793200724556</v>
      </c>
      <c r="AG26" s="5">
        <v>123209770288402</v>
      </c>
      <c r="AH26" s="5">
        <v>128034354764036</v>
      </c>
      <c r="AI26" s="5">
        <v>133627371062913</v>
      </c>
      <c r="AJ26" s="5">
        <v>13121252821166</v>
      </c>
      <c r="AK26" s="5">
        <v>131035978206936</v>
      </c>
      <c r="AL26" s="5">
        <v>143897971747426</v>
      </c>
      <c r="AM26" s="5">
        <v>152509192898993</v>
      </c>
      <c r="AN26" s="5">
        <v>153421991070342</v>
      </c>
      <c r="AO26" s="5">
        <v>162114723823605</v>
      </c>
    </row>
    <row r="27" spans="1:41" x14ac:dyDescent="0.45">
      <c r="A27" s="1" t="s">
        <v>21</v>
      </c>
      <c r="B27" s="2">
        <v>4007308</v>
      </c>
      <c r="C27" s="3" t="s">
        <v>560</v>
      </c>
      <c r="D27" s="3" t="s">
        <v>561</v>
      </c>
      <c r="E27" s="3" t="s">
        <v>562</v>
      </c>
      <c r="F27" s="5">
        <v>23005798722926</v>
      </c>
      <c r="G27" s="5">
        <v>248087766346358</v>
      </c>
      <c r="H27" s="5">
        <v>239181195963901</v>
      </c>
      <c r="I27" s="5">
        <v>240564975453679</v>
      </c>
      <c r="J27" s="5">
        <v>230664857332624</v>
      </c>
      <c r="K27" s="5">
        <v>239054815584</v>
      </c>
      <c r="L27" s="5">
        <v>221029046272271</v>
      </c>
      <c r="M27" s="5">
        <v>230765268884079</v>
      </c>
      <c r="N27" s="5">
        <v>236307276989924</v>
      </c>
      <c r="O27" s="5">
        <v>250949671144632</v>
      </c>
      <c r="P27" s="5">
        <v>263453646418436</v>
      </c>
      <c r="Q27" s="5">
        <v>241916154762119</v>
      </c>
      <c r="R27" s="5">
        <v>22982567757152</v>
      </c>
      <c r="S27" s="5">
        <v>238801166445338</v>
      </c>
      <c r="T27" s="5">
        <v>214062549264848</v>
      </c>
      <c r="U27" s="5">
        <v>209228700030371</v>
      </c>
      <c r="V27" s="5">
        <v>19903804878492</v>
      </c>
      <c r="W27" s="5">
        <v>195323995454095</v>
      </c>
      <c r="X27" s="5">
        <v>176981028444542</v>
      </c>
      <c r="Y27" s="5">
        <v>180414446843644</v>
      </c>
      <c r="Z27" s="5">
        <v>184114078858468</v>
      </c>
      <c r="AA27" s="5">
        <v>182485550164281</v>
      </c>
      <c r="AB27" s="5">
        <v>175372173190444</v>
      </c>
      <c r="AC27" s="5">
        <v>168607382780931</v>
      </c>
      <c r="AD27" s="5">
        <v>172087010855179</v>
      </c>
      <c r="AE27" s="5">
        <v>18706507862924</v>
      </c>
      <c r="AF27" s="5">
        <v>188395534968529</v>
      </c>
      <c r="AG27" s="5">
        <v>185762302707864</v>
      </c>
      <c r="AH27" s="5">
        <v>192035594995729</v>
      </c>
      <c r="AI27" s="5">
        <v>204144614952662</v>
      </c>
      <c r="AJ27" s="5">
        <v>196457410696678</v>
      </c>
      <c r="AK27" s="5">
        <v>19976172326516</v>
      </c>
      <c r="AL27" s="5">
        <v>211596460323376</v>
      </c>
      <c r="AM27" s="5">
        <v>208703033405167</v>
      </c>
      <c r="AN27" s="5">
        <v>204154002360058</v>
      </c>
      <c r="AO27" s="5">
        <v>206769156299223</v>
      </c>
    </row>
    <row r="28" spans="1:41" x14ac:dyDescent="0.45">
      <c r="A28" s="1" t="s">
        <v>22</v>
      </c>
      <c r="B28" s="2">
        <v>4006321</v>
      </c>
      <c r="C28" s="3" t="s">
        <v>563</v>
      </c>
      <c r="D28" s="3" t="s">
        <v>564</v>
      </c>
      <c r="E28" s="3" t="s">
        <v>547</v>
      </c>
      <c r="F28" s="5">
        <v>524531711645873</v>
      </c>
      <c r="G28" s="5">
        <v>570088484931134</v>
      </c>
      <c r="H28" s="5">
        <v>558096928040828</v>
      </c>
      <c r="I28" s="5">
        <v>512781273568012</v>
      </c>
      <c r="J28" s="5">
        <v>507579046815035</v>
      </c>
      <c r="K28" s="5">
        <v>528949392065038</v>
      </c>
      <c r="L28" s="5">
        <v>471970066269426</v>
      </c>
      <c r="M28" s="5">
        <v>487216510480642</v>
      </c>
      <c r="N28" s="5">
        <v>508776223828074</v>
      </c>
      <c r="O28" s="5">
        <v>538643591718251</v>
      </c>
      <c r="P28" s="5">
        <v>542263338070426</v>
      </c>
      <c r="Q28" s="5">
        <v>503978058619123</v>
      </c>
      <c r="R28" s="5">
        <v>474435599681656</v>
      </c>
      <c r="S28" s="5">
        <v>504058752918682</v>
      </c>
      <c r="T28" s="5">
        <v>483956483952563</v>
      </c>
      <c r="U28" s="5">
        <v>489503355992442</v>
      </c>
      <c r="V28" s="5">
        <v>482436738604443</v>
      </c>
      <c r="W28" s="5">
        <v>482435312522856</v>
      </c>
      <c r="X28" s="5">
        <v>431648106035782</v>
      </c>
      <c r="Y28" s="5">
        <v>438668224011445</v>
      </c>
      <c r="Z28" s="5">
        <v>424097160635153</v>
      </c>
      <c r="AA28" s="5">
        <v>419752377539636</v>
      </c>
      <c r="AB28" s="5">
        <v>414682225029184</v>
      </c>
      <c r="AC28" s="5">
        <v>378744244729468</v>
      </c>
      <c r="AD28" s="5">
        <v>386412016299216</v>
      </c>
      <c r="AE28" s="5">
        <v>38357050516262</v>
      </c>
      <c r="AF28" s="5">
        <v>368343710512988</v>
      </c>
      <c r="AG28" s="5">
        <v>366124569096417</v>
      </c>
      <c r="AH28" s="5">
        <v>372393973053312</v>
      </c>
      <c r="AI28" s="5">
        <v>396134707046713</v>
      </c>
      <c r="AJ28" s="5">
        <v>39704381473752</v>
      </c>
      <c r="AK28" s="5">
        <v>401493131981014</v>
      </c>
      <c r="AL28" s="5">
        <v>430773434568865</v>
      </c>
      <c r="AM28" s="5">
        <v>43080138744193</v>
      </c>
      <c r="AN28" s="5">
        <v>425829207951269</v>
      </c>
      <c r="AO28" s="5">
        <v>44453818531919</v>
      </c>
    </row>
    <row r="29" spans="1:41" x14ac:dyDescent="0.45">
      <c r="A29" s="1" t="s">
        <v>23</v>
      </c>
      <c r="B29" s="2">
        <v>102700</v>
      </c>
      <c r="C29" s="3" t="s">
        <v>565</v>
      </c>
      <c r="D29" s="3" t="s">
        <v>566</v>
      </c>
      <c r="E29" s="3" t="s">
        <v>567</v>
      </c>
      <c r="F29" s="5">
        <v>217047797810594</v>
      </c>
      <c r="G29" s="5">
        <v>216994365654426</v>
      </c>
      <c r="H29" s="5">
        <v>21544035903406</v>
      </c>
      <c r="I29" s="5">
        <v>197004236195469</v>
      </c>
      <c r="J29" s="5">
        <v>197081690670863</v>
      </c>
      <c r="K29" s="5">
        <v>182082318085458</v>
      </c>
      <c r="L29" s="5">
        <v>190287972846339</v>
      </c>
      <c r="M29" s="5">
        <v>181554988961071</v>
      </c>
      <c r="N29" s="5">
        <v>164507916587095</v>
      </c>
      <c r="O29" s="5">
        <v>174523730328271</v>
      </c>
      <c r="P29" s="5">
        <v>203209279032037</v>
      </c>
      <c r="Q29" s="5">
        <v>21440388879</v>
      </c>
      <c r="R29" s="5">
        <v>201942836920504</v>
      </c>
      <c r="S29" s="5">
        <v>203426569038953</v>
      </c>
      <c r="T29" s="5">
        <v>175226214295795</v>
      </c>
      <c r="U29" s="5">
        <v>172863798847242</v>
      </c>
      <c r="V29" s="5">
        <v>166243466069704</v>
      </c>
      <c r="W29" s="5">
        <v>166217514239811</v>
      </c>
      <c r="X29" s="5">
        <v>155445428639943</v>
      </c>
      <c r="Y29" s="5">
        <v>159184642841112</v>
      </c>
      <c r="Z29" s="5">
        <v>157430159115205</v>
      </c>
      <c r="AA29" s="5">
        <v>151780831623198</v>
      </c>
      <c r="AB29" s="5">
        <v>146935028664641</v>
      </c>
      <c r="AC29" s="5">
        <v>133770947934</v>
      </c>
      <c r="AD29" s="5">
        <v>123512535778719</v>
      </c>
      <c r="AE29" s="5">
        <v>114106263174776</v>
      </c>
      <c r="AF29" s="5">
        <v>100725315270712</v>
      </c>
      <c r="AG29" s="5">
        <v>103807348202605</v>
      </c>
      <c r="AH29" s="5">
        <v>107277592486672</v>
      </c>
      <c r="AI29" s="5">
        <v>112856218362869</v>
      </c>
      <c r="AJ29" s="5">
        <v>11859683854201</v>
      </c>
      <c r="AK29" s="5">
        <v>110577009692752</v>
      </c>
      <c r="AL29" s="5">
        <v>108654488280213</v>
      </c>
      <c r="AM29" s="5">
        <v>112964065957543</v>
      </c>
      <c r="AN29" s="5">
        <v>121972127104163</v>
      </c>
      <c r="AO29" s="5">
        <v>119666131893</v>
      </c>
    </row>
    <row r="30" spans="1:41" x14ac:dyDescent="0.45">
      <c r="A30" s="1" t="s">
        <v>24</v>
      </c>
      <c r="B30" s="2">
        <v>103330</v>
      </c>
      <c r="C30" s="3" t="s">
        <v>568</v>
      </c>
      <c r="D30" s="3" t="s">
        <v>569</v>
      </c>
      <c r="E30" s="3" t="s">
        <v>570</v>
      </c>
      <c r="F30" s="5">
        <v>393150949501585</v>
      </c>
      <c r="G30" s="5">
        <v>354395624239247</v>
      </c>
      <c r="H30" s="5">
        <v>37926172844532</v>
      </c>
      <c r="I30" s="5">
        <v>370848193856217</v>
      </c>
      <c r="J30" s="5">
        <v>385146069258018</v>
      </c>
      <c r="K30" s="5">
        <v>39112160908858</v>
      </c>
      <c r="L30" s="5">
        <v>420028830708201</v>
      </c>
      <c r="M30" s="5">
        <v>429903367928003</v>
      </c>
      <c r="N30" s="5">
        <v>419451063541754</v>
      </c>
      <c r="O30" s="5">
        <v>47725857171976</v>
      </c>
      <c r="P30" s="5">
        <v>472967267324312</v>
      </c>
      <c r="Q30" s="5">
        <v>442054664655412</v>
      </c>
      <c r="R30" s="5">
        <v>4386191550195</v>
      </c>
      <c r="S30" s="5">
        <v>4545211821549</v>
      </c>
      <c r="T30" s="5">
        <v>450028550617783</v>
      </c>
      <c r="U30" s="5">
        <v>422805748446978</v>
      </c>
      <c r="V30" s="5">
        <v>448582396684878</v>
      </c>
      <c r="W30" s="5">
        <v>485861527102367</v>
      </c>
      <c r="X30" s="5">
        <v>459843564318497</v>
      </c>
      <c r="Y30" s="5">
        <v>482353391280153</v>
      </c>
      <c r="Z30" s="5">
        <v>474720000774819</v>
      </c>
      <c r="AA30" s="5">
        <v>492804700711585</v>
      </c>
      <c r="AB30" s="5">
        <v>459170717883784</v>
      </c>
      <c r="AC30" s="5">
        <v>449778763037869</v>
      </c>
      <c r="AD30" s="5">
        <v>430304571106448</v>
      </c>
      <c r="AE30" s="5">
        <v>423619490225878</v>
      </c>
      <c r="AF30" s="5">
        <v>41311474669252</v>
      </c>
      <c r="AG30" s="5">
        <v>407597275441651</v>
      </c>
      <c r="AH30" s="5">
        <v>384108574487546</v>
      </c>
      <c r="AI30" s="5">
        <v>395878670115569</v>
      </c>
      <c r="AJ30" s="5">
        <v>381465630990797</v>
      </c>
      <c r="AK30" s="5">
        <v>358766935595672</v>
      </c>
      <c r="AL30" s="5">
        <v>352597464035216</v>
      </c>
      <c r="AM30" s="5">
        <v>340064948369546</v>
      </c>
      <c r="AN30" s="5">
        <v>424401027533381</v>
      </c>
      <c r="AO30" s="5">
        <v>432463803709865</v>
      </c>
    </row>
    <row r="31" spans="1:41" x14ac:dyDescent="0.45">
      <c r="A31" s="1" t="s">
        <v>25</v>
      </c>
      <c r="B31" s="2">
        <v>4290489</v>
      </c>
      <c r="C31" s="3" t="s">
        <v>571</v>
      </c>
      <c r="D31" s="3" t="s">
        <v>572</v>
      </c>
      <c r="E31" s="3" t="s">
        <v>573</v>
      </c>
      <c r="F31" s="5">
        <v>700033544645137</v>
      </c>
      <c r="G31" s="5">
        <v>731840732340835</v>
      </c>
      <c r="H31" s="5">
        <v>726449612007962</v>
      </c>
      <c r="I31" s="5">
        <v>767530886270616</v>
      </c>
      <c r="J31" s="5">
        <v>816027801436721</v>
      </c>
      <c r="K31" s="5">
        <v>85303450582309</v>
      </c>
      <c r="L31" s="5">
        <v>881029295457799</v>
      </c>
      <c r="M31" s="5">
        <v>88558201011116</v>
      </c>
      <c r="N31" s="5">
        <v>930080090473236</v>
      </c>
      <c r="O31" s="5">
        <v>941101402274611</v>
      </c>
      <c r="P31" s="5">
        <v>923795489566478</v>
      </c>
      <c r="Q31" s="5">
        <v>831496602373726</v>
      </c>
      <c r="R31" s="5">
        <v>827829894609229</v>
      </c>
      <c r="S31" s="5">
        <v>925654505057898</v>
      </c>
      <c r="T31" s="5">
        <v>919019649797257</v>
      </c>
      <c r="U31" s="5">
        <v>973927358022115</v>
      </c>
      <c r="V31" s="5">
        <v>946179671565544</v>
      </c>
      <c r="W31" s="5">
        <v>951209926153872</v>
      </c>
      <c r="X31" s="5">
        <v>847162048935322</v>
      </c>
      <c r="Y31" s="5">
        <v>842851869509952</v>
      </c>
      <c r="Z31" s="5">
        <v>749228318796153</v>
      </c>
      <c r="AA31" s="5">
        <v>85309260046539</v>
      </c>
      <c r="AB31" s="5">
        <v>857926639566723</v>
      </c>
      <c r="AC31" s="5">
        <v>840638377588364</v>
      </c>
      <c r="AD31" s="5">
        <v>91045141017123</v>
      </c>
      <c r="AE31" s="5">
        <v>892381666138151</v>
      </c>
      <c r="AF31" s="5">
        <v>786219333892815</v>
      </c>
      <c r="AG31" s="5">
        <v>724276834247996</v>
      </c>
      <c r="AH31" s="5">
        <v>779305001804378</v>
      </c>
      <c r="AI31" s="5">
        <v>804991355046502</v>
      </c>
      <c r="AJ31" s="5">
        <v>827921331185954</v>
      </c>
      <c r="AK31" s="5">
        <v>806534663102882</v>
      </c>
      <c r="AL31" s="5">
        <v>863101718547773</v>
      </c>
      <c r="AM31" s="5">
        <v>875761657343555</v>
      </c>
      <c r="AN31" s="5">
        <v>868548259802181</v>
      </c>
      <c r="AO31" s="5">
        <v>957635129467943</v>
      </c>
    </row>
    <row r="32" spans="1:41" x14ac:dyDescent="0.45">
      <c r="A32" s="1" t="s">
        <v>26</v>
      </c>
      <c r="B32" s="2">
        <v>4004387</v>
      </c>
      <c r="C32" s="3" t="s">
        <v>574</v>
      </c>
      <c r="D32" s="3" t="s">
        <v>575</v>
      </c>
      <c r="E32" s="3" t="s">
        <v>576</v>
      </c>
      <c r="F32" s="5">
        <v>216873696105203</v>
      </c>
      <c r="G32" s="5">
        <v>218874723386519</v>
      </c>
      <c r="H32" s="5">
        <v>217267767657077</v>
      </c>
      <c r="I32" s="5">
        <v>231448622609325</v>
      </c>
      <c r="J32" s="5">
        <v>239359990421736</v>
      </c>
      <c r="K32" s="5">
        <v>239186565355433</v>
      </c>
      <c r="L32" s="5">
        <v>230995479968965</v>
      </c>
      <c r="M32" s="5">
        <v>245713583787395</v>
      </c>
      <c r="N32" s="5">
        <v>252685547391416</v>
      </c>
      <c r="O32" s="5">
        <v>266161671138413</v>
      </c>
      <c r="P32" s="5">
        <v>254758643874291</v>
      </c>
      <c r="Q32" s="5">
        <v>23370923658044</v>
      </c>
      <c r="R32" s="5">
        <v>234349944393711</v>
      </c>
      <c r="S32" s="5">
        <v>252956154095257</v>
      </c>
      <c r="T32" s="5">
        <v>247903682040166</v>
      </c>
      <c r="U32" s="5">
        <v>255502040646307</v>
      </c>
      <c r="V32" s="5">
        <v>252142617529189</v>
      </c>
      <c r="W32" s="5">
        <v>256324082047018</v>
      </c>
      <c r="X32" s="5">
        <v>234848917940469</v>
      </c>
      <c r="Y32" s="5">
        <v>234922929085446</v>
      </c>
      <c r="Z32" s="5">
        <v>222863795290752</v>
      </c>
      <c r="AA32" s="5">
        <v>220425316023924</v>
      </c>
      <c r="AB32" s="5">
        <v>213571320899033</v>
      </c>
      <c r="AC32" s="5">
        <v>222565790630423</v>
      </c>
      <c r="AD32" s="5">
        <v>232499871276309</v>
      </c>
      <c r="AE32" s="5">
        <v>235367375490277</v>
      </c>
      <c r="AF32" s="5">
        <v>216774676533197</v>
      </c>
      <c r="AG32" s="5">
        <v>227751766716403</v>
      </c>
      <c r="AH32" s="5">
        <v>249016777266575</v>
      </c>
      <c r="AI32" s="5">
        <v>260423779516625</v>
      </c>
      <c r="AJ32" s="5">
        <v>25451403930749</v>
      </c>
      <c r="AK32" s="5">
        <v>263814957740778</v>
      </c>
      <c r="AL32" s="5">
        <v>261463448811926</v>
      </c>
      <c r="AM32" s="5">
        <v>262435776315598</v>
      </c>
      <c r="AN32" s="5">
        <v>240628827154788</v>
      </c>
      <c r="AO32" s="5">
        <v>261978224528808</v>
      </c>
    </row>
    <row r="33" spans="1:41" x14ac:dyDescent="0.45">
      <c r="A33" s="1" t="s">
        <v>27</v>
      </c>
      <c r="B33" s="2">
        <v>113901</v>
      </c>
      <c r="C33" s="3" t="s">
        <v>577</v>
      </c>
      <c r="D33" s="3" t="s">
        <v>578</v>
      </c>
      <c r="E33" s="3" t="s">
        <v>579</v>
      </c>
      <c r="F33" s="5">
        <v>387995233739881</v>
      </c>
      <c r="G33" s="5">
        <v>365147487317955</v>
      </c>
      <c r="H33" s="5">
        <v>364702853582337</v>
      </c>
      <c r="I33" s="5">
        <v>394707854448169</v>
      </c>
      <c r="J33" s="5">
        <v>41489959248453</v>
      </c>
      <c r="K33" s="5">
        <v>42767408767375</v>
      </c>
      <c r="L33" s="5">
        <v>432759524671369</v>
      </c>
      <c r="M33" s="5">
        <v>427352892708957</v>
      </c>
      <c r="N33" s="5">
        <v>397778372138828</v>
      </c>
      <c r="O33" s="5">
        <v>429149340700708</v>
      </c>
      <c r="P33" s="5">
        <v>49635499648656</v>
      </c>
      <c r="Q33" s="5">
        <v>507159802511113</v>
      </c>
      <c r="R33" s="5">
        <v>498920822060795</v>
      </c>
      <c r="S33" s="5">
        <v>527767743336855</v>
      </c>
      <c r="T33" s="5">
        <v>4568266836</v>
      </c>
      <c r="U33" s="5">
        <v>41360171291566</v>
      </c>
      <c r="V33" s="5">
        <v>398978532582354</v>
      </c>
      <c r="W33" s="5">
        <v>39102652512</v>
      </c>
      <c r="X33" s="5">
        <v>396004919121501</v>
      </c>
      <c r="Y33" s="5">
        <v>399880233952728</v>
      </c>
      <c r="Z33" s="5">
        <v>385841190773512</v>
      </c>
      <c r="AA33" s="5">
        <v>406682646134878</v>
      </c>
      <c r="AB33" s="5">
        <v>377943911185639</v>
      </c>
      <c r="AC33" s="5">
        <v>360806128442685</v>
      </c>
      <c r="AD33" s="5">
        <v>347742701897786</v>
      </c>
      <c r="AE33" s="5">
        <v>328010575831212</v>
      </c>
      <c r="AF33" s="5">
        <v>30555947733402</v>
      </c>
      <c r="AG33" s="5">
        <v>319661493322754</v>
      </c>
      <c r="AH33" s="5">
        <v>319422473023823</v>
      </c>
      <c r="AI33" s="5">
        <v>329396163085946</v>
      </c>
      <c r="AJ33" s="5">
        <v>316972874109082</v>
      </c>
      <c r="AK33" s="5">
        <v>291757275101372</v>
      </c>
      <c r="AL33" s="5">
        <v>290701340007127</v>
      </c>
      <c r="AM33" s="5">
        <v>296624703032034</v>
      </c>
      <c r="AN33" s="5">
        <v>340034994127838</v>
      </c>
      <c r="AO33" s="5">
        <v>343041676895693</v>
      </c>
    </row>
    <row r="34" spans="1:41" x14ac:dyDescent="0.45">
      <c r="A34" s="1" t="s">
        <v>28</v>
      </c>
      <c r="B34" s="2">
        <v>4107063</v>
      </c>
      <c r="C34" s="3" t="s">
        <v>580</v>
      </c>
      <c r="D34" s="3" t="s">
        <v>581</v>
      </c>
      <c r="E34" s="3" t="s">
        <v>582</v>
      </c>
      <c r="F34" s="5">
        <v>402540309579671</v>
      </c>
      <c r="G34" s="5">
        <v>392866703146813</v>
      </c>
      <c r="H34" s="5">
        <v>4033847963735</v>
      </c>
      <c r="I34" s="5">
        <v>37006307300304</v>
      </c>
      <c r="J34" s="5">
        <v>364873814666592</v>
      </c>
      <c r="K34" s="5">
        <v>373212060961452</v>
      </c>
      <c r="L34" s="5">
        <v>355755506698363</v>
      </c>
      <c r="M34" s="5">
        <v>363688790054796</v>
      </c>
      <c r="N34" s="5">
        <v>344892357634609</v>
      </c>
      <c r="O34" s="5">
        <v>367496592604625</v>
      </c>
      <c r="P34" s="5">
        <v>419652983752099</v>
      </c>
      <c r="Q34" s="5">
        <v>410721889093517</v>
      </c>
      <c r="R34" s="5">
        <v>402737050830691</v>
      </c>
      <c r="S34" s="5">
        <v>426145920054355</v>
      </c>
      <c r="T34" s="5">
        <v>390577219971552</v>
      </c>
      <c r="U34" s="5">
        <v>356461625572645</v>
      </c>
      <c r="V34" s="5">
        <v>358061814618593</v>
      </c>
      <c r="W34" s="5">
        <v>371035368505771</v>
      </c>
      <c r="X34" s="5">
        <v>360144546488144</v>
      </c>
      <c r="Y34" s="5">
        <v>361948331065482</v>
      </c>
      <c r="Z34" s="5">
        <v>377665557417419</v>
      </c>
      <c r="AA34" s="5">
        <v>391507699574435</v>
      </c>
      <c r="AB34" s="5">
        <v>385062380511108</v>
      </c>
      <c r="AC34" s="5">
        <v>344724301455256</v>
      </c>
      <c r="AD34" s="5">
        <v>344296165330548</v>
      </c>
      <c r="AE34" s="5">
        <v>328496621698903</v>
      </c>
      <c r="AF34" s="5">
        <v>307513372542849</v>
      </c>
      <c r="AG34" s="5">
        <v>322082531710028</v>
      </c>
      <c r="AH34" s="5">
        <v>339304203796217</v>
      </c>
      <c r="AI34" s="5">
        <v>331685226591098</v>
      </c>
      <c r="AJ34" s="5">
        <v>341753396719027</v>
      </c>
      <c r="AK34" s="5">
        <v>313720932869043</v>
      </c>
      <c r="AL34" s="5">
        <v>287801359643269</v>
      </c>
      <c r="AM34" s="5">
        <v>308027760433708</v>
      </c>
      <c r="AN34" s="5">
        <v>306828991184712</v>
      </c>
      <c r="AO34" s="5">
        <v>306422910568301</v>
      </c>
    </row>
    <row r="35" spans="1:41" x14ac:dyDescent="0.45">
      <c r="A35" s="1" t="s">
        <v>29</v>
      </c>
      <c r="B35" s="2">
        <v>4092820</v>
      </c>
      <c r="C35" s="3" t="s">
        <v>583</v>
      </c>
      <c r="D35" s="3" t="s">
        <v>584</v>
      </c>
      <c r="E35" s="3" t="s">
        <v>509</v>
      </c>
      <c r="F35" s="5">
        <v>150112217345581</v>
      </c>
      <c r="G35" s="5">
        <v>160426694517396</v>
      </c>
      <c r="H35" s="5">
        <v>139295104677137</v>
      </c>
      <c r="I35" s="5">
        <v>12948628634238</v>
      </c>
      <c r="J35" s="5">
        <v>132417246160469</v>
      </c>
      <c r="K35" s="5">
        <v>138715499333738</v>
      </c>
      <c r="L35" s="5">
        <v>127838185813573</v>
      </c>
      <c r="M35" s="5">
        <v>136562854188822</v>
      </c>
      <c r="N35" s="5">
        <v>137862699837338</v>
      </c>
      <c r="O35" s="5">
        <v>154847208232275</v>
      </c>
      <c r="P35" s="5">
        <v>159053741041171</v>
      </c>
      <c r="Q35" s="5">
        <v>147607873645291</v>
      </c>
      <c r="R35" s="5">
        <v>135325032686455</v>
      </c>
      <c r="S35" s="5">
        <v>144114773148278</v>
      </c>
      <c r="T35" s="5">
        <v>158500854944621</v>
      </c>
      <c r="U35" s="5">
        <v>155230911495461</v>
      </c>
      <c r="V35" s="5">
        <v>162174396276742</v>
      </c>
      <c r="W35" s="5">
        <v>164793960453498</v>
      </c>
      <c r="X35" s="5">
        <v>156429497913723</v>
      </c>
      <c r="Y35" s="5">
        <v>151287610460495</v>
      </c>
      <c r="Z35" s="5">
        <v>137413347917401</v>
      </c>
      <c r="AA35" s="5">
        <v>141066425256942</v>
      </c>
      <c r="AB35" s="5">
        <v>135759047278534</v>
      </c>
      <c r="AC35" s="5">
        <v>155016157603319</v>
      </c>
      <c r="AD35" s="5">
        <v>139452245086968</v>
      </c>
      <c r="AE35" s="5">
        <v>132313624194337</v>
      </c>
      <c r="AF35" s="5">
        <v>129523812853441</v>
      </c>
      <c r="AG35" s="5">
        <v>135824487119973</v>
      </c>
      <c r="AH35" s="5">
        <v>126421476376012</v>
      </c>
      <c r="AI35" s="5">
        <v>113503522684734</v>
      </c>
      <c r="AJ35" s="5">
        <v>10866617040629</v>
      </c>
      <c r="AK35" s="5">
        <v>110624784611092</v>
      </c>
      <c r="AL35" s="5">
        <v>116070918572642</v>
      </c>
      <c r="AM35" s="5">
        <v>118813290595795</v>
      </c>
      <c r="AN35" s="5">
        <v>116526281047965</v>
      </c>
      <c r="AO35" s="5">
        <v>123995633040964</v>
      </c>
    </row>
    <row r="36" spans="1:41" x14ac:dyDescent="0.45">
      <c r="A36" s="1" t="s">
        <v>30</v>
      </c>
      <c r="B36" s="2">
        <v>4122605</v>
      </c>
      <c r="C36" s="3" t="s">
        <v>585</v>
      </c>
      <c r="D36" s="3" t="s">
        <v>586</v>
      </c>
      <c r="E36" s="3" t="s">
        <v>587</v>
      </c>
      <c r="F36" s="5">
        <v>140887244212749</v>
      </c>
      <c r="G36" s="5">
        <v>148737628736977</v>
      </c>
      <c r="H36" s="5">
        <v>147875428518252</v>
      </c>
      <c r="I36" s="5">
        <v>128773144034531</v>
      </c>
      <c r="J36" s="5">
        <v>113624307735444</v>
      </c>
      <c r="K36" s="5">
        <v>113681236845008</v>
      </c>
      <c r="L36" s="5">
        <v>101709894725311</v>
      </c>
      <c r="M36" s="5">
        <v>95867148930771</v>
      </c>
      <c r="N36" s="5">
        <v>820395214779921</v>
      </c>
      <c r="O36" s="5">
        <v>734930860344819</v>
      </c>
      <c r="P36" s="5">
        <v>775204054590508</v>
      </c>
      <c r="Q36" s="5">
        <v>820991503226271</v>
      </c>
      <c r="R36" s="5">
        <v>808746297863753</v>
      </c>
      <c r="S36" s="5">
        <v>83015695835662</v>
      </c>
      <c r="T36" s="5">
        <v>744169631654468</v>
      </c>
      <c r="U36" s="5">
        <v>703575094877152</v>
      </c>
      <c r="V36" s="5">
        <v>734393917111776</v>
      </c>
      <c r="W36" s="5">
        <v>715061408774882</v>
      </c>
      <c r="X36" s="5">
        <v>755276532516674</v>
      </c>
      <c r="Y36" s="5">
        <v>73308742990614</v>
      </c>
      <c r="Z36" s="5">
        <v>678346746527785</v>
      </c>
      <c r="AA36" s="5">
        <v>640591176023686</v>
      </c>
      <c r="AB36" s="5">
        <v>606200861455052</v>
      </c>
      <c r="AC36" s="5">
        <v>55752862785174</v>
      </c>
      <c r="AD36" s="5">
        <v>536582031971624</v>
      </c>
      <c r="AE36" s="5">
        <v>499162633166469</v>
      </c>
      <c r="AF36" s="5">
        <v>456155160398228</v>
      </c>
      <c r="AG36" s="5">
        <v>473308592244892</v>
      </c>
      <c r="AH36" s="5">
        <v>486028617005538</v>
      </c>
      <c r="AI36" s="5">
        <v>477953429703138</v>
      </c>
      <c r="AJ36" s="5">
        <v>463242753092532</v>
      </c>
      <c r="AK36" s="5">
        <v>421454541020228</v>
      </c>
      <c r="AL36" s="5">
        <v>407099208047079</v>
      </c>
      <c r="AM36" s="5">
        <v>447232308457072</v>
      </c>
      <c r="AN36" s="5">
        <v>434203048936138</v>
      </c>
      <c r="AO36" s="5">
        <v>437062656233551</v>
      </c>
    </row>
    <row r="37" spans="1:41" x14ac:dyDescent="0.45">
      <c r="A37" s="1" t="s">
        <v>31</v>
      </c>
      <c r="B37" s="2">
        <v>4113211</v>
      </c>
      <c r="C37" s="3" t="s">
        <v>588</v>
      </c>
      <c r="D37" s="3" t="s">
        <v>589</v>
      </c>
      <c r="E37" s="3" t="s">
        <v>518</v>
      </c>
      <c r="F37" s="5">
        <v>113100812565321</v>
      </c>
      <c r="G37" s="5">
        <v>112047163127698</v>
      </c>
      <c r="H37" s="5">
        <v>998623832419996</v>
      </c>
      <c r="I37" s="5">
        <v>103020441967858</v>
      </c>
      <c r="J37" s="5">
        <v>10569412579903</v>
      </c>
      <c r="K37" s="5">
        <v>97449025448231</v>
      </c>
      <c r="L37" s="5">
        <v>10057662176355</v>
      </c>
      <c r="M37" s="5">
        <v>935827696481445</v>
      </c>
      <c r="N37" s="5">
        <v>852099937688897</v>
      </c>
      <c r="O37" s="5">
        <v>925418137425796</v>
      </c>
      <c r="P37" s="5">
        <v>109665690476468</v>
      </c>
      <c r="Q37" s="5">
        <v>101136161294589</v>
      </c>
      <c r="R37" s="5">
        <v>101847615471451</v>
      </c>
      <c r="S37" s="5">
        <v>102568574000133</v>
      </c>
      <c r="T37" s="5">
        <v>102021615020191</v>
      </c>
      <c r="U37" s="5">
        <v>102461563828588</v>
      </c>
      <c r="V37" s="5">
        <v>105414916419166</v>
      </c>
      <c r="W37" s="5">
        <v>106088742488338</v>
      </c>
      <c r="X37" s="5">
        <v>105711586911573</v>
      </c>
      <c r="Y37" s="5">
        <v>107293611104771</v>
      </c>
      <c r="Z37" s="5">
        <v>930375620901468</v>
      </c>
      <c r="AA37" s="5">
        <v>908077160527533</v>
      </c>
      <c r="AB37" s="5">
        <v>880002312431583</v>
      </c>
      <c r="AC37" s="5">
        <v>879114713274274</v>
      </c>
      <c r="AD37" s="5">
        <v>891470741835953</v>
      </c>
      <c r="AE37" s="5">
        <v>834419953445227</v>
      </c>
      <c r="AF37" s="5">
        <v>742053488911648</v>
      </c>
      <c r="AG37" s="5">
        <v>824336021173466</v>
      </c>
      <c r="AH37" s="5">
        <v>83517997069789</v>
      </c>
      <c r="AI37" s="5">
        <v>907835499344667</v>
      </c>
      <c r="AJ37" s="5">
        <v>894760706188518</v>
      </c>
      <c r="AK37" s="5">
        <v>835997324001502</v>
      </c>
      <c r="AL37" s="5">
        <v>824485285279807</v>
      </c>
      <c r="AM37" s="5">
        <v>918229971564987</v>
      </c>
      <c r="AN37" s="5">
        <v>874258500280213</v>
      </c>
      <c r="AO37" s="5">
        <v>799418331399479</v>
      </c>
    </row>
    <row r="38" spans="1:41" x14ac:dyDescent="0.45">
      <c r="A38" s="1" t="s">
        <v>32</v>
      </c>
      <c r="B38" s="2">
        <v>103317</v>
      </c>
      <c r="C38" s="3" t="s">
        <v>590</v>
      </c>
      <c r="D38" s="3" t="s">
        <v>591</v>
      </c>
      <c r="E38" s="3" t="s">
        <v>592</v>
      </c>
      <c r="F38" s="5">
        <v>645983416719524</v>
      </c>
      <c r="G38" s="5">
        <v>656026722639411</v>
      </c>
      <c r="H38" s="5">
        <v>634853346515334</v>
      </c>
      <c r="I38" s="5">
        <v>65531754868025</v>
      </c>
      <c r="J38" s="5">
        <v>676524782435351</v>
      </c>
      <c r="K38" s="5">
        <v>670516092870561</v>
      </c>
      <c r="L38" s="5">
        <v>655984738539842</v>
      </c>
      <c r="M38" s="5">
        <v>708097440729753</v>
      </c>
      <c r="N38" s="5">
        <v>675269827138399</v>
      </c>
      <c r="O38" s="5">
        <v>797558310653032</v>
      </c>
      <c r="P38" s="5">
        <v>849327649969866</v>
      </c>
      <c r="Q38" s="5">
        <v>771564380681783</v>
      </c>
      <c r="R38" s="5">
        <v>75025506309019</v>
      </c>
      <c r="S38" s="5">
        <v>802567643870401</v>
      </c>
      <c r="T38" s="5">
        <v>730736222664811</v>
      </c>
      <c r="U38" s="5">
        <v>673916974639841</v>
      </c>
      <c r="V38" s="5">
        <v>675095769709016</v>
      </c>
      <c r="W38" s="5">
        <v>659423894145416</v>
      </c>
      <c r="X38" s="5">
        <v>595756396346644</v>
      </c>
      <c r="Y38" s="5">
        <v>564668211654052</v>
      </c>
      <c r="Z38" s="5">
        <v>573442647327958</v>
      </c>
      <c r="AA38" s="5">
        <v>612656668509844</v>
      </c>
      <c r="AB38" s="5">
        <v>579668596965795</v>
      </c>
      <c r="AC38" s="5">
        <v>550720946898072</v>
      </c>
      <c r="AD38" s="5">
        <v>527141193651029</v>
      </c>
      <c r="AE38" s="5">
        <v>60303657687302</v>
      </c>
      <c r="AF38" s="5">
        <v>586327760058495</v>
      </c>
      <c r="AG38" s="5">
        <v>621427759926794</v>
      </c>
      <c r="AH38" s="5">
        <v>623583268290449</v>
      </c>
      <c r="AI38" s="5">
        <v>586299029578717</v>
      </c>
      <c r="AJ38" s="5">
        <v>64583085428648</v>
      </c>
      <c r="AK38" s="5">
        <v>590817951854961</v>
      </c>
      <c r="AL38" s="5">
        <v>60180041905993</v>
      </c>
      <c r="AM38" s="5">
        <v>595308651571872</v>
      </c>
      <c r="AN38" s="5">
        <v>587558749955229</v>
      </c>
      <c r="AO38" s="5">
        <v>606924460784727</v>
      </c>
    </row>
    <row r="39" spans="1:41" x14ac:dyDescent="0.45">
      <c r="A39" s="1" t="s">
        <v>33</v>
      </c>
      <c r="B39" s="2">
        <v>4010203</v>
      </c>
      <c r="C39" s="3" t="s">
        <v>593</v>
      </c>
      <c r="D39" s="3" t="s">
        <v>594</v>
      </c>
      <c r="E39" s="3" t="s">
        <v>595</v>
      </c>
      <c r="F39" s="5">
        <v>738867625433608</v>
      </c>
      <c r="G39" s="5">
        <v>763749304869813</v>
      </c>
      <c r="H39" s="5">
        <v>7026049497573</v>
      </c>
      <c r="I39" s="5">
        <v>740397718855224</v>
      </c>
      <c r="J39" s="5">
        <v>710233958886588</v>
      </c>
      <c r="K39" s="5">
        <v>608504600730816</v>
      </c>
      <c r="L39" s="5">
        <v>56197784439472</v>
      </c>
      <c r="M39" s="5">
        <v>540939780039456</v>
      </c>
      <c r="N39" s="5">
        <v>495369403199798</v>
      </c>
      <c r="O39" s="5">
        <v>708021505453046</v>
      </c>
      <c r="P39" s="5">
        <v>724297583202732</v>
      </c>
      <c r="Q39" s="5">
        <v>780546692857141</v>
      </c>
      <c r="R39" s="5">
        <v>825080153364884</v>
      </c>
      <c r="S39" s="5">
        <v>794190983834451</v>
      </c>
      <c r="T39" s="5">
        <v>80401037055108</v>
      </c>
      <c r="U39" s="5">
        <v>811232244743875</v>
      </c>
      <c r="V39" s="5">
        <v>952793829416899</v>
      </c>
      <c r="W39" s="5">
        <v>106976000294486</v>
      </c>
      <c r="X39" s="5">
        <v>101990115034491</v>
      </c>
      <c r="Y39" s="5">
        <v>104497003360853</v>
      </c>
      <c r="Z39" s="5">
        <v>109111692746193</v>
      </c>
      <c r="AA39" s="5">
        <v>959814529785471</v>
      </c>
      <c r="AB39" s="5">
        <v>831774306747978</v>
      </c>
      <c r="AC39" s="5">
        <v>875126749436029</v>
      </c>
      <c r="AD39" s="5">
        <v>995630747921175</v>
      </c>
      <c r="AE39" s="5">
        <v>101243173361364</v>
      </c>
      <c r="AF39" s="5">
        <v>115516367180719</v>
      </c>
      <c r="AG39" s="5">
        <v>119315089370371</v>
      </c>
      <c r="AH39" s="5">
        <v>124198151170739</v>
      </c>
      <c r="AI39" s="5">
        <v>113700786519095</v>
      </c>
      <c r="AJ39" s="5">
        <v>968628782162676</v>
      </c>
      <c r="AK39" s="5">
        <v>922810497880394</v>
      </c>
      <c r="AL39" s="5">
        <v>103857856099891</v>
      </c>
      <c r="AM39" s="5">
        <v>103204189266666</v>
      </c>
      <c r="AN39" s="5">
        <v>11242188614669</v>
      </c>
      <c r="AO39" s="5">
        <v>131223855199604</v>
      </c>
    </row>
    <row r="40" spans="1:41" x14ac:dyDescent="0.45">
      <c r="A40" s="1" t="s">
        <v>34</v>
      </c>
      <c r="B40" s="2">
        <v>4204256</v>
      </c>
      <c r="C40" s="3" t="s">
        <v>596</v>
      </c>
      <c r="D40" s="3" t="s">
        <v>597</v>
      </c>
      <c r="E40" s="3" t="s">
        <v>579</v>
      </c>
      <c r="F40" s="5">
        <v>715615132691927</v>
      </c>
      <c r="G40" s="5">
        <v>659983648940431</v>
      </c>
      <c r="H40" s="5">
        <v>616511938519459</v>
      </c>
      <c r="I40" s="5">
        <v>649742407342714</v>
      </c>
      <c r="J40" s="5">
        <v>666199650830269</v>
      </c>
      <c r="K40" s="5">
        <v>726019096906021</v>
      </c>
      <c r="L40" s="5">
        <v>690378207614094</v>
      </c>
      <c r="M40" s="5">
        <v>658230468243587</v>
      </c>
      <c r="N40" s="5">
        <v>687492007824012</v>
      </c>
      <c r="O40" s="5">
        <v>722780995802929</v>
      </c>
      <c r="P40" s="5">
        <v>818430654310396</v>
      </c>
      <c r="Q40" s="5">
        <v>930767266660632</v>
      </c>
      <c r="R40" s="5">
        <v>902635924886921</v>
      </c>
      <c r="S40" s="5">
        <v>938652348995499</v>
      </c>
      <c r="T40" s="5">
        <v>751457527700467</v>
      </c>
      <c r="U40" s="5">
        <v>637845954238609</v>
      </c>
      <c r="V40" s="5">
        <v>595912210893966</v>
      </c>
      <c r="W40" s="5">
        <v>658829384744177</v>
      </c>
      <c r="X40" s="5">
        <v>62701234122735</v>
      </c>
      <c r="Y40" s="5">
        <v>609466564738754</v>
      </c>
      <c r="Z40" s="5">
        <v>576725168660599</v>
      </c>
      <c r="AA40" s="5">
        <v>591491172172302</v>
      </c>
      <c r="AB40" s="5">
        <v>587627505040319</v>
      </c>
      <c r="AC40" s="5">
        <v>525208168083851</v>
      </c>
      <c r="AD40" s="5">
        <v>47850014465869</v>
      </c>
      <c r="AE40" s="5">
        <v>478760124707632</v>
      </c>
      <c r="AF40" s="5">
        <v>41551403516473</v>
      </c>
      <c r="AG40" s="5">
        <v>480753510099541</v>
      </c>
      <c r="AH40" s="5">
        <v>456503218638905</v>
      </c>
      <c r="AI40" s="5">
        <v>42069388059739</v>
      </c>
      <c r="AJ40" s="5">
        <v>399213710499296</v>
      </c>
      <c r="AK40" s="5">
        <v>355906022743348</v>
      </c>
      <c r="AL40" s="5">
        <v>327769487399651</v>
      </c>
      <c r="AM40" s="5">
        <v>331734294600565</v>
      </c>
      <c r="AN40" s="5">
        <v>380874919889064</v>
      </c>
      <c r="AO40" s="5">
        <v>372940905437842</v>
      </c>
    </row>
    <row r="41" spans="1:41" x14ac:dyDescent="0.45">
      <c r="A41" s="1" t="s">
        <v>35</v>
      </c>
      <c r="B41" s="2">
        <v>4004205</v>
      </c>
      <c r="C41" s="3" t="s">
        <v>598</v>
      </c>
      <c r="D41" s="3" t="s">
        <v>599</v>
      </c>
      <c r="E41" s="3" t="s">
        <v>600</v>
      </c>
      <c r="F41" s="5">
        <v>342136349644819</v>
      </c>
      <c r="G41" s="5">
        <v>355342091576472</v>
      </c>
      <c r="H41" s="5">
        <v>346373658004887</v>
      </c>
      <c r="I41" s="5">
        <v>322067848940811</v>
      </c>
      <c r="J41" s="5">
        <v>294517165026954</v>
      </c>
      <c r="K41" s="5">
        <v>269586651451907</v>
      </c>
      <c r="L41" s="5">
        <v>260932248248763</v>
      </c>
      <c r="M41" s="5">
        <v>264377719269573</v>
      </c>
      <c r="N41" s="5">
        <v>28135967177175</v>
      </c>
      <c r="O41" s="5">
        <v>308725646544335</v>
      </c>
      <c r="P41" s="5">
        <v>349161684089495</v>
      </c>
      <c r="Q41" s="5">
        <v>34108457982588</v>
      </c>
      <c r="R41" s="5">
        <v>365622551576799</v>
      </c>
      <c r="S41" s="5">
        <v>34001739947608</v>
      </c>
      <c r="T41" s="5">
        <v>314524550836446</v>
      </c>
      <c r="U41" s="5">
        <v>31762628115686</v>
      </c>
      <c r="V41" s="5">
        <v>31478477999293</v>
      </c>
      <c r="W41" s="5">
        <v>314658306783744</v>
      </c>
      <c r="X41" s="5">
        <v>301424573863897</v>
      </c>
      <c r="Y41" s="5">
        <v>271832983559545</v>
      </c>
      <c r="Z41" s="5">
        <v>24597776204507</v>
      </c>
      <c r="AA41" s="5">
        <v>24514941013421</v>
      </c>
      <c r="AB41" s="5">
        <v>258206510344282</v>
      </c>
      <c r="AC41" s="5">
        <v>262792672776608</v>
      </c>
      <c r="AD41" s="5">
        <v>270900775361403</v>
      </c>
      <c r="AE41" s="5">
        <v>270874746275656</v>
      </c>
      <c r="AF41" s="5">
        <v>252702040641276</v>
      </c>
      <c r="AG41" s="5">
        <v>252898098600826</v>
      </c>
      <c r="AH41" s="5">
        <v>270810131890448</v>
      </c>
      <c r="AI41" s="5">
        <v>28204007131235</v>
      </c>
      <c r="AJ41" s="5">
        <v>279462103547704</v>
      </c>
      <c r="AK41" s="5">
        <v>261589823259985</v>
      </c>
      <c r="AL41" s="5">
        <v>243257749111541</v>
      </c>
      <c r="AM41" s="5">
        <v>240135939932616</v>
      </c>
      <c r="AN41" s="5">
        <v>219703890238812</v>
      </c>
      <c r="AO41" s="5">
        <v>210380610489004</v>
      </c>
    </row>
    <row r="42" spans="1:41" x14ac:dyDescent="0.45">
      <c r="A42" s="1" t="s">
        <v>36</v>
      </c>
      <c r="B42" s="2">
        <v>4073928</v>
      </c>
      <c r="C42" s="3" t="s">
        <v>601</v>
      </c>
      <c r="D42" s="3" t="s">
        <v>602</v>
      </c>
      <c r="E42" s="3" t="s">
        <v>603</v>
      </c>
      <c r="F42" s="5">
        <v>173558161760657</v>
      </c>
      <c r="G42" s="5">
        <v>173301912226551</v>
      </c>
      <c r="H42" s="5">
        <v>160999602219118</v>
      </c>
      <c r="I42" s="5">
        <v>139014025440542</v>
      </c>
      <c r="J42" s="5">
        <v>109485535439008</v>
      </c>
      <c r="K42" s="5">
        <v>12632000207073</v>
      </c>
      <c r="L42" s="5">
        <v>125096716321141</v>
      </c>
      <c r="M42" s="5">
        <v>110860133127149</v>
      </c>
      <c r="N42" s="5">
        <v>107921225254949</v>
      </c>
      <c r="O42" s="5">
        <v>109082390089565</v>
      </c>
      <c r="P42" s="5">
        <v>123426888778874</v>
      </c>
      <c r="Q42" s="5">
        <v>141015566549009</v>
      </c>
      <c r="R42" s="5">
        <v>127817095613622</v>
      </c>
      <c r="S42" s="5">
        <v>136513186699684</v>
      </c>
      <c r="T42" s="5">
        <v>137869366049416</v>
      </c>
      <c r="U42" s="5">
        <v>149347420506027</v>
      </c>
      <c r="V42" s="5">
        <v>147026505355627</v>
      </c>
      <c r="W42" s="5">
        <v>162343342855478</v>
      </c>
      <c r="X42" s="5">
        <v>182361014556417</v>
      </c>
      <c r="Y42" s="5">
        <v>164208329660354</v>
      </c>
      <c r="Z42" s="5">
        <v>154362016936343</v>
      </c>
      <c r="AA42" s="5">
        <v>158641349367671</v>
      </c>
      <c r="AB42" s="5">
        <v>154977863100458</v>
      </c>
      <c r="AC42" s="5">
        <v>126003574480985</v>
      </c>
      <c r="AD42" s="5">
        <v>12185498905144</v>
      </c>
      <c r="AE42" s="5">
        <v>114883939399262</v>
      </c>
      <c r="AF42" s="5">
        <v>104791989152997</v>
      </c>
      <c r="AG42" s="5">
        <v>109424952037521</v>
      </c>
      <c r="AH42" s="5">
        <v>117821376155461</v>
      </c>
      <c r="AI42" s="5">
        <v>1155095796746</v>
      </c>
      <c r="AJ42" s="5">
        <v>111181415689516</v>
      </c>
      <c r="AK42" s="5">
        <v>105031735432617</v>
      </c>
      <c r="AL42" s="5">
        <v>865540570118323</v>
      </c>
      <c r="AM42" s="5">
        <v>955429470358926</v>
      </c>
      <c r="AN42" s="5">
        <v>924671959888791</v>
      </c>
      <c r="AO42" s="5">
        <v>865410031229576</v>
      </c>
    </row>
    <row r="43" spans="1:41" x14ac:dyDescent="0.45">
      <c r="A43" s="1" t="s">
        <v>37</v>
      </c>
      <c r="B43" s="2">
        <v>5256437</v>
      </c>
      <c r="C43" s="3" t="s">
        <v>604</v>
      </c>
      <c r="D43" s="3" t="s">
        <v>605</v>
      </c>
      <c r="E43" s="3" t="s">
        <v>515</v>
      </c>
      <c r="F43" s="5">
        <v>19394983780977</v>
      </c>
      <c r="G43" s="5">
        <v>17471987995616</v>
      </c>
      <c r="H43" s="5">
        <v>186905100936901</v>
      </c>
      <c r="I43" s="5">
        <v>207148185239099</v>
      </c>
      <c r="J43" s="5">
        <v>138393799219143</v>
      </c>
      <c r="K43" s="5">
        <v>115576011729788</v>
      </c>
      <c r="L43" s="5">
        <v>100870794864403</v>
      </c>
      <c r="M43" s="5">
        <v>117200593509174</v>
      </c>
      <c r="N43" s="5">
        <v>803170644616452</v>
      </c>
      <c r="O43" s="5">
        <v>833408432794584</v>
      </c>
      <c r="P43" s="5">
        <v>106430286192885</v>
      </c>
      <c r="Q43" s="5">
        <v>11933058573391</v>
      </c>
      <c r="R43" s="5">
        <v>104968886827694</v>
      </c>
      <c r="S43" s="5">
        <v>107111389809157</v>
      </c>
      <c r="T43" s="5">
        <v>521455170679275</v>
      </c>
      <c r="U43" s="5">
        <v>391241748092533</v>
      </c>
      <c r="V43" s="5">
        <v>280647704789472</v>
      </c>
      <c r="W43" s="5">
        <v>234390653137872</v>
      </c>
      <c r="X43" s="5">
        <v>25554236936981</v>
      </c>
      <c r="Y43" s="5">
        <v>247196878458529</v>
      </c>
      <c r="Z43" s="5">
        <v>217407736119552</v>
      </c>
      <c r="AA43" s="5">
        <v>211105306183409</v>
      </c>
      <c r="AB43" s="5">
        <v>188942976886385</v>
      </c>
      <c r="AC43" s="5">
        <v>12730076745567</v>
      </c>
      <c r="AD43" s="5">
        <v>121064173352077</v>
      </c>
      <c r="AE43" s="5">
        <v>115399593720277</v>
      </c>
      <c r="AF43" s="5">
        <v>119956313681612</v>
      </c>
      <c r="AG43" s="5">
        <v>131307486697737</v>
      </c>
      <c r="AH43" s="5">
        <v>138592525321157</v>
      </c>
      <c r="AI43" s="5">
        <v>99127362235252</v>
      </c>
      <c r="AJ43" s="5">
        <v>81997457555876</v>
      </c>
      <c r="AK43" s="5">
        <v>85531570673565</v>
      </c>
      <c r="AL43" s="5">
        <v>57188737502806</v>
      </c>
      <c r="AM43" s="5">
        <v>5456453998086</v>
      </c>
      <c r="AN43" s="5">
        <v>478671974874</v>
      </c>
      <c r="AO43" s="5">
        <v>434612620328139</v>
      </c>
    </row>
    <row r="44" spans="1:41" x14ac:dyDescent="0.45">
      <c r="A44" s="1" t="s">
        <v>38</v>
      </c>
      <c r="B44" s="2">
        <v>4306801</v>
      </c>
      <c r="C44" s="3" t="s">
        <v>606</v>
      </c>
      <c r="D44" s="3" t="s">
        <v>607</v>
      </c>
      <c r="E44" s="3" t="s">
        <v>608</v>
      </c>
      <c r="F44" s="5">
        <v>140032105455926</v>
      </c>
      <c r="G44" s="5">
        <v>144512008577983</v>
      </c>
      <c r="H44" s="5">
        <v>151933428812307</v>
      </c>
      <c r="I44" s="5">
        <v>160021463458372</v>
      </c>
      <c r="J44" s="5">
        <v>148055324485728</v>
      </c>
      <c r="K44" s="5">
        <v>130666966219184</v>
      </c>
      <c r="L44" s="5">
        <v>126478182265824</v>
      </c>
      <c r="M44" s="5">
        <v>128198956398403</v>
      </c>
      <c r="N44" s="5">
        <v>115394736807717</v>
      </c>
      <c r="O44" s="5">
        <v>126308848905792</v>
      </c>
      <c r="P44" s="5">
        <v>143603212870262</v>
      </c>
      <c r="Q44" s="5">
        <v>141149025499844</v>
      </c>
      <c r="R44" s="5">
        <v>1373023130775</v>
      </c>
      <c r="S44" s="5">
        <v>123702444812458</v>
      </c>
      <c r="T44" s="5">
        <v>123018716446278</v>
      </c>
      <c r="U44" s="5">
        <v>171585786960633</v>
      </c>
      <c r="V44" s="5">
        <v>171867777021451</v>
      </c>
      <c r="W44" s="5">
        <v>174436495626532</v>
      </c>
      <c r="X44" s="5">
        <v>178807520575897</v>
      </c>
      <c r="Y44" s="5">
        <v>208873297537635</v>
      </c>
      <c r="Z44" s="5">
        <v>181056436858864</v>
      </c>
      <c r="AA44" s="5">
        <v>201073148807207</v>
      </c>
      <c r="AB44" s="5">
        <v>205192498391482</v>
      </c>
      <c r="AC44" s="5">
        <v>212038730954993</v>
      </c>
      <c r="AD44" s="5">
        <v>229598312498909</v>
      </c>
      <c r="AE44" s="5">
        <v>214850762579954</v>
      </c>
      <c r="AF44" s="5">
        <v>23342845797618</v>
      </c>
      <c r="AG44" s="5">
        <v>263444689847001</v>
      </c>
      <c r="AH44" s="5">
        <v>264545068636165</v>
      </c>
      <c r="AI44" s="5">
        <v>268751422821439</v>
      </c>
      <c r="AJ44" s="5">
        <v>252962543253871</v>
      </c>
      <c r="AK44" s="5">
        <v>223561267776787</v>
      </c>
      <c r="AL44" s="5">
        <v>252528925558912</v>
      </c>
      <c r="AM44" s="5">
        <v>279781657398764</v>
      </c>
      <c r="AN44" s="5">
        <v>29678668057445</v>
      </c>
      <c r="AO44" s="5">
        <v>282118020395036</v>
      </c>
    </row>
    <row r="45" spans="1:41" x14ac:dyDescent="0.45">
      <c r="A45" s="1" t="s">
        <v>39</v>
      </c>
      <c r="B45" s="2">
        <v>103577</v>
      </c>
      <c r="C45" s="3" t="s">
        <v>609</v>
      </c>
      <c r="D45" s="3" t="s">
        <v>610</v>
      </c>
      <c r="E45" s="3" t="s">
        <v>570</v>
      </c>
      <c r="F45" s="5">
        <v>294998749581484</v>
      </c>
      <c r="G45" s="5">
        <v>292476643146294</v>
      </c>
      <c r="H45" s="5">
        <v>273709599209934</v>
      </c>
      <c r="I45" s="5">
        <v>2874261817789</v>
      </c>
      <c r="J45" s="5">
        <v>290845069436707</v>
      </c>
      <c r="K45" s="5">
        <v>281277152391383</v>
      </c>
      <c r="L45" s="5">
        <v>289358653054848</v>
      </c>
      <c r="M45" s="5">
        <v>31260942633812</v>
      </c>
      <c r="N45" s="5">
        <v>298977930337286</v>
      </c>
      <c r="O45" s="5">
        <v>332973485767425</v>
      </c>
      <c r="P45" s="5">
        <v>333813327568097</v>
      </c>
      <c r="Q45" s="5">
        <v>335531765905843</v>
      </c>
      <c r="R45" s="5">
        <v>33425104971242</v>
      </c>
      <c r="S45" s="5">
        <v>35771416292974</v>
      </c>
      <c r="T45" s="5">
        <v>340106943836352</v>
      </c>
      <c r="U45" s="5">
        <v>375700311526035</v>
      </c>
      <c r="V45" s="5">
        <v>382940267443189</v>
      </c>
      <c r="W45" s="5">
        <v>331413420797844</v>
      </c>
      <c r="X45" s="5">
        <v>352132187677756</v>
      </c>
      <c r="Y45" s="5">
        <v>353906621225847</v>
      </c>
      <c r="Z45" s="5">
        <v>326973512592502</v>
      </c>
      <c r="AA45" s="5">
        <v>319748226384492</v>
      </c>
      <c r="AB45" s="5">
        <v>301937512486345</v>
      </c>
      <c r="AC45" s="5">
        <v>281874790267705</v>
      </c>
      <c r="AD45" s="5">
        <v>249286846045985</v>
      </c>
      <c r="AE45" s="5">
        <v>284693065842192</v>
      </c>
      <c r="AF45" s="5">
        <v>304324337980885</v>
      </c>
      <c r="AG45" s="5">
        <v>279241006410997</v>
      </c>
      <c r="AH45" s="5">
        <v>262759122001883</v>
      </c>
      <c r="AI45" s="5">
        <v>261352606561781</v>
      </c>
      <c r="AJ45" s="5">
        <v>253857872504568</v>
      </c>
      <c r="AK45" s="5">
        <v>242146308212367</v>
      </c>
      <c r="AL45" s="5">
        <v>251700860388514</v>
      </c>
      <c r="AM45" s="5">
        <v>231351307592708</v>
      </c>
      <c r="AN45" s="5">
        <v>2433390110676</v>
      </c>
      <c r="AO45" s="5">
        <v>217911929020285</v>
      </c>
    </row>
    <row r="46" spans="1:41" x14ac:dyDescent="0.45">
      <c r="A46" s="1" t="s">
        <v>40</v>
      </c>
      <c r="B46" s="2">
        <v>4044801</v>
      </c>
      <c r="C46" s="3" t="s">
        <v>611</v>
      </c>
      <c r="D46" s="3" t="s">
        <v>612</v>
      </c>
      <c r="E46" s="3" t="s">
        <v>613</v>
      </c>
      <c r="F46" s="5">
        <v>235307284772883</v>
      </c>
      <c r="G46" s="5">
        <v>251732884390434</v>
      </c>
      <c r="H46" s="5">
        <v>252145406402433</v>
      </c>
      <c r="I46" s="5">
        <v>244635227631502</v>
      </c>
      <c r="J46" s="5">
        <v>257293227794061</v>
      </c>
      <c r="K46" s="5">
        <v>227561094606623</v>
      </c>
      <c r="L46" s="5">
        <v>215924662506325</v>
      </c>
      <c r="M46" s="5">
        <v>204385122760553</v>
      </c>
      <c r="N46" s="5">
        <v>202082399124606</v>
      </c>
      <c r="O46" s="5">
        <v>21327963909204</v>
      </c>
      <c r="P46" s="5">
        <v>217613931922783</v>
      </c>
      <c r="Q46" s="5">
        <v>235861434120982</v>
      </c>
      <c r="R46" s="5">
        <v>233511284224234</v>
      </c>
      <c r="S46" s="5">
        <v>247640522359776</v>
      </c>
      <c r="T46" s="5">
        <v>243127618779755</v>
      </c>
      <c r="U46" s="5">
        <v>256106659812888</v>
      </c>
      <c r="V46" s="5">
        <v>263652577763277</v>
      </c>
      <c r="W46" s="5">
        <v>273962185324027</v>
      </c>
      <c r="X46" s="5">
        <v>278951837632352</v>
      </c>
      <c r="Y46" s="5">
        <v>28467712562192</v>
      </c>
      <c r="Z46" s="5">
        <v>271242796012024</v>
      </c>
      <c r="AA46" s="5">
        <v>296474723026752</v>
      </c>
      <c r="AB46" s="5">
        <v>262061203569166</v>
      </c>
      <c r="AC46" s="5">
        <v>273241008019279</v>
      </c>
      <c r="AD46" s="5">
        <v>348497625453997</v>
      </c>
      <c r="AE46" s="5">
        <v>360581927168714</v>
      </c>
      <c r="AF46" s="5">
        <v>361317822618613</v>
      </c>
      <c r="AG46" s="5">
        <v>382008961325487</v>
      </c>
      <c r="AH46" s="5">
        <v>391968571872878</v>
      </c>
      <c r="AI46" s="5">
        <v>413295252777127</v>
      </c>
      <c r="AJ46" s="5">
        <v>376957878036283</v>
      </c>
      <c r="AK46" s="5">
        <v>361043294670912</v>
      </c>
      <c r="AL46" s="5">
        <v>385319808879433</v>
      </c>
      <c r="AM46" s="5">
        <v>400648480251256</v>
      </c>
      <c r="AN46" s="5">
        <v>41091444454176</v>
      </c>
      <c r="AO46" s="5">
        <v>417304651321721</v>
      </c>
    </row>
    <row r="47" spans="1:41" x14ac:dyDescent="0.45">
      <c r="A47" s="1" t="s">
        <v>41</v>
      </c>
      <c r="B47" s="2">
        <v>4438507</v>
      </c>
      <c r="C47" s="3" t="s">
        <v>614</v>
      </c>
      <c r="D47" s="3" t="s">
        <v>615</v>
      </c>
      <c r="E47" s="3" t="s">
        <v>579</v>
      </c>
      <c r="F47" s="5">
        <v>303323743983908</v>
      </c>
      <c r="G47" s="5">
        <v>298051326224098</v>
      </c>
      <c r="H47" s="5">
        <v>282907586903483</v>
      </c>
      <c r="I47" s="5">
        <v>299019226833732</v>
      </c>
      <c r="J47" s="5">
        <v>336154280375603</v>
      </c>
      <c r="K47" s="5">
        <v>354326602830589</v>
      </c>
      <c r="L47" s="5">
        <v>322189478305474</v>
      </c>
      <c r="M47" s="5">
        <v>318640211653844</v>
      </c>
      <c r="N47" s="5">
        <v>293711901188586</v>
      </c>
      <c r="O47" s="5">
        <v>281592238461884</v>
      </c>
      <c r="P47" s="5">
        <v>341062317851187</v>
      </c>
      <c r="Q47" s="5">
        <v>38500029866151</v>
      </c>
      <c r="R47" s="5">
        <v>345201294294978</v>
      </c>
      <c r="S47" s="5">
        <v>338158541574031</v>
      </c>
      <c r="T47" s="5">
        <v>311684326461888</v>
      </c>
      <c r="U47" s="5">
        <v>278989481476797</v>
      </c>
      <c r="V47" s="5">
        <v>264282071118662</v>
      </c>
      <c r="W47" s="5">
        <v>282520921496352</v>
      </c>
      <c r="X47" s="5">
        <v>247765192406343</v>
      </c>
      <c r="Y47" s="5">
        <v>251642993190794</v>
      </c>
      <c r="Z47" s="5">
        <v>24225499928254</v>
      </c>
      <c r="AA47" s="5">
        <v>238060309662087</v>
      </c>
      <c r="AB47" s="5">
        <v>237254216618655</v>
      </c>
      <c r="AC47" s="5">
        <v>211705634460508</v>
      </c>
      <c r="AD47" s="5">
        <v>203421820592877</v>
      </c>
      <c r="AE47" s="5">
        <v>194601582852259</v>
      </c>
      <c r="AF47" s="5">
        <v>172489088459305</v>
      </c>
      <c r="AG47" s="5">
        <v>179653948461616</v>
      </c>
      <c r="AH47" s="5">
        <v>176289958333608</v>
      </c>
      <c r="AI47" s="5">
        <v>163832763491872</v>
      </c>
      <c r="AJ47" s="5">
        <v>160601631166972</v>
      </c>
      <c r="AK47" s="5">
        <v>148700615495414</v>
      </c>
      <c r="AL47" s="5">
        <v>144013306477829</v>
      </c>
      <c r="AM47" s="5">
        <v>137861771977151</v>
      </c>
      <c r="AN47" s="5">
        <v>136345407258053</v>
      </c>
      <c r="AO47" s="5">
        <v>135174961144966</v>
      </c>
    </row>
    <row r="48" spans="1:41" x14ac:dyDescent="0.45">
      <c r="A48" s="1" t="s">
        <v>42</v>
      </c>
      <c r="B48" s="2">
        <v>4970981</v>
      </c>
      <c r="C48" s="3" t="s">
        <v>616</v>
      </c>
      <c r="D48" s="3" t="s">
        <v>617</v>
      </c>
      <c r="E48" s="3" t="s">
        <v>618</v>
      </c>
      <c r="F48" s="5">
        <v>140534011322413</v>
      </c>
      <c r="G48" s="5">
        <v>14191945283001</v>
      </c>
      <c r="H48" s="5">
        <v>171835153373215</v>
      </c>
      <c r="I48" s="5">
        <v>156088393531414</v>
      </c>
      <c r="J48" s="5">
        <v>146722184951318</v>
      </c>
      <c r="K48" s="5">
        <v>13528650517586</v>
      </c>
      <c r="L48" s="5">
        <v>109412063347177</v>
      </c>
      <c r="M48" s="5">
        <v>958969257906356</v>
      </c>
      <c r="N48" s="5">
        <v>910488939302795</v>
      </c>
      <c r="O48" s="5">
        <v>904029376884716</v>
      </c>
      <c r="P48" s="5">
        <v>112782641458802</v>
      </c>
      <c r="Q48" s="5">
        <v>139660447628298</v>
      </c>
      <c r="R48" s="5">
        <v>134493095433406</v>
      </c>
      <c r="S48" s="5">
        <v>121137278565805</v>
      </c>
      <c r="T48" s="5">
        <v>111810539290815</v>
      </c>
      <c r="U48" s="5">
        <v>108110375102209</v>
      </c>
      <c r="V48" s="5">
        <v>100368971576917</v>
      </c>
      <c r="W48" s="5">
        <v>100595583240075</v>
      </c>
      <c r="X48" s="5">
        <v>102502004104181</v>
      </c>
      <c r="Y48" s="5">
        <v>860065960605123</v>
      </c>
      <c r="Z48" s="5">
        <v>751881039346698</v>
      </c>
      <c r="AA48" s="5">
        <v>839307086930242</v>
      </c>
      <c r="AB48" s="5">
        <v>802693845571615</v>
      </c>
      <c r="AC48" s="5">
        <v>741741621080006</v>
      </c>
      <c r="AD48" s="5">
        <v>662848308120574</v>
      </c>
      <c r="AE48" s="5">
        <v>626717766050981</v>
      </c>
      <c r="AF48" s="5">
        <v>590002057058291</v>
      </c>
      <c r="AG48" s="5">
        <v>537980129526703</v>
      </c>
      <c r="AH48" s="5">
        <v>557251511360978</v>
      </c>
      <c r="AI48" s="5">
        <v>433842270540161</v>
      </c>
      <c r="AJ48" s="5">
        <v>45763644331841</v>
      </c>
      <c r="AK48" s="5">
        <v>481157995451848</v>
      </c>
      <c r="AL48" s="5">
        <v>447391005817115</v>
      </c>
      <c r="AM48" s="5">
        <v>473375794372441</v>
      </c>
      <c r="AN48" s="5">
        <v>400322114546736</v>
      </c>
      <c r="AO48" s="5">
        <v>354545559656022</v>
      </c>
    </row>
    <row r="49" spans="1:41" x14ac:dyDescent="0.45">
      <c r="A49" s="1" t="s">
        <v>43</v>
      </c>
      <c r="B49" s="2">
        <v>103437</v>
      </c>
      <c r="C49" s="3" t="s">
        <v>619</v>
      </c>
      <c r="D49" s="3" t="s">
        <v>620</v>
      </c>
      <c r="E49" s="3" t="s">
        <v>592</v>
      </c>
      <c r="F49" s="5">
        <v>56602760619615</v>
      </c>
      <c r="G49" s="5">
        <v>5484006265584</v>
      </c>
      <c r="H49" s="5">
        <v>5554893228315</v>
      </c>
      <c r="I49" s="5">
        <v>67677627790926</v>
      </c>
      <c r="J49" s="5">
        <v>66352121613925</v>
      </c>
      <c r="K49" s="5">
        <v>6437632556385</v>
      </c>
      <c r="L49" s="5">
        <v>6979548493554</v>
      </c>
      <c r="M49" s="5">
        <v>78403139772216</v>
      </c>
      <c r="N49" s="5">
        <v>722850186460891</v>
      </c>
      <c r="O49" s="5">
        <v>816857997909025</v>
      </c>
      <c r="P49" s="5">
        <v>826761074958</v>
      </c>
      <c r="Q49" s="5">
        <v>72594965118978</v>
      </c>
      <c r="R49" s="5">
        <v>684885711593947</v>
      </c>
      <c r="S49" s="5">
        <v>649246668894371</v>
      </c>
      <c r="T49" s="5">
        <v>568171485142632</v>
      </c>
      <c r="U49" s="5">
        <v>55275512466594</v>
      </c>
      <c r="V49" s="5">
        <v>57956548444459</v>
      </c>
      <c r="W49" s="5">
        <v>5739393052932</v>
      </c>
      <c r="X49" s="5">
        <v>52883936249868</v>
      </c>
      <c r="Y49" s="5">
        <v>51044374599988</v>
      </c>
      <c r="Z49" s="5">
        <v>47960347941408</v>
      </c>
      <c r="AA49" s="5">
        <v>505342716475432</v>
      </c>
      <c r="AB49" s="5">
        <v>489230106024</v>
      </c>
      <c r="AC49" s="5">
        <v>46366875916192</v>
      </c>
      <c r="AD49" s="5">
        <v>43926863220696</v>
      </c>
      <c r="AE49" s="5">
        <v>492942301791</v>
      </c>
      <c r="AF49" s="5">
        <v>48124680235635</v>
      </c>
      <c r="AG49" s="5">
        <v>46408842981584</v>
      </c>
      <c r="AH49" s="5">
        <v>4579557669536</v>
      </c>
      <c r="AI49" s="5">
        <v>4200417101712</v>
      </c>
      <c r="AJ49" s="5">
        <v>4309046670552</v>
      </c>
      <c r="AK49" s="5">
        <v>40271743277194</v>
      </c>
      <c r="AL49" s="5">
        <v>40390334222836</v>
      </c>
      <c r="AM49" s="5">
        <v>376947181320058</v>
      </c>
      <c r="AN49" s="5">
        <v>374311338678</v>
      </c>
      <c r="AO49" s="5">
        <v>38186776499256</v>
      </c>
    </row>
    <row r="50" spans="1:41" x14ac:dyDescent="0.45">
      <c r="A50" s="1" t="s">
        <v>44</v>
      </c>
      <c r="B50" s="2">
        <v>4090153</v>
      </c>
      <c r="C50" s="3" t="s">
        <v>621</v>
      </c>
      <c r="D50" s="3" t="s">
        <v>622</v>
      </c>
      <c r="E50" s="3" t="s">
        <v>570</v>
      </c>
      <c r="F50" s="5">
        <v>102732355020589</v>
      </c>
      <c r="G50" s="5">
        <v>985421882407424</v>
      </c>
      <c r="H50" s="5">
        <v>926235534058164</v>
      </c>
      <c r="I50" s="5">
        <v>931518310694598</v>
      </c>
      <c r="J50" s="5">
        <v>930089351252368</v>
      </c>
      <c r="K50" s="5">
        <v>830187988832184</v>
      </c>
      <c r="L50" s="5">
        <v>852624147469614</v>
      </c>
      <c r="M50" s="5">
        <v>906994982350078</v>
      </c>
      <c r="N50" s="5">
        <v>86414981765048</v>
      </c>
      <c r="O50" s="5">
        <v>98567157436047</v>
      </c>
      <c r="P50" s="5">
        <v>101483822041248</v>
      </c>
      <c r="Q50" s="5">
        <v>106182459377094</v>
      </c>
      <c r="R50" s="5">
        <v>105625939547244</v>
      </c>
      <c r="S50" s="5">
        <v>110393707363229</v>
      </c>
      <c r="T50" s="5">
        <v>91443943918035</v>
      </c>
      <c r="U50" s="5">
        <v>923462735762638</v>
      </c>
      <c r="V50" s="5">
        <v>919434044036393</v>
      </c>
      <c r="W50" s="5">
        <v>839985997202352</v>
      </c>
      <c r="X50" s="5">
        <v>80661758326695</v>
      </c>
      <c r="Y50" s="5">
        <v>831547697887135</v>
      </c>
      <c r="Z50" s="5">
        <v>848961083244288</v>
      </c>
      <c r="AA50" s="5">
        <v>905827700320733</v>
      </c>
      <c r="AB50" s="5">
        <v>872493419677143</v>
      </c>
      <c r="AC50" s="5">
        <v>804024625162707</v>
      </c>
      <c r="AD50" s="5">
        <v>801654087716986</v>
      </c>
      <c r="AE50" s="5">
        <v>810198143909356</v>
      </c>
      <c r="AF50" s="5">
        <v>747269141625495</v>
      </c>
      <c r="AG50" s="5">
        <v>719275994300981</v>
      </c>
      <c r="AH50" s="5">
        <v>681141420329262</v>
      </c>
      <c r="AI50" s="5">
        <v>648738074908656</v>
      </c>
      <c r="AJ50" s="5">
        <v>612090848232976</v>
      </c>
      <c r="AK50" s="5">
        <v>598415466643237</v>
      </c>
      <c r="AL50" s="5">
        <v>590427931855189</v>
      </c>
      <c r="AM50" s="5">
        <v>584841261993565</v>
      </c>
      <c r="AN50" s="5">
        <v>635044194924258</v>
      </c>
      <c r="AO50" s="5">
        <v>644942908084098</v>
      </c>
    </row>
    <row r="51" spans="1:41" x14ac:dyDescent="0.45">
      <c r="A51" s="1" t="s">
        <v>45</v>
      </c>
      <c r="B51" s="2">
        <v>4024242</v>
      </c>
      <c r="C51" s="3" t="s">
        <v>623</v>
      </c>
      <c r="D51" s="3" t="s">
        <v>624</v>
      </c>
      <c r="E51" s="3" t="s">
        <v>625</v>
      </c>
      <c r="F51" s="5">
        <v>149986009910705</v>
      </c>
      <c r="G51" s="5">
        <v>159084751181578</v>
      </c>
      <c r="H51" s="5">
        <v>152127179626084</v>
      </c>
      <c r="I51" s="5">
        <v>172102284899617</v>
      </c>
      <c r="J51" s="5">
        <v>179045802577295</v>
      </c>
      <c r="K51" s="5">
        <v>171336264103145</v>
      </c>
      <c r="L51" s="5">
        <v>177316979067169</v>
      </c>
      <c r="M51" s="5">
        <v>176293260745305</v>
      </c>
      <c r="N51" s="5">
        <v>175679044143391</v>
      </c>
      <c r="O51" s="5">
        <v>187814688900048</v>
      </c>
      <c r="P51" s="5">
        <v>189100265584433</v>
      </c>
      <c r="Q51" s="5">
        <v>163832622408</v>
      </c>
      <c r="R51" s="5">
        <v>157810030611913</v>
      </c>
      <c r="S51" s="5">
        <v>157505116699187</v>
      </c>
      <c r="T51" s="5">
        <v>148954267208476</v>
      </c>
      <c r="U51" s="5">
        <v>1414344945226</v>
      </c>
      <c r="V51" s="5">
        <v>129004088034994</v>
      </c>
      <c r="W51" s="5">
        <v>127537127840199</v>
      </c>
      <c r="X51" s="5">
        <v>127882497399773</v>
      </c>
      <c r="Y51" s="5">
        <v>120463520396499</v>
      </c>
      <c r="Z51" s="5">
        <v>11325393576</v>
      </c>
      <c r="AA51" s="5">
        <v>116548169193762</v>
      </c>
      <c r="AB51" s="5">
        <v>112026624557328</v>
      </c>
      <c r="AC51" s="5">
        <v>116580169971435</v>
      </c>
      <c r="AD51" s="5">
        <v>108543497308662</v>
      </c>
      <c r="AE51" s="5">
        <v>108630491603438</v>
      </c>
      <c r="AF51" s="5">
        <v>10421940824198</v>
      </c>
      <c r="AG51" s="5">
        <v>101456750849496</v>
      </c>
      <c r="AH51" s="5">
        <v>974922801315049</v>
      </c>
      <c r="AI51" s="5">
        <v>941968812305081</v>
      </c>
      <c r="AJ51" s="5">
        <v>1044483198</v>
      </c>
      <c r="AK51" s="5">
        <v>105515372391</v>
      </c>
      <c r="AL51" s="5">
        <v>114461116263</v>
      </c>
      <c r="AM51" s="5">
        <v>126324903421817</v>
      </c>
      <c r="AN51" s="5">
        <v>12700594863507</v>
      </c>
      <c r="AO51" s="5">
        <v>133649232042665</v>
      </c>
    </row>
    <row r="52" spans="1:41" x14ac:dyDescent="0.45">
      <c r="A52" s="1" t="s">
        <v>46</v>
      </c>
      <c r="B52" s="2">
        <v>4057157</v>
      </c>
      <c r="C52" s="3" t="s">
        <v>626</v>
      </c>
      <c r="D52" s="3" t="s">
        <v>627</v>
      </c>
      <c r="E52" s="3" t="s">
        <v>628</v>
      </c>
      <c r="F52" s="5">
        <v>230928377149966</v>
      </c>
      <c r="G52" s="5">
        <v>24593797005284</v>
      </c>
      <c r="H52" s="5">
        <v>23898948299708</v>
      </c>
      <c r="I52" s="5">
        <v>233610314054335</v>
      </c>
      <c r="J52" s="5">
        <v>227982858488616</v>
      </c>
      <c r="K52" s="5">
        <v>216503006804521</v>
      </c>
      <c r="L52" s="5">
        <v>208433142680506</v>
      </c>
      <c r="M52" s="5">
        <v>216525593406582</v>
      </c>
      <c r="N52" s="5">
        <v>224726241644146</v>
      </c>
      <c r="O52" s="5">
        <v>22700896581279</v>
      </c>
      <c r="P52" s="5">
        <v>232079898378962</v>
      </c>
      <c r="Q52" s="5">
        <v>213097194552596</v>
      </c>
      <c r="R52" s="5">
        <v>209074910309851</v>
      </c>
      <c r="S52" s="5">
        <v>222875713407482</v>
      </c>
      <c r="T52" s="5">
        <v>198412980043063</v>
      </c>
      <c r="U52" s="5">
        <v>193059009153802</v>
      </c>
      <c r="V52" s="5">
        <v>183488358949701</v>
      </c>
      <c r="W52" s="5">
        <v>178278019192627</v>
      </c>
      <c r="X52" s="5">
        <v>164259013499539</v>
      </c>
      <c r="Y52" s="5">
        <v>161272231684946</v>
      </c>
      <c r="Z52" s="5">
        <v>166315983815167</v>
      </c>
      <c r="AA52" s="5">
        <v>165998867461348</v>
      </c>
      <c r="AB52" s="5">
        <v>157556663086051</v>
      </c>
      <c r="AC52" s="5">
        <v>158403116087859</v>
      </c>
      <c r="AD52" s="5">
        <v>158156099019347</v>
      </c>
      <c r="AE52" s="5">
        <v>15495923627002</v>
      </c>
      <c r="AF52" s="5">
        <v>151283550217714</v>
      </c>
      <c r="AG52" s="5">
        <v>148585206025294</v>
      </c>
      <c r="AH52" s="5">
        <v>158715151475379</v>
      </c>
      <c r="AI52" s="5">
        <v>159571280820321</v>
      </c>
      <c r="AJ52" s="5">
        <v>153976423129166</v>
      </c>
      <c r="AK52" s="5">
        <v>156287907932585</v>
      </c>
      <c r="AL52" s="5">
        <v>149429281714011</v>
      </c>
      <c r="AM52" s="5">
        <v>149420453701896</v>
      </c>
      <c r="AN52" s="5">
        <v>152134543760904</v>
      </c>
      <c r="AO52" s="5">
        <v>15260618689552</v>
      </c>
    </row>
    <row r="53" spans="1:41" x14ac:dyDescent="0.45">
      <c r="A53" s="1" t="s">
        <v>47</v>
      </c>
      <c r="B53" s="2">
        <v>4208149</v>
      </c>
      <c r="C53" s="3" t="s">
        <v>629</v>
      </c>
      <c r="D53" s="3" t="s">
        <v>630</v>
      </c>
      <c r="E53" s="3" t="s">
        <v>515</v>
      </c>
      <c r="F53" s="5">
        <v>533431925212136</v>
      </c>
      <c r="G53" s="5">
        <v>553508639755826</v>
      </c>
      <c r="H53" s="5">
        <v>555856735642923</v>
      </c>
      <c r="I53" s="5">
        <v>576044033502034</v>
      </c>
      <c r="J53" s="5">
        <v>57559002281131</v>
      </c>
      <c r="K53" s="5">
        <v>566907580209657</v>
      </c>
      <c r="L53" s="5">
        <v>563955344595074</v>
      </c>
      <c r="M53" s="5">
        <v>558332242521115</v>
      </c>
      <c r="N53" s="5">
        <v>5148720135</v>
      </c>
      <c r="O53" s="5">
        <v>5159229768</v>
      </c>
      <c r="P53" s="5">
        <v>566216080118777</v>
      </c>
      <c r="Q53" s="5">
        <v>64355470320928</v>
      </c>
      <c r="R53" s="5">
        <v>613370451547674</v>
      </c>
      <c r="S53" s="5">
        <v>594928850290295</v>
      </c>
      <c r="T53" s="5">
        <v>562064624018172</v>
      </c>
      <c r="U53" s="5">
        <v>531132699042352</v>
      </c>
      <c r="V53" s="5">
        <v>503469783559122</v>
      </c>
      <c r="W53" s="5">
        <v>492886246639987</v>
      </c>
      <c r="X53" s="5">
        <v>497706320839537</v>
      </c>
      <c r="Y53" s="5">
        <v>39765866350392</v>
      </c>
      <c r="Z53" s="5">
        <v>42581411301429</v>
      </c>
      <c r="AA53" s="5">
        <v>515743080294117</v>
      </c>
      <c r="AB53" s="5">
        <v>510900531480518</v>
      </c>
      <c r="AC53" s="5">
        <v>50042640289875</v>
      </c>
      <c r="AD53" s="5">
        <v>471204882835557</v>
      </c>
      <c r="AE53" s="5">
        <v>428122525173121</v>
      </c>
      <c r="AF53" s="5">
        <v>399859398894794</v>
      </c>
      <c r="AG53" s="5">
        <v>41788346310159</v>
      </c>
      <c r="AH53" s="5">
        <v>437421698481658</v>
      </c>
      <c r="AI53" s="5">
        <v>411123553978012</v>
      </c>
      <c r="AJ53" s="5">
        <v>400571953338964</v>
      </c>
      <c r="AK53" s="5">
        <v>400652913565345</v>
      </c>
      <c r="AL53" s="5">
        <v>379089791577097</v>
      </c>
      <c r="AM53" s="5">
        <v>411503175353537</v>
      </c>
      <c r="AN53" s="5">
        <v>403843344666541</v>
      </c>
      <c r="AO53" s="5">
        <v>427430684621231</v>
      </c>
    </row>
    <row r="54" spans="1:41" x14ac:dyDescent="0.45">
      <c r="A54" s="1" t="s">
        <v>48</v>
      </c>
      <c r="B54" s="2">
        <v>1031164</v>
      </c>
      <c r="C54" s="3" t="s">
        <v>631</v>
      </c>
      <c r="D54" s="3" t="s">
        <v>632</v>
      </c>
      <c r="E54" s="3" t="s">
        <v>633</v>
      </c>
      <c r="F54" s="5">
        <v>886077596519645</v>
      </c>
      <c r="G54" s="5">
        <v>890477711695757</v>
      </c>
      <c r="H54" s="5">
        <v>912760329907944</v>
      </c>
      <c r="I54" s="5">
        <v>101333162681876</v>
      </c>
      <c r="J54" s="5">
        <v>105288976502464</v>
      </c>
      <c r="K54" s="5">
        <v>10965995397</v>
      </c>
      <c r="L54" s="5">
        <v>106596369286547</v>
      </c>
      <c r="M54" s="5">
        <v>11645501062636</v>
      </c>
      <c r="N54" s="5">
        <v>107648713692</v>
      </c>
      <c r="O54" s="5">
        <v>115012781395706</v>
      </c>
      <c r="P54" s="5">
        <v>123249126658372</v>
      </c>
      <c r="Q54" s="5">
        <v>118613411809917</v>
      </c>
      <c r="R54" s="5">
        <v>115207585950456</v>
      </c>
      <c r="S54" s="5">
        <v>118532575650161</v>
      </c>
      <c r="T54" s="5">
        <v>108607219308</v>
      </c>
      <c r="U54" s="5">
        <v>101188243141815</v>
      </c>
      <c r="V54" s="5">
        <v>101724607589042</v>
      </c>
      <c r="W54" s="5">
        <v>99029905128</v>
      </c>
      <c r="X54" s="5">
        <v>911775750411402</v>
      </c>
      <c r="Y54" s="5">
        <v>92434654020135</v>
      </c>
      <c r="Z54" s="5">
        <v>929272050113244</v>
      </c>
      <c r="AA54" s="5">
        <v>949785961563486</v>
      </c>
      <c r="AB54" s="5">
        <v>954350136424158</v>
      </c>
      <c r="AC54" s="5">
        <v>930380994582</v>
      </c>
      <c r="AD54" s="5">
        <v>866898694290799</v>
      </c>
      <c r="AE54" s="5">
        <v>867086615332647</v>
      </c>
      <c r="AF54" s="5">
        <v>85034671191</v>
      </c>
      <c r="AG54" s="5">
        <v>936412326452477</v>
      </c>
      <c r="AH54" s="5">
        <v>967140907669854</v>
      </c>
      <c r="AI54" s="5">
        <v>924602906604</v>
      </c>
      <c r="AJ54" s="5">
        <v>831730300997588</v>
      </c>
      <c r="AK54" s="5">
        <v>810114383860196</v>
      </c>
      <c r="AL54" s="5">
        <v>82427917</v>
      </c>
      <c r="AM54" s="5">
        <v>849042159253414</v>
      </c>
      <c r="AN54" s="5">
        <v>857999561166185</v>
      </c>
      <c r="AO54" s="5">
        <v>861551138448</v>
      </c>
    </row>
    <row r="55" spans="1:41" x14ac:dyDescent="0.45">
      <c r="A55" s="1" t="s">
        <v>49</v>
      </c>
      <c r="B55" s="2">
        <v>4344582</v>
      </c>
      <c r="C55" s="3" t="s">
        <v>634</v>
      </c>
      <c r="D55" s="3" t="s">
        <v>635</v>
      </c>
      <c r="E55" s="3" t="s">
        <v>636</v>
      </c>
      <c r="F55" s="5">
        <v>478568227836415</v>
      </c>
      <c r="G55" s="5">
        <v>567209434133533</v>
      </c>
      <c r="H55" s="5">
        <v>52987186971447</v>
      </c>
      <c r="I55" s="5">
        <v>6093676491408</v>
      </c>
      <c r="J55" s="5">
        <v>600447628890501</v>
      </c>
      <c r="K55" s="5">
        <v>551097002343943</v>
      </c>
      <c r="L55" s="5">
        <v>528788601273453</v>
      </c>
      <c r="M55" s="5">
        <v>55020758414048</v>
      </c>
      <c r="N55" s="5">
        <v>554781759915755</v>
      </c>
      <c r="O55" s="5">
        <v>590117437114928</v>
      </c>
      <c r="P55" s="5">
        <v>563399248715078</v>
      </c>
      <c r="Q55" s="5">
        <v>540928797399886</v>
      </c>
      <c r="R55" s="5">
        <v>51904062477488</v>
      </c>
      <c r="S55" s="5">
        <v>507820057448615</v>
      </c>
      <c r="T55" s="5">
        <v>46846670158521</v>
      </c>
      <c r="U55" s="5">
        <v>47804539574064</v>
      </c>
      <c r="V55" s="5">
        <v>491365858581911</v>
      </c>
      <c r="W55" s="5">
        <v>494637813228636</v>
      </c>
      <c r="X55" s="5">
        <v>472577921410293</v>
      </c>
      <c r="Y55" s="5">
        <v>43788547739056</v>
      </c>
      <c r="Z55" s="5">
        <v>478394925724867</v>
      </c>
      <c r="AA55" s="5">
        <v>504863566561554</v>
      </c>
      <c r="AB55" s="5">
        <v>48142405893824</v>
      </c>
      <c r="AC55" s="5">
        <v>440226840794308</v>
      </c>
      <c r="AD55" s="5">
        <v>404492454748328</v>
      </c>
      <c r="AE55" s="5">
        <v>421983492556841</v>
      </c>
      <c r="AF55" s="5">
        <v>413441480724367</v>
      </c>
      <c r="AG55" s="5">
        <v>42852917031064</v>
      </c>
      <c r="AH55" s="5">
        <v>423739665860859</v>
      </c>
      <c r="AI55" s="5">
        <v>408856576802734</v>
      </c>
      <c r="AJ55" s="5">
        <v>414667400491094</v>
      </c>
      <c r="AK55" s="5">
        <v>408161991897</v>
      </c>
      <c r="AL55" s="5">
        <v>443978051625867</v>
      </c>
      <c r="AM55" s="5">
        <v>416244627895083</v>
      </c>
      <c r="AN55" s="5">
        <v>4325563599756</v>
      </c>
      <c r="AO55" s="5">
        <v>421373608405848</v>
      </c>
    </row>
    <row r="56" spans="1:41" x14ac:dyDescent="0.45">
      <c r="A56" s="1" t="s">
        <v>50</v>
      </c>
      <c r="B56" s="2">
        <v>103145</v>
      </c>
      <c r="C56" s="3" t="s">
        <v>637</v>
      </c>
      <c r="D56" s="3" t="s">
        <v>638</v>
      </c>
      <c r="E56" s="3" t="s">
        <v>639</v>
      </c>
      <c r="F56" s="5">
        <v>218389483566603</v>
      </c>
      <c r="G56" s="5">
        <v>221901508385726</v>
      </c>
      <c r="H56" s="5">
        <v>213250471262011</v>
      </c>
      <c r="I56" s="5">
        <v>23413110749851</v>
      </c>
      <c r="J56" s="5">
        <v>238103535529019</v>
      </c>
      <c r="K56" s="5">
        <v>231552417813286</v>
      </c>
      <c r="L56" s="5">
        <v>246389022512848</v>
      </c>
      <c r="M56" s="5">
        <v>259109649359487</v>
      </c>
      <c r="N56" s="5">
        <v>263162873193907</v>
      </c>
      <c r="O56" s="5">
        <v>282108076228319</v>
      </c>
      <c r="P56" s="5">
        <v>308839244741688</v>
      </c>
      <c r="Q56" s="5">
        <v>302730067123575</v>
      </c>
      <c r="R56" s="5">
        <v>301812780468748</v>
      </c>
      <c r="S56" s="5">
        <v>316864008857472</v>
      </c>
      <c r="T56" s="5">
        <v>296414963656162</v>
      </c>
      <c r="U56" s="5">
        <v>293301763494973</v>
      </c>
      <c r="V56" s="5">
        <v>289854817854172</v>
      </c>
      <c r="W56" s="5">
        <v>268858732264954</v>
      </c>
      <c r="X56" s="5">
        <v>274175468033486</v>
      </c>
      <c r="Y56" s="5">
        <v>252279805641106</v>
      </c>
      <c r="Z56" s="5">
        <v>251732022349686</v>
      </c>
      <c r="AA56" s="5">
        <v>243961808366316</v>
      </c>
      <c r="AB56" s="5">
        <v>23231169901906</v>
      </c>
      <c r="AC56" s="5">
        <v>234027320942508</v>
      </c>
      <c r="AD56" s="5">
        <v>240246191738533</v>
      </c>
      <c r="AE56" s="5">
        <v>224914320542387</v>
      </c>
      <c r="AF56" s="5">
        <v>222507274285804</v>
      </c>
      <c r="AG56" s="5">
        <v>230147224806278</v>
      </c>
      <c r="AH56" s="5">
        <v>240390932449595</v>
      </c>
      <c r="AI56" s="5">
        <v>242769019649656</v>
      </c>
      <c r="AJ56" s="5">
        <v>245875318715358</v>
      </c>
      <c r="AK56" s="5">
        <v>231514780608332</v>
      </c>
      <c r="AL56" s="5">
        <v>228518677020792</v>
      </c>
      <c r="AM56" s="5">
        <v>216140880280638</v>
      </c>
      <c r="AN56" s="5">
        <v>227083876286983</v>
      </c>
      <c r="AO56" s="5">
        <v>228244053274839</v>
      </c>
    </row>
    <row r="57" spans="1:41" x14ac:dyDescent="0.45">
      <c r="A57" s="1" t="s">
        <v>51</v>
      </c>
      <c r="B57" s="2">
        <v>3001622</v>
      </c>
      <c r="C57" s="3" t="s">
        <v>640</v>
      </c>
      <c r="D57" s="3" t="s">
        <v>641</v>
      </c>
      <c r="E57" s="3" t="s">
        <v>559</v>
      </c>
      <c r="F57" s="5">
        <v>119736127482552</v>
      </c>
      <c r="G57" s="5">
        <v>114901062518039</v>
      </c>
      <c r="H57" s="5">
        <v>117202719929242</v>
      </c>
      <c r="I57" s="5">
        <v>107784202668607</v>
      </c>
      <c r="J57" s="5">
        <v>114432986675745</v>
      </c>
      <c r="K57" s="5">
        <v>114371341445872</v>
      </c>
      <c r="L57" s="5">
        <v>116804223327279</v>
      </c>
      <c r="M57" s="5">
        <v>122449080602068</v>
      </c>
      <c r="N57" s="5">
        <v>117901533835573</v>
      </c>
      <c r="O57" s="5">
        <v>130023706506726</v>
      </c>
      <c r="P57" s="5">
        <v>142710078144535</v>
      </c>
      <c r="Q57" s="5">
        <v>14357167467532</v>
      </c>
      <c r="R57" s="5">
        <v>145225231172641</v>
      </c>
      <c r="S57" s="5">
        <v>156835724132163</v>
      </c>
      <c r="T57" s="5">
        <v>153200225706022</v>
      </c>
      <c r="U57" s="5">
        <v>15937411213375</v>
      </c>
      <c r="V57" s="5">
        <v>16150075640068</v>
      </c>
      <c r="W57" s="5">
        <v>161320663460788</v>
      </c>
      <c r="X57" s="5">
        <v>164382033419347</v>
      </c>
      <c r="Y57" s="5">
        <v>169049853500649</v>
      </c>
      <c r="Z57" s="5">
        <v>163684611384573</v>
      </c>
      <c r="AA57" s="5">
        <v>166423459692006</v>
      </c>
      <c r="AB57" s="5">
        <v>161268434935157</v>
      </c>
      <c r="AC57" s="5">
        <v>148043116631071</v>
      </c>
      <c r="AD57" s="5">
        <v>147286997992863</v>
      </c>
      <c r="AE57" s="5">
        <v>143617105512499</v>
      </c>
      <c r="AF57" s="5">
        <v>132681123049219</v>
      </c>
      <c r="AG57" s="5">
        <v>13907518972923</v>
      </c>
      <c r="AH57" s="5">
        <v>13996139463317</v>
      </c>
      <c r="AI57" s="5">
        <v>134792563242848</v>
      </c>
      <c r="AJ57" s="5">
        <v>127041134938768</v>
      </c>
      <c r="AK57" s="5">
        <v>122051706269598</v>
      </c>
      <c r="AL57" s="5">
        <v>128230311153438</v>
      </c>
      <c r="AM57" s="5">
        <v>133576077165687</v>
      </c>
      <c r="AN57" s="5">
        <v>138714174043672</v>
      </c>
      <c r="AO57" s="5">
        <v>141224055501957</v>
      </c>
    </row>
    <row r="58" spans="1:41" x14ac:dyDescent="0.45">
      <c r="A58" s="1" t="s">
        <v>52</v>
      </c>
      <c r="B58" s="2">
        <v>4142027</v>
      </c>
      <c r="C58" s="3" t="s">
        <v>642</v>
      </c>
      <c r="D58" s="3" t="s">
        <v>643</v>
      </c>
      <c r="E58" s="3" t="s">
        <v>644</v>
      </c>
      <c r="F58" s="5">
        <v>384242816458999</v>
      </c>
      <c r="G58" s="5">
        <v>36757815708359</v>
      </c>
      <c r="H58" s="5">
        <v>498380263897404</v>
      </c>
      <c r="I58" s="5">
        <v>480168146038997</v>
      </c>
      <c r="J58" s="5">
        <v>501532068790012</v>
      </c>
      <c r="K58" s="5">
        <v>514165188051787</v>
      </c>
      <c r="L58" s="5">
        <v>548841147961189</v>
      </c>
      <c r="M58" s="5">
        <v>514821400331216</v>
      </c>
      <c r="N58" s="5">
        <v>420817988450278</v>
      </c>
      <c r="O58" s="5">
        <v>37285566247598</v>
      </c>
      <c r="P58" s="5">
        <v>389164430424015</v>
      </c>
      <c r="Q58" s="5">
        <v>478470030828173</v>
      </c>
      <c r="R58" s="5">
        <v>437743353904139</v>
      </c>
      <c r="S58" s="5">
        <v>467585660491739</v>
      </c>
      <c r="T58" s="5">
        <v>29477281643964</v>
      </c>
      <c r="U58" s="5">
        <v>270768787494278</v>
      </c>
      <c r="V58" s="5">
        <v>249372192068637</v>
      </c>
      <c r="W58" s="5">
        <v>209202107011128</v>
      </c>
      <c r="X58" s="5">
        <v>207243696427862</v>
      </c>
      <c r="Y58" s="5">
        <v>196009430977085</v>
      </c>
      <c r="Z58" s="5">
        <v>221360214677016</v>
      </c>
      <c r="AA58" s="5">
        <v>218125424205089</v>
      </c>
      <c r="AB58" s="5">
        <v>214122086945992</v>
      </c>
      <c r="AC58" s="5">
        <v>172017054868643</v>
      </c>
      <c r="AD58" s="5">
        <v>175128718918495</v>
      </c>
      <c r="AE58" s="5">
        <v>157936389302433</v>
      </c>
      <c r="AF58" s="5">
        <v>144697797975524</v>
      </c>
      <c r="AG58" s="5">
        <v>140553079514567</v>
      </c>
      <c r="AH58" s="5">
        <v>146756116158668</v>
      </c>
      <c r="AI58" s="5">
        <v>12465402743999</v>
      </c>
      <c r="AJ58" s="5">
        <v>132055146518256</v>
      </c>
      <c r="AK58" s="5">
        <v>133737908721782</v>
      </c>
      <c r="AL58" s="5">
        <v>141054080495907</v>
      </c>
      <c r="AM58" s="5">
        <v>150789792303704</v>
      </c>
      <c r="AN58" s="5">
        <v>137485207943285</v>
      </c>
      <c r="AO58" s="5">
        <v>128056082326492</v>
      </c>
    </row>
    <row r="59" spans="1:41" x14ac:dyDescent="0.45">
      <c r="A59" s="1" t="s">
        <v>53</v>
      </c>
      <c r="B59" s="2">
        <v>6893503</v>
      </c>
      <c r="C59" s="3" t="s">
        <v>645</v>
      </c>
      <c r="D59" s="3" t="s">
        <v>646</v>
      </c>
      <c r="E59" s="3" t="s">
        <v>647</v>
      </c>
      <c r="F59" s="5">
        <v>382734242587347</v>
      </c>
      <c r="G59" s="5">
        <v>427198885510074</v>
      </c>
      <c r="H59" s="5">
        <v>414163503851465</v>
      </c>
      <c r="I59" s="5">
        <v>409376999542069</v>
      </c>
      <c r="J59" s="5">
        <v>38264394065085</v>
      </c>
      <c r="K59" s="5">
        <v>38826591635546</v>
      </c>
      <c r="L59" s="5">
        <v>323445289663373</v>
      </c>
      <c r="M59" s="5">
        <v>323501316574459</v>
      </c>
      <c r="N59" s="5">
        <v>30912944789961</v>
      </c>
      <c r="O59" s="5">
        <v>402701294513957</v>
      </c>
      <c r="P59" s="5">
        <v>424316880633924</v>
      </c>
      <c r="Q59" s="5">
        <v>439644120191404</v>
      </c>
      <c r="R59" s="5">
        <v>392062177950154</v>
      </c>
      <c r="S59" s="5">
        <v>412194990898003</v>
      </c>
      <c r="T59" s="5">
        <v>347043325249891</v>
      </c>
      <c r="U59" s="5">
        <v>321989376270549</v>
      </c>
      <c r="V59" s="5">
        <v>315880883620334</v>
      </c>
      <c r="W59" s="5">
        <v>355419970506586</v>
      </c>
      <c r="X59" s="5">
        <v>327584350160351</v>
      </c>
      <c r="Y59" s="5">
        <v>308100911410657</v>
      </c>
      <c r="Z59" s="5">
        <v>30445139374274</v>
      </c>
      <c r="AA59" s="5">
        <v>310416361901058</v>
      </c>
      <c r="AB59" s="5">
        <v>273978363513549</v>
      </c>
      <c r="AC59" s="5">
        <v>262159131</v>
      </c>
      <c r="AD59" s="5">
        <v>311154144664409</v>
      </c>
      <c r="AE59" s="5">
        <v>311382851565949</v>
      </c>
      <c r="AF59" s="5">
        <v>327816210701173</v>
      </c>
      <c r="AG59" s="5">
        <v>336924913550052</v>
      </c>
      <c r="AH59" s="5">
        <v>336893048871579</v>
      </c>
      <c r="AI59" s="5">
        <v>327893659986366</v>
      </c>
      <c r="AJ59" s="5">
        <v>293127041287054</v>
      </c>
      <c r="AK59" s="5">
        <v>258847597161235</v>
      </c>
      <c r="AL59" s="5">
        <v>268218922557197</v>
      </c>
      <c r="AM59" s="5">
        <v>268780432931506</v>
      </c>
      <c r="AN59" s="5">
        <v>29148552590166</v>
      </c>
      <c r="AO59" s="5">
        <v>29398356108</v>
      </c>
    </row>
    <row r="60" spans="1:41" x14ac:dyDescent="0.45">
      <c r="A60" s="1" t="s">
        <v>54</v>
      </c>
      <c r="B60" s="2">
        <v>4014079</v>
      </c>
      <c r="C60" s="3" t="s">
        <v>648</v>
      </c>
      <c r="D60" s="3" t="s">
        <v>649</v>
      </c>
      <c r="E60" s="3" t="s">
        <v>650</v>
      </c>
      <c r="F60" s="5">
        <v>120901222071474</v>
      </c>
      <c r="G60" s="5">
        <v>114469858607745</v>
      </c>
      <c r="H60" s="5">
        <v>11089795322355</v>
      </c>
      <c r="I60" s="5">
        <v>116950452117726</v>
      </c>
      <c r="J60" s="5">
        <v>122472271552607</v>
      </c>
      <c r="K60" s="5">
        <v>138866025531368</v>
      </c>
      <c r="L60" s="5">
        <v>13249636151155</v>
      </c>
      <c r="M60" s="5">
        <v>130996695194252</v>
      </c>
      <c r="N60" s="5">
        <v>129272810403348</v>
      </c>
      <c r="O60" s="5">
        <v>13603648468735</v>
      </c>
      <c r="P60" s="5">
        <v>143222527336579</v>
      </c>
      <c r="Q60" s="5">
        <v>159923399248391</v>
      </c>
      <c r="R60" s="5">
        <v>158912024710395</v>
      </c>
      <c r="S60" s="5">
        <v>175818395608686</v>
      </c>
      <c r="T60" s="5">
        <v>162848809268685</v>
      </c>
      <c r="U60" s="5">
        <v>184835236535588</v>
      </c>
      <c r="V60" s="5">
        <v>175128777669977</v>
      </c>
      <c r="W60" s="5">
        <v>183057446049878</v>
      </c>
      <c r="X60" s="5">
        <v>173863268676148</v>
      </c>
      <c r="Y60" s="5">
        <v>198708191430261</v>
      </c>
      <c r="Z60" s="5">
        <v>204828028950298</v>
      </c>
      <c r="AA60" s="5">
        <v>196327953356197</v>
      </c>
      <c r="AB60" s="5">
        <v>186938953003864</v>
      </c>
      <c r="AC60" s="5">
        <v>161144979999337</v>
      </c>
      <c r="AD60" s="5">
        <v>164077530377496</v>
      </c>
      <c r="AE60" s="5">
        <v>159843214795168</v>
      </c>
      <c r="AF60" s="5">
        <v>143584723953432</v>
      </c>
      <c r="AG60" s="5">
        <v>148178810673812</v>
      </c>
      <c r="AH60" s="5">
        <v>158168549883168</v>
      </c>
      <c r="AI60" s="5">
        <v>167513288493315</v>
      </c>
      <c r="AJ60" s="5">
        <v>167717914290971</v>
      </c>
      <c r="AK60" s="5">
        <v>150993632131831</v>
      </c>
      <c r="AL60" s="5">
        <v>151495691043737</v>
      </c>
      <c r="AM60" s="5">
        <v>159471411450179</v>
      </c>
      <c r="AN60" s="5">
        <v>166487238555792</v>
      </c>
      <c r="AO60" s="5">
        <v>168328906697952</v>
      </c>
    </row>
    <row r="61" spans="1:41" x14ac:dyDescent="0.45">
      <c r="A61" s="1" t="s">
        <v>55</v>
      </c>
      <c r="B61" s="2">
        <v>100369</v>
      </c>
      <c r="C61" s="3" t="s">
        <v>651</v>
      </c>
      <c r="D61" s="3" t="s">
        <v>652</v>
      </c>
      <c r="E61" s="3" t="s">
        <v>653</v>
      </c>
      <c r="F61" s="5">
        <v>342074450296425</v>
      </c>
      <c r="G61" s="5">
        <v>337870111508468</v>
      </c>
      <c r="H61" s="5">
        <v>338406041656883</v>
      </c>
      <c r="I61" s="5">
        <v>325684636199368</v>
      </c>
      <c r="J61" s="5">
        <v>321295790301641</v>
      </c>
      <c r="K61" s="5">
        <v>306080498388909</v>
      </c>
      <c r="L61" s="5">
        <v>303481733180657</v>
      </c>
      <c r="M61" s="5">
        <v>292927985534496</v>
      </c>
      <c r="N61" s="5">
        <v>264747192415706</v>
      </c>
      <c r="O61" s="5">
        <v>293533368999402</v>
      </c>
      <c r="P61" s="5">
        <v>336938230622709</v>
      </c>
      <c r="Q61" s="5">
        <v>339027612141826</v>
      </c>
      <c r="R61" s="5">
        <v>325723752085427</v>
      </c>
      <c r="S61" s="5">
        <v>345509599539619</v>
      </c>
      <c r="T61" s="5">
        <v>295530318668596</v>
      </c>
      <c r="U61" s="5">
        <v>276063168465113</v>
      </c>
      <c r="V61" s="5">
        <v>285878933018052</v>
      </c>
      <c r="W61" s="5">
        <v>28901663453866</v>
      </c>
      <c r="X61" s="5">
        <v>290271351356959</v>
      </c>
      <c r="Y61" s="5">
        <v>288374426695038</v>
      </c>
      <c r="Z61" s="5">
        <v>270676717544824</v>
      </c>
      <c r="AA61" s="5">
        <v>277011419635518</v>
      </c>
      <c r="AB61" s="5">
        <v>251409004387437</v>
      </c>
      <c r="AC61" s="5">
        <v>247499045647535</v>
      </c>
      <c r="AD61" s="5">
        <v>241062161397725</v>
      </c>
      <c r="AE61" s="5">
        <v>22123851594208</v>
      </c>
      <c r="AF61" s="5">
        <v>197295749231951</v>
      </c>
      <c r="AG61" s="5">
        <v>205561703171921</v>
      </c>
      <c r="AH61" s="5">
        <v>210052324994315</v>
      </c>
      <c r="AI61" s="5">
        <v>230737207462694</v>
      </c>
      <c r="AJ61" s="5">
        <v>209429654849433</v>
      </c>
      <c r="AK61" s="5">
        <v>207798504742981</v>
      </c>
      <c r="AL61" s="5">
        <v>211513631308834</v>
      </c>
      <c r="AM61" s="5">
        <v>21056868076149</v>
      </c>
      <c r="AN61" s="5">
        <v>258608847566353</v>
      </c>
      <c r="AO61" s="5">
        <v>261226234881221</v>
      </c>
    </row>
    <row r="62" spans="1:41" x14ac:dyDescent="0.45">
      <c r="A62" s="1" t="s">
        <v>56</v>
      </c>
      <c r="B62" s="2">
        <v>4081442</v>
      </c>
      <c r="C62" s="3" t="s">
        <v>654</v>
      </c>
      <c r="D62" s="3" t="s">
        <v>655</v>
      </c>
      <c r="E62" s="3" t="s">
        <v>506</v>
      </c>
      <c r="F62" s="5">
        <v>836676559945453</v>
      </c>
      <c r="G62" s="5">
        <v>830784914958768</v>
      </c>
      <c r="H62" s="5">
        <v>822486572411289</v>
      </c>
      <c r="I62" s="5">
        <v>996777767371013</v>
      </c>
      <c r="J62" s="5">
        <v>108412467862573</v>
      </c>
      <c r="K62" s="5">
        <v>975807353698867</v>
      </c>
      <c r="L62" s="5">
        <v>132261948526817</v>
      </c>
      <c r="M62" s="5">
        <v>137885310975769</v>
      </c>
      <c r="N62" s="5">
        <v>140916849411457</v>
      </c>
      <c r="O62" s="5">
        <v>162440979488973</v>
      </c>
      <c r="P62" s="5">
        <v>169693532639548</v>
      </c>
      <c r="Q62" s="5">
        <v>159946543083041</v>
      </c>
      <c r="R62" s="5">
        <v>143810280372672</v>
      </c>
      <c r="S62" s="5">
        <v>163134457915524</v>
      </c>
      <c r="T62" s="5">
        <v>167744866319982</v>
      </c>
      <c r="U62" s="5">
        <v>173684364212586</v>
      </c>
      <c r="V62" s="5">
        <v>174998847017997</v>
      </c>
      <c r="W62" s="5">
        <v>168659220629592</v>
      </c>
      <c r="X62" s="5">
        <v>159085253498881</v>
      </c>
      <c r="Y62" s="5">
        <v>160183419191539</v>
      </c>
      <c r="Z62" s="5">
        <v>19229898862328</v>
      </c>
      <c r="AA62" s="5">
        <v>20154194564124</v>
      </c>
      <c r="AB62" s="5">
        <v>192238543477592</v>
      </c>
      <c r="AC62" s="5">
        <v>180914470273107</v>
      </c>
      <c r="AD62" s="5">
        <v>177439958683783</v>
      </c>
      <c r="AE62" s="5">
        <v>167831505085078</v>
      </c>
      <c r="AF62" s="5">
        <v>155440936327409</v>
      </c>
      <c r="AG62" s="5">
        <v>180567513279419</v>
      </c>
      <c r="AH62" s="5">
        <v>189563531700564</v>
      </c>
      <c r="AI62" s="5">
        <v>207837160010956</v>
      </c>
      <c r="AJ62" s="5">
        <v>211106212381027</v>
      </c>
      <c r="AK62" s="5">
        <v>193273054526212</v>
      </c>
      <c r="AL62" s="5">
        <v>218541642034335</v>
      </c>
      <c r="AM62" s="5">
        <v>188718991664599</v>
      </c>
      <c r="AN62" s="5">
        <v>189922771558614</v>
      </c>
      <c r="AO62" s="5">
        <v>212067385746483</v>
      </c>
    </row>
    <row r="63" spans="1:41" x14ac:dyDescent="0.45">
      <c r="A63" s="1" t="s">
        <v>57</v>
      </c>
      <c r="B63" s="2">
        <v>4133271</v>
      </c>
      <c r="C63" s="3" t="s">
        <v>656</v>
      </c>
      <c r="D63" s="3" t="s">
        <v>657</v>
      </c>
      <c r="E63" s="3" t="s">
        <v>506</v>
      </c>
      <c r="F63" s="5">
        <v>470922936562362</v>
      </c>
      <c r="G63" s="5">
        <v>477570448253533</v>
      </c>
      <c r="H63" s="5">
        <v>444105100519863</v>
      </c>
      <c r="I63" s="5">
        <v>457242444125778</v>
      </c>
      <c r="J63" s="5">
        <v>472873991304183</v>
      </c>
      <c r="K63" s="5">
        <v>446609298850761</v>
      </c>
      <c r="L63" s="5">
        <v>420369601928673</v>
      </c>
      <c r="M63" s="5">
        <v>435940099980457</v>
      </c>
      <c r="N63" s="5">
        <v>52410577438772</v>
      </c>
      <c r="O63" s="5">
        <v>608515508170974</v>
      </c>
      <c r="P63" s="5">
        <v>622385788548527</v>
      </c>
      <c r="Q63" s="5">
        <v>69084480290873</v>
      </c>
      <c r="R63" s="5">
        <v>635504861156403</v>
      </c>
      <c r="S63" s="5">
        <v>608072448700584</v>
      </c>
      <c r="T63" s="5">
        <v>62183542365391</v>
      </c>
      <c r="U63" s="5">
        <v>624823746500887</v>
      </c>
      <c r="V63" s="5">
        <v>633473690600863</v>
      </c>
      <c r="W63" s="5">
        <v>643731372795218</v>
      </c>
      <c r="X63" s="5">
        <v>630385352102893</v>
      </c>
      <c r="Y63" s="5">
        <v>618183481979086</v>
      </c>
      <c r="Z63" s="5">
        <v>633845487841575</v>
      </c>
      <c r="AA63" s="5">
        <v>661843840961167</v>
      </c>
      <c r="AB63" s="5">
        <v>629539067836048</v>
      </c>
      <c r="AC63" s="5">
        <v>637314830175053</v>
      </c>
      <c r="AD63" s="5">
        <v>638709914172692</v>
      </c>
      <c r="AE63" s="5">
        <v>628882287435299</v>
      </c>
      <c r="AF63" s="5">
        <v>69410295310259</v>
      </c>
      <c r="AG63" s="5">
        <v>708616719523006</v>
      </c>
      <c r="AH63" s="5">
        <v>747473154059646</v>
      </c>
      <c r="AI63" s="5">
        <v>718045880709401</v>
      </c>
      <c r="AJ63" s="5">
        <v>686842219632498</v>
      </c>
      <c r="AK63" s="5">
        <v>644269089729963</v>
      </c>
      <c r="AL63" s="5">
        <v>679919707595998</v>
      </c>
      <c r="AM63" s="5">
        <v>646829622688099</v>
      </c>
      <c r="AN63" s="5">
        <v>627269605834962</v>
      </c>
      <c r="AO63" s="5">
        <v>660124115779792</v>
      </c>
    </row>
    <row r="64" spans="1:41" x14ac:dyDescent="0.45">
      <c r="A64" s="1" t="s">
        <v>58</v>
      </c>
      <c r="B64" s="2">
        <v>103462</v>
      </c>
      <c r="C64" s="3" t="s">
        <v>658</v>
      </c>
      <c r="D64" s="3" t="s">
        <v>659</v>
      </c>
      <c r="E64" s="3" t="s">
        <v>660</v>
      </c>
      <c r="F64" s="5">
        <v>923937779422574</v>
      </c>
      <c r="G64" s="5">
        <v>955658829212734</v>
      </c>
      <c r="H64" s="5">
        <v>892936917603178</v>
      </c>
      <c r="I64" s="5">
        <v>924426224287078</v>
      </c>
      <c r="J64" s="5">
        <v>928008461537854</v>
      </c>
      <c r="K64" s="5">
        <v>895649006974466</v>
      </c>
      <c r="L64" s="5">
        <v>892412382665966</v>
      </c>
      <c r="M64" s="5">
        <v>958857392181335</v>
      </c>
      <c r="N64" s="5">
        <v>1014281059722</v>
      </c>
      <c r="O64" s="5">
        <v>106279582769676</v>
      </c>
      <c r="P64" s="5">
        <v>106761635177479</v>
      </c>
      <c r="Q64" s="5">
        <v>972134844374072</v>
      </c>
      <c r="R64" s="5">
        <v>944658715000094</v>
      </c>
      <c r="S64" s="5">
        <v>98696351989248</v>
      </c>
      <c r="T64" s="5">
        <v>895279065129662</v>
      </c>
      <c r="U64" s="5">
        <v>889711762775375</v>
      </c>
      <c r="V64" s="5">
        <v>927980755713028</v>
      </c>
      <c r="W64" s="5">
        <v>873987642798612</v>
      </c>
      <c r="X64" s="5">
        <v>819326160256163</v>
      </c>
      <c r="Y64" s="5">
        <v>826547262200626</v>
      </c>
      <c r="Z64" s="5">
        <v>802435282313412</v>
      </c>
      <c r="AA64" s="5">
        <v>841477664845715</v>
      </c>
      <c r="AB64" s="5">
        <v>819636870963307</v>
      </c>
      <c r="AC64" s="5">
        <v>767366888119508</v>
      </c>
      <c r="AD64" s="5">
        <v>702842967120481</v>
      </c>
      <c r="AE64" s="5">
        <v>718047181273272</v>
      </c>
      <c r="AF64" s="5">
        <v>7045733729351</v>
      </c>
      <c r="AG64" s="5">
        <v>721814315309274</v>
      </c>
      <c r="AH64" s="5">
        <v>72442346131043</v>
      </c>
      <c r="AI64" s="5">
        <v>698510098727242</v>
      </c>
      <c r="AJ64" s="5">
        <v>682680159096596</v>
      </c>
      <c r="AK64" s="5">
        <v>65870367394946</v>
      </c>
      <c r="AL64" s="5">
        <v>655417695359905</v>
      </c>
      <c r="AM64" s="5">
        <v>621874692502537</v>
      </c>
      <c r="AN64" s="5">
        <v>632022244732783</v>
      </c>
      <c r="AO64" s="5">
        <v>633342049036106</v>
      </c>
    </row>
    <row r="65" spans="1:41" x14ac:dyDescent="0.45">
      <c r="A65" s="1" t="s">
        <v>59</v>
      </c>
      <c r="B65" s="2">
        <v>4095864</v>
      </c>
      <c r="C65" s="3" t="s">
        <v>661</v>
      </c>
      <c r="D65" s="3" t="s">
        <v>662</v>
      </c>
      <c r="E65" s="3" t="s">
        <v>663</v>
      </c>
      <c r="F65" s="5">
        <v>119443978907759</v>
      </c>
      <c r="G65" s="5">
        <v>143648487166061</v>
      </c>
      <c r="H65" s="5">
        <v>149624414254557</v>
      </c>
      <c r="I65" s="5">
        <v>135412210830214</v>
      </c>
      <c r="J65" s="5">
        <v>133052964599122</v>
      </c>
      <c r="K65" s="5">
        <v>120204387499557</v>
      </c>
      <c r="L65" s="5">
        <v>120808295883393</v>
      </c>
      <c r="M65" s="5">
        <v>123650949778869</v>
      </c>
      <c r="N65" s="5">
        <v>124244280736859</v>
      </c>
      <c r="O65" s="5">
        <v>143951132019776</v>
      </c>
      <c r="P65" s="5">
        <v>184746127580331</v>
      </c>
      <c r="Q65" s="5">
        <v>176607794846313</v>
      </c>
      <c r="R65" s="5">
        <v>177181438380547</v>
      </c>
      <c r="S65" s="5">
        <v>18316492934292</v>
      </c>
      <c r="T65" s="5">
        <v>178836132801134</v>
      </c>
      <c r="U65" s="5">
        <v>198875903197199</v>
      </c>
      <c r="V65" s="5">
        <v>195806912211366</v>
      </c>
      <c r="W65" s="5">
        <v>172451238923779</v>
      </c>
      <c r="X65" s="5">
        <v>169697387526052</v>
      </c>
      <c r="Y65" s="5">
        <v>169214682525782</v>
      </c>
      <c r="Z65" s="5">
        <v>148997860159335</v>
      </c>
      <c r="AA65" s="5">
        <v>163567898331267</v>
      </c>
      <c r="AB65" s="5">
        <v>161163762221854</v>
      </c>
      <c r="AC65" s="5">
        <v>14391473447647</v>
      </c>
      <c r="AD65" s="5">
        <v>152543245021385</v>
      </c>
      <c r="AE65" s="5">
        <v>141562489812253</v>
      </c>
      <c r="AF65" s="5">
        <v>137645534059352</v>
      </c>
      <c r="AG65" s="5">
        <v>142847360187927</v>
      </c>
      <c r="AH65" s="5">
        <v>158572774648156</v>
      </c>
      <c r="AI65" s="5">
        <v>169534709445187</v>
      </c>
      <c r="AJ65" s="5">
        <v>16380235662417</v>
      </c>
      <c r="AK65" s="5">
        <v>149100701331096</v>
      </c>
      <c r="AL65" s="5">
        <v>147230089758756</v>
      </c>
      <c r="AM65" s="5">
        <v>157079512241248</v>
      </c>
      <c r="AN65" s="5">
        <v>173227100231675</v>
      </c>
      <c r="AO65" s="5">
        <v>180738771778208</v>
      </c>
    </row>
    <row r="66" spans="1:41" x14ac:dyDescent="0.45">
      <c r="A66" s="1" t="s">
        <v>60</v>
      </c>
      <c r="B66" s="2">
        <v>4810610</v>
      </c>
      <c r="C66" s="3" t="s">
        <v>664</v>
      </c>
      <c r="D66" s="3" t="s">
        <v>665</v>
      </c>
      <c r="E66" s="3" t="s">
        <v>524</v>
      </c>
      <c r="F66" s="5">
        <v>780442089034638</v>
      </c>
      <c r="G66" s="5">
        <v>866839405931823</v>
      </c>
      <c r="H66" s="5">
        <v>844608736912179</v>
      </c>
      <c r="I66" s="5">
        <v>738196302448801</v>
      </c>
      <c r="J66" s="5">
        <v>726466144943377</v>
      </c>
      <c r="K66" s="5">
        <v>750052589918697</v>
      </c>
      <c r="L66" s="5">
        <v>686792424457913</v>
      </c>
      <c r="M66" s="5">
        <v>66868964268414</v>
      </c>
      <c r="N66" s="5">
        <v>701569265913867</v>
      </c>
      <c r="O66" s="5">
        <v>857538352638911</v>
      </c>
      <c r="P66" s="5">
        <v>938217595410777</v>
      </c>
      <c r="Q66" s="5">
        <v>11243573847369</v>
      </c>
      <c r="R66" s="5">
        <v>110547026603286</v>
      </c>
      <c r="S66" s="5">
        <v>113490387562944</v>
      </c>
      <c r="T66" s="5">
        <v>107771284502775</v>
      </c>
      <c r="U66" s="5">
        <v>113707720104633</v>
      </c>
      <c r="V66" s="5">
        <v>106094726302985</v>
      </c>
      <c r="W66" s="5">
        <v>118801734123349</v>
      </c>
      <c r="X66" s="5">
        <v>10537833593672</v>
      </c>
      <c r="Y66" s="5">
        <v>112163857917007</v>
      </c>
      <c r="Z66" s="5">
        <v>929222800955652</v>
      </c>
      <c r="AA66" s="5">
        <v>102437202822795</v>
      </c>
      <c r="AB66" s="5">
        <v>106984043047678</v>
      </c>
      <c r="AC66" s="5">
        <v>102503498080848</v>
      </c>
      <c r="AD66" s="5">
        <v>110399484705211</v>
      </c>
      <c r="AE66" s="5">
        <v>912100838957079</v>
      </c>
      <c r="AF66" s="5">
        <v>818215910324042</v>
      </c>
      <c r="AG66" s="5">
        <v>101768116449502</v>
      </c>
      <c r="AH66" s="5">
        <v>114335985080576</v>
      </c>
      <c r="AI66" s="5">
        <v>119143508328437</v>
      </c>
      <c r="AJ66" s="5">
        <v>117720155985278</v>
      </c>
      <c r="AK66" s="5">
        <v>120822406953212</v>
      </c>
      <c r="AL66" s="5">
        <v>113834638505536</v>
      </c>
      <c r="AM66" s="5">
        <v>107394546197952</v>
      </c>
      <c r="AN66" s="5">
        <v>10761851237376</v>
      </c>
      <c r="AO66" s="5">
        <v>115126107140056</v>
      </c>
    </row>
    <row r="67" spans="1:41" x14ac:dyDescent="0.45">
      <c r="A67" s="1" t="s">
        <v>61</v>
      </c>
      <c r="B67" s="2">
        <v>4152157</v>
      </c>
      <c r="C67" s="3" t="s">
        <v>666</v>
      </c>
      <c r="D67" s="3" t="s">
        <v>667</v>
      </c>
      <c r="E67" s="3" t="s">
        <v>509</v>
      </c>
      <c r="F67" s="5">
        <v>219893037477318</v>
      </c>
      <c r="G67" s="5">
        <v>230373056093932</v>
      </c>
      <c r="H67" s="5">
        <v>196217354877485</v>
      </c>
      <c r="I67" s="5">
        <v>17504343832306</v>
      </c>
      <c r="J67" s="5">
        <v>16572563197949</v>
      </c>
      <c r="K67" s="5">
        <v>164058216411648</v>
      </c>
      <c r="L67" s="5">
        <v>156696695033793</v>
      </c>
      <c r="M67" s="5">
        <v>167604288389563</v>
      </c>
      <c r="N67" s="5">
        <v>156373640200112</v>
      </c>
      <c r="O67" s="5">
        <v>185317063899248</v>
      </c>
      <c r="P67" s="5">
        <v>197656737490734</v>
      </c>
      <c r="Q67" s="5">
        <v>20178493329625</v>
      </c>
      <c r="R67" s="5">
        <v>215235374825775</v>
      </c>
      <c r="S67" s="5">
        <v>221850575303048</v>
      </c>
      <c r="T67" s="5">
        <v>2335210711236</v>
      </c>
      <c r="U67" s="5">
        <v>25315548237622</v>
      </c>
      <c r="V67" s="5">
        <v>269653953133733</v>
      </c>
      <c r="W67" s="5">
        <v>28682122404936</v>
      </c>
      <c r="X67" s="5">
        <v>315009956432334</v>
      </c>
      <c r="Y67" s="5">
        <v>301992965040747</v>
      </c>
      <c r="Z67" s="5">
        <v>292503672849433</v>
      </c>
      <c r="AA67" s="5">
        <v>290184130263827</v>
      </c>
      <c r="AB67" s="5">
        <v>291793557751243</v>
      </c>
      <c r="AC67" s="5">
        <v>329420818075665</v>
      </c>
      <c r="AD67" s="5">
        <v>339219838348945</v>
      </c>
      <c r="AE67" s="5">
        <v>310991850272266</v>
      </c>
      <c r="AF67" s="5">
        <v>325608635736193</v>
      </c>
      <c r="AG67" s="5">
        <v>351664436262251</v>
      </c>
      <c r="AH67" s="5">
        <v>356998094316432</v>
      </c>
      <c r="AI67" s="5">
        <v>35506395840224</v>
      </c>
      <c r="AJ67" s="5">
        <v>377665549887168</v>
      </c>
      <c r="AK67" s="5">
        <v>402559649359391</v>
      </c>
      <c r="AL67" s="5">
        <v>399000868757375</v>
      </c>
      <c r="AM67" s="5">
        <v>369737051624526</v>
      </c>
      <c r="AN67" s="5">
        <v>367294244366455</v>
      </c>
      <c r="AO67" s="5">
        <v>385681307556085</v>
      </c>
    </row>
    <row r="68" spans="1:41" x14ac:dyDescent="0.45">
      <c r="A68" s="1" t="s">
        <v>62</v>
      </c>
      <c r="B68" s="2">
        <v>4048287</v>
      </c>
      <c r="C68" s="3" t="s">
        <v>668</v>
      </c>
      <c r="D68" s="3" t="s">
        <v>669</v>
      </c>
      <c r="E68" s="3" t="s">
        <v>579</v>
      </c>
      <c r="F68" s="5">
        <v>141436899528897</v>
      </c>
      <c r="G68" s="5">
        <v>140130985329092</v>
      </c>
      <c r="H68" s="5">
        <v>145607301477</v>
      </c>
      <c r="I68" s="5">
        <v>15387327038498</v>
      </c>
      <c r="J68" s="5">
        <v>149215434538557</v>
      </c>
      <c r="K68" s="5">
        <v>14962477998024</v>
      </c>
      <c r="L68" s="5">
        <v>138416685545234</v>
      </c>
      <c r="M68" s="5">
        <v>133790695440229</v>
      </c>
      <c r="N68" s="5">
        <v>124921413896519</v>
      </c>
      <c r="O68" s="5">
        <v>135952846681588</v>
      </c>
      <c r="P68" s="5">
        <v>145898547119325</v>
      </c>
      <c r="Q68" s="5">
        <v>160259199453751</v>
      </c>
      <c r="R68" s="5">
        <v>153353953180609</v>
      </c>
      <c r="S68" s="5">
        <v>150141158750671</v>
      </c>
      <c r="T68" s="5">
        <v>133838320791325</v>
      </c>
      <c r="U68" s="5">
        <v>126106315829306</v>
      </c>
      <c r="V68" s="5">
        <v>120773061815917</v>
      </c>
      <c r="W68" s="5">
        <v>1200251052</v>
      </c>
      <c r="X68" s="5">
        <v>109192121380291</v>
      </c>
      <c r="Y68" s="5">
        <v>105786671515912</v>
      </c>
      <c r="Z68" s="5">
        <v>104985436621009</v>
      </c>
      <c r="AA68" s="5">
        <v>114959691824495</v>
      </c>
      <c r="AB68" s="5">
        <v>111791859899409</v>
      </c>
      <c r="AC68" s="5">
        <v>106169027463573</v>
      </c>
      <c r="AD68" s="5">
        <v>109256433819622</v>
      </c>
      <c r="AE68" s="5">
        <v>102468004625807</v>
      </c>
      <c r="AF68" s="5">
        <v>865243127701117</v>
      </c>
      <c r="AG68" s="5">
        <v>91194608419879</v>
      </c>
      <c r="AH68" s="5">
        <v>96434254133118</v>
      </c>
      <c r="AI68" s="5">
        <v>100405749700661</v>
      </c>
      <c r="AJ68" s="5">
        <v>948123766210572</v>
      </c>
      <c r="AK68" s="5">
        <v>924004378300831</v>
      </c>
      <c r="AL68" s="5">
        <v>911680953284587</v>
      </c>
      <c r="AM68" s="5">
        <v>925242794143799</v>
      </c>
      <c r="AN68" s="5">
        <v>975699698044214</v>
      </c>
      <c r="AO68" s="5">
        <v>104680483826418</v>
      </c>
    </row>
    <row r="69" spans="1:41" x14ac:dyDescent="0.45">
      <c r="A69" s="1" t="s">
        <v>63</v>
      </c>
      <c r="B69" s="2">
        <v>4157397</v>
      </c>
      <c r="C69" s="3" t="s">
        <v>670</v>
      </c>
      <c r="D69" s="3" t="s">
        <v>671</v>
      </c>
      <c r="E69" s="3" t="s">
        <v>579</v>
      </c>
      <c r="F69" s="5">
        <v>102757397217922</v>
      </c>
      <c r="G69" s="5">
        <v>98837156802485</v>
      </c>
      <c r="H69" s="5">
        <v>995136470448026</v>
      </c>
      <c r="I69" s="5">
        <v>113953906563012</v>
      </c>
      <c r="J69" s="5">
        <v>114669490097265</v>
      </c>
      <c r="K69" s="5">
        <v>11832546651798</v>
      </c>
      <c r="L69" s="5">
        <v>984599359311836</v>
      </c>
      <c r="M69" s="5">
        <v>945343035312456</v>
      </c>
      <c r="N69" s="5">
        <v>897414667786792</v>
      </c>
      <c r="O69" s="5">
        <v>994145856324259</v>
      </c>
      <c r="P69" s="5">
        <v>119068061309173</v>
      </c>
      <c r="Q69" s="5">
        <v>130988371891187</v>
      </c>
      <c r="R69" s="5">
        <v>127885640989687</v>
      </c>
      <c r="S69" s="5">
        <v>139077425442375</v>
      </c>
      <c r="T69" s="5">
        <v>118638087433701</v>
      </c>
      <c r="U69" s="5">
        <v>105136117315736</v>
      </c>
      <c r="V69" s="5">
        <v>985592445458146</v>
      </c>
      <c r="W69" s="5">
        <v>100903663633773</v>
      </c>
      <c r="X69" s="5">
        <v>87717172568162</v>
      </c>
      <c r="Y69" s="5">
        <v>843544081809593</v>
      </c>
      <c r="Z69" s="5">
        <v>827909769511363</v>
      </c>
      <c r="AA69" s="5">
        <v>921944935801062</v>
      </c>
      <c r="AB69" s="5">
        <v>896353050673799</v>
      </c>
      <c r="AC69" s="5">
        <v>869513031428859</v>
      </c>
      <c r="AD69" s="5">
        <v>89754113651253</v>
      </c>
      <c r="AE69" s="5">
        <v>780757435909509</v>
      </c>
      <c r="AF69" s="5">
        <v>662370975212045</v>
      </c>
      <c r="AG69" s="5">
        <v>767442458523164</v>
      </c>
      <c r="AH69" s="5">
        <v>743540067273379</v>
      </c>
      <c r="AI69" s="5">
        <v>720896490676515</v>
      </c>
      <c r="AJ69" s="5">
        <v>635226649492306</v>
      </c>
      <c r="AK69" s="5">
        <v>599389015817699</v>
      </c>
      <c r="AL69" s="5">
        <v>60375934997212</v>
      </c>
      <c r="AM69" s="5">
        <v>600420234969435</v>
      </c>
      <c r="AN69" s="5">
        <v>635218494752688</v>
      </c>
      <c r="AO69" s="5">
        <v>65613735786498</v>
      </c>
    </row>
    <row r="70" spans="1:41" x14ac:dyDescent="0.45">
      <c r="A70" s="1" t="s">
        <v>64</v>
      </c>
      <c r="B70" s="2">
        <v>4340737</v>
      </c>
      <c r="C70" s="3" t="s">
        <v>672</v>
      </c>
      <c r="D70" s="3" t="s">
        <v>673</v>
      </c>
      <c r="E70" s="3" t="s">
        <v>567</v>
      </c>
      <c r="F70" s="5">
        <v>337366257740448</v>
      </c>
      <c r="G70" s="5">
        <v>350065597728</v>
      </c>
      <c r="H70" s="5">
        <v>401335720768333</v>
      </c>
      <c r="I70" s="5">
        <v>37695452879987</v>
      </c>
      <c r="J70" s="5">
        <v>415030788239781</v>
      </c>
      <c r="K70" s="5">
        <v>413542293949868</v>
      </c>
      <c r="L70" s="5">
        <v>354160965893781</v>
      </c>
      <c r="M70" s="5">
        <v>334503917436302</v>
      </c>
      <c r="N70" s="5">
        <v>31726112602472</v>
      </c>
      <c r="O70" s="5">
        <v>311765822307612</v>
      </c>
      <c r="P70" s="5">
        <v>3889076041508</v>
      </c>
      <c r="Q70" s="5">
        <v>541505757770004</v>
      </c>
      <c r="R70" s="5">
        <v>508831293856599</v>
      </c>
      <c r="S70" s="5">
        <v>52019591911796</v>
      </c>
      <c r="T70" s="5">
        <v>409843825417018</v>
      </c>
      <c r="U70" s="5">
        <v>37054939999518</v>
      </c>
      <c r="V70" s="5">
        <v>3678043490856</v>
      </c>
      <c r="W70" s="5">
        <v>352806223275106</v>
      </c>
      <c r="X70" s="5">
        <v>373405886162808</v>
      </c>
      <c r="Y70" s="5">
        <v>364598958356572</v>
      </c>
      <c r="Z70" s="5">
        <v>422136723593312</v>
      </c>
      <c r="AA70" s="5">
        <v>48438328477438</v>
      </c>
      <c r="AB70" s="5">
        <v>452643529597062</v>
      </c>
      <c r="AC70" s="5">
        <v>369119326336894</v>
      </c>
      <c r="AD70" s="5">
        <v>432187013867181</v>
      </c>
      <c r="AE70" s="5">
        <v>357151930699597</v>
      </c>
      <c r="AF70" s="5">
        <v>233342200709993</v>
      </c>
      <c r="AG70" s="5">
        <v>256128602968773</v>
      </c>
      <c r="AH70" s="5">
        <v>32428189958867</v>
      </c>
      <c r="AI70" s="5">
        <v>444920588676821</v>
      </c>
      <c r="AJ70" s="5">
        <v>371002458776082</v>
      </c>
      <c r="AK70" s="5">
        <v>342757696831413</v>
      </c>
      <c r="AL70" s="5">
        <v>333147824647556</v>
      </c>
      <c r="AM70" s="5">
        <v>380841109166801</v>
      </c>
      <c r="AN70" s="5">
        <v>435142407349311</v>
      </c>
      <c r="AO70" s="5">
        <v>451482423165014</v>
      </c>
    </row>
    <row r="71" spans="1:41" x14ac:dyDescent="0.45">
      <c r="A71" s="1" t="s">
        <v>65</v>
      </c>
      <c r="B71" s="2">
        <v>4122589</v>
      </c>
      <c r="C71" s="3" t="s">
        <v>674</v>
      </c>
      <c r="D71" s="3" t="s">
        <v>675</v>
      </c>
      <c r="E71" s="3" t="s">
        <v>530</v>
      </c>
      <c r="F71" s="5">
        <v>14702276762938</v>
      </c>
      <c r="G71" s="5">
        <v>136620725188203</v>
      </c>
      <c r="H71" s="5">
        <v>141906165851613</v>
      </c>
      <c r="I71" s="5">
        <v>149143738171861</v>
      </c>
      <c r="J71" s="5">
        <v>155134057994248</v>
      </c>
      <c r="K71" s="5">
        <v>155944998917656</v>
      </c>
      <c r="L71" s="5">
        <v>160408828148197</v>
      </c>
      <c r="M71" s="5">
        <v>158270770088417</v>
      </c>
      <c r="N71" s="5">
        <v>146252724598503</v>
      </c>
      <c r="O71" s="5">
        <v>13986866215152</v>
      </c>
      <c r="P71" s="5">
        <v>158198382827294</v>
      </c>
      <c r="Q71" s="5">
        <v>150855032188313</v>
      </c>
      <c r="R71" s="5">
        <v>158831022359062</v>
      </c>
      <c r="S71" s="5">
        <v>163181246571151</v>
      </c>
      <c r="T71" s="5">
        <v>142541792337116</v>
      </c>
      <c r="U71" s="5">
        <v>126607760930683</v>
      </c>
      <c r="V71" s="5">
        <v>118486412598651</v>
      </c>
      <c r="W71" s="5">
        <v>116462012648862</v>
      </c>
      <c r="X71" s="5">
        <v>125439195172539</v>
      </c>
      <c r="Y71" s="5">
        <v>118141530736089</v>
      </c>
      <c r="Z71" s="5">
        <v>110315640545114</v>
      </c>
      <c r="AA71" s="5">
        <v>114769931233649</v>
      </c>
      <c r="AB71" s="5">
        <v>109655325667638</v>
      </c>
      <c r="AC71" s="5">
        <v>112793206034052</v>
      </c>
      <c r="AD71" s="5">
        <v>111967531432678</v>
      </c>
      <c r="AE71" s="5">
        <v>999927825975001</v>
      </c>
      <c r="AF71" s="5">
        <v>942386612193722</v>
      </c>
      <c r="AG71" s="5">
        <v>10399680458401</v>
      </c>
      <c r="AH71" s="5">
        <v>102180848363395</v>
      </c>
      <c r="AI71" s="5">
        <v>995621904763158</v>
      </c>
      <c r="AJ71" s="5">
        <v>913554724307266</v>
      </c>
      <c r="AK71" s="5">
        <v>869410371755399</v>
      </c>
      <c r="AL71" s="5">
        <v>90333841743604</v>
      </c>
      <c r="AM71" s="5">
        <v>919101509150272</v>
      </c>
      <c r="AN71" s="5">
        <v>89513072831784</v>
      </c>
      <c r="AO71" s="5">
        <v>869299614588676</v>
      </c>
    </row>
    <row r="72" spans="1:41" x14ac:dyDescent="0.45">
      <c r="A72" s="1" t="s">
        <v>66</v>
      </c>
      <c r="B72" s="2">
        <v>4810597</v>
      </c>
      <c r="C72" s="3" t="s">
        <v>676</v>
      </c>
      <c r="D72" s="3" t="s">
        <v>677</v>
      </c>
      <c r="E72" s="3" t="s">
        <v>506</v>
      </c>
      <c r="F72" s="5">
        <v>120388517598164</v>
      </c>
      <c r="G72" s="5">
        <v>129865765106165</v>
      </c>
      <c r="H72" s="5">
        <v>129392835307808</v>
      </c>
      <c r="I72" s="5">
        <v>12329662607097</v>
      </c>
      <c r="J72" s="5">
        <v>133642069286146</v>
      </c>
      <c r="K72" s="5">
        <v>135696392894311</v>
      </c>
      <c r="L72" s="5">
        <v>135309593126857</v>
      </c>
      <c r="M72" s="5">
        <v>137241784080693</v>
      </c>
      <c r="N72" s="5">
        <v>134106729666505</v>
      </c>
      <c r="O72" s="5">
        <v>138047797989819</v>
      </c>
      <c r="P72" s="5">
        <v>147212657147949</v>
      </c>
      <c r="Q72" s="5">
        <v>145143350170882</v>
      </c>
      <c r="R72" s="5">
        <v>127153269520457</v>
      </c>
      <c r="S72" s="5">
        <v>126642381961057</v>
      </c>
      <c r="T72" s="5">
        <v>113955374081547</v>
      </c>
      <c r="U72" s="5">
        <v>110645882463316</v>
      </c>
      <c r="V72" s="5">
        <v>10889531139897</v>
      </c>
      <c r="W72" s="5">
        <v>100362003403976</v>
      </c>
      <c r="X72" s="5">
        <v>105666872443811</v>
      </c>
      <c r="Y72" s="5">
        <v>102446684607214</v>
      </c>
      <c r="Z72" s="5">
        <v>987958202136942</v>
      </c>
      <c r="AA72" s="5">
        <v>932031886881344</v>
      </c>
      <c r="AB72" s="5">
        <v>898608849940411</v>
      </c>
      <c r="AC72" s="5">
        <v>854183728129825</v>
      </c>
      <c r="AD72" s="5">
        <v>766196349799233</v>
      </c>
      <c r="AE72" s="5">
        <v>750738349630474</v>
      </c>
      <c r="AF72" s="5">
        <v>709435718304061</v>
      </c>
      <c r="AG72" s="5">
        <v>730434217329907</v>
      </c>
      <c r="AH72" s="5">
        <v>728197469873348</v>
      </c>
      <c r="AI72" s="5">
        <v>676418122675377</v>
      </c>
      <c r="AJ72" s="5">
        <v>712328226993104</v>
      </c>
      <c r="AK72" s="5">
        <v>694461147581041</v>
      </c>
      <c r="AL72" s="5">
        <v>678791555231184</v>
      </c>
      <c r="AM72" s="5">
        <v>661855231658787</v>
      </c>
      <c r="AN72" s="5">
        <v>63145016724265</v>
      </c>
      <c r="AO72" s="5">
        <v>609912161268547</v>
      </c>
    </row>
    <row r="73" spans="1:41" x14ac:dyDescent="0.45">
      <c r="A73" s="1" t="s">
        <v>67</v>
      </c>
      <c r="B73" s="2">
        <v>4623856</v>
      </c>
      <c r="C73" s="3" t="s">
        <v>678</v>
      </c>
      <c r="D73" s="3" t="s">
        <v>679</v>
      </c>
      <c r="E73" s="3" t="s">
        <v>680</v>
      </c>
      <c r="F73" s="5">
        <v>935239150159928</v>
      </c>
      <c r="G73" s="5">
        <v>863771637958522</v>
      </c>
      <c r="H73" s="5">
        <v>813134520740226</v>
      </c>
      <c r="I73" s="5">
        <v>782395686092057</v>
      </c>
      <c r="J73" s="5">
        <v>820976395392145</v>
      </c>
      <c r="K73" s="5">
        <v>770648615948925</v>
      </c>
      <c r="L73" s="5">
        <v>802146129267073</v>
      </c>
      <c r="M73" s="5">
        <v>865909871379428</v>
      </c>
      <c r="N73" s="5">
        <v>900447553418868</v>
      </c>
      <c r="O73" s="5">
        <v>114817511816202</v>
      </c>
      <c r="P73" s="5">
        <v>116281165839902</v>
      </c>
      <c r="Q73" s="5">
        <v>115029652466366</v>
      </c>
      <c r="R73" s="5">
        <v>110801936443003</v>
      </c>
      <c r="S73" s="5">
        <v>113838952532771</v>
      </c>
      <c r="T73" s="5">
        <v>104175611473371</v>
      </c>
      <c r="U73" s="5">
        <v>940510326086149</v>
      </c>
      <c r="V73" s="5">
        <v>915567506224685</v>
      </c>
      <c r="W73" s="5">
        <v>890947731510883</v>
      </c>
      <c r="X73" s="5">
        <v>785702963388551</v>
      </c>
      <c r="Y73" s="5">
        <v>768049759492525</v>
      </c>
      <c r="Z73" s="5">
        <v>83298991789698</v>
      </c>
      <c r="AA73" s="5">
        <v>101755719630958</v>
      </c>
      <c r="AB73" s="5">
        <v>949396045691921</v>
      </c>
      <c r="AC73" s="5">
        <v>916525676218644</v>
      </c>
      <c r="AD73" s="5">
        <v>944537738406055</v>
      </c>
      <c r="AE73" s="5">
        <v>921267536703333</v>
      </c>
      <c r="AF73" s="5">
        <v>992415343904386</v>
      </c>
      <c r="AG73" s="5">
        <v>114558448883717</v>
      </c>
      <c r="AH73" s="5">
        <v>118747325863437</v>
      </c>
      <c r="AI73" s="5">
        <v>117890597290153</v>
      </c>
      <c r="AJ73" s="5">
        <v>123063843819192</v>
      </c>
      <c r="AK73" s="5">
        <v>127025730596083</v>
      </c>
      <c r="AL73" s="5">
        <v>1271018758006</v>
      </c>
      <c r="AM73" s="5">
        <v>134175867119299</v>
      </c>
      <c r="AN73" s="5">
        <v>136337159139193</v>
      </c>
      <c r="AO73" s="5">
        <v>148469508208699</v>
      </c>
    </row>
    <row r="74" spans="1:41" x14ac:dyDescent="0.45">
      <c r="A74" s="1" t="s">
        <v>68</v>
      </c>
      <c r="B74" s="2">
        <v>4970473</v>
      </c>
      <c r="C74" s="3" t="s">
        <v>681</v>
      </c>
      <c r="D74" s="3" t="s">
        <v>682</v>
      </c>
      <c r="E74" s="3" t="s">
        <v>518</v>
      </c>
      <c r="F74" s="5">
        <v>139760125582393</v>
      </c>
      <c r="G74" s="5">
        <v>164108183807024</v>
      </c>
      <c r="H74" s="5">
        <v>151337258793197</v>
      </c>
      <c r="I74" s="5">
        <v>132784542526896</v>
      </c>
      <c r="J74" s="5">
        <v>119580439892687</v>
      </c>
      <c r="K74" s="5">
        <v>120762812067454</v>
      </c>
      <c r="L74" s="5">
        <v>110397977672019</v>
      </c>
      <c r="M74" s="5">
        <v>100309629975699</v>
      </c>
      <c r="N74" s="5">
        <v>797652958911057</v>
      </c>
      <c r="O74" s="5">
        <v>728361177615499</v>
      </c>
      <c r="P74" s="5">
        <v>898435740045447</v>
      </c>
      <c r="Q74" s="5">
        <v>997862504495535</v>
      </c>
      <c r="R74" s="5">
        <v>104965961340088</v>
      </c>
      <c r="S74" s="5">
        <v>717491207618636</v>
      </c>
      <c r="T74" s="5">
        <v>730282729183648</v>
      </c>
      <c r="U74" s="5">
        <v>722367644013071</v>
      </c>
      <c r="V74" s="5">
        <v>685224776991362</v>
      </c>
      <c r="W74" s="5">
        <v>691102768673117</v>
      </c>
      <c r="X74" s="5">
        <v>697506933982702</v>
      </c>
      <c r="Y74" s="5">
        <v>567716946060316</v>
      </c>
      <c r="Z74" s="5">
        <v>563526018811147</v>
      </c>
      <c r="AA74" s="5">
        <v>568647784615643</v>
      </c>
      <c r="AB74" s="5">
        <v>557533980086965</v>
      </c>
      <c r="AC74" s="5">
        <v>509152491687814</v>
      </c>
      <c r="AD74" s="5">
        <v>472761760109312</v>
      </c>
      <c r="AE74" s="5">
        <v>350330653990321</v>
      </c>
      <c r="AF74" s="5">
        <v>328684686001954</v>
      </c>
      <c r="AG74" s="5">
        <v>32388675092116</v>
      </c>
      <c r="AH74" s="5">
        <v>351155901213655</v>
      </c>
      <c r="AI74" s="5">
        <v>336518127353029</v>
      </c>
      <c r="AJ74" s="5">
        <v>327905741986981</v>
      </c>
      <c r="AK74" s="5">
        <v>316073526957452</v>
      </c>
      <c r="AL74" s="5">
        <v>236675744266926</v>
      </c>
      <c r="AM74" s="5">
        <v>246182340093316</v>
      </c>
      <c r="AN74" s="5">
        <v>233402697550404</v>
      </c>
      <c r="AO74" s="5">
        <v>225081292400021</v>
      </c>
    </row>
    <row r="75" spans="1:41" x14ac:dyDescent="0.45">
      <c r="A75" s="1" t="s">
        <v>69</v>
      </c>
      <c r="B75" s="2">
        <v>4157226</v>
      </c>
      <c r="C75" s="3" t="s">
        <v>683</v>
      </c>
      <c r="D75" s="3" t="s">
        <v>684</v>
      </c>
      <c r="E75" s="3" t="s">
        <v>685</v>
      </c>
      <c r="F75" s="5">
        <v>22186861092607</v>
      </c>
      <c r="G75" s="5">
        <v>229608730152241</v>
      </c>
      <c r="H75" s="5">
        <v>223036279834104</v>
      </c>
      <c r="I75" s="5">
        <v>237763490100721</v>
      </c>
      <c r="J75" s="5">
        <v>255962161858542</v>
      </c>
      <c r="K75" s="5">
        <v>254159453292725</v>
      </c>
      <c r="L75" s="5">
        <v>243078895594548</v>
      </c>
      <c r="M75" s="5">
        <v>251378902202518</v>
      </c>
      <c r="N75" s="5">
        <v>250012016229643</v>
      </c>
      <c r="O75" s="5">
        <v>262500990064385</v>
      </c>
      <c r="P75" s="5">
        <v>271292077434604</v>
      </c>
      <c r="Q75" s="5">
        <v>268196839548504</v>
      </c>
      <c r="R75" s="5">
        <v>255263380006995</v>
      </c>
      <c r="S75" s="5">
        <v>261481222057952</v>
      </c>
      <c r="T75" s="5">
        <v>22699514802496</v>
      </c>
      <c r="U75" s="5">
        <v>225009836843793</v>
      </c>
      <c r="V75" s="5">
        <v>224602322287906</v>
      </c>
      <c r="W75" s="5">
        <v>23368534800072</v>
      </c>
      <c r="X75" s="5">
        <v>217286743192677</v>
      </c>
      <c r="Y75" s="5">
        <v>218787537160781</v>
      </c>
      <c r="Z75" s="5">
        <v>21302289424774</v>
      </c>
      <c r="AA75" s="5">
        <v>22336606978942</v>
      </c>
      <c r="AB75" s="5">
        <v>221802608250529</v>
      </c>
      <c r="AC75" s="5">
        <v>221424831396033</v>
      </c>
      <c r="AD75" s="5">
        <v>218990578885719</v>
      </c>
      <c r="AE75" s="5">
        <v>209074737111412</v>
      </c>
      <c r="AF75" s="5">
        <v>189969915285914</v>
      </c>
      <c r="AG75" s="5">
        <v>198974571576654</v>
      </c>
      <c r="AH75" s="5">
        <v>202789666849244</v>
      </c>
      <c r="AI75" s="5">
        <v>179767666119683</v>
      </c>
      <c r="AJ75" s="5">
        <v>178996630256232</v>
      </c>
      <c r="AK75" s="5">
        <v>16242071360863</v>
      </c>
      <c r="AL75" s="5">
        <v>15506761133789</v>
      </c>
      <c r="AM75" s="5">
        <v>158771442328524</v>
      </c>
      <c r="AN75" s="5">
        <v>156078310705162</v>
      </c>
      <c r="AO75" s="5">
        <v>16287785475034</v>
      </c>
    </row>
    <row r="76" spans="1:41" x14ac:dyDescent="0.45">
      <c r="A76" s="1" t="s">
        <v>70</v>
      </c>
      <c r="B76" s="2">
        <v>103448</v>
      </c>
      <c r="C76" s="3" t="s">
        <v>686</v>
      </c>
      <c r="D76" s="3" t="s">
        <v>687</v>
      </c>
      <c r="E76" s="3" t="s">
        <v>592</v>
      </c>
      <c r="F76" s="5">
        <v>231758105213871</v>
      </c>
      <c r="G76" s="5">
        <v>236819128980773</v>
      </c>
      <c r="H76" s="5">
        <v>236039829199182</v>
      </c>
      <c r="I76" s="5">
        <v>263667164387342</v>
      </c>
      <c r="J76" s="5">
        <v>273382150069447</v>
      </c>
      <c r="K76" s="5">
        <v>26346410325699</v>
      </c>
      <c r="L76" s="5">
        <v>307664477926546</v>
      </c>
      <c r="M76" s="5">
        <v>285171003891926</v>
      </c>
      <c r="N76" s="5">
        <v>279393195966503</v>
      </c>
      <c r="O76" s="5">
        <v>329893698021624</v>
      </c>
      <c r="P76" s="5">
        <v>325758854195745</v>
      </c>
      <c r="Q76" s="5">
        <v>287941185442085</v>
      </c>
      <c r="R76" s="5">
        <v>2817865945208</v>
      </c>
      <c r="S76" s="5">
        <v>306536470469502</v>
      </c>
      <c r="T76" s="5">
        <v>275587937411616</v>
      </c>
      <c r="U76" s="5">
        <v>26497254933809</v>
      </c>
      <c r="V76" s="5">
        <v>271134965614209</v>
      </c>
      <c r="W76" s="5">
        <v>262078747690267</v>
      </c>
      <c r="X76" s="5">
        <v>238030106098415</v>
      </c>
      <c r="Y76" s="5">
        <v>235436671153178</v>
      </c>
      <c r="Z76" s="5">
        <v>217520270549185</v>
      </c>
      <c r="AA76" s="5">
        <v>231253033299633</v>
      </c>
      <c r="AB76" s="5">
        <v>222647285044761</v>
      </c>
      <c r="AC76" s="5">
        <v>203450599437842</v>
      </c>
      <c r="AD76" s="5">
        <v>183090940194523</v>
      </c>
      <c r="AE76" s="5">
        <v>195032349279691</v>
      </c>
      <c r="AF76" s="5">
        <v>186997936216209</v>
      </c>
      <c r="AG76" s="5">
        <v>187141616347571</v>
      </c>
      <c r="AH76" s="5">
        <v>193765025531766</v>
      </c>
      <c r="AI76" s="5">
        <v>181303435361754</v>
      </c>
      <c r="AJ76" s="5">
        <v>178858811585242</v>
      </c>
      <c r="AK76" s="5">
        <v>165887189267551</v>
      </c>
      <c r="AL76" s="5">
        <v>165488782534337</v>
      </c>
      <c r="AM76" s="5">
        <v>149932702556414</v>
      </c>
      <c r="AN76" s="5">
        <v>1501584984333</v>
      </c>
      <c r="AO76" s="5">
        <v>152702715178665</v>
      </c>
    </row>
    <row r="77" spans="1:41" x14ac:dyDescent="0.45">
      <c r="A77" s="1" t="s">
        <v>71</v>
      </c>
      <c r="B77" s="2">
        <v>4086734</v>
      </c>
      <c r="C77" s="3" t="s">
        <v>688</v>
      </c>
      <c r="D77" s="3" t="s">
        <v>689</v>
      </c>
      <c r="E77" s="3" t="s">
        <v>690</v>
      </c>
      <c r="F77" s="5">
        <v>102810736985898</v>
      </c>
      <c r="G77" s="5">
        <v>118152014624804</v>
      </c>
      <c r="H77" s="5">
        <v>11160939168864</v>
      </c>
      <c r="I77" s="5">
        <v>10911266185402</v>
      </c>
      <c r="J77" s="5">
        <v>121004386847792</v>
      </c>
      <c r="K77" s="5">
        <v>119231394095576</v>
      </c>
      <c r="L77" s="5">
        <v>108325911566498</v>
      </c>
      <c r="M77" s="5">
        <v>138882210050666</v>
      </c>
      <c r="N77" s="5">
        <v>145147127606005</v>
      </c>
      <c r="O77" s="5">
        <v>148424199508588</v>
      </c>
      <c r="P77" s="5">
        <v>150410379417754</v>
      </c>
      <c r="Q77" s="5">
        <v>15011213013493</v>
      </c>
      <c r="R77" s="5">
        <v>173395241632061</v>
      </c>
      <c r="S77" s="5">
        <v>188513239554463</v>
      </c>
      <c r="T77" s="5">
        <v>191671586183622</v>
      </c>
      <c r="U77" s="5">
        <v>208503456291991</v>
      </c>
      <c r="V77" s="5">
        <v>194820871908677</v>
      </c>
      <c r="W77" s="5">
        <v>197230794356534</v>
      </c>
      <c r="X77" s="5">
        <v>190525578633063</v>
      </c>
      <c r="Y77" s="5">
        <v>199818713804204</v>
      </c>
      <c r="Z77" s="5">
        <v>211451381550209</v>
      </c>
      <c r="AA77" s="5">
        <v>225818367479163</v>
      </c>
      <c r="AB77" s="5">
        <v>265009810342988</v>
      </c>
      <c r="AC77" s="5">
        <v>240670211212349</v>
      </c>
      <c r="AD77" s="5">
        <v>24569770831687</v>
      </c>
      <c r="AE77" s="5">
        <v>258193035797163</v>
      </c>
      <c r="AF77" s="5">
        <v>254821651725794</v>
      </c>
      <c r="AG77" s="5">
        <v>261293756499807</v>
      </c>
      <c r="AH77" s="5">
        <v>292292756376279</v>
      </c>
      <c r="AI77" s="5">
        <v>307092599678171</v>
      </c>
      <c r="AJ77" s="5">
        <v>293229569881534</v>
      </c>
      <c r="AK77" s="5">
        <v>277762111063234</v>
      </c>
      <c r="AL77" s="5">
        <v>282646810155699</v>
      </c>
      <c r="AM77" s="5">
        <v>283490556525627</v>
      </c>
      <c r="AN77" s="5">
        <v>292796868349159</v>
      </c>
      <c r="AO77" s="5">
        <v>293720027773305</v>
      </c>
    </row>
    <row r="78" spans="1:41" x14ac:dyDescent="0.45">
      <c r="A78" s="1" t="s">
        <v>72</v>
      </c>
      <c r="B78" s="2">
        <v>4073448</v>
      </c>
      <c r="C78" s="3" t="s">
        <v>691</v>
      </c>
      <c r="D78" s="3" t="s">
        <v>692</v>
      </c>
      <c r="E78" s="3" t="s">
        <v>503</v>
      </c>
      <c r="F78" s="5">
        <v>969033256339095</v>
      </c>
      <c r="G78" s="5">
        <v>107027795014953</v>
      </c>
      <c r="H78" s="5">
        <v>111376086641656</v>
      </c>
      <c r="I78" s="5">
        <v>114240718515701</v>
      </c>
      <c r="J78" s="5">
        <v>131061713095343</v>
      </c>
      <c r="K78" s="5">
        <v>122858593557058</v>
      </c>
      <c r="L78" s="5">
        <v>109809219567256</v>
      </c>
      <c r="M78" s="5">
        <v>104876776362541</v>
      </c>
      <c r="N78" s="5">
        <v>119932564775778</v>
      </c>
      <c r="O78" s="5">
        <v>13134004437792</v>
      </c>
      <c r="P78" s="5">
        <v>151779167060358</v>
      </c>
      <c r="Q78" s="5">
        <v>185217868086782</v>
      </c>
      <c r="R78" s="5">
        <v>158881820112733</v>
      </c>
      <c r="S78" s="5">
        <v>203396896378847</v>
      </c>
      <c r="T78" s="5">
        <v>183834242371104</v>
      </c>
      <c r="U78" s="5">
        <v>202415098766924</v>
      </c>
      <c r="V78" s="5">
        <v>183198401259744</v>
      </c>
      <c r="W78" s="5">
        <v>188761265389897</v>
      </c>
      <c r="X78" s="5">
        <v>15767107446112</v>
      </c>
      <c r="Y78" s="5">
        <v>180967401288566</v>
      </c>
      <c r="Z78" s="5">
        <v>208537729734402</v>
      </c>
      <c r="AA78" s="5">
        <v>235436505737401</v>
      </c>
      <c r="AB78" s="5">
        <v>220176228130692</v>
      </c>
      <c r="AC78" s="5">
        <v>197511417629653</v>
      </c>
      <c r="AD78" s="5">
        <v>186291396565569</v>
      </c>
      <c r="AE78" s="5">
        <v>151673928040447</v>
      </c>
      <c r="AF78" s="5">
        <v>128430363584119</v>
      </c>
      <c r="AG78" s="5">
        <v>147065789995619</v>
      </c>
      <c r="AH78" s="5">
        <v>167207602877907</v>
      </c>
      <c r="AI78" s="5">
        <v>167972759418029</v>
      </c>
      <c r="AJ78" s="5">
        <v>15966769384704</v>
      </c>
      <c r="AK78" s="5">
        <v>1394424934016</v>
      </c>
      <c r="AL78" s="5">
        <v>111166371884275</v>
      </c>
      <c r="AM78" s="5">
        <v>112774146907038</v>
      </c>
      <c r="AN78" s="5">
        <v>110220433516735</v>
      </c>
      <c r="AO78" s="5">
        <v>107997222526222</v>
      </c>
    </row>
    <row r="79" spans="1:41" x14ac:dyDescent="0.45">
      <c r="A79" s="1" t="s">
        <v>73</v>
      </c>
      <c r="B79" s="2">
        <v>4500439</v>
      </c>
      <c r="C79" s="3" t="s">
        <v>693</v>
      </c>
      <c r="D79" s="3" t="s">
        <v>694</v>
      </c>
      <c r="E79" s="3" t="s">
        <v>613</v>
      </c>
      <c r="F79" s="5">
        <v>146740856823263</v>
      </c>
      <c r="G79" s="5">
        <v>160201112452341</v>
      </c>
      <c r="H79" s="5">
        <v>164087266047276</v>
      </c>
      <c r="I79" s="5">
        <v>138541697077387</v>
      </c>
      <c r="J79" s="5">
        <v>144044008760302</v>
      </c>
      <c r="K79" s="5">
        <v>139491922237174</v>
      </c>
      <c r="L79" s="5">
        <v>918771152606424</v>
      </c>
      <c r="M79" s="5">
        <v>925695360751434</v>
      </c>
      <c r="N79" s="5">
        <v>929521332056678</v>
      </c>
      <c r="O79" s="5">
        <v>947204792869363</v>
      </c>
      <c r="P79" s="5">
        <v>955245890030443</v>
      </c>
      <c r="Q79" s="5">
        <v>102267884930504</v>
      </c>
      <c r="R79" s="5">
        <v>104870091675174</v>
      </c>
      <c r="S79" s="5">
        <v>118760631974235</v>
      </c>
      <c r="T79" s="5">
        <v>108046832051117</v>
      </c>
      <c r="U79" s="5">
        <v>122737344614287</v>
      </c>
      <c r="V79" s="5">
        <v>129834414425113</v>
      </c>
      <c r="W79" s="5">
        <v>137676490732796</v>
      </c>
      <c r="X79" s="5">
        <v>141097316657782</v>
      </c>
      <c r="Y79" s="5">
        <v>140474720140401</v>
      </c>
      <c r="Z79" s="5">
        <v>134750331561969</v>
      </c>
      <c r="AA79" s="5">
        <v>136122549553344</v>
      </c>
      <c r="AB79" s="5">
        <v>12520651766822</v>
      </c>
      <c r="AC79" s="5">
        <v>117963018540278</v>
      </c>
      <c r="AD79" s="5">
        <v>132690733016718</v>
      </c>
      <c r="AE79" s="5">
        <v>146362822819883</v>
      </c>
      <c r="AF79" s="5">
        <v>145738472433385</v>
      </c>
      <c r="AG79" s="5">
        <v>154068898734702</v>
      </c>
      <c r="AH79" s="5">
        <v>158781655426565</v>
      </c>
      <c r="AI79" s="5">
        <v>148541577279377</v>
      </c>
      <c r="AJ79" s="5">
        <v>130170732654756</v>
      </c>
      <c r="AK79" s="5">
        <v>130904449540836</v>
      </c>
      <c r="AL79" s="5">
        <v>127166865449551</v>
      </c>
      <c r="AM79" s="5">
        <v>131823522105126</v>
      </c>
      <c r="AN79" s="5">
        <v>13487526531414</v>
      </c>
      <c r="AO79" s="5">
        <v>136679720983433</v>
      </c>
    </row>
    <row r="80" spans="1:41" x14ac:dyDescent="0.45">
      <c r="A80" s="1" t="s">
        <v>74</v>
      </c>
      <c r="B80" s="2">
        <v>112885</v>
      </c>
      <c r="C80" s="3" t="s">
        <v>695</v>
      </c>
      <c r="D80" s="3" t="s">
        <v>696</v>
      </c>
      <c r="E80" s="3" t="s">
        <v>697</v>
      </c>
      <c r="F80" s="5">
        <v>910762572789846</v>
      </c>
      <c r="G80" s="5">
        <v>988896318578784</v>
      </c>
      <c r="H80" s="5">
        <v>977674758479622</v>
      </c>
      <c r="I80" s="5">
        <v>100346697796407</v>
      </c>
      <c r="J80" s="5">
        <v>981750796585649</v>
      </c>
      <c r="K80" s="5">
        <v>905837779169296</v>
      </c>
      <c r="L80" s="5">
        <v>909585965904018</v>
      </c>
      <c r="M80" s="5">
        <v>939465363640168</v>
      </c>
      <c r="N80" s="5">
        <v>889327807802639</v>
      </c>
      <c r="O80" s="5">
        <v>983497144213318</v>
      </c>
      <c r="P80" s="5">
        <v>107852787748424</v>
      </c>
      <c r="Q80" s="5">
        <v>1113045709911</v>
      </c>
      <c r="R80" s="5">
        <v>113561939291938</v>
      </c>
      <c r="S80" s="5">
        <v>12286801553375</v>
      </c>
      <c r="T80" s="5">
        <v>117214385968325</v>
      </c>
      <c r="U80" s="5">
        <v>113934103055194</v>
      </c>
      <c r="V80" s="5">
        <v>107405067719315</v>
      </c>
      <c r="W80" s="5">
        <v>1035124586654</v>
      </c>
      <c r="X80" s="5">
        <v>90236396249581</v>
      </c>
      <c r="Y80" s="5">
        <v>878645891516816</v>
      </c>
      <c r="Z80" s="5">
        <v>908993189027129</v>
      </c>
      <c r="AA80" s="5">
        <v>949351158069804</v>
      </c>
      <c r="AB80" s="5">
        <v>940063550374256</v>
      </c>
      <c r="AC80" s="5">
        <v>96193843467813</v>
      </c>
      <c r="AD80" s="5">
        <v>996300190196382</v>
      </c>
      <c r="AE80" s="5">
        <v>819213881782106</v>
      </c>
      <c r="AF80" s="5">
        <v>795366087681874</v>
      </c>
      <c r="AG80" s="5">
        <v>88152706282465</v>
      </c>
      <c r="AH80" s="5">
        <v>965688595366506</v>
      </c>
      <c r="AI80" s="5">
        <v>948228332828025</v>
      </c>
      <c r="AJ80" s="5">
        <v>827345467059072</v>
      </c>
      <c r="AK80" s="5">
        <v>716221579746077</v>
      </c>
      <c r="AL80" s="5">
        <v>758264144933433</v>
      </c>
      <c r="AM80" s="5">
        <v>78077297889265</v>
      </c>
      <c r="AN80" s="5">
        <v>966829627397232</v>
      </c>
      <c r="AO80" s="5">
        <v>107581322056699</v>
      </c>
    </row>
    <row r="81" spans="1:41" x14ac:dyDescent="0.45">
      <c r="A81" s="1" t="s">
        <v>75</v>
      </c>
      <c r="B81" s="2">
        <v>4095936</v>
      </c>
      <c r="C81" s="3" t="s">
        <v>698</v>
      </c>
      <c r="D81" s="3" t="s">
        <v>699</v>
      </c>
      <c r="E81" s="3" t="s">
        <v>700</v>
      </c>
      <c r="F81" s="5">
        <v>16175258770638</v>
      </c>
      <c r="G81" s="5">
        <v>161859142715449</v>
      </c>
      <c r="H81" s="5">
        <v>157724154828707</v>
      </c>
      <c r="I81" s="5">
        <v>133259404921322</v>
      </c>
      <c r="J81" s="5">
        <v>129930544964821</v>
      </c>
      <c r="K81" s="5">
        <v>119695598006468</v>
      </c>
      <c r="L81" s="5">
        <v>970046100853635</v>
      </c>
      <c r="M81" s="5">
        <v>100420414092705</v>
      </c>
      <c r="N81" s="5">
        <v>929719637944765</v>
      </c>
      <c r="O81" s="5">
        <v>112008845290291</v>
      </c>
      <c r="P81" s="5">
        <v>115936198471728</v>
      </c>
      <c r="Q81" s="5">
        <v>113145223325915</v>
      </c>
      <c r="R81" s="5">
        <v>117964991851008</v>
      </c>
      <c r="S81" s="5">
        <v>118286434340961</v>
      </c>
      <c r="T81" s="5">
        <v>111301602361824</v>
      </c>
      <c r="U81" s="5">
        <v>116060841100554</v>
      </c>
      <c r="V81" s="5">
        <v>109757628387499</v>
      </c>
      <c r="W81" s="5">
        <v>96348118282416</v>
      </c>
      <c r="X81" s="5">
        <v>963015098968829</v>
      </c>
      <c r="Y81" s="5">
        <v>932563221525166</v>
      </c>
      <c r="Z81" s="5">
        <v>7692075415276</v>
      </c>
      <c r="AA81" s="5">
        <v>824693622911676</v>
      </c>
      <c r="AB81" s="5">
        <v>801068836499008</v>
      </c>
      <c r="AC81" s="5">
        <v>904112646091586</v>
      </c>
      <c r="AD81" s="5">
        <v>911709894829322</v>
      </c>
      <c r="AE81" s="5">
        <v>877584940446587</v>
      </c>
      <c r="AF81" s="5">
        <v>901785306550758</v>
      </c>
      <c r="AG81" s="5">
        <v>947467489867114</v>
      </c>
      <c r="AH81" s="5">
        <v>970763496329144</v>
      </c>
      <c r="AI81" s="5">
        <v>104437526399719</v>
      </c>
      <c r="AJ81" s="5">
        <v>99291975833022</v>
      </c>
      <c r="AK81" s="5">
        <v>101914056689493</v>
      </c>
      <c r="AL81" s="5">
        <v>106423130278405</v>
      </c>
      <c r="AM81" s="5">
        <v>106538790236725</v>
      </c>
      <c r="AN81" s="5">
        <v>10970892204673</v>
      </c>
      <c r="AO81" s="5">
        <v>108559344869819</v>
      </c>
    </row>
    <row r="82" spans="1:41" x14ac:dyDescent="0.45">
      <c r="A82" s="1" t="s">
        <v>76</v>
      </c>
      <c r="B82" s="2">
        <v>4963284</v>
      </c>
      <c r="C82" s="3" t="s">
        <v>701</v>
      </c>
      <c r="D82" s="3" t="s">
        <v>702</v>
      </c>
      <c r="E82" s="3" t="s">
        <v>515</v>
      </c>
      <c r="F82" s="5">
        <v>72466544093586</v>
      </c>
      <c r="G82" s="5">
        <v>73203237046016</v>
      </c>
      <c r="H82" s="5">
        <v>7993025305023</v>
      </c>
      <c r="I82" s="5">
        <v>815792258664092</v>
      </c>
      <c r="J82" s="5">
        <v>816347355320304</v>
      </c>
      <c r="K82" s="5">
        <v>8684449604406</v>
      </c>
      <c r="L82" s="5">
        <v>7164341529345</v>
      </c>
      <c r="M82" s="5">
        <v>69078203724222</v>
      </c>
      <c r="N82" s="5">
        <v>71653875805512</v>
      </c>
      <c r="O82" s="5">
        <v>645476673113654</v>
      </c>
      <c r="P82" s="5">
        <v>659930222994</v>
      </c>
      <c r="Q82" s="5">
        <v>78532522821126</v>
      </c>
      <c r="R82" s="5">
        <v>79595048400582</v>
      </c>
      <c r="S82" s="5">
        <v>79754176890234</v>
      </c>
      <c r="T82" s="5">
        <v>6974686909476</v>
      </c>
      <c r="U82" s="5">
        <v>6653976546236</v>
      </c>
      <c r="V82" s="5">
        <v>6657648883166</v>
      </c>
      <c r="W82" s="5">
        <v>677205709488</v>
      </c>
      <c r="X82" s="5">
        <v>787462047309002</v>
      </c>
      <c r="Y82" s="5">
        <v>71845131536434</v>
      </c>
      <c r="Z82" s="5">
        <v>70147756941584</v>
      </c>
      <c r="AA82" s="5">
        <v>785589398916176</v>
      </c>
      <c r="AB82" s="5">
        <v>76657585219182</v>
      </c>
      <c r="AC82" s="5">
        <v>72334098466084</v>
      </c>
      <c r="AD82" s="5">
        <v>67039651422618</v>
      </c>
      <c r="AE82" s="5">
        <v>68168198334306</v>
      </c>
      <c r="AF82" s="5">
        <v>6176297791755</v>
      </c>
      <c r="AG82" s="5">
        <v>601652390856</v>
      </c>
      <c r="AH82" s="5">
        <v>602519509672</v>
      </c>
      <c r="AI82" s="5">
        <v>5771207178646</v>
      </c>
      <c r="AJ82" s="5">
        <v>5857806413888</v>
      </c>
      <c r="AK82" s="5">
        <v>59080493407452</v>
      </c>
      <c r="AL82" s="5">
        <v>5175069076918</v>
      </c>
      <c r="AM82" s="5">
        <v>528294034629537</v>
      </c>
      <c r="AN82" s="5">
        <v>496067030712</v>
      </c>
      <c r="AO82" s="5">
        <v>46176045973596</v>
      </c>
    </row>
    <row r="83" spans="1:41" x14ac:dyDescent="0.45">
      <c r="A83" s="1" t="s">
        <v>77</v>
      </c>
      <c r="B83" s="2">
        <v>103094</v>
      </c>
      <c r="C83" s="3" t="s">
        <v>703</v>
      </c>
      <c r="D83" s="3" t="s">
        <v>704</v>
      </c>
      <c r="E83" s="3" t="s">
        <v>639</v>
      </c>
      <c r="F83" s="5">
        <v>101651622014892</v>
      </c>
      <c r="G83" s="5">
        <v>994316505233251</v>
      </c>
      <c r="H83" s="5">
        <v>939155640726636</v>
      </c>
      <c r="I83" s="5">
        <v>990980485023857</v>
      </c>
      <c r="J83" s="5">
        <v>10424097803348</v>
      </c>
      <c r="K83" s="5">
        <v>103925650284238</v>
      </c>
      <c r="L83" s="5">
        <v>104462241702586</v>
      </c>
      <c r="M83" s="5">
        <v>112723375193847</v>
      </c>
      <c r="N83" s="5">
        <v>109129200706141</v>
      </c>
      <c r="O83" s="5">
        <v>123108417080644</v>
      </c>
      <c r="P83" s="5">
        <v>129543829098855</v>
      </c>
      <c r="Q83" s="5">
        <v>118852733566932</v>
      </c>
      <c r="R83" s="5">
        <v>121767162743329</v>
      </c>
      <c r="S83" s="5">
        <v>129535154093206</v>
      </c>
      <c r="T83" s="5">
        <v>115857039789672</v>
      </c>
      <c r="U83" s="5">
        <v>12032695308948</v>
      </c>
      <c r="V83" s="5">
        <v>1229737854188</v>
      </c>
      <c r="W83" s="5">
        <v>11114349676122</v>
      </c>
      <c r="X83" s="5">
        <v>110599756747851</v>
      </c>
      <c r="Y83" s="5">
        <v>102802890514452</v>
      </c>
      <c r="Z83" s="5">
        <v>101470023505697</v>
      </c>
      <c r="AA83" s="5">
        <v>991602261082656</v>
      </c>
      <c r="AB83" s="5">
        <v>951632624628189</v>
      </c>
      <c r="AC83" s="5">
        <v>941631561259709</v>
      </c>
      <c r="AD83" s="5">
        <v>977942951830375</v>
      </c>
      <c r="AE83" s="5">
        <v>900991558246962</v>
      </c>
      <c r="AF83" s="5">
        <v>874640149234032</v>
      </c>
      <c r="AG83" s="5">
        <v>972853436208</v>
      </c>
      <c r="AH83" s="5">
        <v>108026954268</v>
      </c>
      <c r="AI83" s="5">
        <v>105681942626242</v>
      </c>
      <c r="AJ83" s="5">
        <v>106468409840077</v>
      </c>
      <c r="AK83" s="5">
        <v>104652686673643</v>
      </c>
      <c r="AL83" s="5">
        <v>10854020082945</v>
      </c>
      <c r="AM83" s="5">
        <v>105033285968327</v>
      </c>
      <c r="AN83" s="5">
        <v>1174484228448</v>
      </c>
      <c r="AO83" s="5">
        <v>12322700248716</v>
      </c>
    </row>
    <row r="84" spans="1:41" x14ac:dyDescent="0.45">
      <c r="A84" s="1" t="s">
        <v>78</v>
      </c>
      <c r="B84" s="2">
        <v>103239</v>
      </c>
      <c r="C84" s="3" t="s">
        <v>705</v>
      </c>
      <c r="D84" s="3" t="s">
        <v>706</v>
      </c>
      <c r="E84" s="3" t="s">
        <v>707</v>
      </c>
      <c r="F84" s="5">
        <v>131226866905693</v>
      </c>
      <c r="G84" s="5">
        <v>120106586714755</v>
      </c>
      <c r="H84" s="5">
        <v>121247906481</v>
      </c>
      <c r="I84" s="5">
        <v>11586898232755</v>
      </c>
      <c r="J84" s="5">
        <v>124226478428042</v>
      </c>
      <c r="K84" s="5">
        <v>120199196214618</v>
      </c>
      <c r="L84" s="5">
        <v>694111689719978</v>
      </c>
      <c r="M84" s="5">
        <v>638682240806446</v>
      </c>
      <c r="N84" s="5">
        <v>608450013950537</v>
      </c>
      <c r="O84" s="5">
        <v>632830013295322</v>
      </c>
      <c r="P84" s="5">
        <v>735003818373613</v>
      </c>
      <c r="Q84" s="5">
        <v>747719784128454</v>
      </c>
      <c r="R84" s="5">
        <v>657110686372808</v>
      </c>
      <c r="S84" s="5">
        <v>694299512754382</v>
      </c>
      <c r="T84" s="5">
        <v>571996882572422</v>
      </c>
      <c r="U84" s="5">
        <v>51263392576004</v>
      </c>
      <c r="V84" s="5">
        <v>507255462850823</v>
      </c>
      <c r="W84" s="5">
        <v>534536882785752</v>
      </c>
      <c r="X84" s="5">
        <v>493735160907009</v>
      </c>
      <c r="Y84" s="5">
        <v>484920966627867</v>
      </c>
      <c r="Z84" s="5">
        <v>510216761581383</v>
      </c>
      <c r="AA84" s="5">
        <v>524315783739903</v>
      </c>
      <c r="AB84" s="5">
        <v>484226887993362</v>
      </c>
      <c r="AC84" s="5">
        <v>475009017621703</v>
      </c>
      <c r="AD84" s="5">
        <v>451776679066515</v>
      </c>
      <c r="AE84" s="5">
        <v>389914938274766</v>
      </c>
      <c r="AF84" s="5">
        <v>365691674354573</v>
      </c>
      <c r="AG84" s="5">
        <v>349754497525252</v>
      </c>
      <c r="AH84" s="5">
        <v>360094383459874</v>
      </c>
      <c r="AI84" s="5">
        <v>405029589856607</v>
      </c>
      <c r="AJ84" s="5">
        <v>382504614928478</v>
      </c>
      <c r="AK84" s="5">
        <v>373331044816103</v>
      </c>
      <c r="AL84" s="5">
        <v>336120183731496</v>
      </c>
      <c r="AM84" s="5">
        <v>337424556899639</v>
      </c>
      <c r="AN84" s="5">
        <v>391572240211865</v>
      </c>
      <c r="AO84" s="5">
        <v>418201551536076</v>
      </c>
    </row>
    <row r="85" spans="1:41" x14ac:dyDescent="0.45">
      <c r="A85" s="1" t="s">
        <v>79</v>
      </c>
      <c r="B85" s="2">
        <v>4073203</v>
      </c>
      <c r="C85" s="3" t="s">
        <v>708</v>
      </c>
      <c r="D85" s="3" t="s">
        <v>709</v>
      </c>
      <c r="E85" s="3" t="s">
        <v>710</v>
      </c>
      <c r="F85" s="5">
        <v>415849177892727</v>
      </c>
      <c r="G85" s="5">
        <v>43492490925507</v>
      </c>
      <c r="H85" s="5">
        <v>392976473427488</v>
      </c>
      <c r="I85" s="5">
        <v>317831003505755</v>
      </c>
      <c r="J85" s="5">
        <v>303726468026842</v>
      </c>
      <c r="K85" s="5">
        <v>323868761708146</v>
      </c>
      <c r="L85" s="5">
        <v>3414322291926</v>
      </c>
      <c r="M85" s="5">
        <v>324858431135839</v>
      </c>
      <c r="N85" s="5">
        <v>30083188321677</v>
      </c>
      <c r="O85" s="5">
        <v>307914168804184</v>
      </c>
      <c r="P85" s="5">
        <v>300615008304014</v>
      </c>
      <c r="Q85" s="5">
        <v>28740137919635</v>
      </c>
      <c r="R85" s="5">
        <v>276465521371375</v>
      </c>
      <c r="S85" s="5">
        <v>280391122918332</v>
      </c>
      <c r="T85" s="5">
        <v>241833140796521</v>
      </c>
      <c r="U85" s="5">
        <v>239765124258932</v>
      </c>
      <c r="V85" s="5">
        <v>248503159696221</v>
      </c>
      <c r="W85" s="5">
        <v>226923827316278</v>
      </c>
      <c r="X85" s="5">
        <v>223502042891733</v>
      </c>
      <c r="Y85" s="5">
        <v>222953556908194</v>
      </c>
      <c r="Z85" s="5">
        <v>234386782684042</v>
      </c>
      <c r="AA85" s="5">
        <v>251982298160041</v>
      </c>
      <c r="AB85" s="5">
        <v>251971785623168</v>
      </c>
      <c r="AC85" s="5">
        <v>248046571611403</v>
      </c>
      <c r="AD85" s="5">
        <v>224763557684501</v>
      </c>
      <c r="AE85" s="5">
        <v>241986484632957</v>
      </c>
      <c r="AF85" s="5">
        <v>212188415320245</v>
      </c>
      <c r="AG85" s="5">
        <v>202078134903773</v>
      </c>
      <c r="AH85" s="5">
        <v>201844478563812</v>
      </c>
      <c r="AI85" s="5">
        <v>211317840447778</v>
      </c>
      <c r="AJ85" s="5">
        <v>220550259179538</v>
      </c>
      <c r="AK85" s="5">
        <v>196607581684204</v>
      </c>
      <c r="AL85" s="5">
        <v>191659782866478</v>
      </c>
      <c r="AM85" s="5">
        <v>179033897377218</v>
      </c>
      <c r="AN85" s="5">
        <v>183745136737904</v>
      </c>
      <c r="AO85" s="5">
        <v>18644042045626</v>
      </c>
    </row>
    <row r="86" spans="1:41" x14ac:dyDescent="0.45">
      <c r="A86" s="1" t="s">
        <v>80</v>
      </c>
      <c r="B86" s="2">
        <v>4980730</v>
      </c>
      <c r="C86" s="3" t="s">
        <v>711</v>
      </c>
      <c r="D86" s="3" t="s">
        <v>712</v>
      </c>
      <c r="E86" s="3" t="s">
        <v>530</v>
      </c>
      <c r="F86" s="5">
        <v>341543288380655</v>
      </c>
      <c r="G86" s="5">
        <v>289720232273447</v>
      </c>
      <c r="H86" s="5">
        <v>324672001982604</v>
      </c>
      <c r="I86" s="5">
        <v>320669954301176</v>
      </c>
      <c r="J86" s="5">
        <v>354586374917058</v>
      </c>
      <c r="K86" s="5">
        <v>338927647820637</v>
      </c>
      <c r="L86" s="5">
        <v>310592516614978</v>
      </c>
      <c r="M86" s="5">
        <v>265352660783112</v>
      </c>
      <c r="N86" s="5">
        <v>209945066838216</v>
      </c>
      <c r="O86" s="5">
        <v>234021901274749</v>
      </c>
      <c r="P86" s="5">
        <v>297653857068312</v>
      </c>
      <c r="Q86" s="5">
        <v>345996389090384</v>
      </c>
      <c r="R86" s="5">
        <v>309539280539358</v>
      </c>
      <c r="S86" s="5">
        <v>309578480304802</v>
      </c>
      <c r="T86" s="5">
        <v>260585087733736</v>
      </c>
      <c r="U86" s="5">
        <v>212430623121848</v>
      </c>
      <c r="V86" s="5">
        <v>186970689897846</v>
      </c>
      <c r="W86" s="5">
        <v>193831784198044</v>
      </c>
      <c r="X86" s="5">
        <v>219656177960734</v>
      </c>
      <c r="Y86" s="5">
        <v>174409686601179</v>
      </c>
      <c r="Z86" s="5">
        <v>173951763719141</v>
      </c>
      <c r="AA86" s="5">
        <v>189915904359351</v>
      </c>
      <c r="AB86" s="5">
        <v>183110439057338</v>
      </c>
      <c r="AC86" s="5">
        <v>19168440560519</v>
      </c>
      <c r="AD86" s="5">
        <v>209896063120716</v>
      </c>
      <c r="AE86" s="5">
        <v>17224030883949</v>
      </c>
      <c r="AF86" s="5">
        <v>135484919714978</v>
      </c>
      <c r="AG86" s="5">
        <v>1619324643021</v>
      </c>
      <c r="AH86" s="5">
        <v>182456834491864</v>
      </c>
      <c r="AI86" s="5">
        <v>213840387909806</v>
      </c>
      <c r="AJ86" s="5">
        <v>214871036585162</v>
      </c>
      <c r="AK86" s="5">
        <v>130720619712451</v>
      </c>
      <c r="AL86" s="5">
        <v>103929673100048</v>
      </c>
      <c r="AM86" s="5">
        <v>116485339371638</v>
      </c>
      <c r="AN86" s="5">
        <v>124377376322889</v>
      </c>
      <c r="AO86" s="5">
        <v>123598227206621</v>
      </c>
    </row>
    <row r="87" spans="1:41" x14ac:dyDescent="0.45">
      <c r="A87" s="1" t="s">
        <v>81</v>
      </c>
      <c r="B87" s="2">
        <v>4158618</v>
      </c>
      <c r="C87" s="3" t="s">
        <v>713</v>
      </c>
      <c r="D87" s="3" t="s">
        <v>714</v>
      </c>
      <c r="E87" s="3" t="s">
        <v>503</v>
      </c>
      <c r="F87" s="5">
        <v>379026641240417</v>
      </c>
      <c r="G87" s="5">
        <v>398605357265759</v>
      </c>
      <c r="H87" s="5">
        <v>434393529087552</v>
      </c>
      <c r="I87" s="5">
        <v>433020078093135</v>
      </c>
      <c r="J87" s="5">
        <v>474355704025048</v>
      </c>
      <c r="K87" s="5">
        <v>510508209409125</v>
      </c>
      <c r="L87" s="5">
        <v>531626998985523</v>
      </c>
      <c r="M87" s="5">
        <v>537949583730703</v>
      </c>
      <c r="N87" s="5">
        <v>476253761183884</v>
      </c>
      <c r="O87" s="5">
        <v>50679506522353</v>
      </c>
      <c r="P87" s="5">
        <v>538085239131082</v>
      </c>
      <c r="Q87" s="5">
        <v>564374833899034</v>
      </c>
      <c r="R87" s="5">
        <v>591562940393906</v>
      </c>
      <c r="S87" s="5">
        <v>657948362165162</v>
      </c>
      <c r="T87" s="5">
        <v>600919101702583</v>
      </c>
      <c r="U87" s="5">
        <v>651491999792873</v>
      </c>
      <c r="V87" s="5">
        <v>594014362234677</v>
      </c>
      <c r="W87" s="5">
        <v>568134649089916</v>
      </c>
      <c r="X87" s="5">
        <v>530449155411969</v>
      </c>
      <c r="Y87" s="5">
        <v>5249974441833</v>
      </c>
      <c r="Z87" s="5">
        <v>51813126948551</v>
      </c>
      <c r="AA87" s="5">
        <v>484406172588714</v>
      </c>
      <c r="AB87" s="5">
        <v>461912363097137</v>
      </c>
      <c r="AC87" s="5">
        <v>452920707520619</v>
      </c>
      <c r="AD87" s="5">
        <v>436094585292237</v>
      </c>
      <c r="AE87" s="5">
        <v>399739611584938</v>
      </c>
      <c r="AF87" s="5">
        <v>3784955059754</v>
      </c>
      <c r="AG87" s="5">
        <v>43684775719561</v>
      </c>
      <c r="AH87" s="5">
        <v>443682298495014</v>
      </c>
      <c r="AI87" s="5">
        <v>452617861921204</v>
      </c>
      <c r="AJ87" s="5">
        <v>380138186781847</v>
      </c>
      <c r="AK87" s="5">
        <v>320381393762599</v>
      </c>
      <c r="AL87" s="5">
        <v>316346053525724</v>
      </c>
      <c r="AM87" s="5">
        <v>351583882053417</v>
      </c>
      <c r="AN87" s="5">
        <v>353848010126209</v>
      </c>
      <c r="AO87" s="5">
        <v>350556403264586</v>
      </c>
    </row>
    <row r="88" spans="1:41" x14ac:dyDescent="0.45">
      <c r="A88" s="1" t="s">
        <v>82</v>
      </c>
      <c r="B88" s="2">
        <v>6676338</v>
      </c>
      <c r="C88" s="3" t="s">
        <v>715</v>
      </c>
      <c r="D88" s="3" t="s">
        <v>716</v>
      </c>
      <c r="E88" s="3" t="s">
        <v>636</v>
      </c>
      <c r="F88" s="5">
        <v>508323653304278</v>
      </c>
      <c r="G88" s="5">
        <v>456752789353784</v>
      </c>
      <c r="H88" s="5">
        <v>375860674597847</v>
      </c>
      <c r="I88" s="5">
        <v>443968337478554</v>
      </c>
      <c r="J88" s="5">
        <v>439042562252504</v>
      </c>
      <c r="K88" s="5">
        <v>470984320999225</v>
      </c>
      <c r="L88" s="5">
        <v>387411184039464</v>
      </c>
      <c r="M88" s="5">
        <v>38930781502341</v>
      </c>
      <c r="N88" s="5">
        <v>289333924980001</v>
      </c>
      <c r="O88" s="5">
        <v>259873553215371</v>
      </c>
      <c r="P88" s="5">
        <v>300355502599908</v>
      </c>
      <c r="Q88" s="5">
        <v>305983679513329</v>
      </c>
      <c r="R88" s="5">
        <v>252426903622926</v>
      </c>
      <c r="S88" s="5">
        <v>317196933214089</v>
      </c>
      <c r="T88" s="5">
        <v>292711138196255</v>
      </c>
      <c r="U88" s="5">
        <v>193298099687353</v>
      </c>
      <c r="V88" s="5">
        <v>168618121598802</v>
      </c>
      <c r="W88" s="5">
        <v>152433047945732</v>
      </c>
      <c r="X88" s="5">
        <v>140493846633972</v>
      </c>
      <c r="Y88" s="5">
        <v>107815489969324</v>
      </c>
      <c r="Z88" s="5">
        <v>903715502356397</v>
      </c>
      <c r="AA88" s="5">
        <v>948469559744595</v>
      </c>
      <c r="AB88" s="5">
        <v>816781881847239</v>
      </c>
      <c r="AC88" s="5">
        <v>452568292663833</v>
      </c>
      <c r="AD88" s="5">
        <v>546146353025375</v>
      </c>
      <c r="AE88" s="5">
        <v>327464508434011</v>
      </c>
      <c r="AF88" s="5">
        <v>27227814864525</v>
      </c>
      <c r="AG88" s="5">
        <v>422581738388392</v>
      </c>
      <c r="AH88" s="5">
        <v>49460534175085</v>
      </c>
      <c r="AI88" s="5">
        <v>444234923054065</v>
      </c>
      <c r="AJ88" s="5">
        <v>252105877844352</v>
      </c>
      <c r="AK88" s="5">
        <v>128723171218088</v>
      </c>
      <c r="AL88" s="5">
        <v>666927555133606</v>
      </c>
      <c r="AM88" s="5">
        <v>955657697552844</v>
      </c>
      <c r="AN88" s="5">
        <v>9412645302972</v>
      </c>
      <c r="AO88" s="5">
        <v>992043723314655</v>
      </c>
    </row>
    <row r="89" spans="1:41" x14ac:dyDescent="0.45">
      <c r="A89" s="1" t="s">
        <v>83</v>
      </c>
      <c r="B89" s="2">
        <v>114523</v>
      </c>
      <c r="C89" s="3" t="s">
        <v>717</v>
      </c>
      <c r="D89" s="3" t="s">
        <v>718</v>
      </c>
      <c r="E89" s="3" t="s">
        <v>719</v>
      </c>
      <c r="F89" s="5">
        <v>228333505987415</v>
      </c>
      <c r="G89" s="5">
        <v>232368447123209</v>
      </c>
      <c r="H89" s="5">
        <v>23446640205988</v>
      </c>
      <c r="I89" s="5">
        <v>190518640244684</v>
      </c>
      <c r="J89" s="5">
        <v>167826622608512</v>
      </c>
      <c r="K89" s="5">
        <v>180091639937284</v>
      </c>
      <c r="L89" s="5">
        <v>155467702434387</v>
      </c>
      <c r="M89" s="5">
        <v>144254464016471</v>
      </c>
      <c r="N89" s="5">
        <v>128203431695077</v>
      </c>
      <c r="O89" s="5">
        <v>145831857297863</v>
      </c>
      <c r="P89" s="5">
        <v>157990154060228</v>
      </c>
      <c r="Q89" s="5">
        <v>172535467424911</v>
      </c>
      <c r="R89" s="5">
        <v>169169107765231</v>
      </c>
      <c r="S89" s="5">
        <v>185836016461112</v>
      </c>
      <c r="T89" s="5">
        <v>168007596211303</v>
      </c>
      <c r="U89" s="5">
        <v>170043194623086</v>
      </c>
      <c r="V89" s="5">
        <v>156112953295181</v>
      </c>
      <c r="W89" s="5">
        <v>156442522605415</v>
      </c>
      <c r="X89" s="5">
        <v>152037834067329</v>
      </c>
      <c r="Y89" s="5">
        <v>152657494322947</v>
      </c>
      <c r="Z89" s="5">
        <v>153019673154625</v>
      </c>
      <c r="AA89" s="5">
        <v>169409191178838</v>
      </c>
      <c r="AB89" s="5">
        <v>154280807501873</v>
      </c>
      <c r="AC89" s="5">
        <v>140912481543293</v>
      </c>
      <c r="AD89" s="5">
        <v>136176426470554</v>
      </c>
      <c r="AE89" s="5">
        <v>117031031670792</v>
      </c>
      <c r="AF89" s="5">
        <v>109148342258239</v>
      </c>
      <c r="AG89" s="5">
        <v>131581413066449</v>
      </c>
      <c r="AH89" s="5">
        <v>13223003960856</v>
      </c>
      <c r="AI89" s="5">
        <v>124002431964662</v>
      </c>
      <c r="AJ89" s="5">
        <v>116151783361025</v>
      </c>
      <c r="AK89" s="5">
        <v>994921003866056</v>
      </c>
      <c r="AL89" s="5">
        <v>102367909889393</v>
      </c>
      <c r="AM89" s="5">
        <v>108754925977845</v>
      </c>
      <c r="AN89" s="5">
        <v>116516509525989</v>
      </c>
      <c r="AO89" s="5">
        <v>120882455932435</v>
      </c>
    </row>
    <row r="90" spans="1:41" x14ac:dyDescent="0.45">
      <c r="A90" s="1" t="s">
        <v>84</v>
      </c>
      <c r="B90" s="2">
        <v>4253262</v>
      </c>
      <c r="C90" s="3" t="s">
        <v>720</v>
      </c>
      <c r="D90" s="3" t="s">
        <v>721</v>
      </c>
      <c r="E90" s="3" t="s">
        <v>722</v>
      </c>
      <c r="F90" s="5">
        <v>223705588760238</v>
      </c>
      <c r="G90" s="5">
        <v>232986623722973</v>
      </c>
      <c r="H90" s="5">
        <v>222861295892383</v>
      </c>
      <c r="I90" s="5">
        <v>218621166527047</v>
      </c>
      <c r="J90" s="5">
        <v>210972573992252</v>
      </c>
      <c r="K90" s="5">
        <v>220648997209241</v>
      </c>
      <c r="L90" s="5">
        <v>20793799806692</v>
      </c>
      <c r="M90" s="5">
        <v>211440807136438</v>
      </c>
      <c r="N90" s="5">
        <v>204707136696754</v>
      </c>
      <c r="O90" s="5">
        <v>219175282742448</v>
      </c>
      <c r="P90" s="5">
        <v>212094678804226</v>
      </c>
      <c r="Q90" s="5">
        <v>20579754033036</v>
      </c>
      <c r="R90" s="5">
        <v>197580716321672</v>
      </c>
      <c r="S90" s="5">
        <v>214168989472282</v>
      </c>
      <c r="T90" s="5">
        <v>205813180132466</v>
      </c>
      <c r="U90" s="5">
        <v>192198682961688</v>
      </c>
      <c r="V90" s="5">
        <v>194307790725061</v>
      </c>
      <c r="W90" s="5">
        <v>178302773560666</v>
      </c>
      <c r="X90" s="5">
        <v>166897500629397</v>
      </c>
      <c r="Y90" s="5">
        <v>167735664331934</v>
      </c>
      <c r="Z90" s="5">
        <v>178748280308962</v>
      </c>
      <c r="AA90" s="5">
        <v>179723368161666</v>
      </c>
      <c r="AB90" s="5">
        <v>187533123995712</v>
      </c>
      <c r="AC90" s="5">
        <v>1788694208802</v>
      </c>
      <c r="AD90" s="5">
        <v>170518556200164</v>
      </c>
      <c r="AE90" s="5">
        <v>176331291235659</v>
      </c>
      <c r="AF90" s="5">
        <v>163679734468717</v>
      </c>
      <c r="AG90" s="5">
        <v>155729380263908</v>
      </c>
      <c r="AH90" s="5">
        <v>145647679498101</v>
      </c>
      <c r="AI90" s="5">
        <v>133811021627412</v>
      </c>
      <c r="AJ90" s="5">
        <v>133464239074022</v>
      </c>
      <c r="AK90" s="5">
        <v>131175940016183</v>
      </c>
      <c r="AL90" s="5">
        <v>133851313137428</v>
      </c>
      <c r="AM90" s="5">
        <v>130649771082555</v>
      </c>
      <c r="AN90" s="5">
        <v>125677376270239</v>
      </c>
      <c r="AO90" s="5">
        <v>120016722152448</v>
      </c>
    </row>
    <row r="91" spans="1:41" x14ac:dyDescent="0.45">
      <c r="A91" s="1" t="s">
        <v>85</v>
      </c>
      <c r="B91" s="2">
        <v>4025774</v>
      </c>
      <c r="C91" s="3" t="s">
        <v>723</v>
      </c>
      <c r="D91" s="3" t="s">
        <v>724</v>
      </c>
      <c r="E91" s="3" t="s">
        <v>725</v>
      </c>
      <c r="F91" s="5">
        <v>40143418990574</v>
      </c>
      <c r="G91" s="5">
        <v>409106573563996</v>
      </c>
      <c r="H91" s="5">
        <v>387398757051967</v>
      </c>
      <c r="I91" s="5">
        <v>393595240605012</v>
      </c>
      <c r="J91" s="5">
        <v>406221859494252</v>
      </c>
      <c r="K91" s="5">
        <v>399045437995197</v>
      </c>
      <c r="L91" s="5">
        <v>350357270752276</v>
      </c>
      <c r="M91" s="5">
        <v>323541219651689</v>
      </c>
      <c r="N91" s="5">
        <v>31622741694543</v>
      </c>
      <c r="O91" s="5">
        <v>35764506520105</v>
      </c>
      <c r="P91" s="5">
        <v>403226121066854</v>
      </c>
      <c r="Q91" s="5">
        <v>418873483181514</v>
      </c>
      <c r="R91" s="5">
        <v>381450246290365</v>
      </c>
      <c r="S91" s="5">
        <v>399105583064554</v>
      </c>
      <c r="T91" s="5">
        <v>362831966783549</v>
      </c>
      <c r="U91" s="5">
        <v>336177724347766</v>
      </c>
      <c r="V91" s="5">
        <v>313554698733933</v>
      </c>
      <c r="W91" s="5">
        <v>313693153315542</v>
      </c>
      <c r="X91" s="5">
        <v>250832947722994</v>
      </c>
      <c r="Y91" s="5">
        <v>244930512239299</v>
      </c>
      <c r="Z91" s="5">
        <v>245183307709393</v>
      </c>
      <c r="AA91" s="5">
        <v>270502260235384</v>
      </c>
      <c r="AB91" s="5">
        <v>255426353957269</v>
      </c>
      <c r="AC91" s="5">
        <v>236571299358243</v>
      </c>
      <c r="AD91" s="5">
        <v>250448809569906</v>
      </c>
      <c r="AE91" s="5">
        <v>215298232023581</v>
      </c>
      <c r="AF91" s="5">
        <v>195171233425738</v>
      </c>
      <c r="AG91" s="5">
        <v>211041028377951</v>
      </c>
      <c r="AH91" s="5">
        <v>237149899834932</v>
      </c>
      <c r="AI91" s="5">
        <v>228619681800959</v>
      </c>
      <c r="AJ91" s="5">
        <v>224318938659175</v>
      </c>
      <c r="AK91" s="5">
        <v>213295948159609</v>
      </c>
      <c r="AL91" s="5">
        <v>210759939784691</v>
      </c>
      <c r="AM91" s="5">
        <v>202704194768639</v>
      </c>
      <c r="AN91" s="5">
        <v>242593770017452</v>
      </c>
      <c r="AO91" s="5">
        <v>243351316002486</v>
      </c>
    </row>
    <row r="92" spans="1:41" x14ac:dyDescent="0.45">
      <c r="A92" s="1" t="s">
        <v>86</v>
      </c>
      <c r="B92" s="2">
        <v>4114659</v>
      </c>
      <c r="C92" s="3" t="s">
        <v>726</v>
      </c>
      <c r="D92" s="3" t="s">
        <v>727</v>
      </c>
      <c r="E92" s="3" t="s">
        <v>728</v>
      </c>
      <c r="F92" s="5">
        <v>151026650582364</v>
      </c>
      <c r="G92" s="5">
        <v>161928791660205</v>
      </c>
      <c r="H92" s="5">
        <v>181091598568735</v>
      </c>
      <c r="I92" s="5">
        <v>177920654616263</v>
      </c>
      <c r="J92" s="5">
        <v>184603415791664</v>
      </c>
      <c r="K92" s="5">
        <v>200744787947094</v>
      </c>
      <c r="L92" s="5">
        <v>200252797741327</v>
      </c>
      <c r="M92" s="5">
        <v>209315215692702</v>
      </c>
      <c r="N92" s="5">
        <v>186473067338638</v>
      </c>
      <c r="O92" s="5">
        <v>196449674379907</v>
      </c>
      <c r="P92" s="5">
        <v>226916892620095</v>
      </c>
      <c r="Q92" s="5">
        <v>255324073255568</v>
      </c>
      <c r="R92" s="5">
        <v>224023865928286</v>
      </c>
      <c r="S92" s="5">
        <v>222213097841361</v>
      </c>
      <c r="T92" s="5">
        <v>231026351334295</v>
      </c>
      <c r="U92" s="5">
        <v>271025577862225</v>
      </c>
      <c r="V92" s="5">
        <v>272495635629249</v>
      </c>
      <c r="W92" s="5">
        <v>269199680157038</v>
      </c>
      <c r="X92" s="5">
        <v>28077002125897</v>
      </c>
      <c r="Y92" s="5">
        <v>277128018847954</v>
      </c>
      <c r="Z92" s="5">
        <v>303924057370651</v>
      </c>
      <c r="AA92" s="5">
        <v>317822910369938</v>
      </c>
      <c r="AB92" s="5">
        <v>305700261257607</v>
      </c>
      <c r="AC92" s="5">
        <v>279934068121671</v>
      </c>
      <c r="AD92" s="5">
        <v>275498077670531</v>
      </c>
      <c r="AE92" s="5">
        <v>259020239614368</v>
      </c>
      <c r="AF92" s="5">
        <v>254260090900458</v>
      </c>
      <c r="AG92" s="5">
        <v>255525835071453</v>
      </c>
      <c r="AH92" s="5">
        <v>260964762363959</v>
      </c>
      <c r="AI92" s="5">
        <v>228796774321242</v>
      </c>
      <c r="AJ92" s="5">
        <v>2265575389448</v>
      </c>
      <c r="AK92" s="5">
        <v>217136929911964</v>
      </c>
      <c r="AL92" s="5">
        <v>207657865115172</v>
      </c>
      <c r="AM92" s="5">
        <v>242403105737125</v>
      </c>
      <c r="AN92" s="5">
        <v>258545490851198</v>
      </c>
      <c r="AO92" s="5">
        <v>244360171512842</v>
      </c>
    </row>
    <row r="93" spans="1:41" x14ac:dyDescent="0.45">
      <c r="A93" s="1" t="s">
        <v>87</v>
      </c>
      <c r="B93" s="2">
        <v>4022647</v>
      </c>
      <c r="C93" s="3" t="s">
        <v>729</v>
      </c>
      <c r="D93" s="3" t="s">
        <v>730</v>
      </c>
      <c r="E93" s="3" t="s">
        <v>710</v>
      </c>
      <c r="F93" s="5">
        <v>558044790400587</v>
      </c>
      <c r="G93" s="5">
        <v>61721969116739</v>
      </c>
      <c r="H93" s="5">
        <v>567832000121889</v>
      </c>
      <c r="I93" s="5">
        <v>51643119131133</v>
      </c>
      <c r="J93" s="5">
        <v>483332495181527</v>
      </c>
      <c r="K93" s="5">
        <v>484735360473112</v>
      </c>
      <c r="L93" s="5">
        <v>494874536492729</v>
      </c>
      <c r="M93" s="5">
        <v>497486379694744</v>
      </c>
      <c r="N93" s="5">
        <v>500227220996117</v>
      </c>
      <c r="O93" s="5">
        <v>498927065136432</v>
      </c>
      <c r="P93" s="5">
        <v>472531898021361</v>
      </c>
      <c r="Q93" s="5">
        <v>47412406173752</v>
      </c>
      <c r="R93" s="5">
        <v>419453490539377</v>
      </c>
      <c r="S93" s="5">
        <v>460816750938726</v>
      </c>
      <c r="T93" s="5">
        <v>411736823877811</v>
      </c>
      <c r="U93" s="5">
        <v>395556491902251</v>
      </c>
      <c r="V93" s="5">
        <v>424543091102774</v>
      </c>
      <c r="W93" s="5">
        <v>433111130472451</v>
      </c>
      <c r="X93" s="5">
        <v>410176731591411</v>
      </c>
      <c r="Y93" s="5">
        <v>4075388253066</v>
      </c>
      <c r="Z93" s="5">
        <v>445486236502569</v>
      </c>
      <c r="AA93" s="5">
        <v>448277170623629</v>
      </c>
      <c r="AB93" s="5">
        <v>434315182838689</v>
      </c>
      <c r="AC93" s="5">
        <v>427811388199639</v>
      </c>
      <c r="AD93" s="5">
        <v>369779424042947</v>
      </c>
      <c r="AE93" s="5">
        <v>371098213132801</v>
      </c>
      <c r="AF93" s="5">
        <v>351985534311611</v>
      </c>
      <c r="AG93" s="5">
        <v>341523413101527</v>
      </c>
      <c r="AH93" s="5">
        <v>325892762157329</v>
      </c>
      <c r="AI93" s="5">
        <v>343017920861015</v>
      </c>
      <c r="AJ93" s="5">
        <v>356514327156649</v>
      </c>
      <c r="AK93" s="5">
        <v>32324050841777</v>
      </c>
      <c r="AL93" s="5">
        <v>305779561508936</v>
      </c>
      <c r="AM93" s="5">
        <v>298058272256179</v>
      </c>
      <c r="AN93" s="5">
        <v>296384132692138</v>
      </c>
      <c r="AO93" s="5">
        <v>31460174341973</v>
      </c>
    </row>
    <row r="94" spans="1:41" x14ac:dyDescent="0.45">
      <c r="A94" s="1" t="s">
        <v>88</v>
      </c>
      <c r="B94" s="2">
        <v>4022661</v>
      </c>
      <c r="C94" s="3" t="s">
        <v>731</v>
      </c>
      <c r="D94" s="3" t="s">
        <v>732</v>
      </c>
      <c r="E94" s="3" t="s">
        <v>733</v>
      </c>
      <c r="F94" s="5">
        <v>1722645498669</v>
      </c>
      <c r="G94" s="5">
        <v>16675640746688</v>
      </c>
      <c r="H94" s="5">
        <v>1507278776922</v>
      </c>
      <c r="I94" s="5">
        <v>14935385962512</v>
      </c>
      <c r="J94" s="5">
        <v>12193013233368</v>
      </c>
      <c r="K94" s="5">
        <v>11193114576402</v>
      </c>
      <c r="L94" s="5">
        <v>2299892205026</v>
      </c>
      <c r="M94" s="5">
        <v>24751057848916</v>
      </c>
      <c r="N94" s="5">
        <v>2624944895937</v>
      </c>
      <c r="O94" s="5">
        <v>278631434863024</v>
      </c>
      <c r="P94" s="5">
        <v>27727657189344</v>
      </c>
      <c r="Q94" s="5">
        <v>31101331374495</v>
      </c>
      <c r="R94" s="5">
        <v>2954178269003</v>
      </c>
      <c r="S94" s="5">
        <v>2871066282</v>
      </c>
      <c r="T94" s="5">
        <v>289496962029</v>
      </c>
      <c r="U94" s="5">
        <v>3550494612944</v>
      </c>
      <c r="V94" s="5">
        <v>3749026488409</v>
      </c>
      <c r="W94" s="5">
        <v>373870983024</v>
      </c>
      <c r="X94" s="5">
        <v>3302145390024</v>
      </c>
      <c r="Y94" s="5">
        <v>35228307706184</v>
      </c>
      <c r="Z94" s="5">
        <v>36462426163072</v>
      </c>
      <c r="AA94" s="5">
        <v>388645372053371</v>
      </c>
      <c r="AB94" s="5">
        <v>38807302138759</v>
      </c>
      <c r="AC94" s="5">
        <v>37080615276627</v>
      </c>
      <c r="AD94" s="5">
        <v>35865072953187</v>
      </c>
      <c r="AE94" s="5">
        <v>36089119523592</v>
      </c>
      <c r="AF94" s="5">
        <v>3487775358357</v>
      </c>
      <c r="AG94" s="5">
        <v>352382856693813</v>
      </c>
      <c r="AH94" s="5">
        <v>307783795478319</v>
      </c>
      <c r="AI94" s="5">
        <v>334552175277472</v>
      </c>
      <c r="AJ94" s="5">
        <v>339052695901236</v>
      </c>
      <c r="AK94" s="5">
        <v>321355452563072</v>
      </c>
      <c r="AL94" s="5">
        <v>34274741114765</v>
      </c>
      <c r="AM94" s="5">
        <v>320389169118684</v>
      </c>
      <c r="AN94" s="5">
        <v>355195190771352</v>
      </c>
      <c r="AO94" s="5">
        <v>397481280220704</v>
      </c>
    </row>
    <row r="95" spans="1:41" x14ac:dyDescent="0.45">
      <c r="A95" s="1" t="s">
        <v>89</v>
      </c>
      <c r="B95" s="2">
        <v>4074390</v>
      </c>
      <c r="C95" s="3" t="s">
        <v>734</v>
      </c>
      <c r="D95" s="3" t="s">
        <v>735</v>
      </c>
      <c r="E95" s="3" t="s">
        <v>562</v>
      </c>
      <c r="F95" s="5">
        <v>213188767970946</v>
      </c>
      <c r="G95" s="5">
        <v>225100832734353</v>
      </c>
      <c r="H95" s="5">
        <v>216452469525038</v>
      </c>
      <c r="I95" s="5">
        <v>215897453381527</v>
      </c>
      <c r="J95" s="5">
        <v>21047240086265</v>
      </c>
      <c r="K95" s="5">
        <v>221559123718138</v>
      </c>
      <c r="L95" s="5">
        <v>204200270031558</v>
      </c>
      <c r="M95" s="5">
        <v>214222927637416</v>
      </c>
      <c r="N95" s="5">
        <v>223107083316914</v>
      </c>
      <c r="O95" s="5">
        <v>21879398183173</v>
      </c>
      <c r="P95" s="5">
        <v>215348404489208</v>
      </c>
      <c r="Q95" s="5">
        <v>204222632746438</v>
      </c>
      <c r="R95" s="5">
        <v>199741421169389</v>
      </c>
      <c r="S95" s="5">
        <v>201496059997291</v>
      </c>
      <c r="T95" s="5">
        <v>177251114499179</v>
      </c>
      <c r="U95" s="5">
        <v>171910828795791</v>
      </c>
      <c r="V95" s="5">
        <v>160857363961858</v>
      </c>
      <c r="W95" s="5">
        <v>1646067533418</v>
      </c>
      <c r="X95" s="5">
        <v>184967497316657</v>
      </c>
      <c r="Y95" s="5">
        <v>179975326802618</v>
      </c>
      <c r="Z95" s="5">
        <v>174335883400691</v>
      </c>
      <c r="AA95" s="5">
        <v>166985809554707</v>
      </c>
      <c r="AB95" s="5">
        <v>160679272193165</v>
      </c>
      <c r="AC95" s="5">
        <v>162554572217409</v>
      </c>
      <c r="AD95" s="5">
        <v>163154114666932</v>
      </c>
      <c r="AE95" s="5">
        <v>163617962987763</v>
      </c>
      <c r="AF95" s="5">
        <v>160595393156352</v>
      </c>
      <c r="AG95" s="5">
        <v>160118022276613</v>
      </c>
      <c r="AH95" s="5">
        <v>162306337513176</v>
      </c>
      <c r="AI95" s="5">
        <v>172336395505703</v>
      </c>
      <c r="AJ95" s="5">
        <v>168493642290402</v>
      </c>
      <c r="AK95" s="5">
        <v>167029925789217</v>
      </c>
      <c r="AL95" s="5">
        <v>174220024430977</v>
      </c>
      <c r="AM95" s="5">
        <v>171096275179272</v>
      </c>
      <c r="AN95" s="5">
        <v>165045204081826</v>
      </c>
      <c r="AO95" s="5">
        <v>174579572785064</v>
      </c>
    </row>
    <row r="96" spans="1:41" x14ac:dyDescent="0.45">
      <c r="A96" s="1" t="s">
        <v>90</v>
      </c>
      <c r="B96" s="2">
        <v>4533245</v>
      </c>
      <c r="C96" s="3" t="s">
        <v>736</v>
      </c>
      <c r="D96" s="3" t="s">
        <v>737</v>
      </c>
      <c r="E96" s="3" t="s">
        <v>738</v>
      </c>
      <c r="F96" s="5">
        <v>102741243561598</v>
      </c>
      <c r="G96" s="5">
        <v>105861363459667</v>
      </c>
      <c r="H96" s="5">
        <v>116964606748306</v>
      </c>
      <c r="I96" s="5">
        <v>12383044594321</v>
      </c>
      <c r="J96" s="5">
        <v>119957149416516</v>
      </c>
      <c r="K96" s="5">
        <v>131474352806597</v>
      </c>
      <c r="L96" s="5">
        <v>1269154133845</v>
      </c>
      <c r="M96" s="5">
        <v>129515225517981</v>
      </c>
      <c r="N96" s="5">
        <v>114987749147202</v>
      </c>
      <c r="O96" s="5">
        <v>120363078309448</v>
      </c>
      <c r="P96" s="5">
        <v>132015463668546</v>
      </c>
      <c r="Q96" s="5">
        <v>154382199400379</v>
      </c>
      <c r="R96" s="5">
        <v>143410846726083</v>
      </c>
      <c r="S96" s="5">
        <v>147881697133979</v>
      </c>
      <c r="T96" s="5">
        <v>131791957194981</v>
      </c>
      <c r="U96" s="5">
        <v>138788068528481</v>
      </c>
      <c r="V96" s="5">
        <v>135528720324253</v>
      </c>
      <c r="W96" s="5">
        <v>129015627711986</v>
      </c>
      <c r="X96" s="5">
        <v>126441754939301</v>
      </c>
      <c r="Y96" s="5">
        <v>134379686821177</v>
      </c>
      <c r="Z96" s="5">
        <v>13864108505745</v>
      </c>
      <c r="AA96" s="5">
        <v>144616554745863</v>
      </c>
      <c r="AB96" s="5">
        <v>140639576062325</v>
      </c>
      <c r="AC96" s="5">
        <v>132970676291331</v>
      </c>
      <c r="AD96" s="5">
        <v>137414809081486</v>
      </c>
      <c r="AE96" s="5">
        <v>131647548883825</v>
      </c>
      <c r="AF96" s="5">
        <v>145698163034874</v>
      </c>
      <c r="AG96" s="5">
        <v>156301371813782</v>
      </c>
      <c r="AH96" s="5">
        <v>137105761736748</v>
      </c>
      <c r="AI96" s="5">
        <v>145175180985207</v>
      </c>
      <c r="AJ96" s="5">
        <v>123947090419558</v>
      </c>
      <c r="AK96" s="5">
        <v>112497713814662</v>
      </c>
      <c r="AL96" s="5">
        <v>127106223543438</v>
      </c>
      <c r="AM96" s="5">
        <v>130753613807748</v>
      </c>
      <c r="AN96" s="5">
        <v>158392991637808</v>
      </c>
      <c r="AO96" s="5">
        <v>152994997880733</v>
      </c>
    </row>
    <row r="97" spans="1:41" x14ac:dyDescent="0.45">
      <c r="A97" s="1" t="s">
        <v>91</v>
      </c>
      <c r="B97" s="2">
        <v>4388431</v>
      </c>
      <c r="C97" s="3" t="s">
        <v>739</v>
      </c>
      <c r="D97" s="3" t="s">
        <v>740</v>
      </c>
      <c r="E97" s="3" t="s">
        <v>524</v>
      </c>
      <c r="F97" s="5">
        <v>836156658548164</v>
      </c>
      <c r="G97" s="5">
        <v>756087122899786</v>
      </c>
      <c r="H97" s="5">
        <v>768335142714282</v>
      </c>
      <c r="I97" s="5">
        <v>656275286206472</v>
      </c>
      <c r="J97" s="5">
        <v>687097441810798</v>
      </c>
      <c r="K97" s="5">
        <v>728382511921306</v>
      </c>
      <c r="L97" s="5">
        <v>634565642496864</v>
      </c>
      <c r="M97" s="5">
        <v>587083636955693</v>
      </c>
      <c r="N97" s="5">
        <v>513512961460762</v>
      </c>
      <c r="O97" s="5">
        <v>712203665115413</v>
      </c>
      <c r="P97" s="5">
        <v>812534993200169</v>
      </c>
      <c r="Q97" s="5">
        <v>810588173283209</v>
      </c>
      <c r="R97" s="5">
        <v>911784337735492</v>
      </c>
      <c r="S97" s="5">
        <v>96478150443421</v>
      </c>
      <c r="T97" s="5">
        <v>849181806020268</v>
      </c>
      <c r="U97" s="5">
        <v>911815669625725</v>
      </c>
      <c r="V97" s="5">
        <v>923083936172265</v>
      </c>
      <c r="W97" s="5">
        <v>116183785841508</v>
      </c>
      <c r="X97" s="5">
        <v>993151063761932</v>
      </c>
      <c r="Y97" s="5">
        <v>990067625689799</v>
      </c>
      <c r="Z97" s="5">
        <v>10997107823016</v>
      </c>
      <c r="AA97" s="5">
        <v>128808592440327</v>
      </c>
      <c r="AB97" s="5">
        <v>120749584433811</v>
      </c>
      <c r="AC97" s="5">
        <v>102257755512979</v>
      </c>
      <c r="AD97" s="5">
        <v>109709028720283</v>
      </c>
      <c r="AE97" s="5">
        <v>926946852192421</v>
      </c>
      <c r="AF97" s="5">
        <v>817023122146818</v>
      </c>
      <c r="AG97" s="5">
        <v>949350208278373</v>
      </c>
      <c r="AH97" s="5">
        <v>977683457447028</v>
      </c>
      <c r="AI97" s="5">
        <v>973174979473564</v>
      </c>
      <c r="AJ97" s="5">
        <v>9857271039071</v>
      </c>
      <c r="AK97" s="5">
        <v>928706515272631</v>
      </c>
      <c r="AL97" s="5">
        <v>878316110111476</v>
      </c>
      <c r="AM97" s="5">
        <v>947082309403246</v>
      </c>
      <c r="AN97" s="5">
        <v>105345418936336</v>
      </c>
      <c r="AO97" s="5">
        <v>113947977893904</v>
      </c>
    </row>
    <row r="98" spans="1:41" x14ac:dyDescent="0.45">
      <c r="A98" s="1" t="s">
        <v>92</v>
      </c>
      <c r="B98" s="2">
        <v>4121481</v>
      </c>
      <c r="C98" s="3" t="s">
        <v>741</v>
      </c>
      <c r="D98" s="3" t="s">
        <v>742</v>
      </c>
      <c r="E98" s="3" t="s">
        <v>743</v>
      </c>
      <c r="F98" s="5">
        <v>230079987061766</v>
      </c>
      <c r="G98" s="5">
        <v>223339199367321</v>
      </c>
      <c r="H98" s="5">
        <v>262363618908358</v>
      </c>
      <c r="I98" s="5">
        <v>320267602738966</v>
      </c>
      <c r="J98" s="5">
        <v>310122103124569</v>
      </c>
      <c r="K98" s="5">
        <v>321636955364743</v>
      </c>
      <c r="L98" s="5">
        <v>480847682809336</v>
      </c>
      <c r="M98" s="5">
        <v>482410030871235</v>
      </c>
      <c r="N98" s="5">
        <v>484797552495427</v>
      </c>
      <c r="O98" s="5">
        <v>484119664156103</v>
      </c>
      <c r="P98" s="5">
        <v>496004454829748</v>
      </c>
      <c r="Q98" s="5">
        <v>471829027605154</v>
      </c>
      <c r="R98" s="5">
        <v>470789038120047</v>
      </c>
      <c r="S98" s="5">
        <v>535008020958511</v>
      </c>
      <c r="T98" s="5">
        <v>430691284914975</v>
      </c>
      <c r="U98" s="5">
        <v>414763249774619</v>
      </c>
      <c r="V98" s="5">
        <v>448508388327149</v>
      </c>
      <c r="W98" s="5">
        <v>500823555795394</v>
      </c>
      <c r="X98" s="5">
        <v>401871584569625</v>
      </c>
      <c r="Y98" s="5">
        <v>381324242295466</v>
      </c>
      <c r="Z98" s="5">
        <v>344743123672197</v>
      </c>
      <c r="AA98" s="5">
        <v>388492969310279</v>
      </c>
      <c r="AB98" s="5">
        <v>394889288384961</v>
      </c>
      <c r="AC98" s="5">
        <v>505419072848944</v>
      </c>
      <c r="AD98" s="5">
        <v>520145112730157</v>
      </c>
      <c r="AE98" s="5">
        <v>542688757476903</v>
      </c>
      <c r="AF98" s="5">
        <v>563946386215572</v>
      </c>
      <c r="AG98" s="5">
        <v>621945530016237</v>
      </c>
      <c r="AH98" s="5">
        <v>604590741265349</v>
      </c>
      <c r="AI98" s="5">
        <v>550294263406005</v>
      </c>
      <c r="AJ98" s="5">
        <v>506702095130225</v>
      </c>
      <c r="AK98" s="5">
        <v>460800177055069</v>
      </c>
      <c r="AL98" s="5">
        <v>503040331375152</v>
      </c>
      <c r="AM98" s="5">
        <v>502443286611089</v>
      </c>
      <c r="AN98" s="5">
        <v>528614416082021</v>
      </c>
      <c r="AO98" s="5">
        <v>540132875314511</v>
      </c>
    </row>
    <row r="99" spans="1:41" x14ac:dyDescent="0.45">
      <c r="A99" s="1" t="s">
        <v>93</v>
      </c>
      <c r="B99" s="2">
        <v>4004170</v>
      </c>
      <c r="C99" s="3" t="s">
        <v>744</v>
      </c>
      <c r="D99" s="3" t="s">
        <v>745</v>
      </c>
      <c r="E99" s="3" t="s">
        <v>746</v>
      </c>
      <c r="F99" s="5">
        <v>259531285979876</v>
      </c>
      <c r="G99" s="5">
        <v>26058477538044</v>
      </c>
      <c r="H99" s="5">
        <v>275547525528738</v>
      </c>
      <c r="I99" s="5">
        <v>266702218234003</v>
      </c>
      <c r="J99" s="5">
        <v>276663271103329</v>
      </c>
      <c r="K99" s="5">
        <v>229630254415938</v>
      </c>
      <c r="L99" s="5">
        <v>211203869377413</v>
      </c>
      <c r="M99" s="5">
        <v>208687681333458</v>
      </c>
      <c r="N99" s="5">
        <v>210446688246676</v>
      </c>
      <c r="O99" s="5">
        <v>27160901978237</v>
      </c>
      <c r="P99" s="5">
        <v>267525451530821</v>
      </c>
      <c r="Q99" s="5">
        <v>257946759500711</v>
      </c>
      <c r="R99" s="5">
        <v>251414794386807</v>
      </c>
      <c r="S99" s="5">
        <v>275812641748222</v>
      </c>
      <c r="T99" s="5">
        <v>248735356919924</v>
      </c>
      <c r="U99" s="5">
        <v>239623614137996</v>
      </c>
      <c r="V99" s="5">
        <v>242743735879715</v>
      </c>
      <c r="W99" s="5">
        <v>273264474210845</v>
      </c>
      <c r="X99" s="5">
        <v>269048700273717</v>
      </c>
      <c r="Y99" s="5">
        <v>275812467017286</v>
      </c>
      <c r="Z99" s="5">
        <v>277955604398789</v>
      </c>
      <c r="AA99" s="5">
        <v>270382134401164</v>
      </c>
      <c r="AB99" s="5">
        <v>260363330975088</v>
      </c>
      <c r="AC99" s="5">
        <v>255744466760964</v>
      </c>
      <c r="AD99" s="5">
        <v>253973122308253</v>
      </c>
      <c r="AE99" s="5">
        <v>247803368583393</v>
      </c>
      <c r="AF99" s="5">
        <v>259597422641207</v>
      </c>
      <c r="AG99" s="5">
        <v>297435832592</v>
      </c>
      <c r="AH99" s="5">
        <v>2773133514</v>
      </c>
      <c r="AI99" s="5">
        <v>277258991828</v>
      </c>
      <c r="AJ99" s="5">
        <v>269448787800831</v>
      </c>
      <c r="AK99" s="5">
        <v>267763798847803</v>
      </c>
      <c r="AL99" s="5">
        <v>289407433028749</v>
      </c>
      <c r="AM99" s="5">
        <v>285485113851427</v>
      </c>
      <c r="AN99" s="5">
        <v>287904912662072</v>
      </c>
      <c r="AO99" s="5">
        <v>307537981646817</v>
      </c>
    </row>
    <row r="100" spans="1:41" x14ac:dyDescent="0.45">
      <c r="A100" s="1" t="s">
        <v>94</v>
      </c>
      <c r="B100" s="2">
        <v>4225889</v>
      </c>
      <c r="C100" s="3" t="s">
        <v>747</v>
      </c>
      <c r="D100" s="3" t="s">
        <v>748</v>
      </c>
      <c r="E100" s="3" t="s">
        <v>749</v>
      </c>
      <c r="F100" s="5">
        <v>416688143862</v>
      </c>
      <c r="G100" s="5">
        <v>39364279529344</v>
      </c>
      <c r="H100" s="5">
        <v>3632989217394</v>
      </c>
      <c r="I100" s="5">
        <v>44787754028745</v>
      </c>
      <c r="J100" s="5">
        <v>4830603379511</v>
      </c>
      <c r="K100" s="5">
        <v>5026400748096</v>
      </c>
      <c r="L100" s="5">
        <v>644197970429</v>
      </c>
      <c r="M100" s="5">
        <v>59466589211456</v>
      </c>
      <c r="N100" s="5">
        <v>59995866127392</v>
      </c>
      <c r="O100" s="5">
        <v>62961220756404</v>
      </c>
      <c r="P100" s="5">
        <v>70302098666079</v>
      </c>
      <c r="Q100" s="5">
        <v>76552695728865</v>
      </c>
      <c r="R100" s="5">
        <v>7942347627903</v>
      </c>
      <c r="S100" s="5">
        <v>79511957359184</v>
      </c>
      <c r="T100" s="5">
        <v>7004218541463</v>
      </c>
      <c r="U100" s="5">
        <v>70749995103792</v>
      </c>
      <c r="V100" s="5">
        <v>69435073549728</v>
      </c>
      <c r="W100" s="5">
        <v>6873630115968</v>
      </c>
      <c r="X100" s="5">
        <v>803023760072362</v>
      </c>
      <c r="Y100" s="5">
        <v>792632368248336</v>
      </c>
      <c r="Z100" s="5">
        <v>811619837203056</v>
      </c>
      <c r="AA100" s="5">
        <v>737927696832015</v>
      </c>
      <c r="AB100" s="5">
        <v>682068982508775</v>
      </c>
      <c r="AC100" s="5">
        <v>609316271599799</v>
      </c>
      <c r="AD100" s="5">
        <v>567833504165179</v>
      </c>
      <c r="AE100" s="5">
        <v>554174382784965</v>
      </c>
      <c r="AF100" s="5">
        <v>50451307154118</v>
      </c>
      <c r="AG100" s="5">
        <v>477462400166672</v>
      </c>
      <c r="AH100" s="5">
        <v>49005589610915</v>
      </c>
      <c r="AI100" s="5">
        <v>491217553110345</v>
      </c>
      <c r="AJ100" s="5">
        <v>5405743566816</v>
      </c>
      <c r="AK100" s="5">
        <v>537552322042393</v>
      </c>
      <c r="AL100" s="5">
        <v>516887508431029</v>
      </c>
      <c r="AM100" s="5">
        <v>434301094607043</v>
      </c>
      <c r="AN100" s="5">
        <v>387975733745239</v>
      </c>
      <c r="AO100" s="5">
        <v>420202732636574</v>
      </c>
    </row>
    <row r="101" spans="1:41" x14ac:dyDescent="0.45">
      <c r="A101" s="1" t="s">
        <v>95</v>
      </c>
      <c r="B101" s="2">
        <v>103417</v>
      </c>
      <c r="C101" s="3" t="s">
        <v>750</v>
      </c>
      <c r="D101" s="3" t="s">
        <v>751</v>
      </c>
      <c r="E101" s="3" t="s">
        <v>570</v>
      </c>
      <c r="F101" s="5">
        <v>104618649654407</v>
      </c>
      <c r="G101" s="5">
        <v>100522976884218</v>
      </c>
      <c r="H101" s="5">
        <v>944943082308958</v>
      </c>
      <c r="I101" s="5">
        <v>959096046903208</v>
      </c>
      <c r="J101" s="5">
        <v>937549499817715</v>
      </c>
      <c r="K101" s="5">
        <v>927242658035652</v>
      </c>
      <c r="L101" s="5">
        <v>987372187373013</v>
      </c>
      <c r="M101" s="5">
        <v>104831146631665</v>
      </c>
      <c r="N101" s="5">
        <v>101043352481895</v>
      </c>
      <c r="O101" s="5">
        <v>111805130134943</v>
      </c>
      <c r="P101" s="5">
        <v>109862996676622</v>
      </c>
      <c r="Q101" s="5">
        <v>104814360375565</v>
      </c>
      <c r="R101" s="5">
        <v>107578055770025</v>
      </c>
      <c r="S101" s="5">
        <v>110311110173837</v>
      </c>
      <c r="T101" s="5">
        <v>104856769409138</v>
      </c>
      <c r="U101" s="5">
        <v>104445461178797</v>
      </c>
      <c r="V101" s="5">
        <v>1037816615433</v>
      </c>
      <c r="W101" s="5">
        <v>102886019018466</v>
      </c>
      <c r="X101" s="5">
        <v>998987488017377</v>
      </c>
      <c r="Y101" s="5">
        <v>104790311296248</v>
      </c>
      <c r="Z101" s="5">
        <v>944206146475738</v>
      </c>
      <c r="AA101" s="5">
        <v>97342571468365</v>
      </c>
      <c r="AB101" s="5">
        <v>944687292067399</v>
      </c>
      <c r="AC101" s="5">
        <v>915165709836105</v>
      </c>
      <c r="AD101" s="5">
        <v>834185121228556</v>
      </c>
      <c r="AE101" s="5">
        <v>858265366351646</v>
      </c>
      <c r="AF101" s="5">
        <v>828770532984444</v>
      </c>
      <c r="AG101" s="5">
        <v>80786830753763</v>
      </c>
      <c r="AH101" s="5">
        <v>760689957872401</v>
      </c>
      <c r="AI101" s="5">
        <v>761837937475042</v>
      </c>
      <c r="AJ101" s="5">
        <v>702447381271898</v>
      </c>
      <c r="AK101" s="5">
        <v>694288022085618</v>
      </c>
      <c r="AL101" s="5">
        <v>756392559103189</v>
      </c>
      <c r="AM101" s="5">
        <v>73903201788186</v>
      </c>
      <c r="AN101" s="5">
        <v>821971328397854</v>
      </c>
      <c r="AO101" s="5">
        <v>868369104167788</v>
      </c>
    </row>
    <row r="102" spans="1:41" x14ac:dyDescent="0.45">
      <c r="A102" s="1" t="s">
        <v>96</v>
      </c>
      <c r="B102" s="2">
        <v>4438978</v>
      </c>
      <c r="C102" s="3" t="s">
        <v>752</v>
      </c>
      <c r="D102" s="3" t="s">
        <v>753</v>
      </c>
      <c r="E102" s="3" t="s">
        <v>754</v>
      </c>
      <c r="F102" s="5">
        <v>171488998263182</v>
      </c>
      <c r="G102" s="5">
        <v>176356288323009</v>
      </c>
      <c r="H102" s="5">
        <v>182564241378333</v>
      </c>
      <c r="I102" s="5">
        <v>181944145402911</v>
      </c>
      <c r="J102" s="5">
        <v>194016015937984</v>
      </c>
      <c r="K102" s="5">
        <v>201882727495189</v>
      </c>
      <c r="L102" s="5">
        <v>201547620388228</v>
      </c>
      <c r="M102" s="5">
        <v>21337616809633</v>
      </c>
      <c r="N102" s="5">
        <v>215489610897224</v>
      </c>
      <c r="O102" s="5">
        <v>25067592775756</v>
      </c>
      <c r="P102" s="5">
        <v>262878637723559</v>
      </c>
      <c r="Q102" s="5">
        <v>248723437912477</v>
      </c>
      <c r="R102" s="5">
        <v>247789009964061</v>
      </c>
      <c r="S102" s="5">
        <v>255731401303075</v>
      </c>
      <c r="T102" s="5">
        <v>225271651959827</v>
      </c>
      <c r="U102" s="5">
        <v>229861545670939</v>
      </c>
      <c r="V102" s="5">
        <v>225498345717414</v>
      </c>
      <c r="W102" s="5">
        <v>221443021038254</v>
      </c>
      <c r="X102" s="5">
        <v>236611523348721</v>
      </c>
      <c r="Y102" s="5">
        <v>241280388430305</v>
      </c>
      <c r="Z102" s="5">
        <v>2460968124793</v>
      </c>
      <c r="AA102" s="5">
        <v>235539321251849</v>
      </c>
      <c r="AB102" s="5">
        <v>225788667924423</v>
      </c>
      <c r="AC102" s="5">
        <v>226749407320823</v>
      </c>
      <c r="AD102" s="5">
        <v>210775708460442</v>
      </c>
      <c r="AE102" s="5">
        <v>218294330351414</v>
      </c>
      <c r="AF102" s="5">
        <v>211784233106229</v>
      </c>
      <c r="AG102" s="5">
        <v>213007859234078</v>
      </c>
      <c r="AH102" s="5">
        <v>219527897789606</v>
      </c>
      <c r="AI102" s="5">
        <v>213595749149164</v>
      </c>
      <c r="AJ102" s="5">
        <v>224260108876752</v>
      </c>
      <c r="AK102" s="5">
        <v>211888534119394</v>
      </c>
      <c r="AL102" s="5">
        <v>214953058418925</v>
      </c>
      <c r="AM102" s="5">
        <v>198596615168755</v>
      </c>
      <c r="AN102" s="5">
        <v>192598779095358</v>
      </c>
      <c r="AO102" s="5">
        <v>181554624115233</v>
      </c>
    </row>
    <row r="103" spans="1:41" x14ac:dyDescent="0.45">
      <c r="A103" s="1" t="s">
        <v>97</v>
      </c>
      <c r="B103" s="2">
        <v>4067589</v>
      </c>
      <c r="C103" s="3" t="s">
        <v>755</v>
      </c>
      <c r="D103" s="3" t="s">
        <v>756</v>
      </c>
      <c r="E103" s="3" t="s">
        <v>618</v>
      </c>
      <c r="F103" s="5">
        <v>280564432279691</v>
      </c>
      <c r="G103" s="5">
        <v>248414552612392</v>
      </c>
      <c r="H103" s="5">
        <v>232263560870611</v>
      </c>
      <c r="I103" s="5">
        <v>175127315130782</v>
      </c>
      <c r="J103" s="5">
        <v>113567288137708</v>
      </c>
      <c r="K103" s="5">
        <v>114734663282147</v>
      </c>
      <c r="L103" s="5">
        <v>979003255770891</v>
      </c>
      <c r="M103" s="5">
        <v>100293551197595</v>
      </c>
      <c r="N103" s="5">
        <v>841428827318102</v>
      </c>
      <c r="O103" s="5">
        <v>794734143326914</v>
      </c>
      <c r="P103" s="5">
        <v>109046715011046</v>
      </c>
      <c r="Q103" s="5">
        <v>119146011315594</v>
      </c>
      <c r="R103" s="5">
        <v>116418223267825</v>
      </c>
      <c r="S103" s="5">
        <v>95438383431552</v>
      </c>
      <c r="T103" s="5">
        <v>8447938325712</v>
      </c>
      <c r="U103" s="5">
        <v>79755002009568</v>
      </c>
      <c r="V103" s="5">
        <v>74901016433882</v>
      </c>
      <c r="W103" s="5">
        <v>700299839923992</v>
      </c>
      <c r="X103" s="5">
        <v>64618964141987</v>
      </c>
      <c r="Y103" s="5">
        <v>642289831426344</v>
      </c>
      <c r="Z103" s="5">
        <v>625179558832483</v>
      </c>
      <c r="AA103" s="5">
        <v>662002836794052</v>
      </c>
      <c r="AB103" s="5">
        <v>764372820222997</v>
      </c>
      <c r="AC103" s="5">
        <v>70836903263217</v>
      </c>
      <c r="AD103" s="5">
        <v>589757054483434</v>
      </c>
      <c r="AE103" s="5">
        <v>621527264548208</v>
      </c>
      <c r="AF103" s="5">
        <v>59051636961165</v>
      </c>
      <c r="AG103" s="5">
        <v>660134565800904</v>
      </c>
      <c r="AH103" s="5">
        <v>685566948416028</v>
      </c>
      <c r="AI103" s="5">
        <v>572464251885396</v>
      </c>
      <c r="AJ103" s="5">
        <v>581861136326988</v>
      </c>
      <c r="AK103" s="5">
        <v>654157196609506</v>
      </c>
      <c r="AL103" s="5">
        <v>622247477273219</v>
      </c>
      <c r="AM103" s="5">
        <v>721029488253734</v>
      </c>
      <c r="AN103" s="5">
        <v>677522091754512</v>
      </c>
      <c r="AO103" s="5">
        <v>710830925086333</v>
      </c>
    </row>
    <row r="104" spans="1:41" x14ac:dyDescent="0.45">
      <c r="A104" s="1" t="s">
        <v>98</v>
      </c>
      <c r="B104" s="2">
        <v>103262</v>
      </c>
      <c r="C104" s="3" t="s">
        <v>757</v>
      </c>
      <c r="D104" s="3" t="s">
        <v>758</v>
      </c>
      <c r="E104" s="3" t="s">
        <v>570</v>
      </c>
      <c r="F104" s="5">
        <v>217021196157094</v>
      </c>
      <c r="G104" s="5">
        <v>22549295772781</v>
      </c>
      <c r="H104" s="5">
        <v>209110879686889</v>
      </c>
      <c r="I104" s="5">
        <v>210715086288019</v>
      </c>
      <c r="J104" s="5">
        <v>205342008065741</v>
      </c>
      <c r="K104" s="5">
        <v>201652465892601</v>
      </c>
      <c r="L104" s="5">
        <v>198201386614218</v>
      </c>
      <c r="M104" s="5">
        <v>207755110285743</v>
      </c>
      <c r="N104" s="5">
        <v>191784051180953</v>
      </c>
      <c r="O104" s="5">
        <v>213977870936542</v>
      </c>
      <c r="P104" s="5">
        <v>22235822659255</v>
      </c>
      <c r="Q104" s="5">
        <v>206110536078671</v>
      </c>
      <c r="R104" s="5">
        <v>216965095840327</v>
      </c>
      <c r="S104" s="5">
        <v>236796861609711</v>
      </c>
      <c r="T104" s="5">
        <v>202747612053019</v>
      </c>
      <c r="U104" s="5">
        <v>190683600812203</v>
      </c>
      <c r="V104" s="5">
        <v>19356409279954</v>
      </c>
      <c r="W104" s="5">
        <v>18857074640675</v>
      </c>
      <c r="X104" s="5">
        <v>172706919863155</v>
      </c>
      <c r="Y104" s="5">
        <v>169883051469944</v>
      </c>
      <c r="Z104" s="5">
        <v>169385692501454</v>
      </c>
      <c r="AA104" s="5">
        <v>180124353776686</v>
      </c>
      <c r="AB104" s="5">
        <v>165221121293052</v>
      </c>
      <c r="AC104" s="5">
        <v>160241004840592</v>
      </c>
      <c r="AD104" s="5">
        <v>146866037018226</v>
      </c>
      <c r="AE104" s="5">
        <v>147882624876257</v>
      </c>
      <c r="AF104" s="5">
        <v>148023063561966</v>
      </c>
      <c r="AG104" s="5">
        <v>151591429230139</v>
      </c>
      <c r="AH104" s="5">
        <v>152994959344976</v>
      </c>
      <c r="AI104" s="5">
        <v>153119992528829</v>
      </c>
      <c r="AJ104" s="5">
        <v>140115151010362</v>
      </c>
      <c r="AK104" s="5">
        <v>142316926127046</v>
      </c>
      <c r="AL104" s="5">
        <v>151589290943769</v>
      </c>
      <c r="AM104" s="5">
        <v>162140779861782</v>
      </c>
      <c r="AN104" s="5">
        <v>178781568728664</v>
      </c>
      <c r="AO104" s="5">
        <v>163750218772991</v>
      </c>
    </row>
    <row r="105" spans="1:41" x14ac:dyDescent="0.45">
      <c r="A105" s="1" t="s">
        <v>99</v>
      </c>
      <c r="B105" s="2">
        <v>4008247</v>
      </c>
      <c r="C105" s="3" t="s">
        <v>759</v>
      </c>
      <c r="D105" s="3" t="s">
        <v>760</v>
      </c>
      <c r="E105" s="3" t="s">
        <v>761</v>
      </c>
      <c r="F105" s="5">
        <v>64048461613245</v>
      </c>
      <c r="G105" s="5">
        <v>644689184944013</v>
      </c>
      <c r="H105" s="5">
        <v>63854641968811</v>
      </c>
      <c r="I105" s="5">
        <v>707454930677121</v>
      </c>
      <c r="J105" s="5">
        <v>723565592517221</v>
      </c>
      <c r="K105" s="5">
        <v>784006490624425</v>
      </c>
      <c r="L105" s="5">
        <v>766281883779042</v>
      </c>
      <c r="M105" s="5">
        <v>806017125364153</v>
      </c>
      <c r="N105" s="5">
        <v>753364524825582</v>
      </c>
      <c r="O105" s="5">
        <v>76760226070164</v>
      </c>
      <c r="P105" s="5">
        <v>80478060156879</v>
      </c>
      <c r="Q105" s="5">
        <v>77871225677117</v>
      </c>
      <c r="R105" s="5">
        <v>7120491087528</v>
      </c>
      <c r="S105" s="5">
        <v>863074246714573</v>
      </c>
      <c r="T105" s="5">
        <v>764456632167693</v>
      </c>
      <c r="U105" s="5">
        <v>747408100709866</v>
      </c>
      <c r="V105" s="5">
        <v>733506109891276</v>
      </c>
      <c r="W105" s="5">
        <v>711308294448814</v>
      </c>
      <c r="X105" s="5">
        <v>663115760732658</v>
      </c>
      <c r="Y105" s="5">
        <v>634303727923091</v>
      </c>
      <c r="Z105" s="5">
        <v>624688493121964</v>
      </c>
      <c r="AA105" s="5">
        <v>645237542727697</v>
      </c>
      <c r="AB105" s="5">
        <v>589502377334743</v>
      </c>
      <c r="AC105" s="5">
        <v>564874245996925</v>
      </c>
      <c r="AD105" s="5">
        <v>552573990697747</v>
      </c>
      <c r="AE105" s="5">
        <v>516680400693912</v>
      </c>
      <c r="AF105" s="5">
        <v>488888643930314</v>
      </c>
      <c r="AG105" s="5">
        <v>463217758036066</v>
      </c>
      <c r="AH105" s="5">
        <v>472940308647734</v>
      </c>
      <c r="AI105" s="5">
        <v>463484809889541</v>
      </c>
      <c r="AJ105" s="5">
        <v>463074023828051</v>
      </c>
      <c r="AK105" s="5">
        <v>450548106235674</v>
      </c>
      <c r="AL105" s="5">
        <v>420001191385474</v>
      </c>
      <c r="AM105" s="5">
        <v>432972313318578</v>
      </c>
      <c r="AN105" s="5">
        <v>419731946043565</v>
      </c>
      <c r="AO105" s="5">
        <v>415171907932892</v>
      </c>
    </row>
    <row r="106" spans="1:41" x14ac:dyDescent="0.45">
      <c r="A106" s="1" t="s">
        <v>100</v>
      </c>
      <c r="B106" s="2">
        <v>4047857</v>
      </c>
      <c r="C106" s="3" t="s">
        <v>762</v>
      </c>
      <c r="D106" s="3" t="s">
        <v>763</v>
      </c>
      <c r="E106" s="3" t="s">
        <v>618</v>
      </c>
      <c r="F106" s="5">
        <v>259217291843826</v>
      </c>
      <c r="G106" s="5">
        <v>262167198800035</v>
      </c>
      <c r="H106" s="5">
        <v>249788247086704</v>
      </c>
      <c r="I106" s="5">
        <v>230528173987327</v>
      </c>
      <c r="J106" s="5">
        <v>233897454861625</v>
      </c>
      <c r="K106" s="5">
        <v>235681414241724</v>
      </c>
      <c r="L106" s="5">
        <v>233945089679733</v>
      </c>
      <c r="M106" s="5">
        <v>220006220805983</v>
      </c>
      <c r="N106" s="5">
        <v>202428336998376</v>
      </c>
      <c r="O106" s="5">
        <v>227136994115512</v>
      </c>
      <c r="P106" s="5">
        <v>245126947863496</v>
      </c>
      <c r="Q106" s="5">
        <v>232207790349928</v>
      </c>
      <c r="R106" s="5">
        <v>227739215237373</v>
      </c>
      <c r="S106" s="5">
        <v>223509358689406</v>
      </c>
      <c r="T106" s="5">
        <v>201305313638657</v>
      </c>
      <c r="U106" s="5">
        <v>190426099683507</v>
      </c>
      <c r="V106" s="5">
        <v>18408949572613</v>
      </c>
      <c r="W106" s="5">
        <v>180361174129013</v>
      </c>
      <c r="X106" s="5">
        <v>178642010374242</v>
      </c>
      <c r="Y106" s="5">
        <v>172746109880156</v>
      </c>
      <c r="Z106" s="5">
        <v>177903852594008</v>
      </c>
      <c r="AA106" s="5">
        <v>18709948356732</v>
      </c>
      <c r="AB106" s="5">
        <v>181189326548036</v>
      </c>
      <c r="AC106" s="5">
        <v>187939431523962</v>
      </c>
      <c r="AD106" s="5">
        <v>18572295995478</v>
      </c>
      <c r="AE106" s="5">
        <v>180254244993554</v>
      </c>
      <c r="AF106" s="5">
        <v>199857967152482</v>
      </c>
      <c r="AG106" s="5">
        <v>205956153090423</v>
      </c>
      <c r="AH106" s="5">
        <v>215475627544489</v>
      </c>
      <c r="AI106" s="5">
        <v>192428712342838</v>
      </c>
      <c r="AJ106" s="5">
        <v>193132654188765</v>
      </c>
      <c r="AK106" s="5">
        <v>189919556409769</v>
      </c>
      <c r="AL106" s="5">
        <v>175355405230967</v>
      </c>
      <c r="AM106" s="5">
        <v>197066074450039</v>
      </c>
      <c r="AN106" s="5">
        <v>18681721863861</v>
      </c>
      <c r="AO106" s="5">
        <v>184086024953367</v>
      </c>
    </row>
    <row r="107" spans="1:41" x14ac:dyDescent="0.45">
      <c r="A107" s="1" t="s">
        <v>101</v>
      </c>
      <c r="B107" s="2">
        <v>4041896</v>
      </c>
      <c r="C107" s="3" t="s">
        <v>764</v>
      </c>
      <c r="D107" s="3" t="s">
        <v>765</v>
      </c>
      <c r="E107" s="3" t="s">
        <v>653</v>
      </c>
      <c r="F107" s="5">
        <v>177825989975413</v>
      </c>
      <c r="G107" s="5">
        <v>159861340840038</v>
      </c>
      <c r="H107" s="5">
        <v>161568999684006</v>
      </c>
      <c r="I107" s="5">
        <v>159253223764238</v>
      </c>
      <c r="J107" s="5">
        <v>151980283507429</v>
      </c>
      <c r="K107" s="5">
        <v>150792622705841</v>
      </c>
      <c r="L107" s="5">
        <v>135372739451622</v>
      </c>
      <c r="M107" s="5">
        <v>123979257695299</v>
      </c>
      <c r="N107" s="5">
        <v>113577831290071</v>
      </c>
      <c r="O107" s="5">
        <v>123772518916743</v>
      </c>
      <c r="P107" s="5">
        <v>144803305052465</v>
      </c>
      <c r="Q107" s="5">
        <v>1470591526113</v>
      </c>
      <c r="R107" s="5">
        <v>128586528467794</v>
      </c>
      <c r="S107" s="5">
        <v>127037365098685</v>
      </c>
      <c r="T107" s="5">
        <v>112751785240778</v>
      </c>
      <c r="U107" s="5">
        <v>107079127840811</v>
      </c>
      <c r="V107" s="5">
        <v>108043831205465</v>
      </c>
      <c r="W107" s="5">
        <v>114370931136</v>
      </c>
      <c r="X107" s="5">
        <v>112972341780987</v>
      </c>
      <c r="Y107" s="5">
        <v>109593947683948</v>
      </c>
      <c r="Z107" s="5">
        <v>109852309843945</v>
      </c>
      <c r="AA107" s="5">
        <v>11213489172573</v>
      </c>
      <c r="AB107" s="5">
        <v>981177182537986</v>
      </c>
      <c r="AC107" s="5">
        <v>985270819559</v>
      </c>
      <c r="AD107" s="5">
        <v>890677933773455</v>
      </c>
      <c r="AE107" s="5">
        <v>80898047675351</v>
      </c>
      <c r="AF107" s="5">
        <v>719775305696759</v>
      </c>
      <c r="AG107" s="5">
        <v>74832074464106</v>
      </c>
      <c r="AH107" s="5">
        <v>733102996303399</v>
      </c>
      <c r="AI107" s="5">
        <v>841905615211585</v>
      </c>
      <c r="AJ107" s="5">
        <v>820996643911397</v>
      </c>
      <c r="AK107" s="5">
        <v>809565628604827</v>
      </c>
      <c r="AL107" s="5">
        <v>830169625616047</v>
      </c>
      <c r="AM107" s="5">
        <v>840046551491478</v>
      </c>
      <c r="AN107" s="5">
        <v>928122299447513</v>
      </c>
      <c r="AO107" s="5">
        <v>931218597530243</v>
      </c>
    </row>
    <row r="108" spans="1:41" x14ac:dyDescent="0.45">
      <c r="A108" s="1" t="s">
        <v>102</v>
      </c>
      <c r="B108" s="2">
        <v>1019881</v>
      </c>
      <c r="C108" s="3" t="s">
        <v>766</v>
      </c>
      <c r="D108" s="3" t="s">
        <v>767</v>
      </c>
      <c r="E108" s="3" t="s">
        <v>653</v>
      </c>
      <c r="F108" s="5">
        <v>213659918441712</v>
      </c>
      <c r="G108" s="5">
        <v>200380390095054</v>
      </c>
      <c r="H108" s="5">
        <v>190289344961792</v>
      </c>
      <c r="I108" s="5">
        <v>19543675595141</v>
      </c>
      <c r="J108" s="5">
        <v>192787859063921</v>
      </c>
      <c r="K108" s="5">
        <v>180537403211763</v>
      </c>
      <c r="L108" s="5">
        <v>165240370229707</v>
      </c>
      <c r="M108" s="5">
        <v>154207599464287</v>
      </c>
      <c r="N108" s="5">
        <v>142307117485134</v>
      </c>
      <c r="O108" s="5">
        <v>165697541499917</v>
      </c>
      <c r="P108" s="5">
        <v>192294577711376</v>
      </c>
      <c r="Q108" s="5">
        <v>20162391650935</v>
      </c>
      <c r="R108" s="5">
        <v>186274349375289</v>
      </c>
      <c r="S108" s="5">
        <v>2010788376364</v>
      </c>
      <c r="T108" s="5">
        <v>172710718814135</v>
      </c>
      <c r="U108" s="5">
        <v>166795782852098</v>
      </c>
      <c r="V108" s="5">
        <v>176299570263488</v>
      </c>
      <c r="W108" s="5">
        <v>178589632151792</v>
      </c>
      <c r="X108" s="5">
        <v>153008651058028</v>
      </c>
      <c r="Y108" s="5">
        <v>148067634694936</v>
      </c>
      <c r="Z108" s="5">
        <v>146255221377095</v>
      </c>
      <c r="AA108" s="5">
        <v>15400972264164</v>
      </c>
      <c r="AB108" s="5">
        <v>133217855572007</v>
      </c>
      <c r="AC108" s="5">
        <v>140576489462974</v>
      </c>
      <c r="AD108" s="5">
        <v>13978184170636</v>
      </c>
      <c r="AE108" s="5">
        <v>116573751943215</v>
      </c>
      <c r="AF108" s="5">
        <v>103391653057085</v>
      </c>
      <c r="AG108" s="5">
        <v>119587967296224</v>
      </c>
      <c r="AH108" s="5">
        <v>122493616965426</v>
      </c>
      <c r="AI108" s="5">
        <v>138952573917655</v>
      </c>
      <c r="AJ108" s="5">
        <v>11562131585417</v>
      </c>
      <c r="AK108" s="5">
        <v>117073735649155</v>
      </c>
      <c r="AL108" s="5">
        <v>135774653541079</v>
      </c>
      <c r="AM108" s="5">
        <v>135376619599472</v>
      </c>
      <c r="AN108" s="5">
        <v>190437411949632</v>
      </c>
      <c r="AO108" s="5">
        <v>196345380019544</v>
      </c>
    </row>
    <row r="109" spans="1:41" x14ac:dyDescent="0.45">
      <c r="A109" s="1" t="s">
        <v>103</v>
      </c>
      <c r="B109" s="2">
        <v>4054016</v>
      </c>
      <c r="C109" s="3" t="s">
        <v>768</v>
      </c>
      <c r="D109" s="3" t="s">
        <v>769</v>
      </c>
      <c r="E109" s="3" t="s">
        <v>722</v>
      </c>
      <c r="F109" s="5">
        <v>838691042964193</v>
      </c>
      <c r="G109" s="5">
        <v>875287839152126</v>
      </c>
      <c r="H109" s="5">
        <v>830027972093366</v>
      </c>
      <c r="I109" s="5">
        <v>829894062869887</v>
      </c>
      <c r="J109" s="5">
        <v>821088036227118</v>
      </c>
      <c r="K109" s="5">
        <v>876705426519077</v>
      </c>
      <c r="L109" s="5">
        <v>845728661635254</v>
      </c>
      <c r="M109" s="5">
        <v>917819501567465</v>
      </c>
      <c r="N109" s="5">
        <v>880063265274944</v>
      </c>
      <c r="O109" s="5">
        <v>884546056365347</v>
      </c>
      <c r="P109" s="5">
        <v>878905527261633</v>
      </c>
      <c r="Q109" s="5">
        <v>820025420916383</v>
      </c>
      <c r="R109" s="5">
        <v>808331901729364</v>
      </c>
      <c r="S109" s="5">
        <v>812892079976564</v>
      </c>
      <c r="T109" s="5">
        <v>747404485087637</v>
      </c>
      <c r="U109" s="5">
        <v>712396704553066</v>
      </c>
      <c r="V109" s="5">
        <v>702370688405795</v>
      </c>
      <c r="W109" s="5">
        <v>644473950271628</v>
      </c>
      <c r="X109" s="5">
        <v>660672355142954</v>
      </c>
      <c r="Y109" s="5">
        <v>673926642300453</v>
      </c>
      <c r="Z109" s="5">
        <v>705854772288254</v>
      </c>
      <c r="AA109" s="5">
        <v>717592251104921</v>
      </c>
      <c r="AB109" s="5">
        <v>733834625556919</v>
      </c>
      <c r="AC109" s="5">
        <v>682988494675585</v>
      </c>
      <c r="AD109" s="5">
        <v>685893969185443</v>
      </c>
      <c r="AE109" s="5">
        <v>720757359348692</v>
      </c>
      <c r="AF109" s="5">
        <v>726837172832125</v>
      </c>
      <c r="AG109" s="5">
        <v>680530115343829</v>
      </c>
      <c r="AH109" s="5">
        <v>672267047120374</v>
      </c>
      <c r="AI109" s="5">
        <v>649420955561745</v>
      </c>
      <c r="AJ109" s="5">
        <v>610533088747229</v>
      </c>
      <c r="AK109" s="5">
        <v>603322494435196</v>
      </c>
      <c r="AL109" s="5">
        <v>605541502149226</v>
      </c>
      <c r="AM109" s="5">
        <v>63413678344843</v>
      </c>
      <c r="AN109" s="5">
        <v>628104469498363</v>
      </c>
      <c r="AO109" s="5">
        <v>585100883156869</v>
      </c>
    </row>
    <row r="110" spans="1:41" x14ac:dyDescent="0.45">
      <c r="A110" s="1" t="s">
        <v>104</v>
      </c>
      <c r="B110" s="2">
        <v>4004172</v>
      </c>
      <c r="C110" s="3" t="s">
        <v>770</v>
      </c>
      <c r="D110" s="3" t="s">
        <v>771</v>
      </c>
      <c r="E110" s="3" t="s">
        <v>562</v>
      </c>
      <c r="F110" s="5">
        <v>181250968294655</v>
      </c>
      <c r="G110" s="5">
        <v>197988783609478</v>
      </c>
      <c r="H110" s="5">
        <v>194058171265553</v>
      </c>
      <c r="I110" s="5">
        <v>186903559184386</v>
      </c>
      <c r="J110" s="5">
        <v>18314897953029</v>
      </c>
      <c r="K110" s="5">
        <v>193119146284576</v>
      </c>
      <c r="L110" s="5">
        <v>176458840351404</v>
      </c>
      <c r="M110" s="5">
        <v>185138750367828</v>
      </c>
      <c r="N110" s="5">
        <v>194176508102869</v>
      </c>
      <c r="O110" s="5">
        <v>207860090749212</v>
      </c>
      <c r="P110" s="5">
        <v>209778800168005</v>
      </c>
      <c r="Q110" s="5">
        <v>18972420628689</v>
      </c>
      <c r="R110" s="5">
        <v>192349434685483</v>
      </c>
      <c r="S110" s="5">
        <v>197410560477264</v>
      </c>
      <c r="T110" s="5">
        <v>191553397108907</v>
      </c>
      <c r="U110" s="5">
        <v>189175967006458</v>
      </c>
      <c r="V110" s="5">
        <v>18327715993029</v>
      </c>
      <c r="W110" s="5">
        <v>178864848461376</v>
      </c>
      <c r="X110" s="5">
        <v>165919899680164</v>
      </c>
      <c r="Y110" s="5">
        <v>173291428530333</v>
      </c>
      <c r="Z110" s="5">
        <v>16927394285818</v>
      </c>
      <c r="AA110" s="5">
        <v>166816252828392</v>
      </c>
      <c r="AB110" s="5">
        <v>156270024164929</v>
      </c>
      <c r="AC110" s="5">
        <v>153713802998749</v>
      </c>
      <c r="AD110" s="5">
        <v>153280700406987</v>
      </c>
      <c r="AE110" s="5">
        <v>151843225076913</v>
      </c>
      <c r="AF110" s="5">
        <v>150062201064333</v>
      </c>
      <c r="AG110" s="5">
        <v>146383566339644</v>
      </c>
      <c r="AH110" s="5">
        <v>15113536207105</v>
      </c>
      <c r="AI110" s="5">
        <v>161660096072929</v>
      </c>
      <c r="AJ110" s="5">
        <v>15695474366875</v>
      </c>
      <c r="AK110" s="5">
        <v>158668614222333</v>
      </c>
      <c r="AL110" s="5">
        <v>164534262213393</v>
      </c>
      <c r="AM110" s="5">
        <v>16476610103914</v>
      </c>
      <c r="AN110" s="5">
        <v>161983220710163</v>
      </c>
      <c r="AO110" s="5">
        <v>168865575310609</v>
      </c>
    </row>
    <row r="111" spans="1:41" x14ac:dyDescent="0.45">
      <c r="A111" s="1" t="s">
        <v>105</v>
      </c>
      <c r="B111" s="2">
        <v>4222286</v>
      </c>
      <c r="C111" s="3" t="s">
        <v>772</v>
      </c>
      <c r="D111" s="3" t="s">
        <v>773</v>
      </c>
      <c r="E111" s="3" t="s">
        <v>512</v>
      </c>
      <c r="F111" s="5">
        <v>341188100874903</v>
      </c>
      <c r="G111" s="5">
        <v>323455688762742</v>
      </c>
      <c r="H111" s="5">
        <v>304969633835921</v>
      </c>
      <c r="I111" s="5">
        <v>279185486160391</v>
      </c>
      <c r="J111" s="5">
        <v>301665198526089</v>
      </c>
      <c r="K111" s="5">
        <v>306383430502787</v>
      </c>
      <c r="L111" s="5">
        <v>327523185590158</v>
      </c>
      <c r="M111" s="5">
        <v>35184465613824</v>
      </c>
      <c r="N111" s="5">
        <v>31964450487523</v>
      </c>
      <c r="O111" s="5">
        <v>350077979267892</v>
      </c>
      <c r="P111" s="5">
        <v>39612996292215</v>
      </c>
      <c r="Q111" s="5">
        <v>394076565223051</v>
      </c>
      <c r="R111" s="5">
        <v>368286905952446</v>
      </c>
      <c r="S111" s="5">
        <v>378256503847177</v>
      </c>
      <c r="T111" s="5">
        <v>340618325606814</v>
      </c>
      <c r="U111" s="5">
        <v>342993277281139</v>
      </c>
      <c r="V111" s="5">
        <v>348506327294214</v>
      </c>
      <c r="W111" s="5">
        <v>347682815451418</v>
      </c>
      <c r="X111" s="5">
        <v>315544278382992</v>
      </c>
      <c r="Y111" s="5">
        <v>303275970894922</v>
      </c>
      <c r="Z111" s="5">
        <v>30579417111678</v>
      </c>
      <c r="AA111" s="5">
        <v>337795188099042</v>
      </c>
      <c r="AB111" s="5">
        <v>363929505137289</v>
      </c>
      <c r="AC111" s="5">
        <v>356411578941492</v>
      </c>
      <c r="AD111" s="5">
        <v>342625175805591</v>
      </c>
      <c r="AE111" s="5">
        <v>323568646020204</v>
      </c>
      <c r="AF111" s="5">
        <v>308180575502302</v>
      </c>
      <c r="AG111" s="5">
        <v>323230288791268</v>
      </c>
      <c r="AH111" s="5">
        <v>333450649827926</v>
      </c>
      <c r="AI111" s="5">
        <v>304058274272176</v>
      </c>
      <c r="AJ111" s="5">
        <v>303453655481549</v>
      </c>
      <c r="AK111" s="5">
        <v>297556193993303</v>
      </c>
      <c r="AL111" s="5">
        <v>274555612597051</v>
      </c>
      <c r="AM111" s="5">
        <v>285612279171907</v>
      </c>
      <c r="AN111" s="5">
        <v>300470888536703</v>
      </c>
      <c r="AO111" s="5">
        <v>315839281180302</v>
      </c>
    </row>
    <row r="112" spans="1:41" x14ac:dyDescent="0.45">
      <c r="A112" s="1" t="s">
        <v>106</v>
      </c>
      <c r="B112" s="2">
        <v>4964205</v>
      </c>
      <c r="C112" s="3" t="s">
        <v>774</v>
      </c>
      <c r="D112" s="3" t="s">
        <v>775</v>
      </c>
      <c r="E112" s="3" t="s">
        <v>587</v>
      </c>
      <c r="F112" s="5">
        <v>268358644941557</v>
      </c>
      <c r="G112" s="5">
        <v>222620385680025</v>
      </c>
      <c r="H112" s="5">
        <v>179548621010892</v>
      </c>
      <c r="I112" s="5">
        <v>143044625514043</v>
      </c>
      <c r="J112" s="5">
        <v>120504320819036</v>
      </c>
      <c r="K112" s="5">
        <v>146213531978551</v>
      </c>
      <c r="L112" s="5">
        <v>118076286565745</v>
      </c>
      <c r="M112" s="5">
        <v>103605393661713</v>
      </c>
      <c r="N112" s="5">
        <v>87853529270183</v>
      </c>
      <c r="O112" s="5">
        <v>931082232453962</v>
      </c>
      <c r="P112" s="5">
        <v>111987304880332</v>
      </c>
      <c r="Q112" s="5">
        <v>134651126237683</v>
      </c>
      <c r="R112" s="5">
        <v>141517090364533</v>
      </c>
      <c r="S112" s="5">
        <v>146825066975023</v>
      </c>
      <c r="T112" s="5">
        <v>131458646537642</v>
      </c>
      <c r="U112" s="5">
        <v>122206017207318</v>
      </c>
      <c r="V112" s="5">
        <v>108037825462191</v>
      </c>
      <c r="W112" s="5">
        <v>981609864851616</v>
      </c>
      <c r="X112" s="5">
        <v>103104684243479</v>
      </c>
      <c r="Y112" s="5">
        <v>802174016298134</v>
      </c>
      <c r="Z112" s="5">
        <v>775614071451946</v>
      </c>
      <c r="AA112" s="5">
        <v>852006855817857</v>
      </c>
      <c r="AB112" s="5">
        <v>835352201960549</v>
      </c>
      <c r="AC112" s="5">
        <v>663759460678423</v>
      </c>
      <c r="AD112" s="5">
        <v>596561492749748</v>
      </c>
      <c r="AE112" s="5">
        <v>510991551639332</v>
      </c>
      <c r="AF112" s="5">
        <v>42420011982876</v>
      </c>
      <c r="AG112" s="5">
        <v>466926467273165</v>
      </c>
      <c r="AH112" s="5">
        <v>521801423933408</v>
      </c>
      <c r="AI112" s="5">
        <v>642802487883546</v>
      </c>
      <c r="AJ112" s="5">
        <v>650861892285272</v>
      </c>
      <c r="AK112" s="5">
        <v>483356116451947</v>
      </c>
      <c r="AL112" s="5">
        <v>429870625188989</v>
      </c>
      <c r="AM112" s="5">
        <v>487047895966195</v>
      </c>
      <c r="AN112" s="5">
        <v>564583891393206</v>
      </c>
      <c r="AO112" s="5">
        <v>554182868120112</v>
      </c>
    </row>
    <row r="113" spans="1:41" x14ac:dyDescent="0.45">
      <c r="A113" s="1" t="s">
        <v>107</v>
      </c>
      <c r="B113" s="2">
        <v>12805289</v>
      </c>
      <c r="C113" s="3" t="s">
        <v>776</v>
      </c>
      <c r="D113" s="3" t="s">
        <v>777</v>
      </c>
      <c r="E113" s="3" t="s">
        <v>778</v>
      </c>
      <c r="F113" s="5">
        <v>519369835392769</v>
      </c>
      <c r="G113" s="5">
        <v>634450347928764</v>
      </c>
      <c r="H113" s="5">
        <v>803692963767896</v>
      </c>
      <c r="I113" s="5">
        <v>739063921498341</v>
      </c>
      <c r="J113" s="5">
        <v>668941693198936</v>
      </c>
      <c r="K113" s="5">
        <v>848506896482293</v>
      </c>
      <c r="L113" s="5">
        <v>760147187217545</v>
      </c>
      <c r="M113" s="5">
        <v>553591575747666</v>
      </c>
      <c r="N113" s="5">
        <v>455339728133463</v>
      </c>
      <c r="O113" s="5">
        <v>404549811884245</v>
      </c>
      <c r="P113" s="5">
        <v>526120466873004</v>
      </c>
      <c r="Q113" s="5">
        <v>701703734253967</v>
      </c>
      <c r="R113" s="5">
        <v>600422902855057</v>
      </c>
      <c r="S113" s="5">
        <v>702829727930935</v>
      </c>
      <c r="T113" s="5">
        <v>413301668720377</v>
      </c>
      <c r="U113" s="5">
        <v>396936250196522</v>
      </c>
      <c r="V113" s="5">
        <v>411915863543834</v>
      </c>
      <c r="W113" s="5">
        <v>509085631849502</v>
      </c>
      <c r="X113" s="5">
        <v>509327809483427</v>
      </c>
      <c r="Y113" s="5">
        <v>511571261024789</v>
      </c>
      <c r="Z113" s="5">
        <v>468101595918498</v>
      </c>
      <c r="AA113" s="5">
        <v>594659804118168</v>
      </c>
      <c r="AB113" s="5">
        <v>456236512797373</v>
      </c>
      <c r="AC113" s="5">
        <v>282697184425289</v>
      </c>
      <c r="AD113" s="5">
        <v>376441926622086</v>
      </c>
      <c r="AE113" s="5">
        <v>273591087251882</v>
      </c>
      <c r="AF113" s="5">
        <v>173124617286355</v>
      </c>
      <c r="AG113" s="5">
        <v>168242353790665</v>
      </c>
      <c r="AH113" s="5">
        <v>174066491586528</v>
      </c>
      <c r="AI113" s="5">
        <v>20988311750427</v>
      </c>
      <c r="AJ113" s="5">
        <v>153731506966074</v>
      </c>
      <c r="AK113" s="5">
        <v>136895721069424</v>
      </c>
      <c r="AL113" s="5">
        <v>114314168481393</v>
      </c>
      <c r="AM113" s="5">
        <v>14395682186335</v>
      </c>
      <c r="AN113" s="5">
        <v>14136068651197</v>
      </c>
      <c r="AO113" s="5">
        <v>122204045117698</v>
      </c>
    </row>
    <row r="114" spans="1:41" x14ac:dyDescent="0.45">
      <c r="A114" s="1" t="s">
        <v>108</v>
      </c>
      <c r="B114" s="2">
        <v>4004173</v>
      </c>
      <c r="C114" s="3" t="s">
        <v>779</v>
      </c>
      <c r="D114" s="3" t="s">
        <v>780</v>
      </c>
      <c r="E114" s="3" t="s">
        <v>754</v>
      </c>
      <c r="F114" s="5">
        <v>542492458872326</v>
      </c>
      <c r="G114" s="5">
        <v>558831411367965</v>
      </c>
      <c r="H114" s="5">
        <v>538470323782137</v>
      </c>
      <c r="I114" s="5">
        <v>550663972539225</v>
      </c>
      <c r="J114" s="5">
        <v>58087996236686</v>
      </c>
      <c r="K114" s="5">
        <v>594051480509971</v>
      </c>
      <c r="L114" s="5">
        <v>627276112003593</v>
      </c>
      <c r="M114" s="5">
        <v>663799088543866</v>
      </c>
      <c r="N114" s="5">
        <v>658517126799594</v>
      </c>
      <c r="O114" s="5">
        <v>703139077860203</v>
      </c>
      <c r="P114" s="5">
        <v>711096524374958</v>
      </c>
      <c r="Q114" s="5">
        <v>68150209157965</v>
      </c>
      <c r="R114" s="5">
        <v>717417068068303</v>
      </c>
      <c r="S114" s="5">
        <v>748266952448597</v>
      </c>
      <c r="T114" s="5">
        <v>705136911348129</v>
      </c>
      <c r="U114" s="5">
        <v>760512406940287</v>
      </c>
      <c r="V114" s="5">
        <v>786745839501142</v>
      </c>
      <c r="W114" s="5">
        <v>748873114951962</v>
      </c>
      <c r="X114" s="5">
        <v>743052448021992</v>
      </c>
      <c r="Y114" s="5">
        <v>703269127133554</v>
      </c>
      <c r="Z114" s="5">
        <v>705280586203926</v>
      </c>
      <c r="AA114" s="5">
        <v>685275889830637</v>
      </c>
      <c r="AB114" s="5">
        <v>658847131002402</v>
      </c>
      <c r="AC114" s="5">
        <v>638995661763293</v>
      </c>
      <c r="AD114" s="5">
        <v>59376368201396</v>
      </c>
      <c r="AE114" s="5">
        <v>594674134123072</v>
      </c>
      <c r="AF114" s="5">
        <v>585426568569397</v>
      </c>
      <c r="AG114" s="5">
        <v>555410455157691</v>
      </c>
      <c r="AH114" s="5">
        <v>559995385580509</v>
      </c>
      <c r="AI114" s="5">
        <v>572056682717974</v>
      </c>
      <c r="AJ114" s="5">
        <v>585414995906794</v>
      </c>
      <c r="AK114" s="5">
        <v>57896190102632</v>
      </c>
      <c r="AL114" s="5">
        <v>599834052600892</v>
      </c>
      <c r="AM114" s="5">
        <v>575573456584339</v>
      </c>
      <c r="AN114" s="5">
        <v>57336492919194</v>
      </c>
      <c r="AO114" s="5">
        <v>573122078261459</v>
      </c>
    </row>
    <row r="115" spans="1:41" x14ac:dyDescent="0.45">
      <c r="A115" s="1" t="s">
        <v>109</v>
      </c>
      <c r="B115" s="2">
        <v>4057180</v>
      </c>
      <c r="C115" s="3" t="s">
        <v>781</v>
      </c>
      <c r="D115" s="3" t="s">
        <v>782</v>
      </c>
      <c r="E115" s="3" t="s">
        <v>625</v>
      </c>
      <c r="F115" s="5">
        <v>927637629527651</v>
      </c>
      <c r="G115" s="5">
        <v>838731814374793</v>
      </c>
      <c r="H115" s="5">
        <v>879379056749672</v>
      </c>
      <c r="I115" s="5">
        <v>988745800439875</v>
      </c>
      <c r="J115" s="5">
        <v>107225195490876</v>
      </c>
      <c r="K115" s="5">
        <v>107257365686128</v>
      </c>
      <c r="L115" s="5">
        <v>113467393021167</v>
      </c>
      <c r="M115" s="5">
        <v>113753043773807</v>
      </c>
      <c r="N115" s="5">
        <v>112548323131017</v>
      </c>
      <c r="O115" s="5">
        <v>129083657875428</v>
      </c>
      <c r="P115" s="5">
        <v>130385796686941</v>
      </c>
      <c r="Q115" s="5">
        <v>122445717283248</v>
      </c>
      <c r="R115" s="5">
        <v>138712943733331</v>
      </c>
      <c r="S115" s="5">
        <v>156641259415086</v>
      </c>
      <c r="T115" s="5">
        <v>15390370677846</v>
      </c>
      <c r="U115" s="5">
        <v>145028988577944</v>
      </c>
      <c r="V115" s="5">
        <v>13853966334571</v>
      </c>
      <c r="W115" s="5">
        <v>147671963190638</v>
      </c>
      <c r="X115" s="5">
        <v>143400794663833</v>
      </c>
      <c r="Y115" s="5">
        <v>144827562421798</v>
      </c>
      <c r="Z115" s="5">
        <v>139839884302215</v>
      </c>
      <c r="AA115" s="5">
        <v>159404258484743</v>
      </c>
      <c r="AB115" s="5">
        <v>157446549861636</v>
      </c>
      <c r="AC115" s="5">
        <v>170376466721442</v>
      </c>
      <c r="AD115" s="5">
        <v>159679321105155</v>
      </c>
      <c r="AE115" s="5">
        <v>154599050599636</v>
      </c>
      <c r="AF115" s="5">
        <v>157304081294473</v>
      </c>
      <c r="AG115" s="5">
        <v>172811850509631</v>
      </c>
      <c r="AH115" s="5">
        <v>177845700715193</v>
      </c>
      <c r="AI115" s="5">
        <v>169414770545654</v>
      </c>
      <c r="AJ115" s="5">
        <v>158664736621802</v>
      </c>
      <c r="AK115" s="5">
        <v>153921882546612</v>
      </c>
      <c r="AL115" s="5">
        <v>156269982910558</v>
      </c>
      <c r="AM115" s="5">
        <v>147108172041079</v>
      </c>
      <c r="AN115" s="5">
        <v>147621586516478</v>
      </c>
      <c r="AO115" s="5">
        <v>156635129832664</v>
      </c>
    </row>
    <row r="116" spans="1:41" x14ac:dyDescent="0.45">
      <c r="A116" s="1" t="s">
        <v>110</v>
      </c>
      <c r="B116" s="2">
        <v>4990366</v>
      </c>
      <c r="C116" s="3" t="s">
        <v>783</v>
      </c>
      <c r="D116" s="3" t="s">
        <v>784</v>
      </c>
      <c r="E116" s="3" t="s">
        <v>785</v>
      </c>
      <c r="F116" s="5">
        <v>279742809477944</v>
      </c>
      <c r="G116" s="5">
        <v>296505198541552</v>
      </c>
      <c r="H116" s="5">
        <v>29462054709087</v>
      </c>
      <c r="I116" s="5">
        <v>247579166666411</v>
      </c>
      <c r="J116" s="5">
        <v>21167923017966</v>
      </c>
      <c r="K116" s="5">
        <v>216433426225567</v>
      </c>
      <c r="L116" s="5">
        <v>16069817073238</v>
      </c>
      <c r="M116" s="5">
        <v>148337842585405</v>
      </c>
      <c r="N116" s="5">
        <v>123326434488305</v>
      </c>
      <c r="O116" s="5">
        <v>105790646950064</v>
      </c>
      <c r="P116" s="5">
        <v>123874169786427</v>
      </c>
      <c r="Q116" s="5">
        <v>149084100418486</v>
      </c>
      <c r="R116" s="5">
        <v>145324111329171</v>
      </c>
      <c r="S116" s="5">
        <v>165874492924627</v>
      </c>
      <c r="T116" s="5">
        <v>127778861778547</v>
      </c>
      <c r="U116" s="5">
        <v>124468243797891</v>
      </c>
      <c r="V116" s="5">
        <v>113667445869706</v>
      </c>
      <c r="W116" s="5">
        <v>109235741237515</v>
      </c>
      <c r="X116" s="5">
        <v>101070616653612</v>
      </c>
      <c r="Y116" s="5">
        <v>107482007128665</v>
      </c>
      <c r="Z116" s="5">
        <v>103038021695069</v>
      </c>
      <c r="AA116" s="5">
        <v>104628878679521</v>
      </c>
      <c r="AB116" s="5">
        <v>100607474489042</v>
      </c>
      <c r="AC116" s="5">
        <v>713790650570068</v>
      </c>
      <c r="AD116" s="5">
        <v>662609184765393</v>
      </c>
      <c r="AE116" s="5">
        <v>632068826342413</v>
      </c>
      <c r="AF116" s="5">
        <v>612936997888538</v>
      </c>
      <c r="AG116" s="5">
        <v>574230410120895</v>
      </c>
      <c r="AH116" s="5">
        <v>606936506234606</v>
      </c>
      <c r="AI116" s="5">
        <v>563020704018934</v>
      </c>
      <c r="AJ116" s="5">
        <v>53640500349368</v>
      </c>
      <c r="AK116" s="5">
        <v>495186656030205</v>
      </c>
      <c r="AL116" s="5">
        <v>483072668045639</v>
      </c>
      <c r="AM116" s="5">
        <v>478713351226094</v>
      </c>
      <c r="AN116" s="5">
        <v>488202325750368</v>
      </c>
      <c r="AO116" s="5">
        <v>397242420184685</v>
      </c>
    </row>
    <row r="117" spans="1:41" x14ac:dyDescent="0.45">
      <c r="A117" s="1" t="s">
        <v>111</v>
      </c>
      <c r="B117" s="2">
        <v>4101861</v>
      </c>
      <c r="C117" s="3" t="s">
        <v>786</v>
      </c>
      <c r="D117" s="3" t="s">
        <v>787</v>
      </c>
      <c r="E117" s="3" t="s">
        <v>788</v>
      </c>
      <c r="F117" s="5">
        <v>705256624895333</v>
      </c>
      <c r="G117" s="5">
        <v>736366862529144</v>
      </c>
      <c r="H117" s="5">
        <v>712922370252093</v>
      </c>
      <c r="I117" s="5">
        <v>747586406990997</v>
      </c>
      <c r="J117" s="5">
        <v>783449216503653</v>
      </c>
      <c r="K117" s="5">
        <v>762137096534154</v>
      </c>
      <c r="L117" s="5">
        <v>832052571140635</v>
      </c>
      <c r="M117" s="5">
        <v>962981258072379</v>
      </c>
      <c r="N117" s="5">
        <v>103966653149432</v>
      </c>
      <c r="O117" s="5">
        <v>117779224947688</v>
      </c>
      <c r="P117" s="5">
        <v>117165438565602</v>
      </c>
      <c r="Q117" s="5">
        <v>118894651269313</v>
      </c>
      <c r="R117" s="5">
        <v>127939664003209</v>
      </c>
      <c r="S117" s="5">
        <v>124625002326413</v>
      </c>
      <c r="T117" s="5">
        <v>127211106109424</v>
      </c>
      <c r="U117" s="5">
        <v>139678587607961</v>
      </c>
      <c r="V117" s="5">
        <v>135129953315448</v>
      </c>
      <c r="W117" s="5">
        <v>133973433132</v>
      </c>
      <c r="X117" s="5">
        <v>126803208866971</v>
      </c>
      <c r="Y117" s="5">
        <v>131717512262847</v>
      </c>
      <c r="Z117" s="5">
        <v>137612542265785</v>
      </c>
      <c r="AA117" s="5">
        <v>131167983078999</v>
      </c>
      <c r="AB117" s="5">
        <v>124170448353906</v>
      </c>
      <c r="AC117" s="5">
        <v>128428263800665</v>
      </c>
      <c r="AD117" s="5">
        <v>123930867520205</v>
      </c>
      <c r="AE117" s="5">
        <v>12398057140015</v>
      </c>
      <c r="AF117" s="5">
        <v>123775709586674</v>
      </c>
      <c r="AG117" s="5">
        <v>123798157247926</v>
      </c>
      <c r="AH117" s="5">
        <v>131649240920076</v>
      </c>
      <c r="AI117" s="5">
        <v>142029438352704</v>
      </c>
      <c r="AJ117" s="5">
        <v>147304682304734</v>
      </c>
      <c r="AK117" s="5">
        <v>156036850526872</v>
      </c>
      <c r="AL117" s="5">
        <v>164034744429941</v>
      </c>
      <c r="AM117" s="5">
        <v>164769466230102</v>
      </c>
      <c r="AN117" s="5">
        <v>163473033962482</v>
      </c>
      <c r="AO117" s="5">
        <v>163199514607833</v>
      </c>
    </row>
    <row r="118" spans="1:41" x14ac:dyDescent="0.45">
      <c r="A118" s="1" t="s">
        <v>112</v>
      </c>
      <c r="B118" s="2">
        <v>4980342</v>
      </c>
      <c r="C118" s="3" t="s">
        <v>789</v>
      </c>
      <c r="D118" s="3" t="s">
        <v>790</v>
      </c>
      <c r="E118" s="3" t="s">
        <v>595</v>
      </c>
      <c r="F118" s="5">
        <v>985208960702753</v>
      </c>
      <c r="G118" s="5">
        <v>94515462413372</v>
      </c>
      <c r="H118" s="5">
        <v>962205389259838</v>
      </c>
      <c r="I118" s="5">
        <v>100688551360221</v>
      </c>
      <c r="J118" s="5">
        <v>105672325762266</v>
      </c>
      <c r="K118" s="5">
        <v>105217113856482</v>
      </c>
      <c r="L118" s="5">
        <v>964653073868539</v>
      </c>
      <c r="M118" s="5">
        <v>949571629372428</v>
      </c>
      <c r="N118" s="5">
        <v>993006535338992</v>
      </c>
      <c r="O118" s="5">
        <v>122831999303901</v>
      </c>
      <c r="P118" s="5">
        <v>121249009579778</v>
      </c>
      <c r="Q118" s="5">
        <v>122997503263959</v>
      </c>
      <c r="R118" s="5">
        <v>123908119246211</v>
      </c>
      <c r="S118" s="5">
        <v>132828975003051</v>
      </c>
      <c r="T118" s="5">
        <v>116111347565751</v>
      </c>
      <c r="U118" s="5">
        <v>10961506841725</v>
      </c>
      <c r="V118" s="5">
        <v>119466520559467</v>
      </c>
      <c r="W118" s="5">
        <v>120168212593229</v>
      </c>
      <c r="X118" s="5">
        <v>124848750720016</v>
      </c>
      <c r="Y118" s="5">
        <v>125615209489323</v>
      </c>
      <c r="Z118" s="5">
        <v>137580778721965</v>
      </c>
      <c r="AA118" s="5">
        <v>138623049403775</v>
      </c>
      <c r="AB118" s="5">
        <v>122476762204389</v>
      </c>
      <c r="AC118" s="5">
        <v>122434320408818</v>
      </c>
      <c r="AD118" s="5">
        <v>124687961312337</v>
      </c>
      <c r="AE118" s="5">
        <v>125825027907228</v>
      </c>
      <c r="AF118" s="5">
        <v>134650880732947</v>
      </c>
      <c r="AG118" s="5">
        <v>135540424704478</v>
      </c>
      <c r="AH118" s="5">
        <v>131419404252229</v>
      </c>
      <c r="AI118" s="5">
        <v>129257413987803</v>
      </c>
      <c r="AJ118" s="5">
        <v>114842749582838</v>
      </c>
      <c r="AK118" s="5">
        <v>112745028141348</v>
      </c>
      <c r="AL118" s="5">
        <v>112981772374777</v>
      </c>
      <c r="AM118" s="5">
        <v>111289996618549</v>
      </c>
      <c r="AN118" s="5">
        <v>118654838716916</v>
      </c>
      <c r="AO118" s="5">
        <v>139816287424916</v>
      </c>
    </row>
    <row r="119" spans="1:41" x14ac:dyDescent="0.45">
      <c r="A119" s="1" t="s">
        <v>113</v>
      </c>
      <c r="B119" s="2">
        <v>4057041</v>
      </c>
      <c r="C119" s="3" t="s">
        <v>791</v>
      </c>
      <c r="D119" s="3" t="s">
        <v>792</v>
      </c>
      <c r="E119" s="3" t="s">
        <v>562</v>
      </c>
      <c r="F119" s="5">
        <v>305318477103732</v>
      </c>
      <c r="G119" s="5">
        <v>312391443465221</v>
      </c>
      <c r="H119" s="5">
        <v>304586452221926</v>
      </c>
      <c r="I119" s="5">
        <v>308981807832713</v>
      </c>
      <c r="J119" s="5">
        <v>30286382478967</v>
      </c>
      <c r="K119" s="5">
        <v>325994852106828</v>
      </c>
      <c r="L119" s="5">
        <v>307865922109551</v>
      </c>
      <c r="M119" s="5">
        <v>331786025017446</v>
      </c>
      <c r="N119" s="5">
        <v>357959727245406</v>
      </c>
      <c r="O119" s="5">
        <v>354809444032252</v>
      </c>
      <c r="P119" s="5">
        <v>338289569497792</v>
      </c>
      <c r="Q119" s="5">
        <v>312461271216836</v>
      </c>
      <c r="R119" s="5">
        <v>298602947650587</v>
      </c>
      <c r="S119" s="5">
        <v>330266617576724</v>
      </c>
      <c r="T119" s="5">
        <v>32415743759616</v>
      </c>
      <c r="U119" s="5">
        <v>323173264954176</v>
      </c>
      <c r="V119" s="5">
        <v>317833729782912</v>
      </c>
      <c r="W119" s="5">
        <v>311626401394493</v>
      </c>
      <c r="X119" s="5">
        <v>288618730491167</v>
      </c>
      <c r="Y119" s="5">
        <v>301514453820886</v>
      </c>
      <c r="Z119" s="5">
        <v>305212753960934</v>
      </c>
      <c r="AA119" s="5">
        <v>290476840842088</v>
      </c>
      <c r="AB119" s="5">
        <v>278750482612271</v>
      </c>
      <c r="AC119" s="5">
        <v>289233864906609</v>
      </c>
      <c r="AD119" s="5">
        <v>284117807895565</v>
      </c>
      <c r="AE119" s="5">
        <v>285226999045492</v>
      </c>
      <c r="AF119" s="5">
        <v>286608165054475</v>
      </c>
      <c r="AG119" s="5">
        <v>278728416798272</v>
      </c>
      <c r="AH119" s="5">
        <v>282910187561152</v>
      </c>
      <c r="AI119" s="5">
        <v>298287817797528</v>
      </c>
      <c r="AJ119" s="5">
        <v>2869574641728</v>
      </c>
      <c r="AK119" s="5">
        <v>30337303879278</v>
      </c>
      <c r="AL119" s="5">
        <v>30910455632267</v>
      </c>
      <c r="AM119" s="5">
        <v>31263371449208</v>
      </c>
      <c r="AN119" s="5">
        <v>298833228140217</v>
      </c>
      <c r="AO119" s="5">
        <v>311398951840796</v>
      </c>
    </row>
    <row r="120" spans="1:41" x14ac:dyDescent="0.45">
      <c r="A120" s="1" t="s">
        <v>114</v>
      </c>
      <c r="B120" s="2">
        <v>4276708</v>
      </c>
      <c r="C120" s="3" t="s">
        <v>793</v>
      </c>
      <c r="D120" s="3" t="s">
        <v>794</v>
      </c>
      <c r="E120" s="3" t="s">
        <v>690</v>
      </c>
      <c r="F120" s="5">
        <v>204497379515326</v>
      </c>
      <c r="G120" s="5">
        <v>204695053619179</v>
      </c>
      <c r="H120" s="5">
        <v>199351495565506</v>
      </c>
      <c r="I120" s="5">
        <v>202317051263446</v>
      </c>
      <c r="J120" s="5">
        <v>244027398503549</v>
      </c>
      <c r="K120" s="5">
        <v>2573951868219</v>
      </c>
      <c r="L120" s="5">
        <v>245046460435085</v>
      </c>
      <c r="M120" s="5">
        <v>279675064167164</v>
      </c>
      <c r="N120" s="5">
        <v>294218481120452</v>
      </c>
      <c r="O120" s="5">
        <v>306823150185667</v>
      </c>
      <c r="P120" s="5">
        <v>304799884407427</v>
      </c>
      <c r="Q120" s="5">
        <v>314331381076824</v>
      </c>
      <c r="R120" s="5">
        <v>387514662282488</v>
      </c>
      <c r="S120" s="5">
        <v>414579033437447</v>
      </c>
      <c r="T120" s="5">
        <v>388460902572149</v>
      </c>
      <c r="U120" s="5">
        <v>420946236203001</v>
      </c>
      <c r="V120" s="5">
        <v>396497937736796</v>
      </c>
      <c r="W120" s="5">
        <v>41271657858779</v>
      </c>
      <c r="X120" s="5">
        <v>437867016663018</v>
      </c>
      <c r="Y120" s="5">
        <v>422139677102324</v>
      </c>
      <c r="Z120" s="5">
        <v>433663334023226</v>
      </c>
      <c r="AA120" s="5">
        <v>459907368516945</v>
      </c>
      <c r="AB120" s="5">
        <v>420259639237796</v>
      </c>
      <c r="AC120" s="5">
        <v>412919237430723</v>
      </c>
      <c r="AD120" s="5">
        <v>401690899482942</v>
      </c>
      <c r="AE120" s="5">
        <v>404985910831184</v>
      </c>
      <c r="AF120" s="5">
        <v>40703869759696</v>
      </c>
      <c r="AG120" s="5">
        <v>435259618661141</v>
      </c>
      <c r="AH120" s="5">
        <v>440354894652051</v>
      </c>
      <c r="AI120" s="5">
        <v>453740246137235</v>
      </c>
      <c r="AJ120" s="5">
        <v>413260775898373</v>
      </c>
      <c r="AK120" s="5">
        <v>41772995207912</v>
      </c>
      <c r="AL120" s="5">
        <v>380980977894155</v>
      </c>
      <c r="AM120" s="5">
        <v>383588689957932</v>
      </c>
      <c r="AN120" s="5">
        <v>388784609980626</v>
      </c>
      <c r="AO120" s="5">
        <v>393277259692136</v>
      </c>
    </row>
    <row r="121" spans="1:41" x14ac:dyDescent="0.45">
      <c r="A121" s="1" t="s">
        <v>115</v>
      </c>
      <c r="B121" s="2">
        <v>4072145</v>
      </c>
      <c r="C121" s="3" t="s">
        <v>795</v>
      </c>
      <c r="D121" s="3" t="s">
        <v>796</v>
      </c>
      <c r="E121" s="3" t="s">
        <v>547</v>
      </c>
      <c r="F121" s="5">
        <v>939618576955147</v>
      </c>
      <c r="G121" s="5">
        <v>981290580844851</v>
      </c>
      <c r="H121" s="5">
        <v>102112575146361</v>
      </c>
      <c r="I121" s="5">
        <v>87619255898228</v>
      </c>
      <c r="J121" s="5">
        <v>822539215714371</v>
      </c>
      <c r="K121" s="5">
        <v>953044954548154</v>
      </c>
      <c r="L121" s="5">
        <v>861365396755318</v>
      </c>
      <c r="M121" s="5">
        <v>845631390326132</v>
      </c>
      <c r="N121" s="5">
        <v>61703214376855</v>
      </c>
      <c r="O121" s="5">
        <v>584473189289161</v>
      </c>
      <c r="P121" s="5">
        <v>75333243912468</v>
      </c>
      <c r="Q121" s="5">
        <v>902885494013141</v>
      </c>
      <c r="R121" s="5">
        <v>675830724213859</v>
      </c>
      <c r="S121" s="5">
        <v>760546932304612</v>
      </c>
      <c r="T121" s="5">
        <v>757289675591328</v>
      </c>
      <c r="U121" s="5">
        <v>728984347138625</v>
      </c>
      <c r="V121" s="5">
        <v>556075221947476</v>
      </c>
      <c r="W121" s="5">
        <v>5528437486572</v>
      </c>
      <c r="X121" s="5">
        <v>589211734460864</v>
      </c>
      <c r="Y121" s="5">
        <v>631498074889412</v>
      </c>
      <c r="Z121" s="5">
        <v>547967229342916</v>
      </c>
      <c r="AA121" s="5">
        <v>539279477405481</v>
      </c>
      <c r="AB121" s="5">
        <v>493471266994751</v>
      </c>
      <c r="AC121" s="5">
        <v>359136399734216</v>
      </c>
      <c r="AD121" s="5">
        <v>33774735406185</v>
      </c>
      <c r="AE121" s="5">
        <v>35445482635854</v>
      </c>
      <c r="AF121" s="5">
        <v>343713255615202</v>
      </c>
      <c r="AG121" s="5">
        <v>331428466608468</v>
      </c>
      <c r="AH121" s="5">
        <v>308842234481894</v>
      </c>
      <c r="AI121" s="5">
        <v>28450952905306</v>
      </c>
      <c r="AJ121" s="5">
        <v>272050799017286</v>
      </c>
      <c r="AK121" s="5">
        <v>255752905940625</v>
      </c>
      <c r="AL121" s="5">
        <v>229708494190094</v>
      </c>
      <c r="AM121" s="5">
        <v>236649848373744</v>
      </c>
      <c r="AN121" s="5">
        <v>230779136205832</v>
      </c>
      <c r="AO121" s="5">
        <v>25700647689086</v>
      </c>
    </row>
    <row r="122" spans="1:41" x14ac:dyDescent="0.45">
      <c r="A122" s="1" t="s">
        <v>116</v>
      </c>
      <c r="B122" s="2">
        <v>4988311</v>
      </c>
      <c r="C122" s="3" t="s">
        <v>797</v>
      </c>
      <c r="D122" s="3" t="s">
        <v>798</v>
      </c>
      <c r="E122" s="3" t="s">
        <v>761</v>
      </c>
      <c r="F122" s="5">
        <v>322776348962686</v>
      </c>
      <c r="G122" s="5">
        <v>325412232075688</v>
      </c>
      <c r="H122" s="5">
        <v>360902244211166</v>
      </c>
      <c r="I122" s="5">
        <v>370911472317086</v>
      </c>
      <c r="J122" s="5">
        <v>403479942819052</v>
      </c>
      <c r="K122" s="5">
        <v>38317251283178</v>
      </c>
      <c r="L122" s="5">
        <v>404015973578645</v>
      </c>
      <c r="M122" s="5">
        <v>438309843348817</v>
      </c>
      <c r="N122" s="5">
        <v>51967919646465</v>
      </c>
      <c r="O122" s="5">
        <v>50581794591613</v>
      </c>
      <c r="P122" s="5">
        <v>508824543126357</v>
      </c>
      <c r="Q122" s="5">
        <v>537017284354341</v>
      </c>
      <c r="R122" s="5">
        <v>534112708715944</v>
      </c>
      <c r="S122" s="5">
        <v>578897903887549</v>
      </c>
      <c r="T122" s="5">
        <v>45667693780476</v>
      </c>
      <c r="U122" s="5">
        <v>452570133732518</v>
      </c>
      <c r="V122" s="5">
        <v>46075902401717</v>
      </c>
      <c r="W122" s="5">
        <v>465298990140508</v>
      </c>
      <c r="X122" s="5">
        <v>486417650319754</v>
      </c>
      <c r="Y122" s="5">
        <v>470819749226775</v>
      </c>
      <c r="Z122" s="5">
        <v>48833330906523</v>
      </c>
      <c r="AA122" s="5">
        <v>515558292994349</v>
      </c>
      <c r="AB122" s="5">
        <v>47274179214289</v>
      </c>
      <c r="AC122" s="5">
        <v>425175771771909</v>
      </c>
      <c r="AD122" s="5">
        <v>425673478932926</v>
      </c>
      <c r="AE122" s="5">
        <v>442155064245074</v>
      </c>
      <c r="AF122" s="5">
        <v>39551570443488</v>
      </c>
      <c r="AG122" s="5">
        <v>389753187526965</v>
      </c>
      <c r="AH122" s="5">
        <v>394682897514907</v>
      </c>
      <c r="AI122" s="5">
        <v>382931031062059</v>
      </c>
      <c r="AJ122" s="5">
        <v>39889315296469</v>
      </c>
      <c r="AK122" s="5">
        <v>392387256972257</v>
      </c>
      <c r="AL122" s="5">
        <v>341369898449978</v>
      </c>
      <c r="AM122" s="5">
        <v>329912990873425</v>
      </c>
      <c r="AN122" s="5">
        <v>316330275740731</v>
      </c>
      <c r="AO122" s="5">
        <v>292104446747061</v>
      </c>
    </row>
    <row r="123" spans="1:41" x14ac:dyDescent="0.45">
      <c r="A123" s="1" t="s">
        <v>117</v>
      </c>
      <c r="B123" s="2">
        <v>4004201</v>
      </c>
      <c r="C123" s="3" t="s">
        <v>799</v>
      </c>
      <c r="D123" s="3" t="s">
        <v>800</v>
      </c>
      <c r="E123" s="3" t="s">
        <v>587</v>
      </c>
      <c r="F123" s="5">
        <v>639375246423614</v>
      </c>
      <c r="G123" s="5">
        <v>622564363839757</v>
      </c>
      <c r="H123" s="5">
        <v>662159667536146</v>
      </c>
      <c r="I123" s="5">
        <v>598897853294162</v>
      </c>
      <c r="J123" s="5">
        <v>490876332143523</v>
      </c>
      <c r="K123" s="5">
        <v>44725086072</v>
      </c>
      <c r="L123" s="5">
        <v>383531211381671</v>
      </c>
      <c r="M123" s="5">
        <v>374309429146961</v>
      </c>
      <c r="N123" s="5">
        <v>3168439092</v>
      </c>
      <c r="O123" s="5">
        <v>362893528972478</v>
      </c>
      <c r="P123" s="5">
        <v>412856696172592</v>
      </c>
      <c r="Q123" s="5">
        <v>42790667472</v>
      </c>
      <c r="R123" s="5">
        <v>392996121100165</v>
      </c>
      <c r="S123" s="5">
        <v>394964185427129</v>
      </c>
      <c r="T123" s="5">
        <v>3567793746</v>
      </c>
      <c r="U123" s="5">
        <v>346400442283033</v>
      </c>
      <c r="V123" s="5">
        <v>323767968483363</v>
      </c>
      <c r="W123" s="5">
        <v>301299306</v>
      </c>
      <c r="X123" s="5">
        <v>310599036678275</v>
      </c>
      <c r="Y123" s="5">
        <v>29431248662427</v>
      </c>
      <c r="Z123" s="5">
        <v>25566703344</v>
      </c>
      <c r="AA123" s="5">
        <v>26100540039289</v>
      </c>
      <c r="AB123" s="5">
        <v>25455062682772</v>
      </c>
      <c r="AC123" s="5">
        <v>255494201600982</v>
      </c>
      <c r="AD123" s="5">
        <v>235035593780887</v>
      </c>
      <c r="AE123" s="5">
        <v>222870445663548</v>
      </c>
      <c r="AF123" s="5">
        <v>216095034147709</v>
      </c>
      <c r="AG123" s="5">
        <v>245556913087356</v>
      </c>
      <c r="AH123" s="5">
        <v>258112670487368</v>
      </c>
      <c r="AI123" s="5">
        <v>262694172862167</v>
      </c>
      <c r="AJ123" s="5">
        <v>272863324510368</v>
      </c>
      <c r="AK123" s="5">
        <v>245764420329564</v>
      </c>
      <c r="AL123" s="5">
        <v>255894736832778</v>
      </c>
      <c r="AM123" s="5">
        <v>275110664872942</v>
      </c>
      <c r="AN123" s="5">
        <v>270738601426398</v>
      </c>
      <c r="AO123" s="5">
        <v>269521406576975</v>
      </c>
    </row>
    <row r="124" spans="1:41" x14ac:dyDescent="0.45">
      <c r="A124" s="1" t="s">
        <v>118</v>
      </c>
      <c r="B124" s="2">
        <v>4256640</v>
      </c>
      <c r="C124" s="3" t="s">
        <v>801</v>
      </c>
      <c r="D124" s="3" t="s">
        <v>802</v>
      </c>
      <c r="E124" s="3" t="s">
        <v>567</v>
      </c>
      <c r="F124" s="5">
        <v>179303953355145</v>
      </c>
      <c r="G124" s="5">
        <v>178461545728435</v>
      </c>
      <c r="H124" s="5">
        <v>159393221503813</v>
      </c>
      <c r="I124" s="5">
        <v>173367870040171</v>
      </c>
      <c r="J124" s="5">
        <v>196601234268154</v>
      </c>
      <c r="K124" s="5">
        <v>199080773498798</v>
      </c>
      <c r="L124" s="5">
        <v>199175530795632</v>
      </c>
      <c r="M124" s="5">
        <v>201977443156678</v>
      </c>
      <c r="N124" s="5">
        <v>20210525041691</v>
      </c>
      <c r="O124" s="5">
        <v>226651361730477</v>
      </c>
      <c r="P124" s="5">
        <v>247821886253249</v>
      </c>
      <c r="Q124" s="5">
        <v>255190593757693</v>
      </c>
      <c r="R124" s="5">
        <v>227871172914202</v>
      </c>
      <c r="S124" s="5">
        <v>251853511621607</v>
      </c>
      <c r="T124" s="5">
        <v>210848517316982</v>
      </c>
      <c r="U124" s="5">
        <v>194704311705384</v>
      </c>
      <c r="V124" s="5">
        <v>198084404320548</v>
      </c>
      <c r="W124" s="5">
        <v>189473180089301</v>
      </c>
      <c r="X124" s="5">
        <v>174715931634732</v>
      </c>
      <c r="Y124" s="5">
        <v>173435677400405</v>
      </c>
      <c r="Z124" s="5">
        <v>203030483550195</v>
      </c>
      <c r="AA124" s="5">
        <v>205247169953489</v>
      </c>
      <c r="AB124" s="5">
        <v>185635696537345</v>
      </c>
      <c r="AC124" s="5">
        <v>192949991801411</v>
      </c>
      <c r="AD124" s="5">
        <v>184609538574809</v>
      </c>
      <c r="AE124" s="5">
        <v>159220533531352</v>
      </c>
      <c r="AF124" s="5">
        <v>157620558966747</v>
      </c>
      <c r="AG124" s="5">
        <v>1784187349855</v>
      </c>
      <c r="AH124" s="5">
        <v>185289251539348</v>
      </c>
      <c r="AI124" s="5">
        <v>166762613731428</v>
      </c>
      <c r="AJ124" s="5">
        <v>16981074497376</v>
      </c>
      <c r="AK124" s="5">
        <v>15695073594783</v>
      </c>
      <c r="AL124" s="5">
        <v>142450892848759</v>
      </c>
      <c r="AM124" s="5">
        <v>142622442802133</v>
      </c>
      <c r="AN124" s="5">
        <v>148697140210306</v>
      </c>
      <c r="AO124" s="5">
        <v>141789924139789</v>
      </c>
    </row>
    <row r="125" spans="1:41" x14ac:dyDescent="0.45">
      <c r="A125" s="1" t="s">
        <v>119</v>
      </c>
      <c r="B125" s="2">
        <v>14170965</v>
      </c>
      <c r="C125" s="3" t="s">
        <v>803</v>
      </c>
      <c r="D125" s="3" t="s">
        <v>804</v>
      </c>
      <c r="E125" s="3" t="s">
        <v>738</v>
      </c>
      <c r="F125" s="5">
        <v>38577168903132</v>
      </c>
      <c r="G125" s="5">
        <v>39318228645696</v>
      </c>
      <c r="H125" s="5">
        <v>36174624768</v>
      </c>
      <c r="I125" s="5">
        <v>391440363759</v>
      </c>
      <c r="J125" s="5">
        <v>430719385521</v>
      </c>
      <c r="K125" s="5">
        <v>4301494289982</v>
      </c>
      <c r="L125" s="5">
        <v>4329207378015</v>
      </c>
      <c r="M125" s="5">
        <v>425647066068</v>
      </c>
      <c r="N125" s="5">
        <v>373185411691118</v>
      </c>
      <c r="O125" s="5">
        <v>397670459933946</v>
      </c>
      <c r="P125" s="5">
        <v>41496758153368</v>
      </c>
      <c r="Q125" s="5">
        <v>43159434735231</v>
      </c>
      <c r="R125" s="5">
        <v>37813255343552</v>
      </c>
      <c r="S125" s="5">
        <v>40544150848096</v>
      </c>
      <c r="T125" s="5">
        <v>3884012394804</v>
      </c>
      <c r="U125" s="5">
        <v>36489110533158</v>
      </c>
      <c r="V125" s="5">
        <v>3586180737771</v>
      </c>
      <c r="W125" s="5">
        <v>359546082588</v>
      </c>
      <c r="X125" s="5">
        <v>35087306581152</v>
      </c>
      <c r="Y125" s="5">
        <v>35951607003424</v>
      </c>
      <c r="Z125" s="5">
        <v>353789874002779</v>
      </c>
      <c r="AA125" s="5">
        <v>373138448318521</v>
      </c>
      <c r="AB125" s="5">
        <v>34746225140616</v>
      </c>
      <c r="AC125" s="5">
        <v>2939605903416</v>
      </c>
      <c r="AD125" s="5">
        <v>30552274196296</v>
      </c>
      <c r="AE125" s="5">
        <v>2920670410852</v>
      </c>
      <c r="AF125" s="5">
        <v>3234004887564</v>
      </c>
      <c r="AG125" s="5">
        <v>34307129991552</v>
      </c>
      <c r="AH125" s="5">
        <v>3305386562808</v>
      </c>
      <c r="AI125" s="5">
        <v>36399954820086</v>
      </c>
      <c r="AJ125" s="5">
        <v>373114489764</v>
      </c>
      <c r="AK125" s="5">
        <v>35678479149291</v>
      </c>
      <c r="AL125" s="5">
        <v>394646811026903</v>
      </c>
      <c r="AM125" s="5">
        <v>395562451984454</v>
      </c>
      <c r="AN125" s="5">
        <v>4182644347914</v>
      </c>
      <c r="AO125" s="5">
        <v>4239732295458</v>
      </c>
    </row>
    <row r="126" spans="1:41" x14ac:dyDescent="0.45">
      <c r="A126" s="1" t="s">
        <v>120</v>
      </c>
      <c r="B126" s="2">
        <v>4094053</v>
      </c>
      <c r="C126" s="3" t="s">
        <v>805</v>
      </c>
      <c r="D126" s="3" t="s">
        <v>806</v>
      </c>
      <c r="E126" s="3" t="s">
        <v>725</v>
      </c>
      <c r="F126" s="5">
        <v>242716141324076</v>
      </c>
      <c r="G126" s="5">
        <v>251467285171379</v>
      </c>
      <c r="H126" s="5">
        <v>252845344976316</v>
      </c>
      <c r="I126" s="5">
        <v>304640836620455</v>
      </c>
      <c r="J126" s="5">
        <v>324113713684604</v>
      </c>
      <c r="K126" s="5">
        <v>352541063915655</v>
      </c>
      <c r="L126" s="5">
        <v>288826133963718</v>
      </c>
      <c r="M126" s="5">
        <v>273502485081715</v>
      </c>
      <c r="N126" s="5">
        <v>27580180952923</v>
      </c>
      <c r="O126" s="5">
        <v>300636820246936</v>
      </c>
      <c r="P126" s="5">
        <v>300555939375387</v>
      </c>
      <c r="Q126" s="5">
        <v>302127291300166</v>
      </c>
      <c r="R126" s="5">
        <v>283482008598988</v>
      </c>
      <c r="S126" s="5">
        <v>316054403214929</v>
      </c>
      <c r="T126" s="5">
        <v>27483517936278</v>
      </c>
      <c r="U126" s="5">
        <v>277198083295634</v>
      </c>
      <c r="V126" s="5">
        <v>286408413689966</v>
      </c>
      <c r="W126" s="5">
        <v>29543893284407</v>
      </c>
      <c r="X126" s="5">
        <v>282650930270555</v>
      </c>
      <c r="Y126" s="5">
        <v>294438573928651</v>
      </c>
      <c r="Z126" s="5">
        <v>349536359619791</v>
      </c>
      <c r="AA126" s="5">
        <v>365249767502819</v>
      </c>
      <c r="AB126" s="5">
        <v>328816278524534</v>
      </c>
      <c r="AC126" s="5">
        <v>314209133395219</v>
      </c>
      <c r="AD126" s="5">
        <v>322859155677967</v>
      </c>
      <c r="AE126" s="5">
        <v>310925320207784</v>
      </c>
      <c r="AF126" s="5">
        <v>283741342606789</v>
      </c>
      <c r="AG126" s="5">
        <v>296638867091952</v>
      </c>
      <c r="AH126" s="5">
        <v>30868115442948</v>
      </c>
      <c r="AI126" s="5">
        <v>311129532516348</v>
      </c>
      <c r="AJ126" s="5">
        <v>33305750474516</v>
      </c>
      <c r="AK126" s="5">
        <v>304365877804932</v>
      </c>
      <c r="AL126" s="5">
        <v>284851491813036</v>
      </c>
      <c r="AM126" s="5">
        <v>257769818371517</v>
      </c>
      <c r="AN126" s="5">
        <v>270754726559413</v>
      </c>
      <c r="AO126" s="5">
        <v>291688400290518</v>
      </c>
    </row>
    <row r="127" spans="1:41" x14ac:dyDescent="0.45">
      <c r="A127" s="1" t="s">
        <v>121</v>
      </c>
      <c r="B127" s="2">
        <v>4126080</v>
      </c>
      <c r="C127" s="3" t="s">
        <v>807</v>
      </c>
      <c r="D127" s="3" t="s">
        <v>808</v>
      </c>
      <c r="E127" s="3" t="s">
        <v>809</v>
      </c>
      <c r="F127" s="5">
        <v>326002098490878</v>
      </c>
      <c r="G127" s="5">
        <v>349172016277747</v>
      </c>
      <c r="H127" s="5">
        <v>350212217189828</v>
      </c>
      <c r="I127" s="5">
        <v>349676073631413</v>
      </c>
      <c r="J127" s="5">
        <v>357639553994043</v>
      </c>
      <c r="K127" s="5">
        <v>364286840905639</v>
      </c>
      <c r="L127" s="5">
        <v>373821874097386</v>
      </c>
      <c r="M127" s="5">
        <v>406578583681046</v>
      </c>
      <c r="N127" s="5">
        <v>388911667050071</v>
      </c>
      <c r="O127" s="5">
        <v>388238757348777</v>
      </c>
      <c r="P127" s="5">
        <v>44736974678135</v>
      </c>
      <c r="Q127" s="5">
        <v>418482351758121</v>
      </c>
      <c r="R127" s="5">
        <v>392861683094232</v>
      </c>
      <c r="S127" s="5">
        <v>408136242202475</v>
      </c>
      <c r="T127" s="5">
        <v>356727268633262</v>
      </c>
      <c r="U127" s="5">
        <v>352220399158832</v>
      </c>
      <c r="V127" s="5">
        <v>357683033411148</v>
      </c>
      <c r="W127" s="5">
        <v>336725364108672</v>
      </c>
      <c r="X127" s="5">
        <v>351695753568541</v>
      </c>
      <c r="Y127" s="5">
        <v>331111512105806</v>
      </c>
      <c r="Z127" s="5">
        <v>299833600042339</v>
      </c>
      <c r="AA127" s="5">
        <v>300814974242095</v>
      </c>
      <c r="AB127" s="5">
        <v>30536175503801</v>
      </c>
      <c r="AC127" s="5">
        <v>284195136176181</v>
      </c>
      <c r="AD127" s="5">
        <v>264983239938268</v>
      </c>
      <c r="AE127" s="5">
        <v>240622109770891</v>
      </c>
      <c r="AF127" s="5">
        <v>231502164910311</v>
      </c>
      <c r="AG127" s="5">
        <v>236351482882944</v>
      </c>
      <c r="AH127" s="5">
        <v>224426415027473</v>
      </c>
      <c r="AI127" s="5">
        <v>225452657393476</v>
      </c>
      <c r="AJ127" s="5">
        <v>218541367747914</v>
      </c>
      <c r="AK127" s="5">
        <v>212745118642056</v>
      </c>
      <c r="AL127" s="5">
        <v>202213991250453</v>
      </c>
      <c r="AM127" s="5">
        <v>202813361462909</v>
      </c>
      <c r="AN127" s="5">
        <v>202383730620752</v>
      </c>
      <c r="AO127" s="5">
        <v>20882181206578</v>
      </c>
    </row>
    <row r="128" spans="1:41" x14ac:dyDescent="0.45">
      <c r="A128" s="1" t="s">
        <v>122</v>
      </c>
      <c r="B128" s="2">
        <v>4010469</v>
      </c>
      <c r="C128" s="3" t="s">
        <v>810</v>
      </c>
      <c r="D128" s="3" t="s">
        <v>811</v>
      </c>
      <c r="E128" s="3" t="s">
        <v>595</v>
      </c>
      <c r="F128" s="5">
        <v>170676056705307</v>
      </c>
      <c r="G128" s="5">
        <v>176234661026744</v>
      </c>
      <c r="H128" s="5">
        <v>156544581364298</v>
      </c>
      <c r="I128" s="5">
        <v>153825322859069</v>
      </c>
      <c r="J128" s="5">
        <v>159448603688148</v>
      </c>
      <c r="K128" s="5">
        <v>162740455239661</v>
      </c>
      <c r="L128" s="5">
        <v>164948812803918</v>
      </c>
      <c r="M128" s="5">
        <v>163524056878382</v>
      </c>
      <c r="N128" s="5">
        <v>165405294981507</v>
      </c>
      <c r="O128" s="5">
        <v>204306162441181</v>
      </c>
      <c r="P128" s="5">
        <v>198221573228615</v>
      </c>
      <c r="Q128" s="5">
        <v>196450361149442</v>
      </c>
      <c r="R128" s="5">
        <v>181715699390997</v>
      </c>
      <c r="S128" s="5">
        <v>186548838399123</v>
      </c>
      <c r="T128" s="5">
        <v>162864526132027</v>
      </c>
      <c r="U128" s="5">
        <v>158748615653922</v>
      </c>
      <c r="V128" s="5">
        <v>162616373878738</v>
      </c>
      <c r="W128" s="5">
        <v>1774191754566</v>
      </c>
      <c r="X128" s="5">
        <v>185247843460297</v>
      </c>
      <c r="Y128" s="5">
        <v>195720547776641</v>
      </c>
      <c r="Z128" s="5">
        <v>192375743755991</v>
      </c>
      <c r="AA128" s="5">
        <v>194061626289713</v>
      </c>
      <c r="AB128" s="5">
        <v>179308680498677</v>
      </c>
      <c r="AC128" s="5">
        <v>172491816071442</v>
      </c>
      <c r="AD128" s="5">
        <v>173665596159854</v>
      </c>
      <c r="AE128" s="5">
        <v>181042197147263</v>
      </c>
      <c r="AF128" s="5">
        <v>19652891599275</v>
      </c>
      <c r="AG128" s="5">
        <v>192965780584936</v>
      </c>
      <c r="AH128" s="5">
        <v>196245245383372</v>
      </c>
      <c r="AI128" s="5">
        <v>189286017222309</v>
      </c>
      <c r="AJ128" s="5">
        <v>175538271377788</v>
      </c>
      <c r="AK128" s="5">
        <v>165242020245497</v>
      </c>
      <c r="AL128" s="5">
        <v>177567436150374</v>
      </c>
      <c r="AM128" s="5">
        <v>172901354984317</v>
      </c>
      <c r="AN128" s="5">
        <v>180707863572251</v>
      </c>
      <c r="AO128" s="5">
        <v>181703255083445</v>
      </c>
    </row>
    <row r="129" spans="1:41" x14ac:dyDescent="0.45">
      <c r="A129" s="1" t="s">
        <v>123</v>
      </c>
      <c r="B129" s="2">
        <v>4213375</v>
      </c>
      <c r="C129" s="3" t="s">
        <v>812</v>
      </c>
      <c r="D129" s="3" t="s">
        <v>813</v>
      </c>
      <c r="E129" s="3" t="s">
        <v>814</v>
      </c>
      <c r="F129" s="5">
        <v>71244507201192</v>
      </c>
      <c r="G129" s="5">
        <v>693418396118448</v>
      </c>
      <c r="H129" s="5">
        <v>692211391391169</v>
      </c>
      <c r="I129" s="5">
        <v>685469113515985</v>
      </c>
      <c r="J129" s="5">
        <v>648582071923934</v>
      </c>
      <c r="K129" s="5">
        <v>561076958859034</v>
      </c>
      <c r="L129" s="5">
        <v>526481161198551</v>
      </c>
      <c r="M129" s="5">
        <v>542204499303691</v>
      </c>
      <c r="N129" s="5">
        <v>568241780993601</v>
      </c>
      <c r="O129" s="5">
        <v>551276902520978</v>
      </c>
      <c r="P129" s="5">
        <v>666366048238454</v>
      </c>
      <c r="Q129" s="5">
        <v>644913869512966</v>
      </c>
      <c r="R129" s="5">
        <v>60564660818907</v>
      </c>
      <c r="S129" s="5">
        <v>657574223203806</v>
      </c>
      <c r="T129" s="5">
        <v>597119052488477</v>
      </c>
      <c r="U129" s="5">
        <v>565643571152342</v>
      </c>
      <c r="V129" s="5">
        <v>55927325056428</v>
      </c>
      <c r="W129" s="5">
        <v>540574331467632</v>
      </c>
      <c r="X129" s="5">
        <v>478719715653838</v>
      </c>
      <c r="Y129" s="5">
        <v>516719805216632</v>
      </c>
      <c r="Z129" s="5">
        <v>497121670309961</v>
      </c>
      <c r="AA129" s="5">
        <v>547427848112535</v>
      </c>
      <c r="AB129" s="5">
        <v>535387049786124</v>
      </c>
      <c r="AC129" s="5">
        <v>455162529406563</v>
      </c>
      <c r="AD129" s="5">
        <v>431764802992137</v>
      </c>
      <c r="AE129" s="5">
        <v>399577008742123</v>
      </c>
      <c r="AF129" s="5">
        <v>355671388670903</v>
      </c>
      <c r="AG129" s="5">
        <v>365148875764685</v>
      </c>
      <c r="AH129" s="5">
        <v>370815907694119</v>
      </c>
      <c r="AI129" s="5">
        <v>382599293822777</v>
      </c>
      <c r="AJ129" s="5">
        <v>362756188352376</v>
      </c>
      <c r="AK129" s="5">
        <v>331236715293066</v>
      </c>
      <c r="AL129" s="5">
        <v>313392677702949</v>
      </c>
      <c r="AM129" s="5">
        <v>336433777121534</v>
      </c>
      <c r="AN129" s="5">
        <v>326050266560631</v>
      </c>
      <c r="AO129" s="5">
        <v>30901789812797</v>
      </c>
    </row>
    <row r="130" spans="1:41" x14ac:dyDescent="0.45">
      <c r="A130" s="1" t="s">
        <v>124</v>
      </c>
      <c r="B130" s="2">
        <v>12917530</v>
      </c>
      <c r="C130" s="3" t="s">
        <v>815</v>
      </c>
      <c r="D130" s="3" t="s">
        <v>816</v>
      </c>
      <c r="E130" s="3" t="s">
        <v>817</v>
      </c>
      <c r="F130" s="5">
        <v>100648510254288</v>
      </c>
      <c r="G130" s="5">
        <v>110194297576662</v>
      </c>
      <c r="H130" s="5">
        <v>118147087545404</v>
      </c>
      <c r="I130" s="5">
        <v>104886920097792</v>
      </c>
      <c r="J130" s="5">
        <v>909012543901082</v>
      </c>
      <c r="K130" s="5">
        <v>990475090543184</v>
      </c>
      <c r="L130" s="5">
        <v>108093316256199</v>
      </c>
      <c r="M130" s="5">
        <v>103469946908481</v>
      </c>
      <c r="N130" s="5">
        <v>936976425722115</v>
      </c>
      <c r="O130" s="5">
        <v>808580470528796</v>
      </c>
      <c r="P130" s="5">
        <v>922441720832031</v>
      </c>
      <c r="Q130" s="5">
        <v>943331197097736</v>
      </c>
      <c r="R130" s="5">
        <v>814040359058297</v>
      </c>
      <c r="S130" s="5">
        <v>807680652588968</v>
      </c>
      <c r="T130" s="5">
        <v>670217965612734</v>
      </c>
      <c r="U130" s="5">
        <v>616417942518008</v>
      </c>
      <c r="V130" s="5">
        <v>614504598441642</v>
      </c>
      <c r="W130" s="5">
        <v>521597388519346</v>
      </c>
      <c r="X130" s="5">
        <v>870333639290741</v>
      </c>
      <c r="Y130" s="5">
        <v>699569071765764</v>
      </c>
      <c r="Z130" s="5">
        <v>661712517440265</v>
      </c>
      <c r="AA130" s="5">
        <v>717871551265581</v>
      </c>
      <c r="AB130" s="5">
        <v>720125033436613</v>
      </c>
      <c r="AC130" s="5">
        <v>64742379838578</v>
      </c>
      <c r="AD130" s="5">
        <v>554705698708832</v>
      </c>
      <c r="AE130" s="5">
        <v>521825376581379</v>
      </c>
      <c r="AF130" s="5">
        <v>399523237102138</v>
      </c>
      <c r="AG130" s="5">
        <v>377621151099774</v>
      </c>
      <c r="AH130" s="5">
        <v>358931284571257</v>
      </c>
      <c r="AI130" s="5">
        <v>347814909068908</v>
      </c>
      <c r="AJ130" s="5">
        <v>318988784128162</v>
      </c>
      <c r="AK130" s="5">
        <v>356241677006643</v>
      </c>
      <c r="AL130" s="5">
        <v>256566486348604</v>
      </c>
      <c r="AM130" s="5">
        <v>297976652108444</v>
      </c>
      <c r="AN130" s="5">
        <v>26648226434124</v>
      </c>
      <c r="AO130" s="5">
        <v>22853894758794</v>
      </c>
    </row>
    <row r="131" spans="1:41" x14ac:dyDescent="0.45">
      <c r="A131" s="1" t="s">
        <v>125</v>
      </c>
      <c r="B131" s="2">
        <v>4417219</v>
      </c>
      <c r="C131" s="3" t="s">
        <v>818</v>
      </c>
      <c r="D131" s="3" t="s">
        <v>819</v>
      </c>
      <c r="E131" s="3" t="s">
        <v>573</v>
      </c>
      <c r="F131" s="5">
        <v>329616584092468</v>
      </c>
      <c r="G131" s="5">
        <v>342808519258867</v>
      </c>
      <c r="H131" s="5">
        <v>340627904192651</v>
      </c>
      <c r="I131" s="5">
        <v>35812372822234</v>
      </c>
      <c r="J131" s="5">
        <v>369081718294619</v>
      </c>
      <c r="K131" s="5">
        <v>400054604732238</v>
      </c>
      <c r="L131" s="5">
        <v>380915828689828</v>
      </c>
      <c r="M131" s="5">
        <v>385113041956616</v>
      </c>
      <c r="N131" s="5">
        <v>405897713580491</v>
      </c>
      <c r="O131" s="5">
        <v>419902030805133</v>
      </c>
      <c r="P131" s="5">
        <v>393048489783981</v>
      </c>
      <c r="Q131" s="5">
        <v>373303728386519</v>
      </c>
      <c r="R131" s="5">
        <v>380990884105695</v>
      </c>
      <c r="S131" s="5">
        <v>4376566928888</v>
      </c>
      <c r="T131" s="5">
        <v>430244794290643</v>
      </c>
      <c r="U131" s="5">
        <v>462221674624561</v>
      </c>
      <c r="V131" s="5">
        <v>44011794787524</v>
      </c>
      <c r="W131" s="5">
        <v>442015433833882</v>
      </c>
      <c r="X131" s="5">
        <v>396213092885138</v>
      </c>
      <c r="Y131" s="5">
        <v>41069071147166</v>
      </c>
      <c r="Z131" s="5">
        <v>381087269817489</v>
      </c>
      <c r="AA131" s="5">
        <v>425731404445448</v>
      </c>
      <c r="AB131" s="5">
        <v>441620784359879</v>
      </c>
      <c r="AC131" s="5">
        <v>432708834591836</v>
      </c>
      <c r="AD131" s="5">
        <v>451957542306792</v>
      </c>
      <c r="AE131" s="5">
        <v>466363120718856</v>
      </c>
      <c r="AF131" s="5">
        <v>381661274614901</v>
      </c>
      <c r="AG131" s="5">
        <v>377083251148015</v>
      </c>
      <c r="AH131" s="5">
        <v>40185087565584</v>
      </c>
      <c r="AI131" s="5">
        <v>426135586430334</v>
      </c>
      <c r="AJ131" s="5">
        <v>452618565259687</v>
      </c>
      <c r="AK131" s="5">
        <v>460667083796613</v>
      </c>
      <c r="AL131" s="5">
        <v>483679383258765</v>
      </c>
      <c r="AM131" s="5">
        <v>53393576770882</v>
      </c>
      <c r="AN131" s="5">
        <v>53384979104751</v>
      </c>
      <c r="AO131" s="5">
        <v>590525373914609</v>
      </c>
    </row>
    <row r="132" spans="1:41" x14ac:dyDescent="0.45">
      <c r="A132" s="1" t="s">
        <v>126</v>
      </c>
      <c r="B132" s="2">
        <v>4004350</v>
      </c>
      <c r="C132" s="3" t="s">
        <v>820</v>
      </c>
      <c r="D132" s="3" t="s">
        <v>821</v>
      </c>
      <c r="E132" s="3" t="s">
        <v>822</v>
      </c>
      <c r="F132" s="5">
        <v>5748817648425</v>
      </c>
      <c r="G132" s="5">
        <v>56781240868352</v>
      </c>
      <c r="H132" s="5">
        <v>5814959320812</v>
      </c>
      <c r="I132" s="5">
        <v>5642275672044</v>
      </c>
      <c r="J132" s="5">
        <v>5181355931972</v>
      </c>
      <c r="K132" s="5">
        <v>5792144209104</v>
      </c>
      <c r="L132" s="5">
        <v>52189662445765</v>
      </c>
      <c r="M132" s="5">
        <v>52294517206659</v>
      </c>
      <c r="N132" s="5">
        <v>46472733762546</v>
      </c>
      <c r="O132" s="5">
        <v>513190460136162</v>
      </c>
      <c r="P132" s="5">
        <v>58287521062696</v>
      </c>
      <c r="Q132" s="5">
        <v>60984886704021</v>
      </c>
      <c r="R132" s="5">
        <v>60108160041839</v>
      </c>
      <c r="S132" s="5">
        <v>6680460312407</v>
      </c>
      <c r="T132" s="5">
        <v>5974724989212</v>
      </c>
      <c r="U132" s="5">
        <v>6002276582451</v>
      </c>
      <c r="V132" s="5">
        <v>60069119278715</v>
      </c>
      <c r="W132" s="5">
        <v>634030392996</v>
      </c>
      <c r="X132" s="5">
        <v>61030703634165</v>
      </c>
      <c r="Y132" s="5">
        <v>60839101042875</v>
      </c>
      <c r="Z132" s="5">
        <v>60734451738576</v>
      </c>
      <c r="AA132" s="5">
        <v>671834396574127</v>
      </c>
      <c r="AB132" s="5">
        <v>687622731210125</v>
      </c>
      <c r="AC132" s="5">
        <v>6502401085908</v>
      </c>
      <c r="AD132" s="5">
        <v>61983255529268</v>
      </c>
      <c r="AE132" s="5">
        <v>5852486841484</v>
      </c>
      <c r="AF132" s="5">
        <v>558317067993</v>
      </c>
      <c r="AG132" s="5">
        <v>582897711678</v>
      </c>
      <c r="AH132" s="5">
        <v>558656954732</v>
      </c>
      <c r="AI132" s="5">
        <v>60661216210504</v>
      </c>
      <c r="AJ132" s="5">
        <v>6350431747</v>
      </c>
      <c r="AK132" s="5">
        <v>58507143137575</v>
      </c>
      <c r="AL132" s="5">
        <v>564440660498</v>
      </c>
      <c r="AM132" s="5">
        <v>564481757402981</v>
      </c>
      <c r="AN132" s="5">
        <v>592412869810657</v>
      </c>
      <c r="AO132" s="5">
        <v>59834761176168</v>
      </c>
    </row>
    <row r="133" spans="1:41" x14ac:dyDescent="0.45">
      <c r="A133" s="1" t="s">
        <v>127</v>
      </c>
      <c r="B133" s="2">
        <v>4074303</v>
      </c>
      <c r="C133" s="3" t="s">
        <v>823</v>
      </c>
      <c r="D133" s="3" t="s">
        <v>824</v>
      </c>
      <c r="E133" s="3" t="s">
        <v>719</v>
      </c>
      <c r="F133" s="5">
        <v>60011297571357</v>
      </c>
      <c r="G133" s="5">
        <v>592807665151339</v>
      </c>
      <c r="H133" s="5">
        <v>522854694279653</v>
      </c>
      <c r="I133" s="5">
        <v>496010379239521</v>
      </c>
      <c r="J133" s="5">
        <v>469335560316175</v>
      </c>
      <c r="K133" s="5">
        <v>442707601665594</v>
      </c>
      <c r="L133" s="5">
        <v>384151915455262</v>
      </c>
      <c r="M133" s="5">
        <v>390287620506266</v>
      </c>
      <c r="N133" s="5">
        <v>356740301339261</v>
      </c>
      <c r="O133" s="5">
        <v>39944616511415</v>
      </c>
      <c r="P133" s="5">
        <v>486487819595169</v>
      </c>
      <c r="Q133" s="5">
        <v>470188225570275</v>
      </c>
      <c r="R133" s="5">
        <v>461908772651945</v>
      </c>
      <c r="S133" s="5">
        <v>48763060585473</v>
      </c>
      <c r="T133" s="5">
        <v>415241457491747</v>
      </c>
      <c r="U133" s="5">
        <v>397863177336916</v>
      </c>
      <c r="V133" s="5">
        <v>387636094057995</v>
      </c>
      <c r="W133" s="5">
        <v>368790275931</v>
      </c>
      <c r="X133" s="5">
        <v>353519581164739</v>
      </c>
      <c r="Y133" s="5">
        <v>355331181368359</v>
      </c>
      <c r="Z133" s="5">
        <v>3612954347256</v>
      </c>
      <c r="AA133" s="5">
        <v>371761709839681</v>
      </c>
      <c r="AB133" s="5">
        <v>35250165513987</v>
      </c>
      <c r="AC133" s="5">
        <v>31263645286345</v>
      </c>
      <c r="AD133" s="5">
        <v>307216368851149</v>
      </c>
      <c r="AE133" s="5">
        <v>291331482725544</v>
      </c>
      <c r="AF133" s="5">
        <v>289991263435556</v>
      </c>
      <c r="AG133" s="5">
        <v>30574392280698</v>
      </c>
      <c r="AH133" s="5">
        <v>300429141218575</v>
      </c>
      <c r="AI133" s="5">
        <v>335005848586573</v>
      </c>
      <c r="AJ133" s="5">
        <v>31790042860343</v>
      </c>
      <c r="AK133" s="5">
        <v>27151253316139</v>
      </c>
      <c r="AL133" s="5">
        <v>301436802768989</v>
      </c>
      <c r="AM133" s="5">
        <v>311196544703541</v>
      </c>
      <c r="AN133" s="5">
        <v>323722983892282</v>
      </c>
      <c r="AO133" s="5">
        <v>324001190756988</v>
      </c>
    </row>
    <row r="134" spans="1:41" x14ac:dyDescent="0.45">
      <c r="A134" s="1" t="s">
        <v>128</v>
      </c>
      <c r="B134" s="2">
        <v>4206348</v>
      </c>
      <c r="C134" s="3" t="s">
        <v>825</v>
      </c>
      <c r="D134" s="3" t="s">
        <v>826</v>
      </c>
      <c r="E134" s="3" t="s">
        <v>827</v>
      </c>
      <c r="F134" s="5">
        <v>858020993835763</v>
      </c>
      <c r="G134" s="5">
        <v>87974799092143</v>
      </c>
      <c r="H134" s="5">
        <v>860117309252843</v>
      </c>
      <c r="I134" s="5">
        <v>814961805880084</v>
      </c>
      <c r="J134" s="5">
        <v>793159757457856</v>
      </c>
      <c r="K134" s="5">
        <v>688546739472525</v>
      </c>
      <c r="L134" s="5">
        <v>743027757408756</v>
      </c>
      <c r="M134" s="5">
        <v>713957383226839</v>
      </c>
      <c r="N134" s="5">
        <v>742258891624084</v>
      </c>
      <c r="O134" s="5">
        <v>790295343774849</v>
      </c>
      <c r="P134" s="5">
        <v>7963621887544</v>
      </c>
      <c r="Q134" s="5">
        <v>683811264519742</v>
      </c>
      <c r="R134" s="5">
        <v>545636129398739</v>
      </c>
      <c r="S134" s="5">
        <v>713842181409703</v>
      </c>
      <c r="T134" s="5">
        <v>654144943270482</v>
      </c>
      <c r="U134" s="5">
        <v>709226169437482</v>
      </c>
      <c r="V134" s="5">
        <v>651012876803207</v>
      </c>
      <c r="W134" s="5">
        <v>699806658943022</v>
      </c>
      <c r="X134" s="5">
        <v>691970344669745</v>
      </c>
      <c r="Y134" s="5">
        <v>689917332818795</v>
      </c>
      <c r="Z134" s="5">
        <v>798166167101038</v>
      </c>
      <c r="AA134" s="5">
        <v>929261902703118</v>
      </c>
      <c r="AB134" s="5">
        <v>865809353516899</v>
      </c>
      <c r="AC134" s="5">
        <v>882126799470385</v>
      </c>
      <c r="AD134" s="5">
        <v>919296014675872</v>
      </c>
      <c r="AE134" s="5">
        <v>801779745966326</v>
      </c>
      <c r="AF134" s="5">
        <v>838943268378601</v>
      </c>
      <c r="AG134" s="5">
        <v>84726580121554</v>
      </c>
      <c r="AH134" s="5">
        <v>771753468464843</v>
      </c>
      <c r="AI134" s="5">
        <v>868876046146088</v>
      </c>
      <c r="AJ134" s="5">
        <v>811817895574316</v>
      </c>
      <c r="AK134" s="5">
        <v>818349416963364</v>
      </c>
      <c r="AL134" s="5">
        <v>850141648042247</v>
      </c>
      <c r="AM134" s="5">
        <v>878267198719783</v>
      </c>
      <c r="AN134" s="5">
        <v>101052756718832</v>
      </c>
      <c r="AO134" s="5">
        <v>106725850811192</v>
      </c>
    </row>
    <row r="135" spans="1:41" x14ac:dyDescent="0.45">
      <c r="A135" s="1" t="s">
        <v>129</v>
      </c>
      <c r="B135" s="2">
        <v>4049266</v>
      </c>
      <c r="C135" s="3" t="s">
        <v>828</v>
      </c>
      <c r="D135" s="3" t="s">
        <v>829</v>
      </c>
      <c r="E135" s="3" t="s">
        <v>830</v>
      </c>
      <c r="F135" s="5">
        <v>358271687097088</v>
      </c>
      <c r="G135" s="5">
        <v>400503269975005</v>
      </c>
      <c r="H135" s="5">
        <v>380616084866111</v>
      </c>
      <c r="I135" s="5">
        <v>430607481779426</v>
      </c>
      <c r="J135" s="5">
        <v>431946566215871</v>
      </c>
      <c r="K135" s="5">
        <v>372269021001591</v>
      </c>
      <c r="L135" s="5">
        <v>337209432777417</v>
      </c>
      <c r="M135" s="5">
        <v>319610703119237</v>
      </c>
      <c r="N135" s="5">
        <v>342065035204423</v>
      </c>
      <c r="O135" s="5">
        <v>370649198261205</v>
      </c>
      <c r="P135" s="5">
        <v>384062119023682</v>
      </c>
      <c r="Q135" s="5">
        <v>430211488824671</v>
      </c>
      <c r="R135" s="5">
        <v>433286715536638</v>
      </c>
      <c r="S135" s="5">
        <v>513773875846498</v>
      </c>
      <c r="T135" s="5">
        <v>5043453455664</v>
      </c>
      <c r="U135" s="5">
        <v>557328954934441</v>
      </c>
      <c r="V135" s="5">
        <v>556069698773091</v>
      </c>
      <c r="W135" s="5">
        <v>541724332973947</v>
      </c>
      <c r="X135" s="5">
        <v>433144297707603</v>
      </c>
      <c r="Y135" s="5">
        <v>448807741695822</v>
      </c>
      <c r="Z135" s="5">
        <v>438830463138247</v>
      </c>
      <c r="AA135" s="5">
        <v>5054917414862</v>
      </c>
      <c r="AB135" s="5">
        <v>458727252028862</v>
      </c>
      <c r="AC135" s="5">
        <v>437070211621805</v>
      </c>
      <c r="AD135" s="5">
        <v>457862274116414</v>
      </c>
      <c r="AE135" s="5">
        <v>39002770394305</v>
      </c>
      <c r="AF135" s="5">
        <v>334286396530344</v>
      </c>
      <c r="AG135" s="5">
        <v>34349840141414</v>
      </c>
      <c r="AH135" s="5">
        <v>371234605975922</v>
      </c>
      <c r="AI135" s="5">
        <v>389913677820907</v>
      </c>
      <c r="AJ135" s="5">
        <v>380185350433429</v>
      </c>
      <c r="AK135" s="5">
        <v>341916933006632</v>
      </c>
      <c r="AL135" s="5">
        <v>339392767584011</v>
      </c>
      <c r="AM135" s="5">
        <v>308758270012107</v>
      </c>
      <c r="AN135" s="5">
        <v>299151099344198</v>
      </c>
      <c r="AO135" s="5">
        <v>312020530865142</v>
      </c>
    </row>
    <row r="136" spans="1:41" x14ac:dyDescent="0.45">
      <c r="A136" s="1" t="s">
        <v>130</v>
      </c>
      <c r="B136" s="2">
        <v>4810677</v>
      </c>
      <c r="C136" s="3" t="s">
        <v>831</v>
      </c>
      <c r="D136" s="3" t="s">
        <v>832</v>
      </c>
      <c r="E136" s="3" t="s">
        <v>524</v>
      </c>
      <c r="F136" s="5">
        <v>137717796489001</v>
      </c>
      <c r="G136" s="5">
        <v>138144366640894</v>
      </c>
      <c r="H136" s="5">
        <v>131899804218041</v>
      </c>
      <c r="I136" s="5">
        <v>120996248091327</v>
      </c>
      <c r="J136" s="5">
        <v>125993228433174</v>
      </c>
      <c r="K136" s="5">
        <v>123416698663662</v>
      </c>
      <c r="L136" s="5">
        <v>120379425916344</v>
      </c>
      <c r="M136" s="5">
        <v>119773654545199</v>
      </c>
      <c r="N136" s="5">
        <v>125735605939618</v>
      </c>
      <c r="O136" s="5">
        <v>135696593375478</v>
      </c>
      <c r="P136" s="5">
        <v>142711931028196</v>
      </c>
      <c r="Q136" s="5">
        <v>1541018025414</v>
      </c>
      <c r="R136" s="5">
        <v>160144537997726</v>
      </c>
      <c r="S136" s="5">
        <v>164085153436174</v>
      </c>
      <c r="T136" s="5">
        <v>163416816358153</v>
      </c>
      <c r="U136" s="5">
        <v>180028027787007</v>
      </c>
      <c r="V136" s="5">
        <v>17584673109956</v>
      </c>
      <c r="W136" s="5">
        <v>184902379646736</v>
      </c>
      <c r="X136" s="5">
        <v>172716994766518</v>
      </c>
      <c r="Y136" s="5">
        <v>175391076868326</v>
      </c>
      <c r="Z136" s="5">
        <v>170831220906176</v>
      </c>
      <c r="AA136" s="5">
        <v>17120699149697</v>
      </c>
      <c r="AB136" s="5">
        <v>173223212375979</v>
      </c>
      <c r="AC136" s="5">
        <v>1634556347424</v>
      </c>
      <c r="AD136" s="5">
        <v>154652491205629</v>
      </c>
      <c r="AE136" s="5">
        <v>151297496865017</v>
      </c>
      <c r="AF136" s="5">
        <v>134297733191031</v>
      </c>
      <c r="AG136" s="5">
        <v>173073338679916</v>
      </c>
      <c r="AH136" s="5">
        <v>18040157201362</v>
      </c>
      <c r="AI136" s="5">
        <v>170885279444613</v>
      </c>
      <c r="AJ136" s="5">
        <v>16221966977376</v>
      </c>
      <c r="AK136" s="5">
        <v>158982098990488</v>
      </c>
      <c r="AL136" s="5">
        <v>158400417064613</v>
      </c>
      <c r="AM136" s="5">
        <v>169136446370441</v>
      </c>
      <c r="AN136" s="5">
        <v>169884647669268</v>
      </c>
      <c r="AO136" s="5">
        <v>1772789012478</v>
      </c>
    </row>
    <row r="137" spans="1:41" x14ac:dyDescent="0.45">
      <c r="A137" s="1" t="s">
        <v>131</v>
      </c>
      <c r="B137" s="2">
        <v>4297825</v>
      </c>
      <c r="C137" s="3" t="s">
        <v>833</v>
      </c>
      <c r="D137" s="3" t="s">
        <v>834</v>
      </c>
      <c r="E137" s="3" t="s">
        <v>749</v>
      </c>
      <c r="F137" s="5">
        <v>180457553826547</v>
      </c>
      <c r="G137" s="5">
        <v>180134881276775</v>
      </c>
      <c r="H137" s="5">
        <v>181670523024681</v>
      </c>
      <c r="I137" s="5">
        <v>188711899959609</v>
      </c>
      <c r="J137" s="5">
        <v>206271547740084</v>
      </c>
      <c r="K137" s="5">
        <v>206330541640906</v>
      </c>
      <c r="L137" s="5">
        <v>217202415307879</v>
      </c>
      <c r="M137" s="5">
        <v>220925977467832</v>
      </c>
      <c r="N137" s="5">
        <v>206954006821436</v>
      </c>
      <c r="O137" s="5">
        <v>225179027231599</v>
      </c>
      <c r="P137" s="5">
        <v>225697465018913</v>
      </c>
      <c r="Q137" s="5">
        <v>220048996095415</v>
      </c>
      <c r="R137" s="5">
        <v>211881406766626</v>
      </c>
      <c r="S137" s="5">
        <v>196306524797041</v>
      </c>
      <c r="T137" s="5">
        <v>173170345021279</v>
      </c>
      <c r="U137" s="5">
        <v>17291247612664</v>
      </c>
      <c r="V137" s="5">
        <v>169954305079743</v>
      </c>
      <c r="W137" s="5">
        <v>16066937922882</v>
      </c>
      <c r="X137" s="5">
        <v>168567007561753</v>
      </c>
      <c r="Y137" s="5">
        <v>165520564994662</v>
      </c>
      <c r="Z137" s="5">
        <v>171243125866293</v>
      </c>
      <c r="AA137" s="5">
        <v>184785212023931</v>
      </c>
      <c r="AB137" s="5">
        <v>188578118576765</v>
      </c>
      <c r="AC137" s="5">
        <v>178937086562986</v>
      </c>
      <c r="AD137" s="5">
        <v>178838424575604</v>
      </c>
      <c r="AE137" s="5">
        <v>172612299024401</v>
      </c>
      <c r="AF137" s="5">
        <v>165726450691991</v>
      </c>
      <c r="AG137" s="5">
        <v>162802937104204</v>
      </c>
      <c r="AH137" s="5">
        <v>173308452210535</v>
      </c>
      <c r="AI137" s="5">
        <v>185574620814229</v>
      </c>
      <c r="AJ137" s="5">
        <v>185076823007224</v>
      </c>
      <c r="AK137" s="5">
        <v>179869644209528</v>
      </c>
      <c r="AL137" s="5">
        <v>166476050421337</v>
      </c>
      <c r="AM137" s="5">
        <v>173806437466621</v>
      </c>
      <c r="AN137" s="5">
        <v>163932871390877</v>
      </c>
      <c r="AO137" s="5">
        <v>165806401500448</v>
      </c>
    </row>
    <row r="138" spans="1:41" x14ac:dyDescent="0.45">
      <c r="A138" s="1" t="s">
        <v>132</v>
      </c>
      <c r="B138" s="2">
        <v>5222696</v>
      </c>
      <c r="C138" s="3" t="s">
        <v>835</v>
      </c>
      <c r="D138" s="3" t="s">
        <v>836</v>
      </c>
      <c r="E138" s="3" t="s">
        <v>515</v>
      </c>
      <c r="F138" s="5">
        <v>406156269987996</v>
      </c>
      <c r="G138" s="5">
        <v>483899768145554</v>
      </c>
      <c r="H138" s="5">
        <v>4922756116684</v>
      </c>
      <c r="I138" s="5">
        <v>423263310547075</v>
      </c>
      <c r="J138" s="5">
        <v>407500770191542</v>
      </c>
      <c r="K138" s="5">
        <v>422610530797372</v>
      </c>
      <c r="L138" s="5">
        <v>395021915414758</v>
      </c>
      <c r="M138" s="5">
        <v>358779335163778</v>
      </c>
      <c r="N138" s="5">
        <v>310951588901685</v>
      </c>
      <c r="O138" s="5">
        <v>314619977989135</v>
      </c>
      <c r="P138" s="5">
        <v>383951242828793</v>
      </c>
      <c r="Q138" s="5">
        <v>46644414033964</v>
      </c>
      <c r="R138" s="5">
        <v>468877100970328</v>
      </c>
      <c r="S138" s="5">
        <v>491838978860548</v>
      </c>
      <c r="T138" s="5">
        <v>38951283247296</v>
      </c>
      <c r="U138" s="5">
        <v>347815713667609</v>
      </c>
      <c r="V138" s="5">
        <v>354383001686651</v>
      </c>
      <c r="W138" s="5">
        <v>359889145024147</v>
      </c>
      <c r="X138" s="5">
        <v>404876281613637</v>
      </c>
      <c r="Y138" s="5">
        <v>339840684437901</v>
      </c>
      <c r="Z138" s="5">
        <v>392259130236428</v>
      </c>
      <c r="AA138" s="5">
        <v>379759823650102</v>
      </c>
      <c r="AB138" s="5">
        <v>403604201652641</v>
      </c>
      <c r="AC138" s="5">
        <v>376839067591752</v>
      </c>
      <c r="AD138" s="5">
        <v>360792959459985</v>
      </c>
      <c r="AE138" s="5">
        <v>351168133941793</v>
      </c>
      <c r="AF138" s="5">
        <v>250611486577569</v>
      </c>
      <c r="AG138" s="5">
        <v>279700488405489</v>
      </c>
      <c r="AH138" s="5">
        <v>28910183875583</v>
      </c>
      <c r="AI138" s="5">
        <v>340903440165271</v>
      </c>
      <c r="AJ138" s="5">
        <v>29006118837197</v>
      </c>
      <c r="AK138" s="5">
        <v>286642788307263</v>
      </c>
      <c r="AL138" s="5">
        <v>196507450190871</v>
      </c>
      <c r="AM138" s="5">
        <v>213932481178656</v>
      </c>
      <c r="AN138" s="5">
        <v>230584753943834</v>
      </c>
      <c r="AO138" s="5">
        <v>218727490183541</v>
      </c>
    </row>
    <row r="139" spans="1:41" x14ac:dyDescent="0.45">
      <c r="A139" s="1" t="s">
        <v>133</v>
      </c>
      <c r="B139" s="2">
        <v>4189919</v>
      </c>
      <c r="C139" s="3" t="s">
        <v>837</v>
      </c>
      <c r="D139" s="3" t="s">
        <v>838</v>
      </c>
      <c r="E139" s="3" t="s">
        <v>827</v>
      </c>
      <c r="F139" s="5">
        <v>68313715722</v>
      </c>
      <c r="G139" s="5">
        <v>72867694592</v>
      </c>
      <c r="H139" s="5">
        <v>7285238004</v>
      </c>
      <c r="I139" s="5">
        <v>80970247215</v>
      </c>
      <c r="J139" s="5">
        <v>8420628216</v>
      </c>
      <c r="K139" s="5">
        <v>9264714777</v>
      </c>
      <c r="L139" s="5">
        <v>91578612125</v>
      </c>
      <c r="M139" s="5">
        <v>9066488319</v>
      </c>
      <c r="N139" s="5">
        <v>958963609375044</v>
      </c>
      <c r="O139" s="5">
        <v>1132222752</v>
      </c>
      <c r="P139" s="5">
        <v>1137019744</v>
      </c>
      <c r="Q139" s="5">
        <v>1390080564</v>
      </c>
      <c r="R139" s="5">
        <v>1184492829</v>
      </c>
      <c r="S139" s="5">
        <v>12914665932</v>
      </c>
      <c r="T139" s="5">
        <v>1055873082</v>
      </c>
      <c r="U139" s="5">
        <v>123315916282</v>
      </c>
      <c r="V139" s="5">
        <v>114478841708</v>
      </c>
      <c r="W139" s="5">
        <v>110713054953362</v>
      </c>
      <c r="X139" s="5">
        <v>113423505394204</v>
      </c>
      <c r="Y139" s="5">
        <v>118976810048803</v>
      </c>
      <c r="Z139" s="5">
        <v>114015297260447</v>
      </c>
      <c r="AA139" s="5">
        <v>11208646713</v>
      </c>
      <c r="AB139" s="5">
        <v>103012373519</v>
      </c>
      <c r="AC139" s="5">
        <v>9106580045056</v>
      </c>
      <c r="AD139" s="5">
        <v>8657632029456</v>
      </c>
      <c r="AE139" s="5">
        <v>8497983312552</v>
      </c>
      <c r="AF139" s="5">
        <v>6671745355845</v>
      </c>
      <c r="AG139" s="5">
        <v>8151590440824</v>
      </c>
      <c r="AH139" s="5">
        <v>861883370604</v>
      </c>
      <c r="AI139" s="5">
        <v>838961081526313</v>
      </c>
      <c r="AJ139" s="5">
        <v>834290549437464</v>
      </c>
      <c r="AK139" s="5">
        <v>79676029676956</v>
      </c>
      <c r="AL139" s="5">
        <v>742228798187167</v>
      </c>
      <c r="AM139" s="5">
        <v>6749510607684</v>
      </c>
      <c r="AN139" s="5">
        <v>700585074612</v>
      </c>
      <c r="AO139" s="5">
        <v>6834971643192</v>
      </c>
    </row>
    <row r="140" spans="1:41" x14ac:dyDescent="0.45">
      <c r="A140" s="1" t="s">
        <v>134</v>
      </c>
      <c r="B140" s="2">
        <v>4391531</v>
      </c>
      <c r="C140" s="3" t="s">
        <v>839</v>
      </c>
      <c r="D140" s="3" t="s">
        <v>840</v>
      </c>
      <c r="E140" s="3" t="s">
        <v>841</v>
      </c>
      <c r="F140" s="5">
        <v>128686477351666</v>
      </c>
      <c r="G140" s="5">
        <v>11064520980489</v>
      </c>
      <c r="H140" s="5">
        <v>102984027721965</v>
      </c>
      <c r="I140" s="5">
        <v>128165180182427</v>
      </c>
      <c r="J140" s="5">
        <v>151713258869917</v>
      </c>
      <c r="K140" s="5">
        <v>137683132088027</v>
      </c>
      <c r="L140" s="5">
        <v>131151058242669</v>
      </c>
      <c r="M140" s="5">
        <v>13896755721989</v>
      </c>
      <c r="N140" s="5">
        <v>148260932225001</v>
      </c>
      <c r="O140" s="5">
        <v>157004687454611</v>
      </c>
      <c r="P140" s="5">
        <v>203283936495625</v>
      </c>
      <c r="Q140" s="5">
        <v>259236726959753</v>
      </c>
      <c r="R140" s="5">
        <v>298017207168064</v>
      </c>
      <c r="S140" s="5">
        <v>282166057379653</v>
      </c>
      <c r="T140" s="5">
        <v>225117530860237</v>
      </c>
      <c r="U140" s="5">
        <v>217966098087698</v>
      </c>
      <c r="V140" s="5">
        <v>220384388018141</v>
      </c>
      <c r="W140" s="5">
        <v>216627696910712</v>
      </c>
      <c r="X140" s="5">
        <v>229844379307988</v>
      </c>
      <c r="Y140" s="5">
        <v>256639371136418</v>
      </c>
      <c r="Z140" s="5">
        <v>19647306239464</v>
      </c>
      <c r="AA140" s="5">
        <v>223677618803612</v>
      </c>
      <c r="AB140" s="5">
        <v>2126638488368</v>
      </c>
      <c r="AC140" s="5">
        <v>178755710561758</v>
      </c>
      <c r="AD140" s="5">
        <v>155601959511448</v>
      </c>
      <c r="AE140" s="5">
        <v>156648040045567</v>
      </c>
      <c r="AF140" s="5">
        <v>147690340805788</v>
      </c>
      <c r="AG140" s="5">
        <v>126938258285229</v>
      </c>
      <c r="AH140" s="5">
        <v>12748936816945</v>
      </c>
      <c r="AI140" s="5">
        <v>128932860446961</v>
      </c>
      <c r="AJ140" s="5">
        <v>126440099278449</v>
      </c>
      <c r="AK140" s="5">
        <v>116592470651719</v>
      </c>
      <c r="AL140" s="5">
        <v>114486158417993</v>
      </c>
      <c r="AM140" s="5">
        <v>109065600009616</v>
      </c>
      <c r="AN140" s="5">
        <v>103381456990169</v>
      </c>
      <c r="AO140" s="5">
        <v>104168235984495</v>
      </c>
    </row>
    <row r="141" spans="1:41" x14ac:dyDescent="0.45">
      <c r="A141" s="1" t="s">
        <v>135</v>
      </c>
      <c r="B141" s="2">
        <v>114526</v>
      </c>
      <c r="C141" s="3" t="s">
        <v>842</v>
      </c>
      <c r="D141" s="3" t="s">
        <v>843</v>
      </c>
      <c r="E141" s="3" t="s">
        <v>844</v>
      </c>
      <c r="F141" s="5">
        <v>107238638968053</v>
      </c>
      <c r="G141" s="5">
        <v>108287514107765</v>
      </c>
      <c r="H141" s="5">
        <v>108194800317508</v>
      </c>
      <c r="I141" s="5">
        <v>10535349999894</v>
      </c>
      <c r="J141" s="5">
        <v>110615904413764</v>
      </c>
      <c r="K141" s="5">
        <v>124148274110292</v>
      </c>
      <c r="L141" s="5">
        <v>117262491091203</v>
      </c>
      <c r="M141" s="5">
        <v>120834077856908</v>
      </c>
      <c r="N141" s="5">
        <v>110894786496106</v>
      </c>
      <c r="O141" s="5">
        <v>117859494764969</v>
      </c>
      <c r="P141" s="5">
        <v>125416920295995</v>
      </c>
      <c r="Q141" s="5">
        <v>12487244489364</v>
      </c>
      <c r="R141" s="5">
        <v>111142681141266</v>
      </c>
      <c r="S141" s="5">
        <v>120816213104436</v>
      </c>
      <c r="T141" s="5">
        <v>101975984629053</v>
      </c>
      <c r="U141" s="5">
        <v>10237505404039</v>
      </c>
      <c r="V141" s="5">
        <v>954172618303488</v>
      </c>
      <c r="W141" s="5">
        <v>947161417260274</v>
      </c>
      <c r="X141" s="5">
        <v>960938166754535</v>
      </c>
      <c r="Y141" s="5">
        <v>952277865217703</v>
      </c>
      <c r="Z141" s="5">
        <v>101892085260049</v>
      </c>
      <c r="AA141" s="5">
        <v>105849353618185</v>
      </c>
      <c r="AB141" s="5">
        <v>940037261849185</v>
      </c>
      <c r="AC141" s="5">
        <v>101569873303601</v>
      </c>
      <c r="AD141" s="5">
        <v>101385878228171</v>
      </c>
      <c r="AE141" s="5">
        <v>962289211435842</v>
      </c>
      <c r="AF141" s="5">
        <v>995944126542395</v>
      </c>
      <c r="AG141" s="5">
        <v>102686209440556</v>
      </c>
      <c r="AH141" s="5">
        <v>109119582457614</v>
      </c>
      <c r="AI141" s="5">
        <v>114291878940165</v>
      </c>
      <c r="AJ141" s="5">
        <v>1088194476284</v>
      </c>
      <c r="AK141" s="5">
        <v>961959985257663</v>
      </c>
      <c r="AL141" s="5">
        <v>101497467123915</v>
      </c>
      <c r="AM141" s="5">
        <v>112606835086171</v>
      </c>
      <c r="AN141" s="5">
        <v>117024801048034</v>
      </c>
      <c r="AO141" s="5">
        <v>115685852538391</v>
      </c>
    </row>
    <row r="142" spans="1:41" x14ac:dyDescent="0.45">
      <c r="A142" s="1" t="s">
        <v>136</v>
      </c>
      <c r="B142" s="2">
        <v>4625099</v>
      </c>
      <c r="C142" s="3" t="s">
        <v>845</v>
      </c>
      <c r="D142" s="3" t="s">
        <v>846</v>
      </c>
      <c r="E142" s="3" t="s">
        <v>600</v>
      </c>
      <c r="F142" s="5">
        <v>710482752805016</v>
      </c>
      <c r="G142" s="5">
        <v>770737180531903</v>
      </c>
      <c r="H142" s="5">
        <v>941381071386686</v>
      </c>
      <c r="I142" s="5">
        <v>809806707961945</v>
      </c>
      <c r="J142" s="5">
        <v>706318562580566</v>
      </c>
      <c r="K142" s="5">
        <v>784586493992215</v>
      </c>
      <c r="L142" s="5">
        <v>708677441038086</v>
      </c>
      <c r="M142" s="5">
        <v>670233487280233</v>
      </c>
      <c r="N142" s="5">
        <v>564394563099937</v>
      </c>
      <c r="O142" s="5">
        <v>588502981597556</v>
      </c>
      <c r="P142" s="5">
        <v>689071639139385</v>
      </c>
      <c r="Q142" s="5">
        <v>695427199493317</v>
      </c>
      <c r="R142" s="5">
        <v>779683294429017</v>
      </c>
      <c r="S142" s="5">
        <v>848922898892559</v>
      </c>
      <c r="T142" s="5">
        <v>799315815375851</v>
      </c>
      <c r="U142" s="5">
        <v>746102618292333</v>
      </c>
      <c r="V142" s="5">
        <v>738852578262901</v>
      </c>
      <c r="W142" s="5">
        <v>742959254642035</v>
      </c>
      <c r="X142" s="5">
        <v>912955301121286</v>
      </c>
      <c r="Y142" s="5">
        <v>914272468845621</v>
      </c>
      <c r="Z142" s="5">
        <v>832017769418349</v>
      </c>
      <c r="AA142" s="5">
        <v>754069794844377</v>
      </c>
      <c r="AB142" s="5">
        <v>618537494486032</v>
      </c>
      <c r="AC142" s="5">
        <v>539572962702592</v>
      </c>
      <c r="AD142" s="5">
        <v>4924959267181</v>
      </c>
      <c r="AE142" s="5">
        <v>503253212759035</v>
      </c>
      <c r="AF142" s="5">
        <v>458148371805825</v>
      </c>
      <c r="AG142" s="5">
        <v>47092701619911</v>
      </c>
      <c r="AH142" s="5">
        <v>377099594854947</v>
      </c>
      <c r="AI142" s="5">
        <v>349219465420382</v>
      </c>
      <c r="AJ142" s="5">
        <v>360456482503762</v>
      </c>
      <c r="AK142" s="5">
        <v>306875091123545</v>
      </c>
      <c r="AL142" s="5">
        <v>288140697555205</v>
      </c>
      <c r="AM142" s="5">
        <v>270613680668553</v>
      </c>
      <c r="AN142" s="5">
        <v>274154536203725</v>
      </c>
      <c r="AO142" s="5">
        <v>267823632648069</v>
      </c>
    </row>
    <row r="143" spans="1:41" x14ac:dyDescent="0.45">
      <c r="A143" s="1" t="s">
        <v>137</v>
      </c>
      <c r="B143" s="2">
        <v>4004278</v>
      </c>
      <c r="C143" s="3" t="s">
        <v>847</v>
      </c>
      <c r="D143" s="3" t="s">
        <v>848</v>
      </c>
      <c r="E143" s="3" t="s">
        <v>849</v>
      </c>
      <c r="F143" s="5">
        <v>38339673183259</v>
      </c>
      <c r="G143" s="5">
        <v>358565966765037</v>
      </c>
      <c r="H143" s="5">
        <v>322687342347079</v>
      </c>
      <c r="I143" s="5">
        <v>313726369864351</v>
      </c>
      <c r="J143" s="5">
        <v>342575177192469</v>
      </c>
      <c r="K143" s="5">
        <v>301714881242505</v>
      </c>
      <c r="L143" s="5">
        <v>273435654913071</v>
      </c>
      <c r="M143" s="5">
        <v>278459064465524</v>
      </c>
      <c r="N143" s="5">
        <v>239585993217411</v>
      </c>
      <c r="O143" s="5">
        <v>258828189151248</v>
      </c>
      <c r="P143" s="5">
        <v>370746457208039</v>
      </c>
      <c r="Q143" s="5">
        <v>414932396779825</v>
      </c>
      <c r="R143" s="5">
        <v>374647848631914</v>
      </c>
      <c r="S143" s="5">
        <v>387801251745086</v>
      </c>
      <c r="T143" s="5">
        <v>337864985368322</v>
      </c>
      <c r="U143" s="5">
        <v>292015694927083</v>
      </c>
      <c r="V143" s="5">
        <v>246338587588116</v>
      </c>
      <c r="W143" s="5">
        <v>254901049715743</v>
      </c>
      <c r="X143" s="5">
        <v>285717291536595</v>
      </c>
      <c r="Y143" s="5">
        <v>303591113237582</v>
      </c>
      <c r="Z143" s="5">
        <v>302170920756452</v>
      </c>
      <c r="AA143" s="5">
        <v>28326201824911</v>
      </c>
      <c r="AB143" s="5">
        <v>249935916547105</v>
      </c>
      <c r="AC143" s="5">
        <v>231010519252604</v>
      </c>
      <c r="AD143" s="5">
        <v>233064415656198</v>
      </c>
      <c r="AE143" s="5">
        <v>216831626654286</v>
      </c>
      <c r="AF143" s="5">
        <v>18940523896875</v>
      </c>
      <c r="AG143" s="5">
        <v>223837267945392</v>
      </c>
      <c r="AH143" s="5">
        <v>253149156968371</v>
      </c>
      <c r="AI143" s="5">
        <v>268778911668724</v>
      </c>
      <c r="AJ143" s="5">
        <v>279880793807996</v>
      </c>
      <c r="AK143" s="5">
        <v>219091515832116</v>
      </c>
      <c r="AL143" s="5">
        <v>199809114163894</v>
      </c>
      <c r="AM143" s="5">
        <v>205097658792961</v>
      </c>
      <c r="AN143" s="5">
        <v>230469186672382</v>
      </c>
      <c r="AO143" s="5">
        <v>230400942392947</v>
      </c>
    </row>
    <row r="144" spans="1:41" x14ac:dyDescent="0.45">
      <c r="A144" s="1" t="s">
        <v>138</v>
      </c>
      <c r="B144" s="2">
        <v>4010561</v>
      </c>
      <c r="C144" s="3" t="s">
        <v>850</v>
      </c>
      <c r="D144" s="3" t="s">
        <v>851</v>
      </c>
      <c r="E144" s="3" t="s">
        <v>595</v>
      </c>
      <c r="F144" s="5">
        <v>195703617483</v>
      </c>
      <c r="G144" s="5">
        <v>200488492512</v>
      </c>
      <c r="H144" s="5">
        <v>17881573284</v>
      </c>
      <c r="I144" s="5">
        <v>189688638024</v>
      </c>
      <c r="J144" s="5">
        <v>19591127772</v>
      </c>
      <c r="K144" s="5">
        <v>186471773004</v>
      </c>
      <c r="L144" s="5">
        <v>173920586515</v>
      </c>
      <c r="M144" s="5">
        <v>171236114098</v>
      </c>
      <c r="N144" s="5">
        <v>172433937691984</v>
      </c>
      <c r="O144" s="5">
        <v>22441585533745</v>
      </c>
      <c r="P144" s="5">
        <v>225768493056506</v>
      </c>
      <c r="Q144" s="5">
        <v>21551319009</v>
      </c>
      <c r="R144" s="5">
        <v>207671755083</v>
      </c>
      <c r="S144" s="5">
        <v>23628042669</v>
      </c>
      <c r="T144" s="5">
        <v>234500040328727</v>
      </c>
      <c r="U144" s="5">
        <v>219639599904</v>
      </c>
      <c r="V144" s="5">
        <v>253520814676</v>
      </c>
      <c r="W144" s="5">
        <v>272715788583638</v>
      </c>
      <c r="X144" s="5">
        <v>279869815535656</v>
      </c>
      <c r="Y144" s="5">
        <v>286311656811396</v>
      </c>
      <c r="Z144" s="5">
        <v>302803739175228</v>
      </c>
      <c r="AA144" s="5">
        <v>294803062583403</v>
      </c>
      <c r="AB144" s="5">
        <v>258652887613053</v>
      </c>
      <c r="AC144" s="5">
        <v>24814088454298</v>
      </c>
      <c r="AD144" s="5">
        <v>2625762748827</v>
      </c>
      <c r="AE144" s="5">
        <v>26417854916121</v>
      </c>
      <c r="AF144" s="5">
        <v>282410981535</v>
      </c>
      <c r="AG144" s="5">
        <v>28874401272</v>
      </c>
      <c r="AH144" s="5">
        <v>30180160686</v>
      </c>
      <c r="AI144" s="5">
        <v>3144304332</v>
      </c>
      <c r="AJ144" s="5">
        <v>28414116648</v>
      </c>
      <c r="AK144" s="5">
        <v>27757137771</v>
      </c>
      <c r="AL144" s="5">
        <v>311703532935536</v>
      </c>
      <c r="AM144" s="5">
        <v>304635439939685</v>
      </c>
      <c r="AN144" s="5">
        <v>332176010518224</v>
      </c>
      <c r="AO144" s="5">
        <v>380617269516</v>
      </c>
    </row>
    <row r="145" spans="1:41" x14ac:dyDescent="0.45">
      <c r="A145" s="1" t="s">
        <v>139</v>
      </c>
      <c r="B145" s="2">
        <v>4270258</v>
      </c>
      <c r="C145" s="3" t="s">
        <v>852</v>
      </c>
      <c r="D145" s="3" t="s">
        <v>853</v>
      </c>
      <c r="E145" s="3" t="s">
        <v>506</v>
      </c>
      <c r="F145" s="5">
        <v>220465781226975</v>
      </c>
      <c r="G145" s="5">
        <v>213481365927836</v>
      </c>
      <c r="H145" s="5">
        <v>196867499575133</v>
      </c>
      <c r="I145" s="5">
        <v>224906013084708</v>
      </c>
      <c r="J145" s="5">
        <v>25258001405894</v>
      </c>
      <c r="K145" s="5">
        <v>276897436551905</v>
      </c>
      <c r="L145" s="5">
        <v>291443447935899</v>
      </c>
      <c r="M145" s="5">
        <v>296494204261655</v>
      </c>
      <c r="N145" s="5">
        <v>24585160476762</v>
      </c>
      <c r="O145" s="5">
        <v>246897216902503</v>
      </c>
      <c r="P145" s="5">
        <v>331892080769873</v>
      </c>
      <c r="Q145" s="5">
        <v>326300041403508</v>
      </c>
      <c r="R145" s="5">
        <v>293407613016218</v>
      </c>
      <c r="S145" s="5">
        <v>288723901669696</v>
      </c>
      <c r="T145" s="5">
        <v>253543592033112</v>
      </c>
      <c r="U145" s="5">
        <v>240869135835087</v>
      </c>
      <c r="V145" s="5">
        <v>251216824102463</v>
      </c>
      <c r="W145" s="5">
        <v>251118189202003</v>
      </c>
      <c r="X145" s="5">
        <v>420819308966747</v>
      </c>
      <c r="Y145" s="5">
        <v>435534656844238</v>
      </c>
      <c r="Z145" s="5">
        <v>473781148245261</v>
      </c>
      <c r="AA145" s="5">
        <v>495034415168617</v>
      </c>
      <c r="AB145" s="5">
        <v>410386011583342</v>
      </c>
      <c r="AC145" s="5">
        <v>432152658621908</v>
      </c>
      <c r="AD145" s="5">
        <v>433759696002275</v>
      </c>
      <c r="AE145" s="5">
        <v>409248384708933</v>
      </c>
      <c r="AF145" s="5">
        <v>324853912254863</v>
      </c>
      <c r="AG145" s="5">
        <v>341908367579126</v>
      </c>
      <c r="AH145" s="5">
        <v>361122450311938</v>
      </c>
      <c r="AI145" s="5">
        <v>438394983195162</v>
      </c>
      <c r="AJ145" s="5">
        <v>456305893831447</v>
      </c>
      <c r="AK145" s="5">
        <v>426496319034411</v>
      </c>
      <c r="AL145" s="5">
        <v>426190536549564</v>
      </c>
      <c r="AM145" s="5">
        <v>413200165208657</v>
      </c>
      <c r="AN145" s="5">
        <v>404078282707398</v>
      </c>
      <c r="AO145" s="5">
        <v>380841870655744</v>
      </c>
    </row>
    <row r="146" spans="1:41" x14ac:dyDescent="0.45">
      <c r="A146" s="1" t="s">
        <v>140</v>
      </c>
      <c r="B146" s="2">
        <v>4337452</v>
      </c>
      <c r="C146" s="3" t="s">
        <v>854</v>
      </c>
      <c r="D146" s="3" t="s">
        <v>855</v>
      </c>
      <c r="E146" s="3" t="s">
        <v>595</v>
      </c>
      <c r="F146" s="5">
        <v>366689285335985</v>
      </c>
      <c r="G146" s="5">
        <v>376877956326835</v>
      </c>
      <c r="H146" s="5">
        <v>359384656922676</v>
      </c>
      <c r="I146" s="5">
        <v>353069227728756</v>
      </c>
      <c r="J146" s="5">
        <v>368153753100549</v>
      </c>
      <c r="K146" s="5">
        <v>379697308657531</v>
      </c>
      <c r="L146" s="5">
        <v>34182511864956</v>
      </c>
      <c r="M146" s="5">
        <v>346449596945634</v>
      </c>
      <c r="N146" s="5">
        <v>340360792560721</v>
      </c>
      <c r="O146" s="5">
        <v>428143801264764</v>
      </c>
      <c r="P146" s="5">
        <v>442197546178975</v>
      </c>
      <c r="Q146" s="5">
        <v>461724719910507</v>
      </c>
      <c r="R146" s="5">
        <v>46205361945852</v>
      </c>
      <c r="S146" s="5">
        <v>491475633202196</v>
      </c>
      <c r="T146" s="5">
        <v>479856016790888</v>
      </c>
      <c r="U146" s="5">
        <v>455594789541831</v>
      </c>
      <c r="V146" s="5">
        <v>314685941970199</v>
      </c>
      <c r="W146" s="5">
        <v>333385858558645</v>
      </c>
      <c r="X146" s="5">
        <v>333212663609217</v>
      </c>
      <c r="Y146" s="5">
        <v>327684576802725</v>
      </c>
      <c r="Z146" s="5">
        <v>335458811971048</v>
      </c>
      <c r="AA146" s="5">
        <v>327388426091092</v>
      </c>
      <c r="AB146" s="5">
        <v>301305720615059</v>
      </c>
      <c r="AC146" s="5">
        <v>253625481381379</v>
      </c>
      <c r="AD146" s="5">
        <v>25111739804082</v>
      </c>
      <c r="AE146" s="5">
        <v>253404204125759</v>
      </c>
      <c r="AF146" s="5">
        <v>271344223513354</v>
      </c>
      <c r="AG146" s="5">
        <v>261666112739553</v>
      </c>
      <c r="AH146" s="5">
        <v>250240574040495</v>
      </c>
      <c r="AI146" s="5">
        <v>239579774567854</v>
      </c>
      <c r="AJ146" s="5">
        <v>217902127779085</v>
      </c>
      <c r="AK146" s="5">
        <v>216053317093978</v>
      </c>
      <c r="AL146" s="5">
        <v>23375947454269</v>
      </c>
      <c r="AM146" s="5">
        <v>228405588755744</v>
      </c>
      <c r="AN146" s="5">
        <v>243121991330988</v>
      </c>
      <c r="AO146" s="5">
        <v>241417196908894</v>
      </c>
    </row>
    <row r="147" spans="1:41" x14ac:dyDescent="0.45">
      <c r="A147" s="1" t="s">
        <v>141</v>
      </c>
      <c r="B147" s="2">
        <v>4094311</v>
      </c>
      <c r="C147" s="3" t="s">
        <v>856</v>
      </c>
      <c r="D147" s="3" t="s">
        <v>857</v>
      </c>
      <c r="E147" s="3" t="s">
        <v>858</v>
      </c>
      <c r="F147" s="5">
        <v>452619996561189</v>
      </c>
      <c r="G147" s="5">
        <v>474332664397814</v>
      </c>
      <c r="H147" s="5">
        <v>507507982459694</v>
      </c>
      <c r="I147" s="5">
        <v>502522891605464</v>
      </c>
      <c r="J147" s="5">
        <v>488777917900147</v>
      </c>
      <c r="K147" s="5">
        <v>519480152370097</v>
      </c>
      <c r="L147" s="5">
        <v>499940005261806</v>
      </c>
      <c r="M147" s="5">
        <v>509095954691377</v>
      </c>
      <c r="N147" s="5">
        <v>476499287800564</v>
      </c>
      <c r="O147" s="5">
        <v>446295698768695</v>
      </c>
      <c r="P147" s="5">
        <v>505771458944802</v>
      </c>
      <c r="Q147" s="5">
        <v>522943948123938</v>
      </c>
      <c r="R147" s="5">
        <v>568167458839905</v>
      </c>
      <c r="S147" s="5">
        <v>615243896270231</v>
      </c>
      <c r="T147" s="5">
        <v>537444675410222</v>
      </c>
      <c r="U147" s="5">
        <v>475062878562098</v>
      </c>
      <c r="V147" s="5">
        <v>448784288492586</v>
      </c>
      <c r="W147" s="5">
        <v>450140909526</v>
      </c>
      <c r="X147" s="5">
        <v>460494610324397</v>
      </c>
      <c r="Y147" s="5">
        <v>434890618480746</v>
      </c>
      <c r="Z147" s="5">
        <v>405316621495205</v>
      </c>
      <c r="AA147" s="5">
        <v>416450436652826</v>
      </c>
      <c r="AB147" s="5">
        <v>424138164170262</v>
      </c>
      <c r="AC147" s="5">
        <v>392078318242424</v>
      </c>
      <c r="AD147" s="5">
        <v>368736126660593</v>
      </c>
      <c r="AE147" s="5">
        <v>385371355857284</v>
      </c>
      <c r="AF147" s="5">
        <v>356470184424152</v>
      </c>
      <c r="AG147" s="5">
        <v>346116887666743</v>
      </c>
      <c r="AH147" s="5">
        <v>367627846070828</v>
      </c>
      <c r="AI147" s="5">
        <v>338381568444688</v>
      </c>
      <c r="AJ147" s="5">
        <v>30388934706073</v>
      </c>
      <c r="AK147" s="5">
        <v>280095898598092</v>
      </c>
      <c r="AL147" s="5">
        <v>261739339480954</v>
      </c>
      <c r="AM147" s="5">
        <v>263577698593218</v>
      </c>
      <c r="AN147" s="5">
        <v>285871659756883</v>
      </c>
      <c r="AO147" s="5">
        <v>303424079698723</v>
      </c>
    </row>
    <row r="148" spans="1:41" x14ac:dyDescent="0.45">
      <c r="A148" s="1" t="s">
        <v>142</v>
      </c>
      <c r="B148" s="2">
        <v>4022058</v>
      </c>
      <c r="C148" s="3" t="s">
        <v>859</v>
      </c>
      <c r="D148" s="3" t="s">
        <v>860</v>
      </c>
      <c r="E148" s="3" t="s">
        <v>809</v>
      </c>
      <c r="F148" s="5">
        <v>24891087937524</v>
      </c>
      <c r="G148" s="5">
        <v>207833303265329</v>
      </c>
      <c r="H148" s="5">
        <v>188274778463902</v>
      </c>
      <c r="I148" s="5">
        <v>193880845981157</v>
      </c>
      <c r="J148" s="5">
        <v>204652216493539</v>
      </c>
      <c r="K148" s="5">
        <v>201812628814874</v>
      </c>
      <c r="L148" s="5">
        <v>214336825279823</v>
      </c>
      <c r="M148" s="5">
        <v>188508777445761</v>
      </c>
      <c r="N148" s="5">
        <v>181628703077145</v>
      </c>
      <c r="O148" s="5">
        <v>178933185652132</v>
      </c>
      <c r="P148" s="5">
        <v>156794682473967</v>
      </c>
      <c r="Q148" s="5">
        <v>150356200138234</v>
      </c>
      <c r="R148" s="5">
        <v>161061548367905</v>
      </c>
      <c r="S148" s="5">
        <v>161058196925071</v>
      </c>
      <c r="T148" s="5">
        <v>162114524324986</v>
      </c>
      <c r="U148" s="5">
        <v>16675170427615</v>
      </c>
      <c r="V148" s="5">
        <v>164965366223796</v>
      </c>
      <c r="W148" s="5">
        <v>244611602505547</v>
      </c>
      <c r="X148" s="5">
        <v>271372559560349</v>
      </c>
      <c r="Y148" s="5">
        <v>277605367921856</v>
      </c>
      <c r="Z148" s="5">
        <v>285947224033222</v>
      </c>
      <c r="AA148" s="5">
        <v>31738188181298</v>
      </c>
      <c r="AB148" s="5">
        <v>295061995449324</v>
      </c>
      <c r="AC148" s="5">
        <v>267191634528884</v>
      </c>
      <c r="AD148" s="5">
        <v>269968375760721</v>
      </c>
      <c r="AE148" s="5">
        <v>263863265730202</v>
      </c>
      <c r="AF148" s="5">
        <v>247287154050259</v>
      </c>
      <c r="AG148" s="5">
        <v>219388355238805</v>
      </c>
      <c r="AH148" s="5">
        <v>28026490237409</v>
      </c>
      <c r="AI148" s="5">
        <v>336082319687408</v>
      </c>
      <c r="AJ148" s="5">
        <v>341116014718596</v>
      </c>
      <c r="AK148" s="5">
        <v>413419893313463</v>
      </c>
      <c r="AL148" s="5">
        <v>439673819410082</v>
      </c>
      <c r="AM148" s="5">
        <v>424429298918942</v>
      </c>
      <c r="AN148" s="5">
        <v>455543937403254</v>
      </c>
      <c r="AO148" s="5">
        <v>480854661538205</v>
      </c>
    </row>
    <row r="149" spans="1:41" x14ac:dyDescent="0.45">
      <c r="A149" s="1" t="s">
        <v>143</v>
      </c>
      <c r="B149" s="2">
        <v>4911259</v>
      </c>
      <c r="C149" s="3" t="s">
        <v>861</v>
      </c>
      <c r="D149" s="3" t="s">
        <v>862</v>
      </c>
      <c r="E149" s="3" t="s">
        <v>809</v>
      </c>
      <c r="F149" s="5">
        <v>208333745348454</v>
      </c>
      <c r="G149" s="5">
        <v>1949168587571</v>
      </c>
      <c r="H149" s="5">
        <v>175283925966677</v>
      </c>
      <c r="I149" s="5">
        <v>164054498861829</v>
      </c>
      <c r="J149" s="5">
        <v>194774623634112</v>
      </c>
      <c r="K149" s="5">
        <v>207162759390554</v>
      </c>
      <c r="L149" s="5">
        <v>175998525932341</v>
      </c>
      <c r="M149" s="5">
        <v>16716446217381</v>
      </c>
      <c r="N149" s="5">
        <v>155014797614831</v>
      </c>
      <c r="O149" s="5">
        <v>149385399777787</v>
      </c>
      <c r="P149" s="5">
        <v>150582410447739</v>
      </c>
      <c r="Q149" s="5">
        <v>151752842100123</v>
      </c>
      <c r="R149" s="5">
        <v>155654741840883</v>
      </c>
      <c r="S149" s="5">
        <v>14522654430767</v>
      </c>
      <c r="T149" s="5">
        <v>127992204169594</v>
      </c>
      <c r="U149" s="5">
        <v>135550191915245</v>
      </c>
      <c r="V149" s="5">
        <v>16419015240096</v>
      </c>
      <c r="W149" s="5">
        <v>2072278543104</v>
      </c>
      <c r="X149" s="5">
        <v>21418834502304</v>
      </c>
      <c r="Y149" s="5">
        <v>237339497837146</v>
      </c>
      <c r="Z149" s="5">
        <v>241061752047732</v>
      </c>
      <c r="AA149" s="5">
        <v>268708254842749</v>
      </c>
      <c r="AB149" s="5">
        <v>295638422857949</v>
      </c>
      <c r="AC149" s="5">
        <v>262301371531634</v>
      </c>
      <c r="AD149" s="5">
        <v>27999296716424</v>
      </c>
      <c r="AE149" s="5">
        <v>246891762209727</v>
      </c>
      <c r="AF149" s="5">
        <v>231328528971948</v>
      </c>
      <c r="AG149" s="5">
        <v>221268280780165</v>
      </c>
      <c r="AH149" s="5">
        <v>24820127061749</v>
      </c>
      <c r="AI149" s="5">
        <v>308625565057327</v>
      </c>
      <c r="AJ149" s="5">
        <v>28968775739358</v>
      </c>
      <c r="AK149" s="5">
        <v>278915108791382</v>
      </c>
      <c r="AL149" s="5">
        <v>308118297982569</v>
      </c>
      <c r="AM149" s="5">
        <v>292293423539489</v>
      </c>
      <c r="AN149" s="5">
        <v>30269927604791</v>
      </c>
      <c r="AO149" s="5">
        <v>305833384912618</v>
      </c>
    </row>
    <row r="150" spans="1:41" x14ac:dyDescent="0.45">
      <c r="A150" s="1" t="s">
        <v>144</v>
      </c>
      <c r="B150" s="2">
        <v>4001616</v>
      </c>
      <c r="C150" s="3" t="s">
        <v>863</v>
      </c>
      <c r="D150" s="3" t="s">
        <v>864</v>
      </c>
      <c r="E150" s="3" t="s">
        <v>562</v>
      </c>
      <c r="F150" s="5">
        <v>426112143886445</v>
      </c>
      <c r="G150" s="5">
        <v>462247576290229</v>
      </c>
      <c r="H150" s="5">
        <v>434507195869217</v>
      </c>
      <c r="I150" s="5">
        <v>444939250451974</v>
      </c>
      <c r="J150" s="5">
        <v>437030643201487</v>
      </c>
      <c r="K150" s="5">
        <v>435750312784813</v>
      </c>
      <c r="L150" s="5">
        <v>410420641965914</v>
      </c>
      <c r="M150" s="5">
        <v>425911505936977</v>
      </c>
      <c r="N150" s="5">
        <v>408471272434589</v>
      </c>
      <c r="O150" s="5">
        <v>442094843091893</v>
      </c>
      <c r="P150" s="5">
        <v>463664404613068</v>
      </c>
      <c r="Q150" s="5">
        <v>44926351588696</v>
      </c>
      <c r="R150" s="5">
        <v>437001349369981</v>
      </c>
      <c r="S150" s="5">
        <v>467744660069645</v>
      </c>
      <c r="T150" s="5">
        <v>459965846639649</v>
      </c>
      <c r="U150" s="5">
        <v>434691854201231</v>
      </c>
      <c r="V150" s="5">
        <v>423992671453568</v>
      </c>
      <c r="W150" s="5">
        <v>414051267353724</v>
      </c>
      <c r="X150" s="5">
        <v>383327995832145</v>
      </c>
      <c r="Y150" s="5">
        <v>416755267966679</v>
      </c>
      <c r="Z150" s="5">
        <v>399335138554593</v>
      </c>
      <c r="AA150" s="5">
        <v>381440845442171</v>
      </c>
      <c r="AB150" s="5">
        <v>37054798149735</v>
      </c>
      <c r="AC150" s="5">
        <v>352627196927396</v>
      </c>
      <c r="AD150" s="5">
        <v>355813518200139</v>
      </c>
      <c r="AE150" s="5">
        <v>347875212160177</v>
      </c>
      <c r="AF150" s="5">
        <v>319336642660694</v>
      </c>
      <c r="AG150" s="5">
        <v>353153447632012</v>
      </c>
      <c r="AH150" s="5">
        <v>374488345356524</v>
      </c>
      <c r="AI150" s="5">
        <v>406194552434034</v>
      </c>
      <c r="AJ150" s="5">
        <v>396567600258888</v>
      </c>
      <c r="AK150" s="5">
        <v>394378135929281</v>
      </c>
      <c r="AL150" s="5">
        <v>432447332473061</v>
      </c>
      <c r="AM150" s="5">
        <v>429816376245883</v>
      </c>
      <c r="AN150" s="5">
        <v>437591677768427</v>
      </c>
      <c r="AO150" s="5">
        <v>488243840663363</v>
      </c>
    </row>
    <row r="151" spans="1:41" x14ac:dyDescent="0.45">
      <c r="A151" s="1" t="s">
        <v>145</v>
      </c>
      <c r="B151" s="2">
        <v>4206221</v>
      </c>
      <c r="C151" s="3" t="s">
        <v>865</v>
      </c>
      <c r="D151" s="3" t="s">
        <v>866</v>
      </c>
      <c r="E151" s="3" t="s">
        <v>749</v>
      </c>
      <c r="F151" s="5">
        <v>119942963901035</v>
      </c>
      <c r="G151" s="5">
        <v>122268576726148</v>
      </c>
      <c r="H151" s="5">
        <v>116719497198508</v>
      </c>
      <c r="I151" s="5">
        <v>124913843861488</v>
      </c>
      <c r="J151" s="5">
        <v>133012099935771</v>
      </c>
      <c r="K151" s="5">
        <v>137472143506016</v>
      </c>
      <c r="L151" s="5">
        <v>131379719200743</v>
      </c>
      <c r="M151" s="5">
        <v>14298472621905</v>
      </c>
      <c r="N151" s="5">
        <v>147995812976183</v>
      </c>
      <c r="O151" s="5">
        <v>145804515965379</v>
      </c>
      <c r="P151" s="5">
        <v>161421001072961</v>
      </c>
      <c r="Q151" s="5">
        <v>149212107851003</v>
      </c>
      <c r="R151" s="5">
        <v>14000858706072</v>
      </c>
      <c r="S151" s="5">
        <v>155854171519006</v>
      </c>
      <c r="T151" s="5">
        <v>131582489525627</v>
      </c>
      <c r="U151" s="5">
        <v>13487874444997</v>
      </c>
      <c r="V151" s="5">
        <v>130970051438383</v>
      </c>
      <c r="W151" s="5">
        <v>138535285481208</v>
      </c>
      <c r="X151" s="5">
        <v>168084552906212</v>
      </c>
      <c r="Y151" s="5">
        <v>163574830005111</v>
      </c>
      <c r="Z151" s="5">
        <v>17264776252727</v>
      </c>
      <c r="AA151" s="5">
        <v>160231248474315</v>
      </c>
      <c r="AB151" s="5">
        <v>14439223858707</v>
      </c>
      <c r="AC151" s="5">
        <v>137028886216954</v>
      </c>
      <c r="AD151" s="5">
        <v>130086701017048</v>
      </c>
      <c r="AE151" s="5">
        <v>125655546508267</v>
      </c>
      <c r="AF151" s="5">
        <v>111917041403164</v>
      </c>
      <c r="AG151" s="5">
        <v>125595773102088</v>
      </c>
      <c r="AH151" s="5">
        <v>125350817667712</v>
      </c>
      <c r="AI151" s="5">
        <v>126340152769143</v>
      </c>
      <c r="AJ151" s="5">
        <v>109085521432452</v>
      </c>
      <c r="AK151" s="5">
        <v>961102364443265</v>
      </c>
      <c r="AL151" s="5">
        <v>10165610068</v>
      </c>
      <c r="AM151" s="5">
        <v>107544181436253</v>
      </c>
      <c r="AN151" s="5">
        <v>980973571217526</v>
      </c>
      <c r="AO151" s="5">
        <v>118259608711167</v>
      </c>
    </row>
    <row r="152" spans="1:41" x14ac:dyDescent="0.45">
      <c r="A152" s="1" t="s">
        <v>146</v>
      </c>
      <c r="B152" s="2">
        <v>6543878</v>
      </c>
      <c r="C152" s="3" t="s">
        <v>867</v>
      </c>
      <c r="D152" s="3" t="s">
        <v>868</v>
      </c>
      <c r="E152" s="3" t="s">
        <v>749</v>
      </c>
      <c r="F152" s="5">
        <v>831366042214433</v>
      </c>
      <c r="G152" s="5">
        <v>737327647669795</v>
      </c>
      <c r="H152" s="5">
        <v>942130313435333</v>
      </c>
      <c r="I152" s="5">
        <v>990310572637461</v>
      </c>
      <c r="J152" s="5">
        <v>895674733752852</v>
      </c>
      <c r="K152" s="5">
        <v>927018877972687</v>
      </c>
      <c r="L152" s="5">
        <v>889452753620681</v>
      </c>
      <c r="M152" s="5">
        <v>779194447546856</v>
      </c>
      <c r="N152" s="5">
        <v>720419781540829</v>
      </c>
      <c r="O152" s="5">
        <v>710377453694835</v>
      </c>
      <c r="P152" s="5">
        <v>801210124862014</v>
      </c>
      <c r="Q152" s="5">
        <v>75466423408757</v>
      </c>
      <c r="R152" s="5">
        <v>673065383712043</v>
      </c>
      <c r="S152" s="5">
        <v>710572419849116</v>
      </c>
      <c r="T152" s="5">
        <v>599502759898473</v>
      </c>
      <c r="U152" s="5">
        <v>526656507721615</v>
      </c>
      <c r="V152" s="5">
        <v>478897107799322</v>
      </c>
      <c r="W152" s="5">
        <v>418341043364429</v>
      </c>
      <c r="X152" s="5">
        <v>415147806115975</v>
      </c>
      <c r="Y152" s="5">
        <v>415180752350875</v>
      </c>
      <c r="Z152" s="5">
        <v>488376256503219</v>
      </c>
      <c r="AA152" s="5">
        <v>515110120114521</v>
      </c>
      <c r="AB152" s="5">
        <v>465573269024062</v>
      </c>
      <c r="AC152" s="5">
        <v>382444184663294</v>
      </c>
      <c r="AD152" s="5">
        <v>356260540375699</v>
      </c>
      <c r="AE152" s="5">
        <v>34313748871382</v>
      </c>
      <c r="AF152" s="5">
        <v>279006145462945</v>
      </c>
      <c r="AG152" s="5">
        <v>29530079176387</v>
      </c>
      <c r="AH152" s="5">
        <v>305072684560044</v>
      </c>
      <c r="AI152" s="5">
        <v>32011038654797</v>
      </c>
      <c r="AJ152" s="5">
        <v>271997856663464</v>
      </c>
      <c r="AK152" s="5">
        <v>238040777291426</v>
      </c>
      <c r="AL152" s="5">
        <v>21538974813801</v>
      </c>
      <c r="AM152" s="5">
        <v>229366724617299</v>
      </c>
      <c r="AN152" s="5">
        <v>201878674454171</v>
      </c>
      <c r="AO152" s="5">
        <v>207024451499131</v>
      </c>
    </row>
    <row r="153" spans="1:41" x14ac:dyDescent="0.45">
      <c r="A153" s="1" t="s">
        <v>147</v>
      </c>
      <c r="B153" s="2">
        <v>4068060</v>
      </c>
      <c r="C153" s="3" t="s">
        <v>869</v>
      </c>
      <c r="D153" s="3" t="s">
        <v>870</v>
      </c>
      <c r="E153" s="3" t="s">
        <v>871</v>
      </c>
      <c r="F153" s="5">
        <v>228066482216815</v>
      </c>
      <c r="G153" s="5">
        <v>219150924733763</v>
      </c>
      <c r="H153" s="5">
        <v>215777432741179</v>
      </c>
      <c r="I153" s="5">
        <v>194990393987177</v>
      </c>
      <c r="J153" s="5">
        <v>209688745785345</v>
      </c>
      <c r="K153" s="5">
        <v>217155955365144</v>
      </c>
      <c r="L153" s="5">
        <v>213910706403466</v>
      </c>
      <c r="M153" s="5">
        <v>214775464777445</v>
      </c>
      <c r="N153" s="5">
        <v>20621992605444</v>
      </c>
      <c r="O153" s="5">
        <v>222779829439987</v>
      </c>
      <c r="P153" s="5">
        <v>262152466890544</v>
      </c>
      <c r="Q153" s="5">
        <v>26884210094718</v>
      </c>
      <c r="R153" s="5">
        <v>248595738643834</v>
      </c>
      <c r="S153" s="5">
        <v>267732892926713</v>
      </c>
      <c r="T153" s="5">
        <v>239225650838804</v>
      </c>
      <c r="U153" s="5">
        <v>23630900659206</v>
      </c>
      <c r="V153" s="5">
        <v>231189588638495</v>
      </c>
      <c r="W153" s="5">
        <v>234030173702926</v>
      </c>
      <c r="X153" s="5">
        <v>231451609047876</v>
      </c>
      <c r="Y153" s="5">
        <v>232944701155275</v>
      </c>
      <c r="Z153" s="5">
        <v>230444761338176</v>
      </c>
      <c r="AA153" s="5">
        <v>225355690279228</v>
      </c>
      <c r="AB153" s="5">
        <v>214032165493835</v>
      </c>
      <c r="AC153" s="5">
        <v>193121457746605</v>
      </c>
      <c r="AD153" s="5">
        <v>194659803081046</v>
      </c>
      <c r="AE153" s="5">
        <v>18105925941423</v>
      </c>
      <c r="AF153" s="5">
        <v>172061624674152</v>
      </c>
      <c r="AG153" s="5">
        <v>184366357133686</v>
      </c>
      <c r="AH153" s="5">
        <v>19125311764195</v>
      </c>
      <c r="AI153" s="5">
        <v>185267326402658</v>
      </c>
      <c r="AJ153" s="5">
        <v>189145244411252</v>
      </c>
      <c r="AK153" s="5">
        <v>174958923135436</v>
      </c>
      <c r="AL153" s="5">
        <v>185212872049776</v>
      </c>
      <c r="AM153" s="5">
        <v>195463129306586</v>
      </c>
      <c r="AN153" s="5">
        <v>1972831417656</v>
      </c>
      <c r="AO153" s="5">
        <v>196200619683799</v>
      </c>
    </row>
    <row r="154" spans="1:41" x14ac:dyDescent="0.45">
      <c r="A154" s="1" t="s">
        <v>148</v>
      </c>
      <c r="B154" s="2">
        <v>4209300</v>
      </c>
      <c r="C154" s="3" t="s">
        <v>872</v>
      </c>
      <c r="D154" s="3" t="s">
        <v>873</v>
      </c>
      <c r="E154" s="3" t="s">
        <v>874</v>
      </c>
      <c r="F154" s="5">
        <v>141533305419784</v>
      </c>
      <c r="G154" s="5">
        <v>146192343028301</v>
      </c>
      <c r="H154" s="5">
        <v>146972125934064</v>
      </c>
      <c r="I154" s="5">
        <v>138531106567451</v>
      </c>
      <c r="J154" s="5">
        <v>149255549973122</v>
      </c>
      <c r="K154" s="5">
        <v>144321505579698</v>
      </c>
      <c r="L154" s="5">
        <v>159381205471374</v>
      </c>
      <c r="M154" s="5">
        <v>172808341066614</v>
      </c>
      <c r="N154" s="5">
        <v>190584245583612</v>
      </c>
      <c r="O154" s="5">
        <v>228018267522167</v>
      </c>
      <c r="P154" s="5">
        <v>258504024331936</v>
      </c>
      <c r="Q154" s="5">
        <v>26434736188644</v>
      </c>
      <c r="R154" s="5">
        <v>272296787088782</v>
      </c>
      <c r="S154" s="5">
        <v>294359739874022</v>
      </c>
      <c r="T154" s="5">
        <v>319486055196762</v>
      </c>
      <c r="U154" s="5">
        <v>343319937100932</v>
      </c>
      <c r="V154" s="5">
        <v>33953790741805</v>
      </c>
      <c r="W154" s="5">
        <v>352775515971278</v>
      </c>
      <c r="X154" s="5">
        <v>348168211604239</v>
      </c>
      <c r="Y154" s="5">
        <v>373687959034321</v>
      </c>
      <c r="Z154" s="5">
        <v>374196074470904</v>
      </c>
      <c r="AA154" s="5">
        <v>377173900168253</v>
      </c>
      <c r="AB154" s="5">
        <v>363047696740406</v>
      </c>
      <c r="AC154" s="5">
        <v>34695486745711</v>
      </c>
      <c r="AD154" s="5">
        <v>347989343036385</v>
      </c>
      <c r="AE154" s="5">
        <v>332809898409725</v>
      </c>
      <c r="AF154" s="5">
        <v>320915853470929</v>
      </c>
      <c r="AG154" s="5">
        <v>342494952253476</v>
      </c>
      <c r="AH154" s="5">
        <v>353676874991862</v>
      </c>
      <c r="AI154" s="5">
        <v>360261576001411</v>
      </c>
      <c r="AJ154" s="5">
        <v>345071733446711</v>
      </c>
      <c r="AK154" s="5">
        <v>323739925206471</v>
      </c>
      <c r="AL154" s="5">
        <v>348648482962749</v>
      </c>
      <c r="AM154" s="5">
        <v>357225105216006</v>
      </c>
      <c r="AN154" s="5">
        <v>37980621801408</v>
      </c>
      <c r="AO154" s="5">
        <v>385171376281164</v>
      </c>
    </row>
    <row r="155" spans="1:41" x14ac:dyDescent="0.45">
      <c r="A155" s="1" t="s">
        <v>149</v>
      </c>
      <c r="B155" s="2">
        <v>4057044</v>
      </c>
      <c r="C155" s="3" t="s">
        <v>875</v>
      </c>
      <c r="D155" s="3" t="s">
        <v>876</v>
      </c>
      <c r="E155" s="3" t="s">
        <v>562</v>
      </c>
      <c r="F155" s="5">
        <v>228144494779052</v>
      </c>
      <c r="G155" s="5">
        <v>245428718230721</v>
      </c>
      <c r="H155" s="5">
        <v>244054911720982</v>
      </c>
      <c r="I155" s="5">
        <v>250227975603966</v>
      </c>
      <c r="J155" s="5">
        <v>242508399670293</v>
      </c>
      <c r="K155" s="5">
        <v>251177135543257</v>
      </c>
      <c r="L155" s="5">
        <v>234056294429186</v>
      </c>
      <c r="M155" s="5">
        <v>249910399151929</v>
      </c>
      <c r="N155" s="5">
        <v>250581419652018</v>
      </c>
      <c r="O155" s="5">
        <v>265472071693484</v>
      </c>
      <c r="P155" s="5">
        <v>266304543795773</v>
      </c>
      <c r="Q155" s="5">
        <v>238862666780171</v>
      </c>
      <c r="R155" s="5">
        <v>241546435641011</v>
      </c>
      <c r="S155" s="5">
        <v>246893480759704</v>
      </c>
      <c r="T155" s="5">
        <v>236936780442793</v>
      </c>
      <c r="U155" s="5">
        <v>238347199007125</v>
      </c>
      <c r="V155" s="5">
        <v>233996001280866</v>
      </c>
      <c r="W155" s="5">
        <v>230557683439776</v>
      </c>
      <c r="X155" s="5">
        <v>214398641558955</v>
      </c>
      <c r="Y155" s="5">
        <v>222358855136454</v>
      </c>
      <c r="Z155" s="5">
        <v>213499770321564</v>
      </c>
      <c r="AA155" s="5">
        <v>214827941805916</v>
      </c>
      <c r="AB155" s="5">
        <v>206937292734862</v>
      </c>
      <c r="AC155" s="5">
        <v>200412558518134</v>
      </c>
      <c r="AD155" s="5">
        <v>205747663251414</v>
      </c>
      <c r="AE155" s="5">
        <v>196891402347217</v>
      </c>
      <c r="AF155" s="5">
        <v>188080937105443</v>
      </c>
      <c r="AG155" s="5">
        <v>193392172796497</v>
      </c>
      <c r="AH155" s="5">
        <v>196519064737033</v>
      </c>
      <c r="AI155" s="5">
        <v>213836700696863</v>
      </c>
      <c r="AJ155" s="5">
        <v>207713362923077</v>
      </c>
      <c r="AK155" s="5">
        <v>208090048049479</v>
      </c>
      <c r="AL155" s="5">
        <v>20993188291127</v>
      </c>
      <c r="AM155" s="5">
        <v>207799717171291</v>
      </c>
      <c r="AN155" s="5">
        <v>212572600332347</v>
      </c>
      <c r="AO155" s="5">
        <v>207578770821013</v>
      </c>
    </row>
    <row r="156" spans="1:41" x14ac:dyDescent="0.45">
      <c r="A156" s="1" t="s">
        <v>150</v>
      </c>
      <c r="B156" s="2">
        <v>4121470</v>
      </c>
      <c r="C156" s="3" t="s">
        <v>877</v>
      </c>
      <c r="D156" s="3" t="s">
        <v>878</v>
      </c>
      <c r="E156" s="3" t="s">
        <v>547</v>
      </c>
      <c r="F156" s="5">
        <v>776321756977946</v>
      </c>
      <c r="G156" s="5">
        <v>831209856052478</v>
      </c>
      <c r="H156" s="5">
        <v>838031113221027</v>
      </c>
      <c r="I156" s="5">
        <v>820177049864824</v>
      </c>
      <c r="J156" s="5">
        <v>814302688011234</v>
      </c>
      <c r="K156" s="5">
        <v>826517237399486</v>
      </c>
      <c r="L156" s="5">
        <v>78096462340039</v>
      </c>
      <c r="M156" s="5">
        <v>806378101583421</v>
      </c>
      <c r="N156" s="5">
        <v>835674605285643</v>
      </c>
      <c r="O156" s="5">
        <v>876842892417819</v>
      </c>
      <c r="P156" s="5">
        <v>876776967209361</v>
      </c>
      <c r="Q156" s="5">
        <v>832315639940375</v>
      </c>
      <c r="R156" s="5">
        <v>803892049425687</v>
      </c>
      <c r="S156" s="5">
        <v>856991902858759</v>
      </c>
      <c r="T156" s="5">
        <v>81979767089221</v>
      </c>
      <c r="U156" s="5">
        <v>798286525188339</v>
      </c>
      <c r="V156" s="5">
        <v>795539147348647</v>
      </c>
      <c r="W156" s="5">
        <v>779219883595138</v>
      </c>
      <c r="X156" s="5">
        <v>721948316364433</v>
      </c>
      <c r="Y156" s="5">
        <v>73705366491057</v>
      </c>
      <c r="Z156" s="5">
        <v>708915920147662</v>
      </c>
      <c r="AA156" s="5">
        <v>690719999838283</v>
      </c>
      <c r="AB156" s="5">
        <v>654819223162251</v>
      </c>
      <c r="AC156" s="5">
        <v>68074277921021</v>
      </c>
      <c r="AD156" s="5">
        <v>676623918472081</v>
      </c>
      <c r="AE156" s="5">
        <v>652111000364473</v>
      </c>
      <c r="AF156" s="5">
        <v>648430053134348</v>
      </c>
      <c r="AG156" s="5">
        <v>642677977564222</v>
      </c>
      <c r="AH156" s="5">
        <v>63100601256312</v>
      </c>
      <c r="AI156" s="5">
        <v>654674708026046</v>
      </c>
      <c r="AJ156" s="5">
        <v>63348989300963</v>
      </c>
      <c r="AK156" s="5">
        <v>645658229337572</v>
      </c>
      <c r="AL156" s="5">
        <v>690463560230396</v>
      </c>
      <c r="AM156" s="5">
        <v>684266161439134</v>
      </c>
      <c r="AN156" s="5">
        <v>683776771395822</v>
      </c>
      <c r="AO156" s="5">
        <v>72636721563782</v>
      </c>
    </row>
    <row r="157" spans="1:41" x14ac:dyDescent="0.45">
      <c r="A157" s="1" t="s">
        <v>151</v>
      </c>
      <c r="B157" s="2">
        <v>4873611</v>
      </c>
      <c r="C157" s="3" t="s">
        <v>879</v>
      </c>
      <c r="D157" s="3" t="s">
        <v>880</v>
      </c>
      <c r="E157" s="3" t="s">
        <v>536</v>
      </c>
      <c r="F157" s="5">
        <v>143450195947222</v>
      </c>
      <c r="G157" s="5">
        <v>14369868183238</v>
      </c>
      <c r="H157" s="5">
        <v>296411844253268</v>
      </c>
      <c r="I157" s="5">
        <v>278003467657264</v>
      </c>
      <c r="J157" s="5">
        <v>2753435196698</v>
      </c>
      <c r="K157" s="5">
        <v>263047277328009</v>
      </c>
      <c r="L157" s="5">
        <v>244421594888214</v>
      </c>
      <c r="M157" s="5">
        <v>246373703022622</v>
      </c>
      <c r="N157" s="5">
        <v>243413733792938</v>
      </c>
      <c r="O157" s="5">
        <v>288846596257939</v>
      </c>
      <c r="P157" s="5">
        <v>328541242950247</v>
      </c>
      <c r="Q157" s="5">
        <v>308824243908941</v>
      </c>
      <c r="R157" s="5">
        <v>307823637757236</v>
      </c>
      <c r="S157" s="5">
        <v>331131870010434</v>
      </c>
      <c r="T157" s="5">
        <v>319236190778203</v>
      </c>
      <c r="U157" s="5">
        <v>3336966935508</v>
      </c>
      <c r="V157" s="5">
        <v>3181362107905</v>
      </c>
      <c r="W157" s="5">
        <v>322885710452844</v>
      </c>
      <c r="X157" s="5">
        <v>314085524202816</v>
      </c>
      <c r="Y157" s="5">
        <v>31675478206841</v>
      </c>
      <c r="Z157" s="5">
        <v>28346265145548</v>
      </c>
      <c r="AA157" s="5">
        <v>296404851817103</v>
      </c>
      <c r="AB157" s="5">
        <v>26728505738984</v>
      </c>
      <c r="AC157" s="5">
        <v>244956761893615</v>
      </c>
      <c r="AD157" s="5">
        <v>299303429124789</v>
      </c>
      <c r="AE157" s="5">
        <v>282086484438448</v>
      </c>
      <c r="AF157" s="5">
        <v>316664512887956</v>
      </c>
      <c r="AG157" s="5">
        <v>323512381165867</v>
      </c>
      <c r="AH157" s="5">
        <v>325440198725539</v>
      </c>
      <c r="AI157" s="5">
        <v>323338125022007</v>
      </c>
      <c r="AJ157" s="5">
        <v>300376169035789</v>
      </c>
      <c r="AK157" s="5">
        <v>28938426423291</v>
      </c>
      <c r="AL157" s="5">
        <v>28997558497041</v>
      </c>
      <c r="AM157" s="5">
        <v>302764862014736</v>
      </c>
      <c r="AN157" s="5">
        <v>315310271171815</v>
      </c>
      <c r="AO157" s="5">
        <v>338242555681252</v>
      </c>
    </row>
    <row r="158" spans="1:41" x14ac:dyDescent="0.45">
      <c r="A158" s="1" t="s">
        <v>152</v>
      </c>
      <c r="B158" s="2">
        <v>4991395</v>
      </c>
      <c r="C158" s="3" t="s">
        <v>881</v>
      </c>
      <c r="D158" s="3" t="s">
        <v>882</v>
      </c>
      <c r="E158" s="3" t="s">
        <v>582</v>
      </c>
      <c r="F158" s="5">
        <v>1053631971828</v>
      </c>
      <c r="G158" s="5">
        <v>1158579861824</v>
      </c>
      <c r="H158" s="5">
        <v>128785314036</v>
      </c>
      <c r="I158" s="5">
        <v>1241762959575</v>
      </c>
      <c r="J158" s="5">
        <v>1161981806898</v>
      </c>
      <c r="K158" s="5">
        <v>1316028862512</v>
      </c>
      <c r="L158" s="5">
        <v>1189461942305</v>
      </c>
      <c r="M158" s="5">
        <v>110421831338</v>
      </c>
      <c r="N158" s="5">
        <v>101647589057617</v>
      </c>
      <c r="O158" s="5">
        <v>98528868955611</v>
      </c>
      <c r="P158" s="5">
        <v>1107623808508</v>
      </c>
      <c r="Q158" s="5">
        <v>1241196435648</v>
      </c>
      <c r="R158" s="5">
        <v>1266826376816</v>
      </c>
      <c r="S158" s="5">
        <v>1406212796352</v>
      </c>
      <c r="T158" s="5">
        <v>120688223136</v>
      </c>
      <c r="U158" s="5">
        <v>1183030203024</v>
      </c>
      <c r="V158" s="5">
        <v>1104709239153</v>
      </c>
      <c r="W158" s="5">
        <v>112594058808</v>
      </c>
      <c r="X158" s="5">
        <v>116995958757</v>
      </c>
      <c r="Y158" s="5">
        <v>122707009803</v>
      </c>
      <c r="Z158" s="5">
        <v>1189951734496</v>
      </c>
      <c r="AA158" s="5">
        <v>115760417879217</v>
      </c>
      <c r="AB158" s="5">
        <v>10680788305</v>
      </c>
      <c r="AC158" s="5">
        <v>905660060448</v>
      </c>
      <c r="AD158" s="5">
        <v>869954327022</v>
      </c>
      <c r="AE158" s="5">
        <v>833614461273</v>
      </c>
      <c r="AF158" s="5">
        <v>785769752295</v>
      </c>
      <c r="AG158" s="5">
        <v>80401270656</v>
      </c>
      <c r="AH158" s="5">
        <v>8474805486</v>
      </c>
      <c r="AI158" s="5">
        <v>742621168848</v>
      </c>
      <c r="AJ158" s="5">
        <v>7342514936</v>
      </c>
      <c r="AK158" s="5">
        <v>65787722242</v>
      </c>
      <c r="AL158" s="5">
        <v>603457519032652</v>
      </c>
      <c r="AM158" s="5">
        <v>628459822066418</v>
      </c>
      <c r="AN158" s="5">
        <v>6558405588</v>
      </c>
      <c r="AO158" s="5">
        <v>593952012819</v>
      </c>
    </row>
    <row r="159" spans="1:41" x14ac:dyDescent="0.45">
      <c r="A159" s="1" t="s">
        <v>153</v>
      </c>
      <c r="B159" s="2">
        <v>4081627</v>
      </c>
      <c r="C159" s="3" t="s">
        <v>883</v>
      </c>
      <c r="D159" s="3" t="s">
        <v>884</v>
      </c>
      <c r="E159" s="3" t="s">
        <v>556</v>
      </c>
      <c r="F159" s="5">
        <v>3353074764</v>
      </c>
      <c r="G159" s="5">
        <v>32271939392</v>
      </c>
      <c r="H159" s="5">
        <v>3186408804</v>
      </c>
      <c r="I159" s="5">
        <v>35425125045</v>
      </c>
      <c r="J159" s="5">
        <v>35400357473</v>
      </c>
      <c r="K159" s="5">
        <v>3665498745</v>
      </c>
      <c r="L159" s="5">
        <v>292187233386598</v>
      </c>
      <c r="M159" s="5">
        <v>297173703902731</v>
      </c>
      <c r="N159" s="5">
        <v>276857428018804</v>
      </c>
      <c r="O159" s="5">
        <v>29201328936</v>
      </c>
      <c r="P159" s="5">
        <v>28995272124</v>
      </c>
      <c r="Q159" s="5">
        <v>31097881332</v>
      </c>
      <c r="R159" s="5">
        <v>28662164895</v>
      </c>
      <c r="S159" s="5">
        <v>28733419498</v>
      </c>
      <c r="T159" s="5">
        <v>2537105409</v>
      </c>
      <c r="U159" s="5">
        <v>28546659114</v>
      </c>
      <c r="V159" s="5">
        <v>2612839959</v>
      </c>
      <c r="W159" s="5">
        <v>26022913053522</v>
      </c>
      <c r="X159" s="5">
        <v>253914974673498</v>
      </c>
      <c r="Y159" s="5">
        <v>253202844140101</v>
      </c>
      <c r="Z159" s="5">
        <v>244106844502584</v>
      </c>
      <c r="AA159" s="5">
        <v>25311409032</v>
      </c>
      <c r="AB159" s="5">
        <v>22656661104</v>
      </c>
      <c r="AC159" s="5">
        <v>19646339661</v>
      </c>
      <c r="AD159" s="5">
        <v>20481304266</v>
      </c>
      <c r="AE159" s="5">
        <v>19515473811</v>
      </c>
      <c r="AF159" s="5">
        <v>197596398187811</v>
      </c>
      <c r="AG159" s="5">
        <v>221676716983545</v>
      </c>
      <c r="AH159" s="5">
        <v>219712673061124</v>
      </c>
      <c r="AI159" s="5">
        <v>214929716941839</v>
      </c>
      <c r="AJ159" s="5">
        <v>218804415507412</v>
      </c>
      <c r="AK159" s="5">
        <v>213348432037479</v>
      </c>
      <c r="AL159" s="5">
        <v>224866659153682</v>
      </c>
      <c r="AM159" s="5">
        <v>219251964145977</v>
      </c>
      <c r="AN159" s="5">
        <v>232135222570596</v>
      </c>
      <c r="AO159" s="5">
        <v>247314979593445</v>
      </c>
    </row>
    <row r="160" spans="1:41" x14ac:dyDescent="0.45">
      <c r="A160" s="1" t="s">
        <v>154</v>
      </c>
      <c r="B160" s="2">
        <v>4190757</v>
      </c>
      <c r="C160" s="3" t="s">
        <v>885</v>
      </c>
      <c r="D160" s="3" t="s">
        <v>886</v>
      </c>
      <c r="E160" s="3" t="s">
        <v>743</v>
      </c>
      <c r="F160" s="5">
        <v>266515287886738</v>
      </c>
      <c r="G160" s="5">
        <v>181953077009642</v>
      </c>
      <c r="H160" s="5">
        <v>186763324717493</v>
      </c>
      <c r="I160" s="5">
        <v>187250537969113</v>
      </c>
      <c r="J160" s="5">
        <v>151984107751211</v>
      </c>
      <c r="K160" s="5">
        <v>818746860699792</v>
      </c>
      <c r="L160" s="5">
        <v>6778270661292</v>
      </c>
      <c r="M160" s="5">
        <v>449042028300936</v>
      </c>
      <c r="N160" s="5">
        <v>567768677723146</v>
      </c>
      <c r="O160" s="5">
        <v>678169480074437</v>
      </c>
      <c r="P160" s="5">
        <v>859762374738473</v>
      </c>
      <c r="Q160" s="5">
        <v>76137679844896</v>
      </c>
      <c r="R160" s="5">
        <v>632841419981446</v>
      </c>
      <c r="S160" s="5">
        <v>685792579576633</v>
      </c>
      <c r="T160" s="5">
        <v>62704639626132</v>
      </c>
      <c r="U160" s="5">
        <v>604587955612184</v>
      </c>
      <c r="V160" s="5">
        <v>455391770837148</v>
      </c>
      <c r="W160" s="5">
        <v>504052793532288</v>
      </c>
      <c r="X160" s="5">
        <v>451478845057114</v>
      </c>
      <c r="Y160" s="5">
        <v>480738337506624</v>
      </c>
      <c r="Z160" s="5">
        <v>406024667726496</v>
      </c>
      <c r="AA160" s="5">
        <v>3582048802878</v>
      </c>
      <c r="AB160" s="5">
        <v>329299317318972</v>
      </c>
      <c r="AC160" s="5">
        <v>334964969155262</v>
      </c>
      <c r="AD160" s="5">
        <v>125783731569412</v>
      </c>
      <c r="AE160" s="5">
        <v>805500900510006</v>
      </c>
      <c r="AF160" s="5">
        <v>109997647904529</v>
      </c>
      <c r="AG160" s="5">
        <v>13269490445534</v>
      </c>
      <c r="AH160" s="5">
        <v>134363170545956</v>
      </c>
      <c r="AI160" s="5">
        <v>147705658007739</v>
      </c>
      <c r="AJ160" s="5">
        <v>13306692559788</v>
      </c>
      <c r="AK160" s="5">
        <v>12396496605707</v>
      </c>
      <c r="AL160" s="5">
        <v>129315007985783</v>
      </c>
      <c r="AM160" s="5">
        <v>140196827688715</v>
      </c>
      <c r="AN160" s="5">
        <v>156588300638304</v>
      </c>
      <c r="AO160" s="5">
        <v>143203734933544</v>
      </c>
    </row>
    <row r="161" spans="1:41" x14ac:dyDescent="0.45">
      <c r="A161" s="1" t="s">
        <v>155</v>
      </c>
      <c r="B161" s="2">
        <v>4051243</v>
      </c>
      <c r="C161" s="3" t="s">
        <v>887</v>
      </c>
      <c r="D161" s="3" t="s">
        <v>888</v>
      </c>
      <c r="E161" s="3" t="s">
        <v>536</v>
      </c>
      <c r="F161" s="5">
        <v>633281736218895</v>
      </c>
      <c r="G161" s="5">
        <v>672112494538235</v>
      </c>
      <c r="H161" s="5">
        <v>629629457791164</v>
      </c>
      <c r="I161" s="5">
        <v>662014557709215</v>
      </c>
      <c r="J161" s="5">
        <v>671744691443339</v>
      </c>
      <c r="K161" s="5">
        <v>648763602164099</v>
      </c>
      <c r="L161" s="5">
        <v>650457782845229</v>
      </c>
      <c r="M161" s="5">
        <v>663677256100519</v>
      </c>
      <c r="N161" s="5">
        <v>628559223177331</v>
      </c>
      <c r="O161" s="5">
        <v>665279149023317</v>
      </c>
      <c r="P161" s="5">
        <v>731676189721066</v>
      </c>
      <c r="Q161" s="5">
        <v>681592577309108</v>
      </c>
      <c r="R161" s="5">
        <v>640879256951231</v>
      </c>
      <c r="S161" s="5">
        <v>667650841908623</v>
      </c>
      <c r="T161" s="5">
        <v>640844263813886</v>
      </c>
      <c r="U161" s="5">
        <v>651388771796748</v>
      </c>
      <c r="V161" s="5">
        <v>651306711148294</v>
      </c>
      <c r="W161" s="5">
        <v>60871356448749</v>
      </c>
      <c r="X161" s="5">
        <v>63432300499785</v>
      </c>
      <c r="Y161" s="5">
        <v>611438071482855</v>
      </c>
      <c r="Z161" s="5">
        <v>604691094249662</v>
      </c>
      <c r="AA161" s="5">
        <v>611186272995093</v>
      </c>
      <c r="AB161" s="5">
        <v>59386588915212</v>
      </c>
      <c r="AC161" s="5">
        <v>520948666164727</v>
      </c>
      <c r="AD161" s="5">
        <v>511675551387959</v>
      </c>
      <c r="AE161" s="5">
        <v>501267925146773</v>
      </c>
      <c r="AF161" s="5">
        <v>452536690546036</v>
      </c>
      <c r="AG161" s="5">
        <v>456194274259539</v>
      </c>
      <c r="AH161" s="5">
        <v>483055015401631</v>
      </c>
      <c r="AI161" s="5">
        <v>473152810479066</v>
      </c>
      <c r="AJ161" s="5">
        <v>486895733165184</v>
      </c>
      <c r="AK161" s="5">
        <v>440937143505584</v>
      </c>
      <c r="AL161" s="5">
        <v>432924871540084</v>
      </c>
      <c r="AM161" s="5">
        <v>433704831804264</v>
      </c>
      <c r="AN161" s="5">
        <v>42705308882489</v>
      </c>
      <c r="AO161" s="5">
        <v>406028041973869</v>
      </c>
    </row>
    <row r="162" spans="1:41" x14ac:dyDescent="0.45">
      <c r="A162" s="1" t="s">
        <v>156</v>
      </c>
      <c r="B162" s="2">
        <v>4056943</v>
      </c>
      <c r="C162" s="3" t="s">
        <v>889</v>
      </c>
      <c r="D162" s="3" t="s">
        <v>890</v>
      </c>
      <c r="E162" s="3" t="s">
        <v>547</v>
      </c>
      <c r="F162" s="5">
        <v>196699425984239</v>
      </c>
      <c r="G162" s="5">
        <v>195420786292892</v>
      </c>
      <c r="H162" s="5">
        <v>184753427088298</v>
      </c>
      <c r="I162" s="5">
        <v>18131509655902</v>
      </c>
      <c r="J162" s="5">
        <v>184664664817568</v>
      </c>
      <c r="K162" s="5">
        <v>175343088504791</v>
      </c>
      <c r="L162" s="5">
        <v>169055149227588</v>
      </c>
      <c r="M162" s="5">
        <v>188704817825914</v>
      </c>
      <c r="N162" s="5">
        <v>181468833121607</v>
      </c>
      <c r="O162" s="5">
        <v>209887043077564</v>
      </c>
      <c r="P162" s="5">
        <v>201453102740534</v>
      </c>
      <c r="Q162" s="5">
        <v>201137727854646</v>
      </c>
      <c r="R162" s="5">
        <v>298560438349957</v>
      </c>
      <c r="S162" s="5">
        <v>32199074940082</v>
      </c>
      <c r="T162" s="5">
        <v>293809887745176</v>
      </c>
      <c r="U162" s="5">
        <v>301545702766749</v>
      </c>
      <c r="V162" s="5">
        <v>3038586272898</v>
      </c>
      <c r="W162" s="5">
        <v>28549753337453</v>
      </c>
      <c r="X162" s="5">
        <v>257862551187854</v>
      </c>
      <c r="Y162" s="5">
        <v>272649042207081</v>
      </c>
      <c r="Z162" s="5">
        <v>255688846452547</v>
      </c>
      <c r="AA162" s="5">
        <v>251895625111771</v>
      </c>
      <c r="AB162" s="5">
        <v>241963061936314</v>
      </c>
      <c r="AC162" s="5">
        <v>238565608814613</v>
      </c>
      <c r="AD162" s="5">
        <v>248080748014071</v>
      </c>
      <c r="AE162" s="5">
        <v>235599913061004</v>
      </c>
      <c r="AF162" s="5">
        <v>22877084620277</v>
      </c>
      <c r="AG162" s="5">
        <v>229192854803214</v>
      </c>
      <c r="AH162" s="5">
        <v>243310560694893</v>
      </c>
      <c r="AI162" s="5">
        <v>250274166381636</v>
      </c>
      <c r="AJ162" s="5">
        <v>243639245877726</v>
      </c>
      <c r="AK162" s="5">
        <v>242635125668704</v>
      </c>
      <c r="AL162" s="5">
        <v>25517028375176</v>
      </c>
      <c r="AM162" s="5">
        <v>248597034528141</v>
      </c>
      <c r="AN162" s="5">
        <v>238606016224561</v>
      </c>
      <c r="AO162" s="5">
        <v>24224689651039</v>
      </c>
    </row>
    <row r="163" spans="1:41" x14ac:dyDescent="0.45">
      <c r="A163" s="1" t="s">
        <v>157</v>
      </c>
      <c r="B163" s="2">
        <v>4812781</v>
      </c>
      <c r="C163" s="3" t="s">
        <v>891</v>
      </c>
      <c r="D163" s="3" t="s">
        <v>892</v>
      </c>
      <c r="E163" s="3" t="s">
        <v>506</v>
      </c>
      <c r="F163" s="5">
        <v>421340887275</v>
      </c>
      <c r="G163" s="5">
        <v>433740639024</v>
      </c>
      <c r="H163" s="5">
        <v>41968344465</v>
      </c>
      <c r="I163" s="5">
        <v>389149671141</v>
      </c>
      <c r="J163" s="5">
        <v>408255049986</v>
      </c>
      <c r="K163" s="5">
        <v>407607542958</v>
      </c>
      <c r="L163" s="5">
        <v>39065105079</v>
      </c>
      <c r="M163" s="5">
        <v>404374387676</v>
      </c>
      <c r="N163" s="5">
        <v>389743451308771</v>
      </c>
      <c r="O163" s="5">
        <v>392798810431486</v>
      </c>
      <c r="P163" s="5">
        <v>405156818052</v>
      </c>
      <c r="Q163" s="5">
        <v>41111504721</v>
      </c>
      <c r="R163" s="5">
        <v>421739893146</v>
      </c>
      <c r="S163" s="5">
        <v>39885537594</v>
      </c>
      <c r="T163" s="5">
        <v>37177844904</v>
      </c>
      <c r="U163" s="5">
        <v>356419803216</v>
      </c>
      <c r="V163" s="5">
        <v>381023036064</v>
      </c>
      <c r="W163" s="5">
        <v>3509473968</v>
      </c>
      <c r="X163" s="5">
        <v>519494957946</v>
      </c>
      <c r="Y163" s="5">
        <v>482810766994</v>
      </c>
      <c r="Z163" s="5">
        <v>477159071984</v>
      </c>
      <c r="AA163" s="5">
        <v>53252122177706</v>
      </c>
      <c r="AB163" s="5">
        <v>471943067607</v>
      </c>
      <c r="AC163" s="5">
        <v>438655970935</v>
      </c>
      <c r="AD163" s="5">
        <v>418384169375</v>
      </c>
      <c r="AE163" s="5">
        <v>376535208435</v>
      </c>
      <c r="AF163" s="5">
        <v>3657860937</v>
      </c>
      <c r="AG163" s="5">
        <v>397916137062272</v>
      </c>
      <c r="AH163" s="5">
        <v>42861345423042</v>
      </c>
      <c r="AI163" s="5">
        <v>452717201783834</v>
      </c>
      <c r="AJ163" s="5">
        <v>523810608263902</v>
      </c>
      <c r="AK163" s="5">
        <v>479112496420589</v>
      </c>
      <c r="AL163" s="5">
        <v>483269146793198</v>
      </c>
      <c r="AM163" s="5">
        <v>461513171619518</v>
      </c>
      <c r="AN163" s="5">
        <v>460946312589341</v>
      </c>
      <c r="AO163" s="5">
        <v>436601282576273</v>
      </c>
    </row>
    <row r="164" spans="1:41" x14ac:dyDescent="0.45">
      <c r="A164" s="1" t="s">
        <v>158</v>
      </c>
      <c r="B164" s="2">
        <v>4100183</v>
      </c>
      <c r="C164" s="3" t="s">
        <v>893</v>
      </c>
      <c r="D164" s="3" t="s">
        <v>894</v>
      </c>
      <c r="E164" s="3" t="s">
        <v>895</v>
      </c>
      <c r="F164" s="5">
        <v>434033424485019</v>
      </c>
      <c r="G164" s="5">
        <v>434539244371257</v>
      </c>
      <c r="H164" s="5">
        <v>432597250761152</v>
      </c>
      <c r="I164" s="5">
        <v>428644349697886</v>
      </c>
      <c r="J164" s="5">
        <v>367804873024017</v>
      </c>
      <c r="K164" s="5">
        <v>334962388995245</v>
      </c>
      <c r="L164" s="5">
        <v>341690927135467</v>
      </c>
      <c r="M164" s="5">
        <v>317753873505512</v>
      </c>
      <c r="N164" s="5">
        <v>333283841172436</v>
      </c>
      <c r="O164" s="5">
        <v>34847153474451</v>
      </c>
      <c r="P164" s="5">
        <v>323419220258998</v>
      </c>
      <c r="Q164" s="5">
        <v>310142098320467</v>
      </c>
      <c r="R164" s="5">
        <v>370620791947106</v>
      </c>
      <c r="S164" s="5">
        <v>406854453586677</v>
      </c>
      <c r="T164" s="5">
        <v>367060493836334</v>
      </c>
      <c r="U164" s="5">
        <v>33978305042827</v>
      </c>
      <c r="V164" s="5">
        <v>362642045894281</v>
      </c>
      <c r="W164" s="5">
        <v>370617367868009</v>
      </c>
      <c r="X164" s="5">
        <v>345553545569344</v>
      </c>
      <c r="Y164" s="5">
        <v>326390242950419</v>
      </c>
      <c r="Z164" s="5">
        <v>317083164859515</v>
      </c>
      <c r="AA164" s="5">
        <v>328375572448334</v>
      </c>
      <c r="AB164" s="5">
        <v>34497018131989</v>
      </c>
      <c r="AC164" s="5">
        <v>341276450676134</v>
      </c>
      <c r="AD164" s="5">
        <v>33310707888351</v>
      </c>
      <c r="AE164" s="5">
        <v>340560251119709</v>
      </c>
      <c r="AF164" s="5">
        <v>317419697799584</v>
      </c>
      <c r="AG164" s="5">
        <v>308172629574454</v>
      </c>
      <c r="AH164" s="5">
        <v>299686701195249</v>
      </c>
      <c r="AI164" s="5">
        <v>336673990072462</v>
      </c>
      <c r="AJ164" s="5">
        <v>323289127075168</v>
      </c>
      <c r="AK164" s="5">
        <v>327533839643648</v>
      </c>
      <c r="AL164" s="5">
        <v>316262320763472</v>
      </c>
      <c r="AM164" s="5">
        <v>304014691087193</v>
      </c>
      <c r="AN164" s="5">
        <v>286582865492261</v>
      </c>
      <c r="AO164" s="5">
        <v>327087923533882</v>
      </c>
    </row>
    <row r="165" spans="1:41" x14ac:dyDescent="0.45">
      <c r="A165" s="1" t="s">
        <v>159</v>
      </c>
      <c r="B165" s="2">
        <v>4072364</v>
      </c>
      <c r="C165" s="3" t="s">
        <v>896</v>
      </c>
      <c r="D165" s="3" t="s">
        <v>897</v>
      </c>
      <c r="E165" s="3" t="s">
        <v>733</v>
      </c>
      <c r="F165" s="5">
        <v>663523684714309</v>
      </c>
      <c r="G165" s="5">
        <v>648304749777805</v>
      </c>
      <c r="H165" s="5">
        <v>611184155856612</v>
      </c>
      <c r="I165" s="5">
        <v>620130186614615</v>
      </c>
      <c r="J165" s="5">
        <v>61341696610351</v>
      </c>
      <c r="K165" s="5">
        <v>557245452298429</v>
      </c>
      <c r="L165" s="5">
        <v>74829412996624</v>
      </c>
      <c r="M165" s="5">
        <v>764287479982432</v>
      </c>
      <c r="N165" s="5">
        <v>837537781835352</v>
      </c>
      <c r="O165" s="5">
        <v>911037564820296</v>
      </c>
      <c r="P165" s="5">
        <v>867214086915995</v>
      </c>
      <c r="Q165" s="5">
        <v>882937044812605</v>
      </c>
      <c r="R165" s="5">
        <v>826388557214357</v>
      </c>
      <c r="S165" s="5">
        <v>894565000734367</v>
      </c>
      <c r="T165" s="5">
        <v>866707063026624</v>
      </c>
      <c r="U165" s="5">
        <v>108112614806768</v>
      </c>
      <c r="V165" s="5">
        <v>116750885124599</v>
      </c>
      <c r="W165" s="5">
        <v>113994103186859</v>
      </c>
      <c r="X165" s="5">
        <v>117537884453598</v>
      </c>
      <c r="Y165" s="5">
        <v>115403003163734</v>
      </c>
      <c r="Z165" s="5">
        <v>114890663077062</v>
      </c>
      <c r="AA165" s="5">
        <v>11169596084506</v>
      </c>
      <c r="AB165" s="5">
        <v>107889975682686</v>
      </c>
      <c r="AC165" s="5">
        <v>106860271728924</v>
      </c>
      <c r="AD165" s="5">
        <v>100238344180133</v>
      </c>
      <c r="AE165" s="5">
        <v>10329846346737</v>
      </c>
      <c r="AF165" s="5">
        <v>10009498456879</v>
      </c>
      <c r="AG165" s="5">
        <v>969419301348833</v>
      </c>
      <c r="AH165" s="5">
        <v>960343099801818</v>
      </c>
      <c r="AI165" s="5">
        <v>10084714357842</v>
      </c>
      <c r="AJ165" s="5">
        <v>964745156207602</v>
      </c>
      <c r="AK165" s="5">
        <v>996083615973823</v>
      </c>
      <c r="AL165" s="5">
        <v>100664269550306</v>
      </c>
      <c r="AM165" s="5">
        <v>1004135681115</v>
      </c>
      <c r="AN165" s="5">
        <v>105058239621993</v>
      </c>
      <c r="AO165" s="5">
        <v>109942078488153</v>
      </c>
    </row>
    <row r="166" spans="1:41" x14ac:dyDescent="0.45">
      <c r="A166" s="1" t="s">
        <v>160</v>
      </c>
      <c r="B166" s="2">
        <v>4059821</v>
      </c>
      <c r="C166" s="3" t="s">
        <v>898</v>
      </c>
      <c r="D166" s="3" t="s">
        <v>899</v>
      </c>
      <c r="E166" s="3" t="s">
        <v>680</v>
      </c>
      <c r="F166" s="5">
        <v>819546256751616</v>
      </c>
      <c r="G166" s="5">
        <v>830455297547017</v>
      </c>
      <c r="H166" s="5">
        <v>669836248365872</v>
      </c>
      <c r="I166" s="5">
        <v>58380189274999</v>
      </c>
      <c r="J166" s="5">
        <v>56223625532587</v>
      </c>
      <c r="K166" s="5">
        <v>580807310552535</v>
      </c>
      <c r="L166" s="5">
        <v>595889809028462</v>
      </c>
      <c r="M166" s="5">
        <v>583625641207365</v>
      </c>
      <c r="N166" s="5">
        <v>711507811902684</v>
      </c>
      <c r="O166" s="5">
        <v>68618218486867</v>
      </c>
      <c r="P166" s="5">
        <v>794716526802992</v>
      </c>
      <c r="Q166" s="5">
        <v>702643202444339</v>
      </c>
      <c r="R166" s="5">
        <v>671429484323291</v>
      </c>
      <c r="S166" s="5">
        <v>678775145908</v>
      </c>
      <c r="T166" s="5">
        <v>687248545828335</v>
      </c>
      <c r="U166" s="5">
        <v>715238633458399</v>
      </c>
      <c r="V166" s="5">
        <v>781528229553126</v>
      </c>
      <c r="W166" s="5">
        <v>669132192773555</v>
      </c>
      <c r="X166" s="5">
        <v>760834586183955</v>
      </c>
      <c r="Y166" s="5">
        <v>681098610967278</v>
      </c>
      <c r="Z166" s="5">
        <v>657732376278702</v>
      </c>
      <c r="AA166" s="5">
        <v>648763603515425</v>
      </c>
      <c r="AB166" s="5">
        <v>627621091964026</v>
      </c>
      <c r="AC166" s="5">
        <v>53514062862418</v>
      </c>
      <c r="AD166" s="5">
        <v>474265610753419</v>
      </c>
      <c r="AE166" s="5">
        <v>487356693104957</v>
      </c>
      <c r="AF166" s="5">
        <v>471491531709679</v>
      </c>
      <c r="AG166" s="5">
        <v>456374695695193</v>
      </c>
      <c r="AH166" s="5">
        <v>459515012856225</v>
      </c>
      <c r="AI166" s="5">
        <v>391535851412179</v>
      </c>
      <c r="AJ166" s="5">
        <v>407794058428399</v>
      </c>
      <c r="AK166" s="5">
        <v>382521221496339</v>
      </c>
      <c r="AL166" s="5">
        <v>340493517949512</v>
      </c>
      <c r="AM166" s="5">
        <v>285075041934451</v>
      </c>
      <c r="AN166" s="5">
        <v>264408494987604</v>
      </c>
      <c r="AO166" s="5">
        <v>301072328949199</v>
      </c>
    </row>
    <row r="167" spans="1:41" x14ac:dyDescent="0.45">
      <c r="A167" s="1" t="s">
        <v>161</v>
      </c>
      <c r="B167" s="2">
        <v>4279452</v>
      </c>
      <c r="C167" s="3" t="s">
        <v>900</v>
      </c>
      <c r="D167" s="3" t="s">
        <v>901</v>
      </c>
      <c r="E167" s="3" t="s">
        <v>785</v>
      </c>
      <c r="F167" s="5">
        <v>233257701695681</v>
      </c>
      <c r="G167" s="5">
        <v>23745442310542</v>
      </c>
      <c r="H167" s="5">
        <v>262283761225886</v>
      </c>
      <c r="I167" s="5">
        <v>247816204964235</v>
      </c>
      <c r="J167" s="5">
        <v>237267535415</v>
      </c>
      <c r="K167" s="5">
        <v>245555080330515</v>
      </c>
      <c r="L167" s="5">
        <v>203854283587653</v>
      </c>
      <c r="M167" s="5">
        <v>186126257206449</v>
      </c>
      <c r="N167" s="5">
        <v>158074966835479</v>
      </c>
      <c r="O167" s="5">
        <v>155508031416928</v>
      </c>
      <c r="P167" s="5">
        <v>17870894705384</v>
      </c>
      <c r="Q167" s="5">
        <v>19830499786685</v>
      </c>
      <c r="R167" s="5">
        <v>201683151709186</v>
      </c>
      <c r="S167" s="5">
        <v>222416153654844</v>
      </c>
      <c r="T167" s="5">
        <v>188990475199377</v>
      </c>
      <c r="U167" s="5">
        <v>180103586739033</v>
      </c>
      <c r="V167" s="5">
        <v>165804199881463</v>
      </c>
      <c r="W167" s="5">
        <v>161857459908144</v>
      </c>
      <c r="X167" s="5">
        <v>160129899070725</v>
      </c>
      <c r="Y167" s="5">
        <v>16842671978852</v>
      </c>
      <c r="Z167" s="5">
        <v>156979374465815</v>
      </c>
      <c r="AA167" s="5">
        <v>152591625134782</v>
      </c>
      <c r="AB167" s="5">
        <v>13650586509116</v>
      </c>
      <c r="AC167" s="5">
        <v>989104585398228</v>
      </c>
      <c r="AD167" s="5">
        <v>916893882171324</v>
      </c>
      <c r="AE167" s="5">
        <v>916706019609072</v>
      </c>
      <c r="AF167" s="5">
        <v>9201620782359</v>
      </c>
      <c r="AG167" s="5">
        <v>936933417590827</v>
      </c>
      <c r="AH167" s="5">
        <v>9745567273221</v>
      </c>
      <c r="AI167" s="5">
        <v>91973301702697</v>
      </c>
      <c r="AJ167" s="5">
        <v>80475196828752</v>
      </c>
      <c r="AK167" s="5">
        <v>735386974707528</v>
      </c>
      <c r="AL167" s="5">
        <v>7366884347394</v>
      </c>
      <c r="AM167" s="5">
        <v>713637906655752</v>
      </c>
      <c r="AN167" s="5">
        <v>75118445392968</v>
      </c>
      <c r="AO167" s="5">
        <v>650464510756252</v>
      </c>
    </row>
    <row r="168" spans="1:41" x14ac:dyDescent="0.45">
      <c r="A168" s="1" t="s">
        <v>162</v>
      </c>
      <c r="B168" s="2">
        <v>4136907</v>
      </c>
      <c r="C168" s="3" t="s">
        <v>902</v>
      </c>
      <c r="D168" s="3" t="s">
        <v>903</v>
      </c>
      <c r="E168" s="3" t="s">
        <v>582</v>
      </c>
      <c r="F168" s="5">
        <v>63561292562947</v>
      </c>
      <c r="G168" s="5">
        <v>647371460736</v>
      </c>
      <c r="H168" s="5">
        <v>68102846532</v>
      </c>
      <c r="I168" s="5">
        <v>629236930392</v>
      </c>
      <c r="J168" s="5">
        <v>6351017904</v>
      </c>
      <c r="K168" s="5">
        <v>71552723625</v>
      </c>
      <c r="L168" s="5">
        <v>638609034375</v>
      </c>
      <c r="M168" s="5">
        <v>59180396625</v>
      </c>
      <c r="N168" s="5">
        <v>522419256606</v>
      </c>
      <c r="O168" s="5">
        <v>572014114992</v>
      </c>
      <c r="P168" s="5">
        <v>659082773069</v>
      </c>
      <c r="Q168" s="5">
        <v>712055989833068</v>
      </c>
      <c r="R168" s="5">
        <v>681751749923483</v>
      </c>
      <c r="S168" s="5">
        <v>71975950956</v>
      </c>
      <c r="T168" s="5">
        <v>57047906907</v>
      </c>
      <c r="U168" s="5">
        <v>561007793382</v>
      </c>
      <c r="V168" s="5">
        <v>545114609379</v>
      </c>
      <c r="W168" s="5">
        <v>61906735044</v>
      </c>
      <c r="X168" s="5">
        <v>588189328488</v>
      </c>
      <c r="Y168" s="5">
        <v>59157804992</v>
      </c>
      <c r="Z168" s="5">
        <v>576249908752</v>
      </c>
      <c r="AA168" s="5">
        <v>600309217212</v>
      </c>
      <c r="AB168" s="5">
        <v>565107927395</v>
      </c>
      <c r="AC168" s="5">
        <v>483209207527004</v>
      </c>
      <c r="AD168" s="5">
        <v>503252028192463</v>
      </c>
      <c r="AE168" s="5">
        <v>46470224941</v>
      </c>
      <c r="AF168" s="5">
        <v>481260750075</v>
      </c>
      <c r="AG168" s="5">
        <v>52143280524</v>
      </c>
      <c r="AH168" s="5">
        <v>5177018475</v>
      </c>
      <c r="AI168" s="5">
        <v>47372200785</v>
      </c>
      <c r="AJ168" s="5">
        <v>4731862266</v>
      </c>
      <c r="AK168" s="5">
        <v>41655002796</v>
      </c>
      <c r="AL168" s="5">
        <v>431074936604</v>
      </c>
      <c r="AM168" s="5">
        <v>458283690384</v>
      </c>
      <c r="AN168" s="5">
        <v>44519385348</v>
      </c>
      <c r="AO168" s="5">
        <v>491249686356</v>
      </c>
    </row>
    <row r="169" spans="1:41" x14ac:dyDescent="0.45">
      <c r="A169" s="1" t="s">
        <v>163</v>
      </c>
      <c r="B169" s="2">
        <v>4007889</v>
      </c>
      <c r="C169" s="3" t="s">
        <v>904</v>
      </c>
      <c r="D169" s="3" t="s">
        <v>905</v>
      </c>
      <c r="E169" s="3" t="s">
        <v>547</v>
      </c>
      <c r="F169" s="5">
        <v>356054200434555</v>
      </c>
      <c r="G169" s="5">
        <v>38038112080106</v>
      </c>
      <c r="H169" s="5">
        <v>376802524801652</v>
      </c>
      <c r="I169" s="5">
        <v>354564139497158</v>
      </c>
      <c r="J169" s="5">
        <v>336182371119307</v>
      </c>
      <c r="K169" s="5">
        <v>352903805782735</v>
      </c>
      <c r="L169" s="5">
        <v>304887612649781</v>
      </c>
      <c r="M169" s="5">
        <v>316165209899544</v>
      </c>
      <c r="N169" s="5">
        <v>315783432037701</v>
      </c>
      <c r="O169" s="5">
        <v>340720629096583</v>
      </c>
      <c r="P169" s="5">
        <v>361174867200038</v>
      </c>
      <c r="Q169" s="5">
        <v>334506810556859</v>
      </c>
      <c r="R169" s="5">
        <v>314041436975751</v>
      </c>
      <c r="S169" s="5">
        <v>31736229550059</v>
      </c>
      <c r="T169" s="5">
        <v>305643726867733</v>
      </c>
      <c r="U169" s="5">
        <v>25232366133871</v>
      </c>
      <c r="V169" s="5">
        <v>233323300270613</v>
      </c>
      <c r="W169" s="5">
        <v>228818237043581</v>
      </c>
      <c r="X169" s="5">
        <v>213244603934616</v>
      </c>
      <c r="Y169" s="5">
        <v>221495519530431</v>
      </c>
      <c r="Z169" s="5">
        <v>212756838650591</v>
      </c>
      <c r="AA169" s="5">
        <v>208633831706138</v>
      </c>
      <c r="AB169" s="5">
        <v>200363136487077</v>
      </c>
      <c r="AC169" s="5">
        <v>194446936948266</v>
      </c>
      <c r="AD169" s="5">
        <v>193596394359369</v>
      </c>
      <c r="AE169" s="5">
        <v>196633646778463</v>
      </c>
      <c r="AF169" s="5">
        <v>191316420352748</v>
      </c>
      <c r="AG169" s="5">
        <v>18479949657672</v>
      </c>
      <c r="AH169" s="5">
        <v>18570135465954</v>
      </c>
      <c r="AI169" s="5">
        <v>19704709177757</v>
      </c>
      <c r="AJ169" s="5">
        <v>188591213336089</v>
      </c>
      <c r="AK169" s="5">
        <v>194829185565901</v>
      </c>
      <c r="AL169" s="5">
        <v>206113879961469</v>
      </c>
      <c r="AM169" s="5">
        <v>210317813695479</v>
      </c>
      <c r="AN169" s="5">
        <v>204850489407701</v>
      </c>
      <c r="AO169" s="5">
        <v>202859770959094</v>
      </c>
    </row>
    <row r="170" spans="1:41" x14ac:dyDescent="0.45">
      <c r="A170" s="1" t="s">
        <v>164</v>
      </c>
      <c r="B170" s="2">
        <v>4075407</v>
      </c>
      <c r="C170" s="3" t="s">
        <v>906</v>
      </c>
      <c r="D170" s="3" t="s">
        <v>907</v>
      </c>
      <c r="E170" s="3" t="s">
        <v>595</v>
      </c>
      <c r="F170" s="5">
        <v>485283874228828</v>
      </c>
      <c r="G170" s="5">
        <v>504669956698169</v>
      </c>
      <c r="H170" s="5">
        <v>501021467105645</v>
      </c>
      <c r="I170" s="5">
        <v>521750631297764</v>
      </c>
      <c r="J170" s="5">
        <v>582622028584591</v>
      </c>
      <c r="K170" s="5">
        <v>572647830371228</v>
      </c>
      <c r="L170" s="5">
        <v>555872690025842</v>
      </c>
      <c r="M170" s="5">
        <v>522223971189944</v>
      </c>
      <c r="N170" s="5">
        <v>536348594538522</v>
      </c>
      <c r="O170" s="5">
        <v>654394463021618</v>
      </c>
      <c r="P170" s="5">
        <v>675801389461552</v>
      </c>
      <c r="Q170" s="5">
        <v>677753554424647</v>
      </c>
      <c r="R170" s="5">
        <v>663066757284949</v>
      </c>
      <c r="S170" s="5">
        <v>710396399694733</v>
      </c>
      <c r="T170" s="5">
        <v>638680377885064</v>
      </c>
      <c r="U170" s="5">
        <v>626704977228327</v>
      </c>
      <c r="V170" s="5">
        <v>662226097492165</v>
      </c>
      <c r="W170" s="5">
        <v>673349346102048</v>
      </c>
      <c r="X170" s="5">
        <v>675138253577352</v>
      </c>
      <c r="Y170" s="5">
        <v>660041088504488</v>
      </c>
      <c r="Z170" s="5">
        <v>710782398124232</v>
      </c>
      <c r="AA170" s="5">
        <v>680792354164704</v>
      </c>
      <c r="AB170" s="5">
        <v>614146269003629</v>
      </c>
      <c r="AC170" s="5">
        <v>611608719631133</v>
      </c>
      <c r="AD170" s="5">
        <v>638102500642109</v>
      </c>
      <c r="AE170" s="5">
        <v>658042823099826</v>
      </c>
      <c r="AF170" s="5">
        <v>695776299195712</v>
      </c>
      <c r="AG170" s="5">
        <v>697332234235175</v>
      </c>
      <c r="AH170" s="5">
        <v>690489457581007</v>
      </c>
      <c r="AI170" s="5">
        <v>703337678586758</v>
      </c>
      <c r="AJ170" s="5">
        <v>613090001544526</v>
      </c>
      <c r="AK170" s="5">
        <v>588778404552087</v>
      </c>
      <c r="AL170" s="5">
        <v>636284218162454</v>
      </c>
      <c r="AM170" s="5">
        <v>620080463901871</v>
      </c>
      <c r="AN170" s="5">
        <v>625719013804505</v>
      </c>
      <c r="AO170" s="5">
        <v>715220575609122</v>
      </c>
    </row>
    <row r="171" spans="1:41" x14ac:dyDescent="0.45">
      <c r="A171" s="1" t="s">
        <v>165</v>
      </c>
      <c r="B171" s="2">
        <v>4309704</v>
      </c>
      <c r="C171" s="3" t="s">
        <v>908</v>
      </c>
      <c r="D171" s="3" t="s">
        <v>909</v>
      </c>
      <c r="E171" s="3" t="s">
        <v>512</v>
      </c>
      <c r="F171" s="5">
        <v>963963222234293</v>
      </c>
      <c r="G171" s="5">
        <v>89089107137184</v>
      </c>
      <c r="H171" s="5">
        <v>789721905564462</v>
      </c>
      <c r="I171" s="5">
        <v>715807300678215</v>
      </c>
      <c r="J171" s="5">
        <v>839743210422307</v>
      </c>
      <c r="K171" s="5">
        <v>781071253239148</v>
      </c>
      <c r="L171" s="5">
        <v>852975699808323</v>
      </c>
      <c r="M171" s="5">
        <v>871194115052794</v>
      </c>
      <c r="N171" s="5">
        <v>783139641720267</v>
      </c>
      <c r="O171" s="5">
        <v>88865381649623</v>
      </c>
      <c r="P171" s="5">
        <v>112377145737668</v>
      </c>
      <c r="Q171" s="5">
        <v>138590251014451</v>
      </c>
      <c r="R171" s="5">
        <v>128103492626551</v>
      </c>
      <c r="S171" s="5">
        <v>131132778711056</v>
      </c>
      <c r="T171" s="5">
        <v>98923298040105</v>
      </c>
      <c r="U171" s="5">
        <v>101601337432403</v>
      </c>
      <c r="V171" s="5">
        <v>103341748070929</v>
      </c>
      <c r="W171" s="5">
        <v>115241524243045</v>
      </c>
      <c r="X171" s="5">
        <v>101781581482584</v>
      </c>
      <c r="Y171" s="5">
        <v>951181174311486</v>
      </c>
      <c r="Z171" s="5">
        <v>127445950545702</v>
      </c>
      <c r="AA171" s="5">
        <v>147846944225821</v>
      </c>
      <c r="AB171" s="5">
        <v>162842488808991</v>
      </c>
      <c r="AC171" s="5">
        <v>147905930648778</v>
      </c>
      <c r="AD171" s="5">
        <v>15521629880265</v>
      </c>
      <c r="AE171" s="5">
        <v>136596882002796</v>
      </c>
      <c r="AF171" s="5">
        <v>119358626855539</v>
      </c>
      <c r="AG171" s="5">
        <v>140019270808518</v>
      </c>
      <c r="AH171" s="5">
        <v>138403827501045</v>
      </c>
      <c r="AI171" s="5">
        <v>124428229406414</v>
      </c>
      <c r="AJ171" s="5">
        <v>11921071219469</v>
      </c>
      <c r="AK171" s="5">
        <v>139428747300783</v>
      </c>
      <c r="AL171" s="5">
        <v>147608873440009</v>
      </c>
      <c r="AM171" s="5">
        <v>158729603272032</v>
      </c>
      <c r="AN171" s="5">
        <v>167154454529496</v>
      </c>
      <c r="AO171" s="5">
        <v>176147051437922</v>
      </c>
    </row>
    <row r="172" spans="1:41" x14ac:dyDescent="0.45">
      <c r="A172" s="1" t="s">
        <v>166</v>
      </c>
      <c r="B172" s="2">
        <v>4004341</v>
      </c>
      <c r="C172" s="3" t="s">
        <v>910</v>
      </c>
      <c r="D172" s="3" t="s">
        <v>911</v>
      </c>
      <c r="E172" s="3" t="s">
        <v>595</v>
      </c>
      <c r="F172" s="5">
        <v>284895319836206</v>
      </c>
      <c r="G172" s="5">
        <v>32754570875488</v>
      </c>
      <c r="H172" s="5">
        <v>2899032104862</v>
      </c>
      <c r="I172" s="5">
        <v>289507802798129</v>
      </c>
      <c r="J172" s="5">
        <v>27657239514442</v>
      </c>
      <c r="K172" s="5">
        <v>2932334633025</v>
      </c>
      <c r="L172" s="5">
        <v>2972745587448</v>
      </c>
      <c r="M172" s="5">
        <v>29084884141194</v>
      </c>
      <c r="N172" s="5">
        <v>26085975604416</v>
      </c>
      <c r="O172" s="5">
        <v>29533561437276</v>
      </c>
      <c r="P172" s="5">
        <v>27659240257467</v>
      </c>
      <c r="Q172" s="5">
        <v>29346441857568</v>
      </c>
      <c r="R172" s="5">
        <v>26574902555916</v>
      </c>
      <c r="S172" s="5">
        <v>25698005605888</v>
      </c>
      <c r="T172" s="5">
        <v>2008040952456</v>
      </c>
      <c r="U172" s="5">
        <v>19514678245116</v>
      </c>
      <c r="V172" s="5">
        <v>179969161261694</v>
      </c>
      <c r="W172" s="5">
        <v>189419255836457</v>
      </c>
      <c r="X172" s="5">
        <v>152408888585828</v>
      </c>
      <c r="Y172" s="5">
        <v>16731518589688</v>
      </c>
      <c r="Z172" s="5">
        <v>16556241451456</v>
      </c>
      <c r="AA172" s="5">
        <v>151252802891317</v>
      </c>
      <c r="AB172" s="5">
        <v>15136359507555</v>
      </c>
      <c r="AC172" s="5">
        <v>1342101453576</v>
      </c>
      <c r="AD172" s="5">
        <v>14386625455064</v>
      </c>
      <c r="AE172" s="5">
        <v>15070926419568</v>
      </c>
      <c r="AF172" s="5">
        <v>1649962477644</v>
      </c>
      <c r="AG172" s="5">
        <v>157677056154984</v>
      </c>
      <c r="AH172" s="5">
        <v>163882378834352</v>
      </c>
      <c r="AI172" s="5">
        <v>138421338214079</v>
      </c>
      <c r="AJ172" s="5">
        <v>136249163729633</v>
      </c>
      <c r="AK172" s="5">
        <v>117984802306662</v>
      </c>
      <c r="AL172" s="5">
        <v>11416525181045</v>
      </c>
      <c r="AM172" s="5">
        <v>105837640451353</v>
      </c>
      <c r="AN172" s="5">
        <v>112632576648228</v>
      </c>
      <c r="AO172" s="5">
        <v>110404755197703</v>
      </c>
    </row>
    <row r="173" spans="1:41" x14ac:dyDescent="0.45">
      <c r="A173" s="1" t="s">
        <v>167</v>
      </c>
      <c r="B173" s="2">
        <v>4040823</v>
      </c>
      <c r="C173" s="3" t="s">
        <v>912</v>
      </c>
      <c r="D173" s="3" t="s">
        <v>913</v>
      </c>
      <c r="E173" s="3" t="s">
        <v>914</v>
      </c>
      <c r="F173" s="5">
        <v>22618646424873</v>
      </c>
      <c r="G173" s="5">
        <v>224162093803439</v>
      </c>
      <c r="H173" s="5">
        <v>224010095096769</v>
      </c>
      <c r="I173" s="5">
        <v>270671234140402</v>
      </c>
      <c r="J173" s="5">
        <v>260670078339006</v>
      </c>
      <c r="K173" s="5">
        <v>259985721470471</v>
      </c>
      <c r="L173" s="5">
        <v>274297997324408</v>
      </c>
      <c r="M173" s="5">
        <v>289173430728095</v>
      </c>
      <c r="N173" s="5">
        <v>284761800062399</v>
      </c>
      <c r="O173" s="5">
        <v>281223509106407</v>
      </c>
      <c r="P173" s="5">
        <v>292276709840814</v>
      </c>
      <c r="Q173" s="5">
        <v>327549273282</v>
      </c>
      <c r="R173" s="5">
        <v>304991762985</v>
      </c>
      <c r="S173" s="5">
        <v>307156237752</v>
      </c>
      <c r="T173" s="5">
        <v>30241935738</v>
      </c>
      <c r="U173" s="5">
        <v>326014331736361</v>
      </c>
      <c r="V173" s="5">
        <v>343586579923337</v>
      </c>
      <c r="W173" s="5">
        <v>319410524911078</v>
      </c>
      <c r="X173" s="5">
        <v>279717459811526</v>
      </c>
      <c r="Y173" s="5">
        <v>263742924233719</v>
      </c>
      <c r="Z173" s="5">
        <v>254542496110913</v>
      </c>
      <c r="AA173" s="5">
        <v>307683234780979</v>
      </c>
      <c r="AB173" s="5">
        <v>313731281605646</v>
      </c>
      <c r="AC173" s="5">
        <v>277494256219941</v>
      </c>
      <c r="AD173" s="5">
        <v>275664591830601</v>
      </c>
      <c r="AE173" s="5">
        <v>24596323233384</v>
      </c>
      <c r="AF173" s="5">
        <v>197760467305319</v>
      </c>
      <c r="AG173" s="5">
        <v>212389781705156</v>
      </c>
      <c r="AH173" s="5">
        <v>233876764422756</v>
      </c>
      <c r="AI173" s="5">
        <v>227255760093661</v>
      </c>
      <c r="AJ173" s="5">
        <v>264339969896392</v>
      </c>
      <c r="AK173" s="5">
        <v>240072874639801</v>
      </c>
      <c r="AL173" s="5">
        <v>23156749595965</v>
      </c>
      <c r="AM173" s="5">
        <v>230057926467558</v>
      </c>
      <c r="AN173" s="5">
        <v>233686601416633</v>
      </c>
      <c r="AO173" s="5">
        <v>250494203808427</v>
      </c>
    </row>
    <row r="174" spans="1:41" x14ac:dyDescent="0.45">
      <c r="A174" s="1" t="s">
        <v>168</v>
      </c>
      <c r="B174" s="2">
        <v>4570011</v>
      </c>
      <c r="C174" s="3" t="s">
        <v>915</v>
      </c>
      <c r="D174" s="3" t="s">
        <v>916</v>
      </c>
      <c r="E174" s="3" t="s">
        <v>858</v>
      </c>
      <c r="F174" s="5">
        <v>640701933097928</v>
      </c>
      <c r="G174" s="5">
        <v>637870317302384</v>
      </c>
      <c r="H174" s="5">
        <v>720185721368923</v>
      </c>
      <c r="I174" s="5">
        <v>653296374087517</v>
      </c>
      <c r="J174" s="5">
        <v>657757385473904</v>
      </c>
      <c r="K174" s="5">
        <v>671734107589574</v>
      </c>
      <c r="L174" s="5">
        <v>662569799643107</v>
      </c>
      <c r="M174" s="5">
        <v>766232850292004</v>
      </c>
      <c r="N174" s="5">
        <v>742118496979645</v>
      </c>
      <c r="O174" s="5">
        <v>734235484360491</v>
      </c>
      <c r="P174" s="5">
        <v>846233925547754</v>
      </c>
      <c r="Q174" s="5">
        <v>848162315906055</v>
      </c>
      <c r="R174" s="5">
        <v>878754054799913</v>
      </c>
      <c r="S174" s="5">
        <v>897578217912131</v>
      </c>
      <c r="T174" s="5">
        <v>806970924157342</v>
      </c>
      <c r="U174" s="5">
        <v>755618840367157</v>
      </c>
      <c r="V174" s="5">
        <v>716212697257508</v>
      </c>
      <c r="W174" s="5">
        <v>692984358862119</v>
      </c>
      <c r="X174" s="5">
        <v>670162395988285</v>
      </c>
      <c r="Y174" s="5">
        <v>667703462446818</v>
      </c>
      <c r="Z174" s="5">
        <v>631141502842528</v>
      </c>
      <c r="AA174" s="5">
        <v>722993516018348</v>
      </c>
      <c r="AB174" s="5">
        <v>778022387212965</v>
      </c>
      <c r="AC174" s="5">
        <v>718019496367268</v>
      </c>
      <c r="AD174" s="5">
        <v>684068737928442</v>
      </c>
      <c r="AE174" s="5">
        <v>701574556615787</v>
      </c>
      <c r="AF174" s="5">
        <v>648362925577862</v>
      </c>
      <c r="AG174" s="5">
        <v>642014878766773</v>
      </c>
      <c r="AH174" s="5">
        <v>674072011718377</v>
      </c>
      <c r="AI174" s="5">
        <v>687322437151859</v>
      </c>
      <c r="AJ174" s="5">
        <v>671580258368033</v>
      </c>
      <c r="AK174" s="5">
        <v>654241537517332</v>
      </c>
      <c r="AL174" s="5">
        <v>613539371641647</v>
      </c>
      <c r="AM174" s="5">
        <v>61549585091743</v>
      </c>
      <c r="AN174" s="5">
        <v>601310662067524</v>
      </c>
      <c r="AO174" s="5">
        <v>628885597301315</v>
      </c>
    </row>
    <row r="175" spans="1:41" x14ac:dyDescent="0.45">
      <c r="A175" s="1" t="s">
        <v>169</v>
      </c>
      <c r="B175" s="2">
        <v>103054</v>
      </c>
      <c r="C175" s="3" t="s">
        <v>917</v>
      </c>
      <c r="D175" s="3" t="s">
        <v>918</v>
      </c>
      <c r="E175" s="3" t="s">
        <v>639</v>
      </c>
      <c r="F175" s="5">
        <v>204281321649641</v>
      </c>
      <c r="G175" s="5">
        <v>202614964123572</v>
      </c>
      <c r="H175" s="5">
        <v>196075668998801</v>
      </c>
      <c r="I175" s="5">
        <v>210690786459966</v>
      </c>
      <c r="J175" s="5">
        <v>215871649872053</v>
      </c>
      <c r="K175" s="5">
        <v>209916749990448</v>
      </c>
      <c r="L175" s="5">
        <v>218345021424875</v>
      </c>
      <c r="M175" s="5">
        <v>234859831558619</v>
      </c>
      <c r="N175" s="5">
        <v>235288339628519</v>
      </c>
      <c r="O175" s="5">
        <v>251462883650886</v>
      </c>
      <c r="P175" s="5">
        <v>270672060869121</v>
      </c>
      <c r="Q175" s="5">
        <v>257834178524535</v>
      </c>
      <c r="R175" s="5">
        <v>262993891991164</v>
      </c>
      <c r="S175" s="5">
        <v>275687189086656</v>
      </c>
      <c r="T175" s="5">
        <v>245862726729283</v>
      </c>
      <c r="U175" s="5">
        <v>253114285066782</v>
      </c>
      <c r="V175" s="5">
        <v>256671231763041</v>
      </c>
      <c r="W175" s="5">
        <v>243897373045418</v>
      </c>
      <c r="X175" s="5">
        <v>24525181252669</v>
      </c>
      <c r="Y175" s="5">
        <v>227247387204718</v>
      </c>
      <c r="Z175" s="5">
        <v>228223589107069</v>
      </c>
      <c r="AA175" s="5">
        <v>221762679951117</v>
      </c>
      <c r="AB175" s="5">
        <v>211412378777232</v>
      </c>
      <c r="AC175" s="5">
        <v>210419965937533</v>
      </c>
      <c r="AD175" s="5">
        <v>210107319588242</v>
      </c>
      <c r="AE175" s="5">
        <v>197899709764047</v>
      </c>
      <c r="AF175" s="5">
        <v>198860785388651</v>
      </c>
      <c r="AG175" s="5">
        <v>210246276445005</v>
      </c>
      <c r="AH175" s="5">
        <v>226560028511299</v>
      </c>
      <c r="AI175" s="5">
        <v>226790272107082</v>
      </c>
      <c r="AJ175" s="5">
        <v>228966483687599</v>
      </c>
      <c r="AK175" s="5">
        <v>216159960561002</v>
      </c>
      <c r="AL175" s="5">
        <v>217153391767419</v>
      </c>
      <c r="AM175" s="5">
        <v>20907954621216</v>
      </c>
      <c r="AN175" s="5">
        <v>222973658950666</v>
      </c>
      <c r="AO175" s="5">
        <v>221470142948406</v>
      </c>
    </row>
    <row r="176" spans="1:41" x14ac:dyDescent="0.45">
      <c r="A176" s="1" t="s">
        <v>170</v>
      </c>
      <c r="B176" s="2">
        <v>103619</v>
      </c>
      <c r="C176" s="3" t="s">
        <v>919</v>
      </c>
      <c r="D176" s="3" t="s">
        <v>920</v>
      </c>
      <c r="E176" s="3" t="s">
        <v>570</v>
      </c>
      <c r="F176" s="5">
        <v>127660381769957</v>
      </c>
      <c r="G176" s="5">
        <v>13325057181404</v>
      </c>
      <c r="H176" s="5">
        <v>132669267443078</v>
      </c>
      <c r="I176" s="5">
        <v>141793267945746</v>
      </c>
      <c r="J176" s="5">
        <v>15841710277331</v>
      </c>
      <c r="K176" s="5">
        <v>162843725602189</v>
      </c>
      <c r="L176" s="5">
        <v>154407632301476</v>
      </c>
      <c r="M176" s="5">
        <v>165212380802281</v>
      </c>
      <c r="N176" s="5">
        <v>165281824361478</v>
      </c>
      <c r="O176" s="5">
        <v>202730464103321</v>
      </c>
      <c r="P176" s="5">
        <v>215129969391438</v>
      </c>
      <c r="Q176" s="5">
        <v>202716416430283</v>
      </c>
      <c r="R176" s="5">
        <v>208204113626997</v>
      </c>
      <c r="S176" s="5">
        <v>218343020204346</v>
      </c>
      <c r="T176" s="5">
        <v>216156713892235</v>
      </c>
      <c r="U176" s="5">
        <v>253084326931352</v>
      </c>
      <c r="V176" s="5">
        <v>240267102986919</v>
      </c>
      <c r="W176" s="5">
        <v>213145319478168</v>
      </c>
      <c r="X176" s="5">
        <v>176858932907146</v>
      </c>
      <c r="Y176" s="5">
        <v>174751014859052</v>
      </c>
      <c r="Z176" s="5">
        <v>187126420792806</v>
      </c>
      <c r="AA176" s="5">
        <v>194399875546372</v>
      </c>
      <c r="AB176" s="5">
        <v>196821514501012</v>
      </c>
      <c r="AC176" s="5">
        <v>166674744349905</v>
      </c>
      <c r="AD176" s="5">
        <v>158439410676796</v>
      </c>
      <c r="AE176" s="5">
        <v>141743356220943</v>
      </c>
      <c r="AF176" s="5">
        <v>136692949255238</v>
      </c>
      <c r="AG176" s="5">
        <v>145142446540715</v>
      </c>
      <c r="AH176" s="5">
        <v>134379240248441</v>
      </c>
      <c r="AI176" s="5">
        <v>105315195085015</v>
      </c>
      <c r="AJ176" s="5">
        <v>100589579836709</v>
      </c>
      <c r="AK176" s="5">
        <v>10504513151216</v>
      </c>
      <c r="AL176" s="5">
        <v>102970626689719</v>
      </c>
      <c r="AM176" s="5">
        <v>11149238543538</v>
      </c>
      <c r="AN176" s="5">
        <v>115946183308658</v>
      </c>
      <c r="AO176" s="5">
        <v>117638108266081</v>
      </c>
    </row>
    <row r="177" spans="1:41" x14ac:dyDescent="0.45">
      <c r="A177" s="1" t="s">
        <v>171</v>
      </c>
      <c r="B177" s="2">
        <v>103163</v>
      </c>
      <c r="C177" s="3" t="s">
        <v>921</v>
      </c>
      <c r="D177" s="3" t="s">
        <v>922</v>
      </c>
      <c r="E177" s="3" t="s">
        <v>639</v>
      </c>
      <c r="F177" s="5">
        <v>143539083210268</v>
      </c>
      <c r="G177" s="5">
        <v>146419895723615</v>
      </c>
      <c r="H177" s="5">
        <v>14058405536621</v>
      </c>
      <c r="I177" s="5">
        <v>146922717244576</v>
      </c>
      <c r="J177" s="5">
        <v>148774919597716</v>
      </c>
      <c r="K177" s="5">
        <v>146486533277098</v>
      </c>
      <c r="L177" s="5">
        <v>155371154262727</v>
      </c>
      <c r="M177" s="5">
        <v>161092401775394</v>
      </c>
      <c r="N177" s="5">
        <v>158415098714274</v>
      </c>
      <c r="O177" s="5">
        <v>182450733203851</v>
      </c>
      <c r="P177" s="5">
        <v>192621405102692</v>
      </c>
      <c r="Q177" s="5">
        <v>175954603344255</v>
      </c>
      <c r="R177" s="5">
        <v>177189630960826</v>
      </c>
      <c r="S177" s="5">
        <v>189109637599802</v>
      </c>
      <c r="T177" s="5">
        <v>168017737970241</v>
      </c>
      <c r="U177" s="5">
        <v>170096240295917</v>
      </c>
      <c r="V177" s="5">
        <v>175217468033714</v>
      </c>
      <c r="W177" s="5">
        <v>165171413366467</v>
      </c>
      <c r="X177" s="5">
        <v>163119428789513</v>
      </c>
      <c r="Y177" s="5">
        <v>153814315526202</v>
      </c>
      <c r="Z177" s="5">
        <v>14786256379454</v>
      </c>
      <c r="AA177" s="5">
        <v>145520381695252</v>
      </c>
      <c r="AB177" s="5">
        <v>137439231842856</v>
      </c>
      <c r="AC177" s="5">
        <v>138000081514512</v>
      </c>
      <c r="AD177" s="5">
        <v>143973331185481</v>
      </c>
      <c r="AE177" s="5">
        <v>125623053029863</v>
      </c>
      <c r="AF177" s="5">
        <v>129957956665891</v>
      </c>
      <c r="AG177" s="5">
        <v>128612193859761</v>
      </c>
      <c r="AH177" s="5">
        <v>141072065289963</v>
      </c>
      <c r="AI177" s="5">
        <v>141843349635801</v>
      </c>
      <c r="AJ177" s="5">
        <v>137745809787432</v>
      </c>
      <c r="AK177" s="5">
        <v>130114807144042</v>
      </c>
      <c r="AL177" s="5">
        <v>127783894586677</v>
      </c>
      <c r="AM177" s="5">
        <v>124087994199268</v>
      </c>
      <c r="AN177" s="5">
        <v>138606337014314</v>
      </c>
      <c r="AO177" s="5">
        <v>13478029962528</v>
      </c>
    </row>
    <row r="178" spans="1:41" x14ac:dyDescent="0.45">
      <c r="A178" s="1" t="s">
        <v>172</v>
      </c>
      <c r="B178" s="2">
        <v>4050636</v>
      </c>
      <c r="C178" s="3" t="s">
        <v>923</v>
      </c>
      <c r="D178" s="3" t="s">
        <v>924</v>
      </c>
      <c r="E178" s="3" t="s">
        <v>925</v>
      </c>
      <c r="F178" s="5">
        <v>121326828167249</v>
      </c>
      <c r="G178" s="5">
        <v>113778879912224</v>
      </c>
      <c r="H178" s="5">
        <v>114469479414727</v>
      </c>
      <c r="I178" s="5">
        <v>125201155231464</v>
      </c>
      <c r="J178" s="5">
        <v>122589003824207</v>
      </c>
      <c r="K178" s="5">
        <v>12300011484</v>
      </c>
      <c r="L178" s="5">
        <v>123087963551462</v>
      </c>
      <c r="M178" s="5">
        <v>130147142704802</v>
      </c>
      <c r="N178" s="5">
        <v>13441592385</v>
      </c>
      <c r="O178" s="5">
        <v>144324219023769</v>
      </c>
      <c r="P178" s="5">
        <v>14575256172563</v>
      </c>
      <c r="Q178" s="5">
        <v>1436943307537</v>
      </c>
      <c r="R178" s="5">
        <v>150468075080587</v>
      </c>
      <c r="S178" s="5">
        <v>157872964655843</v>
      </c>
      <c r="T178" s="5">
        <v>141023599647251</v>
      </c>
      <c r="U178" s="5">
        <v>151270631277933</v>
      </c>
      <c r="V178" s="5">
        <v>153458462936606</v>
      </c>
      <c r="W178" s="5">
        <v>157758592189506</v>
      </c>
      <c r="X178" s="5">
        <v>154540111938897</v>
      </c>
      <c r="Y178" s="5">
        <v>156656783570295</v>
      </c>
      <c r="Z178" s="5">
        <v>148717318288</v>
      </c>
      <c r="AA178" s="5">
        <v>159646574626515</v>
      </c>
      <c r="AB178" s="5">
        <v>148040003090868</v>
      </c>
      <c r="AC178" s="5">
        <v>15396087424694</v>
      </c>
      <c r="AD178" s="5">
        <v>138798948408822</v>
      </c>
      <c r="AE178" s="5">
        <v>163336002777671</v>
      </c>
      <c r="AF178" s="5">
        <v>162526584685014</v>
      </c>
      <c r="AG178" s="5">
        <v>152413327450613</v>
      </c>
      <c r="AH178" s="5">
        <v>144337285821168</v>
      </c>
      <c r="AI178" s="5">
        <v>142022821696074</v>
      </c>
      <c r="AJ178" s="5">
        <v>135952064846022</v>
      </c>
      <c r="AK178" s="5">
        <v>138512263210216</v>
      </c>
      <c r="AL178" s="5">
        <v>13411580099463</v>
      </c>
      <c r="AM178" s="5">
        <v>129031550420339</v>
      </c>
      <c r="AN178" s="5">
        <v>141631617186189</v>
      </c>
      <c r="AO178" s="5">
        <v>126095580148208</v>
      </c>
    </row>
    <row r="179" spans="1:41" x14ac:dyDescent="0.45">
      <c r="A179" s="1" t="s">
        <v>173</v>
      </c>
      <c r="B179" s="2">
        <v>8603803</v>
      </c>
      <c r="C179" s="3" t="s">
        <v>926</v>
      </c>
      <c r="D179" s="3" t="s">
        <v>927</v>
      </c>
      <c r="E179" s="3" t="s">
        <v>547</v>
      </c>
      <c r="F179" s="5">
        <v>142133597833836</v>
      </c>
      <c r="G179" s="5">
        <v>154163730300518</v>
      </c>
      <c r="H179" s="5">
        <v>153270251224508</v>
      </c>
      <c r="I179" s="5">
        <v>149121876607696</v>
      </c>
      <c r="J179" s="5">
        <v>140211017759046</v>
      </c>
      <c r="K179" s="5">
        <v>142410864039653</v>
      </c>
      <c r="L179" s="5">
        <v>135049192688887</v>
      </c>
      <c r="M179" s="5">
        <v>134665488839088</v>
      </c>
      <c r="N179" s="5">
        <v>140088970050908</v>
      </c>
      <c r="O179" s="5">
        <v>146731292597774</v>
      </c>
      <c r="P179" s="5">
        <v>152333810775229</v>
      </c>
      <c r="Q179" s="5">
        <v>141982589562226</v>
      </c>
      <c r="R179" s="5">
        <v>136723466886658</v>
      </c>
      <c r="S179" s="5">
        <v>140874925432937</v>
      </c>
      <c r="T179" s="5">
        <v>128014928867597</v>
      </c>
      <c r="U179" s="5">
        <v>127852672978284</v>
      </c>
      <c r="V179" s="5">
        <v>122955266563467</v>
      </c>
      <c r="W179" s="5">
        <v>12322361184672</v>
      </c>
      <c r="X179" s="5">
        <v>113669829447095</v>
      </c>
      <c r="Y179" s="5">
        <v>115888840856244</v>
      </c>
      <c r="Z179" s="5">
        <v>112693233891193</v>
      </c>
      <c r="AA179" s="5">
        <v>113538616252894</v>
      </c>
      <c r="AB179" s="5">
        <v>105284126580548</v>
      </c>
      <c r="AC179" s="5">
        <v>107497159750747</v>
      </c>
      <c r="AD179" s="5">
        <v>108486408543824</v>
      </c>
      <c r="AE179" s="5">
        <v>10750604305242</v>
      </c>
      <c r="AF179" s="5">
        <v>106836791817155</v>
      </c>
      <c r="AG179" s="5">
        <v>110030455715294</v>
      </c>
      <c r="AH179" s="5">
        <v>116418426677604</v>
      </c>
      <c r="AI179" s="5">
        <v>124984971037288</v>
      </c>
      <c r="AJ179" s="5">
        <v>122908522061458</v>
      </c>
      <c r="AK179" s="5">
        <v>124672322441803</v>
      </c>
      <c r="AL179" s="5">
        <v>129204499990277</v>
      </c>
      <c r="AM179" s="5">
        <v>129151643065336</v>
      </c>
      <c r="AN179" s="5">
        <v>127178455473012</v>
      </c>
      <c r="AO179" s="5">
        <v>132400844767942</v>
      </c>
    </row>
    <row r="180" spans="1:41" x14ac:dyDescent="0.45">
      <c r="A180" s="1" t="s">
        <v>174</v>
      </c>
      <c r="B180" s="2">
        <v>4057052</v>
      </c>
      <c r="C180" s="3" t="s">
        <v>928</v>
      </c>
      <c r="D180" s="3" t="s">
        <v>929</v>
      </c>
      <c r="E180" s="3" t="s">
        <v>547</v>
      </c>
      <c r="F180" s="5">
        <v>215152068876483</v>
      </c>
      <c r="G180" s="5">
        <v>217369703107726</v>
      </c>
      <c r="H180" s="5">
        <v>237488739788319</v>
      </c>
      <c r="I180" s="5">
        <v>225016864880346</v>
      </c>
      <c r="J180" s="5">
        <v>203272562129382</v>
      </c>
      <c r="K180" s="5">
        <v>21229191524053</v>
      </c>
      <c r="L180" s="5">
        <v>199021277944434</v>
      </c>
      <c r="M180" s="5">
        <v>209839375499308</v>
      </c>
      <c r="N180" s="5">
        <v>192445153913881</v>
      </c>
      <c r="O180" s="5">
        <v>210940575546151</v>
      </c>
      <c r="P180" s="5">
        <v>222121019879023</v>
      </c>
      <c r="Q180" s="5">
        <v>203330910350277</v>
      </c>
      <c r="R180" s="5">
        <v>203249235661064</v>
      </c>
      <c r="S180" s="5">
        <v>223958226657991</v>
      </c>
      <c r="T180" s="5">
        <v>216746156792741</v>
      </c>
      <c r="U180" s="5">
        <v>218053398669108</v>
      </c>
      <c r="V180" s="5">
        <v>218197221007209</v>
      </c>
      <c r="W180" s="5">
        <v>211271560486879</v>
      </c>
      <c r="X180" s="5">
        <v>186439690306964</v>
      </c>
      <c r="Y180" s="5">
        <v>19238766090269</v>
      </c>
      <c r="Z180" s="5">
        <v>198833483671675</v>
      </c>
      <c r="AA180" s="5">
        <v>194074968234962</v>
      </c>
      <c r="AB180" s="5">
        <v>189891924827067</v>
      </c>
      <c r="AC180" s="5">
        <v>1745742848181</v>
      </c>
      <c r="AD180" s="5">
        <v>195057062015436</v>
      </c>
      <c r="AE180" s="5">
        <v>190288567133171</v>
      </c>
      <c r="AF180" s="5">
        <v>177727390484465</v>
      </c>
      <c r="AG180" s="5">
        <v>191788165663978</v>
      </c>
      <c r="AH180" s="5">
        <v>205409214896626</v>
      </c>
      <c r="AI180" s="5">
        <v>228952720626053</v>
      </c>
      <c r="AJ180" s="5">
        <v>226617147762048</v>
      </c>
      <c r="AK180" s="5">
        <v>226602458032166</v>
      </c>
      <c r="AL180" s="5">
        <v>245195416631118</v>
      </c>
      <c r="AM180" s="5">
        <v>251151043824692</v>
      </c>
      <c r="AN180" s="5">
        <v>24738531675336</v>
      </c>
      <c r="AO180" s="5">
        <v>264021308992291</v>
      </c>
    </row>
    <row r="181" spans="1:41" x14ac:dyDescent="0.45">
      <c r="A181" s="1" t="s">
        <v>175</v>
      </c>
      <c r="B181" s="2">
        <v>4057056</v>
      </c>
      <c r="C181" s="3" t="s">
        <v>930</v>
      </c>
      <c r="D181" s="3" t="s">
        <v>931</v>
      </c>
      <c r="E181" s="3" t="s">
        <v>547</v>
      </c>
      <c r="F181" s="5">
        <v>375076371865605</v>
      </c>
      <c r="G181" s="5">
        <v>41054448244587</v>
      </c>
      <c r="H181" s="5">
        <v>403853923373758</v>
      </c>
      <c r="I181" s="5">
        <v>387451558021358</v>
      </c>
      <c r="J181" s="5">
        <v>377149778521414</v>
      </c>
      <c r="K181" s="5">
        <v>396789143051211</v>
      </c>
      <c r="L181" s="5">
        <v>373246838090443</v>
      </c>
      <c r="M181" s="5">
        <v>389868196695378</v>
      </c>
      <c r="N181" s="5">
        <v>416491653935011</v>
      </c>
      <c r="O181" s="5">
        <v>429544842267525</v>
      </c>
      <c r="P181" s="5">
        <v>427022480639973</v>
      </c>
      <c r="Q181" s="5">
        <v>3867001837902</v>
      </c>
      <c r="R181" s="5">
        <v>365322106619998</v>
      </c>
      <c r="S181" s="5">
        <v>37676205739548</v>
      </c>
      <c r="T181" s="5">
        <v>363702555928215</v>
      </c>
      <c r="U181" s="5">
        <v>363752433766659</v>
      </c>
      <c r="V181" s="5">
        <v>34454325838656</v>
      </c>
      <c r="W181" s="5">
        <v>343736635822272</v>
      </c>
      <c r="X181" s="5">
        <v>323023245432126</v>
      </c>
      <c r="Y181" s="5">
        <v>34625724914857</v>
      </c>
      <c r="Z181" s="5">
        <v>351355069817172</v>
      </c>
      <c r="AA181" s="5">
        <v>347730930019159</v>
      </c>
      <c r="AB181" s="5">
        <v>331402840905185</v>
      </c>
      <c r="AC181" s="5">
        <v>319379893348498</v>
      </c>
      <c r="AD181" s="5">
        <v>323305430661617</v>
      </c>
      <c r="AE181" s="5">
        <v>351487149847877</v>
      </c>
      <c r="AF181" s="5">
        <v>366805052565485</v>
      </c>
      <c r="AG181" s="5">
        <v>355332981765264</v>
      </c>
      <c r="AH181" s="5">
        <v>368137949633348</v>
      </c>
      <c r="AI181" s="5">
        <v>377774741017485</v>
      </c>
      <c r="AJ181" s="5">
        <v>371151667363243</v>
      </c>
      <c r="AK181" s="5">
        <v>370015422011478</v>
      </c>
      <c r="AL181" s="5">
        <v>382356526294062</v>
      </c>
      <c r="AM181" s="5">
        <v>383357506981329</v>
      </c>
      <c r="AN181" s="5">
        <v>378239251119908</v>
      </c>
      <c r="AO181" s="5">
        <v>38601246329416</v>
      </c>
    </row>
    <row r="182" spans="1:41" x14ac:dyDescent="0.45">
      <c r="A182" s="1" t="s">
        <v>176</v>
      </c>
      <c r="B182" s="2">
        <v>4010492</v>
      </c>
      <c r="C182" s="3" t="s">
        <v>932</v>
      </c>
      <c r="D182" s="3" t="s">
        <v>933</v>
      </c>
      <c r="E182" s="3" t="s">
        <v>595</v>
      </c>
      <c r="F182" s="5">
        <v>223864300899756</v>
      </c>
      <c r="G182" s="5">
        <v>250441228682531</v>
      </c>
      <c r="H182" s="5">
        <v>213328049812597</v>
      </c>
      <c r="I182" s="5">
        <v>215636984071776</v>
      </c>
      <c r="J182" s="5">
        <v>197035115808149</v>
      </c>
      <c r="K182" s="5">
        <v>218138285251263</v>
      </c>
      <c r="L182" s="5">
        <v>23696662230556</v>
      </c>
      <c r="M182" s="5">
        <v>24356093498868</v>
      </c>
      <c r="N182" s="5">
        <v>217935525558449</v>
      </c>
      <c r="O182" s="5">
        <v>239665262502109</v>
      </c>
      <c r="P182" s="5">
        <v>221143054765524</v>
      </c>
      <c r="Q182" s="5">
        <v>2258954719191</v>
      </c>
      <c r="R182" s="5">
        <v>222211757052106</v>
      </c>
      <c r="S182" s="5">
        <v>21675543401078</v>
      </c>
      <c r="T182" s="5">
        <v>180269793615319</v>
      </c>
      <c r="U182" s="5">
        <v>96809320305432</v>
      </c>
      <c r="V182" s="5">
        <v>884091007812917</v>
      </c>
      <c r="W182" s="5">
        <v>925869469339584</v>
      </c>
      <c r="X182" s="5">
        <v>100524559332662</v>
      </c>
      <c r="Y182" s="5">
        <v>10987961898498</v>
      </c>
      <c r="Z182" s="5">
        <v>110153802510723</v>
      </c>
      <c r="AA182" s="5">
        <v>107564067622028</v>
      </c>
      <c r="AB182" s="5">
        <v>100162344501611</v>
      </c>
      <c r="AC182" s="5">
        <v>929586992780446</v>
      </c>
      <c r="AD182" s="5">
        <v>912362550742529</v>
      </c>
      <c r="AE182" s="5">
        <v>965166583363425</v>
      </c>
      <c r="AF182" s="5">
        <v>106790729946014</v>
      </c>
      <c r="AG182" s="5">
        <v>10783091546878</v>
      </c>
      <c r="AH182" s="5">
        <v>107644975871493</v>
      </c>
      <c r="AI182" s="5">
        <v>102450161446832</v>
      </c>
      <c r="AJ182" s="5">
        <v>102611827101395</v>
      </c>
      <c r="AK182" s="5">
        <v>945210410113393</v>
      </c>
      <c r="AL182" s="5">
        <v>100448493418118</v>
      </c>
      <c r="AM182" s="5">
        <v>942866521180833</v>
      </c>
      <c r="AN182" s="5">
        <v>102552796283794</v>
      </c>
      <c r="AO182" s="5">
        <v>106966713446461</v>
      </c>
    </row>
    <row r="183" spans="1:41" x14ac:dyDescent="0.45">
      <c r="A183" s="1" t="s">
        <v>177</v>
      </c>
      <c r="B183" s="2">
        <v>4122573</v>
      </c>
      <c r="C183" s="3" t="s">
        <v>934</v>
      </c>
      <c r="D183" s="3" t="s">
        <v>935</v>
      </c>
      <c r="E183" s="3" t="s">
        <v>530</v>
      </c>
      <c r="F183" s="5">
        <v>295664987685544</v>
      </c>
      <c r="G183" s="5">
        <v>270192841469258</v>
      </c>
      <c r="H183" s="5">
        <v>2359751030142</v>
      </c>
      <c r="I183" s="5">
        <v>225383966598049</v>
      </c>
      <c r="J183" s="5">
        <v>227182042695592</v>
      </c>
      <c r="K183" s="5">
        <v>200276841101783</v>
      </c>
      <c r="L183" s="5">
        <v>182585039557939</v>
      </c>
      <c r="M183" s="5">
        <v>186812769112704</v>
      </c>
      <c r="N183" s="5">
        <v>176445284871871</v>
      </c>
      <c r="O183" s="5">
        <v>200406407537729</v>
      </c>
      <c r="P183" s="5">
        <v>245162639152843</v>
      </c>
      <c r="Q183" s="5">
        <v>211092716256376</v>
      </c>
      <c r="R183" s="5">
        <v>230993031516511</v>
      </c>
      <c r="S183" s="5">
        <v>224584293111889</v>
      </c>
      <c r="T183" s="5">
        <v>187408301929695</v>
      </c>
      <c r="U183" s="5">
        <v>172767308186574</v>
      </c>
      <c r="V183" s="5">
        <v>163702310352221</v>
      </c>
      <c r="W183" s="5">
        <v>156271670366381</v>
      </c>
      <c r="X183" s="5">
        <v>15576747013295</v>
      </c>
      <c r="Y183" s="5">
        <v>137859751921067</v>
      </c>
      <c r="Z183" s="5">
        <v>166788371625622</v>
      </c>
      <c r="AA183" s="5">
        <v>17380724073388</v>
      </c>
      <c r="AB183" s="5">
        <v>172503276370475</v>
      </c>
      <c r="AC183" s="5">
        <v>189827417013846</v>
      </c>
      <c r="AD183" s="5">
        <v>190672519554878</v>
      </c>
      <c r="AE183" s="5">
        <v>173370681631345</v>
      </c>
      <c r="AF183" s="5">
        <v>129303407388745</v>
      </c>
      <c r="AG183" s="5">
        <v>139609247076028</v>
      </c>
      <c r="AH183" s="5">
        <v>143272276504066</v>
      </c>
      <c r="AI183" s="5">
        <v>164690410122495</v>
      </c>
      <c r="AJ183" s="5">
        <v>148422655884668</v>
      </c>
      <c r="AK183" s="5">
        <v>13302281534607</v>
      </c>
      <c r="AL183" s="5">
        <v>127283509896763</v>
      </c>
      <c r="AM183" s="5">
        <v>136949894957176</v>
      </c>
      <c r="AN183" s="5">
        <v>157411666145332</v>
      </c>
      <c r="AO183" s="5">
        <v>164263809876448</v>
      </c>
    </row>
    <row r="184" spans="1:41" x14ac:dyDescent="0.45">
      <c r="A184" s="1" t="s">
        <v>178</v>
      </c>
      <c r="B184" s="2">
        <v>4077460</v>
      </c>
      <c r="C184" s="3" t="s">
        <v>936</v>
      </c>
      <c r="D184" s="3" t="s">
        <v>937</v>
      </c>
      <c r="E184" s="3" t="s">
        <v>700</v>
      </c>
      <c r="F184" s="5">
        <v>170088398692416</v>
      </c>
      <c r="G184" s="5">
        <v>169786507163874</v>
      </c>
      <c r="H184" s="5">
        <v>14343723938796</v>
      </c>
      <c r="I184" s="5">
        <v>141803401485236</v>
      </c>
      <c r="J184" s="5">
        <v>139857454416439</v>
      </c>
      <c r="K184" s="5">
        <v>139162516005194</v>
      </c>
      <c r="L184" s="5">
        <v>133228374641131</v>
      </c>
      <c r="M184" s="5">
        <v>136056453318442</v>
      </c>
      <c r="N184" s="5">
        <v>133451357913145</v>
      </c>
      <c r="O184" s="5">
        <v>153261634305312</v>
      </c>
      <c r="P184" s="5">
        <v>155692793957818</v>
      </c>
      <c r="Q184" s="5">
        <v>15295907815852</v>
      </c>
      <c r="R184" s="5">
        <v>149764023921042</v>
      </c>
      <c r="S184" s="5">
        <v>161378730381314</v>
      </c>
      <c r="T184" s="5">
        <v>15467472766536</v>
      </c>
      <c r="U184" s="5">
        <v>166267309121194</v>
      </c>
      <c r="V184" s="5">
        <v>157463387443706</v>
      </c>
      <c r="W184" s="5">
        <v>162911413394453</v>
      </c>
      <c r="X184" s="5">
        <v>164511556975247</v>
      </c>
      <c r="Y184" s="5">
        <v>157470673508249</v>
      </c>
      <c r="Z184" s="5">
        <v>147695673415945</v>
      </c>
      <c r="AA184" s="5">
        <v>15968814851753</v>
      </c>
      <c r="AB184" s="5">
        <v>159212995988504</v>
      </c>
      <c r="AC184" s="5">
        <v>169289000660609</v>
      </c>
      <c r="AD184" s="5">
        <v>167310947736386</v>
      </c>
      <c r="AE184" s="5">
        <v>160422262672398</v>
      </c>
      <c r="AF184" s="5">
        <v>15293325971427</v>
      </c>
      <c r="AG184" s="5">
        <v>160176226635546</v>
      </c>
      <c r="AH184" s="5">
        <v>159147152169051</v>
      </c>
      <c r="AI184" s="5">
        <v>176493334675156</v>
      </c>
      <c r="AJ184" s="5">
        <v>169530686662295</v>
      </c>
      <c r="AK184" s="5">
        <v>15814582497617</v>
      </c>
      <c r="AL184" s="5">
        <v>159322206627212</v>
      </c>
      <c r="AM184" s="5">
        <v>156548210667975</v>
      </c>
      <c r="AN184" s="5">
        <v>1519913917776</v>
      </c>
      <c r="AO184" s="5">
        <v>158457993551827</v>
      </c>
    </row>
    <row r="185" spans="1:41" x14ac:dyDescent="0.45">
      <c r="A185" s="1" t="s">
        <v>179</v>
      </c>
      <c r="B185" s="2">
        <v>4092889</v>
      </c>
      <c r="C185" s="3" t="s">
        <v>938</v>
      </c>
      <c r="D185" s="3" t="s">
        <v>939</v>
      </c>
      <c r="E185" s="3" t="s">
        <v>940</v>
      </c>
      <c r="F185" s="5">
        <v>235400339832349</v>
      </c>
      <c r="G185" s="5">
        <v>243757448211446</v>
      </c>
      <c r="H185" s="5">
        <v>245738507693844</v>
      </c>
      <c r="I185" s="5">
        <v>25496574899238</v>
      </c>
      <c r="J185" s="5">
        <v>260533967772632</v>
      </c>
      <c r="K185" s="5">
        <v>249306560862831</v>
      </c>
      <c r="L185" s="5">
        <v>26642049008886</v>
      </c>
      <c r="M185" s="5">
        <v>282682920806341</v>
      </c>
      <c r="N185" s="5">
        <v>27407361037183</v>
      </c>
      <c r="O185" s="5">
        <v>291249279325043</v>
      </c>
      <c r="P185" s="5">
        <v>310843138558467</v>
      </c>
      <c r="Q185" s="5">
        <v>313037858004102</v>
      </c>
      <c r="R185" s="5">
        <v>306313374228462</v>
      </c>
      <c r="S185" s="5">
        <v>343489458443243</v>
      </c>
      <c r="T185" s="5">
        <v>318819056095806</v>
      </c>
      <c r="U185" s="5">
        <v>34238851129568</v>
      </c>
      <c r="V185" s="5">
        <v>339140377674615</v>
      </c>
      <c r="W185" s="5">
        <v>312569271978902</v>
      </c>
      <c r="X185" s="5">
        <v>307095089747866</v>
      </c>
      <c r="Y185" s="5">
        <v>282637148284596</v>
      </c>
      <c r="Z185" s="5">
        <v>265798291415167</v>
      </c>
      <c r="AA185" s="5">
        <v>287937308755152</v>
      </c>
      <c r="AB185" s="5">
        <v>275917223172415</v>
      </c>
      <c r="AC185" s="5">
        <v>281274899675421</v>
      </c>
      <c r="AD185" s="5">
        <v>306459644951799</v>
      </c>
      <c r="AE185" s="5">
        <v>252166150568826</v>
      </c>
      <c r="AF185" s="5">
        <v>207152103220769</v>
      </c>
      <c r="AG185" s="5">
        <v>242690579868023</v>
      </c>
      <c r="AH185" s="5">
        <v>250664521352108</v>
      </c>
      <c r="AI185" s="5">
        <v>26732492474762</v>
      </c>
      <c r="AJ185" s="5">
        <v>184135337484098</v>
      </c>
      <c r="AK185" s="5">
        <v>182814474154581</v>
      </c>
      <c r="AL185" s="5">
        <v>185990678578723</v>
      </c>
      <c r="AM185" s="5">
        <v>20242460057047</v>
      </c>
      <c r="AN185" s="5">
        <v>209362194240105</v>
      </c>
      <c r="AO185" s="5">
        <v>194606837674358</v>
      </c>
    </row>
    <row r="186" spans="1:41" x14ac:dyDescent="0.45">
      <c r="A186" s="1" t="s">
        <v>180</v>
      </c>
      <c r="B186" s="2">
        <v>3007562</v>
      </c>
      <c r="C186" s="3" t="s">
        <v>941</v>
      </c>
      <c r="D186" s="3" t="s">
        <v>942</v>
      </c>
      <c r="E186" s="3" t="s">
        <v>746</v>
      </c>
      <c r="F186" s="5">
        <v>432232392797427</v>
      </c>
      <c r="G186" s="5">
        <v>421587549869537</v>
      </c>
      <c r="H186" s="5">
        <v>41811605604</v>
      </c>
      <c r="I186" s="5">
        <v>409684502908808</v>
      </c>
      <c r="J186" s="5">
        <v>416547034585524</v>
      </c>
      <c r="K186" s="5">
        <v>420536736251429</v>
      </c>
      <c r="L186" s="5">
        <v>395527535324822</v>
      </c>
      <c r="M186" s="5">
        <v>388483621580215</v>
      </c>
      <c r="N186" s="5">
        <v>402694709507518</v>
      </c>
      <c r="O186" s="5">
        <v>477453451511801</v>
      </c>
      <c r="P186" s="5">
        <v>464285136542378</v>
      </c>
      <c r="Q186" s="5">
        <v>447406315479</v>
      </c>
      <c r="R186" s="5">
        <v>456658510351521</v>
      </c>
      <c r="S186" s="5">
        <v>491382504120006</v>
      </c>
      <c r="T186" s="5">
        <v>47784545825942</v>
      </c>
      <c r="U186" s="5">
        <v>466938638889034</v>
      </c>
      <c r="V186" s="5">
        <v>473736616724745</v>
      </c>
      <c r="W186" s="5">
        <v>431991909450541</v>
      </c>
      <c r="X186" s="5">
        <v>423572366825922</v>
      </c>
      <c r="Y186" s="5">
        <v>426268739559698</v>
      </c>
      <c r="Z186" s="5">
        <v>43612062749351</v>
      </c>
      <c r="AA186" s="5">
        <v>426999533355051</v>
      </c>
      <c r="AB186" s="5">
        <v>383656627353764</v>
      </c>
      <c r="AC186" s="5">
        <v>378734257230427</v>
      </c>
      <c r="AD186" s="5">
        <v>361515869025447</v>
      </c>
      <c r="AE186" s="5">
        <v>376505372012737</v>
      </c>
      <c r="AF186" s="5">
        <v>397032953317629</v>
      </c>
      <c r="AG186" s="5">
        <v>442858746148392</v>
      </c>
      <c r="AH186" s="5">
        <v>408684848378486</v>
      </c>
      <c r="AI186" s="5">
        <v>389530232728</v>
      </c>
      <c r="AJ186" s="5">
        <v>397127477452563</v>
      </c>
      <c r="AK186" s="5">
        <v>387623178932313</v>
      </c>
      <c r="AL186" s="5">
        <v>433522294582</v>
      </c>
      <c r="AM186" s="5">
        <v>410888846366867</v>
      </c>
      <c r="AN186" s="5">
        <v>421490326349277</v>
      </c>
      <c r="AO186" s="5">
        <v>436000081374</v>
      </c>
    </row>
    <row r="187" spans="1:41" x14ac:dyDescent="0.45">
      <c r="A187" s="1" t="s">
        <v>181</v>
      </c>
      <c r="B187" s="2">
        <v>4135450</v>
      </c>
      <c r="C187" s="3" t="s">
        <v>943</v>
      </c>
      <c r="D187" s="3" t="s">
        <v>944</v>
      </c>
      <c r="E187" s="3" t="s">
        <v>618</v>
      </c>
      <c r="F187" s="5">
        <v>126289691624724</v>
      </c>
      <c r="G187" s="5">
        <v>119810749014486</v>
      </c>
      <c r="H187" s="5">
        <v>126555436854</v>
      </c>
      <c r="I187" s="5">
        <v>158241008484613</v>
      </c>
      <c r="J187" s="5">
        <v>153788019251176</v>
      </c>
      <c r="K187" s="5">
        <v>15855081407388</v>
      </c>
      <c r="L187" s="5">
        <v>143931256195636</v>
      </c>
      <c r="M187" s="5">
        <v>144443496408886</v>
      </c>
      <c r="N187" s="5">
        <v>13514925799284</v>
      </c>
      <c r="O187" s="5">
        <v>14202806452977</v>
      </c>
      <c r="P187" s="5">
        <v>162034244273411</v>
      </c>
      <c r="Q187" s="5">
        <v>165919692969084</v>
      </c>
      <c r="R187" s="5">
        <v>142372501900871</v>
      </c>
      <c r="S187" s="5">
        <v>139082365709164</v>
      </c>
      <c r="T187" s="5">
        <v>1251364976712</v>
      </c>
      <c r="U187" s="5">
        <v>115071757015427</v>
      </c>
      <c r="V187" s="5">
        <v>107049832247538</v>
      </c>
      <c r="W187" s="5">
        <v>1096691327424</v>
      </c>
      <c r="X187" s="5">
        <v>942133366142037</v>
      </c>
      <c r="Y187" s="5">
        <v>913208496491891</v>
      </c>
      <c r="Z187" s="5">
        <v>9060829024408</v>
      </c>
      <c r="AA187" s="5">
        <v>103218122693339</v>
      </c>
      <c r="AB187" s="5">
        <v>101850760186875</v>
      </c>
      <c r="AC187" s="5">
        <v>995564682186932</v>
      </c>
      <c r="AD187" s="5">
        <v>966798302643847</v>
      </c>
      <c r="AE187" s="5">
        <v>937188929490442</v>
      </c>
      <c r="AF187" s="5">
        <v>8495016511545</v>
      </c>
      <c r="AG187" s="5">
        <v>902911063969746</v>
      </c>
      <c r="AH187" s="5">
        <v>894901423150196</v>
      </c>
      <c r="AI187" s="5">
        <v>8514133328896</v>
      </c>
      <c r="AJ187" s="5">
        <v>810115071264744</v>
      </c>
      <c r="AK187" s="5">
        <v>837326606522083</v>
      </c>
      <c r="AL187" s="5">
        <v>736122653214</v>
      </c>
      <c r="AM187" s="5">
        <v>806176181687479</v>
      </c>
      <c r="AN187" s="5">
        <v>809747852835672</v>
      </c>
      <c r="AO187" s="5">
        <v>817302504080581</v>
      </c>
    </row>
    <row r="188" spans="1:41" x14ac:dyDescent="0.45">
      <c r="A188" s="1" t="s">
        <v>182</v>
      </c>
      <c r="B188" s="2">
        <v>4047873</v>
      </c>
      <c r="C188" s="3" t="s">
        <v>945</v>
      </c>
      <c r="D188" s="3" t="s">
        <v>946</v>
      </c>
      <c r="E188" s="3" t="s">
        <v>778</v>
      </c>
      <c r="F188" s="5">
        <v>924851765875133</v>
      </c>
      <c r="G188" s="5">
        <v>894776708463053</v>
      </c>
      <c r="H188" s="5">
        <v>86642325224856</v>
      </c>
      <c r="I188" s="5">
        <v>92314851849425</v>
      </c>
      <c r="J188" s="5">
        <v>120660798610894</v>
      </c>
      <c r="K188" s="5">
        <v>133161197096293</v>
      </c>
      <c r="L188" s="5">
        <v>144524751461984</v>
      </c>
      <c r="M188" s="5">
        <v>153254706437647</v>
      </c>
      <c r="N188" s="5">
        <v>144562618071224</v>
      </c>
      <c r="O188" s="5">
        <v>159966896009547</v>
      </c>
      <c r="P188" s="5">
        <v>168769096952224</v>
      </c>
      <c r="Q188" s="5">
        <v>173580486096036</v>
      </c>
      <c r="R188" s="5">
        <v>176231183441479</v>
      </c>
      <c r="S188" s="5">
        <v>17666979276875</v>
      </c>
      <c r="T188" s="5">
        <v>158865269788047</v>
      </c>
      <c r="U188" s="5">
        <v>156839449050834</v>
      </c>
      <c r="V188" s="5">
        <v>145422938525739</v>
      </c>
      <c r="W188" s="5">
        <v>145196796877532</v>
      </c>
      <c r="X188" s="5">
        <v>145235960589831</v>
      </c>
      <c r="Y188" s="5">
        <v>142083687734238</v>
      </c>
      <c r="Z188" s="5">
        <v>148604309059104</v>
      </c>
      <c r="AA188" s="5">
        <v>160219631641457</v>
      </c>
      <c r="AB188" s="5">
        <v>162984130590981</v>
      </c>
      <c r="AC188" s="5">
        <v>16706802200224</v>
      </c>
      <c r="AD188" s="5">
        <v>163953288881136</v>
      </c>
      <c r="AE188" s="5">
        <v>157947442768401</v>
      </c>
      <c r="AF188" s="5">
        <v>155290686288316</v>
      </c>
      <c r="AG188" s="5">
        <v>15759094436555</v>
      </c>
      <c r="AH188" s="5">
        <v>153488993280246</v>
      </c>
      <c r="AI188" s="5">
        <v>150584263149341</v>
      </c>
      <c r="AJ188" s="5">
        <v>14063074725369</v>
      </c>
      <c r="AK188" s="5">
        <v>138387864495622</v>
      </c>
      <c r="AL188" s="5">
        <v>142944059692409</v>
      </c>
      <c r="AM188" s="5">
        <v>146140663622722</v>
      </c>
      <c r="AN188" s="5">
        <v>149375721701508</v>
      </c>
      <c r="AO188" s="5">
        <v>148952946432684</v>
      </c>
    </row>
    <row r="189" spans="1:41" x14ac:dyDescent="0.45">
      <c r="A189" s="1" t="s">
        <v>183</v>
      </c>
      <c r="B189" s="2">
        <v>108391</v>
      </c>
      <c r="C189" s="3" t="s">
        <v>947</v>
      </c>
      <c r="D189" s="3" t="s">
        <v>948</v>
      </c>
      <c r="E189" s="3" t="s">
        <v>515</v>
      </c>
      <c r="F189" s="5">
        <v>341386817646355</v>
      </c>
      <c r="G189" s="5">
        <v>369232319958742</v>
      </c>
      <c r="H189" s="5">
        <v>345367605385366</v>
      </c>
      <c r="I189" s="5">
        <v>306164836566495</v>
      </c>
      <c r="J189" s="5">
        <v>312251567717316</v>
      </c>
      <c r="K189" s="5">
        <v>301481268411613</v>
      </c>
      <c r="L189" s="5">
        <v>378880337580186</v>
      </c>
      <c r="M189" s="5">
        <v>370327306440132</v>
      </c>
      <c r="N189" s="5">
        <v>426881179513589</v>
      </c>
      <c r="O189" s="5">
        <v>416626380616988</v>
      </c>
      <c r="P189" s="5">
        <v>442693757017259</v>
      </c>
      <c r="Q189" s="5">
        <v>440594919853358</v>
      </c>
      <c r="R189" s="5">
        <v>468219740250652</v>
      </c>
      <c r="S189" s="5">
        <v>548084306588489</v>
      </c>
      <c r="T189" s="5">
        <v>450075507763272</v>
      </c>
      <c r="U189" s="5">
        <v>427250156490731</v>
      </c>
      <c r="V189" s="5">
        <v>38355250981104</v>
      </c>
      <c r="W189" s="5">
        <v>362481991872</v>
      </c>
      <c r="X189" s="5">
        <v>343325464260426</v>
      </c>
      <c r="Y189" s="5">
        <v>293922881325269</v>
      </c>
      <c r="Z189" s="5">
        <v>261908814143826</v>
      </c>
      <c r="AA189" s="5">
        <v>287510698298455</v>
      </c>
      <c r="AB189" s="5">
        <v>291960410145752</v>
      </c>
      <c r="AC189" s="5">
        <v>274605689393838</v>
      </c>
      <c r="AD189" s="5">
        <v>260253488243858</v>
      </c>
      <c r="AE189" s="5">
        <v>246448641855051</v>
      </c>
      <c r="AF189" s="5">
        <v>199010821252494</v>
      </c>
      <c r="AG189" s="5">
        <v>203975102440568</v>
      </c>
      <c r="AH189" s="5">
        <v>207317114097037</v>
      </c>
      <c r="AI189" s="5">
        <v>190041150355354</v>
      </c>
      <c r="AJ189" s="5">
        <v>185258063288978</v>
      </c>
      <c r="AK189" s="5">
        <v>184716812618813</v>
      </c>
      <c r="AL189" s="5">
        <v>164853467196124</v>
      </c>
      <c r="AM189" s="5">
        <v>162689998342197</v>
      </c>
      <c r="AN189" s="5">
        <v>160512979172923</v>
      </c>
      <c r="AO189" s="5">
        <v>154234041203182</v>
      </c>
    </row>
    <row r="190" spans="1:41" x14ac:dyDescent="0.45">
      <c r="A190" s="1" t="s">
        <v>184</v>
      </c>
      <c r="B190" s="2">
        <v>4101711</v>
      </c>
      <c r="C190" s="3" t="s">
        <v>949</v>
      </c>
      <c r="D190" s="3" t="s">
        <v>950</v>
      </c>
      <c r="E190" s="3" t="s">
        <v>951</v>
      </c>
      <c r="F190" s="5">
        <v>392383926060928</v>
      </c>
      <c r="G190" s="5">
        <v>399986666339322</v>
      </c>
      <c r="H190" s="5">
        <v>409585278199031</v>
      </c>
      <c r="I190" s="5">
        <v>479675289723327</v>
      </c>
      <c r="J190" s="5">
        <v>487221482487481</v>
      </c>
      <c r="K190" s="5">
        <v>4628056511772</v>
      </c>
      <c r="L190" s="5">
        <v>41028789753588</v>
      </c>
      <c r="M190" s="5">
        <v>41797374868514</v>
      </c>
      <c r="N190" s="5">
        <v>409375599800792</v>
      </c>
      <c r="O190" s="5">
        <v>41142439431419</v>
      </c>
      <c r="P190" s="5">
        <v>417358387981655</v>
      </c>
      <c r="Q190" s="5">
        <v>403985692871002</v>
      </c>
      <c r="R190" s="5">
        <v>397914751215792</v>
      </c>
      <c r="S190" s="5">
        <v>453715608759412</v>
      </c>
      <c r="T190" s="5">
        <v>412499931509511</v>
      </c>
      <c r="U190" s="5">
        <v>366694917647699</v>
      </c>
      <c r="V190" s="5">
        <v>353505595145306</v>
      </c>
      <c r="W190" s="5">
        <v>37435593756792</v>
      </c>
      <c r="X190" s="5">
        <v>335790902860928</v>
      </c>
      <c r="Y190" s="5">
        <v>348338772596569</v>
      </c>
      <c r="Z190" s="5">
        <v>363782266702681</v>
      </c>
      <c r="AA190" s="5">
        <v>408805429908498</v>
      </c>
      <c r="AB190" s="5">
        <v>386563614418067</v>
      </c>
      <c r="AC190" s="5">
        <v>359705931551079</v>
      </c>
      <c r="AD190" s="5">
        <v>334942847004</v>
      </c>
      <c r="AE190" s="5">
        <v>314302793988</v>
      </c>
      <c r="AF190" s="5">
        <v>315527549896336</v>
      </c>
      <c r="AG190" s="5">
        <v>294944218678715</v>
      </c>
      <c r="AH190" s="5">
        <v>30331360729435</v>
      </c>
      <c r="AI190" s="5">
        <v>303850397504929</v>
      </c>
      <c r="AJ190" s="5">
        <v>308517691521957</v>
      </c>
      <c r="AK190" s="5">
        <v>288491902170518</v>
      </c>
      <c r="AL190" s="5">
        <v>278539880468016</v>
      </c>
      <c r="AM190" s="5">
        <v>28339818794338</v>
      </c>
      <c r="AN190" s="5">
        <v>277251132233292</v>
      </c>
      <c r="AO190" s="5">
        <v>265663658821285</v>
      </c>
    </row>
    <row r="191" spans="1:41" x14ac:dyDescent="0.45">
      <c r="A191" s="1" t="s">
        <v>185</v>
      </c>
      <c r="B191" s="2">
        <v>102950</v>
      </c>
      <c r="C191" s="3" t="s">
        <v>952</v>
      </c>
      <c r="D191" s="3" t="s">
        <v>953</v>
      </c>
      <c r="E191" s="3" t="s">
        <v>954</v>
      </c>
      <c r="F191" s="5">
        <v>740639948859216</v>
      </c>
      <c r="G191" s="5">
        <v>734544039452731</v>
      </c>
      <c r="H191" s="5">
        <v>719463848239863</v>
      </c>
      <c r="I191" s="5">
        <v>744877899742561</v>
      </c>
      <c r="J191" s="5">
        <v>741545284093418</v>
      </c>
      <c r="K191" s="5">
        <v>694970624176128</v>
      </c>
      <c r="L191" s="5">
        <v>69771124002489</v>
      </c>
      <c r="M191" s="5">
        <v>725854142866776</v>
      </c>
      <c r="N191" s="5">
        <v>710852809581673</v>
      </c>
      <c r="O191" s="5">
        <v>776335907463142</v>
      </c>
      <c r="P191" s="5">
        <v>868108801012547</v>
      </c>
      <c r="Q191" s="5">
        <v>887984957645199</v>
      </c>
      <c r="R191" s="5">
        <v>918738421204565</v>
      </c>
      <c r="S191" s="5">
        <v>93937081315931</v>
      </c>
      <c r="T191" s="5">
        <v>86734476598332</v>
      </c>
      <c r="U191" s="5">
        <v>862492544895749</v>
      </c>
      <c r="V191" s="5">
        <v>8699341776289</v>
      </c>
      <c r="W191" s="5">
        <v>85577740675812</v>
      </c>
      <c r="X191" s="5">
        <v>781706530290922</v>
      </c>
      <c r="Y191" s="5">
        <v>772172735672889</v>
      </c>
      <c r="Z191" s="5">
        <v>808041754358731</v>
      </c>
      <c r="AA191" s="5">
        <v>784177944160133</v>
      </c>
      <c r="AB191" s="5">
        <v>774265155279347</v>
      </c>
      <c r="AC191" s="5">
        <v>765335841366318</v>
      </c>
      <c r="AD191" s="5">
        <v>76096732070866</v>
      </c>
      <c r="AE191" s="5">
        <v>715398218880777</v>
      </c>
      <c r="AF191" s="5">
        <v>70363814041521</v>
      </c>
      <c r="AG191" s="5">
        <v>698061044523024</v>
      </c>
      <c r="AH191" s="5">
        <v>73616058138168</v>
      </c>
      <c r="AI191" s="5">
        <v>750913707206146</v>
      </c>
      <c r="AJ191" s="5">
        <v>722563239040404</v>
      </c>
      <c r="AK191" s="5">
        <v>674605611584982</v>
      </c>
      <c r="AL191" s="5">
        <v>730373299814587</v>
      </c>
      <c r="AM191" s="5">
        <v>741449858134596</v>
      </c>
      <c r="AN191" s="5">
        <v>81830527918968</v>
      </c>
      <c r="AO191" s="5">
        <v>833904984267541</v>
      </c>
    </row>
    <row r="192" spans="1:41" x14ac:dyDescent="0.45">
      <c r="A192" s="1" t="s">
        <v>186</v>
      </c>
      <c r="B192" s="2">
        <v>4379438</v>
      </c>
      <c r="C192" s="3" t="s">
        <v>955</v>
      </c>
      <c r="D192" s="3" t="s">
        <v>956</v>
      </c>
      <c r="E192" s="3" t="s">
        <v>700</v>
      </c>
      <c r="F192" s="5">
        <v>578454000155666</v>
      </c>
      <c r="G192" s="5">
        <v>560975689636652</v>
      </c>
      <c r="H192" s="5">
        <v>519248165012543</v>
      </c>
      <c r="I192" s="5">
        <v>474225321813428</v>
      </c>
      <c r="J192" s="5">
        <v>466096030799149</v>
      </c>
      <c r="K192" s="5">
        <v>460887763639879</v>
      </c>
      <c r="L192" s="5">
        <v>463754405816233</v>
      </c>
      <c r="M192" s="5">
        <v>460536748073361</v>
      </c>
      <c r="N192" s="5">
        <v>444180125341642</v>
      </c>
      <c r="O192" s="5">
        <v>540403995231783</v>
      </c>
      <c r="P192" s="5">
        <v>608564901734336</v>
      </c>
      <c r="Q192" s="5">
        <v>613763028563005</v>
      </c>
      <c r="R192" s="5">
        <v>654479352871481</v>
      </c>
      <c r="S192" s="5">
        <v>700892250641685</v>
      </c>
      <c r="T192" s="5">
        <v>616222501477044</v>
      </c>
      <c r="U192" s="5">
        <v>599524551496344</v>
      </c>
      <c r="V192" s="5">
        <v>661688146110754</v>
      </c>
      <c r="W192" s="5">
        <v>68228486960634</v>
      </c>
      <c r="X192" s="5">
        <v>68863402446264</v>
      </c>
      <c r="Y192" s="5">
        <v>57626332689667</v>
      </c>
      <c r="Z192" s="5">
        <v>60244666320972</v>
      </c>
      <c r="AA192" s="5">
        <v>66009018316329</v>
      </c>
      <c r="AB192" s="5">
        <v>575557881746606</v>
      </c>
      <c r="AC192" s="5">
        <v>555753512483082</v>
      </c>
      <c r="AD192" s="5">
        <v>571908980747815</v>
      </c>
      <c r="AE192" s="5">
        <v>596674089749285</v>
      </c>
      <c r="AF192" s="5">
        <v>571364656858285</v>
      </c>
      <c r="AG192" s="5">
        <v>629296367932179</v>
      </c>
      <c r="AH192" s="5">
        <v>605286030472551</v>
      </c>
      <c r="AI192" s="5">
        <v>615289755503465</v>
      </c>
      <c r="AJ192" s="5">
        <v>570760929869868</v>
      </c>
      <c r="AK192" s="5">
        <v>514091710317381</v>
      </c>
      <c r="AL192" s="5">
        <v>518768927485541</v>
      </c>
      <c r="AM192" s="5">
        <v>528598643199537</v>
      </c>
      <c r="AN192" s="5">
        <v>483172022769336</v>
      </c>
      <c r="AO192" s="5">
        <v>450495835922603</v>
      </c>
    </row>
    <row r="193" spans="1:41" x14ac:dyDescent="0.45">
      <c r="A193" s="1" t="s">
        <v>187</v>
      </c>
      <c r="B193" s="2">
        <v>4093074</v>
      </c>
      <c r="C193" s="3" t="s">
        <v>957</v>
      </c>
      <c r="D193" s="3" t="s">
        <v>958</v>
      </c>
      <c r="E193" s="3" t="s">
        <v>567</v>
      </c>
      <c r="F193" s="5">
        <v>293124153241422</v>
      </c>
      <c r="G193" s="5">
        <v>293725201909167</v>
      </c>
      <c r="H193" s="5">
        <v>283154471857127</v>
      </c>
      <c r="I193" s="5">
        <v>29358021842018</v>
      </c>
      <c r="J193" s="5">
        <v>311758507087703</v>
      </c>
      <c r="K193" s="5">
        <v>363429836111885</v>
      </c>
      <c r="L193" s="5">
        <v>362908371981656</v>
      </c>
      <c r="M193" s="5">
        <v>368618708592305</v>
      </c>
      <c r="N193" s="5">
        <v>365574124926404</v>
      </c>
      <c r="O193" s="5">
        <v>365984765428225</v>
      </c>
      <c r="P193" s="5">
        <v>362062378046232</v>
      </c>
      <c r="Q193" s="5">
        <v>421974454829276</v>
      </c>
      <c r="R193" s="5">
        <v>42000114924595</v>
      </c>
      <c r="S193" s="5">
        <v>435245174983184</v>
      </c>
      <c r="T193" s="5">
        <v>450862939752456</v>
      </c>
      <c r="U193" s="5">
        <v>409666820000922</v>
      </c>
      <c r="V193" s="5">
        <v>406681455959138</v>
      </c>
      <c r="W193" s="5">
        <v>394888019738612</v>
      </c>
      <c r="X193" s="5">
        <v>391231044725571</v>
      </c>
      <c r="Y193" s="5">
        <v>389203285700678</v>
      </c>
      <c r="Z193" s="5">
        <v>356666015543618</v>
      </c>
      <c r="AA193" s="5">
        <v>395892709568812</v>
      </c>
      <c r="AB193" s="5">
        <v>368982280197294</v>
      </c>
      <c r="AC193" s="5">
        <v>339996963276962</v>
      </c>
      <c r="AD193" s="5">
        <v>321987162234497</v>
      </c>
      <c r="AE193" s="5">
        <v>318560752547046</v>
      </c>
      <c r="AF193" s="5">
        <v>275393445752171</v>
      </c>
      <c r="AG193" s="5">
        <v>309380115157106</v>
      </c>
      <c r="AH193" s="5">
        <v>30513701961687</v>
      </c>
      <c r="AI193" s="5">
        <v>324588930066366</v>
      </c>
      <c r="AJ193" s="5">
        <v>296841502216936</v>
      </c>
      <c r="AK193" s="5">
        <v>303345453966861</v>
      </c>
      <c r="AL193" s="5">
        <v>315210543569651</v>
      </c>
      <c r="AM193" s="5">
        <v>29599929849942</v>
      </c>
      <c r="AN193" s="5">
        <v>353353157704174</v>
      </c>
      <c r="AO193" s="5">
        <v>409961878640456</v>
      </c>
    </row>
    <row r="194" spans="1:41" x14ac:dyDescent="0.45">
      <c r="A194" s="1" t="s">
        <v>188</v>
      </c>
      <c r="B194" s="2">
        <v>100260</v>
      </c>
      <c r="C194" s="3" t="s">
        <v>959</v>
      </c>
      <c r="D194" s="3" t="s">
        <v>960</v>
      </c>
      <c r="E194" s="3" t="s">
        <v>653</v>
      </c>
      <c r="F194" s="5">
        <v>263532681043982</v>
      </c>
      <c r="G194" s="5">
        <v>247746576449902</v>
      </c>
      <c r="H194" s="5">
        <v>238509309784</v>
      </c>
      <c r="I194" s="5">
        <v>250937417795105</v>
      </c>
      <c r="J194" s="5">
        <v>258988355264277</v>
      </c>
      <c r="K194" s="5">
        <v>242569955986774</v>
      </c>
      <c r="L194" s="5">
        <v>233770413239573</v>
      </c>
      <c r="M194" s="5">
        <v>224656822096133</v>
      </c>
      <c r="N194" s="5">
        <v>211375215787456</v>
      </c>
      <c r="O194" s="5">
        <v>241405385857574</v>
      </c>
      <c r="P194" s="5">
        <v>278088789396754</v>
      </c>
      <c r="Q194" s="5">
        <v>28556312094954</v>
      </c>
      <c r="R194" s="5">
        <v>273838167523706</v>
      </c>
      <c r="S194" s="5">
        <v>305440981105196</v>
      </c>
      <c r="T194" s="5">
        <v>2720581495632</v>
      </c>
      <c r="U194" s="5">
        <v>259686231228028</v>
      </c>
      <c r="V194" s="5">
        <v>260941618002111</v>
      </c>
      <c r="W194" s="5">
        <v>266240498187972</v>
      </c>
      <c r="X194" s="5">
        <v>231764236852665</v>
      </c>
      <c r="Y194" s="5">
        <v>236029494741107</v>
      </c>
      <c r="Z194" s="5">
        <v>233072773821114</v>
      </c>
      <c r="AA194" s="5">
        <v>235476313868037</v>
      </c>
      <c r="AB194" s="5">
        <v>216410119138035</v>
      </c>
      <c r="AC194" s="5">
        <v>214922088324769</v>
      </c>
      <c r="AD194" s="5">
        <v>212498316137594</v>
      </c>
      <c r="AE194" s="5">
        <v>180770787143411</v>
      </c>
      <c r="AF194" s="5">
        <v>152801752535469</v>
      </c>
      <c r="AG194" s="5">
        <v>162948826605525</v>
      </c>
      <c r="AH194" s="5">
        <v>166675439714787</v>
      </c>
      <c r="AI194" s="5">
        <v>179745381099788</v>
      </c>
      <c r="AJ194" s="5">
        <v>163428754099774</v>
      </c>
      <c r="AK194" s="5">
        <v>155016336114421</v>
      </c>
      <c r="AL194" s="5">
        <v>1615582588334</v>
      </c>
      <c r="AM194" s="5">
        <v>166990758914529</v>
      </c>
      <c r="AN194" s="5">
        <v>23203947428244</v>
      </c>
      <c r="AO194" s="5">
        <v>22833431759358</v>
      </c>
    </row>
    <row r="195" spans="1:41" x14ac:dyDescent="0.45">
      <c r="A195" s="1" t="s">
        <v>189</v>
      </c>
      <c r="B195" s="2">
        <v>4211343</v>
      </c>
      <c r="C195" s="3" t="s">
        <v>961</v>
      </c>
      <c r="D195" s="3" t="s">
        <v>962</v>
      </c>
      <c r="E195" s="3" t="s">
        <v>518</v>
      </c>
      <c r="F195" s="5">
        <v>238749444020603</v>
      </c>
      <c r="G195" s="5">
        <v>252567102346993</v>
      </c>
      <c r="H195" s="5">
        <v>248350720824542</v>
      </c>
      <c r="I195" s="5">
        <v>201580238500681</v>
      </c>
      <c r="J195" s="5">
        <v>178961936269801</v>
      </c>
      <c r="K195" s="5">
        <v>163814832764587</v>
      </c>
      <c r="L195" s="5">
        <v>151168932721915</v>
      </c>
      <c r="M195" s="5">
        <v>14940861540894</v>
      </c>
      <c r="N195" s="5">
        <v>118931712065333</v>
      </c>
      <c r="O195" s="5">
        <v>125233794624008</v>
      </c>
      <c r="P195" s="5">
        <v>140125664497488</v>
      </c>
      <c r="Q195" s="5">
        <v>172546008677101</v>
      </c>
      <c r="R195" s="5">
        <v>182244608428301</v>
      </c>
      <c r="S195" s="5">
        <v>202197910754956</v>
      </c>
      <c r="T195" s="5">
        <v>191757612895306</v>
      </c>
      <c r="U195" s="5">
        <v>239408177221204</v>
      </c>
      <c r="V195" s="5">
        <v>220051219000251</v>
      </c>
      <c r="W195" s="5">
        <v>213638619707159</v>
      </c>
      <c r="X195" s="5">
        <v>225238501977016</v>
      </c>
      <c r="Y195" s="5">
        <v>268234983054923</v>
      </c>
      <c r="Z195" s="5">
        <v>176459179064134</v>
      </c>
      <c r="AA195" s="5">
        <v>166978206534322</v>
      </c>
      <c r="AB195" s="5">
        <v>152114023556926</v>
      </c>
      <c r="AC195" s="5">
        <v>144073767823185</v>
      </c>
      <c r="AD195" s="5">
        <v>166529222269878</v>
      </c>
      <c r="AE195" s="5">
        <v>154569899605262</v>
      </c>
      <c r="AF195" s="5">
        <v>144039620092715</v>
      </c>
      <c r="AG195" s="5">
        <v>163099737068634</v>
      </c>
      <c r="AH195" s="5">
        <v>186280448810842</v>
      </c>
      <c r="AI195" s="5">
        <v>201051085542954</v>
      </c>
      <c r="AJ195" s="5">
        <v>186007470115246</v>
      </c>
      <c r="AK195" s="5">
        <v>20343600191386</v>
      </c>
      <c r="AL195" s="5">
        <v>176727842155374</v>
      </c>
      <c r="AM195" s="5">
        <v>21341754700578</v>
      </c>
      <c r="AN195" s="5">
        <v>169854590486268</v>
      </c>
      <c r="AO195" s="5">
        <v>174317570385552</v>
      </c>
    </row>
    <row r="196" spans="1:41" x14ac:dyDescent="0.45">
      <c r="A196" s="1" t="s">
        <v>190</v>
      </c>
      <c r="B196" s="2">
        <v>4056944</v>
      </c>
      <c r="C196" s="3" t="s">
        <v>963</v>
      </c>
      <c r="D196" s="3" t="s">
        <v>964</v>
      </c>
      <c r="E196" s="3" t="s">
        <v>547</v>
      </c>
      <c r="F196" s="5">
        <v>22026739410473</v>
      </c>
      <c r="G196" s="5">
        <v>23773091125439</v>
      </c>
      <c r="H196" s="5">
        <v>229533155383586</v>
      </c>
      <c r="I196" s="5">
        <v>225490011913294</v>
      </c>
      <c r="J196" s="5">
        <v>215318187110911</v>
      </c>
      <c r="K196" s="5">
        <v>215585779188693</v>
      </c>
      <c r="L196" s="5">
        <v>197857182914992</v>
      </c>
      <c r="M196" s="5">
        <v>213326886412922</v>
      </c>
      <c r="N196" s="5">
        <v>218132924172334</v>
      </c>
      <c r="O196" s="5">
        <v>215665136965962</v>
      </c>
      <c r="P196" s="5">
        <v>21488811215644</v>
      </c>
      <c r="Q196" s="5">
        <v>220680886640263</v>
      </c>
      <c r="R196" s="5">
        <v>22144117555828</v>
      </c>
      <c r="S196" s="5">
        <v>232422250594456</v>
      </c>
      <c r="T196" s="5">
        <v>222028603954117</v>
      </c>
      <c r="U196" s="5">
        <v>229010999332956</v>
      </c>
      <c r="V196" s="5">
        <v>2286876880065</v>
      </c>
      <c r="W196" s="5">
        <v>223025034507383</v>
      </c>
      <c r="X196" s="5">
        <v>205559468573646</v>
      </c>
      <c r="Y196" s="5">
        <v>213653273253441</v>
      </c>
      <c r="Z196" s="5">
        <v>206354699969161</v>
      </c>
      <c r="AA196" s="5">
        <v>205387856294766</v>
      </c>
      <c r="AB196" s="5">
        <v>194551115825644</v>
      </c>
      <c r="AC196" s="5">
        <v>193995062881318</v>
      </c>
      <c r="AD196" s="5">
        <v>190313157116945</v>
      </c>
      <c r="AE196" s="5">
        <v>194352721660494</v>
      </c>
      <c r="AF196" s="5">
        <v>193349199869142</v>
      </c>
      <c r="AG196" s="5">
        <v>185157427050083</v>
      </c>
      <c r="AH196" s="5">
        <v>190680489249652</v>
      </c>
      <c r="AI196" s="5">
        <v>204746142351687</v>
      </c>
      <c r="AJ196" s="5">
        <v>204010585424986</v>
      </c>
      <c r="AK196" s="5">
        <v>200968575261706</v>
      </c>
      <c r="AL196" s="5">
        <v>20658090451452</v>
      </c>
      <c r="AM196" s="5">
        <v>211211969916836</v>
      </c>
      <c r="AN196" s="5">
        <v>213142332499891</v>
      </c>
      <c r="AO196" s="5">
        <v>215566191737647</v>
      </c>
    </row>
    <row r="197" spans="1:41" x14ac:dyDescent="0.45">
      <c r="A197" s="1" t="s">
        <v>191</v>
      </c>
      <c r="B197" s="2">
        <v>113881</v>
      </c>
      <c r="C197" s="3" t="s">
        <v>965</v>
      </c>
      <c r="D197" s="3" t="s">
        <v>966</v>
      </c>
      <c r="E197" s="3" t="s">
        <v>967</v>
      </c>
      <c r="F197" s="5">
        <v>307698013314461</v>
      </c>
      <c r="G197" s="5">
        <v>285124579379307</v>
      </c>
      <c r="H197" s="5">
        <v>31098719812274</v>
      </c>
      <c r="I197" s="5">
        <v>59733844970794</v>
      </c>
      <c r="J197" s="5">
        <v>642147069280408</v>
      </c>
      <c r="K197" s="5">
        <v>660255604064066</v>
      </c>
      <c r="L197" s="5">
        <v>813948301598578</v>
      </c>
      <c r="M197" s="5">
        <v>795428615107564</v>
      </c>
      <c r="N197" s="5">
        <v>901952933794524</v>
      </c>
      <c r="O197" s="5">
        <v>114678019578257</v>
      </c>
      <c r="P197" s="5">
        <v>127144102773238</v>
      </c>
      <c r="Q197" s="5">
        <v>118250944696394</v>
      </c>
      <c r="R197" s="5">
        <v>11288211207256</v>
      </c>
      <c r="S197" s="5">
        <v>119146311277212</v>
      </c>
      <c r="T197" s="5">
        <v>103694485261637</v>
      </c>
      <c r="U197" s="5">
        <v>927344686418461</v>
      </c>
      <c r="V197" s="5">
        <v>908815949911134</v>
      </c>
      <c r="W197" s="5">
        <v>870143452593492</v>
      </c>
      <c r="X197" s="5">
        <v>813871041556869</v>
      </c>
      <c r="Y197" s="5">
        <v>807988801790926</v>
      </c>
      <c r="Z197" s="5">
        <v>83539080759691</v>
      </c>
      <c r="AA197" s="5">
        <v>873567598123988</v>
      </c>
      <c r="AB197" s="5">
        <v>815284954962209</v>
      </c>
      <c r="AC197" s="5">
        <v>784812319174056</v>
      </c>
      <c r="AD197" s="5">
        <v>721305282135092</v>
      </c>
      <c r="AE197" s="5">
        <v>718760260626823</v>
      </c>
      <c r="AF197" s="5">
        <v>646186199970675</v>
      </c>
      <c r="AG197" s="5">
        <v>65060911553633</v>
      </c>
      <c r="AH197" s="5">
        <v>682290631353067</v>
      </c>
      <c r="AI197" s="5">
        <v>698148994939835</v>
      </c>
      <c r="AJ197" s="5">
        <v>71332259531961</v>
      </c>
      <c r="AK197" s="5">
        <v>649829042031005</v>
      </c>
      <c r="AL197" s="5">
        <v>683071520474208</v>
      </c>
      <c r="AM197" s="5">
        <v>653457512100259</v>
      </c>
      <c r="AN197" s="5">
        <v>680981808063565</v>
      </c>
      <c r="AO197" s="5">
        <v>62372632892469</v>
      </c>
    </row>
    <row r="198" spans="1:41" x14ac:dyDescent="0.45">
      <c r="A198" s="1" t="s">
        <v>192</v>
      </c>
      <c r="B198" s="2">
        <v>113873</v>
      </c>
      <c r="C198" s="3" t="s">
        <v>968</v>
      </c>
      <c r="D198" s="3" t="s">
        <v>969</v>
      </c>
      <c r="E198" s="3" t="s">
        <v>970</v>
      </c>
      <c r="F198" s="5">
        <v>445239982640481</v>
      </c>
      <c r="G198" s="5">
        <v>456331551608684</v>
      </c>
      <c r="H198" s="5">
        <v>453583761707599</v>
      </c>
      <c r="I198" s="5">
        <v>405687377763519</v>
      </c>
      <c r="J198" s="5">
        <v>400460428242454</v>
      </c>
      <c r="K198" s="5">
        <v>38514676159026</v>
      </c>
      <c r="L198" s="5">
        <v>367384400554649</v>
      </c>
      <c r="M198" s="5">
        <v>363770473198824</v>
      </c>
      <c r="N198" s="5">
        <v>350843387076262</v>
      </c>
      <c r="O198" s="5">
        <v>369013902625768</v>
      </c>
      <c r="P198" s="5">
        <v>363785245684025</v>
      </c>
      <c r="Q198" s="5">
        <v>38542523597679</v>
      </c>
      <c r="R198" s="5">
        <v>380037769845891</v>
      </c>
      <c r="S198" s="5">
        <v>419248260075973</v>
      </c>
      <c r="T198" s="5">
        <v>376646906818344</v>
      </c>
      <c r="U198" s="5">
        <v>376380456415498</v>
      </c>
      <c r="V198" s="5">
        <v>402171200579331</v>
      </c>
      <c r="W198" s="5">
        <v>397432742707308</v>
      </c>
      <c r="X198" s="5">
        <v>467246452885964</v>
      </c>
      <c r="Y198" s="5">
        <v>446545825416575</v>
      </c>
      <c r="Z198" s="5">
        <v>453636495671008</v>
      </c>
      <c r="AA198" s="5">
        <v>488543249768114</v>
      </c>
      <c r="AB198" s="5">
        <v>457295393733424</v>
      </c>
      <c r="AC198" s="5">
        <v>432412107857116</v>
      </c>
      <c r="AD198" s="5">
        <v>44145754396886</v>
      </c>
      <c r="AE198" s="5">
        <v>376573695529072</v>
      </c>
      <c r="AF198" s="5">
        <v>369407646525499</v>
      </c>
      <c r="AG198" s="5">
        <v>469637801397184</v>
      </c>
      <c r="AH198" s="5">
        <v>447603308211837</v>
      </c>
      <c r="AI198" s="5">
        <v>479736937436759</v>
      </c>
      <c r="AJ198" s="5">
        <v>554469960096601</v>
      </c>
      <c r="AK198" s="5">
        <v>450470735626296</v>
      </c>
      <c r="AL198" s="5">
        <v>430574427130162</v>
      </c>
      <c r="AM198" s="5">
        <v>463876975100448</v>
      </c>
      <c r="AN198" s="5">
        <v>453226485886583</v>
      </c>
      <c r="AO198" s="5">
        <v>50009547067985</v>
      </c>
    </row>
    <row r="199" spans="1:41" x14ac:dyDescent="0.45">
      <c r="A199" s="1" t="s">
        <v>193</v>
      </c>
      <c r="B199" s="2">
        <v>4868602</v>
      </c>
      <c r="C199" s="3" t="s">
        <v>971</v>
      </c>
      <c r="D199" s="3" t="s">
        <v>972</v>
      </c>
      <c r="E199" s="3" t="s">
        <v>817</v>
      </c>
      <c r="F199" s="5">
        <v>502955216756727</v>
      </c>
      <c r="G199" s="5">
        <v>520304638523602</v>
      </c>
      <c r="H199" s="5">
        <v>574199995923087</v>
      </c>
      <c r="I199" s="5">
        <v>549116844369697</v>
      </c>
      <c r="J199" s="5">
        <v>516007171060536</v>
      </c>
      <c r="K199" s="5">
        <v>668457938769365</v>
      </c>
      <c r="L199" s="5">
        <v>689032333106645</v>
      </c>
      <c r="M199" s="5">
        <v>686568717776376</v>
      </c>
      <c r="N199" s="5">
        <v>699360742389198</v>
      </c>
      <c r="O199" s="5">
        <v>684846392561526</v>
      </c>
      <c r="P199" s="5">
        <v>798259754764355</v>
      </c>
      <c r="Q199" s="5">
        <v>743893297184363</v>
      </c>
      <c r="R199" s="5">
        <v>699451181311099</v>
      </c>
      <c r="S199" s="5">
        <v>690484895739762</v>
      </c>
      <c r="T199" s="5">
        <v>554144167941921</v>
      </c>
      <c r="U199" s="5">
        <v>5318506952467</v>
      </c>
      <c r="V199" s="5">
        <v>530490543516853</v>
      </c>
      <c r="W199" s="5">
        <v>409692008735117</v>
      </c>
      <c r="X199" s="5">
        <v>429715060745579</v>
      </c>
      <c r="Y199" s="5">
        <v>417866237093278</v>
      </c>
      <c r="Z199" s="5">
        <v>451018633258852</v>
      </c>
      <c r="AA199" s="5">
        <v>482551438687853</v>
      </c>
      <c r="AB199" s="5">
        <v>487833619619406</v>
      </c>
      <c r="AC199" s="5">
        <v>456448793071781</v>
      </c>
      <c r="AD199" s="5">
        <v>406624191778299</v>
      </c>
      <c r="AE199" s="5">
        <v>370073023159112</v>
      </c>
      <c r="AF199" s="5">
        <v>424956850594665</v>
      </c>
      <c r="AG199" s="5">
        <v>435397583183936</v>
      </c>
      <c r="AH199" s="5">
        <v>435968962925819</v>
      </c>
      <c r="AI199" s="5">
        <v>553744888031266</v>
      </c>
      <c r="AJ199" s="5">
        <v>543673271200273</v>
      </c>
      <c r="AK199" s="5">
        <v>50342096776092</v>
      </c>
      <c r="AL199" s="5">
        <v>448090597512446</v>
      </c>
      <c r="AM199" s="5">
        <v>479611655398116</v>
      </c>
      <c r="AN199" s="5">
        <v>439018160055067</v>
      </c>
      <c r="AO199" s="5">
        <v>376473243154518</v>
      </c>
    </row>
    <row r="200" spans="1:41" x14ac:dyDescent="0.45">
      <c r="A200" s="1" t="s">
        <v>194</v>
      </c>
      <c r="B200" s="2">
        <v>4992262</v>
      </c>
      <c r="C200" s="3" t="s">
        <v>973</v>
      </c>
      <c r="D200" s="3" t="s">
        <v>974</v>
      </c>
      <c r="E200" s="3" t="s">
        <v>871</v>
      </c>
      <c r="F200" s="5">
        <v>149348477353461</v>
      </c>
      <c r="G200" s="5">
        <v>146486145409247</v>
      </c>
      <c r="H200" s="5">
        <v>138620899786601</v>
      </c>
      <c r="I200" s="5">
        <v>141269556346631</v>
      </c>
      <c r="J200" s="5">
        <v>138432054605563</v>
      </c>
      <c r="K200" s="5">
        <v>141764302200561</v>
      </c>
      <c r="L200" s="5">
        <v>150869308184359</v>
      </c>
      <c r="M200" s="5">
        <v>210245899417607</v>
      </c>
      <c r="N200" s="5">
        <v>208768196166056</v>
      </c>
      <c r="O200" s="5">
        <v>230397298889438</v>
      </c>
      <c r="P200" s="5">
        <v>260137832836721</v>
      </c>
      <c r="Q200" s="5">
        <v>271479455835975</v>
      </c>
      <c r="R200" s="5">
        <v>25133872781745</v>
      </c>
      <c r="S200" s="5">
        <v>260867599421049</v>
      </c>
      <c r="T200" s="5">
        <v>228247622971162</v>
      </c>
      <c r="U200" s="5">
        <v>24793203882075</v>
      </c>
      <c r="V200" s="5">
        <v>235657474551924</v>
      </c>
      <c r="W200" s="5">
        <v>23258974262139</v>
      </c>
      <c r="X200" s="5">
        <v>243454327531249</v>
      </c>
      <c r="Y200" s="5">
        <v>241636430398961</v>
      </c>
      <c r="Z200" s="5">
        <v>247801789979496</v>
      </c>
      <c r="AA200" s="5">
        <v>279829389921913</v>
      </c>
      <c r="AB200" s="5">
        <v>276724763731928</v>
      </c>
      <c r="AC200" s="5">
        <v>252709180542</v>
      </c>
      <c r="AD200" s="5">
        <v>234100657692447</v>
      </c>
      <c r="AE200" s="5">
        <v>222273867309226</v>
      </c>
      <c r="AF200" s="5">
        <v>217142086732589</v>
      </c>
      <c r="AG200" s="5">
        <v>2466506940372</v>
      </c>
      <c r="AH200" s="5">
        <v>255920664551875</v>
      </c>
      <c r="AI200" s="5">
        <v>250270990155062</v>
      </c>
      <c r="AJ200" s="5">
        <v>240905831344535</v>
      </c>
      <c r="AK200" s="5">
        <v>215993246490309</v>
      </c>
      <c r="AL200" s="5">
        <v>20210982141004</v>
      </c>
      <c r="AM200" s="5">
        <v>22160987178556</v>
      </c>
      <c r="AN200" s="5">
        <v>221786654840428</v>
      </c>
      <c r="AO200" s="5">
        <v>221608581182789</v>
      </c>
    </row>
    <row r="201" spans="1:41" x14ac:dyDescent="0.45">
      <c r="A201" s="1" t="s">
        <v>195</v>
      </c>
      <c r="B201" s="2">
        <v>13518181</v>
      </c>
      <c r="C201" s="3" t="s">
        <v>975</v>
      </c>
      <c r="D201" s="3" t="s">
        <v>976</v>
      </c>
      <c r="E201" s="3" t="s">
        <v>977</v>
      </c>
      <c r="F201" s="5">
        <v>259949614686104</v>
      </c>
      <c r="G201" s="5">
        <v>236061661197208</v>
      </c>
      <c r="H201" s="5">
        <v>236091654315355</v>
      </c>
      <c r="I201" s="5">
        <v>228175999782411</v>
      </c>
      <c r="J201" s="5">
        <v>217018540494379</v>
      </c>
      <c r="K201" s="5">
        <v>209653491408048</v>
      </c>
      <c r="L201" s="5">
        <v>205702737359463</v>
      </c>
      <c r="M201" s="5">
        <v>208023951750902</v>
      </c>
      <c r="N201" s="5">
        <v>191615129663171</v>
      </c>
      <c r="O201" s="5">
        <v>228964856036989</v>
      </c>
      <c r="P201" s="5">
        <v>243022242864108</v>
      </c>
      <c r="Q201" s="5">
        <v>219050530151446</v>
      </c>
      <c r="R201" s="5">
        <v>207853890145931</v>
      </c>
      <c r="S201" s="5">
        <v>198643432299234</v>
      </c>
      <c r="T201" s="5">
        <v>17063683938204</v>
      </c>
      <c r="U201" s="5">
        <v>16643683020445</v>
      </c>
      <c r="V201" s="5">
        <v>165875231365537</v>
      </c>
      <c r="W201" s="5">
        <v>158369781450157</v>
      </c>
      <c r="X201" s="5">
        <v>144548892290354</v>
      </c>
      <c r="Y201" s="5">
        <v>14276834634264</v>
      </c>
      <c r="Z201" s="5">
        <v>132583353688579</v>
      </c>
      <c r="AA201" s="5">
        <v>13169585712679</v>
      </c>
      <c r="AB201" s="5">
        <v>125617570758178</v>
      </c>
      <c r="AC201" s="5">
        <v>138763813743047</v>
      </c>
      <c r="AD201" s="5">
        <v>125292145574678</v>
      </c>
      <c r="AE201" s="5">
        <v>126708640649936</v>
      </c>
      <c r="AF201" s="5">
        <v>134202854044669</v>
      </c>
      <c r="AG201" s="5">
        <v>138035613344336</v>
      </c>
      <c r="AH201" s="5">
        <v>143617403560851</v>
      </c>
      <c r="AI201" s="5">
        <v>148809430092753</v>
      </c>
      <c r="AJ201" s="5">
        <v>15261109995025</v>
      </c>
      <c r="AK201" s="5">
        <v>143333629325159</v>
      </c>
      <c r="AL201" s="5">
        <v>155243252336845</v>
      </c>
      <c r="AM201" s="5">
        <v>161536426574018</v>
      </c>
      <c r="AN201" s="5">
        <v>170144717450227</v>
      </c>
      <c r="AO201" s="5">
        <v>164629719710704</v>
      </c>
    </row>
    <row r="202" spans="1:41" x14ac:dyDescent="0.45">
      <c r="A202" s="1" t="s">
        <v>196</v>
      </c>
      <c r="B202" s="2">
        <v>102719</v>
      </c>
      <c r="C202" s="3" t="s">
        <v>978</v>
      </c>
      <c r="D202" s="3" t="s">
        <v>979</v>
      </c>
      <c r="E202" s="3" t="s">
        <v>579</v>
      </c>
      <c r="F202" s="5">
        <v>10608794940677</v>
      </c>
      <c r="G202" s="5">
        <v>101493487868573</v>
      </c>
      <c r="H202" s="5">
        <v>101777214010133</v>
      </c>
      <c r="I202" s="5">
        <v>10235263316312</v>
      </c>
      <c r="J202" s="5">
        <v>113894530290786</v>
      </c>
      <c r="K202" s="5">
        <v>11025857186136</v>
      </c>
      <c r="L202" s="5">
        <v>106724309772161</v>
      </c>
      <c r="M202" s="5">
        <v>100223910900149</v>
      </c>
      <c r="N202" s="5">
        <v>868575454774154</v>
      </c>
      <c r="O202" s="5">
        <v>93555221238171</v>
      </c>
      <c r="P202" s="5">
        <v>102233982033965</v>
      </c>
      <c r="Q202" s="5">
        <v>112419951552586</v>
      </c>
      <c r="R202" s="5">
        <v>102628972609581</v>
      </c>
      <c r="S202" s="5">
        <v>112965214241713</v>
      </c>
      <c r="T202" s="5">
        <v>100045258772031</v>
      </c>
      <c r="U202" s="5">
        <v>94487459056107</v>
      </c>
      <c r="V202" s="5">
        <v>957033990259512</v>
      </c>
      <c r="W202" s="5">
        <v>110519400629484</v>
      </c>
      <c r="X202" s="5">
        <v>109738726217</v>
      </c>
      <c r="Y202" s="5">
        <v>114485674339511</v>
      </c>
      <c r="Z202" s="5">
        <v>112372933757983</v>
      </c>
      <c r="AA202" s="5">
        <v>137032687089377</v>
      </c>
      <c r="AB202" s="5">
        <v>133714092638724</v>
      </c>
      <c r="AC202" s="5">
        <v>129242962940629</v>
      </c>
      <c r="AD202" s="5">
        <v>133549532713004</v>
      </c>
      <c r="AE202" s="5">
        <v>112464136806412</v>
      </c>
      <c r="AF202" s="5">
        <v>107633183260977</v>
      </c>
      <c r="AG202" s="5">
        <v>115878537257789</v>
      </c>
      <c r="AH202" s="5">
        <v>123019388880696</v>
      </c>
      <c r="AI202" s="5">
        <v>132390671359003</v>
      </c>
      <c r="AJ202" s="5">
        <v>122543044264885</v>
      </c>
      <c r="AK202" s="5">
        <v>112837428362623</v>
      </c>
      <c r="AL202" s="5">
        <v>121866997100809</v>
      </c>
      <c r="AM202" s="5">
        <v>124066610224849</v>
      </c>
      <c r="AN202" s="5">
        <v>138903040975268</v>
      </c>
      <c r="AO202" s="5">
        <v>143731994556665</v>
      </c>
    </row>
    <row r="203" spans="1:41" x14ac:dyDescent="0.45">
      <c r="A203" s="1" t="s">
        <v>197</v>
      </c>
      <c r="B203" s="2">
        <v>4004107</v>
      </c>
      <c r="C203" s="3" t="s">
        <v>980</v>
      </c>
      <c r="D203" s="3" t="s">
        <v>981</v>
      </c>
      <c r="E203" s="3" t="s">
        <v>982</v>
      </c>
      <c r="F203" s="5">
        <v>621152630491664</v>
      </c>
      <c r="G203" s="5">
        <v>532241369188883</v>
      </c>
      <c r="H203" s="5">
        <v>519088344632226</v>
      </c>
      <c r="I203" s="5">
        <v>479939177466896</v>
      </c>
      <c r="J203" s="5">
        <v>54498482837753</v>
      </c>
      <c r="K203" s="5">
        <v>505223767495854</v>
      </c>
      <c r="L203" s="5">
        <v>530137777438688</v>
      </c>
      <c r="M203" s="5">
        <v>487050319286433</v>
      </c>
      <c r="N203" s="5">
        <v>45609184514881</v>
      </c>
      <c r="O203" s="5">
        <v>503378967234244</v>
      </c>
      <c r="P203" s="5">
        <v>509790166665182</v>
      </c>
      <c r="Q203" s="5">
        <v>495614831700073</v>
      </c>
      <c r="R203" s="5">
        <v>528523163313891</v>
      </c>
      <c r="S203" s="5">
        <v>601968676923796</v>
      </c>
      <c r="T203" s="5">
        <v>595769769099607</v>
      </c>
      <c r="U203" s="5">
        <v>643112058164459</v>
      </c>
      <c r="V203" s="5">
        <v>575224562956892</v>
      </c>
      <c r="W203" s="5">
        <v>602734531065467</v>
      </c>
      <c r="X203" s="5">
        <v>651568582429573</v>
      </c>
      <c r="Y203" s="5">
        <v>698454940128563</v>
      </c>
      <c r="Z203" s="5">
        <v>670782679342825</v>
      </c>
      <c r="AA203" s="5">
        <v>624414250057552</v>
      </c>
      <c r="AB203" s="5">
        <v>501728028184593</v>
      </c>
      <c r="AC203" s="5">
        <v>524581470157956</v>
      </c>
      <c r="AD203" s="5">
        <v>552268788823743</v>
      </c>
      <c r="AE203" s="5">
        <v>490688485910808</v>
      </c>
      <c r="AF203" s="5">
        <v>458373021658768</v>
      </c>
      <c r="AG203" s="5">
        <v>505092654871282</v>
      </c>
      <c r="AH203" s="5">
        <v>527535188394315</v>
      </c>
      <c r="AI203" s="5">
        <v>580701812815748</v>
      </c>
      <c r="AJ203" s="5">
        <v>525156092992</v>
      </c>
      <c r="AK203" s="5">
        <v>461822354174342</v>
      </c>
      <c r="AL203" s="5">
        <v>492326671764417</v>
      </c>
      <c r="AM203" s="5">
        <v>538707163831576</v>
      </c>
      <c r="AN203" s="5">
        <v>552158202529069</v>
      </c>
      <c r="AO203" s="5">
        <v>587190965269101</v>
      </c>
    </row>
    <row r="204" spans="1:41" x14ac:dyDescent="0.45">
      <c r="A204" s="1" t="s">
        <v>198</v>
      </c>
      <c r="B204" s="2">
        <v>4156047</v>
      </c>
      <c r="C204" s="3" t="s">
        <v>983</v>
      </c>
      <c r="D204" s="3" t="s">
        <v>984</v>
      </c>
      <c r="E204" s="3" t="s">
        <v>985</v>
      </c>
      <c r="F204" s="5">
        <v>332291737837101</v>
      </c>
      <c r="G204" s="5">
        <v>323976379071502</v>
      </c>
      <c r="H204" s="5">
        <v>356754099790199</v>
      </c>
      <c r="I204" s="5">
        <v>403954907432322</v>
      </c>
      <c r="J204" s="5">
        <v>397946424532365</v>
      </c>
      <c r="K204" s="5">
        <v>368125405018484</v>
      </c>
      <c r="L204" s="5">
        <v>342194456709165</v>
      </c>
      <c r="M204" s="5">
        <v>344413267865232</v>
      </c>
      <c r="N204" s="5">
        <v>317129675674294</v>
      </c>
      <c r="O204" s="5">
        <v>386517396171519</v>
      </c>
      <c r="P204" s="5">
        <v>423335680581518</v>
      </c>
      <c r="Q204" s="5">
        <v>398776880143772</v>
      </c>
      <c r="R204" s="5">
        <v>382564690153274</v>
      </c>
      <c r="S204" s="5">
        <v>386934690704293</v>
      </c>
      <c r="T204" s="5">
        <v>350791885456592</v>
      </c>
      <c r="U204" s="5">
        <v>303368199258988</v>
      </c>
      <c r="V204" s="5">
        <v>318522320238104</v>
      </c>
      <c r="W204" s="5">
        <v>30414955231815</v>
      </c>
      <c r="X204" s="5">
        <v>292060385853955</v>
      </c>
      <c r="Y204" s="5">
        <v>29020270428354</v>
      </c>
      <c r="Z204" s="5">
        <v>259515218142296</v>
      </c>
      <c r="AA204" s="5">
        <v>264315011868858</v>
      </c>
      <c r="AB204" s="5">
        <v>243677151709012</v>
      </c>
      <c r="AC204" s="5">
        <v>210720440151358</v>
      </c>
      <c r="AD204" s="5">
        <v>222499173480186</v>
      </c>
      <c r="AE204" s="5">
        <v>214447422206389</v>
      </c>
      <c r="AF204" s="5">
        <v>185793484808069</v>
      </c>
      <c r="AG204" s="5">
        <v>190289370462317</v>
      </c>
      <c r="AH204" s="5">
        <v>187144740331855</v>
      </c>
      <c r="AI204" s="5">
        <v>183800671530488</v>
      </c>
      <c r="AJ204" s="5">
        <v>18273911263005</v>
      </c>
      <c r="AK204" s="5">
        <v>185141730698735</v>
      </c>
      <c r="AL204" s="5">
        <v>170267686277943</v>
      </c>
      <c r="AM204" s="5">
        <v>177747638091342</v>
      </c>
      <c r="AN204" s="5">
        <v>176889758224777</v>
      </c>
      <c r="AO204" s="5">
        <v>174488575302233</v>
      </c>
    </row>
    <row r="205" spans="1:41" x14ac:dyDescent="0.45">
      <c r="A205" s="1" t="s">
        <v>199</v>
      </c>
      <c r="B205" s="2">
        <v>4094069</v>
      </c>
      <c r="C205" s="3" t="s">
        <v>986</v>
      </c>
      <c r="D205" s="3" t="s">
        <v>987</v>
      </c>
      <c r="E205" s="3" t="s">
        <v>512</v>
      </c>
      <c r="F205" s="5">
        <v>15486990977149</v>
      </c>
      <c r="G205" s="5">
        <v>144669624288235</v>
      </c>
      <c r="H205" s="5">
        <v>163067330953701</v>
      </c>
      <c r="I205" s="5">
        <v>169681581042953</v>
      </c>
      <c r="J205" s="5">
        <v>162636811584381</v>
      </c>
      <c r="K205" s="5">
        <v>227858946805967</v>
      </c>
      <c r="L205" s="5">
        <v>264915063459302</v>
      </c>
      <c r="M205" s="5">
        <v>296027882519144</v>
      </c>
      <c r="N205" s="5">
        <v>2859974619135</v>
      </c>
      <c r="O205" s="5">
        <v>298318411620626</v>
      </c>
      <c r="P205" s="5">
        <v>367909473465882</v>
      </c>
      <c r="Q205" s="5">
        <v>4028389784645</v>
      </c>
      <c r="R205" s="5">
        <v>360949533896624</v>
      </c>
      <c r="S205" s="5">
        <v>378647594115711</v>
      </c>
      <c r="T205" s="5">
        <v>35663335727985</v>
      </c>
      <c r="U205" s="5">
        <v>350128390735062</v>
      </c>
      <c r="V205" s="5">
        <v>342746104705765</v>
      </c>
      <c r="W205" s="5">
        <v>356862270272138</v>
      </c>
      <c r="X205" s="5">
        <v>325355267381427</v>
      </c>
      <c r="Y205" s="5">
        <v>300412604999769</v>
      </c>
      <c r="Z205" s="5">
        <v>299540396415906</v>
      </c>
      <c r="AA205" s="5">
        <v>34407311882322</v>
      </c>
      <c r="AB205" s="5">
        <v>335799533422195</v>
      </c>
      <c r="AC205" s="5">
        <v>328648846096422</v>
      </c>
      <c r="AD205" s="5">
        <v>318123264956768</v>
      </c>
      <c r="AE205" s="5">
        <v>310784854459432</v>
      </c>
      <c r="AF205" s="5">
        <v>247728644337409</v>
      </c>
      <c r="AG205" s="5">
        <v>255900351052856</v>
      </c>
      <c r="AH205" s="5">
        <v>254136425459011</v>
      </c>
      <c r="AI205" s="5">
        <v>253604490333027</v>
      </c>
      <c r="AJ205" s="5">
        <v>25363325689634</v>
      </c>
      <c r="AK205" s="5">
        <v>254282648981674</v>
      </c>
      <c r="AL205" s="5">
        <v>216964161731697</v>
      </c>
      <c r="AM205" s="5">
        <v>237054266585113</v>
      </c>
      <c r="AN205" s="5">
        <v>244136761354269</v>
      </c>
      <c r="AO205" s="5">
        <v>246023044576412</v>
      </c>
    </row>
    <row r="206" spans="1:41" x14ac:dyDescent="0.45">
      <c r="A206" s="1" t="s">
        <v>200</v>
      </c>
      <c r="B206" s="2">
        <v>108009705</v>
      </c>
      <c r="C206" s="3" t="s">
        <v>988</v>
      </c>
      <c r="D206" s="3" t="s">
        <v>989</v>
      </c>
      <c r="E206" s="3" t="s">
        <v>506</v>
      </c>
      <c r="F206" s="5">
        <v>318211140271229</v>
      </c>
      <c r="G206" s="5">
        <v>314234172570546</v>
      </c>
      <c r="H206" s="5">
        <v>296005446587868</v>
      </c>
      <c r="I206" s="5">
        <v>29223499592546</v>
      </c>
      <c r="J206" s="5">
        <v>287779165028498</v>
      </c>
      <c r="K206" s="5">
        <v>284657043154019</v>
      </c>
      <c r="L206" s="5">
        <v>288790838442838</v>
      </c>
      <c r="M206" s="5">
        <v>284652917979362</v>
      </c>
      <c r="N206" s="5">
        <v>283837699528923</v>
      </c>
      <c r="O206" s="5">
        <v>341477873144125</v>
      </c>
      <c r="P206" s="5">
        <v>383911465914763</v>
      </c>
      <c r="Q206" s="5">
        <v>38812926640368</v>
      </c>
      <c r="R206" s="5">
        <v>345003344623307</v>
      </c>
      <c r="S206" s="5">
        <v>360362747142738</v>
      </c>
      <c r="T206" s="5">
        <v>367551341931136</v>
      </c>
      <c r="U206" s="5">
        <v>384262608413352</v>
      </c>
      <c r="V206" s="5">
        <v>350194928479418</v>
      </c>
      <c r="W206" s="5">
        <v>357101296595644</v>
      </c>
      <c r="X206" s="5">
        <v>331954105229296</v>
      </c>
      <c r="Y206" s="5">
        <v>328307239068822</v>
      </c>
      <c r="Z206" s="5">
        <v>325458201338901</v>
      </c>
      <c r="AA206" s="5">
        <v>383249034823115</v>
      </c>
      <c r="AB206" s="5">
        <v>384517887741723</v>
      </c>
      <c r="AC206" s="5">
        <v>307816688686023</v>
      </c>
      <c r="AD206" s="5">
        <v>318448851924355</v>
      </c>
      <c r="AE206" s="5">
        <v>285760448846367</v>
      </c>
      <c r="AF206" s="5">
        <v>286841792034939</v>
      </c>
      <c r="AG206" s="5">
        <v>292389070134289</v>
      </c>
      <c r="AH206" s="5">
        <v>295439706415937</v>
      </c>
      <c r="AI206" s="5">
        <v>321921751691436</v>
      </c>
      <c r="AJ206" s="5">
        <v>338351884458182</v>
      </c>
      <c r="AK206" s="5">
        <v>3392084645434</v>
      </c>
      <c r="AL206" s="5">
        <v>335107007615111</v>
      </c>
      <c r="AM206" s="5">
        <v>342716105120693</v>
      </c>
      <c r="AN206" s="5">
        <v>32497480143288</v>
      </c>
      <c r="AO206" s="5">
        <v>291046523274683</v>
      </c>
    </row>
    <row r="207" spans="1:41" x14ac:dyDescent="0.45">
      <c r="A207" s="1" t="s">
        <v>201</v>
      </c>
      <c r="B207" s="2">
        <v>4048156</v>
      </c>
      <c r="C207" s="3" t="s">
        <v>990</v>
      </c>
      <c r="D207" s="3" t="s">
        <v>991</v>
      </c>
      <c r="E207" s="3" t="s">
        <v>817</v>
      </c>
      <c r="F207" s="5">
        <v>142817407755444</v>
      </c>
      <c r="G207" s="5">
        <v>140250419467472</v>
      </c>
      <c r="H207" s="5">
        <v>140751466127956</v>
      </c>
      <c r="I207" s="5">
        <v>149020599058311</v>
      </c>
      <c r="J207" s="5">
        <v>159004964420517</v>
      </c>
      <c r="K207" s="5">
        <v>159896198427537</v>
      </c>
      <c r="L207" s="5">
        <v>155268925080087</v>
      </c>
      <c r="M207" s="5">
        <v>155674083933888</v>
      </c>
      <c r="N207" s="5">
        <v>140527916490888</v>
      </c>
      <c r="O207" s="5">
        <v>151331617859322</v>
      </c>
      <c r="P207" s="5">
        <v>161883036262354</v>
      </c>
      <c r="Q207" s="5">
        <v>15956110852862</v>
      </c>
      <c r="R207" s="5">
        <v>162987639462318</v>
      </c>
      <c r="S207" s="5">
        <v>180176053269611</v>
      </c>
      <c r="T207" s="5">
        <v>165206462692407</v>
      </c>
      <c r="U207" s="5">
        <v>151380610989185</v>
      </c>
      <c r="V207" s="5">
        <v>147248886975222</v>
      </c>
      <c r="W207" s="5">
        <v>147740135618737</v>
      </c>
      <c r="X207" s="5">
        <v>145978615024391</v>
      </c>
      <c r="Y207" s="5">
        <v>143360755382165</v>
      </c>
      <c r="Z207" s="5">
        <v>119961533332575</v>
      </c>
      <c r="AA207" s="5">
        <v>132081879013728</v>
      </c>
      <c r="AB207" s="5">
        <v>12662024231276</v>
      </c>
      <c r="AC207" s="5">
        <v>138660497671493</v>
      </c>
      <c r="AD207" s="5">
        <v>132277294908286</v>
      </c>
      <c r="AE207" s="5">
        <v>12971378029871</v>
      </c>
      <c r="AF207" s="5">
        <v>100831169890851</v>
      </c>
      <c r="AG207" s="5">
        <v>106812317006146</v>
      </c>
      <c r="AH207" s="5">
        <v>119386477725615</v>
      </c>
      <c r="AI207" s="5">
        <v>112850123017828</v>
      </c>
      <c r="AJ207" s="5">
        <v>108878466966864</v>
      </c>
      <c r="AK207" s="5">
        <v>105456636367827</v>
      </c>
      <c r="AL207" s="5">
        <v>102329658095929</v>
      </c>
      <c r="AM207" s="5">
        <v>100944517534661</v>
      </c>
      <c r="AN207" s="5">
        <v>117461898340374</v>
      </c>
      <c r="AO207" s="5">
        <v>141003049494725</v>
      </c>
    </row>
    <row r="208" spans="1:41" x14ac:dyDescent="0.45">
      <c r="A208" s="1" t="s">
        <v>202</v>
      </c>
      <c r="B208" s="2">
        <v>4991196</v>
      </c>
      <c r="C208" s="3" t="s">
        <v>992</v>
      </c>
      <c r="D208" s="3" t="s">
        <v>993</v>
      </c>
      <c r="E208" s="3" t="s">
        <v>582</v>
      </c>
      <c r="F208" s="5">
        <v>681593883669371</v>
      </c>
      <c r="G208" s="5">
        <v>767386367354499</v>
      </c>
      <c r="H208" s="5">
        <v>854887389978822</v>
      </c>
      <c r="I208" s="5">
        <v>837159248244402</v>
      </c>
      <c r="J208" s="5">
        <v>929252356195897</v>
      </c>
      <c r="K208" s="5">
        <v>998583549370825</v>
      </c>
      <c r="L208" s="5">
        <v>720461201278312</v>
      </c>
      <c r="M208" s="5">
        <v>635914500398251</v>
      </c>
      <c r="N208" s="5">
        <v>597722645980169</v>
      </c>
      <c r="O208" s="5">
        <v>69853675695345</v>
      </c>
      <c r="P208" s="5">
        <v>780071961805413</v>
      </c>
      <c r="Q208" s="5">
        <v>854799458295279</v>
      </c>
      <c r="R208" s="5">
        <v>89104758026789</v>
      </c>
      <c r="S208" s="5">
        <v>106128806914936</v>
      </c>
      <c r="T208" s="5">
        <v>907158563049585</v>
      </c>
      <c r="U208" s="5">
        <v>856886585689488</v>
      </c>
      <c r="V208" s="5">
        <v>851274124979416</v>
      </c>
      <c r="W208" s="5">
        <v>865417112505792</v>
      </c>
      <c r="X208" s="5">
        <v>747987851857514</v>
      </c>
      <c r="Y208" s="5">
        <v>82279465269734</v>
      </c>
      <c r="Z208" s="5">
        <v>768395768097619</v>
      </c>
      <c r="AA208" s="5">
        <v>703827485275572</v>
      </c>
      <c r="AB208" s="5">
        <v>627301065299931</v>
      </c>
      <c r="AC208" s="5">
        <v>64361641454907</v>
      </c>
      <c r="AD208" s="5">
        <v>718279057028596</v>
      </c>
      <c r="AE208" s="5">
        <v>659415657820869</v>
      </c>
      <c r="AF208" s="5">
        <v>495278220890114</v>
      </c>
      <c r="AG208" s="5">
        <v>640758748423642</v>
      </c>
      <c r="AH208" s="5">
        <v>681822740864714</v>
      </c>
      <c r="AI208" s="5">
        <v>867394315952086</v>
      </c>
      <c r="AJ208" s="5">
        <v>849580275570876</v>
      </c>
      <c r="AK208" s="5">
        <v>635613742502169</v>
      </c>
      <c r="AL208" s="5">
        <v>578013541159644</v>
      </c>
      <c r="AM208" s="5">
        <v>615238117605384</v>
      </c>
      <c r="AN208" s="5">
        <v>69963414582732</v>
      </c>
      <c r="AO208" s="5">
        <v>703486806216084</v>
      </c>
    </row>
    <row r="209" spans="1:41" x14ac:dyDescent="0.45">
      <c r="A209" s="1" t="s">
        <v>203</v>
      </c>
      <c r="B209" s="2">
        <v>4040505</v>
      </c>
      <c r="C209" s="3" t="s">
        <v>994</v>
      </c>
      <c r="D209" s="3" t="s">
        <v>995</v>
      </c>
      <c r="E209" s="3" t="s">
        <v>644</v>
      </c>
      <c r="F209" s="5">
        <v>773365752856849</v>
      </c>
      <c r="G209" s="5">
        <v>794642005747954</v>
      </c>
      <c r="H209" s="5">
        <v>806527280268471</v>
      </c>
      <c r="I209" s="5">
        <v>780611576927391</v>
      </c>
      <c r="J209" s="5">
        <v>745266865550587</v>
      </c>
      <c r="K209" s="5">
        <v>731661678273219</v>
      </c>
      <c r="L209" s="5">
        <v>665553484317454</v>
      </c>
      <c r="M209" s="5">
        <v>657740846552606</v>
      </c>
      <c r="N209" s="5">
        <v>642769034085865</v>
      </c>
      <c r="O209" s="5">
        <v>675814957973306</v>
      </c>
      <c r="P209" s="5">
        <v>655359270933654</v>
      </c>
      <c r="Q209" s="5">
        <v>667300579454176</v>
      </c>
      <c r="R209" s="5">
        <v>698686301149721</v>
      </c>
      <c r="S209" s="5">
        <v>738986085337708</v>
      </c>
      <c r="T209" s="5">
        <v>737306339144786</v>
      </c>
      <c r="U209" s="5">
        <v>743321670867901</v>
      </c>
      <c r="V209" s="5">
        <v>742495522946295</v>
      </c>
      <c r="W209" s="5">
        <v>757190807694922</v>
      </c>
      <c r="X209" s="5">
        <v>74174971175115</v>
      </c>
      <c r="Y209" s="5">
        <v>757172275661523</v>
      </c>
      <c r="Z209" s="5">
        <v>735446485826431</v>
      </c>
      <c r="AA209" s="5">
        <v>716399410726149</v>
      </c>
      <c r="AB209" s="5">
        <v>69146198425439</v>
      </c>
      <c r="AC209" s="5">
        <v>667049952074074</v>
      </c>
      <c r="AD209" s="5">
        <v>639950198474885</v>
      </c>
      <c r="AE209" s="5">
        <v>616859111941402</v>
      </c>
      <c r="AF209" s="5">
        <v>622179571933226</v>
      </c>
      <c r="AG209" s="5">
        <v>569017013742105</v>
      </c>
      <c r="AH209" s="5">
        <v>569533840934165</v>
      </c>
      <c r="AI209" s="5">
        <v>55294734682967</v>
      </c>
      <c r="AJ209" s="5">
        <v>539689978024314</v>
      </c>
      <c r="AK209" s="5">
        <v>524641263283928</v>
      </c>
      <c r="AL209" s="5">
        <v>541772511061324</v>
      </c>
      <c r="AM209" s="5">
        <v>575990928095441</v>
      </c>
      <c r="AN209" s="5">
        <v>588127627073801</v>
      </c>
      <c r="AO209" s="5">
        <v>587777749462459</v>
      </c>
    </row>
    <row r="210" spans="1:41" x14ac:dyDescent="0.45">
      <c r="A210" s="1" t="s">
        <v>204</v>
      </c>
      <c r="B210" s="2">
        <v>114527</v>
      </c>
      <c r="C210" s="3" t="s">
        <v>996</v>
      </c>
      <c r="D210" s="3" t="s">
        <v>997</v>
      </c>
      <c r="E210" s="3" t="s">
        <v>644</v>
      </c>
      <c r="F210" s="5">
        <v>27672953401384</v>
      </c>
      <c r="G210" s="5">
        <v>271491464202808</v>
      </c>
      <c r="H210" s="5">
        <v>282542085015591</v>
      </c>
      <c r="I210" s="5">
        <v>271884873103453</v>
      </c>
      <c r="J210" s="5">
        <v>249487962711622</v>
      </c>
      <c r="K210" s="5">
        <v>251300949272243</v>
      </c>
      <c r="L210" s="5">
        <v>233717385222567</v>
      </c>
      <c r="M210" s="5">
        <v>231107828335709</v>
      </c>
      <c r="N210" s="5">
        <v>189430103736236</v>
      </c>
      <c r="O210" s="5">
        <v>197507754291428</v>
      </c>
      <c r="P210" s="5">
        <v>213508046611501</v>
      </c>
      <c r="Q210" s="5">
        <v>210287657172734</v>
      </c>
      <c r="R210" s="5">
        <v>174360227569944</v>
      </c>
      <c r="S210" s="5">
        <v>186859410493517</v>
      </c>
      <c r="T210" s="5">
        <v>171229063350558</v>
      </c>
      <c r="U210" s="5">
        <v>183336204394801</v>
      </c>
      <c r="V210" s="5">
        <v>171184454449945</v>
      </c>
      <c r="W210" s="5">
        <v>170523955069037</v>
      </c>
      <c r="X210" s="5">
        <v>162403181410696</v>
      </c>
      <c r="Y210" s="5">
        <v>166681881784266</v>
      </c>
      <c r="Z210" s="5">
        <v>165651276760611</v>
      </c>
      <c r="AA210" s="5">
        <v>177662111335179</v>
      </c>
      <c r="AB210" s="5">
        <v>157959686159863</v>
      </c>
      <c r="AC210" s="5">
        <v>132839164364619</v>
      </c>
      <c r="AD210" s="5">
        <v>125672519941421</v>
      </c>
      <c r="AE210" s="5">
        <v>121549233632292</v>
      </c>
      <c r="AF210" s="5">
        <v>111905997243057</v>
      </c>
      <c r="AG210" s="5">
        <v>113093664921255</v>
      </c>
      <c r="AH210" s="5">
        <v>114267916610751</v>
      </c>
      <c r="AI210" s="5">
        <v>112242315121914</v>
      </c>
      <c r="AJ210" s="5">
        <v>109573989414055</v>
      </c>
      <c r="AK210" s="5">
        <v>103740429449742</v>
      </c>
      <c r="AL210" s="5">
        <v>976543603449448</v>
      </c>
      <c r="AM210" s="5">
        <v>959342566786032</v>
      </c>
      <c r="AN210" s="5">
        <v>869216029981615</v>
      </c>
      <c r="AO210" s="5">
        <v>80964453906959</v>
      </c>
    </row>
    <row r="211" spans="1:41" x14ac:dyDescent="0.45">
      <c r="A211" s="1" t="s">
        <v>205</v>
      </c>
      <c r="B211" s="2">
        <v>4096376</v>
      </c>
      <c r="C211" s="3" t="s">
        <v>998</v>
      </c>
      <c r="D211" s="3" t="s">
        <v>999</v>
      </c>
      <c r="E211" s="3" t="s">
        <v>788</v>
      </c>
      <c r="F211" s="5">
        <v>21132011415028</v>
      </c>
      <c r="G211" s="5">
        <v>217818675624581</v>
      </c>
      <c r="H211" s="5">
        <v>215558216853071</v>
      </c>
      <c r="I211" s="5">
        <v>229224857664477</v>
      </c>
      <c r="J211" s="5">
        <v>225488883256127</v>
      </c>
      <c r="K211" s="5">
        <v>232258316739068</v>
      </c>
      <c r="L211" s="5">
        <v>239298477707504</v>
      </c>
      <c r="M211" s="5">
        <v>261858950243265</v>
      </c>
      <c r="N211" s="5">
        <v>273858509792796</v>
      </c>
      <c r="O211" s="5">
        <v>302920064404561</v>
      </c>
      <c r="P211" s="5">
        <v>321722112404</v>
      </c>
      <c r="Q211" s="5">
        <v>319506752268</v>
      </c>
      <c r="R211" s="5">
        <v>340130036246</v>
      </c>
      <c r="S211" s="5">
        <v>348646605295267</v>
      </c>
      <c r="T211" s="5">
        <v>347787174908452</v>
      </c>
      <c r="U211" s="5">
        <v>367592413078712</v>
      </c>
      <c r="V211" s="5">
        <v>363792093429599</v>
      </c>
      <c r="W211" s="5">
        <v>346258836761191</v>
      </c>
      <c r="X211" s="5">
        <v>329532316249622</v>
      </c>
      <c r="Y211" s="5">
        <v>357892159874081</v>
      </c>
      <c r="Z211" s="5">
        <v>372004845824845</v>
      </c>
      <c r="AA211" s="5">
        <v>365704673576344</v>
      </c>
      <c r="AB211" s="5">
        <v>337172923403118</v>
      </c>
      <c r="AC211" s="5">
        <v>339754716485847</v>
      </c>
      <c r="AD211" s="5">
        <v>334669890998358</v>
      </c>
      <c r="AE211" s="5">
        <v>339291837299626</v>
      </c>
      <c r="AF211" s="5">
        <v>358937947558121</v>
      </c>
      <c r="AG211" s="5">
        <v>351428354696332</v>
      </c>
      <c r="AH211" s="5">
        <v>362555277454526</v>
      </c>
      <c r="AI211" s="5">
        <v>396865530570436</v>
      </c>
      <c r="AJ211" s="5">
        <v>41113301152014</v>
      </c>
      <c r="AK211" s="5">
        <v>463818145061681</v>
      </c>
      <c r="AL211" s="5">
        <v>471690545367518</v>
      </c>
      <c r="AM211" s="5">
        <v>461997675067394</v>
      </c>
      <c r="AN211" s="5">
        <v>441609111183671</v>
      </c>
      <c r="AO211" s="5">
        <v>425380854484393</v>
      </c>
    </row>
    <row r="212" spans="1:41" x14ac:dyDescent="0.45">
      <c r="A212" s="1" t="s">
        <v>206</v>
      </c>
      <c r="B212" s="2">
        <v>4272273</v>
      </c>
      <c r="C212" s="3" t="s">
        <v>1000</v>
      </c>
      <c r="D212" s="3" t="s">
        <v>1001</v>
      </c>
      <c r="E212" s="3" t="s">
        <v>970</v>
      </c>
      <c r="F212" s="5">
        <v>649258943657865</v>
      </c>
      <c r="G212" s="5">
        <v>594358078272654</v>
      </c>
      <c r="H212" s="5">
        <v>561523858648521</v>
      </c>
      <c r="I212" s="5">
        <v>494744668200365</v>
      </c>
      <c r="J212" s="5">
        <v>476882355744684</v>
      </c>
      <c r="K212" s="5">
        <v>443952241032482</v>
      </c>
      <c r="L212" s="5">
        <v>402863414112277</v>
      </c>
      <c r="M212" s="5">
        <v>420351700553614</v>
      </c>
      <c r="N212" s="5">
        <v>385299861846026</v>
      </c>
      <c r="O212" s="5">
        <v>43294677501487</v>
      </c>
      <c r="P212" s="5">
        <v>469828380758321</v>
      </c>
      <c r="Q212" s="5">
        <v>473476286541162</v>
      </c>
      <c r="R212" s="5">
        <v>565780468562691</v>
      </c>
      <c r="S212" s="5">
        <v>579357277362797</v>
      </c>
      <c r="T212" s="5">
        <v>514060615361664</v>
      </c>
      <c r="U212" s="5">
        <v>451856523637897</v>
      </c>
      <c r="V212" s="5">
        <v>505833490320817</v>
      </c>
      <c r="W212" s="5">
        <v>460264989622099</v>
      </c>
      <c r="X212" s="5">
        <v>494487958742479</v>
      </c>
      <c r="Y212" s="5">
        <v>473095987298395</v>
      </c>
      <c r="Z212" s="5">
        <v>474911233616739</v>
      </c>
      <c r="AA212" s="5">
        <v>484689161876936</v>
      </c>
      <c r="AB212" s="5">
        <v>437652562612756</v>
      </c>
      <c r="AC212" s="5">
        <v>412847970323625</v>
      </c>
      <c r="AD212" s="5">
        <v>445037897226897</v>
      </c>
      <c r="AE212" s="5">
        <v>396794032418922</v>
      </c>
      <c r="AF212" s="5">
        <v>365532337137078</v>
      </c>
      <c r="AG212" s="5">
        <v>428595269276464</v>
      </c>
      <c r="AH212" s="5">
        <v>425102726316925</v>
      </c>
      <c r="AI212" s="5">
        <v>479048092802528</v>
      </c>
      <c r="AJ212" s="5">
        <v>49100496503239</v>
      </c>
      <c r="AK212" s="5">
        <v>422740768120102</v>
      </c>
      <c r="AL212" s="5">
        <v>416168834167465</v>
      </c>
      <c r="AM212" s="5">
        <v>470833320910855</v>
      </c>
      <c r="AN212" s="5">
        <v>508946078593961</v>
      </c>
      <c r="AO212" s="5">
        <v>504885508632228</v>
      </c>
    </row>
    <row r="213" spans="1:41" x14ac:dyDescent="0.45">
      <c r="A213" s="1" t="s">
        <v>207</v>
      </c>
      <c r="B213" s="2">
        <v>4004397</v>
      </c>
      <c r="C213" s="3" t="s">
        <v>1002</v>
      </c>
      <c r="D213" s="3" t="s">
        <v>1003</v>
      </c>
      <c r="E213" s="3" t="s">
        <v>1004</v>
      </c>
      <c r="F213" s="5">
        <v>14568351564036</v>
      </c>
      <c r="G213" s="5">
        <v>1564394393408</v>
      </c>
      <c r="H213" s="5">
        <v>15354706773585</v>
      </c>
      <c r="I213" s="5">
        <v>164308029976213</v>
      </c>
      <c r="J213" s="5">
        <v>165677305982498</v>
      </c>
      <c r="K213" s="5">
        <v>156710970224994</v>
      </c>
      <c r="L213" s="5">
        <v>143363400910962</v>
      </c>
      <c r="M213" s="5">
        <v>154753326527864</v>
      </c>
      <c r="N213" s="5">
        <v>143797958203891</v>
      </c>
      <c r="O213" s="5">
        <v>152977111233458</v>
      </c>
      <c r="P213" s="5">
        <v>16656920120041</v>
      </c>
      <c r="Q213" s="5">
        <v>155504142315889</v>
      </c>
      <c r="R213" s="5">
        <v>156803242245457</v>
      </c>
      <c r="S213" s="5">
        <v>1670032509084</v>
      </c>
      <c r="T213" s="5">
        <v>146876337392469</v>
      </c>
      <c r="U213" s="5">
        <v>174477474381557</v>
      </c>
      <c r="V213" s="5">
        <v>18044623345226</v>
      </c>
      <c r="W213" s="5">
        <v>189374095641654</v>
      </c>
      <c r="X213" s="5">
        <v>179826278529185</v>
      </c>
      <c r="Y213" s="5">
        <v>185143918165946</v>
      </c>
      <c r="Z213" s="5">
        <v>204800765918536</v>
      </c>
      <c r="AA213" s="5">
        <v>199980762623325</v>
      </c>
      <c r="AB213" s="5">
        <v>192516082224228</v>
      </c>
      <c r="AC213" s="5">
        <v>181204132949803</v>
      </c>
      <c r="AD213" s="5">
        <v>175667710510994</v>
      </c>
      <c r="AE213" s="5">
        <v>170683765141866</v>
      </c>
      <c r="AF213" s="5">
        <v>170992208945797</v>
      </c>
      <c r="AG213" s="5">
        <v>191571718083701</v>
      </c>
      <c r="AH213" s="5">
        <v>199055425961098</v>
      </c>
      <c r="AI213" s="5">
        <v>198439279747466</v>
      </c>
      <c r="AJ213" s="5">
        <v>217819869695952</v>
      </c>
      <c r="AK213" s="5">
        <v>196357987190372</v>
      </c>
      <c r="AL213" s="5">
        <v>214294347745072</v>
      </c>
      <c r="AM213" s="5">
        <v>216834694427019</v>
      </c>
      <c r="AN213" s="5">
        <v>234587595384287</v>
      </c>
      <c r="AO213" s="5">
        <v>21811104570358</v>
      </c>
    </row>
    <row r="214" spans="1:41" x14ac:dyDescent="0.45">
      <c r="A214" s="1" t="s">
        <v>208</v>
      </c>
      <c r="B214" s="2">
        <v>4135343</v>
      </c>
      <c r="C214" s="3" t="s">
        <v>1005</v>
      </c>
      <c r="D214" s="3" t="s">
        <v>1006</v>
      </c>
      <c r="E214" s="3" t="s">
        <v>509</v>
      </c>
      <c r="F214" s="5">
        <v>129697742116743</v>
      </c>
      <c r="G214" s="5">
        <v>134644031529175</v>
      </c>
      <c r="H214" s="5">
        <v>12899154906</v>
      </c>
      <c r="I214" s="5">
        <v>117386910530255</v>
      </c>
      <c r="J214" s="5">
        <v>119834716096215</v>
      </c>
      <c r="K214" s="5">
        <v>122108956231656</v>
      </c>
      <c r="L214" s="5">
        <v>117434130030947</v>
      </c>
      <c r="M214" s="5">
        <v>12067792275585</v>
      </c>
      <c r="N214" s="5">
        <v>11691092322</v>
      </c>
      <c r="O214" s="5">
        <v>129236924911042</v>
      </c>
      <c r="P214" s="5">
        <v>136817879072513</v>
      </c>
      <c r="Q214" s="5">
        <v>116545947435115</v>
      </c>
      <c r="R214" s="5">
        <v>111192067828192</v>
      </c>
      <c r="S214" s="5">
        <v>109356493944317</v>
      </c>
      <c r="T214" s="5">
        <v>101844361100301</v>
      </c>
      <c r="U214" s="5">
        <v>935872300012945</v>
      </c>
      <c r="V214" s="5">
        <v>889221898941359</v>
      </c>
      <c r="W214" s="5">
        <v>87557865850723</v>
      </c>
      <c r="X214" s="5">
        <v>79776606825235</v>
      </c>
      <c r="Y214" s="5">
        <v>738334559530947</v>
      </c>
      <c r="Z214" s="5">
        <v>759186332316138</v>
      </c>
      <c r="AA214" s="5">
        <v>844347248449021</v>
      </c>
      <c r="AB214" s="5">
        <v>830928056125614</v>
      </c>
      <c r="AC214" s="5">
        <v>898797955122786</v>
      </c>
      <c r="AD214" s="5">
        <v>913220952359506</v>
      </c>
      <c r="AE214" s="5">
        <v>875151793160533</v>
      </c>
      <c r="AF214" s="5">
        <v>926263520348928</v>
      </c>
      <c r="AG214" s="5">
        <v>882219429919371</v>
      </c>
      <c r="AH214" s="5">
        <v>878621538554797</v>
      </c>
      <c r="AI214" s="5">
        <v>861788937760934</v>
      </c>
      <c r="AJ214" s="5">
        <v>880582601149667</v>
      </c>
      <c r="AK214" s="5">
        <v>900498857011446</v>
      </c>
      <c r="AL214" s="5">
        <v>930249084684915</v>
      </c>
      <c r="AM214" s="5">
        <v>953665721911842</v>
      </c>
      <c r="AN214" s="5">
        <v>94604474124626</v>
      </c>
      <c r="AO214" s="5">
        <v>969324269412005</v>
      </c>
    </row>
    <row r="215" spans="1:41" x14ac:dyDescent="0.45">
      <c r="A215" s="1" t="s">
        <v>209</v>
      </c>
      <c r="B215" s="2">
        <v>4090258</v>
      </c>
      <c r="C215" s="3" t="s">
        <v>1007</v>
      </c>
      <c r="D215" s="3" t="s">
        <v>1008</v>
      </c>
      <c r="E215" s="3" t="s">
        <v>567</v>
      </c>
      <c r="F215" s="5">
        <v>156065198137913</v>
      </c>
      <c r="G215" s="5">
        <v>154677510641956</v>
      </c>
      <c r="H215" s="5">
        <v>163560664637395</v>
      </c>
      <c r="I215" s="5">
        <v>171787869477509</v>
      </c>
      <c r="J215" s="5">
        <v>184216956611411</v>
      </c>
      <c r="K215" s="5">
        <v>170453332228304</v>
      </c>
      <c r="L215" s="5">
        <v>166214136521893</v>
      </c>
      <c r="M215" s="5">
        <v>16250967946812</v>
      </c>
      <c r="N215" s="5">
        <v>165375485348219</v>
      </c>
      <c r="O215" s="5">
        <v>222753050877519</v>
      </c>
      <c r="P215" s="5">
        <v>250549467148651</v>
      </c>
      <c r="Q215" s="5">
        <v>276312639030325</v>
      </c>
      <c r="R215" s="5">
        <v>275462038398356</v>
      </c>
      <c r="S215" s="5">
        <v>286943659407625</v>
      </c>
      <c r="T215" s="5">
        <v>243085602501599</v>
      </c>
      <c r="U215" s="5">
        <v>233648885761517</v>
      </c>
      <c r="V215" s="5">
        <v>255363475312362</v>
      </c>
      <c r="W215" s="5">
        <v>239718749786208</v>
      </c>
      <c r="X215" s="5">
        <v>230363207224758</v>
      </c>
      <c r="Y215" s="5">
        <v>239720089847553</v>
      </c>
      <c r="Z215" s="5">
        <v>29287413549256</v>
      </c>
      <c r="AA215" s="5">
        <v>315647896055452</v>
      </c>
      <c r="AB215" s="5">
        <v>308006439037391</v>
      </c>
      <c r="AC215" s="5">
        <v>319752163670657</v>
      </c>
      <c r="AD215" s="5">
        <v>299178367309074</v>
      </c>
      <c r="AE215" s="5">
        <v>278000800214225</v>
      </c>
      <c r="AF215" s="5">
        <v>261787431385676</v>
      </c>
      <c r="AG215" s="5">
        <v>283446569319775</v>
      </c>
      <c r="AH215" s="5">
        <v>303694134524447</v>
      </c>
      <c r="AI215" s="5">
        <v>262060144856465</v>
      </c>
      <c r="AJ215" s="5">
        <v>236397827204318</v>
      </c>
      <c r="AK215" s="5">
        <v>240112864929972</v>
      </c>
      <c r="AL215" s="5">
        <v>269393864188021</v>
      </c>
      <c r="AM215" s="5">
        <v>255509215816627</v>
      </c>
      <c r="AN215" s="5">
        <v>278133833256048</v>
      </c>
      <c r="AO215" s="5">
        <v>280625835349744</v>
      </c>
    </row>
    <row r="216" spans="1:41" x14ac:dyDescent="0.45">
      <c r="A216" s="1" t="s">
        <v>210</v>
      </c>
      <c r="B216" s="2">
        <v>103323</v>
      </c>
      <c r="C216" s="3" t="s">
        <v>1009</v>
      </c>
      <c r="D216" s="3" t="s">
        <v>1010</v>
      </c>
      <c r="E216" s="3" t="s">
        <v>521</v>
      </c>
      <c r="F216" s="5">
        <v>94825443440196</v>
      </c>
      <c r="G216" s="5">
        <v>92494896078816</v>
      </c>
      <c r="H216" s="5">
        <v>915682333124919</v>
      </c>
      <c r="I216" s="5">
        <v>987055068437842</v>
      </c>
      <c r="J216" s="5">
        <v>969152671354968</v>
      </c>
      <c r="K216" s="5">
        <v>101361723523205</v>
      </c>
      <c r="L216" s="5">
        <v>8735754936254</v>
      </c>
      <c r="M216" s="5">
        <v>886543772013719</v>
      </c>
      <c r="N216" s="5">
        <v>90494759507465</v>
      </c>
      <c r="O216" s="5">
        <v>101445733372254</v>
      </c>
      <c r="P216" s="5">
        <v>102691657686446</v>
      </c>
      <c r="Q216" s="5">
        <v>986042134022349</v>
      </c>
      <c r="R216" s="5">
        <v>904232456165875</v>
      </c>
      <c r="S216" s="5">
        <v>885060276576941</v>
      </c>
      <c r="T216" s="5">
        <v>8735662070784</v>
      </c>
      <c r="U216" s="5">
        <v>852919374349504</v>
      </c>
      <c r="V216" s="5">
        <v>85307026269872</v>
      </c>
      <c r="W216" s="5">
        <v>77158437432384</v>
      </c>
      <c r="X216" s="5">
        <v>708556863461396</v>
      </c>
      <c r="Y216" s="5">
        <v>704137808646416</v>
      </c>
      <c r="Z216" s="5">
        <v>669864162368705</v>
      </c>
      <c r="AA216" s="5">
        <v>101310976350614</v>
      </c>
      <c r="AB216" s="5">
        <v>110034501201272</v>
      </c>
      <c r="AC216" s="5">
        <v>106545419832556</v>
      </c>
      <c r="AD216" s="5">
        <v>103643635547742</v>
      </c>
      <c r="AE216" s="5">
        <v>106258078142898</v>
      </c>
      <c r="AF216" s="5">
        <v>104429408036832</v>
      </c>
      <c r="AG216" s="5">
        <v>974064594828672</v>
      </c>
      <c r="AH216" s="5">
        <v>97538672251872</v>
      </c>
      <c r="AI216" s="5">
        <v>972586422903295</v>
      </c>
      <c r="AJ216" s="5">
        <v>959484535134048</v>
      </c>
      <c r="AK216" s="5">
        <v>925102698271814</v>
      </c>
      <c r="AL216" s="5">
        <v>94909226652176</v>
      </c>
      <c r="AM216" s="5">
        <v>977396478076606</v>
      </c>
      <c r="AN216" s="5">
        <v>110617140483115</v>
      </c>
      <c r="AO216" s="5">
        <v>108229271757003</v>
      </c>
    </row>
    <row r="217" spans="1:41" x14ac:dyDescent="0.45">
      <c r="A217" s="1" t="s">
        <v>211</v>
      </c>
      <c r="B217" s="2">
        <v>4972972</v>
      </c>
      <c r="C217" s="3" t="s">
        <v>1011</v>
      </c>
      <c r="D217" s="3" t="s">
        <v>1012</v>
      </c>
      <c r="E217" s="3" t="s">
        <v>533</v>
      </c>
      <c r="F217" s="5">
        <v>14281619863264</v>
      </c>
      <c r="G217" s="5">
        <v>149015857097036</v>
      </c>
      <c r="H217" s="5">
        <v>155985441547937</v>
      </c>
      <c r="I217" s="5">
        <v>161459532983846</v>
      </c>
      <c r="J217" s="5">
        <v>175539811857647</v>
      </c>
      <c r="K217" s="5">
        <v>201269180705361</v>
      </c>
      <c r="L217" s="5">
        <v>218464447562482</v>
      </c>
      <c r="M217" s="5">
        <v>228734576029598</v>
      </c>
      <c r="N217" s="5">
        <v>236434460560426</v>
      </c>
      <c r="O217" s="5">
        <v>235591567094084</v>
      </c>
      <c r="P217" s="5">
        <v>243863604455597</v>
      </c>
      <c r="Q217" s="5">
        <v>287227548241882</v>
      </c>
      <c r="R217" s="5">
        <v>267641710387278</v>
      </c>
      <c r="S217" s="5">
        <v>262892498332402</v>
      </c>
      <c r="T217" s="5">
        <v>21567319195806</v>
      </c>
      <c r="U217" s="5">
        <v>198163792158064</v>
      </c>
      <c r="V217" s="5">
        <v>213369714216604</v>
      </c>
      <c r="W217" s="5">
        <v>189418599011796</v>
      </c>
      <c r="X217" s="5">
        <v>183774682797577</v>
      </c>
      <c r="Y217" s="5">
        <v>181465338585534</v>
      </c>
      <c r="Z217" s="5">
        <v>162483599630163</v>
      </c>
      <c r="AA217" s="5">
        <v>156546639625575</v>
      </c>
      <c r="AB217" s="5">
        <v>150457427601363</v>
      </c>
      <c r="AC217" s="5">
        <v>138442750979985</v>
      </c>
      <c r="AD217" s="5">
        <v>13525226721564</v>
      </c>
      <c r="AE217" s="5">
        <v>129199705869418</v>
      </c>
      <c r="AF217" s="5">
        <v>101758911527741</v>
      </c>
      <c r="AG217" s="5">
        <v>103309997968724</v>
      </c>
      <c r="AH217" s="5">
        <v>981502989226662</v>
      </c>
      <c r="AI217" s="5">
        <v>107046169507587</v>
      </c>
      <c r="AJ217" s="5">
        <v>105313288259551</v>
      </c>
      <c r="AK217" s="5">
        <v>105364360225093</v>
      </c>
      <c r="AL217" s="5">
        <v>10572259960596</v>
      </c>
      <c r="AM217" s="5">
        <v>109822479180829</v>
      </c>
      <c r="AN217" s="5">
        <v>109492908057989</v>
      </c>
      <c r="AO217" s="5">
        <v>117256241046511</v>
      </c>
    </row>
    <row r="218" spans="1:41" x14ac:dyDescent="0.45">
      <c r="A218" s="1" t="s">
        <v>212</v>
      </c>
      <c r="B218" s="2">
        <v>4010641</v>
      </c>
      <c r="C218" s="3" t="s">
        <v>1013</v>
      </c>
      <c r="D218" s="3" t="s">
        <v>1014</v>
      </c>
      <c r="E218" s="3" t="s">
        <v>647</v>
      </c>
      <c r="F218" s="5">
        <v>202571462244076</v>
      </c>
      <c r="G218" s="5">
        <v>190309686335261</v>
      </c>
      <c r="H218" s="5">
        <v>195848868701508</v>
      </c>
      <c r="I218" s="5">
        <v>178761501797512</v>
      </c>
      <c r="J218" s="5">
        <v>165676591760055</v>
      </c>
      <c r="K218" s="5">
        <v>166957225695322</v>
      </c>
      <c r="L218" s="5">
        <v>149191247275607</v>
      </c>
      <c r="M218" s="5">
        <v>148426934834043</v>
      </c>
      <c r="N218" s="5">
        <v>150186608127989</v>
      </c>
      <c r="O218" s="5">
        <v>203761278367419</v>
      </c>
      <c r="P218" s="5">
        <v>22001093788278</v>
      </c>
      <c r="Q218" s="5">
        <v>219922798891764</v>
      </c>
      <c r="R218" s="5">
        <v>230719403801997</v>
      </c>
      <c r="S218" s="5">
        <v>265280436188624</v>
      </c>
      <c r="T218" s="5">
        <v>225549796286181</v>
      </c>
      <c r="U218" s="5">
        <v>229943545522484</v>
      </c>
      <c r="V218" s="5">
        <v>248149579461935</v>
      </c>
      <c r="W218" s="5">
        <v>282896394397848</v>
      </c>
      <c r="X218" s="5">
        <v>279107810238462</v>
      </c>
      <c r="Y218" s="5">
        <v>299595416400196</v>
      </c>
      <c r="Z218" s="5">
        <v>310226768957139</v>
      </c>
      <c r="AA218" s="5">
        <v>324842899721526</v>
      </c>
      <c r="AB218" s="5">
        <v>288777949973545</v>
      </c>
      <c r="AC218" s="5">
        <v>294101516449399</v>
      </c>
      <c r="AD218" s="5">
        <v>292725821921945</v>
      </c>
      <c r="AE218" s="5">
        <v>303895190511398</v>
      </c>
      <c r="AF218" s="5">
        <v>3332752907941</v>
      </c>
      <c r="AG218" s="5">
        <v>343823343146964</v>
      </c>
      <c r="AH218" s="5">
        <v>319951124971868</v>
      </c>
      <c r="AI218" s="5">
        <v>31863522191427</v>
      </c>
      <c r="AJ218" s="5">
        <v>27263283331916</v>
      </c>
      <c r="AK218" s="5">
        <v>242530694492955</v>
      </c>
      <c r="AL218" s="5">
        <v>267724306636475</v>
      </c>
      <c r="AM218" s="5">
        <v>263293038160108</v>
      </c>
      <c r="AN218" s="5">
        <v>30856419334711</v>
      </c>
      <c r="AO218" s="5">
        <v>344615138778084</v>
      </c>
    </row>
    <row r="219" spans="1:41" x14ac:dyDescent="0.45">
      <c r="A219" s="1" t="s">
        <v>213</v>
      </c>
      <c r="B219" s="2">
        <v>4095387</v>
      </c>
      <c r="C219" s="3" t="s">
        <v>1015</v>
      </c>
      <c r="D219" s="3" t="s">
        <v>1016</v>
      </c>
      <c r="E219" s="3" t="s">
        <v>1017</v>
      </c>
      <c r="F219" s="5">
        <v>98010534841062</v>
      </c>
      <c r="G219" s="5">
        <v>999680117726752</v>
      </c>
      <c r="H219" s="5">
        <v>92778928254558</v>
      </c>
      <c r="I219" s="5">
        <v>90656067029157</v>
      </c>
      <c r="J219" s="5">
        <v>973104908986182</v>
      </c>
      <c r="K219" s="5">
        <v>921396109093488</v>
      </c>
      <c r="L219" s="5">
        <v>880821492168059</v>
      </c>
      <c r="M219" s="5">
        <v>823841984362031</v>
      </c>
      <c r="N219" s="5">
        <v>76450876095399</v>
      </c>
      <c r="O219" s="5">
        <v>793801274594843</v>
      </c>
      <c r="P219" s="5">
        <v>873148168486673</v>
      </c>
      <c r="Q219" s="5">
        <v>776295593667115</v>
      </c>
      <c r="R219" s="5">
        <v>753356050241904</v>
      </c>
      <c r="S219" s="5">
        <v>861409677532306</v>
      </c>
      <c r="T219" s="5">
        <v>843219529633614</v>
      </c>
      <c r="U219" s="5">
        <v>903945234800589</v>
      </c>
      <c r="V219" s="5">
        <v>859074877190054</v>
      </c>
      <c r="W219" s="5">
        <v>830323328884896</v>
      </c>
      <c r="X219" s="5">
        <v>76009201632702</v>
      </c>
      <c r="Y219" s="5">
        <v>767402079537503</v>
      </c>
      <c r="Z219" s="5">
        <v>797985828546256</v>
      </c>
      <c r="AA219" s="5">
        <v>726243296143968</v>
      </c>
      <c r="AB219" s="5">
        <v>645703474686292</v>
      </c>
      <c r="AC219" s="5">
        <v>626065180937339</v>
      </c>
      <c r="AD219" s="5">
        <v>641006846256937</v>
      </c>
      <c r="AE219" s="5">
        <v>590487635814203</v>
      </c>
      <c r="AF219" s="5">
        <v>592901841143115</v>
      </c>
      <c r="AG219" s="5">
        <v>866978846472893</v>
      </c>
      <c r="AH219" s="5">
        <v>9210174179616</v>
      </c>
      <c r="AI219" s="5">
        <v>811994412469406</v>
      </c>
      <c r="AJ219" s="5">
        <v>822356472275892</v>
      </c>
      <c r="AK219" s="5">
        <v>771886035025001</v>
      </c>
      <c r="AL219" s="5">
        <v>743708379859099</v>
      </c>
      <c r="AM219" s="5">
        <v>683031060219253</v>
      </c>
      <c r="AN219" s="5">
        <v>716247282222294</v>
      </c>
      <c r="AO219" s="5">
        <v>752413434853232</v>
      </c>
    </row>
    <row r="220" spans="1:41" x14ac:dyDescent="0.45">
      <c r="A220" s="1" t="s">
        <v>214</v>
      </c>
      <c r="B220" s="2">
        <v>4283738</v>
      </c>
      <c r="C220" s="3" t="s">
        <v>1018</v>
      </c>
      <c r="D220" s="3" t="s">
        <v>1019</v>
      </c>
      <c r="E220" s="3" t="s">
        <v>1020</v>
      </c>
      <c r="F220" s="5">
        <v>907355223579618</v>
      </c>
      <c r="G220" s="5">
        <v>100028635416494</v>
      </c>
      <c r="H220" s="5">
        <v>90944981082384</v>
      </c>
      <c r="I220" s="5">
        <v>8499819971331</v>
      </c>
      <c r="J220" s="5">
        <v>80808579790874</v>
      </c>
      <c r="K220" s="5">
        <v>744475318994862</v>
      </c>
      <c r="L220" s="5">
        <v>78477527718135</v>
      </c>
      <c r="M220" s="5">
        <v>808614603781173</v>
      </c>
      <c r="N220" s="5">
        <v>748835986651431</v>
      </c>
      <c r="O220" s="5">
        <v>787118994711409</v>
      </c>
      <c r="P220" s="5">
        <v>73108112847567</v>
      </c>
      <c r="Q220" s="5">
        <v>803981234277081</v>
      </c>
      <c r="R220" s="5">
        <v>734345996173335</v>
      </c>
      <c r="S220" s="5">
        <v>785573386793636</v>
      </c>
      <c r="T220" s="5">
        <v>83689245323334</v>
      </c>
      <c r="U220" s="5">
        <v>94043309381643</v>
      </c>
      <c r="V220" s="5">
        <v>923007405915465</v>
      </c>
      <c r="W220" s="5">
        <v>865728717777</v>
      </c>
      <c r="X220" s="5">
        <v>785351063193984</v>
      </c>
      <c r="Y220" s="5">
        <v>820533593994975</v>
      </c>
      <c r="Z220" s="5">
        <v>766329862551254</v>
      </c>
      <c r="AA220" s="5">
        <v>816724571563038</v>
      </c>
      <c r="AB220" s="5">
        <v>76269170855229</v>
      </c>
      <c r="AC220" s="5">
        <v>75219732308864</v>
      </c>
      <c r="AD220" s="5">
        <v>655458998087168</v>
      </c>
      <c r="AE220" s="5">
        <v>614723476100096</v>
      </c>
      <c r="AF220" s="5">
        <v>57290521799808</v>
      </c>
      <c r="AG220" s="5">
        <v>63210529065152</v>
      </c>
      <c r="AH220" s="5">
        <v>695393351528</v>
      </c>
      <c r="AI220" s="5">
        <v>680977456547873</v>
      </c>
      <c r="AJ220" s="5">
        <v>764714321300088</v>
      </c>
      <c r="AK220" s="5">
        <v>681917389869539</v>
      </c>
      <c r="AL220" s="5">
        <v>716455854505274</v>
      </c>
      <c r="AM220" s="5">
        <v>672872139067115</v>
      </c>
      <c r="AN220" s="5">
        <v>6351667681536</v>
      </c>
      <c r="AO220" s="5">
        <v>663940235595483</v>
      </c>
    </row>
    <row r="221" spans="1:41" x14ac:dyDescent="0.45">
      <c r="A221" s="1" t="s">
        <v>215</v>
      </c>
      <c r="B221" s="2">
        <v>102953</v>
      </c>
      <c r="C221" s="3" t="s">
        <v>1021</v>
      </c>
      <c r="D221" s="3" t="s">
        <v>1022</v>
      </c>
      <c r="E221" s="3" t="s">
        <v>539</v>
      </c>
      <c r="F221" s="5">
        <v>951757132912553</v>
      </c>
      <c r="G221" s="5">
        <v>10943669521506</v>
      </c>
      <c r="H221" s="5">
        <v>108152608629109</v>
      </c>
      <c r="I221" s="5">
        <v>113422244096949</v>
      </c>
      <c r="J221" s="5">
        <v>106579756758564</v>
      </c>
      <c r="K221" s="5">
        <v>102910852794574</v>
      </c>
      <c r="L221" s="5">
        <v>103582924384151</v>
      </c>
      <c r="M221" s="5">
        <v>106595755213599</v>
      </c>
      <c r="N221" s="5">
        <v>109240899075947</v>
      </c>
      <c r="O221" s="5">
        <v>130690175782991</v>
      </c>
      <c r="P221" s="5">
        <v>137563316404151</v>
      </c>
      <c r="Q221" s="5">
        <v>139028183013813</v>
      </c>
      <c r="R221" s="5">
        <v>136942493011443</v>
      </c>
      <c r="S221" s="5">
        <v>145778759003614</v>
      </c>
      <c r="T221" s="5">
        <v>144619977831446</v>
      </c>
      <c r="U221" s="5">
        <v>143391396725922</v>
      </c>
      <c r="V221" s="5">
        <v>140860703056141</v>
      </c>
      <c r="W221" s="5">
        <v>140988897158155</v>
      </c>
      <c r="X221" s="5">
        <v>128740500621029</v>
      </c>
      <c r="Y221" s="5">
        <v>129142430244816</v>
      </c>
      <c r="Z221" s="5">
        <v>122486641767332</v>
      </c>
      <c r="AA221" s="5">
        <v>123173771956537</v>
      </c>
      <c r="AB221" s="5">
        <v>847867792010277</v>
      </c>
      <c r="AC221" s="5">
        <v>93284109935133</v>
      </c>
      <c r="AD221" s="5">
        <v>979977572766324</v>
      </c>
      <c r="AE221" s="5">
        <v>868792807016263</v>
      </c>
      <c r="AF221" s="5">
        <v>805188137274855</v>
      </c>
      <c r="AG221" s="5">
        <v>948949252431206</v>
      </c>
      <c r="AH221" s="5">
        <v>103802238217709</v>
      </c>
      <c r="AI221" s="5">
        <v>108363478401281</v>
      </c>
      <c r="AJ221" s="5">
        <v>100710657723576</v>
      </c>
      <c r="AK221" s="5">
        <v>10244391201389</v>
      </c>
      <c r="AL221" s="5">
        <v>108890524201287</v>
      </c>
      <c r="AM221" s="5">
        <v>110608410080563</v>
      </c>
      <c r="AN221" s="5">
        <v>123925631108807</v>
      </c>
      <c r="AO221" s="5">
        <v>136002150267604</v>
      </c>
    </row>
    <row r="222" spans="1:41" x14ac:dyDescent="0.45">
      <c r="A222" s="1" t="s">
        <v>216</v>
      </c>
      <c r="B222" s="2">
        <v>4811795</v>
      </c>
      <c r="C222" s="3" t="s">
        <v>1023</v>
      </c>
      <c r="D222" s="3" t="s">
        <v>1024</v>
      </c>
      <c r="E222" s="3" t="s">
        <v>710</v>
      </c>
      <c r="F222" s="5">
        <v>75781207656532</v>
      </c>
      <c r="G222" s="5">
        <v>757078439113058</v>
      </c>
      <c r="H222" s="5">
        <v>66448291073712</v>
      </c>
      <c r="I222" s="5">
        <v>68598077811941</v>
      </c>
      <c r="J222" s="5">
        <v>721352235306492</v>
      </c>
      <c r="K222" s="5">
        <v>719844891420798</v>
      </c>
      <c r="L222" s="5">
        <v>757120832925795</v>
      </c>
      <c r="M222" s="5">
        <v>75079277979271</v>
      </c>
      <c r="N222" s="5">
        <v>701559255193898</v>
      </c>
      <c r="O222" s="5">
        <v>786870362443439</v>
      </c>
      <c r="P222" s="5">
        <v>861322277549245</v>
      </c>
      <c r="Q222" s="5">
        <v>9596469836592</v>
      </c>
      <c r="R222" s="5">
        <v>833373260172232</v>
      </c>
      <c r="S222" s="5">
        <v>910522429141906</v>
      </c>
      <c r="T222" s="5">
        <v>819569231459217</v>
      </c>
      <c r="U222" s="5">
        <v>828189289732986</v>
      </c>
      <c r="V222" s="5">
        <v>808196256190474</v>
      </c>
      <c r="W222" s="5">
        <v>851187399162408</v>
      </c>
      <c r="X222" s="5">
        <v>766058748103179</v>
      </c>
      <c r="Y222" s="5">
        <v>81873742066244</v>
      </c>
      <c r="Z222" s="5">
        <v>832596983376166</v>
      </c>
      <c r="AA222" s="5">
        <v>89846593079831</v>
      </c>
      <c r="AB222" s="5">
        <v>909080259026844</v>
      </c>
      <c r="AC222" s="5">
        <v>896315040045355</v>
      </c>
      <c r="AD222" s="5">
        <v>890010548684542</v>
      </c>
      <c r="AE222" s="5">
        <v>795024322030132</v>
      </c>
      <c r="AF222" s="5">
        <v>803141859499344</v>
      </c>
      <c r="AG222" s="5">
        <v>91606919472288</v>
      </c>
      <c r="AH222" s="5">
        <v>921533898728896</v>
      </c>
      <c r="AI222" s="5">
        <v>936594894993529</v>
      </c>
      <c r="AJ222" s="5">
        <v>97319134688952</v>
      </c>
      <c r="AK222" s="5">
        <v>908381049786474</v>
      </c>
      <c r="AL222" s="5">
        <v>960636865832202</v>
      </c>
      <c r="AM222" s="5">
        <v>985275113117724</v>
      </c>
      <c r="AN222" s="5">
        <v>96845249601903</v>
      </c>
      <c r="AO222" s="5">
        <v>107514038958604</v>
      </c>
    </row>
    <row r="223" spans="1:41" x14ac:dyDescent="0.45">
      <c r="A223" s="1" t="s">
        <v>217</v>
      </c>
      <c r="B223" s="2">
        <v>4641383</v>
      </c>
      <c r="C223" s="3" t="s">
        <v>1025</v>
      </c>
      <c r="D223" s="3" t="s">
        <v>1026</v>
      </c>
      <c r="E223" s="3" t="s">
        <v>600</v>
      </c>
      <c r="F223" s="5">
        <v>273016580798116</v>
      </c>
      <c r="G223" s="5">
        <v>248857359509627</v>
      </c>
      <c r="H223" s="5">
        <v>279355814356727</v>
      </c>
      <c r="I223" s="5">
        <v>276193725894143</v>
      </c>
      <c r="J223" s="5">
        <v>253193224239527</v>
      </c>
      <c r="K223" s="5">
        <v>237343037376328</v>
      </c>
      <c r="L223" s="5">
        <v>228498402287935</v>
      </c>
      <c r="M223" s="5">
        <v>200043044312348</v>
      </c>
      <c r="N223" s="5">
        <v>187793191583232</v>
      </c>
      <c r="O223" s="5">
        <v>18752427584512</v>
      </c>
      <c r="P223" s="5">
        <v>250065057042162</v>
      </c>
      <c r="Q223" s="5">
        <v>268155802268259</v>
      </c>
      <c r="R223" s="5">
        <v>27124770515236</v>
      </c>
      <c r="S223" s="5">
        <v>261192340468579</v>
      </c>
      <c r="T223" s="5">
        <v>233114786839553</v>
      </c>
      <c r="U223" s="5">
        <v>238233437333426</v>
      </c>
      <c r="V223" s="5">
        <v>227604202679936</v>
      </c>
      <c r="W223" s="5">
        <v>239098812004668</v>
      </c>
      <c r="X223" s="5">
        <v>256788937814025</v>
      </c>
      <c r="Y223" s="5">
        <v>211547971021676</v>
      </c>
      <c r="Z223" s="5">
        <v>206651971128288</v>
      </c>
      <c r="AA223" s="5">
        <v>213359529327177</v>
      </c>
      <c r="AB223" s="5">
        <v>183136418583918</v>
      </c>
      <c r="AC223" s="5">
        <v>183153925101923</v>
      </c>
      <c r="AD223" s="5">
        <v>199646377091772</v>
      </c>
      <c r="AE223" s="5">
        <v>198905339549921</v>
      </c>
      <c r="AF223" s="5">
        <v>186748798014852</v>
      </c>
      <c r="AG223" s="5">
        <v>210533186876995</v>
      </c>
      <c r="AH223" s="5">
        <v>2009791274</v>
      </c>
      <c r="AI223" s="5">
        <v>203680314611311</v>
      </c>
      <c r="AJ223" s="5">
        <v>198749143374432</v>
      </c>
      <c r="AK223" s="5">
        <v>175334782967763</v>
      </c>
      <c r="AL223" s="5">
        <v>168143565246908</v>
      </c>
      <c r="AM223" s="5">
        <v>189999951109638</v>
      </c>
      <c r="AN223" s="5">
        <v>190691458316457</v>
      </c>
      <c r="AO223" s="5">
        <v>190361223361642</v>
      </c>
    </row>
    <row r="224" spans="1:41" x14ac:dyDescent="0.45">
      <c r="A224" s="1" t="s">
        <v>218</v>
      </c>
      <c r="B224" s="2">
        <v>4019144</v>
      </c>
      <c r="C224" s="3" t="s">
        <v>1027</v>
      </c>
      <c r="D224" s="3" t="s">
        <v>1028</v>
      </c>
      <c r="E224" s="3" t="s">
        <v>530</v>
      </c>
      <c r="F224" s="5">
        <v>56865455120912</v>
      </c>
      <c r="G224" s="5">
        <v>571348584027588</v>
      </c>
      <c r="H224" s="5">
        <v>517829104013971</v>
      </c>
      <c r="I224" s="5">
        <v>520062101213121</v>
      </c>
      <c r="J224" s="5">
        <v>555065945137236</v>
      </c>
      <c r="K224" s="5">
        <v>551189580481666</v>
      </c>
      <c r="L224" s="5">
        <v>539075689548334</v>
      </c>
      <c r="M224" s="5">
        <v>520443980815546</v>
      </c>
      <c r="N224" s="5">
        <v>47239987247549</v>
      </c>
      <c r="O224" s="5">
        <v>506526071036459</v>
      </c>
      <c r="P224" s="5">
        <v>612686388263121</v>
      </c>
      <c r="Q224" s="5">
        <v>600587989848603</v>
      </c>
      <c r="R224" s="5">
        <v>581980026163423</v>
      </c>
      <c r="S224" s="5">
        <v>585584525121362</v>
      </c>
      <c r="T224" s="5">
        <v>527288041314111</v>
      </c>
      <c r="U224" s="5">
        <v>509281763567311</v>
      </c>
      <c r="V224" s="5">
        <v>489346363416708</v>
      </c>
      <c r="W224" s="5">
        <v>495979046481442</v>
      </c>
      <c r="X224" s="5">
        <v>509208933083551</v>
      </c>
      <c r="Y224" s="5">
        <v>462518333885695</v>
      </c>
      <c r="Z224" s="5">
        <v>461325604215813</v>
      </c>
      <c r="AA224" s="5">
        <v>497972637755622</v>
      </c>
      <c r="AB224" s="5">
        <v>476624814036318</v>
      </c>
      <c r="AC224" s="5">
        <v>451355021204688</v>
      </c>
      <c r="AD224" s="5">
        <v>42245161134851</v>
      </c>
      <c r="AE224" s="5">
        <v>393889969744418</v>
      </c>
      <c r="AF224" s="5">
        <v>367794750478592</v>
      </c>
      <c r="AG224" s="5">
        <v>371061766166082</v>
      </c>
      <c r="AH224" s="5">
        <v>358418202421998</v>
      </c>
      <c r="AI224" s="5">
        <v>368973742479983</v>
      </c>
      <c r="AJ224" s="5">
        <v>35281015227033</v>
      </c>
      <c r="AK224" s="5">
        <v>337984704688429</v>
      </c>
      <c r="AL224" s="5">
        <v>345328424464113</v>
      </c>
      <c r="AM224" s="5">
        <v>345471265966807</v>
      </c>
      <c r="AN224" s="5">
        <v>362715078982709</v>
      </c>
      <c r="AO224" s="5">
        <v>361286947504622</v>
      </c>
    </row>
    <row r="225" spans="1:41" x14ac:dyDescent="0.45">
      <c r="A225" s="1" t="s">
        <v>219</v>
      </c>
      <c r="B225" s="2">
        <v>4121346</v>
      </c>
      <c r="C225" s="3" t="s">
        <v>1029</v>
      </c>
      <c r="D225" s="3" t="s">
        <v>1030</v>
      </c>
      <c r="E225" s="3" t="s">
        <v>500</v>
      </c>
      <c r="F225" s="5">
        <v>105491685844607</v>
      </c>
      <c r="G225" s="5">
        <v>10522916188876</v>
      </c>
      <c r="H225" s="5">
        <v>110821536655617</v>
      </c>
      <c r="I225" s="5">
        <v>113906252526342</v>
      </c>
      <c r="J225" s="5">
        <v>119138689052409</v>
      </c>
      <c r="K225" s="5">
        <v>123410158840164</v>
      </c>
      <c r="L225" s="5">
        <v>127442298464504</v>
      </c>
      <c r="M225" s="5">
        <v>128385082800544</v>
      </c>
      <c r="N225" s="5">
        <v>119239980716442</v>
      </c>
      <c r="O225" s="5">
        <v>127100802763381</v>
      </c>
      <c r="P225" s="5">
        <v>132978911185849</v>
      </c>
      <c r="Q225" s="5">
        <v>139959904121549</v>
      </c>
      <c r="R225" s="5">
        <v>141875623287414</v>
      </c>
      <c r="S225" s="5">
        <v>143555799443339</v>
      </c>
      <c r="T225" s="5">
        <v>123177193510046</v>
      </c>
      <c r="U225" s="5">
        <v>120407582362043</v>
      </c>
      <c r="V225" s="5">
        <v>122119625143487</v>
      </c>
      <c r="W225" s="5">
        <v>1229106446568</v>
      </c>
      <c r="X225" s="5">
        <v>12977924234447</v>
      </c>
      <c r="Y225" s="5">
        <v>121406635681227</v>
      </c>
      <c r="Z225" s="5">
        <v>117370390562442</v>
      </c>
      <c r="AA225" s="5">
        <v>123927881398055</v>
      </c>
      <c r="AB225" s="5">
        <v>119900445445503</v>
      </c>
      <c r="AC225" s="5">
        <v>122899510494939</v>
      </c>
      <c r="AD225" s="5">
        <v>125076089124916</v>
      </c>
      <c r="AE225" s="5">
        <v>118427158081547</v>
      </c>
      <c r="AF225" s="5">
        <v>1143507094129</v>
      </c>
      <c r="AG225" s="5">
        <v>11588939015311</v>
      </c>
      <c r="AH225" s="5">
        <v>115051688604014</v>
      </c>
      <c r="AI225" s="5">
        <v>116959171453574</v>
      </c>
      <c r="AJ225" s="5">
        <v>12647846085657</v>
      </c>
      <c r="AK225" s="5">
        <v>119630031829544</v>
      </c>
      <c r="AL225" s="5">
        <v>120492925422668</v>
      </c>
      <c r="AM225" s="5">
        <v>117530445751246</v>
      </c>
      <c r="AN225" s="5">
        <v>120515236716688</v>
      </c>
      <c r="AO225" s="5">
        <v>12905059583042</v>
      </c>
    </row>
    <row r="226" spans="1:41" x14ac:dyDescent="0.45">
      <c r="A226" s="1" t="s">
        <v>220</v>
      </c>
      <c r="B226" s="2">
        <v>4068867</v>
      </c>
      <c r="C226" s="3" t="s">
        <v>1031</v>
      </c>
      <c r="D226" s="3" t="s">
        <v>1032</v>
      </c>
      <c r="E226" s="3" t="s">
        <v>788</v>
      </c>
      <c r="F226" s="5">
        <v>111040752806905</v>
      </c>
      <c r="G226" s="5">
        <v>110089358344516</v>
      </c>
      <c r="H226" s="5">
        <v>102951621680635</v>
      </c>
      <c r="I226" s="5">
        <v>115972130583916</v>
      </c>
      <c r="J226" s="5">
        <v>11961726719856</v>
      </c>
      <c r="K226" s="5">
        <v>135033643981797</v>
      </c>
      <c r="L226" s="5">
        <v>141641160866384</v>
      </c>
      <c r="M226" s="5">
        <v>148682060674453</v>
      </c>
      <c r="N226" s="5">
        <v>144923170636039</v>
      </c>
      <c r="O226" s="5">
        <v>157416236809257</v>
      </c>
      <c r="P226" s="5">
        <v>151315535018788</v>
      </c>
      <c r="Q226" s="5">
        <v>158355958610409</v>
      </c>
      <c r="R226" s="5">
        <v>166352469072569</v>
      </c>
      <c r="S226" s="5">
        <v>168551370052003</v>
      </c>
      <c r="T226" s="5">
        <v>154290603841744</v>
      </c>
      <c r="U226" s="5">
        <v>155857114192142</v>
      </c>
      <c r="V226" s="5">
        <v>161357803193017</v>
      </c>
      <c r="W226" s="5">
        <v>162680233533418</v>
      </c>
      <c r="X226" s="5">
        <v>156027518199107</v>
      </c>
      <c r="Y226" s="5">
        <v>156632523842867</v>
      </c>
      <c r="Z226" s="5">
        <v>182137403599455</v>
      </c>
      <c r="AA226" s="5">
        <v>176909451823656</v>
      </c>
      <c r="AB226" s="5">
        <v>178954352933635</v>
      </c>
      <c r="AC226" s="5">
        <v>153071627059136</v>
      </c>
      <c r="AD226" s="5">
        <v>158856582390754</v>
      </c>
      <c r="AE226" s="5">
        <v>153276871948149</v>
      </c>
      <c r="AF226" s="5">
        <v>168363052185841</v>
      </c>
      <c r="AG226" s="5">
        <v>196354739780989</v>
      </c>
      <c r="AH226" s="5">
        <v>194437880671572</v>
      </c>
      <c r="AI226" s="5">
        <v>202635529678196</v>
      </c>
      <c r="AJ226" s="5">
        <v>201253514788114</v>
      </c>
      <c r="AK226" s="5">
        <v>196150529431469</v>
      </c>
      <c r="AL226" s="5">
        <v>200264331930853</v>
      </c>
      <c r="AM226" s="5">
        <v>200607926248885</v>
      </c>
      <c r="AN226" s="5">
        <v>228437879973962</v>
      </c>
      <c r="AO226" s="5">
        <v>227951327478899</v>
      </c>
    </row>
    <row r="227" spans="1:41" x14ac:dyDescent="0.45">
      <c r="A227" s="1" t="s">
        <v>221</v>
      </c>
      <c r="B227" s="2">
        <v>4041118</v>
      </c>
      <c r="C227" s="3" t="s">
        <v>1033</v>
      </c>
      <c r="D227" s="3" t="s">
        <v>1034</v>
      </c>
      <c r="E227" s="3" t="s">
        <v>1035</v>
      </c>
      <c r="F227" s="5">
        <v>103845519720573</v>
      </c>
      <c r="G227" s="5">
        <v>104557078903459</v>
      </c>
      <c r="H227" s="5">
        <v>954951679712052</v>
      </c>
      <c r="I227" s="5">
        <v>997359736952819</v>
      </c>
      <c r="J227" s="5">
        <v>101157007941819</v>
      </c>
      <c r="K227" s="5">
        <v>94479165</v>
      </c>
      <c r="L227" s="5">
        <v>907311868699392</v>
      </c>
      <c r="M227" s="5">
        <v>947012937013355</v>
      </c>
      <c r="N227" s="5">
        <v>869271057409903</v>
      </c>
      <c r="O227" s="5">
        <v>919122196960346</v>
      </c>
      <c r="P227" s="5">
        <v>108379338796992</v>
      </c>
      <c r="Q227" s="5">
        <v>112380776380523</v>
      </c>
      <c r="R227" s="5">
        <v>118293704232556</v>
      </c>
      <c r="S227" s="5">
        <v>122039858034264</v>
      </c>
      <c r="T227" s="5">
        <v>111533762765968</v>
      </c>
      <c r="U227" s="5">
        <v>11084621413279</v>
      </c>
      <c r="V227" s="5">
        <v>112408511757483</v>
      </c>
      <c r="W227" s="5">
        <v>11362680252</v>
      </c>
      <c r="X227" s="5">
        <v>118311580709144</v>
      </c>
      <c r="Y227" s="5">
        <v>116631742555475</v>
      </c>
      <c r="Z227" s="5">
        <v>12416971657061</v>
      </c>
      <c r="AA227" s="5">
        <v>134712222844236</v>
      </c>
      <c r="AB227" s="5">
        <v>135000918872058</v>
      </c>
      <c r="AC227" s="5">
        <v>124968688699189</v>
      </c>
      <c r="AD227" s="5">
        <v>124259265968071</v>
      </c>
      <c r="AE227" s="5">
        <v>112998614794099</v>
      </c>
      <c r="AF227" s="5">
        <v>10426306495667</v>
      </c>
      <c r="AG227" s="5">
        <v>108042512288642</v>
      </c>
      <c r="AH227" s="5">
        <v>103598141364274</v>
      </c>
      <c r="AI227" s="5">
        <v>118749896443547</v>
      </c>
      <c r="AJ227" s="5">
        <v>109646868114868</v>
      </c>
      <c r="AK227" s="5">
        <v>110781297138233</v>
      </c>
      <c r="AL227" s="5">
        <v>10453636120963</v>
      </c>
      <c r="AM227" s="5">
        <v>108287541554408</v>
      </c>
      <c r="AN227" s="5">
        <v>11291234132808</v>
      </c>
      <c r="AO227" s="5">
        <v>124094462225684</v>
      </c>
    </row>
    <row r="228" spans="1:41" x14ac:dyDescent="0.45">
      <c r="A228" s="1" t="s">
        <v>222</v>
      </c>
      <c r="B228" s="2">
        <v>6661591</v>
      </c>
      <c r="C228" s="3" t="s">
        <v>1036</v>
      </c>
      <c r="D228" s="3" t="s">
        <v>1037</v>
      </c>
      <c r="E228" s="3" t="s">
        <v>644</v>
      </c>
      <c r="F228" s="5">
        <v>702063165803779</v>
      </c>
      <c r="G228" s="5">
        <v>70939228640657</v>
      </c>
      <c r="H228" s="5">
        <v>717916947186663</v>
      </c>
      <c r="I228" s="5">
        <v>674215990409329</v>
      </c>
      <c r="J228" s="5">
        <v>60000551795205</v>
      </c>
      <c r="K228" s="5">
        <v>633532905275727</v>
      </c>
      <c r="L228" s="5">
        <v>639781789657911</v>
      </c>
      <c r="M228" s="5">
        <v>604397182683095</v>
      </c>
      <c r="N228" s="5">
        <v>494029850868988</v>
      </c>
      <c r="O228" s="5">
        <v>486133122499077</v>
      </c>
      <c r="P228" s="5">
        <v>531738917352889</v>
      </c>
      <c r="Q228" s="5">
        <v>494754854255991</v>
      </c>
      <c r="R228" s="5">
        <v>429175711842535</v>
      </c>
      <c r="S228" s="5">
        <v>45582673948806</v>
      </c>
      <c r="T228" s="5">
        <v>374850496576868</v>
      </c>
      <c r="U228" s="5">
        <v>36685910845579</v>
      </c>
      <c r="V228" s="5">
        <v>356680568785917</v>
      </c>
      <c r="W228" s="5">
        <v>360910983878676</v>
      </c>
      <c r="X228" s="5">
        <v>295737402179613</v>
      </c>
      <c r="Y228" s="5">
        <v>318610721525911</v>
      </c>
      <c r="Z228" s="5">
        <v>254931197028648</v>
      </c>
      <c r="AA228" s="5">
        <v>259937595881556</v>
      </c>
      <c r="AB228" s="5">
        <v>252605104467937</v>
      </c>
      <c r="AC228" s="5">
        <v>213509384210621</v>
      </c>
      <c r="AD228" s="5">
        <v>201599769354929</v>
      </c>
      <c r="AE228" s="5">
        <v>198579937444048</v>
      </c>
      <c r="AF228" s="5">
        <v>172059045292228</v>
      </c>
      <c r="AG228" s="5">
        <v>18012331149933</v>
      </c>
      <c r="AH228" s="5">
        <v>188014408374073</v>
      </c>
      <c r="AI228" s="5">
        <v>191785372902224</v>
      </c>
      <c r="AJ228" s="5">
        <v>187621564934597</v>
      </c>
      <c r="AK228" s="5">
        <v>165780642352817</v>
      </c>
      <c r="AL228" s="5">
        <v>165261847878643</v>
      </c>
      <c r="AM228" s="5">
        <v>160592725142059</v>
      </c>
      <c r="AN228" s="5">
        <v>163814655958474</v>
      </c>
      <c r="AO228" s="5">
        <v>154990111226375</v>
      </c>
    </row>
    <row r="229" spans="1:41" x14ac:dyDescent="0.45">
      <c r="A229" s="1" t="s">
        <v>223</v>
      </c>
      <c r="B229" s="2">
        <v>105223</v>
      </c>
      <c r="C229" s="3" t="s">
        <v>1038</v>
      </c>
      <c r="D229" s="3" t="s">
        <v>1039</v>
      </c>
      <c r="E229" s="3" t="s">
        <v>600</v>
      </c>
      <c r="F229" s="5">
        <v>174195604783671</v>
      </c>
      <c r="G229" s="5">
        <v>196846415193046</v>
      </c>
      <c r="H229" s="5">
        <v>224233945882864</v>
      </c>
      <c r="I229" s="5">
        <v>216926811345468</v>
      </c>
      <c r="J229" s="5">
        <v>228056465184639</v>
      </c>
      <c r="K229" s="5">
        <v>203635862787005</v>
      </c>
      <c r="L229" s="5">
        <v>195628843283918</v>
      </c>
      <c r="M229" s="5">
        <v>206117515657969</v>
      </c>
      <c r="N229" s="5">
        <v>212460733603785</v>
      </c>
      <c r="O229" s="5">
        <v>241509090469089</v>
      </c>
      <c r="P229" s="5">
        <v>279692041717765</v>
      </c>
      <c r="Q229" s="5">
        <v>29323294058682</v>
      </c>
      <c r="R229" s="5">
        <v>295568685273943</v>
      </c>
      <c r="S229" s="5">
        <v>323621775900806</v>
      </c>
      <c r="T229" s="5">
        <v>315269869790621</v>
      </c>
      <c r="U229" s="5">
        <v>309941686097866</v>
      </c>
      <c r="V229" s="5">
        <v>315235349419061</v>
      </c>
      <c r="W229" s="5">
        <v>326321830838758</v>
      </c>
      <c r="X229" s="5">
        <v>319834039497153</v>
      </c>
      <c r="Y229" s="5">
        <v>329350374901469</v>
      </c>
      <c r="Z229" s="5">
        <v>257044762442128</v>
      </c>
      <c r="AA229" s="5">
        <v>27375632251883</v>
      </c>
      <c r="AB229" s="5">
        <v>256441186263943</v>
      </c>
      <c r="AC229" s="5">
        <v>262212675417551</v>
      </c>
      <c r="AD229" s="5">
        <v>269747656184139</v>
      </c>
      <c r="AE229" s="5">
        <v>265862542840513</v>
      </c>
      <c r="AF229" s="5">
        <v>24628986994817</v>
      </c>
      <c r="AG229" s="5">
        <v>239965098054086</v>
      </c>
      <c r="AH229" s="5">
        <v>270079211674787</v>
      </c>
      <c r="AI229" s="5">
        <v>293715754506054</v>
      </c>
      <c r="AJ229" s="5">
        <v>27735300431021</v>
      </c>
      <c r="AK229" s="5">
        <v>268840633885258</v>
      </c>
      <c r="AL229" s="5">
        <v>265252595782269</v>
      </c>
      <c r="AM229" s="5">
        <v>266173966218467</v>
      </c>
      <c r="AN229" s="5">
        <v>273998456517629</v>
      </c>
      <c r="AO229" s="5">
        <v>263501840257516</v>
      </c>
    </row>
    <row r="230" spans="1:41" x14ac:dyDescent="0.45">
      <c r="A230" s="1" t="s">
        <v>224</v>
      </c>
      <c r="B230" s="2">
        <v>4992018</v>
      </c>
      <c r="C230" s="3" t="s">
        <v>1040</v>
      </c>
      <c r="D230" s="3" t="s">
        <v>1041</v>
      </c>
      <c r="E230" s="3" t="s">
        <v>582</v>
      </c>
      <c r="F230" s="5">
        <v>201019220359902</v>
      </c>
      <c r="G230" s="5">
        <v>197733144824625</v>
      </c>
      <c r="H230" s="5">
        <v>2165595499248</v>
      </c>
      <c r="I230" s="5">
        <v>194892690395989</v>
      </c>
      <c r="J230" s="5">
        <v>195796143882202</v>
      </c>
      <c r="K230" s="5">
        <v>203231315922451</v>
      </c>
      <c r="L230" s="5">
        <v>185609131476434</v>
      </c>
      <c r="M230" s="5">
        <v>183247788571161</v>
      </c>
      <c r="N230" s="5">
        <v>171491993005559</v>
      </c>
      <c r="O230" s="5">
        <v>164019088017336</v>
      </c>
      <c r="P230" s="5">
        <v>191666127504734</v>
      </c>
      <c r="Q230" s="5">
        <v>218427284509486</v>
      </c>
      <c r="R230" s="5">
        <v>217154181517822</v>
      </c>
      <c r="S230" s="5">
        <v>234042935225828</v>
      </c>
      <c r="T230" s="5">
        <v>211083387108519</v>
      </c>
      <c r="U230" s="5">
        <v>206166233593073</v>
      </c>
      <c r="V230" s="5">
        <v>19409288890895</v>
      </c>
      <c r="W230" s="5">
        <v>19624706597958</v>
      </c>
      <c r="X230" s="5">
        <v>183124269327165</v>
      </c>
      <c r="Y230" s="5">
        <v>192515552729476</v>
      </c>
      <c r="Z230" s="5">
        <v>186016336452827</v>
      </c>
      <c r="AA230" s="5">
        <v>206277817573199</v>
      </c>
      <c r="AB230" s="5">
        <v>188851517573151</v>
      </c>
      <c r="AC230" s="5">
        <v>165850249302615</v>
      </c>
      <c r="AD230" s="5">
        <v>159570089501105</v>
      </c>
      <c r="AE230" s="5">
        <v>147498172935</v>
      </c>
      <c r="AF230" s="5">
        <v>137107504695444</v>
      </c>
      <c r="AG230" s="5">
        <v>158806677053643</v>
      </c>
      <c r="AH230" s="5">
        <v>161224541309896</v>
      </c>
      <c r="AI230" s="5">
        <v>151834125825408</v>
      </c>
      <c r="AJ230" s="5">
        <v>162753221809901</v>
      </c>
      <c r="AK230" s="5">
        <v>142026917358395</v>
      </c>
      <c r="AL230" s="5">
        <v>130772590258829</v>
      </c>
      <c r="AM230" s="5">
        <v>119984863827896</v>
      </c>
      <c r="AN230" s="5">
        <v>127006967228026</v>
      </c>
      <c r="AO230" s="5">
        <v>113189028720003</v>
      </c>
    </row>
    <row r="231" spans="1:41" x14ac:dyDescent="0.45">
      <c r="A231" s="1" t="s">
        <v>225</v>
      </c>
      <c r="B231" s="2">
        <v>111564</v>
      </c>
      <c r="C231" s="3" t="s">
        <v>1042</v>
      </c>
      <c r="D231" s="3" t="s">
        <v>1043</v>
      </c>
      <c r="E231" s="3" t="s">
        <v>733</v>
      </c>
      <c r="F231" s="5">
        <v>262370791903556</v>
      </c>
      <c r="G231" s="5">
        <v>254921230818433</v>
      </c>
      <c r="H231" s="5">
        <v>290084478230379</v>
      </c>
      <c r="I231" s="5">
        <v>266694208508887</v>
      </c>
      <c r="J231" s="5">
        <v>312224360026409</v>
      </c>
      <c r="K231" s="5">
        <v>262717376313079</v>
      </c>
      <c r="L231" s="5">
        <v>25125330363952</v>
      </c>
      <c r="M231" s="5">
        <v>247973758983148</v>
      </c>
      <c r="N231" s="5">
        <v>278968889775576</v>
      </c>
      <c r="O231" s="5">
        <v>295465124440534</v>
      </c>
      <c r="P231" s="5">
        <v>313556470131159</v>
      </c>
      <c r="Q231" s="5">
        <v>33970036641601</v>
      </c>
      <c r="R231" s="5">
        <v>295078217740407</v>
      </c>
      <c r="S231" s="5">
        <v>338246256159786</v>
      </c>
      <c r="T231" s="5">
        <v>285930496970005</v>
      </c>
      <c r="U231" s="5">
        <v>341927574194685</v>
      </c>
      <c r="V231" s="5">
        <v>385858820819791</v>
      </c>
      <c r="W231" s="5">
        <v>4022952284201</v>
      </c>
      <c r="X231" s="5">
        <v>420218906144911</v>
      </c>
      <c r="Y231" s="5">
        <v>39792015157257</v>
      </c>
      <c r="Z231" s="5">
        <v>340431848407507</v>
      </c>
      <c r="AA231" s="5">
        <v>386953495930932</v>
      </c>
      <c r="AB231" s="5">
        <v>391014508394211</v>
      </c>
      <c r="AC231" s="5">
        <v>425899952747864</v>
      </c>
      <c r="AD231" s="5">
        <v>50990085048879</v>
      </c>
      <c r="AE231" s="5">
        <v>547311030657965</v>
      </c>
      <c r="AF231" s="5">
        <v>614171790714488</v>
      </c>
      <c r="AG231" s="5">
        <v>56955484227048</v>
      </c>
      <c r="AH231" s="5">
        <v>52737545308305</v>
      </c>
      <c r="AI231" s="5">
        <v>517931412480248</v>
      </c>
      <c r="AJ231" s="5">
        <v>511738561331735</v>
      </c>
      <c r="AK231" s="5">
        <v>588371750454173</v>
      </c>
      <c r="AL231" s="5">
        <v>600581835065431</v>
      </c>
      <c r="AM231" s="5">
        <v>55840940904601</v>
      </c>
      <c r="AN231" s="5">
        <v>582768829283801</v>
      </c>
      <c r="AO231" s="5">
        <v>596442190708564</v>
      </c>
    </row>
    <row r="232" spans="1:41" x14ac:dyDescent="0.45">
      <c r="A232" s="1" t="s">
        <v>226</v>
      </c>
      <c r="B232" s="2">
        <v>100307</v>
      </c>
      <c r="C232" s="3" t="s">
        <v>1044</v>
      </c>
      <c r="D232" s="3" t="s">
        <v>1045</v>
      </c>
      <c r="E232" s="3" t="s">
        <v>653</v>
      </c>
      <c r="F232" s="5">
        <v>231687858407009</v>
      </c>
      <c r="G232" s="5">
        <v>221002723300251</v>
      </c>
      <c r="H232" s="5">
        <v>210459079484585</v>
      </c>
      <c r="I232" s="5">
        <v>214740718749362</v>
      </c>
      <c r="J232" s="5">
        <v>222130816472676</v>
      </c>
      <c r="K232" s="5">
        <v>209545308539989</v>
      </c>
      <c r="L232" s="5">
        <v>207903625969179</v>
      </c>
      <c r="M232" s="5">
        <v>200671707152095</v>
      </c>
      <c r="N232" s="5">
        <v>186570105727488</v>
      </c>
      <c r="O232" s="5">
        <v>202858582830817</v>
      </c>
      <c r="P232" s="5">
        <v>230120004497136</v>
      </c>
      <c r="Q232" s="5">
        <v>240549398036291</v>
      </c>
      <c r="R232" s="5">
        <v>228312114178787</v>
      </c>
      <c r="S232" s="5">
        <v>247993132184502</v>
      </c>
      <c r="T232" s="5">
        <v>208600325627789</v>
      </c>
      <c r="U232" s="5">
        <v>191430938534968</v>
      </c>
      <c r="V232" s="5">
        <v>196577735966719</v>
      </c>
      <c r="W232" s="5">
        <v>200636167375644</v>
      </c>
      <c r="X232" s="5">
        <v>178271216413074</v>
      </c>
      <c r="Y232" s="5">
        <v>186020929053659</v>
      </c>
      <c r="Z232" s="5">
        <v>182564631823562</v>
      </c>
      <c r="AA232" s="5">
        <v>187060830108424</v>
      </c>
      <c r="AB232" s="5">
        <v>174718364425114</v>
      </c>
      <c r="AC232" s="5">
        <v>169934870536577</v>
      </c>
      <c r="AD232" s="5">
        <v>166641353860239</v>
      </c>
      <c r="AE232" s="5">
        <v>149503529942093</v>
      </c>
      <c r="AF232" s="5">
        <v>132263196788114</v>
      </c>
      <c r="AG232" s="5">
        <v>142267769658893</v>
      </c>
      <c r="AH232" s="5">
        <v>148045689300013</v>
      </c>
      <c r="AI232" s="5">
        <v>16081016292286</v>
      </c>
      <c r="AJ232" s="5">
        <v>142549471094677</v>
      </c>
      <c r="AK232" s="5">
        <v>139653478419833</v>
      </c>
      <c r="AL232" s="5">
        <v>146502666317571</v>
      </c>
      <c r="AM232" s="5">
        <v>148783796156486</v>
      </c>
      <c r="AN232" s="5">
        <v>20824811580433</v>
      </c>
      <c r="AO232" s="5">
        <v>201553586771047</v>
      </c>
    </row>
    <row r="233" spans="1:41" x14ac:dyDescent="0.45">
      <c r="A233" s="1" t="s">
        <v>227</v>
      </c>
      <c r="B233" s="2">
        <v>4436418</v>
      </c>
      <c r="C233" s="3" t="s">
        <v>1046</v>
      </c>
      <c r="D233" s="3" t="s">
        <v>1047</v>
      </c>
      <c r="E233" s="3" t="s">
        <v>644</v>
      </c>
      <c r="F233" s="5">
        <v>113657955099056</v>
      </c>
      <c r="G233" s="5">
        <v>106134692932034</v>
      </c>
      <c r="H233" s="5">
        <v>109558685419816</v>
      </c>
      <c r="I233" s="5">
        <v>962908943169228</v>
      </c>
      <c r="J233" s="5">
        <v>90841421535121</v>
      </c>
      <c r="K233" s="5">
        <v>956569301390921</v>
      </c>
      <c r="L233" s="5">
        <v>806769112323746</v>
      </c>
      <c r="M233" s="5">
        <v>771373796803425</v>
      </c>
      <c r="N233" s="5">
        <v>796567077417197</v>
      </c>
      <c r="O233" s="5">
        <v>740680452267494</v>
      </c>
      <c r="P233" s="5">
        <v>660321258017989</v>
      </c>
      <c r="Q233" s="5">
        <v>742611796512856</v>
      </c>
      <c r="R233" s="5">
        <v>714212800343168</v>
      </c>
      <c r="S233" s="5">
        <v>734021848353987</v>
      </c>
      <c r="T233" s="5">
        <v>668024261517312</v>
      </c>
      <c r="U233" s="5">
        <v>929570047422106</v>
      </c>
      <c r="V233" s="5">
        <v>100254664911018</v>
      </c>
      <c r="W233" s="5">
        <v>102014649966768</v>
      </c>
      <c r="X233" s="5">
        <v>906571654556526</v>
      </c>
      <c r="Y233" s="5">
        <v>92030913002234</v>
      </c>
      <c r="Z233" s="5">
        <v>102580069094355</v>
      </c>
      <c r="AA233" s="5">
        <v>106832668224302</v>
      </c>
      <c r="AB233" s="5">
        <v>106806829758338</v>
      </c>
      <c r="AC233" s="5">
        <v>947986628460518</v>
      </c>
      <c r="AD233" s="5">
        <v>933089315540045</v>
      </c>
      <c r="AE233" s="5">
        <v>863284597185293</v>
      </c>
      <c r="AF233" s="5">
        <v>829483935334578</v>
      </c>
      <c r="AG233" s="5">
        <v>77058972965615</v>
      </c>
      <c r="AH233" s="5">
        <v>809850773951424</v>
      </c>
      <c r="AI233" s="5">
        <v>831331808513898</v>
      </c>
      <c r="AJ233" s="5">
        <v>83164711236352</v>
      </c>
      <c r="AK233" s="5">
        <v>753753610372189</v>
      </c>
      <c r="AL233" s="5">
        <v>728261877916856</v>
      </c>
      <c r="AM233" s="5">
        <v>759417494538331</v>
      </c>
      <c r="AN233" s="5">
        <v>80795068447776</v>
      </c>
      <c r="AO233" s="5">
        <v>810245999116541</v>
      </c>
    </row>
    <row r="234" spans="1:41" x14ac:dyDescent="0.45">
      <c r="A234" s="1" t="s">
        <v>228</v>
      </c>
      <c r="B234" s="2">
        <v>4992897</v>
      </c>
      <c r="C234" s="3" t="s">
        <v>1048</v>
      </c>
      <c r="D234" s="3" t="s">
        <v>1049</v>
      </c>
      <c r="E234" s="3" t="s">
        <v>871</v>
      </c>
      <c r="F234" s="5">
        <v>113435441502551</v>
      </c>
      <c r="G234" s="5">
        <v>112272082167612</v>
      </c>
      <c r="H234" s="5">
        <v>111268042851175</v>
      </c>
      <c r="I234" s="5">
        <v>104438782364548</v>
      </c>
      <c r="J234" s="5">
        <v>105877298005682</v>
      </c>
      <c r="K234" s="5">
        <v>107615976519395</v>
      </c>
      <c r="L234" s="5">
        <v>112937565538201</v>
      </c>
      <c r="M234" s="5">
        <v>120445285179577</v>
      </c>
      <c r="N234" s="5">
        <v>115837189777022</v>
      </c>
      <c r="O234" s="5">
        <v>126486103437814</v>
      </c>
      <c r="P234" s="5">
        <v>141542291246085</v>
      </c>
      <c r="Q234" s="5">
        <v>163417449487375</v>
      </c>
      <c r="R234" s="5">
        <v>15307709859742</v>
      </c>
      <c r="S234" s="5">
        <v>165524422514851</v>
      </c>
      <c r="T234" s="5">
        <v>149692440136195</v>
      </c>
      <c r="U234" s="5">
        <v>145593299187765</v>
      </c>
      <c r="V234" s="5">
        <v>141322013713384</v>
      </c>
      <c r="W234" s="5">
        <v>14581613494103</v>
      </c>
      <c r="X234" s="5">
        <v>142140701707459</v>
      </c>
      <c r="Y234" s="5">
        <v>145627974462843</v>
      </c>
      <c r="Z234" s="5">
        <v>156064280367556</v>
      </c>
      <c r="AA234" s="5">
        <v>170891648806743</v>
      </c>
      <c r="AB234" s="5">
        <v>165080152950929</v>
      </c>
      <c r="AC234" s="5">
        <v>147424085411674</v>
      </c>
      <c r="AD234" s="5">
        <v>148543242806908</v>
      </c>
      <c r="AE234" s="5">
        <v>139847043170913</v>
      </c>
      <c r="AF234" s="5">
        <v>137010460035205</v>
      </c>
      <c r="AG234" s="5">
        <v>148585460260487</v>
      </c>
      <c r="AH234" s="5">
        <v>157811511984688</v>
      </c>
      <c r="AI234" s="5">
        <v>1549077988529</v>
      </c>
      <c r="AJ234" s="5">
        <v>149020087873666</v>
      </c>
      <c r="AK234" s="5">
        <v>14123093668017</v>
      </c>
      <c r="AL234" s="5">
        <v>1412874103639</v>
      </c>
      <c r="AM234" s="5">
        <v>160581909542184</v>
      </c>
      <c r="AN234" s="5">
        <v>159840831188564</v>
      </c>
      <c r="AO234" s="5">
        <v>16643430744694</v>
      </c>
    </row>
    <row r="235" spans="1:41" x14ac:dyDescent="0.45">
      <c r="A235" s="1" t="s">
        <v>229</v>
      </c>
      <c r="B235" s="2">
        <v>4811348</v>
      </c>
      <c r="C235" s="3" t="s">
        <v>1050</v>
      </c>
      <c r="D235" s="3" t="s">
        <v>1051</v>
      </c>
      <c r="E235" s="3" t="s">
        <v>506</v>
      </c>
      <c r="F235" s="5">
        <v>460103843366493</v>
      </c>
      <c r="G235" s="5">
        <v>51846167950537</v>
      </c>
      <c r="H235" s="5">
        <v>43665375515588</v>
      </c>
      <c r="I235" s="5">
        <v>435646317647952</v>
      </c>
      <c r="J235" s="5">
        <v>442583759878492</v>
      </c>
      <c r="K235" s="5">
        <v>375645789756584</v>
      </c>
      <c r="L235" s="5">
        <v>367281675556587</v>
      </c>
      <c r="M235" s="5">
        <v>363848188876901</v>
      </c>
      <c r="N235" s="5">
        <v>309032419341984</v>
      </c>
      <c r="O235" s="5">
        <v>314867254533696</v>
      </c>
      <c r="P235" s="5">
        <v>341665128918841</v>
      </c>
      <c r="Q235" s="5">
        <v>332496203306785</v>
      </c>
      <c r="R235" s="5">
        <v>326999605981501</v>
      </c>
      <c r="S235" s="5">
        <v>327321375044076</v>
      </c>
      <c r="T235" s="5">
        <v>308460546490414</v>
      </c>
      <c r="U235" s="5">
        <v>372829464171263</v>
      </c>
      <c r="V235" s="5">
        <v>358170949172318</v>
      </c>
      <c r="W235" s="5">
        <v>363330462332006</v>
      </c>
      <c r="X235" s="5">
        <v>375527685699533</v>
      </c>
      <c r="Y235" s="5">
        <v>378446185601962</v>
      </c>
      <c r="Z235" s="5">
        <v>382900089864349</v>
      </c>
      <c r="AA235" s="5">
        <v>415336557316669</v>
      </c>
      <c r="AB235" s="5">
        <v>44215621335646</v>
      </c>
      <c r="AC235" s="5">
        <v>394287320729997</v>
      </c>
      <c r="AD235" s="5">
        <v>41704722357407</v>
      </c>
      <c r="AE235" s="5">
        <v>354722421737293</v>
      </c>
      <c r="AF235" s="5">
        <v>313868549093888</v>
      </c>
      <c r="AG235" s="5">
        <v>34295139918492</v>
      </c>
      <c r="AH235" s="5">
        <v>391420122804082</v>
      </c>
      <c r="AI235" s="5">
        <v>417815307608419</v>
      </c>
      <c r="AJ235" s="5">
        <v>381858132106685</v>
      </c>
      <c r="AK235" s="5">
        <v>361979289114588</v>
      </c>
      <c r="AL235" s="5">
        <v>369704412749593</v>
      </c>
      <c r="AM235" s="5">
        <v>381582356752135</v>
      </c>
      <c r="AN235" s="5">
        <v>369576661971017</v>
      </c>
      <c r="AO235" s="5">
        <v>366379194949069</v>
      </c>
    </row>
    <row r="236" spans="1:41" x14ac:dyDescent="0.45">
      <c r="A236" s="1" t="s">
        <v>230</v>
      </c>
      <c r="B236" s="2">
        <v>4992234</v>
      </c>
      <c r="C236" s="3" t="s">
        <v>1052</v>
      </c>
      <c r="D236" s="3" t="s">
        <v>1053</v>
      </c>
      <c r="E236" s="3" t="s">
        <v>871</v>
      </c>
      <c r="F236" s="5">
        <v>60855353271</v>
      </c>
      <c r="G236" s="5">
        <v>623654287872</v>
      </c>
      <c r="H236" s="5">
        <v>61349953464</v>
      </c>
      <c r="I236" s="5">
        <v>64784635542</v>
      </c>
      <c r="J236" s="5">
        <v>659516665775</v>
      </c>
      <c r="K236" s="5">
        <v>656462041273355</v>
      </c>
      <c r="L236" s="5">
        <v>617633296690491</v>
      </c>
      <c r="M236" s="5">
        <v>633638256116949</v>
      </c>
      <c r="N236" s="5">
        <v>620341941840938</v>
      </c>
      <c r="O236" s="5">
        <v>673154207571961</v>
      </c>
      <c r="P236" s="5">
        <v>74464230743</v>
      </c>
      <c r="Q236" s="5">
        <v>736294629708</v>
      </c>
      <c r="R236" s="5">
        <v>723229872612</v>
      </c>
      <c r="S236" s="5">
        <v>776737795568</v>
      </c>
      <c r="T236" s="5">
        <v>71019865569</v>
      </c>
      <c r="U236" s="5">
        <v>697631755178</v>
      </c>
      <c r="V236" s="5">
        <v>679604212822</v>
      </c>
      <c r="W236" s="5">
        <v>68180437248</v>
      </c>
      <c r="X236" s="5">
        <v>659925827712</v>
      </c>
      <c r="Y236" s="5">
        <v>6679378886</v>
      </c>
      <c r="Z236" s="5">
        <v>682010494284746</v>
      </c>
      <c r="AA236" s="5">
        <v>742142658350297</v>
      </c>
      <c r="AB236" s="5">
        <v>72463471542</v>
      </c>
      <c r="AC236" s="5">
        <v>723544879189964</v>
      </c>
      <c r="AD236" s="5">
        <v>713030686892938</v>
      </c>
      <c r="AE236" s="5">
        <v>668214430113321</v>
      </c>
      <c r="AF236" s="5">
        <v>638267953523304</v>
      </c>
      <c r="AG236" s="5">
        <v>657991930285179</v>
      </c>
      <c r="AH236" s="5">
        <v>689621389472574</v>
      </c>
      <c r="AI236" s="5">
        <v>726134874977956</v>
      </c>
      <c r="AJ236" s="5">
        <v>696382768405834</v>
      </c>
      <c r="AK236" s="5">
        <v>623712924568524</v>
      </c>
      <c r="AL236" s="5">
        <v>668234443106686</v>
      </c>
      <c r="AM236" s="5">
        <v>683016883393315</v>
      </c>
      <c r="AN236" s="5">
        <v>670041658657375</v>
      </c>
      <c r="AO236" s="5">
        <v>667583668582566</v>
      </c>
    </row>
    <row r="237" spans="1:41" x14ac:dyDescent="0.45">
      <c r="A237" s="1" t="s">
        <v>231</v>
      </c>
      <c r="B237" s="2">
        <v>4810794</v>
      </c>
      <c r="C237" s="3" t="s">
        <v>1054</v>
      </c>
      <c r="D237" s="3" t="s">
        <v>1055</v>
      </c>
      <c r="E237" s="3" t="s">
        <v>509</v>
      </c>
      <c r="F237" s="5">
        <v>165151387177515</v>
      </c>
      <c r="G237" s="5">
        <v>176859867045597</v>
      </c>
      <c r="H237" s="5">
        <v>159113975216735</v>
      </c>
      <c r="I237" s="5">
        <v>141152555295046</v>
      </c>
      <c r="J237" s="5">
        <v>141249267758619</v>
      </c>
      <c r="K237" s="5">
        <v>127845023022695</v>
      </c>
      <c r="L237" s="5">
        <v>112245687983481</v>
      </c>
      <c r="M237" s="5">
        <v>110987924751931</v>
      </c>
      <c r="N237" s="5">
        <v>106905817455974</v>
      </c>
      <c r="O237" s="5">
        <v>10841400517941</v>
      </c>
      <c r="P237" s="5">
        <v>136707245796975</v>
      </c>
      <c r="Q237" s="5">
        <v>137454673463847</v>
      </c>
      <c r="R237" s="5">
        <v>128526060714135</v>
      </c>
      <c r="S237" s="5">
        <v>136196794487041</v>
      </c>
      <c r="T237" s="5">
        <v>131511767758655</v>
      </c>
      <c r="U237" s="5">
        <v>11414372145642</v>
      </c>
      <c r="V237" s="5">
        <v>114332363519946</v>
      </c>
      <c r="W237" s="5">
        <v>115798947420064</v>
      </c>
      <c r="X237" s="5">
        <v>127228061112148</v>
      </c>
      <c r="Y237" s="5">
        <v>119820851721379</v>
      </c>
      <c r="Z237" s="5">
        <v>109300060629472</v>
      </c>
      <c r="AA237" s="5">
        <v>118421425015577</v>
      </c>
      <c r="AB237" s="5">
        <v>12121904302307</v>
      </c>
      <c r="AC237" s="5">
        <v>121396184537385</v>
      </c>
      <c r="AD237" s="5">
        <v>127307746981719</v>
      </c>
      <c r="AE237" s="5">
        <v>111660962159083</v>
      </c>
      <c r="AF237" s="5">
        <v>114395989058543</v>
      </c>
      <c r="AG237" s="5">
        <v>122309519932137</v>
      </c>
      <c r="AH237" s="5">
        <v>133324693995987</v>
      </c>
      <c r="AI237" s="5">
        <v>128988605552396</v>
      </c>
      <c r="AJ237" s="5">
        <v>12720718296426</v>
      </c>
      <c r="AK237" s="5">
        <v>128838772753437</v>
      </c>
      <c r="AL237" s="5">
        <v>150411091355914</v>
      </c>
      <c r="AM237" s="5">
        <v>148310327755315</v>
      </c>
      <c r="AN237" s="5">
        <v>161683439546729</v>
      </c>
      <c r="AO237" s="5">
        <v>174394955308203</v>
      </c>
    </row>
    <row r="238" spans="1:41" x14ac:dyDescent="0.45">
      <c r="A238" s="1" t="s">
        <v>232</v>
      </c>
      <c r="B238" s="2">
        <v>4380458</v>
      </c>
      <c r="C238" s="3" t="s">
        <v>1056</v>
      </c>
      <c r="D238" s="3" t="s">
        <v>1057</v>
      </c>
      <c r="E238" s="3" t="s">
        <v>871</v>
      </c>
      <c r="F238" s="5">
        <v>266587597654512</v>
      </c>
      <c r="G238" s="5">
        <v>273753090614203</v>
      </c>
      <c r="H238" s="5">
        <v>261476591824535</v>
      </c>
      <c r="I238" s="5">
        <v>279874240825204</v>
      </c>
      <c r="J238" s="5">
        <v>269888965774881</v>
      </c>
      <c r="K238" s="5">
        <v>294049464263182</v>
      </c>
      <c r="L238" s="5">
        <v>285763656564954</v>
      </c>
      <c r="M238" s="5">
        <v>290288741262444</v>
      </c>
      <c r="N238" s="5">
        <v>268227875764425</v>
      </c>
      <c r="O238" s="5">
        <v>298457976625995</v>
      </c>
      <c r="P238" s="5">
        <v>328440525923644</v>
      </c>
      <c r="Q238" s="5">
        <v>363698481436315</v>
      </c>
      <c r="R238" s="5">
        <v>352133370929011</v>
      </c>
      <c r="S238" s="5">
        <v>397903540284182</v>
      </c>
      <c r="T238" s="5">
        <v>35663621259168</v>
      </c>
      <c r="U238" s="5">
        <v>355107455336988</v>
      </c>
      <c r="V238" s="5">
        <v>333600493973704</v>
      </c>
      <c r="W238" s="5">
        <v>374581007162208</v>
      </c>
      <c r="X238" s="5">
        <v>342033470069683</v>
      </c>
      <c r="Y238" s="5">
        <v>346150222115928</v>
      </c>
      <c r="Z238" s="5">
        <v>352175980977869</v>
      </c>
      <c r="AA238" s="5">
        <v>354639232649893</v>
      </c>
      <c r="AB238" s="5">
        <v>340860574526473</v>
      </c>
      <c r="AC238" s="5">
        <v>297958756301469</v>
      </c>
      <c r="AD238" s="5">
        <v>28323441202638</v>
      </c>
      <c r="AE238" s="5">
        <v>26511840747239</v>
      </c>
      <c r="AF238" s="5">
        <v>232261250861461</v>
      </c>
      <c r="AG238" s="5">
        <v>243459217575737</v>
      </c>
      <c r="AH238" s="5">
        <v>259545273831145</v>
      </c>
      <c r="AI238" s="5">
        <v>23958071334865</v>
      </c>
      <c r="AJ238" s="5">
        <v>24218485619799</v>
      </c>
      <c r="AK238" s="5">
        <v>215059064631773</v>
      </c>
      <c r="AL238" s="5">
        <v>20908013972106</v>
      </c>
      <c r="AM238" s="5">
        <v>21684974226098</v>
      </c>
      <c r="AN238" s="5">
        <v>221519168324883</v>
      </c>
      <c r="AO238" s="5">
        <v>208776473684856</v>
      </c>
    </row>
    <row r="239" spans="1:41" x14ac:dyDescent="0.45">
      <c r="A239" s="1" t="s">
        <v>233</v>
      </c>
      <c r="B239" s="2">
        <v>4811052</v>
      </c>
      <c r="C239" s="3" t="s">
        <v>1058</v>
      </c>
      <c r="D239" s="3" t="s">
        <v>1059</v>
      </c>
      <c r="E239" s="3" t="s">
        <v>506</v>
      </c>
      <c r="F239" s="5">
        <v>170300841282808</v>
      </c>
      <c r="G239" s="5">
        <v>198496896624291</v>
      </c>
      <c r="H239" s="5">
        <v>191031029187634</v>
      </c>
      <c r="I239" s="5">
        <v>185224284918278</v>
      </c>
      <c r="J239" s="5">
        <v>204534951489294</v>
      </c>
      <c r="K239" s="5">
        <v>177428749168154</v>
      </c>
      <c r="L239" s="5">
        <v>188269999018812</v>
      </c>
      <c r="M239" s="5">
        <v>201588220255567</v>
      </c>
      <c r="N239" s="5">
        <v>156462515382375</v>
      </c>
      <c r="O239" s="5">
        <v>170626097990163</v>
      </c>
      <c r="P239" s="5">
        <v>183766753901065</v>
      </c>
      <c r="Q239" s="5">
        <v>187868328610954</v>
      </c>
      <c r="R239" s="5">
        <v>176882334616946</v>
      </c>
      <c r="S239" s="5">
        <v>177363928300111</v>
      </c>
      <c r="T239" s="5">
        <v>149513643812107</v>
      </c>
      <c r="U239" s="5">
        <v>146319547052693</v>
      </c>
      <c r="V239" s="5">
        <v>128538756533951</v>
      </c>
      <c r="W239" s="5">
        <v>125776533616734</v>
      </c>
      <c r="X239" s="5">
        <v>131912372993693</v>
      </c>
      <c r="Y239" s="5">
        <v>114435385097664</v>
      </c>
      <c r="Z239" s="5">
        <v>11259496995892</v>
      </c>
      <c r="AA239" s="5">
        <v>110959630789476</v>
      </c>
      <c r="AB239" s="5">
        <v>10608880022972</v>
      </c>
      <c r="AC239" s="5">
        <v>122844154234331</v>
      </c>
      <c r="AD239" s="5">
        <v>137072877183799</v>
      </c>
      <c r="AE239" s="5">
        <v>121064766346954</v>
      </c>
      <c r="AF239" s="5">
        <v>876097968295059</v>
      </c>
      <c r="AG239" s="5">
        <v>105210755997579</v>
      </c>
      <c r="AH239" s="5">
        <v>123413448223012</v>
      </c>
      <c r="AI239" s="5">
        <v>175022219300526</v>
      </c>
      <c r="AJ239" s="5">
        <v>184080230616963</v>
      </c>
      <c r="AK239" s="5">
        <v>179347420418507</v>
      </c>
      <c r="AL239" s="5">
        <v>200841342943109</v>
      </c>
      <c r="AM239" s="5">
        <v>204155749086195</v>
      </c>
      <c r="AN239" s="5">
        <v>181040136521378</v>
      </c>
      <c r="AO239" s="5">
        <v>183716490392254</v>
      </c>
    </row>
    <row r="240" spans="1:41" x14ac:dyDescent="0.45">
      <c r="A240" s="1" t="s">
        <v>234</v>
      </c>
      <c r="B240" s="2">
        <v>4025746</v>
      </c>
      <c r="C240" s="3" t="s">
        <v>1060</v>
      </c>
      <c r="D240" s="3" t="s">
        <v>1061</v>
      </c>
      <c r="E240" s="3" t="s">
        <v>518</v>
      </c>
      <c r="F240" s="5">
        <v>156660214100805</v>
      </c>
      <c r="G240" s="5">
        <v>16684956288</v>
      </c>
      <c r="H240" s="5">
        <v>16524355878</v>
      </c>
      <c r="I240" s="5">
        <v>136031056071378</v>
      </c>
      <c r="J240" s="5">
        <v>91114685808258</v>
      </c>
      <c r="K240" s="5">
        <v>7576219332</v>
      </c>
      <c r="L240" s="5">
        <v>831990432</v>
      </c>
      <c r="M240" s="5">
        <v>7515470823</v>
      </c>
      <c r="N240" s="5">
        <v>7727780268</v>
      </c>
      <c r="O240" s="5">
        <v>916216642197876</v>
      </c>
      <c r="P240" s="5">
        <v>9875388999</v>
      </c>
      <c r="Q240" s="5">
        <v>8094330099</v>
      </c>
      <c r="R240" s="5">
        <v>83526830335</v>
      </c>
      <c r="S240" s="5">
        <v>9831306667</v>
      </c>
      <c r="T240" s="5">
        <v>8540403528</v>
      </c>
      <c r="U240" s="5">
        <v>89942393136</v>
      </c>
      <c r="V240" s="5">
        <v>85205132464</v>
      </c>
      <c r="W240" s="5">
        <v>120911178478158</v>
      </c>
      <c r="X240" s="5">
        <v>123041917584059</v>
      </c>
      <c r="Y240" s="5">
        <v>121094330407833</v>
      </c>
      <c r="Z240" s="5">
        <v>121301891243138</v>
      </c>
      <c r="AA240" s="5">
        <v>174074515637346</v>
      </c>
      <c r="AB240" s="5">
        <v>16838244654</v>
      </c>
      <c r="AC240" s="5">
        <v>167880502608</v>
      </c>
      <c r="AD240" s="5">
        <v>1916643138</v>
      </c>
      <c r="AE240" s="5">
        <v>17279457288</v>
      </c>
      <c r="AF240" s="5">
        <v>145651206</v>
      </c>
      <c r="AG240" s="5">
        <v>14066503632</v>
      </c>
      <c r="AH240" s="5">
        <v>13568734704</v>
      </c>
      <c r="AI240" s="5">
        <v>135932839224</v>
      </c>
      <c r="AJ240" s="5">
        <v>12776206784</v>
      </c>
      <c r="AK240" s="5">
        <v>123045133992</v>
      </c>
      <c r="AL240" s="5">
        <v>117386396686</v>
      </c>
      <c r="AM240" s="5">
        <v>124397389116</v>
      </c>
      <c r="AN240" s="5">
        <v>9715355622</v>
      </c>
      <c r="AO240" s="5">
        <v>107640528534</v>
      </c>
    </row>
    <row r="241" spans="1:41" x14ac:dyDescent="0.45">
      <c r="A241" s="1" t="s">
        <v>235</v>
      </c>
      <c r="B241" s="2">
        <v>4153870</v>
      </c>
      <c r="C241" s="3" t="s">
        <v>1062</v>
      </c>
      <c r="D241" s="3" t="s">
        <v>1063</v>
      </c>
      <c r="E241" s="3" t="s">
        <v>1064</v>
      </c>
      <c r="F241" s="5">
        <v>243938517324488</v>
      </c>
      <c r="G241" s="5">
        <v>24973012582842</v>
      </c>
      <c r="H241" s="5">
        <v>271610338604371</v>
      </c>
      <c r="I241" s="5">
        <v>261123173366439</v>
      </c>
      <c r="J241" s="5">
        <v>23691156943647</v>
      </c>
      <c r="K241" s="5">
        <v>252956194277949</v>
      </c>
      <c r="L241" s="5">
        <v>205634331442878</v>
      </c>
      <c r="M241" s="5">
        <v>201346278902871</v>
      </c>
      <c r="N241" s="5">
        <v>165073121597011</v>
      </c>
      <c r="O241" s="5">
        <v>166964257946129</v>
      </c>
      <c r="P241" s="5">
        <v>213995088545118</v>
      </c>
      <c r="Q241" s="5">
        <v>227773970608189</v>
      </c>
      <c r="R241" s="5">
        <v>185797306460857</v>
      </c>
      <c r="S241" s="5">
        <v>197196454987511</v>
      </c>
      <c r="T241" s="5">
        <v>152942716328303</v>
      </c>
      <c r="U241" s="5">
        <v>135990456177913</v>
      </c>
      <c r="V241" s="5">
        <v>12682569512884</v>
      </c>
      <c r="W241" s="5">
        <v>119557593074581</v>
      </c>
      <c r="X241" s="5">
        <v>122557868679065</v>
      </c>
      <c r="Y241" s="5">
        <v>124168621074016</v>
      </c>
      <c r="Z241" s="5">
        <v>115303690795149</v>
      </c>
      <c r="AA241" s="5">
        <v>110763624377752</v>
      </c>
      <c r="AB241" s="5">
        <v>107680034129271</v>
      </c>
      <c r="AC241" s="5">
        <v>87539563033065</v>
      </c>
      <c r="AD241" s="5">
        <v>802611810428868</v>
      </c>
      <c r="AE241" s="5">
        <v>763785176241226</v>
      </c>
      <c r="AF241" s="5">
        <v>810697960787693</v>
      </c>
      <c r="AG241" s="5">
        <v>874834227274688</v>
      </c>
      <c r="AH241" s="5">
        <v>89830243475676</v>
      </c>
      <c r="AI241" s="5">
        <v>847598783642606</v>
      </c>
      <c r="AJ241" s="5">
        <v>783698379315228</v>
      </c>
      <c r="AK241" s="5">
        <v>746340511218842</v>
      </c>
      <c r="AL241" s="5">
        <v>726556597214877</v>
      </c>
      <c r="AM241" s="5">
        <v>782674163104205</v>
      </c>
      <c r="AN241" s="5">
        <v>835466170070586</v>
      </c>
      <c r="AO241" s="5">
        <v>75714718971276</v>
      </c>
    </row>
    <row r="242" spans="1:41" x14ac:dyDescent="0.45">
      <c r="A242" s="1" t="s">
        <v>236</v>
      </c>
      <c r="B242" s="2">
        <v>4099823</v>
      </c>
      <c r="C242" s="3" t="s">
        <v>1065</v>
      </c>
      <c r="D242" s="3" t="s">
        <v>1066</v>
      </c>
      <c r="E242" s="3" t="s">
        <v>722</v>
      </c>
      <c r="F242" s="5">
        <v>786511934927752</v>
      </c>
      <c r="G242" s="5">
        <v>773478724410392</v>
      </c>
      <c r="H242" s="5">
        <v>723177056480965</v>
      </c>
      <c r="I242" s="5">
        <v>821973818225963</v>
      </c>
      <c r="J242" s="5">
        <v>864217703346499</v>
      </c>
      <c r="K242" s="5">
        <v>92491198668176</v>
      </c>
      <c r="L242" s="5">
        <v>896145949672251</v>
      </c>
      <c r="M242" s="5">
        <v>908955225072875</v>
      </c>
      <c r="N242" s="5">
        <v>850537175942154</v>
      </c>
      <c r="O242" s="5">
        <v>91688159699955</v>
      </c>
      <c r="P242" s="5">
        <v>956600805946729</v>
      </c>
      <c r="Q242" s="5">
        <v>882925226568722</v>
      </c>
      <c r="R242" s="5">
        <v>826405106601772</v>
      </c>
      <c r="S242" s="5">
        <v>875951537215583</v>
      </c>
      <c r="T242" s="5">
        <v>824266362309862</v>
      </c>
      <c r="U242" s="5">
        <v>826935840296623</v>
      </c>
      <c r="V242" s="5">
        <v>838576749135146</v>
      </c>
      <c r="W242" s="5">
        <v>803256105449952</v>
      </c>
      <c r="X242" s="5">
        <v>732808430126815</v>
      </c>
      <c r="Y242" s="5">
        <v>708200234890902</v>
      </c>
      <c r="Z242" s="5">
        <v>690502025419087</v>
      </c>
      <c r="AA242" s="5">
        <v>728555303813989</v>
      </c>
      <c r="AB242" s="5">
        <v>733248742889174</v>
      </c>
      <c r="AC242" s="5">
        <v>671726629223583</v>
      </c>
      <c r="AD242" s="5">
        <v>665033176761256</v>
      </c>
      <c r="AE242" s="5">
        <v>597432849824338</v>
      </c>
      <c r="AF242" s="5">
        <v>569781448110611</v>
      </c>
      <c r="AG242" s="5">
        <v>582415885478882</v>
      </c>
      <c r="AH242" s="5">
        <v>609533821982489</v>
      </c>
      <c r="AI242" s="5">
        <v>583210724870592</v>
      </c>
      <c r="AJ242" s="5">
        <v>579917363465088</v>
      </c>
      <c r="AK242" s="5">
        <v>556579897097796</v>
      </c>
      <c r="AL242" s="5">
        <v>552436949168706</v>
      </c>
      <c r="AM242" s="5">
        <v>537252396772959</v>
      </c>
      <c r="AN242" s="5">
        <v>535913757377088</v>
      </c>
      <c r="AO242" s="5">
        <v>553084996463381</v>
      </c>
    </row>
    <row r="243" spans="1:41" x14ac:dyDescent="0.45">
      <c r="A243" s="1" t="s">
        <v>237</v>
      </c>
      <c r="B243" s="2">
        <v>4000193</v>
      </c>
      <c r="C243" s="3" t="s">
        <v>1067</v>
      </c>
      <c r="D243" s="3" t="s">
        <v>1068</v>
      </c>
      <c r="E243" s="3" t="s">
        <v>512</v>
      </c>
      <c r="F243" s="5">
        <v>235816920519999</v>
      </c>
      <c r="G243" s="5">
        <v>248751164701715</v>
      </c>
      <c r="H243" s="5">
        <v>249129805369491</v>
      </c>
      <c r="I243" s="5">
        <v>224016375103754</v>
      </c>
      <c r="J243" s="5">
        <v>193904673738542</v>
      </c>
      <c r="K243" s="5">
        <v>206148682821373</v>
      </c>
      <c r="L243" s="5">
        <v>233283345305293</v>
      </c>
      <c r="M243" s="5">
        <v>212190139832895</v>
      </c>
      <c r="N243" s="5">
        <v>198091723546193</v>
      </c>
      <c r="O243" s="5">
        <v>213326647345245</v>
      </c>
      <c r="P243" s="5">
        <v>224972950120044</v>
      </c>
      <c r="Q243" s="5">
        <v>227471001459013</v>
      </c>
      <c r="R243" s="5">
        <v>196333416001802</v>
      </c>
      <c r="S243" s="5">
        <v>199297274496668</v>
      </c>
      <c r="T243" s="5">
        <v>176042376801546</v>
      </c>
      <c r="U243" s="5">
        <v>182590297349508</v>
      </c>
      <c r="V243" s="5">
        <v>168335902096902</v>
      </c>
      <c r="W243" s="5">
        <v>163538218709065</v>
      </c>
      <c r="X243" s="5">
        <v>148275546601351</v>
      </c>
      <c r="Y243" s="5">
        <v>141329211031458</v>
      </c>
      <c r="Z243" s="5">
        <v>14277863284102</v>
      </c>
      <c r="AA243" s="5">
        <v>162072025737963</v>
      </c>
      <c r="AB243" s="5">
        <v>156920364313455</v>
      </c>
      <c r="AC243" s="5">
        <v>154892981116993</v>
      </c>
      <c r="AD243" s="5">
        <v>135108390086731</v>
      </c>
      <c r="AE243" s="5">
        <v>132752524972261</v>
      </c>
      <c r="AF243" s="5">
        <v>125007540827603</v>
      </c>
      <c r="AG243" s="5">
        <v>120758832985946</v>
      </c>
      <c r="AH243" s="5">
        <v>123329528614102</v>
      </c>
      <c r="AI243" s="5">
        <v>119185973424536</v>
      </c>
      <c r="AJ243" s="5">
        <v>111299090072163</v>
      </c>
      <c r="AK243" s="5">
        <v>109561124747448</v>
      </c>
      <c r="AL243" s="5">
        <v>104007613432147</v>
      </c>
      <c r="AM243" s="5">
        <v>109447041572129</v>
      </c>
      <c r="AN243" s="5">
        <v>110486007683167</v>
      </c>
      <c r="AO243" s="5">
        <v>112153178357452</v>
      </c>
    </row>
    <row r="244" spans="1:41" x14ac:dyDescent="0.45">
      <c r="A244" s="1" t="s">
        <v>238</v>
      </c>
      <c r="B244" s="2">
        <v>4985791</v>
      </c>
      <c r="C244" s="3" t="s">
        <v>1069</v>
      </c>
      <c r="D244" s="3" t="s">
        <v>1070</v>
      </c>
      <c r="E244" s="3" t="s">
        <v>536</v>
      </c>
      <c r="F244" s="5">
        <v>146989239031559</v>
      </c>
      <c r="G244" s="5">
        <v>153451802985022</v>
      </c>
      <c r="H244" s="5">
        <v>139919906243242</v>
      </c>
      <c r="I244" s="5">
        <v>134423963060479</v>
      </c>
      <c r="J244" s="5">
        <v>147914292226712</v>
      </c>
      <c r="K244" s="5">
        <v>15883154649117</v>
      </c>
      <c r="L244" s="5">
        <v>160195929633496</v>
      </c>
      <c r="M244" s="5">
        <v>172587700570732</v>
      </c>
      <c r="N244" s="5">
        <v>176852632982679</v>
      </c>
      <c r="O244" s="5">
        <v>183629937982486</v>
      </c>
      <c r="P244" s="5">
        <v>201061823310641</v>
      </c>
      <c r="Q244" s="5">
        <v>214234405567741</v>
      </c>
      <c r="R244" s="5">
        <v>20880769131682</v>
      </c>
      <c r="S244" s="5">
        <v>221397905958976</v>
      </c>
      <c r="T244" s="5">
        <v>234119966204003</v>
      </c>
      <c r="U244" s="5">
        <v>240524760308836</v>
      </c>
      <c r="V244" s="5">
        <v>240364004376188</v>
      </c>
      <c r="W244" s="5">
        <v>234716994362189</v>
      </c>
      <c r="X244" s="5">
        <v>226903198771142</v>
      </c>
      <c r="Y244" s="5">
        <v>226464212883424</v>
      </c>
      <c r="Z244" s="5">
        <v>202122438454975</v>
      </c>
      <c r="AA244" s="5">
        <v>203258255491259</v>
      </c>
      <c r="AB244" s="5">
        <v>178324825848505</v>
      </c>
      <c r="AC244" s="5">
        <v>189832599535333</v>
      </c>
      <c r="AD244" s="5">
        <v>187001051039379</v>
      </c>
      <c r="AE244" s="5">
        <v>176438527137716</v>
      </c>
      <c r="AF244" s="5">
        <v>165131269697314</v>
      </c>
      <c r="AG244" s="5">
        <v>164400586142767</v>
      </c>
      <c r="AH244" s="5">
        <v>165799074325145</v>
      </c>
      <c r="AI244" s="5">
        <v>195846680908648</v>
      </c>
      <c r="AJ244" s="5">
        <v>185972926038295</v>
      </c>
      <c r="AK244" s="5">
        <v>184995331774291</v>
      </c>
      <c r="AL244" s="5">
        <v>224090694147491</v>
      </c>
      <c r="AM244" s="5">
        <v>215889070875604</v>
      </c>
      <c r="AN244" s="5">
        <v>223929898802184</v>
      </c>
      <c r="AO244" s="5">
        <v>263992817130703</v>
      </c>
    </row>
    <row r="245" spans="1:41" x14ac:dyDescent="0.45">
      <c r="A245" s="1" t="s">
        <v>239</v>
      </c>
      <c r="B245" s="2">
        <v>4060689</v>
      </c>
      <c r="C245" s="3" t="s">
        <v>1071</v>
      </c>
      <c r="D245" s="3" t="s">
        <v>1072</v>
      </c>
      <c r="E245" s="3" t="s">
        <v>559</v>
      </c>
      <c r="F245" s="5">
        <v>177148739404568</v>
      </c>
      <c r="G245" s="5">
        <v>1797841205605</v>
      </c>
      <c r="H245" s="5">
        <v>176878648067436</v>
      </c>
      <c r="I245" s="5">
        <v>208799600759784</v>
      </c>
      <c r="J245" s="5">
        <v>2242415564501</v>
      </c>
      <c r="K245" s="5">
        <v>215701130388439</v>
      </c>
      <c r="L245" s="5">
        <v>210504663168809</v>
      </c>
      <c r="M245" s="5">
        <v>222431056495587</v>
      </c>
      <c r="N245" s="5">
        <v>212535188561405</v>
      </c>
      <c r="O245" s="5">
        <v>259692551541839</v>
      </c>
      <c r="P245" s="5">
        <v>284939031111278</v>
      </c>
      <c r="Q245" s="5">
        <v>282196003889151</v>
      </c>
      <c r="R245" s="5">
        <v>180599287267391</v>
      </c>
      <c r="S245" s="5">
        <v>193711643272872</v>
      </c>
      <c r="T245" s="5">
        <v>177692674386164</v>
      </c>
      <c r="U245" s="5">
        <v>152144159351845</v>
      </c>
      <c r="V245" s="5">
        <v>152066390214678</v>
      </c>
      <c r="W245" s="5">
        <v>149186688130973</v>
      </c>
      <c r="X245" s="5">
        <v>139873183772135</v>
      </c>
      <c r="Y245" s="5">
        <v>144407800022346</v>
      </c>
      <c r="Z245" s="5">
        <v>113493921178037</v>
      </c>
      <c r="AA245" s="5">
        <v>125004970565486</v>
      </c>
      <c r="AB245" s="5">
        <v>113297655825137</v>
      </c>
      <c r="AC245" s="5">
        <v>114270525593589</v>
      </c>
      <c r="AD245" s="5">
        <v>113164633500203</v>
      </c>
      <c r="AE245" s="5">
        <v>117197053522615</v>
      </c>
      <c r="AF245" s="5">
        <v>110467566952293</v>
      </c>
      <c r="AG245" s="5">
        <v>115951421869992</v>
      </c>
      <c r="AH245" s="5">
        <v>11139870997075</v>
      </c>
      <c r="AI245" s="5">
        <v>113213835241449</v>
      </c>
      <c r="AJ245" s="5">
        <v>101125313228563</v>
      </c>
      <c r="AK245" s="5">
        <v>958694551192154</v>
      </c>
      <c r="AL245" s="5">
        <v>104120452822917</v>
      </c>
      <c r="AM245" s="5">
        <v>115953173167544</v>
      </c>
      <c r="AN245" s="5">
        <v>120006748427762</v>
      </c>
      <c r="AO245" s="5">
        <v>136946020781131</v>
      </c>
    </row>
    <row r="246" spans="1:41" x14ac:dyDescent="0.45">
      <c r="A246" s="1" t="s">
        <v>240</v>
      </c>
      <c r="B246" s="2">
        <v>4048157</v>
      </c>
      <c r="C246" s="3" t="s">
        <v>1073</v>
      </c>
      <c r="D246" s="3" t="s">
        <v>1074</v>
      </c>
      <c r="E246" s="3" t="s">
        <v>967</v>
      </c>
      <c r="F246" s="5">
        <v>156997535307336</v>
      </c>
      <c r="G246" s="5">
        <v>152168778264164</v>
      </c>
      <c r="H246" s="5">
        <v>16136281280925</v>
      </c>
      <c r="I246" s="5">
        <v>162276831229365</v>
      </c>
      <c r="J246" s="5">
        <v>1590606841301</v>
      </c>
      <c r="K246" s="5">
        <v>191458243119762</v>
      </c>
      <c r="L246" s="5">
        <v>187080532306915</v>
      </c>
      <c r="M246" s="5">
        <v>185230044214117</v>
      </c>
      <c r="N246" s="5">
        <v>154612339438596</v>
      </c>
      <c r="O246" s="5">
        <v>158808981605976</v>
      </c>
      <c r="P246" s="5">
        <v>164930851528688</v>
      </c>
      <c r="Q246" s="5">
        <v>161991417718048</v>
      </c>
      <c r="R246" s="5">
        <v>16992856421683</v>
      </c>
      <c r="S246" s="5">
        <v>170254259711352</v>
      </c>
      <c r="T246" s="5">
        <v>1575482931996</v>
      </c>
      <c r="U246" s="5">
        <v>1560633902712</v>
      </c>
      <c r="V246" s="5">
        <v>159290930896102</v>
      </c>
      <c r="W246" s="5">
        <v>1672114294158</v>
      </c>
      <c r="X246" s="5">
        <v>171466887575871</v>
      </c>
      <c r="Y246" s="5">
        <v>148589105218228</v>
      </c>
      <c r="Z246" s="5">
        <v>163810064043696</v>
      </c>
      <c r="AA246" s="5">
        <v>16848296283</v>
      </c>
      <c r="AB246" s="5">
        <v>171694192889681</v>
      </c>
      <c r="AC246" s="5">
        <v>162893879680896</v>
      </c>
      <c r="AD246" s="5">
        <v>158293909742976</v>
      </c>
      <c r="AE246" s="5">
        <v>146678534532864</v>
      </c>
      <c r="AF246" s="5">
        <v>131293213731121</v>
      </c>
      <c r="AG246" s="5">
        <v>135291378001911</v>
      </c>
      <c r="AH246" s="5">
        <v>139903503654628</v>
      </c>
      <c r="AI246" s="5">
        <v>130036372314791</v>
      </c>
      <c r="AJ246" s="5">
        <v>117541636645233</v>
      </c>
      <c r="AK246" s="5">
        <v>110136369171398</v>
      </c>
      <c r="AL246" s="5">
        <v>112853460741529</v>
      </c>
      <c r="AM246" s="5">
        <v>115119949329593</v>
      </c>
      <c r="AN246" s="5">
        <v>107607373627803</v>
      </c>
      <c r="AO246" s="5">
        <v>109322737372119</v>
      </c>
    </row>
    <row r="247" spans="1:41" x14ac:dyDescent="0.45">
      <c r="A247" s="1" t="s">
        <v>241</v>
      </c>
      <c r="B247" s="2">
        <v>4410647</v>
      </c>
      <c r="C247" s="3" t="s">
        <v>1075</v>
      </c>
      <c r="D247" s="3" t="s">
        <v>1076</v>
      </c>
      <c r="E247" s="3" t="s">
        <v>506</v>
      </c>
      <c r="F247" s="5">
        <v>170997849591675</v>
      </c>
      <c r="G247" s="5">
        <v>17532282221094</v>
      </c>
      <c r="H247" s="5">
        <v>164209940352075</v>
      </c>
      <c r="I247" s="5">
        <v>136641969941513</v>
      </c>
      <c r="J247" s="5">
        <v>145046726396925</v>
      </c>
      <c r="K247" s="5">
        <v>15076406191778</v>
      </c>
      <c r="L247" s="5">
        <v>165845006453042</v>
      </c>
      <c r="M247" s="5">
        <v>174469849651353</v>
      </c>
      <c r="N247" s="5">
        <v>162946300607821</v>
      </c>
      <c r="O247" s="5">
        <v>164169934967193</v>
      </c>
      <c r="P247" s="5">
        <v>196466081092744</v>
      </c>
      <c r="Q247" s="5">
        <v>196234711657029</v>
      </c>
      <c r="R247" s="5">
        <v>179571843584074</v>
      </c>
      <c r="S247" s="5">
        <v>182972087860282</v>
      </c>
      <c r="T247" s="5">
        <v>165280312894865</v>
      </c>
      <c r="U247" s="5">
        <v>15652380696262</v>
      </c>
      <c r="V247" s="5">
        <v>158270053274256</v>
      </c>
      <c r="W247" s="5">
        <v>145986474656817</v>
      </c>
      <c r="X247" s="5">
        <v>147266232892756</v>
      </c>
      <c r="Y247" s="5">
        <v>131523092772028</v>
      </c>
      <c r="Z247" s="5">
        <v>122942394300263</v>
      </c>
      <c r="AA247" s="5">
        <v>130960840283835</v>
      </c>
      <c r="AB247" s="5">
        <v>125681174500117</v>
      </c>
      <c r="AC247" s="5">
        <v>122822689240988</v>
      </c>
      <c r="AD247" s="5">
        <v>10745562694911</v>
      </c>
      <c r="AE247" s="5">
        <v>10034364137036</v>
      </c>
      <c r="AF247" s="5">
        <v>873810814665382</v>
      </c>
      <c r="AG247" s="5">
        <v>970285582765926</v>
      </c>
      <c r="AH247" s="5">
        <v>101292376556238</v>
      </c>
      <c r="AI247" s="5">
        <v>103424958891618</v>
      </c>
      <c r="AJ247" s="5">
        <v>109750645680679</v>
      </c>
      <c r="AK247" s="5">
        <v>101211175657802</v>
      </c>
      <c r="AL247" s="5">
        <v>956360515655261</v>
      </c>
      <c r="AM247" s="5">
        <v>823575370350581</v>
      </c>
      <c r="AN247" s="5">
        <v>75714086934793</v>
      </c>
      <c r="AO247" s="5">
        <v>799379867415383</v>
      </c>
    </row>
    <row r="248" spans="1:41" x14ac:dyDescent="0.45">
      <c r="A248" s="1" t="s">
        <v>242</v>
      </c>
      <c r="B248" s="2">
        <v>103661</v>
      </c>
      <c r="C248" s="3" t="s">
        <v>1077</v>
      </c>
      <c r="D248" s="3" t="s">
        <v>1078</v>
      </c>
      <c r="E248" s="3" t="s">
        <v>579</v>
      </c>
      <c r="F248" s="5">
        <v>99585793143711</v>
      </c>
      <c r="G248" s="5">
        <v>9385086459672</v>
      </c>
      <c r="H248" s="5">
        <v>91636190112267</v>
      </c>
      <c r="I248" s="5">
        <v>871937755031803</v>
      </c>
      <c r="J248" s="5">
        <v>834565946258025</v>
      </c>
      <c r="K248" s="5">
        <v>822024034669741</v>
      </c>
      <c r="L248" s="5">
        <v>600985517963233</v>
      </c>
      <c r="M248" s="5">
        <v>570347739115703</v>
      </c>
      <c r="N248" s="5">
        <v>549505221899197</v>
      </c>
      <c r="O248" s="5">
        <v>628551082093777</v>
      </c>
      <c r="P248" s="5">
        <v>748100564803867</v>
      </c>
      <c r="Q248" s="5">
        <v>828926914326322</v>
      </c>
      <c r="R248" s="5">
        <v>758831358765126</v>
      </c>
      <c r="S248" s="5">
        <v>77059634838863</v>
      </c>
      <c r="T248" s="5">
        <v>717761895503328</v>
      </c>
      <c r="U248" s="5">
        <v>70854437245421</v>
      </c>
      <c r="V248" s="5">
        <v>695348206636339</v>
      </c>
      <c r="W248" s="5">
        <v>717722513763024</v>
      </c>
      <c r="X248" s="5">
        <v>62806170407706</v>
      </c>
      <c r="Y248" s="5">
        <v>651633887018532</v>
      </c>
      <c r="Z248" s="5">
        <v>595775536468549</v>
      </c>
      <c r="AA248" s="5">
        <v>69051303369284</v>
      </c>
      <c r="AB248" s="5">
        <v>640376216091599</v>
      </c>
      <c r="AC248" s="5">
        <v>655922840370789</v>
      </c>
      <c r="AD248" s="5">
        <v>725573966759135</v>
      </c>
      <c r="AE248" s="5">
        <v>588204303388304</v>
      </c>
      <c r="AF248" s="5">
        <v>551877700533589</v>
      </c>
      <c r="AG248" s="5">
        <v>615439913838182</v>
      </c>
      <c r="AH248" s="5">
        <v>658496001376256</v>
      </c>
      <c r="AI248" s="5">
        <v>6838601952</v>
      </c>
      <c r="AJ248" s="5">
        <v>70548661644746</v>
      </c>
      <c r="AK248" s="5">
        <v>618196005575929</v>
      </c>
      <c r="AL248" s="5">
        <v>71119480926</v>
      </c>
      <c r="AM248" s="5">
        <v>686386078448928</v>
      </c>
      <c r="AN248" s="5">
        <v>756511859030856</v>
      </c>
      <c r="AO248" s="5">
        <v>775051069071946</v>
      </c>
    </row>
    <row r="249" spans="1:41" x14ac:dyDescent="0.45">
      <c r="A249" s="1" t="s">
        <v>243</v>
      </c>
      <c r="B249" s="2">
        <v>4426247</v>
      </c>
      <c r="C249" s="3" t="s">
        <v>1079</v>
      </c>
      <c r="D249" s="3" t="s">
        <v>1080</v>
      </c>
      <c r="E249" s="3" t="s">
        <v>1081</v>
      </c>
      <c r="F249" s="5">
        <v>145094267747496</v>
      </c>
      <c r="G249" s="5">
        <v>149084645578915</v>
      </c>
      <c r="H249" s="5">
        <v>149614111461635</v>
      </c>
      <c r="I249" s="5">
        <v>15323954350223</v>
      </c>
      <c r="J249" s="5">
        <v>163978601565286</v>
      </c>
      <c r="K249" s="5">
        <v>164250832385706</v>
      </c>
      <c r="L249" s="5">
        <v>171191849301616</v>
      </c>
      <c r="M249" s="5">
        <v>182044791752239</v>
      </c>
      <c r="N249" s="5">
        <v>184692971083231</v>
      </c>
      <c r="O249" s="5">
        <v>197550853065662</v>
      </c>
      <c r="P249" s="5">
        <v>200269914332895</v>
      </c>
      <c r="Q249" s="5">
        <v>183594278014554</v>
      </c>
      <c r="R249" s="5">
        <v>189171487294704</v>
      </c>
      <c r="S249" s="5">
        <v>198864909176577</v>
      </c>
      <c r="T249" s="5">
        <v>177218249569256</v>
      </c>
      <c r="U249" s="5">
        <v>193666191679251</v>
      </c>
      <c r="V249" s="5">
        <v>204036967776459</v>
      </c>
      <c r="W249" s="5">
        <v>199641213450571</v>
      </c>
      <c r="X249" s="5">
        <v>205175780162879</v>
      </c>
      <c r="Y249" s="5">
        <v>196500572523935</v>
      </c>
      <c r="Z249" s="5">
        <v>195896253768163</v>
      </c>
      <c r="AA249" s="5">
        <v>201748788902934</v>
      </c>
      <c r="AB249" s="5">
        <v>192877958542455</v>
      </c>
      <c r="AC249" s="5">
        <v>185739000596259</v>
      </c>
      <c r="AD249" s="5">
        <v>188846132880628</v>
      </c>
      <c r="AE249" s="5">
        <v>187184464315524</v>
      </c>
      <c r="AF249" s="5">
        <v>171969964697088</v>
      </c>
      <c r="AG249" s="5">
        <v>183224057779686</v>
      </c>
      <c r="AH249" s="5">
        <v>19234384591763</v>
      </c>
      <c r="AI249" s="5">
        <v>197127630299496</v>
      </c>
      <c r="AJ249" s="5">
        <v>192817953789632</v>
      </c>
      <c r="AK249" s="5">
        <v>194526454601106</v>
      </c>
      <c r="AL249" s="5">
        <v>185005567892016</v>
      </c>
      <c r="AM249" s="5">
        <v>175744672560943</v>
      </c>
      <c r="AN249" s="5">
        <v>180041843497032</v>
      </c>
      <c r="AO249" s="5">
        <v>182950658545297</v>
      </c>
    </row>
    <row r="250" spans="1:41" x14ac:dyDescent="0.45">
      <c r="A250" s="1" t="s">
        <v>244</v>
      </c>
      <c r="B250" s="2">
        <v>4326091</v>
      </c>
      <c r="C250" s="3" t="s">
        <v>1082</v>
      </c>
      <c r="D250" s="3" t="s">
        <v>1083</v>
      </c>
      <c r="E250" s="3" t="s">
        <v>524</v>
      </c>
      <c r="F250" s="5">
        <v>326944829991</v>
      </c>
      <c r="G250" s="5">
        <v>337808142672</v>
      </c>
      <c r="H250" s="5">
        <v>31960340646</v>
      </c>
      <c r="I250" s="5">
        <v>2752059654</v>
      </c>
      <c r="J250" s="5">
        <v>2773098973</v>
      </c>
      <c r="K250" s="5">
        <v>2762139804</v>
      </c>
      <c r="L250" s="5">
        <v>23214504105</v>
      </c>
      <c r="M250" s="5">
        <v>21395399417</v>
      </c>
      <c r="N250" s="5">
        <v>240985095583031</v>
      </c>
      <c r="O250" s="5">
        <v>287592321514594</v>
      </c>
      <c r="P250" s="5">
        <v>319933647516045</v>
      </c>
      <c r="Q250" s="5">
        <v>35161714764</v>
      </c>
      <c r="R250" s="5">
        <v>344503351335</v>
      </c>
      <c r="S250" s="5">
        <v>34549641588</v>
      </c>
      <c r="T250" s="5">
        <v>3440517993</v>
      </c>
      <c r="U250" s="5">
        <v>387327891546</v>
      </c>
      <c r="V250" s="5">
        <v>414598245165</v>
      </c>
      <c r="W250" s="5">
        <v>41476261596</v>
      </c>
      <c r="X250" s="5">
        <v>359547926544</v>
      </c>
      <c r="Y250" s="5">
        <v>368085703758</v>
      </c>
      <c r="Z250" s="5">
        <v>394516829782214</v>
      </c>
      <c r="AA250" s="5">
        <v>426140340503876</v>
      </c>
      <c r="AB250" s="5">
        <v>416169916344604</v>
      </c>
      <c r="AC250" s="5">
        <v>350264203575</v>
      </c>
      <c r="AD250" s="5">
        <v>38202631195</v>
      </c>
      <c r="AE250" s="5">
        <v>35826262925</v>
      </c>
      <c r="AF250" s="5">
        <v>313423985122667</v>
      </c>
      <c r="AG250" s="5">
        <v>34040486108597</v>
      </c>
      <c r="AH250" s="5">
        <v>375885640354593</v>
      </c>
      <c r="AI250" s="5">
        <v>376738622924735</v>
      </c>
      <c r="AJ250" s="5">
        <v>38202583790513</v>
      </c>
      <c r="AK250" s="5">
        <v>342821780528606</v>
      </c>
      <c r="AL250" s="5">
        <v>31646369192513</v>
      </c>
      <c r="AM250" s="5">
        <v>34074703520334</v>
      </c>
      <c r="AN250" s="5">
        <v>365541758891179</v>
      </c>
      <c r="AO250" s="5">
        <v>392315966153891</v>
      </c>
    </row>
    <row r="251" spans="1:41" x14ac:dyDescent="0.45">
      <c r="A251" s="1" t="s">
        <v>245</v>
      </c>
      <c r="B251" s="2">
        <v>4094831</v>
      </c>
      <c r="C251" s="3" t="s">
        <v>1084</v>
      </c>
      <c r="D251" s="3" t="s">
        <v>1085</v>
      </c>
      <c r="E251" s="3" t="s">
        <v>1086</v>
      </c>
      <c r="F251" s="5">
        <v>208829585887559</v>
      </c>
      <c r="G251" s="5">
        <v>220120291572658</v>
      </c>
      <c r="H251" s="5">
        <v>263620884951713</v>
      </c>
      <c r="I251" s="5">
        <v>256608762835549</v>
      </c>
      <c r="J251" s="5">
        <v>233126969300223</v>
      </c>
      <c r="K251" s="5">
        <v>251118091212684</v>
      </c>
      <c r="L251" s="5">
        <v>257686485294311</v>
      </c>
      <c r="M251" s="5">
        <v>256667899351272</v>
      </c>
      <c r="N251" s="5">
        <v>232158529629199</v>
      </c>
      <c r="O251" s="5">
        <v>233830120997282</v>
      </c>
      <c r="P251" s="5">
        <v>263032311382267</v>
      </c>
      <c r="Q251" s="5">
        <v>286770933039244</v>
      </c>
      <c r="R251" s="5">
        <v>297937839675929</v>
      </c>
      <c r="S251" s="5">
        <v>343977889405121</v>
      </c>
      <c r="T251" s="5">
        <v>334271808526526</v>
      </c>
      <c r="U251" s="5">
        <v>312528724561298</v>
      </c>
      <c r="V251" s="5">
        <v>300371092716603</v>
      </c>
      <c r="W251" s="5">
        <v>277789081432262</v>
      </c>
      <c r="X251" s="5">
        <v>245183586592111</v>
      </c>
      <c r="Y251" s="5">
        <v>218103646058809</v>
      </c>
      <c r="Z251" s="5">
        <v>212485024376984</v>
      </c>
      <c r="AA251" s="5">
        <v>217039287255732</v>
      </c>
      <c r="AB251" s="5">
        <v>212630150975092</v>
      </c>
      <c r="AC251" s="5">
        <v>181714405114245</v>
      </c>
      <c r="AD251" s="5">
        <v>184861240926286</v>
      </c>
      <c r="AE251" s="5">
        <v>171745738187837</v>
      </c>
      <c r="AF251" s="5">
        <v>163173966833498</v>
      </c>
      <c r="AG251" s="5">
        <v>163928711755792</v>
      </c>
      <c r="AH251" s="5">
        <v>170978465065669</v>
      </c>
      <c r="AI251" s="5">
        <v>162476038491572</v>
      </c>
      <c r="AJ251" s="5">
        <v>151781513284824</v>
      </c>
      <c r="AK251" s="5">
        <v>146173207027542</v>
      </c>
      <c r="AL251" s="5">
        <v>145941505834395</v>
      </c>
      <c r="AM251" s="5">
        <v>141991842357857</v>
      </c>
      <c r="AN251" s="5">
        <v>144547737005505</v>
      </c>
      <c r="AO251" s="5">
        <v>146089053888008</v>
      </c>
    </row>
    <row r="252" spans="1:41" x14ac:dyDescent="0.45">
      <c r="A252" s="1" t="s">
        <v>246</v>
      </c>
      <c r="B252" s="2">
        <v>4994170</v>
      </c>
      <c r="C252" s="3" t="s">
        <v>1087</v>
      </c>
      <c r="D252" s="3" t="s">
        <v>1088</v>
      </c>
      <c r="E252" s="3" t="s">
        <v>1089</v>
      </c>
      <c r="F252" s="5">
        <v>157604814041088</v>
      </c>
      <c r="G252" s="5">
        <v>14284951824666</v>
      </c>
      <c r="H252" s="5">
        <v>139401201081205</v>
      </c>
      <c r="I252" s="5">
        <v>110692969889276</v>
      </c>
      <c r="J252" s="5">
        <v>119984597353472</v>
      </c>
      <c r="K252" s="5">
        <v>121897892254013</v>
      </c>
      <c r="L252" s="5">
        <v>121290582923614</v>
      </c>
      <c r="M252" s="5">
        <v>121382938047565</v>
      </c>
      <c r="N252" s="5">
        <v>114166240912163</v>
      </c>
      <c r="O252" s="5">
        <v>136894576753381</v>
      </c>
      <c r="P252" s="5">
        <v>154932426358912</v>
      </c>
      <c r="Q252" s="5">
        <v>166097951548449</v>
      </c>
      <c r="R252" s="5">
        <v>166208594273573</v>
      </c>
      <c r="S252" s="5">
        <v>180726054751709</v>
      </c>
      <c r="T252" s="5">
        <v>167731656944531</v>
      </c>
      <c r="U252" s="5">
        <v>157580488462904</v>
      </c>
      <c r="V252" s="5">
        <v>159700831276737</v>
      </c>
      <c r="W252" s="5">
        <v>163168862866086</v>
      </c>
      <c r="X252" s="5">
        <v>15410137852944</v>
      </c>
      <c r="Y252" s="5">
        <v>152965777641005</v>
      </c>
      <c r="Z252" s="5">
        <v>156895388592649</v>
      </c>
      <c r="AA252" s="5">
        <v>190550179368303</v>
      </c>
      <c r="AB252" s="5">
        <v>19715273918648</v>
      </c>
      <c r="AC252" s="5">
        <v>1912080991652</v>
      </c>
      <c r="AD252" s="5">
        <v>186383976798223</v>
      </c>
      <c r="AE252" s="5">
        <v>175212873545667</v>
      </c>
      <c r="AF252" s="5">
        <v>167787511619488</v>
      </c>
      <c r="AG252" s="5">
        <v>184070897363238</v>
      </c>
      <c r="AH252" s="5">
        <v>179019065784082</v>
      </c>
      <c r="AI252" s="5">
        <v>191244521850885</v>
      </c>
      <c r="AJ252" s="5">
        <v>171872274485239</v>
      </c>
      <c r="AK252" s="5">
        <v>162382776415692</v>
      </c>
      <c r="AL252" s="5">
        <v>164623969959696</v>
      </c>
      <c r="AM252" s="5">
        <v>167582275642585</v>
      </c>
      <c r="AN252" s="5">
        <v>176725270899299</v>
      </c>
      <c r="AO252" s="5">
        <v>18057333847905</v>
      </c>
    </row>
    <row r="253" spans="1:41" x14ac:dyDescent="0.45">
      <c r="A253" s="1" t="s">
        <v>247</v>
      </c>
      <c r="B253" s="2">
        <v>4069059</v>
      </c>
      <c r="C253" s="3" t="s">
        <v>1090</v>
      </c>
      <c r="D253" s="3" t="s">
        <v>1091</v>
      </c>
      <c r="E253" s="3" t="s">
        <v>1092</v>
      </c>
      <c r="F253" s="5">
        <v>207455138495966</v>
      </c>
      <c r="G253" s="5">
        <v>194140860088424</v>
      </c>
      <c r="H253" s="5">
        <v>204605925537293</v>
      </c>
      <c r="I253" s="5">
        <v>198640718498085</v>
      </c>
      <c r="J253" s="5">
        <v>187925121504788</v>
      </c>
      <c r="K253" s="5">
        <v>209373914707461</v>
      </c>
      <c r="L253" s="5">
        <v>199304119547696</v>
      </c>
      <c r="M253" s="5">
        <v>158943265068751</v>
      </c>
      <c r="N253" s="5">
        <v>138666556464184</v>
      </c>
      <c r="O253" s="5">
        <v>137895740106846</v>
      </c>
      <c r="P253" s="5">
        <v>16309059110335</v>
      </c>
      <c r="Q253" s="5">
        <v>171153514800511</v>
      </c>
      <c r="R253" s="5">
        <v>155245544665176</v>
      </c>
      <c r="S253" s="5">
        <v>145273960086788</v>
      </c>
      <c r="T253" s="5">
        <v>127925691182527</v>
      </c>
      <c r="U253" s="5">
        <v>12188503554609</v>
      </c>
      <c r="V253" s="5">
        <v>112083904149692</v>
      </c>
      <c r="W253" s="5">
        <v>118104476791594</v>
      </c>
      <c r="X253" s="5">
        <v>122446925477304</v>
      </c>
      <c r="Y253" s="5">
        <v>1322201114644</v>
      </c>
      <c r="Z253" s="5">
        <v>132361671005868</v>
      </c>
      <c r="AA253" s="5">
        <v>15817047286616</v>
      </c>
      <c r="AB253" s="5">
        <v>170015313620246</v>
      </c>
      <c r="AC253" s="5">
        <v>147289407563385</v>
      </c>
      <c r="AD253" s="5">
        <v>148277459471942</v>
      </c>
      <c r="AE253" s="5">
        <v>135285154612221</v>
      </c>
      <c r="AF253" s="5">
        <v>148710803777328</v>
      </c>
      <c r="AG253" s="5">
        <v>156908066293572</v>
      </c>
      <c r="AH253" s="5">
        <v>138073664979551</v>
      </c>
      <c r="AI253" s="5">
        <v>131433681609545</v>
      </c>
      <c r="AJ253" s="5">
        <v>12939444704518</v>
      </c>
      <c r="AK253" s="5">
        <v>111450332882848</v>
      </c>
      <c r="AL253" s="5">
        <v>93956037571268</v>
      </c>
      <c r="AM253" s="5">
        <v>108142670827177</v>
      </c>
      <c r="AN253" s="5">
        <v>104240105072126</v>
      </c>
      <c r="AO253" s="5">
        <v>964840041253202</v>
      </c>
    </row>
    <row r="254" spans="1:41" x14ac:dyDescent="0.45">
      <c r="A254" s="1" t="s">
        <v>248</v>
      </c>
      <c r="B254" s="2">
        <v>3008229</v>
      </c>
      <c r="C254" s="3" t="s">
        <v>1093</v>
      </c>
      <c r="D254" s="3" t="s">
        <v>1094</v>
      </c>
      <c r="E254" s="3" t="s">
        <v>567</v>
      </c>
      <c r="F254" s="5">
        <v>112487247346365</v>
      </c>
      <c r="G254" s="5">
        <v>108906993813489</v>
      </c>
      <c r="H254" s="5">
        <v>938332822963404</v>
      </c>
      <c r="I254" s="5">
        <v>924978635418901</v>
      </c>
      <c r="J254" s="5">
        <v>10170730181179</v>
      </c>
      <c r="K254" s="5">
        <v>108096986324362</v>
      </c>
      <c r="L254" s="5">
        <v>111710466522734</v>
      </c>
      <c r="M254" s="5">
        <v>116261732154243</v>
      </c>
      <c r="N254" s="5">
        <v>111432256120605</v>
      </c>
      <c r="O254" s="5">
        <v>123154433431999</v>
      </c>
      <c r="P254" s="5">
        <v>121620541779142</v>
      </c>
      <c r="Q254" s="5">
        <v>122201024603474</v>
      </c>
      <c r="R254" s="5">
        <v>123536385266677</v>
      </c>
      <c r="S254" s="5">
        <v>121829964420423</v>
      </c>
      <c r="T254" s="5">
        <v>122178584326768</v>
      </c>
      <c r="U254" s="5">
        <v>115403489748707</v>
      </c>
      <c r="V254" s="5">
        <v>114055166313029</v>
      </c>
      <c r="W254" s="5">
        <v>115508283276355</v>
      </c>
      <c r="X254" s="5">
        <v>112956014000081</v>
      </c>
      <c r="Y254" s="5">
        <v>110699730493371</v>
      </c>
      <c r="Z254" s="5">
        <v>110866487376285</v>
      </c>
      <c r="AA254" s="5">
        <v>117199815128787</v>
      </c>
      <c r="AB254" s="5">
        <v>117138163972461</v>
      </c>
      <c r="AC254" s="5">
        <v>111314637499012</v>
      </c>
      <c r="AD254" s="5">
        <v>107667048654355</v>
      </c>
      <c r="AE254" s="5">
        <v>105967117524859</v>
      </c>
      <c r="AF254" s="5">
        <v>971504476706439</v>
      </c>
      <c r="AG254" s="5">
        <v>104149231527364</v>
      </c>
      <c r="AH254" s="5">
        <v>10542857790802</v>
      </c>
      <c r="AI254" s="5">
        <v>110809100629205</v>
      </c>
      <c r="AJ254" s="5">
        <v>111699099036554</v>
      </c>
      <c r="AK254" s="5">
        <v>104544498194145</v>
      </c>
      <c r="AL254" s="5">
        <v>108028008759859</v>
      </c>
      <c r="AM254" s="5">
        <v>101254698485142</v>
      </c>
      <c r="AN254" s="5">
        <v>112926931763362</v>
      </c>
      <c r="AO254" s="5">
        <v>120956625422247</v>
      </c>
    </row>
    <row r="255" spans="1:41" x14ac:dyDescent="0.45">
      <c r="A255" s="1" t="s">
        <v>249</v>
      </c>
      <c r="B255" s="2">
        <v>4004212</v>
      </c>
      <c r="C255" s="3" t="s">
        <v>1095</v>
      </c>
      <c r="D255" s="3" t="s">
        <v>1096</v>
      </c>
      <c r="E255" s="3" t="s">
        <v>914</v>
      </c>
      <c r="F255" s="5">
        <v>133222723858486</v>
      </c>
      <c r="G255" s="5">
        <v>138057946739993</v>
      </c>
      <c r="H255" s="5">
        <v>161478552626496</v>
      </c>
      <c r="I255" s="5">
        <v>15267876548751</v>
      </c>
      <c r="J255" s="5">
        <v>149434962901127</v>
      </c>
      <c r="K255" s="5">
        <v>148804781027646</v>
      </c>
      <c r="L255" s="5">
        <v>134295282451723</v>
      </c>
      <c r="M255" s="5">
        <v>133549613319614</v>
      </c>
      <c r="N255" s="5">
        <v>13371637071599</v>
      </c>
      <c r="O255" s="5">
        <v>137061945308756</v>
      </c>
      <c r="P255" s="5">
        <v>150883760039251</v>
      </c>
      <c r="Q255" s="5">
        <v>167198711322437</v>
      </c>
      <c r="R255" s="5">
        <v>160060888241596</v>
      </c>
      <c r="S255" s="5">
        <v>165939274638354</v>
      </c>
      <c r="T255" s="5">
        <v>16087621448846</v>
      </c>
      <c r="U255" s="5">
        <v>145830058633043</v>
      </c>
      <c r="V255" s="5">
        <v>169494969816447</v>
      </c>
      <c r="W255" s="5">
        <v>169322055827694</v>
      </c>
      <c r="X255" s="5">
        <v>16326669194922</v>
      </c>
      <c r="Y255" s="5">
        <v>16088022429147</v>
      </c>
      <c r="Z255" s="5">
        <v>168660371583831</v>
      </c>
      <c r="AA255" s="5">
        <v>178830534018996</v>
      </c>
      <c r="AB255" s="5">
        <v>17046554765349</v>
      </c>
      <c r="AC255" s="5">
        <v>156907182428133</v>
      </c>
      <c r="AD255" s="5">
        <v>148333515905287</v>
      </c>
      <c r="AE255" s="5">
        <v>146958782569191</v>
      </c>
      <c r="AF255" s="5">
        <v>158868221112975</v>
      </c>
      <c r="AG255" s="5">
        <v>1623898201926</v>
      </c>
      <c r="AH255" s="5">
        <v>15652060171902</v>
      </c>
      <c r="AI255" s="5">
        <v>144351537629</v>
      </c>
      <c r="AJ255" s="5">
        <v>13814375994</v>
      </c>
      <c r="AK255" s="5">
        <v>13044959708</v>
      </c>
      <c r="AL255" s="5">
        <v>132566172083906</v>
      </c>
      <c r="AM255" s="5">
        <v>137049188613377</v>
      </c>
      <c r="AN255" s="5">
        <v>14264082449694</v>
      </c>
      <c r="AO255" s="5">
        <v>144023455677336</v>
      </c>
    </row>
    <row r="256" spans="1:41" x14ac:dyDescent="0.45">
      <c r="A256" s="1" t="s">
        <v>250</v>
      </c>
      <c r="B256" s="2">
        <v>4044333</v>
      </c>
      <c r="C256" s="3" t="s">
        <v>1097</v>
      </c>
      <c r="D256" s="3" t="s">
        <v>1098</v>
      </c>
      <c r="E256" s="3" t="s">
        <v>680</v>
      </c>
      <c r="F256" s="5">
        <v>424660704311375</v>
      </c>
      <c r="G256" s="5">
        <v>429933429777036</v>
      </c>
      <c r="H256" s="5">
        <v>39452277164808</v>
      </c>
      <c r="I256" s="5">
        <v>38059813924469</v>
      </c>
      <c r="J256" s="5">
        <v>36477334670937</v>
      </c>
      <c r="K256" s="5">
        <v>346838627755001</v>
      </c>
      <c r="L256" s="5">
        <v>312949830902213</v>
      </c>
      <c r="M256" s="5">
        <v>329118518221283</v>
      </c>
      <c r="N256" s="5">
        <v>331488647171568</v>
      </c>
      <c r="O256" s="5">
        <v>369755391153533</v>
      </c>
      <c r="P256" s="5">
        <v>381849745809052</v>
      </c>
      <c r="Q256" s="5">
        <v>352436313436107</v>
      </c>
      <c r="R256" s="5">
        <v>336317140404057</v>
      </c>
      <c r="S256" s="5">
        <v>353724302644077</v>
      </c>
      <c r="T256" s="5">
        <v>35447688224791</v>
      </c>
      <c r="U256" s="5">
        <v>349779716917126</v>
      </c>
      <c r="V256" s="5">
        <v>360975879429653</v>
      </c>
      <c r="W256" s="5">
        <v>351104673460418</v>
      </c>
      <c r="X256" s="5">
        <v>328297822087148</v>
      </c>
      <c r="Y256" s="5">
        <v>32548989894408</v>
      </c>
      <c r="Z256" s="5">
        <v>325852233318655</v>
      </c>
      <c r="AA256" s="5">
        <v>35291827557889</v>
      </c>
      <c r="AB256" s="5">
        <v>359611213796067</v>
      </c>
      <c r="AC256" s="5">
        <v>352565525074181</v>
      </c>
      <c r="AD256" s="5">
        <v>341358555008144</v>
      </c>
      <c r="AE256" s="5">
        <v>341370774354419</v>
      </c>
      <c r="AF256" s="5">
        <v>337991089979542</v>
      </c>
      <c r="AG256" s="5">
        <v>382445133078044</v>
      </c>
      <c r="AH256" s="5">
        <v>387425694449202</v>
      </c>
      <c r="AI256" s="5">
        <v>395086838257551</v>
      </c>
      <c r="AJ256" s="5">
        <v>394010497110104</v>
      </c>
      <c r="AK256" s="5">
        <v>378097091829692</v>
      </c>
      <c r="AL256" s="5">
        <v>385466509155023</v>
      </c>
      <c r="AM256" s="5">
        <v>372860910730776</v>
      </c>
      <c r="AN256" s="5">
        <v>375983209507509</v>
      </c>
      <c r="AO256" s="5">
        <v>393377279409204</v>
      </c>
    </row>
    <row r="257" spans="1:41" x14ac:dyDescent="0.45">
      <c r="A257" s="1" t="s">
        <v>251</v>
      </c>
      <c r="B257" s="2">
        <v>5234450</v>
      </c>
      <c r="C257" s="3" t="s">
        <v>1099</v>
      </c>
      <c r="D257" s="3" t="s">
        <v>1100</v>
      </c>
      <c r="E257" s="3" t="s">
        <v>503</v>
      </c>
      <c r="F257" s="5">
        <v>623303824242791</v>
      </c>
      <c r="G257" s="5">
        <v>613004165597023</v>
      </c>
      <c r="H257" s="5">
        <v>648994154675472</v>
      </c>
      <c r="I257" s="5">
        <v>613227115207944</v>
      </c>
      <c r="J257" s="5">
        <v>597979123017998</v>
      </c>
      <c r="K257" s="5">
        <v>60402820173255</v>
      </c>
      <c r="L257" s="5">
        <v>591817673355161</v>
      </c>
      <c r="M257" s="5">
        <v>587882228028082</v>
      </c>
      <c r="N257" s="5">
        <v>488169364774385</v>
      </c>
      <c r="O257" s="5">
        <v>489280458244491</v>
      </c>
      <c r="P257" s="5">
        <v>543478242054453</v>
      </c>
      <c r="Q257" s="5">
        <v>495393531964344</v>
      </c>
      <c r="R257" s="5">
        <v>504840117134355</v>
      </c>
      <c r="S257" s="5">
        <v>526321550017806</v>
      </c>
      <c r="T257" s="5">
        <v>46481418160421</v>
      </c>
      <c r="U257" s="5">
        <v>464838069768722</v>
      </c>
      <c r="V257" s="5">
        <v>439978339670681</v>
      </c>
      <c r="W257" s="5">
        <v>44157672909005</v>
      </c>
      <c r="X257" s="5">
        <v>417924413641292</v>
      </c>
      <c r="Y257" s="5">
        <v>446702217084889</v>
      </c>
      <c r="Z257" s="5">
        <v>414714669084909</v>
      </c>
      <c r="AA257" s="5">
        <v>412123562111879</v>
      </c>
      <c r="AB257" s="5">
        <v>37366954275202</v>
      </c>
      <c r="AC257" s="5">
        <v>330964854819293</v>
      </c>
      <c r="AD257" s="5">
        <v>354950360603398</v>
      </c>
      <c r="AE257" s="5">
        <v>329358711884189</v>
      </c>
      <c r="AF257" s="5">
        <v>315651011551126</v>
      </c>
      <c r="AG257" s="5">
        <v>342015984478355</v>
      </c>
      <c r="AH257" s="5">
        <v>370456845138129</v>
      </c>
      <c r="AI257" s="5">
        <v>432994706855764</v>
      </c>
      <c r="AJ257" s="5">
        <v>42823709174583</v>
      </c>
      <c r="AK257" s="5">
        <v>384328619156668</v>
      </c>
      <c r="AL257" s="5">
        <v>372592559324403</v>
      </c>
      <c r="AM257" s="5">
        <v>380876189617579</v>
      </c>
      <c r="AN257" s="5">
        <v>405997552023706</v>
      </c>
      <c r="AO257" s="5">
        <v>440155982466678</v>
      </c>
    </row>
    <row r="258" spans="1:41" x14ac:dyDescent="0.45">
      <c r="A258" s="1" t="s">
        <v>252</v>
      </c>
      <c r="B258" s="2">
        <v>100201</v>
      </c>
      <c r="C258" s="3" t="s">
        <v>1101</v>
      </c>
      <c r="D258" s="3" t="s">
        <v>1102</v>
      </c>
      <c r="E258" s="3" t="s">
        <v>653</v>
      </c>
      <c r="F258" s="5">
        <v>747083437697046</v>
      </c>
      <c r="G258" s="5">
        <v>735011342324361</v>
      </c>
      <c r="H258" s="5">
        <v>741721464321968</v>
      </c>
      <c r="I258" s="5">
        <v>739246545615922</v>
      </c>
      <c r="J258" s="5">
        <v>708567456624474</v>
      </c>
      <c r="K258" s="5">
        <v>7120980800976</v>
      </c>
      <c r="L258" s="5">
        <v>686042721488192</v>
      </c>
      <c r="M258" s="5">
        <v>646593016680442</v>
      </c>
      <c r="N258" s="5">
        <v>6000364542005</v>
      </c>
      <c r="O258" s="5">
        <v>634580641093564</v>
      </c>
      <c r="P258" s="5">
        <v>711203888363346</v>
      </c>
      <c r="Q258" s="5">
        <v>719456917608</v>
      </c>
      <c r="R258" s="5">
        <v>651852347445405</v>
      </c>
      <c r="S258" s="5">
        <v>666347766690348</v>
      </c>
      <c r="T258" s="5">
        <v>575422699080671</v>
      </c>
      <c r="U258" s="5">
        <v>537898524024958</v>
      </c>
      <c r="V258" s="5">
        <v>578256058992221</v>
      </c>
      <c r="W258" s="5">
        <v>55942404672</v>
      </c>
      <c r="X258" s="5">
        <v>542082614741264</v>
      </c>
      <c r="Y258" s="5">
        <v>536557138066904</v>
      </c>
      <c r="Z258" s="5">
        <v>515009627817184</v>
      </c>
      <c r="AA258" s="5">
        <v>534129580949534</v>
      </c>
      <c r="AB258" s="5">
        <v>495781369041131</v>
      </c>
      <c r="AC258" s="5">
        <v>464607046754192</v>
      </c>
      <c r="AD258" s="5">
        <v>444895741362069</v>
      </c>
      <c r="AE258" s="5">
        <v>413731486710441</v>
      </c>
      <c r="AF258" s="5">
        <v>382499786396989</v>
      </c>
      <c r="AG258" s="5">
        <v>398176971447227</v>
      </c>
      <c r="AH258" s="5">
        <v>392078156274239</v>
      </c>
      <c r="AI258" s="5">
        <v>4188600983208</v>
      </c>
      <c r="AJ258" s="5">
        <v>389316158926047</v>
      </c>
      <c r="AK258" s="5">
        <v>372114554727961</v>
      </c>
      <c r="AL258" s="5">
        <v>367192647931</v>
      </c>
      <c r="AM258" s="5">
        <v>353018177333252</v>
      </c>
      <c r="AN258" s="5">
        <v>397458064754886</v>
      </c>
      <c r="AO258" s="5">
        <v>377976219583809</v>
      </c>
    </row>
    <row r="259" spans="1:41" x14ac:dyDescent="0.45">
      <c r="A259" s="1" t="s">
        <v>253</v>
      </c>
      <c r="B259" s="2">
        <v>4547508</v>
      </c>
      <c r="C259" s="3" t="s">
        <v>1103</v>
      </c>
      <c r="D259" s="3" t="s">
        <v>1104</v>
      </c>
      <c r="E259" s="3" t="s">
        <v>1105</v>
      </c>
      <c r="F259" s="5">
        <v>324105179842256</v>
      </c>
      <c r="G259" s="5">
        <v>326888142273</v>
      </c>
      <c r="H259" s="5">
        <v>31991535024225</v>
      </c>
      <c r="I259" s="5">
        <v>295353918532989</v>
      </c>
      <c r="J259" s="5">
        <v>337830478559229</v>
      </c>
      <c r="K259" s="5">
        <v>387733155474438</v>
      </c>
      <c r="L259" s="5">
        <v>382339603513163</v>
      </c>
      <c r="M259" s="5">
        <v>403021922561445</v>
      </c>
      <c r="N259" s="5">
        <v>414076250090742</v>
      </c>
      <c r="O259" s="5">
        <v>429551994881217</v>
      </c>
      <c r="P259" s="5">
        <v>437091839394951</v>
      </c>
      <c r="Q259" s="5">
        <v>418919141880631</v>
      </c>
      <c r="R259" s="5">
        <v>420835783757595</v>
      </c>
      <c r="S259" s="5">
        <v>419763669922498</v>
      </c>
      <c r="T259" s="5">
        <v>411642310635206</v>
      </c>
      <c r="U259" s="5">
        <v>455706968697701</v>
      </c>
      <c r="V259" s="5">
        <v>448852399570471</v>
      </c>
      <c r="W259" s="5">
        <v>429536562872894</v>
      </c>
      <c r="X259" s="5">
        <v>422562595266405</v>
      </c>
      <c r="Y259" s="5">
        <v>428116450849794</v>
      </c>
      <c r="Z259" s="5">
        <v>42722604188726</v>
      </c>
      <c r="AA259" s="5">
        <v>393996559889689</v>
      </c>
      <c r="AB259" s="5">
        <v>383942838606284</v>
      </c>
      <c r="AC259" s="5">
        <v>405213303800875</v>
      </c>
      <c r="AD259" s="5">
        <v>421522880838382</v>
      </c>
      <c r="AE259" s="5">
        <v>404769821505809</v>
      </c>
      <c r="AF259" s="5">
        <v>401425169347765</v>
      </c>
      <c r="AG259" s="5">
        <v>41676525125721</v>
      </c>
      <c r="AH259" s="5">
        <v>433503915664152</v>
      </c>
      <c r="AI259" s="5">
        <v>431203663430648</v>
      </c>
      <c r="AJ259" s="5">
        <v>402088168627946</v>
      </c>
      <c r="AK259" s="5">
        <v>409901251208536</v>
      </c>
      <c r="AL259" s="5">
        <v>415931509675438</v>
      </c>
      <c r="AM259" s="5">
        <v>456697468304925</v>
      </c>
      <c r="AN259" s="5">
        <v>457743696211611</v>
      </c>
      <c r="AO259" s="5">
        <v>460586482129398</v>
      </c>
    </row>
    <row r="260" spans="1:41" x14ac:dyDescent="0.45">
      <c r="A260" s="1" t="s">
        <v>254</v>
      </c>
      <c r="B260" s="2">
        <v>100334</v>
      </c>
      <c r="C260" s="3" t="s">
        <v>1106</v>
      </c>
      <c r="D260" s="3" t="s">
        <v>1107</v>
      </c>
      <c r="E260" s="3" t="s">
        <v>653</v>
      </c>
      <c r="F260" s="5">
        <v>190892805540754</v>
      </c>
      <c r="G260" s="5">
        <v>173237722283152</v>
      </c>
      <c r="H260" s="5">
        <v>1697310786456</v>
      </c>
      <c r="I260" s="5">
        <v>174669348026446</v>
      </c>
      <c r="J260" s="5">
        <v>181482845251349</v>
      </c>
      <c r="K260" s="5">
        <v>171686659343862</v>
      </c>
      <c r="L260" s="5">
        <v>162562565960384</v>
      </c>
      <c r="M260" s="5">
        <v>153184455039554</v>
      </c>
      <c r="N260" s="5">
        <v>14544750192336</v>
      </c>
      <c r="O260" s="5">
        <v>162099836049725</v>
      </c>
      <c r="P260" s="5">
        <v>183960946574961</v>
      </c>
      <c r="Q260" s="5">
        <v>19145801814588</v>
      </c>
      <c r="R260" s="5">
        <v>183157973017189</v>
      </c>
      <c r="S260" s="5">
        <v>18302200515268</v>
      </c>
      <c r="T260" s="5">
        <v>14745212382627</v>
      </c>
      <c r="U260" s="5">
        <v>139384938754606</v>
      </c>
      <c r="V260" s="5">
        <v>14315212484739</v>
      </c>
      <c r="W260" s="5">
        <v>1405750238812</v>
      </c>
      <c r="X260" s="5">
        <v>125043974191132</v>
      </c>
      <c r="Y260" s="5">
        <v>124934451519866</v>
      </c>
      <c r="Z260" s="5">
        <v>12775602829248</v>
      </c>
      <c r="AA260" s="5">
        <v>136685455939514</v>
      </c>
      <c r="AB260" s="5">
        <v>123278094660715</v>
      </c>
      <c r="AC260" s="5">
        <v>125386792296506</v>
      </c>
      <c r="AD260" s="5">
        <v>121972990770245</v>
      </c>
      <c r="AE260" s="5">
        <v>106362826427221</v>
      </c>
      <c r="AF260" s="5">
        <v>905335899385806</v>
      </c>
      <c r="AG260" s="5">
        <v>951459668516026</v>
      </c>
      <c r="AH260" s="5">
        <v>977685239813172</v>
      </c>
      <c r="AI260" s="5">
        <v>104469917319975</v>
      </c>
      <c r="AJ260" s="5">
        <v>791592859477728</v>
      </c>
      <c r="AK260" s="5">
        <v>819639756617312</v>
      </c>
      <c r="AL260" s="5">
        <v>9541847825094</v>
      </c>
      <c r="AM260" s="5">
        <v>106575306877453</v>
      </c>
      <c r="AN260" s="5">
        <v>160545894231526</v>
      </c>
      <c r="AO260" s="5">
        <v>16490203564725</v>
      </c>
    </row>
    <row r="261" spans="1:41" x14ac:dyDescent="0.45">
      <c r="A261" s="1" t="s">
        <v>255</v>
      </c>
      <c r="B261" s="2">
        <v>4972803</v>
      </c>
      <c r="C261" s="3" t="s">
        <v>1108</v>
      </c>
      <c r="D261" s="3" t="s">
        <v>1109</v>
      </c>
      <c r="E261" s="3" t="s">
        <v>1110</v>
      </c>
      <c r="F261" s="5">
        <v>297341433173202</v>
      </c>
      <c r="G261" s="5">
        <v>293379377277879</v>
      </c>
      <c r="H261" s="5">
        <v>272609243478737</v>
      </c>
      <c r="I261" s="5">
        <v>256210713324907</v>
      </c>
      <c r="J261" s="5">
        <v>240111204451524</v>
      </c>
      <c r="K261" s="5">
        <v>246614994033908</v>
      </c>
      <c r="L261" s="5">
        <v>240137966268326</v>
      </c>
      <c r="M261" s="5">
        <v>2377562468008</v>
      </c>
      <c r="N261" s="5">
        <v>221466281955578</v>
      </c>
      <c r="O261" s="5">
        <v>239458697467829</v>
      </c>
      <c r="P261" s="5">
        <v>265404333873</v>
      </c>
      <c r="Q261" s="5">
        <v>296692288295104</v>
      </c>
      <c r="R261" s="5">
        <v>26868190210447</v>
      </c>
      <c r="S261" s="5">
        <v>279477634352</v>
      </c>
      <c r="T261" s="5">
        <v>238167793975945</v>
      </c>
      <c r="U261" s="5">
        <v>247293446347405</v>
      </c>
      <c r="V261" s="5">
        <v>241815123430177</v>
      </c>
      <c r="W261" s="5">
        <v>225090478976378</v>
      </c>
      <c r="X261" s="5">
        <v>222762291353734</v>
      </c>
      <c r="Y261" s="5">
        <v>222873355907051</v>
      </c>
      <c r="Z261" s="5">
        <v>241504095914769</v>
      </c>
      <c r="AA261" s="5">
        <v>252716020131206</v>
      </c>
      <c r="AB261" s="5">
        <v>249327645546841</v>
      </c>
      <c r="AC261" s="5">
        <v>246736975928785</v>
      </c>
      <c r="AD261" s="5">
        <v>251939463217607</v>
      </c>
      <c r="AE261" s="5">
        <v>217547306586</v>
      </c>
      <c r="AF261" s="5">
        <v>205134826660051</v>
      </c>
      <c r="AG261" s="5">
        <v>221979848544071</v>
      </c>
      <c r="AH261" s="5">
        <v>218243876539212</v>
      </c>
      <c r="AI261" s="5">
        <v>260709434072059</v>
      </c>
      <c r="AJ261" s="5">
        <v>273587957132394</v>
      </c>
      <c r="AK261" s="5">
        <v>270792470624036</v>
      </c>
      <c r="AL261" s="5">
        <v>23346559437339</v>
      </c>
      <c r="AM261" s="5">
        <v>264760806417376</v>
      </c>
      <c r="AN261" s="5">
        <v>267732487817381</v>
      </c>
      <c r="AO261" s="5">
        <v>294495224074692</v>
      </c>
    </row>
    <row r="262" spans="1:41" x14ac:dyDescent="0.45">
      <c r="A262" s="1" t="s">
        <v>256</v>
      </c>
      <c r="B262" s="2">
        <v>4060881</v>
      </c>
      <c r="C262" s="3" t="s">
        <v>1111</v>
      </c>
      <c r="D262" s="3" t="s">
        <v>1112</v>
      </c>
      <c r="E262" s="3" t="s">
        <v>754</v>
      </c>
      <c r="F262" s="5">
        <v>285189159862585</v>
      </c>
      <c r="G262" s="5">
        <v>312295659117461</v>
      </c>
      <c r="H262" s="5">
        <v>34443110958048</v>
      </c>
      <c r="I262" s="5">
        <v>351603729575111</v>
      </c>
      <c r="J262" s="5">
        <v>366290977141693</v>
      </c>
      <c r="K262" s="5">
        <v>361489692650621</v>
      </c>
      <c r="L262" s="5">
        <v>364252313322183</v>
      </c>
      <c r="M262" s="5">
        <v>420396608437571</v>
      </c>
      <c r="N262" s="5">
        <v>385407284451532</v>
      </c>
      <c r="O262" s="5">
        <v>436393762063965</v>
      </c>
      <c r="P262" s="5">
        <v>452702417636964</v>
      </c>
      <c r="Q262" s="5">
        <v>414896446566</v>
      </c>
      <c r="R262" s="5">
        <v>422097472872785</v>
      </c>
      <c r="S262" s="5">
        <v>440453817992086</v>
      </c>
      <c r="T262" s="5">
        <v>412120406251329</v>
      </c>
      <c r="U262" s="5">
        <v>429655506710339</v>
      </c>
      <c r="V262" s="5">
        <v>440496762953183</v>
      </c>
      <c r="W262" s="5">
        <v>420285445885074</v>
      </c>
      <c r="X262" s="5">
        <v>434294303721586</v>
      </c>
      <c r="Y262" s="5">
        <v>413869093388966</v>
      </c>
      <c r="Z262" s="5">
        <v>429919765924839</v>
      </c>
      <c r="AA262" s="5">
        <v>403462471265451</v>
      </c>
      <c r="AB262" s="5">
        <v>377627088327457</v>
      </c>
      <c r="AC262" s="5">
        <v>37679764518568</v>
      </c>
      <c r="AD262" s="5">
        <v>37149889218809</v>
      </c>
      <c r="AE262" s="5">
        <v>383387454542258</v>
      </c>
      <c r="AF262" s="5">
        <v>382681911416845</v>
      </c>
      <c r="AG262" s="5">
        <v>386136705526319</v>
      </c>
      <c r="AH262" s="5">
        <v>401700595368829</v>
      </c>
      <c r="AI262" s="5">
        <v>396168156682997</v>
      </c>
      <c r="AJ262" s="5">
        <v>426662057250562</v>
      </c>
      <c r="AK262" s="5">
        <v>425082992498105</v>
      </c>
      <c r="AL262" s="5">
        <v>442930129319511</v>
      </c>
      <c r="AM262" s="5">
        <v>416877166500744</v>
      </c>
      <c r="AN262" s="5">
        <v>397510736053134</v>
      </c>
      <c r="AO262" s="5">
        <v>403978735126635</v>
      </c>
    </row>
    <row r="263" spans="1:41" x14ac:dyDescent="0.45">
      <c r="A263" s="1" t="s">
        <v>257</v>
      </c>
      <c r="B263" s="2">
        <v>102965</v>
      </c>
      <c r="C263" s="3" t="s">
        <v>1113</v>
      </c>
      <c r="D263" s="3" t="s">
        <v>1114</v>
      </c>
      <c r="E263" s="3" t="s">
        <v>954</v>
      </c>
      <c r="F263" s="5">
        <v>116910503487719</v>
      </c>
      <c r="G263" s="5">
        <v>120656910281896</v>
      </c>
      <c r="H263" s="5">
        <v>121300680081908</v>
      </c>
      <c r="I263" s="5">
        <v>126113385690541</v>
      </c>
      <c r="J263" s="5">
        <v>130203310883364</v>
      </c>
      <c r="K263" s="5">
        <v>125684279356819</v>
      </c>
      <c r="L263" s="5">
        <v>12108289320439</v>
      </c>
      <c r="M263" s="5">
        <v>126751309821794</v>
      </c>
      <c r="N263" s="5">
        <v>119662235949592</v>
      </c>
      <c r="O263" s="5">
        <v>133529960348365</v>
      </c>
      <c r="P263" s="5">
        <v>144324090415905</v>
      </c>
      <c r="Q263" s="5">
        <v>14559582051597</v>
      </c>
      <c r="R263" s="5">
        <v>152551612628291</v>
      </c>
      <c r="S263" s="5">
        <v>163365287226711</v>
      </c>
      <c r="T263" s="5">
        <v>147260633070908</v>
      </c>
      <c r="U263" s="5">
        <v>140343762377866</v>
      </c>
      <c r="V263" s="5">
        <v>141761514638668</v>
      </c>
      <c r="W263" s="5">
        <v>13535260623654</v>
      </c>
      <c r="X263" s="5">
        <v>122433150989961</v>
      </c>
      <c r="Y263" s="5">
        <v>120342297926312</v>
      </c>
      <c r="Z263" s="5">
        <v>117452657965966</v>
      </c>
      <c r="AA263" s="5">
        <v>122388402589077</v>
      </c>
      <c r="AB263" s="5">
        <v>123006777446925</v>
      </c>
      <c r="AC263" s="5">
        <v>125278001115145</v>
      </c>
      <c r="AD263" s="5">
        <v>11950651482233</v>
      </c>
      <c r="AE263" s="5">
        <v>109807659788874</v>
      </c>
      <c r="AF263" s="5">
        <v>105255935801757</v>
      </c>
      <c r="AG263" s="5">
        <v>103017156471969</v>
      </c>
      <c r="AH263" s="5">
        <v>108246716053012</v>
      </c>
      <c r="AI263" s="5">
        <v>113958833213024</v>
      </c>
      <c r="AJ263" s="5">
        <v>111974280897077</v>
      </c>
      <c r="AK263" s="5">
        <v>106906256229908</v>
      </c>
      <c r="AL263" s="5">
        <v>107787153485087</v>
      </c>
      <c r="AM263" s="5">
        <v>11119757879376</v>
      </c>
      <c r="AN263" s="5">
        <v>120100654004531</v>
      </c>
      <c r="AO263" s="5">
        <v>127895733989169</v>
      </c>
    </row>
    <row r="264" spans="1:41" x14ac:dyDescent="0.45">
      <c r="A264" s="1" t="s">
        <v>258</v>
      </c>
      <c r="B264" s="2">
        <v>4275772</v>
      </c>
      <c r="C264" s="3" t="s">
        <v>1115</v>
      </c>
      <c r="D264" s="3" t="s">
        <v>1116</v>
      </c>
      <c r="E264" s="3" t="s">
        <v>1117</v>
      </c>
      <c r="F264" s="5">
        <v>520888333802409</v>
      </c>
      <c r="G264" s="5">
        <v>524170634043795</v>
      </c>
      <c r="H264" s="5">
        <v>505170334904247</v>
      </c>
      <c r="I264" s="5">
        <v>536156508524266</v>
      </c>
      <c r="J264" s="5">
        <v>512526690727184</v>
      </c>
      <c r="K264" s="5">
        <v>54507679468516</v>
      </c>
      <c r="L264" s="5">
        <v>556274911942386</v>
      </c>
      <c r="M264" s="5">
        <v>549109895712284</v>
      </c>
      <c r="N264" s="5">
        <v>515093756286517</v>
      </c>
      <c r="O264" s="5">
        <v>586508382415269</v>
      </c>
      <c r="P264" s="5">
        <v>578728267761753</v>
      </c>
      <c r="Q264" s="5">
        <v>587368507467037</v>
      </c>
      <c r="R264" s="5">
        <v>587971727199207</v>
      </c>
      <c r="S264" s="5">
        <v>595273058670144</v>
      </c>
      <c r="T264" s="5">
        <v>501506603575879</v>
      </c>
      <c r="U264" s="5">
        <v>439584412896528</v>
      </c>
      <c r="V264" s="5">
        <v>432827103602778</v>
      </c>
      <c r="W264" s="5">
        <v>433330544307738</v>
      </c>
      <c r="X264" s="5">
        <v>411577550782848</v>
      </c>
      <c r="Y264" s="5">
        <v>398861764932528</v>
      </c>
      <c r="Z264" s="5">
        <v>379413897933047</v>
      </c>
      <c r="AA264" s="5">
        <v>376830644522648</v>
      </c>
      <c r="AB264" s="5">
        <v>357040899793053</v>
      </c>
      <c r="AC264" s="5">
        <v>3466452402006</v>
      </c>
      <c r="AD264" s="5">
        <v>354730447015452</v>
      </c>
      <c r="AE264" s="5">
        <v>358087391347765</v>
      </c>
      <c r="AF264" s="5">
        <v>340824595468689</v>
      </c>
      <c r="AG264" s="5">
        <v>349037291903357</v>
      </c>
      <c r="AH264" s="5">
        <v>353762250254003</v>
      </c>
      <c r="AI264" s="5">
        <v>358067377686198</v>
      </c>
      <c r="AJ264" s="5">
        <v>353518290265829</v>
      </c>
      <c r="AK264" s="5">
        <v>33878215334282</v>
      </c>
      <c r="AL264" s="5">
        <v>348275979374878</v>
      </c>
      <c r="AM264" s="5">
        <v>362295986023369</v>
      </c>
      <c r="AN264" s="5">
        <v>361265807713565</v>
      </c>
      <c r="AO264" s="5">
        <v>378717790832855</v>
      </c>
    </row>
    <row r="265" spans="1:41" x14ac:dyDescent="0.45">
      <c r="A265" s="1" t="s">
        <v>259</v>
      </c>
      <c r="B265" s="2">
        <v>4165107</v>
      </c>
      <c r="C265" s="3" t="s">
        <v>1118</v>
      </c>
      <c r="D265" s="3" t="s">
        <v>1119</v>
      </c>
      <c r="E265" s="3" t="s">
        <v>579</v>
      </c>
      <c r="F265" s="5">
        <v>967784433463816</v>
      </c>
      <c r="G265" s="5">
        <v>94020086041691</v>
      </c>
      <c r="H265" s="5">
        <v>914043095995598</v>
      </c>
      <c r="I265" s="5">
        <v>986782600013591</v>
      </c>
      <c r="J265" s="5">
        <v>106245636347199</v>
      </c>
      <c r="K265" s="5">
        <v>114165105274472</v>
      </c>
      <c r="L265" s="5">
        <v>100887501641211</v>
      </c>
      <c r="M265" s="5">
        <v>953367122489743</v>
      </c>
      <c r="N265" s="5">
        <v>894624423409691</v>
      </c>
      <c r="O265" s="5">
        <v>950093839399443</v>
      </c>
      <c r="P265" s="5">
        <v>115752855857438</v>
      </c>
      <c r="Q265" s="5">
        <v>142772180121601</v>
      </c>
      <c r="R265" s="5">
        <v>126897950246771</v>
      </c>
      <c r="S265" s="5">
        <v>137114285435089</v>
      </c>
      <c r="T265" s="5">
        <v>112989153837727</v>
      </c>
      <c r="U265" s="5">
        <v>103899711001879</v>
      </c>
      <c r="V265" s="5">
        <v>993049280201247</v>
      </c>
      <c r="W265" s="5">
        <v>101228225542844</v>
      </c>
      <c r="X265" s="5">
        <v>871610329507233</v>
      </c>
      <c r="Y265" s="5">
        <v>841512077101015</v>
      </c>
      <c r="Z265" s="5">
        <v>770300580142896</v>
      </c>
      <c r="AA265" s="5">
        <v>824090334775948</v>
      </c>
      <c r="AB265" s="5">
        <v>804472964610217</v>
      </c>
      <c r="AC265" s="5">
        <v>706243879616193</v>
      </c>
      <c r="AD265" s="5">
        <v>66335289879331</v>
      </c>
      <c r="AE265" s="5">
        <v>615414642690505</v>
      </c>
      <c r="AF265" s="5">
        <v>449733866972016</v>
      </c>
      <c r="AG265" s="5">
        <v>499166931616461</v>
      </c>
      <c r="AH265" s="5">
        <v>496689437584419</v>
      </c>
      <c r="AI265" s="5">
        <v>465036455110809</v>
      </c>
      <c r="AJ265" s="5">
        <v>4427224364752</v>
      </c>
      <c r="AK265" s="5">
        <v>416977517463927</v>
      </c>
      <c r="AL265" s="5">
        <v>414078645922151</v>
      </c>
      <c r="AM265" s="5">
        <v>416254502189729</v>
      </c>
      <c r="AN265" s="5">
        <v>457090757273745</v>
      </c>
      <c r="AO265" s="5">
        <v>442476018852594</v>
      </c>
    </row>
    <row r="266" spans="1:41" x14ac:dyDescent="0.45">
      <c r="A266" s="1" t="s">
        <v>260</v>
      </c>
      <c r="B266" s="2">
        <v>4069171</v>
      </c>
      <c r="C266" s="3" t="s">
        <v>1120</v>
      </c>
      <c r="D266" s="3" t="s">
        <v>1121</v>
      </c>
      <c r="E266" s="3" t="s">
        <v>603</v>
      </c>
      <c r="F266" s="5">
        <v>135975780491981</v>
      </c>
      <c r="G266" s="5">
        <v>133195740935737</v>
      </c>
      <c r="H266" s="5">
        <v>137696224407782</v>
      </c>
      <c r="I266" s="5">
        <v>121056374297633</v>
      </c>
      <c r="J266" s="5">
        <v>98373611985736</v>
      </c>
      <c r="K266" s="5">
        <v>101620665838917</v>
      </c>
      <c r="L266" s="5">
        <v>100863528639732</v>
      </c>
      <c r="M266" s="5">
        <v>882101044753919</v>
      </c>
      <c r="N266" s="5">
        <v>823035345036966</v>
      </c>
      <c r="O266" s="5">
        <v>835792464679762</v>
      </c>
      <c r="P266" s="5">
        <v>905312383783925</v>
      </c>
      <c r="Q266" s="5">
        <v>943842337662292</v>
      </c>
      <c r="R266" s="5">
        <v>814106026575744</v>
      </c>
      <c r="S266" s="5">
        <v>820288572052224</v>
      </c>
      <c r="T266" s="5">
        <v>820747095220817</v>
      </c>
      <c r="U266" s="5">
        <v>93024243397071</v>
      </c>
      <c r="V266" s="5">
        <v>995883289724016</v>
      </c>
      <c r="W266" s="5">
        <v>102395928529883</v>
      </c>
      <c r="X266" s="5">
        <v>103607486532876</v>
      </c>
      <c r="Y266" s="5">
        <v>94296787896552</v>
      </c>
      <c r="Z266" s="5">
        <v>867921448505436</v>
      </c>
      <c r="AA266" s="5">
        <v>87460484847903</v>
      </c>
      <c r="AB266" s="5">
        <v>853589030635102</v>
      </c>
      <c r="AC266" s="5">
        <v>740440303335049</v>
      </c>
      <c r="AD266" s="5">
        <v>716922062461374</v>
      </c>
      <c r="AE266" s="5">
        <v>680742069802225</v>
      </c>
      <c r="AF266" s="5">
        <v>604315724530518</v>
      </c>
      <c r="AG266" s="5">
        <v>590741910979651</v>
      </c>
      <c r="AH266" s="5">
        <v>632636786623864</v>
      </c>
      <c r="AI266" s="5">
        <v>639838370946635</v>
      </c>
      <c r="AJ266" s="5">
        <v>609544976864046</v>
      </c>
      <c r="AK266" s="5">
        <v>570277549404463</v>
      </c>
      <c r="AL266" s="5">
        <v>480530776890044</v>
      </c>
      <c r="AM266" s="5">
        <v>508769207911679</v>
      </c>
      <c r="AN266" s="5">
        <v>494893386000734</v>
      </c>
      <c r="AO266" s="5">
        <v>500405401291847</v>
      </c>
    </row>
    <row r="267" spans="1:41" x14ac:dyDescent="0.45">
      <c r="A267" s="1" t="s">
        <v>261</v>
      </c>
      <c r="B267" s="2">
        <v>4104164</v>
      </c>
      <c r="C267" s="3" t="s">
        <v>1122</v>
      </c>
      <c r="D267" s="3" t="s">
        <v>1123</v>
      </c>
      <c r="E267" s="3" t="s">
        <v>644</v>
      </c>
      <c r="F267" s="5">
        <v>467694909270209</v>
      </c>
      <c r="G267" s="5">
        <v>449567032392028</v>
      </c>
      <c r="H267" s="5">
        <v>468847399846959</v>
      </c>
      <c r="I267" s="5">
        <v>487009523497945</v>
      </c>
      <c r="J267" s="5">
        <v>444045813109677</v>
      </c>
      <c r="K267" s="5">
        <v>449490844241559</v>
      </c>
      <c r="L267" s="5">
        <v>399297669991054</v>
      </c>
      <c r="M267" s="5">
        <v>402562828819215</v>
      </c>
      <c r="N267" s="5">
        <v>362535498631594</v>
      </c>
      <c r="O267" s="5">
        <v>363519482406881</v>
      </c>
      <c r="P267" s="5">
        <v>373035254439303</v>
      </c>
      <c r="Q267" s="5">
        <v>386875705962628</v>
      </c>
      <c r="R267" s="5">
        <v>385234374737765</v>
      </c>
      <c r="S267" s="5">
        <v>44267790067053</v>
      </c>
      <c r="T267" s="5">
        <v>432291888659927</v>
      </c>
      <c r="U267" s="5">
        <v>40459230600716</v>
      </c>
      <c r="V267" s="5">
        <v>405918544475709</v>
      </c>
      <c r="W267" s="5">
        <v>397710025566084</v>
      </c>
      <c r="X267" s="5">
        <v>39757099694102</v>
      </c>
      <c r="Y267" s="5">
        <v>39323723522013</v>
      </c>
      <c r="Z267" s="5">
        <v>379701298043642</v>
      </c>
      <c r="AA267" s="5">
        <v>37502373868786</v>
      </c>
      <c r="AB267" s="5">
        <v>372207916282203</v>
      </c>
      <c r="AC267" s="5">
        <v>364108171646378</v>
      </c>
      <c r="AD267" s="5">
        <v>361164990659906</v>
      </c>
      <c r="AE267" s="5">
        <v>331607657765286</v>
      </c>
      <c r="AF267" s="5">
        <v>321861263131797</v>
      </c>
      <c r="AG267" s="5">
        <v>311139500004752</v>
      </c>
      <c r="AH267" s="5">
        <v>310553952752531</v>
      </c>
      <c r="AI267" s="5">
        <v>325200853764876</v>
      </c>
      <c r="AJ267" s="5">
        <v>339737878142563</v>
      </c>
      <c r="AK267" s="5">
        <v>312722614423219</v>
      </c>
      <c r="AL267" s="5">
        <v>335001723648273</v>
      </c>
      <c r="AM267" s="5">
        <v>343098147192029</v>
      </c>
      <c r="AN267" s="5">
        <v>378165725183169</v>
      </c>
      <c r="AO267" s="5">
        <v>376587737780433</v>
      </c>
    </row>
    <row r="268" spans="1:41" x14ac:dyDescent="0.45">
      <c r="A268" s="1" t="s">
        <v>262</v>
      </c>
      <c r="B268" s="2">
        <v>4069312</v>
      </c>
      <c r="C268" s="3" t="s">
        <v>1124</v>
      </c>
      <c r="D268" s="3" t="s">
        <v>1125</v>
      </c>
      <c r="E268" s="3" t="s">
        <v>827</v>
      </c>
      <c r="F268" s="5">
        <v>177136157184</v>
      </c>
      <c r="G268" s="5">
        <v>192158777888</v>
      </c>
      <c r="H268" s="5">
        <v>18253197228</v>
      </c>
      <c r="I268" s="5">
        <v>203313488778</v>
      </c>
      <c r="J268" s="5">
        <v>197490183981</v>
      </c>
      <c r="K268" s="5">
        <v>188483044944</v>
      </c>
      <c r="L268" s="5">
        <v>187092320805</v>
      </c>
      <c r="M268" s="5">
        <v>183652247457</v>
      </c>
      <c r="N268" s="5">
        <v>177800741118</v>
      </c>
      <c r="O268" s="5">
        <v>180232087176</v>
      </c>
      <c r="P268" s="5">
        <v>201946793328</v>
      </c>
      <c r="Q268" s="5">
        <v>201012393854234</v>
      </c>
      <c r="R268" s="5">
        <v>185261120356811</v>
      </c>
      <c r="S268" s="5">
        <v>191175469964199</v>
      </c>
      <c r="T268" s="5">
        <v>175840397139009</v>
      </c>
      <c r="U268" s="5">
        <v>168239038448745</v>
      </c>
      <c r="V268" s="5">
        <v>174512254773501</v>
      </c>
      <c r="W268" s="5">
        <v>167800425558797</v>
      </c>
      <c r="X268" s="5">
        <v>160103846654535</v>
      </c>
      <c r="Y268" s="5">
        <v>151497996599719</v>
      </c>
      <c r="Z268" s="5">
        <v>158742792003607</v>
      </c>
      <c r="AA268" s="5">
        <v>170092475388</v>
      </c>
      <c r="AB268" s="5">
        <v>167917704053</v>
      </c>
      <c r="AC268" s="5">
        <v>17395492959</v>
      </c>
      <c r="AD268" s="5">
        <v>174579244287</v>
      </c>
      <c r="AE268" s="5">
        <v>168853177371</v>
      </c>
      <c r="AF268" s="5">
        <v>160498733805</v>
      </c>
      <c r="AG268" s="5">
        <v>16848745948</v>
      </c>
      <c r="AH268" s="5">
        <v>1701870934</v>
      </c>
      <c r="AI268" s="5">
        <v>172184512734</v>
      </c>
      <c r="AJ268" s="5">
        <v>19585763608</v>
      </c>
      <c r="AK268" s="5">
        <v>176683372514</v>
      </c>
      <c r="AL268" s="5">
        <v>182003830866</v>
      </c>
      <c r="AM268" s="5">
        <v>186876965678361</v>
      </c>
      <c r="AN268" s="5">
        <v>1995472512</v>
      </c>
      <c r="AO268" s="5">
        <v>205664419224</v>
      </c>
    </row>
    <row r="269" spans="1:41" x14ac:dyDescent="0.45">
      <c r="A269" s="1" t="s">
        <v>263</v>
      </c>
      <c r="B269" s="2">
        <v>4069378</v>
      </c>
      <c r="C269" s="3" t="s">
        <v>1126</v>
      </c>
      <c r="D269" s="3" t="s">
        <v>1127</v>
      </c>
      <c r="E269" s="3" t="s">
        <v>603</v>
      </c>
      <c r="F269" s="5">
        <v>18312164535618</v>
      </c>
      <c r="G269" s="5">
        <v>168979242432</v>
      </c>
      <c r="H269" s="5">
        <v>1714704774546</v>
      </c>
      <c r="I269" s="5">
        <v>143912751341931</v>
      </c>
      <c r="J269" s="5">
        <v>108360202294114</v>
      </c>
      <c r="K269" s="5">
        <v>10519012705872</v>
      </c>
      <c r="L269" s="5">
        <v>10601970822118</v>
      </c>
      <c r="M269" s="5">
        <v>91073491959786</v>
      </c>
      <c r="N269" s="5">
        <v>80801804754684</v>
      </c>
      <c r="O269" s="5">
        <v>8634172479048</v>
      </c>
      <c r="P269" s="5">
        <v>94676252048868</v>
      </c>
      <c r="Q269" s="5">
        <v>10009765858671</v>
      </c>
      <c r="R269" s="5">
        <v>89768097067545</v>
      </c>
      <c r="S269" s="5">
        <v>9009814077684</v>
      </c>
      <c r="T269" s="5">
        <v>8810749239975</v>
      </c>
      <c r="U269" s="5">
        <v>948363677405468</v>
      </c>
      <c r="V269" s="5">
        <v>96403726212516</v>
      </c>
      <c r="W269" s="5">
        <v>11098026091152</v>
      </c>
      <c r="X269" s="5">
        <v>129933609608205</v>
      </c>
      <c r="Y269" s="5">
        <v>112411494086684</v>
      </c>
      <c r="Z269" s="5">
        <v>109358601263912</v>
      </c>
      <c r="AA269" s="5">
        <v>117924461675118</v>
      </c>
      <c r="AB269" s="5">
        <v>113794136257725</v>
      </c>
      <c r="AC269" s="5">
        <v>99711591355467</v>
      </c>
      <c r="AD269" s="5">
        <v>93389830517024</v>
      </c>
      <c r="AE269" s="5">
        <v>86511833510016</v>
      </c>
      <c r="AF269" s="5">
        <v>7337522631216</v>
      </c>
      <c r="AG269" s="5">
        <v>782984196880832</v>
      </c>
      <c r="AH269" s="5">
        <v>858162737173728</v>
      </c>
      <c r="AI269" s="5">
        <v>86904022332322</v>
      </c>
      <c r="AJ269" s="5">
        <v>791076992779262</v>
      </c>
      <c r="AK269" s="5">
        <v>777360628873151</v>
      </c>
      <c r="AL269" s="5">
        <v>637941115017729</v>
      </c>
      <c r="AM269" s="5">
        <v>658384054191196</v>
      </c>
      <c r="AN269" s="5">
        <v>617766868137968</v>
      </c>
      <c r="AO269" s="5">
        <v>621303073899126</v>
      </c>
    </row>
    <row r="270" spans="1:41" x14ac:dyDescent="0.45">
      <c r="A270" s="1" t="s">
        <v>264</v>
      </c>
      <c r="B270" s="2">
        <v>4107929</v>
      </c>
      <c r="C270" s="3" t="s">
        <v>1128</v>
      </c>
      <c r="D270" s="3" t="s">
        <v>1129</v>
      </c>
      <c r="E270" s="3" t="s">
        <v>1130</v>
      </c>
      <c r="F270" s="5">
        <v>374817965683092</v>
      </c>
      <c r="G270" s="5">
        <v>397427404097096</v>
      </c>
      <c r="H270" s="5">
        <v>347903903186979</v>
      </c>
      <c r="I270" s="5">
        <v>314696432965804</v>
      </c>
      <c r="J270" s="5">
        <v>338190749509644</v>
      </c>
      <c r="K270" s="5">
        <v>314441512557617</v>
      </c>
      <c r="L270" s="5">
        <v>261788933866818</v>
      </c>
      <c r="M270" s="5">
        <v>256316571364163</v>
      </c>
      <c r="N270" s="5">
        <v>22838180707496</v>
      </c>
      <c r="O270" s="5">
        <v>255870887644593</v>
      </c>
      <c r="P270" s="5">
        <v>307633616218526</v>
      </c>
      <c r="Q270" s="5">
        <v>319678535415035</v>
      </c>
      <c r="R270" s="5">
        <v>359666994729195</v>
      </c>
      <c r="S270" s="5">
        <v>364608975158952</v>
      </c>
      <c r="T270" s="5">
        <v>346219716076962</v>
      </c>
      <c r="U270" s="5">
        <v>332379563751983</v>
      </c>
      <c r="V270" s="5">
        <v>259592458906088</v>
      </c>
      <c r="W270" s="5">
        <v>26993334683275</v>
      </c>
      <c r="X270" s="5">
        <v>307686394199736</v>
      </c>
      <c r="Y270" s="5">
        <v>309352564355354</v>
      </c>
      <c r="Z270" s="5">
        <v>309079205403924</v>
      </c>
      <c r="AA270" s="5">
        <v>359584849030968</v>
      </c>
      <c r="AB270" s="5">
        <v>380091251873584</v>
      </c>
      <c r="AC270" s="5">
        <v>339672642098215</v>
      </c>
      <c r="AD270" s="5">
        <v>335384114875469</v>
      </c>
      <c r="AE270" s="5">
        <v>318563346416436</v>
      </c>
      <c r="AF270" s="5">
        <v>343397847821465</v>
      </c>
      <c r="AG270" s="5">
        <v>33106163390525</v>
      </c>
      <c r="AH270" s="5">
        <v>386643830629425</v>
      </c>
      <c r="AI270" s="5">
        <v>414855581878007</v>
      </c>
      <c r="AJ270" s="5">
        <v>40602050967232</v>
      </c>
      <c r="AK270" s="5">
        <v>395324939921584</v>
      </c>
      <c r="AL270" s="5">
        <v>442141761152868</v>
      </c>
      <c r="AM270" s="5">
        <v>404123627920943</v>
      </c>
      <c r="AN270" s="5">
        <v>413730685493635</v>
      </c>
      <c r="AO270" s="5">
        <v>415091409774228</v>
      </c>
    </row>
    <row r="271" spans="1:41" x14ac:dyDescent="0.45">
      <c r="A271" s="1" t="s">
        <v>265</v>
      </c>
      <c r="B271" s="2">
        <v>4276840</v>
      </c>
      <c r="C271" s="3" t="s">
        <v>1131</v>
      </c>
      <c r="D271" s="3" t="s">
        <v>1132</v>
      </c>
      <c r="E271" s="3" t="s">
        <v>914</v>
      </c>
      <c r="F271" s="5">
        <v>19644522698629</v>
      </c>
      <c r="G271" s="5">
        <v>210711255935981</v>
      </c>
      <c r="H271" s="5">
        <v>211866993801767</v>
      </c>
      <c r="I271" s="5">
        <v>206623633233779</v>
      </c>
      <c r="J271" s="5">
        <v>198435569208207</v>
      </c>
      <c r="K271" s="5">
        <v>179647819511182</v>
      </c>
      <c r="L271" s="5">
        <v>172911458935821</v>
      </c>
      <c r="M271" s="5">
        <v>168481001700375</v>
      </c>
      <c r="N271" s="5">
        <v>166324741542737</v>
      </c>
      <c r="O271" s="5">
        <v>16007051507235</v>
      </c>
      <c r="P271" s="5">
        <v>163846630109591</v>
      </c>
      <c r="Q271" s="5">
        <v>182332424518089</v>
      </c>
      <c r="R271" s="5">
        <v>185668907399654</v>
      </c>
      <c r="S271" s="5">
        <v>209177907774671</v>
      </c>
      <c r="T271" s="5">
        <v>225088791931292</v>
      </c>
      <c r="U271" s="5">
        <v>196878408728768</v>
      </c>
      <c r="V271" s="5">
        <v>193056703762711</v>
      </c>
      <c r="W271" s="5">
        <v>179742557170176</v>
      </c>
      <c r="X271" s="5">
        <v>184090239887891</v>
      </c>
      <c r="Y271" s="5">
        <v>183339817220757</v>
      </c>
      <c r="Z271" s="5">
        <v>17730794816537</v>
      </c>
      <c r="AA271" s="5">
        <v>163871739984571</v>
      </c>
      <c r="AB271" s="5">
        <v>160604218930631</v>
      </c>
      <c r="AC271" s="5">
        <v>140009318627392</v>
      </c>
      <c r="AD271" s="5">
        <v>134652795601516</v>
      </c>
      <c r="AE271" s="5">
        <v>13530867376179</v>
      </c>
      <c r="AF271" s="5">
        <v>129004515561902</v>
      </c>
      <c r="AG271" s="5">
        <v>119595428158095</v>
      </c>
      <c r="AH271" s="5">
        <v>123484459390559</v>
      </c>
      <c r="AI271" s="5">
        <v>116412652628222</v>
      </c>
      <c r="AJ271" s="5">
        <v>111170885191475</v>
      </c>
      <c r="AK271" s="5">
        <v>100466376599023</v>
      </c>
      <c r="AL271" s="5">
        <v>115932299588696</v>
      </c>
      <c r="AM271" s="5">
        <v>116246661577032</v>
      </c>
      <c r="AN271" s="5">
        <v>125215726028596</v>
      </c>
      <c r="AO271" s="5">
        <v>124390214258393</v>
      </c>
    </row>
    <row r="272" spans="1:41" x14ac:dyDescent="0.45">
      <c r="A272" s="1" t="s">
        <v>266</v>
      </c>
      <c r="B272" s="2">
        <v>4054537</v>
      </c>
      <c r="C272" s="3" t="s">
        <v>1133</v>
      </c>
      <c r="D272" s="3" t="s">
        <v>1134</v>
      </c>
      <c r="E272" s="3" t="s">
        <v>830</v>
      </c>
      <c r="F272" s="5">
        <v>21423249075174</v>
      </c>
      <c r="G272" s="5">
        <v>277628462270778</v>
      </c>
      <c r="H272" s="5">
        <v>272159346179455</v>
      </c>
      <c r="I272" s="5">
        <v>276615838420345</v>
      </c>
      <c r="J272" s="5">
        <v>29320500845441</v>
      </c>
      <c r="K272" s="5">
        <v>252629467980027</v>
      </c>
      <c r="L272" s="5">
        <v>247010324532559</v>
      </c>
      <c r="M272" s="5">
        <v>245285108971131</v>
      </c>
      <c r="N272" s="5">
        <v>251067238685748</v>
      </c>
      <c r="O272" s="5">
        <v>279048168527852</v>
      </c>
      <c r="P272" s="5">
        <v>302739599679424</v>
      </c>
      <c r="Q272" s="5">
        <v>33358382207831</v>
      </c>
      <c r="R272" s="5">
        <v>355960930937004</v>
      </c>
      <c r="S272" s="5">
        <v>44539287098978</v>
      </c>
      <c r="T272" s="5">
        <v>422455968211511</v>
      </c>
      <c r="U272" s="5">
        <v>457305383116984</v>
      </c>
      <c r="V272" s="5">
        <v>448064169812586</v>
      </c>
      <c r="W272" s="5">
        <v>445292918956763</v>
      </c>
      <c r="X272" s="5">
        <v>380893045124643</v>
      </c>
      <c r="Y272" s="5">
        <v>407227892408255</v>
      </c>
      <c r="Z272" s="5">
        <v>391179321390804</v>
      </c>
      <c r="AA272" s="5">
        <v>438595668557374</v>
      </c>
      <c r="AB272" s="5">
        <v>405562478635884</v>
      </c>
      <c r="AC272" s="5">
        <v>384416771104922</v>
      </c>
      <c r="AD272" s="5">
        <v>378775797745026</v>
      </c>
      <c r="AE272" s="5">
        <v>329386139980359</v>
      </c>
      <c r="AF272" s="5">
        <v>284508114320594</v>
      </c>
      <c r="AG272" s="5">
        <v>298283988100267</v>
      </c>
      <c r="AH272" s="5">
        <v>311593607505002</v>
      </c>
      <c r="AI272" s="5">
        <v>327007466892562</v>
      </c>
      <c r="AJ272" s="5">
        <v>325973817688727</v>
      </c>
      <c r="AK272" s="5">
        <v>286676612935148</v>
      </c>
      <c r="AL272" s="5">
        <v>290978053479741</v>
      </c>
      <c r="AM272" s="5">
        <v>273595634302461</v>
      </c>
      <c r="AN272" s="5">
        <v>258864472287054</v>
      </c>
      <c r="AO272" s="5">
        <v>267788305189093</v>
      </c>
    </row>
    <row r="273" spans="1:41" x14ac:dyDescent="0.45">
      <c r="A273" s="1" t="s">
        <v>267</v>
      </c>
      <c r="B273" s="2">
        <v>4021939</v>
      </c>
      <c r="C273" s="3" t="s">
        <v>1135</v>
      </c>
      <c r="D273" s="3" t="s">
        <v>1136</v>
      </c>
      <c r="E273" s="3" t="s">
        <v>503</v>
      </c>
      <c r="F273" s="5">
        <v>145049973515481</v>
      </c>
      <c r="G273" s="5">
        <v>150892047514676</v>
      </c>
      <c r="H273" s="5">
        <v>1535609150697</v>
      </c>
      <c r="I273" s="5">
        <v>158471457772334</v>
      </c>
      <c r="J273" s="5">
        <v>167512794027144</v>
      </c>
      <c r="K273" s="5">
        <v>186997386881718</v>
      </c>
      <c r="L273" s="5">
        <v>173206363665161</v>
      </c>
      <c r="M273" s="5">
        <v>17651920059362</v>
      </c>
      <c r="N273" s="5">
        <v>171003320055126</v>
      </c>
      <c r="O273" s="5">
        <v>184615730676282</v>
      </c>
      <c r="P273" s="5">
        <v>205532744380639</v>
      </c>
      <c r="Q273" s="5">
        <v>20304104077525</v>
      </c>
      <c r="R273" s="5">
        <v>209651149844136</v>
      </c>
      <c r="S273" s="5">
        <v>225248070577499</v>
      </c>
      <c r="T273" s="5">
        <v>197697437630616</v>
      </c>
      <c r="U273" s="5">
        <v>193067812280853</v>
      </c>
      <c r="V273" s="5">
        <v>1901402451001</v>
      </c>
      <c r="W273" s="5">
        <v>1921226485563</v>
      </c>
      <c r="X273" s="5">
        <v>177871770951786</v>
      </c>
      <c r="Y273" s="5">
        <v>165100627201868</v>
      </c>
      <c r="Z273" s="5">
        <v>154392957988503</v>
      </c>
      <c r="AA273" s="5">
        <v>161027612745895</v>
      </c>
      <c r="AB273" s="5">
        <v>155128181452038</v>
      </c>
      <c r="AC273" s="5">
        <v>140252219342352</v>
      </c>
      <c r="AD273" s="5">
        <v>143890162261404</v>
      </c>
      <c r="AE273" s="5">
        <v>132515747908577</v>
      </c>
      <c r="AF273" s="5">
        <v>124643541024697</v>
      </c>
      <c r="AG273" s="5">
        <v>12563944696129</v>
      </c>
      <c r="AH273" s="5">
        <v>123383542649046</v>
      </c>
      <c r="AI273" s="5">
        <v>118410196608837</v>
      </c>
      <c r="AJ273" s="5">
        <v>106036066168258</v>
      </c>
      <c r="AK273" s="5">
        <v>917754184657908</v>
      </c>
      <c r="AL273" s="5">
        <v>906846752953175</v>
      </c>
      <c r="AM273" s="5">
        <v>820437223410605</v>
      </c>
      <c r="AN273" s="5">
        <v>851554169633244</v>
      </c>
      <c r="AO273" s="5">
        <v>850363065549301</v>
      </c>
    </row>
    <row r="274" spans="1:41" x14ac:dyDescent="0.45">
      <c r="A274" s="1" t="s">
        <v>268</v>
      </c>
      <c r="B274" s="2">
        <v>4062407</v>
      </c>
      <c r="C274" s="3" t="s">
        <v>1137</v>
      </c>
      <c r="D274" s="3" t="s">
        <v>1138</v>
      </c>
      <c r="E274" s="3" t="s">
        <v>527</v>
      </c>
      <c r="F274" s="5">
        <v>169575475125542</v>
      </c>
      <c r="G274" s="5">
        <v>165234533427434</v>
      </c>
      <c r="H274" s="5">
        <v>169346547342273</v>
      </c>
      <c r="I274" s="5">
        <v>18983450720871</v>
      </c>
      <c r="J274" s="5">
        <v>191732475277533</v>
      </c>
      <c r="K274" s="5">
        <v>189400363269197</v>
      </c>
      <c r="L274" s="5">
        <v>188057611371142</v>
      </c>
      <c r="M274" s="5">
        <v>193975316476441</v>
      </c>
      <c r="N274" s="5">
        <v>188043561187251</v>
      </c>
      <c r="O274" s="5">
        <v>203735114683267</v>
      </c>
      <c r="P274" s="5">
        <v>21228139704773</v>
      </c>
      <c r="Q274" s="5">
        <v>204372710622647</v>
      </c>
      <c r="R274" s="5">
        <v>192555090951619</v>
      </c>
      <c r="S274" s="5">
        <v>208045921249023</v>
      </c>
      <c r="T274" s="5">
        <v>200040672684627</v>
      </c>
      <c r="U274" s="5">
        <v>204157573001674</v>
      </c>
      <c r="V274" s="5">
        <v>206465414877503</v>
      </c>
      <c r="W274" s="5">
        <v>201436482853914</v>
      </c>
      <c r="X274" s="5">
        <v>196873222125849</v>
      </c>
      <c r="Y274" s="5">
        <v>193052305653622</v>
      </c>
      <c r="Z274" s="5">
        <v>198240580762911</v>
      </c>
      <c r="AA274" s="5">
        <v>207014052888095</v>
      </c>
      <c r="AB274" s="5">
        <v>199952179866028</v>
      </c>
      <c r="AC274" s="5">
        <v>18092806517785</v>
      </c>
      <c r="AD274" s="5">
        <v>180170436400628</v>
      </c>
      <c r="AE274" s="5">
        <v>183960522758027</v>
      </c>
      <c r="AF274" s="5">
        <v>175391890604818</v>
      </c>
      <c r="AG274" s="5">
        <v>171657539796586</v>
      </c>
      <c r="AH274" s="5">
        <v>17412391096076</v>
      </c>
      <c r="AI274" s="5">
        <v>17297386061909</v>
      </c>
      <c r="AJ274" s="5">
        <v>170903409115318</v>
      </c>
      <c r="AK274" s="5">
        <v>162467596112224</v>
      </c>
      <c r="AL274" s="5">
        <v>164144612982749</v>
      </c>
      <c r="AM274" s="5">
        <v>161008919388623</v>
      </c>
      <c r="AN274" s="5">
        <v>161509724507019</v>
      </c>
      <c r="AO274" s="5">
        <v>150081512523162</v>
      </c>
    </row>
    <row r="275" spans="1:41" x14ac:dyDescent="0.45">
      <c r="A275" s="1" t="s">
        <v>269</v>
      </c>
      <c r="B275" s="2">
        <v>4121693</v>
      </c>
      <c r="C275" s="3" t="s">
        <v>1139</v>
      </c>
      <c r="D275" s="3" t="s">
        <v>1140</v>
      </c>
      <c r="E275" s="3" t="s">
        <v>1141</v>
      </c>
      <c r="F275" s="5">
        <v>281825977329608</v>
      </c>
      <c r="G275" s="5">
        <v>263238161188526</v>
      </c>
      <c r="H275" s="5">
        <v>300705941958911</v>
      </c>
      <c r="I275" s="5">
        <v>323027219897086</v>
      </c>
      <c r="J275" s="5">
        <v>330139925888385</v>
      </c>
      <c r="K275" s="5">
        <v>29926221071896</v>
      </c>
      <c r="L275" s="5">
        <v>298556651023665</v>
      </c>
      <c r="M275" s="5">
        <v>280224955327413</v>
      </c>
      <c r="N275" s="5">
        <v>270608208414476</v>
      </c>
      <c r="O275" s="5">
        <v>279213658799828</v>
      </c>
      <c r="P275" s="5">
        <v>318435106128814</v>
      </c>
      <c r="Q275" s="5">
        <v>320986408032616</v>
      </c>
      <c r="R275" s="5">
        <v>288442906186435</v>
      </c>
      <c r="S275" s="5">
        <v>302161948556545</v>
      </c>
      <c r="T275" s="5">
        <v>248481699474066</v>
      </c>
      <c r="U275" s="5">
        <v>226101138475853</v>
      </c>
      <c r="V275" s="5">
        <v>203379518962138</v>
      </c>
      <c r="W275" s="5">
        <v>204706416028884</v>
      </c>
      <c r="X275" s="5">
        <v>200997180770635</v>
      </c>
      <c r="Y275" s="5">
        <v>198585128456662</v>
      </c>
      <c r="Z275" s="5">
        <v>191312595624619</v>
      </c>
      <c r="AA275" s="5">
        <v>224653684548327</v>
      </c>
      <c r="AB275" s="5">
        <v>205828128769189</v>
      </c>
      <c r="AC275" s="5">
        <v>186930449328391</v>
      </c>
      <c r="AD275" s="5">
        <v>193291817329447</v>
      </c>
      <c r="AE275" s="5">
        <v>176266686279287</v>
      </c>
      <c r="AF275" s="5">
        <v>172751791625218</v>
      </c>
      <c r="AG275" s="5">
        <v>178949553843606</v>
      </c>
      <c r="AH275" s="5">
        <v>1777645610822</v>
      </c>
      <c r="AI275" s="5">
        <v>18161398793848</v>
      </c>
      <c r="AJ275" s="5">
        <v>191859843854962</v>
      </c>
      <c r="AK275" s="5">
        <v>172436193229158</v>
      </c>
      <c r="AL275" s="5">
        <v>141188804623627</v>
      </c>
      <c r="AM275" s="5">
        <v>14835702322896</v>
      </c>
      <c r="AN275" s="5">
        <v>156307069634846</v>
      </c>
      <c r="AO275" s="5">
        <v>167687669707182</v>
      </c>
    </row>
    <row r="276" spans="1:41" x14ac:dyDescent="0.45">
      <c r="A276" s="1" t="s">
        <v>270</v>
      </c>
      <c r="B276" s="2">
        <v>4004271</v>
      </c>
      <c r="C276" s="3" t="s">
        <v>1142</v>
      </c>
      <c r="D276" s="3" t="s">
        <v>1143</v>
      </c>
      <c r="E276" s="3" t="s">
        <v>644</v>
      </c>
      <c r="F276" s="5">
        <v>953224104850072</v>
      </c>
      <c r="G276" s="5">
        <v>913693783015454</v>
      </c>
      <c r="H276" s="5">
        <v>986818948262482</v>
      </c>
      <c r="I276" s="5">
        <v>993339376232892</v>
      </c>
      <c r="J276" s="5">
        <v>909388619944679</v>
      </c>
      <c r="K276" s="5">
        <v>859199770701001</v>
      </c>
      <c r="L276" s="5">
        <v>923978212630656</v>
      </c>
      <c r="M276" s="5">
        <v>996042455775138</v>
      </c>
      <c r="N276" s="5">
        <v>98659413408424</v>
      </c>
      <c r="O276" s="5">
        <v>969481244402245</v>
      </c>
      <c r="P276" s="5">
        <v>101886930559943</v>
      </c>
      <c r="Q276" s="5">
        <v>104841868194659</v>
      </c>
      <c r="R276" s="5">
        <v>111257114770469</v>
      </c>
      <c r="S276" s="5">
        <v>11893832622845</v>
      </c>
      <c r="T276" s="5">
        <v>11920789506674</v>
      </c>
      <c r="U276" s="5">
        <v>124927361325917</v>
      </c>
      <c r="V276" s="5">
        <v>122425249198038</v>
      </c>
      <c r="W276" s="5">
        <v>119353975342842</v>
      </c>
      <c r="X276" s="5">
        <v>104599697421338</v>
      </c>
      <c r="Y276" s="5">
        <v>104061296381006</v>
      </c>
      <c r="Z276" s="5">
        <v>104325713494333</v>
      </c>
      <c r="AA276" s="5">
        <v>101277117009805</v>
      </c>
      <c r="AB276" s="5">
        <v>957305769999385</v>
      </c>
      <c r="AC276" s="5">
        <v>956393259639789</v>
      </c>
      <c r="AD276" s="5">
        <v>101731942257397</v>
      </c>
      <c r="AE276" s="5">
        <v>101859486085298</v>
      </c>
      <c r="AF276" s="5">
        <v>106761035198963</v>
      </c>
      <c r="AG276" s="5">
        <v>973040021921065</v>
      </c>
      <c r="AH276" s="5">
        <v>104101762380659</v>
      </c>
      <c r="AI276" s="5">
        <v>102000842795374</v>
      </c>
      <c r="AJ276" s="5">
        <v>106798647880728</v>
      </c>
      <c r="AK276" s="5">
        <v>10550870676178</v>
      </c>
      <c r="AL276" s="5">
        <v>106578334621034</v>
      </c>
      <c r="AM276" s="5">
        <v>110741368661509</v>
      </c>
      <c r="AN276" s="5">
        <v>11405481334961</v>
      </c>
      <c r="AO276" s="5">
        <v>108890292488152</v>
      </c>
    </row>
    <row r="277" spans="1:41" x14ac:dyDescent="0.45">
      <c r="A277" s="1" t="s">
        <v>271</v>
      </c>
      <c r="B277" s="2">
        <v>103455</v>
      </c>
      <c r="C277" s="3" t="s">
        <v>1144</v>
      </c>
      <c r="D277" s="3" t="s">
        <v>1145</v>
      </c>
      <c r="E277" s="3" t="s">
        <v>570</v>
      </c>
      <c r="F277" s="5">
        <v>185358187929558</v>
      </c>
      <c r="G277" s="5">
        <v>192249377253509</v>
      </c>
      <c r="H277" s="5">
        <v>179047394253354</v>
      </c>
      <c r="I277" s="5">
        <v>177478995572688</v>
      </c>
      <c r="J277" s="5">
        <v>171654302682764</v>
      </c>
      <c r="K277" s="5">
        <v>165974944505639</v>
      </c>
      <c r="L277" s="5">
        <v>163664973686427</v>
      </c>
      <c r="M277" s="5">
        <v>165012875707863</v>
      </c>
      <c r="N277" s="5">
        <v>160978793692553</v>
      </c>
      <c r="O277" s="5">
        <v>181006887431916</v>
      </c>
      <c r="P277" s="5">
        <v>177310348739181</v>
      </c>
      <c r="Q277" s="5">
        <v>179037403183664</v>
      </c>
      <c r="R277" s="5">
        <v>178145881840244</v>
      </c>
      <c r="S277" s="5">
        <v>179018345541322</v>
      </c>
      <c r="T277" s="5">
        <v>159637149083059</v>
      </c>
      <c r="U277" s="5">
        <v>155585027933098</v>
      </c>
      <c r="V277" s="5">
        <v>162622121442244</v>
      </c>
      <c r="W277" s="5">
        <v>162165189041856</v>
      </c>
      <c r="X277" s="5">
        <v>154441586143561</v>
      </c>
      <c r="Y277" s="5">
        <v>156793890373555</v>
      </c>
      <c r="Z277" s="5">
        <v>156072534549649</v>
      </c>
      <c r="AA277" s="5">
        <v>161053345361246</v>
      </c>
      <c r="AB277" s="5">
        <v>154435931022471</v>
      </c>
      <c r="AC277" s="5">
        <v>149924107050498</v>
      </c>
      <c r="AD277" s="5">
        <v>140554302163329</v>
      </c>
      <c r="AE277" s="5">
        <v>143882585244444</v>
      </c>
      <c r="AF277" s="5">
        <v>135257439571185</v>
      </c>
      <c r="AG277" s="5">
        <v>134888648462412</v>
      </c>
      <c r="AH277" s="5">
        <v>12909689176377</v>
      </c>
      <c r="AI277" s="5">
        <v>128198532954765</v>
      </c>
      <c r="AJ277" s="5">
        <v>123958563647669</v>
      </c>
      <c r="AK277" s="5">
        <v>119748646037328</v>
      </c>
      <c r="AL277" s="5">
        <v>120434702482306</v>
      </c>
      <c r="AM277" s="5">
        <v>123291636932309</v>
      </c>
      <c r="AN277" s="5">
        <v>135233593886429</v>
      </c>
      <c r="AO277" s="5">
        <v>134394718550131</v>
      </c>
    </row>
    <row r="278" spans="1:41" x14ac:dyDescent="0.45">
      <c r="A278" s="1" t="s">
        <v>272</v>
      </c>
      <c r="B278" s="2">
        <v>4004318</v>
      </c>
      <c r="C278" s="3" t="s">
        <v>1146</v>
      </c>
      <c r="D278" s="3" t="s">
        <v>1147</v>
      </c>
      <c r="E278" s="3" t="s">
        <v>1148</v>
      </c>
      <c r="F278" s="5">
        <v>115217169755331</v>
      </c>
      <c r="G278" s="5">
        <v>117303224814594</v>
      </c>
      <c r="H278" s="5">
        <v>115787186422173</v>
      </c>
      <c r="I278" s="5">
        <v>120123934930031</v>
      </c>
      <c r="J278" s="5">
        <v>123726663464078</v>
      </c>
      <c r="K278" s="5">
        <v>109534678856863</v>
      </c>
      <c r="L278" s="5">
        <v>105879174347084</v>
      </c>
      <c r="M278" s="5">
        <v>111491141504737</v>
      </c>
      <c r="N278" s="5">
        <v>110287813984227</v>
      </c>
      <c r="O278" s="5">
        <v>12077593767115</v>
      </c>
      <c r="P278" s="5">
        <v>13493322818844</v>
      </c>
      <c r="Q278" s="5">
        <v>141266670141522</v>
      </c>
      <c r="R278" s="5">
        <v>134603594549921</v>
      </c>
      <c r="S278" s="5">
        <v>145797800097146</v>
      </c>
      <c r="T278" s="5">
        <v>136800396319998</v>
      </c>
      <c r="U278" s="5">
        <v>137764047578995</v>
      </c>
      <c r="V278" s="5">
        <v>127453328560936</v>
      </c>
      <c r="W278" s="5">
        <v>128980091769477</v>
      </c>
      <c r="X278" s="5">
        <v>117246638215242</v>
      </c>
      <c r="Y278" s="5">
        <v>11627574774518</v>
      </c>
      <c r="Z278" s="5">
        <v>122000691289382</v>
      </c>
      <c r="AA278" s="5">
        <v>134937657296711</v>
      </c>
      <c r="AB278" s="5">
        <v>127797550958</v>
      </c>
      <c r="AC278" s="5">
        <v>112822500363113</v>
      </c>
      <c r="AD278" s="5">
        <v>115793737369911</v>
      </c>
      <c r="AE278" s="5">
        <v>10484718331876</v>
      </c>
      <c r="AF278" s="5">
        <v>104096871955092</v>
      </c>
      <c r="AG278" s="5">
        <v>113326518100104</v>
      </c>
      <c r="AH278" s="5">
        <v>122638461452461</v>
      </c>
      <c r="AI278" s="5">
        <v>124565801343516</v>
      </c>
      <c r="AJ278" s="5">
        <v>12114637025436</v>
      </c>
      <c r="AK278" s="5">
        <v>111722405168</v>
      </c>
      <c r="AL278" s="5">
        <v>112302687953781</v>
      </c>
      <c r="AM278" s="5">
        <v>109760793935801</v>
      </c>
      <c r="AN278" s="5">
        <v>117201336627488</v>
      </c>
      <c r="AO278" s="5">
        <v>115943116862121</v>
      </c>
    </row>
    <row r="279" spans="1:41" x14ac:dyDescent="0.45">
      <c r="A279" s="1" t="s">
        <v>273</v>
      </c>
      <c r="B279" s="2">
        <v>4218591</v>
      </c>
      <c r="C279" s="3" t="s">
        <v>1149</v>
      </c>
      <c r="D279" s="3" t="s">
        <v>1150</v>
      </c>
      <c r="E279" s="3" t="s">
        <v>1151</v>
      </c>
      <c r="F279" s="5">
        <v>207621977467456</v>
      </c>
      <c r="G279" s="5">
        <v>188355137158718</v>
      </c>
      <c r="H279" s="5">
        <v>175336207750217</v>
      </c>
      <c r="I279" s="5">
        <v>179832391705148</v>
      </c>
      <c r="J279" s="5">
        <v>206887527395552</v>
      </c>
      <c r="K279" s="5">
        <v>209810875898838</v>
      </c>
      <c r="L279" s="5">
        <v>24212095105077</v>
      </c>
      <c r="M279" s="5">
        <v>335317581584233</v>
      </c>
      <c r="N279" s="5">
        <v>286747225312325</v>
      </c>
      <c r="O279" s="5">
        <v>315933258126695</v>
      </c>
      <c r="P279" s="5">
        <v>426575951730336</v>
      </c>
      <c r="Q279" s="5">
        <v>483771227009409</v>
      </c>
      <c r="R279" s="5">
        <v>44983158586432</v>
      </c>
      <c r="S279" s="5">
        <v>37314427281159</v>
      </c>
      <c r="T279" s="5">
        <v>336856879393749</v>
      </c>
      <c r="U279" s="5">
        <v>298705932525815</v>
      </c>
      <c r="V279" s="5">
        <v>288017521456206</v>
      </c>
      <c r="W279" s="5">
        <v>298757945223461</v>
      </c>
      <c r="X279" s="5">
        <v>34847747220589</v>
      </c>
      <c r="Y279" s="5">
        <v>362233022576185</v>
      </c>
      <c r="Z279" s="5">
        <v>424619137835693</v>
      </c>
      <c r="AA279" s="5">
        <v>455725619648906</v>
      </c>
      <c r="AB279" s="5">
        <v>545276475586144</v>
      </c>
      <c r="AC279" s="5">
        <v>527838094234228</v>
      </c>
      <c r="AD279" s="5">
        <v>583713046453251</v>
      </c>
      <c r="AE279" s="5">
        <v>518402678474245</v>
      </c>
      <c r="AF279" s="5">
        <v>471276061842521</v>
      </c>
      <c r="AG279" s="5">
        <v>46102053684584</v>
      </c>
      <c r="AH279" s="5">
        <v>444819957418197</v>
      </c>
      <c r="AI279" s="5">
        <v>436441959544787</v>
      </c>
      <c r="AJ279" s="5">
        <v>44054347666992</v>
      </c>
      <c r="AK279" s="5">
        <v>396538021298304</v>
      </c>
      <c r="AL279" s="5">
        <v>438304905130871</v>
      </c>
      <c r="AM279" s="5">
        <v>426256481935691</v>
      </c>
      <c r="AN279" s="5">
        <v>371407583929368</v>
      </c>
      <c r="AO279" s="5">
        <v>360285768970586</v>
      </c>
    </row>
    <row r="280" spans="1:41" x14ac:dyDescent="0.45">
      <c r="A280" s="1" t="s">
        <v>274</v>
      </c>
      <c r="B280" s="2">
        <v>4973038</v>
      </c>
      <c r="C280" s="3" t="s">
        <v>1152</v>
      </c>
      <c r="D280" s="3" t="s">
        <v>1153</v>
      </c>
      <c r="E280" s="3" t="s">
        <v>618</v>
      </c>
      <c r="F280" s="5">
        <v>222614548575168</v>
      </c>
      <c r="G280" s="5">
        <v>198851655280186</v>
      </c>
      <c r="H280" s="5">
        <v>123921538022268</v>
      </c>
      <c r="I280" s="5">
        <v>96935735367</v>
      </c>
      <c r="J280" s="5">
        <v>79363949031</v>
      </c>
      <c r="K280" s="5">
        <v>66784963584</v>
      </c>
      <c r="L280" s="5">
        <v>5617485146</v>
      </c>
      <c r="M280" s="5">
        <v>44208052616</v>
      </c>
      <c r="N280" s="5">
        <v>35958158496</v>
      </c>
      <c r="O280" s="5">
        <v>39854784888</v>
      </c>
      <c r="P280" s="5">
        <v>46707566633</v>
      </c>
      <c r="Q280" s="5">
        <v>56221487262</v>
      </c>
      <c r="R280" s="5">
        <v>55706978535</v>
      </c>
      <c r="S280" s="5">
        <v>56629524042</v>
      </c>
      <c r="T280" s="5">
        <v>403687629422091</v>
      </c>
      <c r="U280" s="5">
        <v>38585198932</v>
      </c>
      <c r="V280" s="5">
        <v>35365851479</v>
      </c>
      <c r="W280" s="5">
        <v>3234303072</v>
      </c>
      <c r="X280" s="5">
        <v>32125977936</v>
      </c>
      <c r="Y280" s="5">
        <v>271152726</v>
      </c>
      <c r="Z280" s="5">
        <v>275829375379488</v>
      </c>
      <c r="AA280" s="5">
        <v>295458075222345</v>
      </c>
      <c r="AB280" s="5">
        <v>302218054247455</v>
      </c>
      <c r="AC280" s="5">
        <v>339274989793337</v>
      </c>
      <c r="AD280" s="5">
        <v>317742428449081</v>
      </c>
      <c r="AE280" s="5">
        <v>26292951799858</v>
      </c>
      <c r="AF280" s="5">
        <v>248651488923097</v>
      </c>
      <c r="AG280" s="5">
        <v>285995839107816</v>
      </c>
      <c r="AH280" s="5">
        <v>3328854262</v>
      </c>
      <c r="AI280" s="5">
        <v>32640375768</v>
      </c>
      <c r="AJ280" s="5">
        <v>3569973516</v>
      </c>
      <c r="AK280" s="5">
        <v>3409998009</v>
      </c>
      <c r="AL280" s="5">
        <v>29947737625</v>
      </c>
      <c r="AM280" s="5">
        <v>3405190074</v>
      </c>
      <c r="AN280" s="5">
        <v>347219787</v>
      </c>
      <c r="AO280" s="5">
        <v>377693485236164</v>
      </c>
    </row>
    <row r="281" spans="1:41" x14ac:dyDescent="0.45">
      <c r="A281" s="1" t="s">
        <v>275</v>
      </c>
      <c r="B281" s="2">
        <v>4986300</v>
      </c>
      <c r="C281" s="3" t="s">
        <v>1154</v>
      </c>
      <c r="D281" s="3" t="s">
        <v>1155</v>
      </c>
      <c r="E281" s="3" t="s">
        <v>874</v>
      </c>
      <c r="F281" s="5">
        <v>118702275089</v>
      </c>
      <c r="G281" s="5">
        <v>135988031310849</v>
      </c>
      <c r="H281" s="5">
        <v>12954144371359</v>
      </c>
      <c r="I281" s="5">
        <v>134438724840398</v>
      </c>
      <c r="J281" s="5">
        <v>154949675840008</v>
      </c>
      <c r="K281" s="5">
        <v>162764699973937</v>
      </c>
      <c r="L281" s="5">
        <v>158346683957491</v>
      </c>
      <c r="M281" s="5">
        <v>160007830287849</v>
      </c>
      <c r="N281" s="5">
        <v>164898436098881</v>
      </c>
      <c r="O281" s="5">
        <v>210673684519373</v>
      </c>
      <c r="P281" s="5">
        <v>23883689582256</v>
      </c>
      <c r="Q281" s="5">
        <v>236271171183149</v>
      </c>
      <c r="R281" s="5">
        <v>232723494712975</v>
      </c>
      <c r="S281" s="5">
        <v>25652428117437</v>
      </c>
      <c r="T281" s="5">
        <v>260035123752639</v>
      </c>
      <c r="U281" s="5">
        <v>279524514712232</v>
      </c>
      <c r="V281" s="5">
        <v>290092287318494</v>
      </c>
      <c r="W281" s="5">
        <v>299250243411504</v>
      </c>
      <c r="X281" s="5">
        <v>290713853979803</v>
      </c>
      <c r="Y281" s="5">
        <v>298514799487513</v>
      </c>
      <c r="Z281" s="5">
        <v>304430580970734</v>
      </c>
      <c r="AA281" s="5">
        <v>307293635336674</v>
      </c>
      <c r="AB281" s="5">
        <v>301056962613079</v>
      </c>
      <c r="AC281" s="5">
        <v>281385148499063</v>
      </c>
      <c r="AD281" s="5">
        <v>279012351308271</v>
      </c>
      <c r="AE281" s="5">
        <v>282834351490179</v>
      </c>
      <c r="AF281" s="5">
        <v>277044396533597</v>
      </c>
      <c r="AG281" s="5">
        <v>290067540551399</v>
      </c>
      <c r="AH281" s="5">
        <v>295233234008296</v>
      </c>
      <c r="AI281" s="5">
        <v>291789002730205</v>
      </c>
      <c r="AJ281" s="5">
        <v>273608507211155</v>
      </c>
      <c r="AK281" s="5">
        <v>261072123048357</v>
      </c>
      <c r="AL281" s="5">
        <v>278844903695371</v>
      </c>
      <c r="AM281" s="5">
        <v>281710556751816</v>
      </c>
      <c r="AN281" s="5">
        <v>294770533424663</v>
      </c>
      <c r="AO281" s="5">
        <v>289878955511271</v>
      </c>
    </row>
    <row r="282" spans="1:41" x14ac:dyDescent="0.45">
      <c r="A282" s="1" t="s">
        <v>276</v>
      </c>
      <c r="B282" s="2">
        <v>100253</v>
      </c>
      <c r="C282" s="3" t="s">
        <v>1156</v>
      </c>
      <c r="D282" s="3" t="s">
        <v>1157</v>
      </c>
      <c r="E282" s="3" t="s">
        <v>653</v>
      </c>
      <c r="F282" s="5">
        <v>26373417324043</v>
      </c>
      <c r="G282" s="5">
        <v>252123160560336</v>
      </c>
      <c r="H282" s="5">
        <v>245006604234415</v>
      </c>
      <c r="I282" s="5">
        <v>263206751500681</v>
      </c>
      <c r="J282" s="5">
        <v>26940690439194</v>
      </c>
      <c r="K282" s="5">
        <v>2582175977928</v>
      </c>
      <c r="L282" s="5">
        <v>265144385347419</v>
      </c>
      <c r="M282" s="5">
        <v>258367634054979</v>
      </c>
      <c r="N282" s="5">
        <v>24322080976128</v>
      </c>
      <c r="O282" s="5">
        <v>27177384455793</v>
      </c>
      <c r="P282" s="5">
        <v>302804260196258</v>
      </c>
      <c r="Q282" s="5">
        <v>32047986100104</v>
      </c>
      <c r="R282" s="5">
        <v>301310929767587</v>
      </c>
      <c r="S282" s="5">
        <v>345956435807925</v>
      </c>
      <c r="T282" s="5">
        <v>299432706564935</v>
      </c>
      <c r="U282" s="5">
        <v>266704098183529</v>
      </c>
      <c r="V282" s="5">
        <v>259860842398138</v>
      </c>
      <c r="W282" s="5">
        <v>265440489131387</v>
      </c>
      <c r="X282" s="5">
        <v>235705709822173</v>
      </c>
      <c r="Y282" s="5">
        <v>233246395791816</v>
      </c>
      <c r="Z282" s="5">
        <v>22513329922272</v>
      </c>
      <c r="AA282" s="5">
        <v>224352409042184</v>
      </c>
      <c r="AB282" s="5">
        <v>215401009503569</v>
      </c>
      <c r="AC282" s="5">
        <v>2114856954873</v>
      </c>
      <c r="AD282" s="5">
        <v>205817824623799</v>
      </c>
      <c r="AE282" s="5">
        <v>195035044889313</v>
      </c>
      <c r="AF282" s="5">
        <v>1771196571375</v>
      </c>
      <c r="AG282" s="5">
        <v>198258769049746</v>
      </c>
      <c r="AH282" s="5">
        <v>191332305311196</v>
      </c>
      <c r="AI282" s="5">
        <v>21053435673816</v>
      </c>
      <c r="AJ282" s="5">
        <v>188036941740211</v>
      </c>
      <c r="AK282" s="5">
        <v>185455456466449</v>
      </c>
      <c r="AL282" s="5">
        <v>189065167837</v>
      </c>
      <c r="AM282" s="5">
        <v>184936251861058</v>
      </c>
      <c r="AN282" s="5">
        <v>245452555881132</v>
      </c>
      <c r="AO282" s="5">
        <v>247923163644156</v>
      </c>
    </row>
    <row r="283" spans="1:41" x14ac:dyDescent="0.45">
      <c r="A283" s="1" t="s">
        <v>277</v>
      </c>
      <c r="B283" s="2">
        <v>4136924</v>
      </c>
      <c r="C283" s="3" t="s">
        <v>1158</v>
      </c>
      <c r="D283" s="3" t="s">
        <v>1159</v>
      </c>
      <c r="E283" s="3" t="s">
        <v>1160</v>
      </c>
      <c r="F283" s="5">
        <v>416370418537761</v>
      </c>
      <c r="G283" s="5">
        <v>502224834245522</v>
      </c>
      <c r="H283" s="5">
        <v>513754708363737</v>
      </c>
      <c r="I283" s="5">
        <v>499421160141813</v>
      </c>
      <c r="J283" s="5">
        <v>467078801705104</v>
      </c>
      <c r="K283" s="5">
        <v>457073034367951</v>
      </c>
      <c r="L283" s="5">
        <v>434531425571716</v>
      </c>
      <c r="M283" s="5">
        <v>435199606431201</v>
      </c>
      <c r="N283" s="5">
        <v>377305516890235</v>
      </c>
      <c r="O283" s="5">
        <v>419920558164953</v>
      </c>
      <c r="P283" s="5">
        <v>451165699584023</v>
      </c>
      <c r="Q283" s="5">
        <v>450547429548946</v>
      </c>
      <c r="R283" s="5">
        <v>433049276287836</v>
      </c>
      <c r="S283" s="5">
        <v>475652338653794</v>
      </c>
      <c r="T283" s="5">
        <v>448402561419735</v>
      </c>
      <c r="U283" s="5">
        <v>488856612397593</v>
      </c>
      <c r="V283" s="5">
        <v>535943599220376</v>
      </c>
      <c r="W283" s="5">
        <v>576294567374434</v>
      </c>
      <c r="X283" s="5">
        <v>570454351398021</v>
      </c>
      <c r="Y283" s="5">
        <v>57377752193433</v>
      </c>
      <c r="Z283" s="5">
        <v>598766431007902</v>
      </c>
      <c r="AA283" s="5">
        <v>672202289660343</v>
      </c>
      <c r="AB283" s="5">
        <v>565723981239546</v>
      </c>
      <c r="AC283" s="5">
        <v>5616913536</v>
      </c>
      <c r="AD283" s="5">
        <v>509634590878219</v>
      </c>
      <c r="AE283" s="5">
        <v>519396680012371</v>
      </c>
      <c r="AF283" s="5">
        <v>543567502429256</v>
      </c>
      <c r="AG283" s="5">
        <v>571721138423375</v>
      </c>
      <c r="AH283" s="5">
        <v>526330474237891</v>
      </c>
      <c r="AI283" s="5">
        <v>512119316244426</v>
      </c>
      <c r="AJ283" s="5">
        <v>453157803053472</v>
      </c>
      <c r="AK283" s="5">
        <v>41765149651833</v>
      </c>
      <c r="AL283" s="5">
        <v>488191532943764</v>
      </c>
      <c r="AM283" s="5">
        <v>548046522401155</v>
      </c>
      <c r="AN283" s="5">
        <v>518755610382984</v>
      </c>
      <c r="AO283" s="5">
        <v>53721077256</v>
      </c>
    </row>
    <row r="284" spans="1:41" x14ac:dyDescent="0.45">
      <c r="A284" s="1" t="s">
        <v>278</v>
      </c>
      <c r="B284" s="2">
        <v>4046286</v>
      </c>
      <c r="C284" s="3" t="s">
        <v>1161</v>
      </c>
      <c r="D284" s="3" t="s">
        <v>1162</v>
      </c>
      <c r="E284" s="3" t="s">
        <v>530</v>
      </c>
      <c r="F284" s="5">
        <v>709069726321774</v>
      </c>
      <c r="G284" s="5">
        <v>705365097589583</v>
      </c>
      <c r="H284" s="5">
        <v>613285313562995</v>
      </c>
      <c r="I284" s="5">
        <v>602563141538411</v>
      </c>
      <c r="J284" s="5">
        <v>621620844554562</v>
      </c>
      <c r="K284" s="5">
        <v>631714518308381</v>
      </c>
      <c r="L284" s="5">
        <v>637187316091995</v>
      </c>
      <c r="M284" s="5">
        <v>636845121236761</v>
      </c>
      <c r="N284" s="5">
        <v>579066045950962</v>
      </c>
      <c r="O284" s="5">
        <v>606873817832177</v>
      </c>
      <c r="P284" s="5">
        <v>743110470920925</v>
      </c>
      <c r="Q284" s="5">
        <v>77692511718735</v>
      </c>
      <c r="R284" s="5">
        <v>748723121693371</v>
      </c>
      <c r="S284" s="5">
        <v>761426619770709</v>
      </c>
      <c r="T284" s="5">
        <v>674186271957097</v>
      </c>
      <c r="U284" s="5">
        <v>627499493621062</v>
      </c>
      <c r="V284" s="5">
        <v>597344095268914</v>
      </c>
      <c r="W284" s="5">
        <v>591268752337032</v>
      </c>
      <c r="X284" s="5">
        <v>644489542711889</v>
      </c>
      <c r="Y284" s="5">
        <v>608837920188369</v>
      </c>
      <c r="Z284" s="5">
        <v>636559059904918</v>
      </c>
      <c r="AA284" s="5">
        <v>673340408984506</v>
      </c>
      <c r="AB284" s="5">
        <v>669159071707461</v>
      </c>
      <c r="AC284" s="5">
        <v>648937879732121</v>
      </c>
      <c r="AD284" s="5">
        <v>599185848774032</v>
      </c>
      <c r="AE284" s="5">
        <v>545841905080892</v>
      </c>
      <c r="AF284" s="5">
        <v>532274267867593</v>
      </c>
      <c r="AG284" s="5">
        <v>553860395560967</v>
      </c>
      <c r="AH284" s="5">
        <v>559605480084963</v>
      </c>
      <c r="AI284" s="5">
        <v>555509394596919</v>
      </c>
      <c r="AJ284" s="5">
        <v>510423825909863</v>
      </c>
      <c r="AK284" s="5">
        <v>477592767130431</v>
      </c>
      <c r="AL284" s="5">
        <v>473947831297433</v>
      </c>
      <c r="AM284" s="5">
        <v>472045855801272</v>
      </c>
      <c r="AN284" s="5">
        <v>491219323021087</v>
      </c>
      <c r="AO284" s="5">
        <v>507626746178074</v>
      </c>
    </row>
    <row r="285" spans="1:41" x14ac:dyDescent="0.45">
      <c r="A285" s="1" t="s">
        <v>279</v>
      </c>
      <c r="B285" s="2">
        <v>103442</v>
      </c>
      <c r="C285" s="3" t="s">
        <v>1163</v>
      </c>
      <c r="D285" s="3" t="s">
        <v>1164</v>
      </c>
      <c r="E285" s="3" t="s">
        <v>592</v>
      </c>
      <c r="F285" s="5">
        <v>774093474070993</v>
      </c>
      <c r="G285" s="5">
        <v>775072783930922</v>
      </c>
      <c r="H285" s="5">
        <v>756695144929322</v>
      </c>
      <c r="I285" s="5">
        <v>844433214627088</v>
      </c>
      <c r="J285" s="5">
        <v>864997602533757</v>
      </c>
      <c r="K285" s="5">
        <v>856117254874075</v>
      </c>
      <c r="L285" s="5">
        <v>917320928256096</v>
      </c>
      <c r="M285" s="5">
        <v>10146474619233</v>
      </c>
      <c r="N285" s="5">
        <v>979194221408021</v>
      </c>
      <c r="O285" s="5">
        <v>111285967972149</v>
      </c>
      <c r="P285" s="5">
        <v>112266693617235</v>
      </c>
      <c r="Q285" s="5">
        <v>1024775404566</v>
      </c>
      <c r="R285" s="5">
        <v>10076184225768</v>
      </c>
      <c r="S285" s="5">
        <v>108565063537088</v>
      </c>
      <c r="T285" s="5">
        <v>987149562543302</v>
      </c>
      <c r="U285" s="5">
        <v>983622431573946</v>
      </c>
      <c r="V285" s="5">
        <v>101150153451351</v>
      </c>
      <c r="W285" s="5">
        <v>101131903897849</v>
      </c>
      <c r="X285" s="5">
        <v>970605427145118</v>
      </c>
      <c r="Y285" s="5">
        <v>944668037780307</v>
      </c>
      <c r="Z285" s="5">
        <v>918964481963374</v>
      </c>
      <c r="AA285" s="5">
        <v>937570095827757</v>
      </c>
      <c r="AB285" s="5">
        <v>919986960874275</v>
      </c>
      <c r="AC285" s="5">
        <v>88093469824378</v>
      </c>
      <c r="AD285" s="5">
        <v>845192769601785</v>
      </c>
      <c r="AE285" s="5">
        <v>901574069546149</v>
      </c>
      <c r="AF285" s="5">
        <v>885083394953353</v>
      </c>
      <c r="AG285" s="5">
        <v>888106280451958</v>
      </c>
      <c r="AH285" s="5">
        <v>888033866835286</v>
      </c>
      <c r="AI285" s="5">
        <v>844524090923365</v>
      </c>
      <c r="AJ285" s="5">
        <v>852312246648275</v>
      </c>
      <c r="AK285" s="5">
        <v>803896412557352</v>
      </c>
      <c r="AL285" s="5">
        <v>807732308628721</v>
      </c>
      <c r="AM285" s="5">
        <v>758141535009916</v>
      </c>
      <c r="AN285" s="5">
        <v>755388057913619</v>
      </c>
      <c r="AO285" s="5">
        <v>796801137078215</v>
      </c>
    </row>
    <row r="286" spans="1:41" x14ac:dyDescent="0.45">
      <c r="A286" s="1" t="s">
        <v>280</v>
      </c>
      <c r="B286" s="2">
        <v>4095241</v>
      </c>
      <c r="C286" s="3" t="s">
        <v>1165</v>
      </c>
      <c r="D286" s="3" t="s">
        <v>1166</v>
      </c>
      <c r="E286" s="3" t="s">
        <v>814</v>
      </c>
      <c r="F286" s="5">
        <v>319820552489456</v>
      </c>
      <c r="G286" s="5">
        <v>324140144479832</v>
      </c>
      <c r="H286" s="5">
        <v>320561202508731</v>
      </c>
      <c r="I286" s="5">
        <v>323956396706269</v>
      </c>
      <c r="J286" s="5">
        <v>317788730510411</v>
      </c>
      <c r="K286" s="5">
        <v>302970419395595</v>
      </c>
      <c r="L286" s="5">
        <v>281797787580098</v>
      </c>
      <c r="M286" s="5">
        <v>29091075637715</v>
      </c>
      <c r="N286" s="5">
        <v>279873938356319</v>
      </c>
      <c r="O286" s="5">
        <v>269728815086419</v>
      </c>
      <c r="P286" s="5">
        <v>283130918962907</v>
      </c>
      <c r="Q286" s="5">
        <v>319951715579136</v>
      </c>
      <c r="R286" s="5">
        <v>304910254938789</v>
      </c>
      <c r="S286" s="5">
        <v>3475661665476</v>
      </c>
      <c r="T286" s="5">
        <v>33342658962593</v>
      </c>
      <c r="U286" s="5">
        <v>294947811366823</v>
      </c>
      <c r="V286" s="5">
        <v>29515506296057</v>
      </c>
      <c r="W286" s="5">
        <v>33794567024526</v>
      </c>
      <c r="X286" s="5">
        <v>311690980573686</v>
      </c>
      <c r="Y286" s="5">
        <v>325161228553639</v>
      </c>
      <c r="Z286" s="5">
        <v>338851954402592</v>
      </c>
      <c r="AA286" s="5">
        <v>351390020772722</v>
      </c>
      <c r="AB286" s="5">
        <v>330403685816393</v>
      </c>
      <c r="AC286" s="5">
        <v>28963497846523</v>
      </c>
      <c r="AD286" s="5">
        <v>278975198153232</v>
      </c>
      <c r="AE286" s="5">
        <v>263287733489909</v>
      </c>
      <c r="AF286" s="5">
        <v>239220435948608</v>
      </c>
      <c r="AG286" s="5">
        <v>239690020635533</v>
      </c>
      <c r="AH286" s="5">
        <v>254379964415742</v>
      </c>
      <c r="AI286" s="5">
        <v>250379862382726</v>
      </c>
      <c r="AJ286" s="5">
        <v>262070855641063</v>
      </c>
      <c r="AK286" s="5">
        <v>231441491192415</v>
      </c>
      <c r="AL286" s="5">
        <v>204380004101915</v>
      </c>
      <c r="AM286" s="5">
        <v>202952680673424</v>
      </c>
      <c r="AN286" s="5">
        <v>210485925228928</v>
      </c>
      <c r="AO286" s="5">
        <v>205595046229803</v>
      </c>
    </row>
    <row r="287" spans="1:41" x14ac:dyDescent="0.45">
      <c r="A287" s="1" t="s">
        <v>281</v>
      </c>
      <c r="B287" s="2">
        <v>6331137</v>
      </c>
      <c r="C287" s="3" t="s">
        <v>1167</v>
      </c>
      <c r="D287" s="3" t="s">
        <v>1168</v>
      </c>
      <c r="E287" s="3" t="s">
        <v>503</v>
      </c>
      <c r="F287" s="5">
        <v>112257161113457</v>
      </c>
      <c r="G287" s="5">
        <v>116193005593144</v>
      </c>
      <c r="H287" s="5">
        <v>116614694166373</v>
      </c>
      <c r="I287" s="5">
        <v>125604357319115</v>
      </c>
      <c r="J287" s="5">
        <v>131357071256396</v>
      </c>
      <c r="K287" s="5">
        <v>124695402999785</v>
      </c>
      <c r="L287" s="5">
        <v>115601585983359</v>
      </c>
      <c r="M287" s="5">
        <v>116040779929684</v>
      </c>
      <c r="N287" s="5">
        <v>112688717133444</v>
      </c>
      <c r="O287" s="5">
        <v>136386804618991</v>
      </c>
      <c r="P287" s="5">
        <v>153169728544945</v>
      </c>
      <c r="Q287" s="5">
        <v>164563089492562</v>
      </c>
      <c r="R287" s="5">
        <v>151229969716832</v>
      </c>
      <c r="S287" s="5">
        <v>164734566712718</v>
      </c>
      <c r="T287" s="5">
        <v>158784950104992</v>
      </c>
      <c r="U287" s="5">
        <v>164255394454388</v>
      </c>
      <c r="V287" s="5">
        <v>156986817660424</v>
      </c>
      <c r="W287" s="5">
        <v>156993810353226</v>
      </c>
      <c r="X287" s="5">
        <v>137247920233709</v>
      </c>
      <c r="Y287" s="5">
        <v>142211099068084</v>
      </c>
      <c r="Z287" s="5">
        <v>140988206488472</v>
      </c>
      <c r="AA287" s="5">
        <v>160487967637982</v>
      </c>
      <c r="AB287" s="5">
        <v>156056565954461</v>
      </c>
      <c r="AC287" s="5">
        <v>139175557092</v>
      </c>
      <c r="AD287" s="5">
        <v>135979232664</v>
      </c>
      <c r="AE287" s="5">
        <v>12458305398</v>
      </c>
      <c r="AF287" s="5">
        <v>11063634714</v>
      </c>
      <c r="AG287" s="5">
        <v>113586664565389</v>
      </c>
      <c r="AH287" s="5">
        <v>122376009772666</v>
      </c>
      <c r="AI287" s="5">
        <v>123846603265615</v>
      </c>
      <c r="AJ287" s="5">
        <v>11830670881082</v>
      </c>
      <c r="AK287" s="5">
        <v>102052112045224</v>
      </c>
      <c r="AL287" s="5">
        <v>109135096460088</v>
      </c>
      <c r="AM287" s="5">
        <v>103146356135154</v>
      </c>
      <c r="AN287" s="5">
        <v>111225703564781</v>
      </c>
      <c r="AO287" s="5">
        <v>110466961006525</v>
      </c>
    </row>
    <row r="288" spans="1:41" x14ac:dyDescent="0.45">
      <c r="A288" s="1" t="s">
        <v>282</v>
      </c>
      <c r="B288" s="2">
        <v>4073702</v>
      </c>
      <c r="C288" s="3" t="s">
        <v>1169</v>
      </c>
      <c r="D288" s="3" t="s">
        <v>1170</v>
      </c>
      <c r="E288" s="3" t="s">
        <v>567</v>
      </c>
      <c r="F288" s="5">
        <v>436622190628805</v>
      </c>
      <c r="G288" s="5">
        <v>426347839381597</v>
      </c>
      <c r="H288" s="5">
        <v>42975865929523</v>
      </c>
      <c r="I288" s="5">
        <v>438262012291284</v>
      </c>
      <c r="J288" s="5">
        <v>460063756592164</v>
      </c>
      <c r="K288" s="5">
        <v>447673960673972</v>
      </c>
      <c r="L288" s="5">
        <v>43449344150023</v>
      </c>
      <c r="M288" s="5">
        <v>468633643959781</v>
      </c>
      <c r="N288" s="5">
        <v>438785897946299</v>
      </c>
      <c r="O288" s="5">
        <v>463508250336</v>
      </c>
      <c r="P288" s="5">
        <v>506256868474</v>
      </c>
      <c r="Q288" s="5">
        <v>488456527293287</v>
      </c>
      <c r="R288" s="5">
        <v>466821676515444</v>
      </c>
      <c r="S288" s="5">
        <v>463615297149467</v>
      </c>
      <c r="T288" s="5">
        <v>422314606219517</v>
      </c>
      <c r="U288" s="5">
        <v>409019700328907</v>
      </c>
      <c r="V288" s="5">
        <v>403704521042638</v>
      </c>
      <c r="W288" s="5">
        <v>395833766591784</v>
      </c>
      <c r="X288" s="5">
        <v>382754850902071</v>
      </c>
      <c r="Y288" s="5">
        <v>383227670957204</v>
      </c>
      <c r="Z288" s="5">
        <v>392480112149745</v>
      </c>
      <c r="AA288" s="5">
        <v>415918019728599</v>
      </c>
      <c r="AB288" s="5">
        <v>409726390856354</v>
      </c>
      <c r="AC288" s="5">
        <v>386867490624756</v>
      </c>
      <c r="AD288" s="5">
        <v>361853644077951</v>
      </c>
      <c r="AE288" s="5">
        <v>355830430349036</v>
      </c>
      <c r="AF288" s="5">
        <v>334050157457532</v>
      </c>
      <c r="AG288" s="5">
        <v>352439961579944</v>
      </c>
      <c r="AH288" s="5">
        <v>35846853012071</v>
      </c>
      <c r="AI288" s="5">
        <v>337095000909462</v>
      </c>
      <c r="AJ288" s="5">
        <v>341395423582306</v>
      </c>
      <c r="AK288" s="5">
        <v>324561238621571</v>
      </c>
      <c r="AL288" s="5">
        <v>32631143045802</v>
      </c>
      <c r="AM288" s="5">
        <v>318843006886177</v>
      </c>
      <c r="AN288" s="5">
        <v>319034242590378</v>
      </c>
      <c r="AO288" s="5">
        <v>32619811752</v>
      </c>
    </row>
    <row r="289" spans="1:41" x14ac:dyDescent="0.45">
      <c r="A289" s="1" t="s">
        <v>283</v>
      </c>
      <c r="B289" s="2">
        <v>4219024</v>
      </c>
      <c r="C289" s="3" t="s">
        <v>1171</v>
      </c>
      <c r="D289" s="3" t="s">
        <v>1172</v>
      </c>
      <c r="E289" s="3" t="s">
        <v>788</v>
      </c>
      <c r="F289" s="5">
        <v>155669915143214</v>
      </c>
      <c r="G289" s="5">
        <v>156157706298951</v>
      </c>
      <c r="H289" s="5">
        <v>149262987112513</v>
      </c>
      <c r="I289" s="5">
        <v>153018967777953</v>
      </c>
      <c r="J289" s="5">
        <v>161416129212925</v>
      </c>
      <c r="K289" s="5">
        <v>165718436928018</v>
      </c>
      <c r="L289" s="5">
        <v>173220384784044</v>
      </c>
      <c r="M289" s="5">
        <v>171846742564131</v>
      </c>
      <c r="N289" s="5">
        <v>181213063142954</v>
      </c>
      <c r="O289" s="5">
        <v>204195759711593</v>
      </c>
      <c r="P289" s="5">
        <v>21287496875728</v>
      </c>
      <c r="Q289" s="5">
        <v>199216532073567</v>
      </c>
      <c r="R289" s="5">
        <v>197550005269992</v>
      </c>
      <c r="S289" s="5">
        <v>199293940556978</v>
      </c>
      <c r="T289" s="5">
        <v>193414221210643</v>
      </c>
      <c r="U289" s="5">
        <v>198258413722977</v>
      </c>
      <c r="V289" s="5">
        <v>194242989111827</v>
      </c>
      <c r="W289" s="5">
        <v>191155932076864</v>
      </c>
      <c r="X289" s="5">
        <v>177554626947403</v>
      </c>
      <c r="Y289" s="5">
        <v>177160867935058</v>
      </c>
      <c r="Z289" s="5">
        <v>18914292466557</v>
      </c>
      <c r="AA289" s="5">
        <v>189262442506282</v>
      </c>
      <c r="AB289" s="5">
        <v>170685461698824</v>
      </c>
      <c r="AC289" s="5">
        <v>168490059140354</v>
      </c>
      <c r="AD289" s="5">
        <v>166031508899407</v>
      </c>
      <c r="AE289" s="5">
        <v>159450349606902</v>
      </c>
      <c r="AF289" s="5">
        <v>162347146715262</v>
      </c>
      <c r="AG289" s="5">
        <v>192285992235237</v>
      </c>
      <c r="AH289" s="5">
        <v>203090498966189</v>
      </c>
      <c r="AI289" s="5">
        <v>217651308600461</v>
      </c>
      <c r="AJ289" s="5">
        <v>214300668929333</v>
      </c>
      <c r="AK289" s="5">
        <v>215925148372367</v>
      </c>
      <c r="AL289" s="5">
        <v>213333594388596</v>
      </c>
      <c r="AM289" s="5">
        <v>205331602327309</v>
      </c>
      <c r="AN289" s="5">
        <v>187967940880094</v>
      </c>
      <c r="AO289" s="5">
        <v>185315021526973</v>
      </c>
    </row>
    <row r="290" spans="1:41" x14ac:dyDescent="0.45">
      <c r="A290" s="1" t="s">
        <v>284</v>
      </c>
      <c r="B290" s="2">
        <v>4095638</v>
      </c>
      <c r="C290" s="3" t="s">
        <v>1173</v>
      </c>
      <c r="D290" s="3" t="s">
        <v>1174</v>
      </c>
      <c r="E290" s="3" t="s">
        <v>749</v>
      </c>
      <c r="F290" s="5">
        <v>185377388639709</v>
      </c>
      <c r="G290" s="5">
        <v>191507967225221</v>
      </c>
      <c r="H290" s="5">
        <v>184637162063884</v>
      </c>
      <c r="I290" s="5">
        <v>184827435409352</v>
      </c>
      <c r="J290" s="5">
        <v>191278347418664</v>
      </c>
      <c r="K290" s="5">
        <v>187568238695716</v>
      </c>
      <c r="L290" s="5">
        <v>177887811738223</v>
      </c>
      <c r="M290" s="5">
        <v>197775195732456</v>
      </c>
      <c r="N290" s="5">
        <v>201464069830419</v>
      </c>
      <c r="O290" s="5">
        <v>206482644285421</v>
      </c>
      <c r="P290" s="5">
        <v>211720529651642</v>
      </c>
      <c r="Q290" s="5">
        <v>199047044231303</v>
      </c>
      <c r="R290" s="5">
        <v>200656916740128</v>
      </c>
      <c r="S290" s="5">
        <v>201053585085061</v>
      </c>
      <c r="T290" s="5">
        <v>192989228146558</v>
      </c>
      <c r="U290" s="5">
        <v>195851683076283</v>
      </c>
      <c r="V290" s="5">
        <v>187210451548002</v>
      </c>
      <c r="W290" s="5">
        <v>176732474228218</v>
      </c>
      <c r="X290" s="5">
        <v>171408490383597</v>
      </c>
      <c r="Y290" s="5">
        <v>172042904283329</v>
      </c>
      <c r="Z290" s="5">
        <v>184373687082748</v>
      </c>
      <c r="AA290" s="5">
        <v>188476601697113</v>
      </c>
      <c r="AB290" s="5">
        <v>195234222365083</v>
      </c>
      <c r="AC290" s="5">
        <v>195697297102209</v>
      </c>
      <c r="AD290" s="5">
        <v>194574883260752</v>
      </c>
      <c r="AE290" s="5">
        <v>187442231683405</v>
      </c>
      <c r="AF290" s="5">
        <v>18083820880056</v>
      </c>
      <c r="AG290" s="5">
        <v>181387847297403</v>
      </c>
      <c r="AH290" s="5">
        <v>188910280656476</v>
      </c>
      <c r="AI290" s="5">
        <v>194241247400753</v>
      </c>
      <c r="AJ290" s="5">
        <v>19956646466691</v>
      </c>
      <c r="AK290" s="5">
        <v>195313779427076</v>
      </c>
      <c r="AL290" s="5">
        <v>195633230941799</v>
      </c>
      <c r="AM290" s="5">
        <v>188252967016569</v>
      </c>
      <c r="AN290" s="5">
        <v>181852497438782</v>
      </c>
      <c r="AO290" s="5">
        <v>180319231927241</v>
      </c>
    </row>
    <row r="291" spans="1:41" x14ac:dyDescent="0.45">
      <c r="A291" s="1" t="s">
        <v>285</v>
      </c>
      <c r="B291" s="2">
        <v>4069640</v>
      </c>
      <c r="C291" s="3" t="s">
        <v>1175</v>
      </c>
      <c r="D291" s="3" t="s">
        <v>1176</v>
      </c>
      <c r="E291" s="3" t="s">
        <v>710</v>
      </c>
      <c r="F291" s="5">
        <v>862309173186634</v>
      </c>
      <c r="G291" s="5">
        <v>937891821249152</v>
      </c>
      <c r="H291" s="5">
        <v>874959349722096</v>
      </c>
      <c r="I291" s="5">
        <v>818991425366139</v>
      </c>
      <c r="J291" s="5">
        <v>730147004361787</v>
      </c>
      <c r="K291" s="5">
        <v>757281987286569</v>
      </c>
      <c r="L291" s="5">
        <v>779351849409533</v>
      </c>
      <c r="M291" s="5">
        <v>793341896898385</v>
      </c>
      <c r="N291" s="5">
        <v>787366849857238</v>
      </c>
      <c r="O291" s="5">
        <v>780345116299788</v>
      </c>
      <c r="P291" s="5">
        <v>771200724898971</v>
      </c>
      <c r="Q291" s="5">
        <v>726362627907706</v>
      </c>
      <c r="R291" s="5">
        <v>698774855950387</v>
      </c>
      <c r="S291" s="5">
        <v>756172383441531</v>
      </c>
      <c r="T291" s="5">
        <v>597866139567032</v>
      </c>
      <c r="U291" s="5">
        <v>574853159333647</v>
      </c>
      <c r="V291" s="5">
        <v>657814459149181</v>
      </c>
      <c r="W291" s="5">
        <v>739515703738812</v>
      </c>
      <c r="X291" s="5">
        <v>707033588896136</v>
      </c>
      <c r="Y291" s="5">
        <v>682708537484496</v>
      </c>
      <c r="Z291" s="5">
        <v>660193641451905</v>
      </c>
      <c r="AA291" s="5">
        <v>653119851943388</v>
      </c>
      <c r="AB291" s="5">
        <v>633856265824558</v>
      </c>
      <c r="AC291" s="5">
        <v>613083554060833</v>
      </c>
      <c r="AD291" s="5">
        <v>557342871405049</v>
      </c>
      <c r="AE291" s="5">
        <v>57410669269153</v>
      </c>
      <c r="AF291" s="5">
        <v>581426883518112</v>
      </c>
      <c r="AG291" s="5">
        <v>554241409861464</v>
      </c>
      <c r="AH291" s="5">
        <v>512843592745152</v>
      </c>
      <c r="AI291" s="5">
        <v>494809114451912</v>
      </c>
      <c r="AJ291" s="5">
        <v>530419490304002</v>
      </c>
      <c r="AK291" s="5">
        <v>497287628555391</v>
      </c>
      <c r="AL291" s="5">
        <v>451951299768911</v>
      </c>
      <c r="AM291" s="5">
        <v>448761377161913</v>
      </c>
      <c r="AN291" s="5">
        <v>451243537590515</v>
      </c>
      <c r="AO291" s="5">
        <v>494363926543925</v>
      </c>
    </row>
    <row r="292" spans="1:41" x14ac:dyDescent="0.45">
      <c r="A292" s="1" t="s">
        <v>286</v>
      </c>
      <c r="B292" s="2">
        <v>4806212</v>
      </c>
      <c r="C292" s="3" t="s">
        <v>1177</v>
      </c>
      <c r="D292" s="3" t="s">
        <v>1178</v>
      </c>
      <c r="E292" s="3" t="s">
        <v>506</v>
      </c>
      <c r="F292" s="5">
        <v>104887097581603</v>
      </c>
      <c r="G292" s="5">
        <v>116453801550299</v>
      </c>
      <c r="H292" s="5">
        <v>100866441434246</v>
      </c>
      <c r="I292" s="5">
        <v>104119527799252</v>
      </c>
      <c r="J292" s="5">
        <v>101772490978028</v>
      </c>
      <c r="K292" s="5">
        <v>101076163887441</v>
      </c>
      <c r="L292" s="5">
        <v>951021993026743</v>
      </c>
      <c r="M292" s="5">
        <v>937482305957281</v>
      </c>
      <c r="N292" s="5">
        <v>958155727282213</v>
      </c>
      <c r="O292" s="5">
        <v>106628707279224</v>
      </c>
      <c r="P292" s="5">
        <v>113428688815559</v>
      </c>
      <c r="Q292" s="5">
        <v>112043458216135</v>
      </c>
      <c r="R292" s="5">
        <v>989361519735186</v>
      </c>
      <c r="S292" s="5">
        <v>105176420885819</v>
      </c>
      <c r="T292" s="5">
        <v>105417854155089</v>
      </c>
      <c r="U292" s="5">
        <v>103523784271423</v>
      </c>
      <c r="V292" s="5">
        <v>102708479415213</v>
      </c>
      <c r="W292" s="5">
        <v>951645238887975</v>
      </c>
      <c r="X292" s="5">
        <v>941955933967807</v>
      </c>
      <c r="Y292" s="5">
        <v>983913295289571</v>
      </c>
      <c r="Z292" s="5">
        <v>996403981910575</v>
      </c>
      <c r="AA292" s="5">
        <v>10713332999073</v>
      </c>
      <c r="AB292" s="5">
        <v>102396809065897</v>
      </c>
      <c r="AC292" s="5">
        <v>107283979809399</v>
      </c>
      <c r="AD292" s="5">
        <v>990980534602208</v>
      </c>
      <c r="AE292" s="5">
        <v>966428161929102</v>
      </c>
      <c r="AF292" s="5">
        <v>888597472440535</v>
      </c>
      <c r="AG292" s="5">
        <v>985054354300425</v>
      </c>
      <c r="AH292" s="5">
        <v>99980294795959</v>
      </c>
      <c r="AI292" s="5">
        <v>105944739539825</v>
      </c>
      <c r="AJ292" s="5">
        <v>107363185877429</v>
      </c>
      <c r="AK292" s="5">
        <v>103342256285305</v>
      </c>
      <c r="AL292" s="5">
        <v>10963994503942</v>
      </c>
      <c r="AM292" s="5">
        <v>987209620955788</v>
      </c>
      <c r="AN292" s="5">
        <v>103766157482911</v>
      </c>
      <c r="AO292" s="5">
        <v>102494867303766</v>
      </c>
    </row>
    <row r="293" spans="1:41" x14ac:dyDescent="0.45">
      <c r="A293" s="1" t="s">
        <v>287</v>
      </c>
      <c r="B293" s="2">
        <v>4004265</v>
      </c>
      <c r="C293" s="3" t="s">
        <v>1179</v>
      </c>
      <c r="D293" s="3" t="s">
        <v>1180</v>
      </c>
      <c r="E293" s="3" t="s">
        <v>680</v>
      </c>
      <c r="F293" s="5">
        <v>222513176395093</v>
      </c>
      <c r="G293" s="5">
        <v>224388220319914</v>
      </c>
      <c r="H293" s="5">
        <v>186196400217703</v>
      </c>
      <c r="I293" s="5">
        <v>178675272737614</v>
      </c>
      <c r="J293" s="5">
        <v>179626051419098</v>
      </c>
      <c r="K293" s="5">
        <v>171484611889628</v>
      </c>
      <c r="L293" s="5">
        <v>169255408740339</v>
      </c>
      <c r="M293" s="5">
        <v>170044756436782</v>
      </c>
      <c r="N293" s="5">
        <v>188969321632516</v>
      </c>
      <c r="O293" s="5">
        <v>2097770843373</v>
      </c>
      <c r="P293" s="5">
        <v>223962098941854</v>
      </c>
      <c r="Q293" s="5">
        <v>240504405709666</v>
      </c>
      <c r="R293" s="5">
        <v>243066951914407</v>
      </c>
      <c r="S293" s="5">
        <v>243690911842603</v>
      </c>
      <c r="T293" s="5">
        <v>238872115388337</v>
      </c>
      <c r="U293" s="5">
        <v>258088950909048</v>
      </c>
      <c r="V293" s="5">
        <v>271454364174086</v>
      </c>
      <c r="W293" s="5">
        <v>264759612820081</v>
      </c>
      <c r="X293" s="5">
        <v>2926468740388</v>
      </c>
      <c r="Y293" s="5">
        <v>293198757336257</v>
      </c>
      <c r="Z293" s="5">
        <v>306107702495229</v>
      </c>
      <c r="AA293" s="5">
        <v>309386027879248</v>
      </c>
      <c r="AB293" s="5">
        <v>297905945767272</v>
      </c>
      <c r="AC293" s="5">
        <v>282094864262424</v>
      </c>
      <c r="AD293" s="5">
        <v>249931695180015</v>
      </c>
      <c r="AE293" s="5">
        <v>238106722070945</v>
      </c>
      <c r="AF293" s="5">
        <v>246661140869288</v>
      </c>
      <c r="AG293" s="5">
        <v>24681747754851</v>
      </c>
      <c r="AH293" s="5">
        <v>254969010551806</v>
      </c>
      <c r="AI293" s="5">
        <v>245558359873946</v>
      </c>
      <c r="AJ293" s="5">
        <v>268199977014567</v>
      </c>
      <c r="AK293" s="5">
        <v>262872536344014</v>
      </c>
      <c r="AL293" s="5">
        <v>265512218035168</v>
      </c>
      <c r="AM293" s="5">
        <v>248582416700025</v>
      </c>
      <c r="AN293" s="5">
        <v>254057459999823</v>
      </c>
      <c r="AO293" s="5">
        <v>25073135985905</v>
      </c>
    </row>
    <row r="294" spans="1:41" x14ac:dyDescent="0.45">
      <c r="A294" s="1" t="s">
        <v>288</v>
      </c>
      <c r="B294" s="2">
        <v>4144156</v>
      </c>
      <c r="C294" s="3" t="s">
        <v>1181</v>
      </c>
      <c r="D294" s="3" t="s">
        <v>1182</v>
      </c>
      <c r="E294" s="3" t="s">
        <v>550</v>
      </c>
      <c r="F294" s="5">
        <v>141703721988273</v>
      </c>
      <c r="G294" s="5">
        <v>140845085862503</v>
      </c>
      <c r="H294" s="5">
        <v>141683758653546</v>
      </c>
      <c r="I294" s="5">
        <v>157237968079867</v>
      </c>
      <c r="J294" s="5">
        <v>158645409409228</v>
      </c>
      <c r="K294" s="5">
        <v>169856247205906</v>
      </c>
      <c r="L294" s="5">
        <v>158021352903107</v>
      </c>
      <c r="M294" s="5">
        <v>1434757942676</v>
      </c>
      <c r="N294" s="5">
        <v>12215523599718</v>
      </c>
      <c r="O294" s="5">
        <v>135106942489804</v>
      </c>
      <c r="P294" s="5">
        <v>162713376627104</v>
      </c>
      <c r="Q294" s="5">
        <v>167996830987632</v>
      </c>
      <c r="R294" s="5">
        <v>14277096180762</v>
      </c>
      <c r="S294" s="5">
        <v>137418134019953</v>
      </c>
      <c r="T294" s="5">
        <v>131965411463689</v>
      </c>
      <c r="U294" s="5">
        <v>129842769965149</v>
      </c>
      <c r="V294" s="5">
        <v>119234405131896</v>
      </c>
      <c r="W294" s="5">
        <v>111288641763918</v>
      </c>
      <c r="X294" s="5">
        <v>119366388609129</v>
      </c>
      <c r="Y294" s="5">
        <v>109188650941218</v>
      </c>
      <c r="Z294" s="5">
        <v>10204349817838</v>
      </c>
      <c r="AA294" s="5">
        <v>114608497362372</v>
      </c>
      <c r="AB294" s="5">
        <v>115594938425096</v>
      </c>
      <c r="AC294" s="5">
        <v>924102177180128</v>
      </c>
      <c r="AD294" s="5">
        <v>823387074573754</v>
      </c>
      <c r="AE294" s="5">
        <v>771283722337393</v>
      </c>
      <c r="AF294" s="5">
        <v>733198848496376</v>
      </c>
      <c r="AG294" s="5">
        <v>729847395364814</v>
      </c>
      <c r="AH294" s="5">
        <v>701985646601726</v>
      </c>
      <c r="AI294" s="5">
        <v>74389488027346</v>
      </c>
      <c r="AJ294" s="5">
        <v>673674800631465</v>
      </c>
      <c r="AK294" s="5">
        <v>636548747677182</v>
      </c>
      <c r="AL294" s="5">
        <v>558045028320498</v>
      </c>
      <c r="AM294" s="5">
        <v>505745097349192</v>
      </c>
      <c r="AN294" s="5">
        <v>427250093500547</v>
      </c>
      <c r="AO294" s="5">
        <v>359651833849643</v>
      </c>
    </row>
    <row r="295" spans="1:41" x14ac:dyDescent="0.45">
      <c r="A295" s="1" t="s">
        <v>289</v>
      </c>
      <c r="B295" s="2">
        <v>4051708</v>
      </c>
      <c r="C295" s="3" t="s">
        <v>1183</v>
      </c>
      <c r="D295" s="3" t="s">
        <v>1184</v>
      </c>
      <c r="E295" s="3" t="s">
        <v>521</v>
      </c>
      <c r="F295" s="5">
        <v>442993931683959</v>
      </c>
      <c r="G295" s="5">
        <v>435035482461297</v>
      </c>
      <c r="H295" s="5">
        <v>460224231394528</v>
      </c>
      <c r="I295" s="5">
        <v>466874565087394</v>
      </c>
      <c r="J295" s="5">
        <v>462556637372159</v>
      </c>
      <c r="K295" s="5">
        <v>445711480932047</v>
      </c>
      <c r="L295" s="5">
        <v>459688841486324</v>
      </c>
      <c r="M295" s="5">
        <v>464890889451476</v>
      </c>
      <c r="N295" s="5">
        <v>446679028271694</v>
      </c>
      <c r="O295" s="5">
        <v>506045526501846</v>
      </c>
      <c r="P295" s="5">
        <v>564244812495167</v>
      </c>
      <c r="Q295" s="5">
        <v>576310318726476</v>
      </c>
      <c r="R295" s="5">
        <v>547620716328183</v>
      </c>
      <c r="S295" s="5">
        <v>579032382665987</v>
      </c>
      <c r="T295" s="5">
        <v>505808358716529</v>
      </c>
      <c r="U295" s="5">
        <v>51790120397107</v>
      </c>
      <c r="V295" s="5">
        <v>490575228844015</v>
      </c>
      <c r="W295" s="5">
        <v>4997641572</v>
      </c>
      <c r="X295" s="5">
        <v>465845049451434</v>
      </c>
      <c r="Y295" s="5">
        <v>474549555563779</v>
      </c>
      <c r="Z295" s="5">
        <v>47403904622271</v>
      </c>
      <c r="AA295" s="5">
        <v>496071741700149</v>
      </c>
      <c r="AB295" s="5">
        <v>466467212251364</v>
      </c>
      <c r="AC295" s="5">
        <v>466924519152</v>
      </c>
      <c r="AD295" s="5">
        <v>442839611246587</v>
      </c>
      <c r="AE295" s="5">
        <v>431844351863275</v>
      </c>
      <c r="AF295" s="5">
        <v>427144725439919</v>
      </c>
      <c r="AG295" s="5">
        <v>446982348077248</v>
      </c>
      <c r="AH295" s="5">
        <v>439177197363286</v>
      </c>
      <c r="AI295" s="5">
        <v>437582227570945</v>
      </c>
      <c r="AJ295" s="5">
        <v>396553388919913</v>
      </c>
      <c r="AK295" s="5">
        <v>356051304848898</v>
      </c>
      <c r="AL295" s="5">
        <v>430321633174484</v>
      </c>
      <c r="AM295" s="5">
        <v>412951630574858</v>
      </c>
      <c r="AN295" s="5">
        <v>523233832733287</v>
      </c>
      <c r="AO295" s="5">
        <v>527486938435344</v>
      </c>
    </row>
    <row r="296" spans="1:41" x14ac:dyDescent="0.45">
      <c r="A296" s="1" t="s">
        <v>290</v>
      </c>
      <c r="B296" s="2">
        <v>4811730</v>
      </c>
      <c r="C296" s="3" t="s">
        <v>1185</v>
      </c>
      <c r="D296" s="3" t="s">
        <v>1186</v>
      </c>
      <c r="E296" s="3" t="s">
        <v>524</v>
      </c>
      <c r="F296" s="5">
        <v>242573816017162</v>
      </c>
      <c r="G296" s="5">
        <v>26016101262265</v>
      </c>
      <c r="H296" s="5">
        <v>252940438515072</v>
      </c>
      <c r="I296" s="5">
        <v>215526108214771</v>
      </c>
      <c r="J296" s="5">
        <v>229114696088678</v>
      </c>
      <c r="K296" s="5">
        <v>22413882557474</v>
      </c>
      <c r="L296" s="5">
        <v>207884821459869</v>
      </c>
      <c r="M296" s="5">
        <v>211643532956159</v>
      </c>
      <c r="N296" s="5">
        <v>196655315454993</v>
      </c>
      <c r="O296" s="5">
        <v>227703653296492</v>
      </c>
      <c r="P296" s="5">
        <v>255852467458091</v>
      </c>
      <c r="Q296" s="5">
        <v>277020573339676</v>
      </c>
      <c r="R296" s="5">
        <v>24942351452502</v>
      </c>
      <c r="S296" s="5">
        <v>250253872434765</v>
      </c>
      <c r="T296" s="5">
        <v>252445407882315</v>
      </c>
      <c r="U296" s="5">
        <v>285320187429424</v>
      </c>
      <c r="V296" s="5">
        <v>276077352396777</v>
      </c>
      <c r="W296" s="5">
        <v>300163252537764</v>
      </c>
      <c r="X296" s="5">
        <v>278579286608554</v>
      </c>
      <c r="Y296" s="5">
        <v>276516301780869</v>
      </c>
      <c r="Z296" s="5">
        <v>245964681298862</v>
      </c>
      <c r="AA296" s="5">
        <v>263608205799688</v>
      </c>
      <c r="AB296" s="5">
        <v>247821990333875</v>
      </c>
      <c r="AC296" s="5">
        <v>239269918156274</v>
      </c>
      <c r="AD296" s="5">
        <v>237950434735554</v>
      </c>
      <c r="AE296" s="5">
        <v>217096191032858</v>
      </c>
      <c r="AF296" s="5">
        <v>203887634934924</v>
      </c>
      <c r="AG296" s="5">
        <v>228903771430144</v>
      </c>
      <c r="AH296" s="5">
        <v>244629828376021</v>
      </c>
      <c r="AI296" s="5">
        <v>249483756313234</v>
      </c>
      <c r="AJ296" s="5">
        <v>264564748611152</v>
      </c>
      <c r="AK296" s="5">
        <v>273119251458628</v>
      </c>
      <c r="AL296" s="5">
        <v>298265525689742</v>
      </c>
      <c r="AM296" s="5">
        <v>310836003894393</v>
      </c>
      <c r="AN296" s="5">
        <v>298556011980135</v>
      </c>
      <c r="AO296" s="5">
        <v>314651141914709</v>
      </c>
    </row>
    <row r="297" spans="1:41" x14ac:dyDescent="0.45">
      <c r="A297" s="1" t="s">
        <v>291</v>
      </c>
      <c r="B297" s="2">
        <v>4094582</v>
      </c>
      <c r="C297" s="3" t="s">
        <v>1187</v>
      </c>
      <c r="D297" s="3" t="s">
        <v>1188</v>
      </c>
      <c r="E297" s="3" t="s">
        <v>1130</v>
      </c>
      <c r="F297" s="5">
        <v>850017892125252</v>
      </c>
      <c r="G297" s="5">
        <v>832392125157824</v>
      </c>
      <c r="H297" s="5">
        <v>75952765738644</v>
      </c>
      <c r="I297" s="5">
        <v>804071881384816</v>
      </c>
      <c r="J297" s="5">
        <v>92357090744722</v>
      </c>
      <c r="K297" s="5">
        <v>867325595500278</v>
      </c>
      <c r="L297" s="5">
        <v>796936669212775</v>
      </c>
      <c r="M297" s="5">
        <v>759109570257675</v>
      </c>
      <c r="N297" s="5">
        <v>75463813250826</v>
      </c>
      <c r="O297" s="5">
        <v>77593337393963</v>
      </c>
      <c r="P297" s="5">
        <v>953962774813294</v>
      </c>
      <c r="Q297" s="5">
        <v>987700690623305</v>
      </c>
      <c r="R297" s="5">
        <v>996490793521723</v>
      </c>
      <c r="S297" s="5">
        <v>108194877253716</v>
      </c>
      <c r="T297" s="5">
        <v>101104539032469</v>
      </c>
      <c r="U297" s="5">
        <v>106465497710099</v>
      </c>
      <c r="V297" s="5">
        <v>103236501507669</v>
      </c>
      <c r="W297" s="5">
        <v>120609580978102</v>
      </c>
      <c r="X297" s="5">
        <v>130101632973556</v>
      </c>
      <c r="Y297" s="5">
        <v>116189607684893</v>
      </c>
      <c r="Z297" s="5">
        <v>116928976416358</v>
      </c>
      <c r="AA297" s="5">
        <v>138558100320422</v>
      </c>
      <c r="AB297" s="5">
        <v>127993834687709</v>
      </c>
      <c r="AC297" s="5">
        <v>136544981363501</v>
      </c>
      <c r="AD297" s="5">
        <v>138074820604485</v>
      </c>
      <c r="AE297" s="5">
        <v>123525213124142</v>
      </c>
      <c r="AF297" s="5">
        <v>115975124775171</v>
      </c>
      <c r="AG297" s="5">
        <v>121866792963874</v>
      </c>
      <c r="AH297" s="5">
        <v>142284024660042</v>
      </c>
      <c r="AI297" s="5">
        <v>167597494885109</v>
      </c>
      <c r="AJ297" s="5">
        <v>146358985214304</v>
      </c>
      <c r="AK297" s="5">
        <v>134117463013995</v>
      </c>
      <c r="AL297" s="5">
        <v>151774520537752</v>
      </c>
      <c r="AM297" s="5">
        <v>152453765572692</v>
      </c>
      <c r="AN297" s="5">
        <v>15149260470399</v>
      </c>
      <c r="AO297" s="5">
        <v>146412296170914</v>
      </c>
    </row>
    <row r="298" spans="1:41" x14ac:dyDescent="0.45">
      <c r="A298" s="1" t="s">
        <v>292</v>
      </c>
      <c r="B298" s="2">
        <v>4133448</v>
      </c>
      <c r="C298" s="3" t="s">
        <v>1189</v>
      </c>
      <c r="D298" s="3" t="s">
        <v>1190</v>
      </c>
      <c r="E298" s="3" t="s">
        <v>518</v>
      </c>
      <c r="F298" s="5">
        <v>293302247859542</v>
      </c>
      <c r="G298" s="5">
        <v>249726387137969</v>
      </c>
      <c r="H298" s="5">
        <v>292064597738594</v>
      </c>
      <c r="I298" s="5">
        <v>295392079074229</v>
      </c>
      <c r="J298" s="5">
        <v>299891895756895</v>
      </c>
      <c r="K298" s="5">
        <v>318878464342686</v>
      </c>
      <c r="L298" s="5">
        <v>323208444712895</v>
      </c>
      <c r="M298" s="5">
        <v>275906333513388</v>
      </c>
      <c r="N298" s="5">
        <v>218434700978657</v>
      </c>
      <c r="O298" s="5">
        <v>240883372308511</v>
      </c>
      <c r="P298" s="5">
        <v>304246051616933</v>
      </c>
      <c r="Q298" s="5">
        <v>28054504754935</v>
      </c>
      <c r="R298" s="5">
        <v>297473409109314</v>
      </c>
      <c r="S298" s="5">
        <v>346970506963571</v>
      </c>
      <c r="T298" s="5">
        <v>362536706770303</v>
      </c>
      <c r="U298" s="5">
        <v>386219349941471</v>
      </c>
      <c r="V298" s="5">
        <v>398520563679059</v>
      </c>
      <c r="W298" s="5">
        <v>440109707601194</v>
      </c>
      <c r="X298" s="5">
        <v>458484265561122</v>
      </c>
      <c r="Y298" s="5">
        <v>481349343531149</v>
      </c>
      <c r="Z298" s="5">
        <v>464840070950435</v>
      </c>
      <c r="AA298" s="5">
        <v>448811202492546</v>
      </c>
      <c r="AB298" s="5">
        <v>420626707008984</v>
      </c>
      <c r="AC298" s="5">
        <v>42477686010371</v>
      </c>
      <c r="AD298" s="5">
        <v>441416383616521</v>
      </c>
      <c r="AE298" s="5">
        <v>413932851509485</v>
      </c>
      <c r="AF298" s="5">
        <v>367294921171217</v>
      </c>
      <c r="AG298" s="5">
        <v>40140102957869</v>
      </c>
      <c r="AH298" s="5">
        <v>410735491648733</v>
      </c>
      <c r="AI298" s="5">
        <v>463996564266635</v>
      </c>
      <c r="AJ298" s="5">
        <v>447566354172154</v>
      </c>
      <c r="AK298" s="5">
        <v>38513088801448</v>
      </c>
      <c r="AL298" s="5">
        <v>362291603672114</v>
      </c>
      <c r="AM298" s="5">
        <v>422411507667075</v>
      </c>
      <c r="AN298" s="5">
        <v>418134032449432</v>
      </c>
      <c r="AO298" s="5">
        <v>393062261578331</v>
      </c>
    </row>
    <row r="299" spans="1:41" x14ac:dyDescent="0.45">
      <c r="A299" s="1" t="s">
        <v>293</v>
      </c>
      <c r="B299" s="2">
        <v>4133530</v>
      </c>
      <c r="C299" s="3" t="s">
        <v>1191</v>
      </c>
      <c r="D299" s="3" t="s">
        <v>1192</v>
      </c>
      <c r="E299" s="3" t="s">
        <v>518</v>
      </c>
      <c r="F299" s="5">
        <v>273592952171618</v>
      </c>
      <c r="G299" s="5">
        <v>229504224953873</v>
      </c>
      <c r="H299" s="5">
        <v>217768052773241</v>
      </c>
      <c r="I299" s="5">
        <v>15959488974179</v>
      </c>
      <c r="J299" s="5">
        <v>113861633213032</v>
      </c>
      <c r="K299" s="5">
        <v>106775936281929</v>
      </c>
      <c r="L299" s="5">
        <v>11744924164656</v>
      </c>
      <c r="M299" s="5">
        <v>930351450494469</v>
      </c>
      <c r="N299" s="5">
        <v>757978693672883</v>
      </c>
      <c r="O299" s="5">
        <v>898422767296677</v>
      </c>
      <c r="P299" s="5">
        <v>100261873183226</v>
      </c>
      <c r="Q299" s="5">
        <v>978042449915117</v>
      </c>
      <c r="R299" s="5">
        <v>905711967930382</v>
      </c>
      <c r="S299" s="5">
        <v>10342442113143</v>
      </c>
      <c r="T299" s="5">
        <v>101757797808657</v>
      </c>
      <c r="U299" s="5">
        <v>103107147552188</v>
      </c>
      <c r="V299" s="5">
        <v>964809313385944</v>
      </c>
      <c r="W299" s="5">
        <v>1125182098853</v>
      </c>
      <c r="X299" s="5">
        <v>136117978104874</v>
      </c>
      <c r="Y299" s="5">
        <v>127638016778875</v>
      </c>
      <c r="Z299" s="5">
        <v>116982579755077</v>
      </c>
      <c r="AA299" s="5">
        <v>120860992602498</v>
      </c>
      <c r="AB299" s="5">
        <v>925332973639017</v>
      </c>
      <c r="AC299" s="5">
        <v>87248293860182</v>
      </c>
      <c r="AD299" s="5">
        <v>852296010812302</v>
      </c>
      <c r="AE299" s="5">
        <v>770344674206113</v>
      </c>
      <c r="AF299" s="5">
        <v>694972973442163</v>
      </c>
      <c r="AG299" s="5">
        <v>704002304569883</v>
      </c>
      <c r="AH299" s="5">
        <v>706301736953654</v>
      </c>
      <c r="AI299" s="5">
        <v>709528561208919</v>
      </c>
      <c r="AJ299" s="5">
        <v>633180277844861</v>
      </c>
      <c r="AK299" s="5">
        <v>700325491648292</v>
      </c>
      <c r="AL299" s="5">
        <v>63821353406899</v>
      </c>
      <c r="AM299" s="5">
        <v>607793091968593</v>
      </c>
      <c r="AN299" s="5">
        <v>594325021989149</v>
      </c>
      <c r="AO299" s="5">
        <v>605801689610119</v>
      </c>
    </row>
    <row r="300" spans="1:41" x14ac:dyDescent="0.45">
      <c r="A300" s="1" t="s">
        <v>294</v>
      </c>
      <c r="B300" s="2">
        <v>4004214</v>
      </c>
      <c r="C300" s="3" t="s">
        <v>1193</v>
      </c>
      <c r="D300" s="3" t="s">
        <v>1194</v>
      </c>
      <c r="E300" s="3" t="s">
        <v>817</v>
      </c>
      <c r="F300" s="5">
        <v>3061390068303</v>
      </c>
      <c r="G300" s="5">
        <v>315362788174352</v>
      </c>
      <c r="H300" s="5">
        <v>333670106355532</v>
      </c>
      <c r="I300" s="5">
        <v>32813622667124</v>
      </c>
      <c r="J300" s="5">
        <v>32198193359448</v>
      </c>
      <c r="K300" s="5">
        <v>346672250488638</v>
      </c>
      <c r="L300" s="5">
        <v>314801392977204</v>
      </c>
      <c r="M300" s="5">
        <v>301549652611023</v>
      </c>
      <c r="N300" s="5">
        <v>258936571571362</v>
      </c>
      <c r="O300" s="5">
        <v>258190252537514</v>
      </c>
      <c r="P300" s="5">
        <v>283641428144196</v>
      </c>
      <c r="Q300" s="5">
        <v>29686063720003</v>
      </c>
      <c r="R300" s="5">
        <v>302693959045844</v>
      </c>
      <c r="S300" s="5">
        <v>298402945858522</v>
      </c>
      <c r="T300" s="5">
        <v>278249186286472</v>
      </c>
      <c r="U300" s="5">
        <v>28677180899977</v>
      </c>
      <c r="V300" s="5">
        <v>280326839950933</v>
      </c>
      <c r="W300" s="5">
        <v>287328112458281</v>
      </c>
      <c r="X300" s="5">
        <v>310030040735059</v>
      </c>
      <c r="Y300" s="5">
        <v>284502253944112</v>
      </c>
      <c r="Z300" s="5">
        <v>27061130637404</v>
      </c>
      <c r="AA300" s="5">
        <v>289417405199923</v>
      </c>
      <c r="AB300" s="5">
        <v>284331857119547</v>
      </c>
      <c r="AC300" s="5">
        <v>272287953687283</v>
      </c>
      <c r="AD300" s="5">
        <v>252848082483057</v>
      </c>
      <c r="AE300" s="5">
        <v>258213574614573</v>
      </c>
      <c r="AF300" s="5">
        <v>237848087749908</v>
      </c>
      <c r="AG300" s="5">
        <v>221645157140527</v>
      </c>
      <c r="AH300" s="5">
        <v>224523536763595</v>
      </c>
      <c r="AI300" s="5">
        <v>226469457264307</v>
      </c>
      <c r="AJ300" s="5">
        <v>23193861399321</v>
      </c>
      <c r="AK300" s="5">
        <v>229108442126891</v>
      </c>
      <c r="AL300" s="5">
        <v>207010135133005</v>
      </c>
      <c r="AM300" s="5">
        <v>197522309330221</v>
      </c>
      <c r="AN300" s="5">
        <v>174894873552321</v>
      </c>
      <c r="AO300" s="5">
        <v>169836829149917</v>
      </c>
    </row>
    <row r="301" spans="1:41" x14ac:dyDescent="0.45">
      <c r="A301" s="1" t="s">
        <v>295</v>
      </c>
      <c r="B301" s="2">
        <v>103123</v>
      </c>
      <c r="C301" s="3" t="s">
        <v>1195</v>
      </c>
      <c r="D301" s="3" t="s">
        <v>1195</v>
      </c>
      <c r="E301" s="3" t="s">
        <v>639</v>
      </c>
      <c r="F301" s="5">
        <v>138518995661651</v>
      </c>
      <c r="G301" s="5">
        <v>137209891825357</v>
      </c>
      <c r="H301" s="5">
        <v>130166106703642</v>
      </c>
      <c r="I301" s="5">
        <v>139422218010883</v>
      </c>
      <c r="J301" s="5">
        <v>145942657770675</v>
      </c>
      <c r="K301" s="5">
        <v>145767973584242</v>
      </c>
      <c r="L301" s="5">
        <v>147528439801427</v>
      </c>
      <c r="M301" s="5">
        <v>161604782084955</v>
      </c>
      <c r="N301" s="5">
        <v>1645189456716</v>
      </c>
      <c r="O301" s="5">
        <v>181250380404384</v>
      </c>
      <c r="P301" s="5">
        <v>188890047202747</v>
      </c>
      <c r="Q301" s="5">
        <v>171577015578304</v>
      </c>
      <c r="R301" s="5">
        <v>174501296174964</v>
      </c>
      <c r="S301" s="5">
        <v>181855035911768</v>
      </c>
      <c r="T301" s="5">
        <v>162912588439847</v>
      </c>
      <c r="U301" s="5">
        <v>166513216837183</v>
      </c>
      <c r="V301" s="5">
        <v>171572760610367</v>
      </c>
      <c r="W301" s="5">
        <v>150919219003291</v>
      </c>
      <c r="X301" s="5">
        <v>155492975827255</v>
      </c>
      <c r="Y301" s="5">
        <v>144039445323299</v>
      </c>
      <c r="Z301" s="5">
        <v>14191214760632</v>
      </c>
      <c r="AA301" s="5">
        <v>142179207202716</v>
      </c>
      <c r="AB301" s="5">
        <v>135701260808575</v>
      </c>
      <c r="AC301" s="5">
        <v>135922789091094</v>
      </c>
      <c r="AD301" s="5">
        <v>14194563312521</v>
      </c>
      <c r="AE301" s="5">
        <v>133182110081357</v>
      </c>
      <c r="AF301" s="5">
        <v>130490436321415</v>
      </c>
      <c r="AG301" s="5">
        <v>141819125353903</v>
      </c>
      <c r="AH301" s="5">
        <v>1562328610195</v>
      </c>
      <c r="AI301" s="5">
        <v>158449051314175</v>
      </c>
      <c r="AJ301" s="5">
        <v>162278019367457</v>
      </c>
      <c r="AK301" s="5">
        <v>160974508288558</v>
      </c>
      <c r="AL301" s="5">
        <v>162574824958387</v>
      </c>
      <c r="AM301" s="5">
        <v>162092434843023</v>
      </c>
      <c r="AN301" s="5">
        <v>175847579100582</v>
      </c>
      <c r="AO301" s="5">
        <v>177256187955919</v>
      </c>
    </row>
    <row r="302" spans="1:41" x14ac:dyDescent="0.45">
      <c r="A302" s="1" t="s">
        <v>296</v>
      </c>
      <c r="B302" s="2">
        <v>4430411</v>
      </c>
      <c r="C302" s="3" t="s">
        <v>1196</v>
      </c>
      <c r="D302" s="3" t="s">
        <v>1197</v>
      </c>
      <c r="E302" s="3" t="s">
        <v>509</v>
      </c>
      <c r="F302" s="5">
        <v>981391333616759</v>
      </c>
      <c r="G302" s="5">
        <v>875444650609267</v>
      </c>
      <c r="H302" s="5">
        <v>9197286727083</v>
      </c>
      <c r="I302" s="5">
        <v>856555544409711</v>
      </c>
      <c r="J302" s="5">
        <v>801291900780654</v>
      </c>
      <c r="K302" s="5">
        <v>999393150374064</v>
      </c>
      <c r="L302" s="5">
        <v>90856811019507</v>
      </c>
      <c r="M302" s="5">
        <v>905259263205696</v>
      </c>
      <c r="N302" s="5">
        <v>972555191674622</v>
      </c>
      <c r="O302" s="5">
        <v>101408866618097</v>
      </c>
      <c r="P302" s="5">
        <v>114802045153503</v>
      </c>
      <c r="Q302" s="5">
        <v>145945933732654</v>
      </c>
      <c r="R302" s="5">
        <v>154550998731549</v>
      </c>
      <c r="S302" s="5">
        <v>157052876337053</v>
      </c>
      <c r="T302" s="5">
        <v>192450025037268</v>
      </c>
      <c r="U302" s="5">
        <v>230329247816813</v>
      </c>
      <c r="V302" s="5">
        <v>268990116859602</v>
      </c>
      <c r="W302" s="5">
        <v>422174122835573</v>
      </c>
      <c r="X302" s="5">
        <v>424742193077512</v>
      </c>
      <c r="Y302" s="5">
        <v>503750818341727</v>
      </c>
      <c r="Z302" s="5">
        <v>394985928397381</v>
      </c>
      <c r="AA302" s="5">
        <v>377723173167798</v>
      </c>
      <c r="AB302" s="5">
        <v>326027744962466</v>
      </c>
      <c r="AC302" s="5">
        <v>355119468433889</v>
      </c>
      <c r="AD302" s="5">
        <v>343050419209703</v>
      </c>
      <c r="AE302" s="5">
        <v>271638652939475</v>
      </c>
      <c r="AF302" s="5">
        <v>273631379898103</v>
      </c>
      <c r="AG302" s="5">
        <v>371414186700385</v>
      </c>
      <c r="AH302" s="5">
        <v>396769828189975</v>
      </c>
      <c r="AI302" s="5">
        <v>406996948297132</v>
      </c>
      <c r="AJ302" s="5">
        <v>42426312397254</v>
      </c>
      <c r="AK302" s="5">
        <v>456804270263669</v>
      </c>
      <c r="AL302" s="5">
        <v>464401108309387</v>
      </c>
      <c r="AM302" s="5">
        <v>545175196707196</v>
      </c>
      <c r="AN302" s="5">
        <v>505173866986379</v>
      </c>
      <c r="AO302" s="5">
        <v>622750554717293</v>
      </c>
    </row>
    <row r="303" spans="1:41" x14ac:dyDescent="0.45">
      <c r="A303" s="1" t="s">
        <v>297</v>
      </c>
      <c r="B303" s="2">
        <v>4209632</v>
      </c>
      <c r="C303" s="3" t="s">
        <v>1198</v>
      </c>
      <c r="D303" s="3" t="s">
        <v>1199</v>
      </c>
      <c r="E303" s="3" t="s">
        <v>1200</v>
      </c>
      <c r="F303" s="5">
        <v>78570051313748</v>
      </c>
      <c r="G303" s="5">
        <v>792491529763102</v>
      </c>
      <c r="H303" s="5">
        <v>749937886994472</v>
      </c>
      <c r="I303" s="5">
        <v>763781685707992</v>
      </c>
      <c r="J303" s="5">
        <v>854271252094839</v>
      </c>
      <c r="K303" s="5">
        <v>86243539843589</v>
      </c>
      <c r="L303" s="5">
        <v>828726168343092</v>
      </c>
      <c r="M303" s="5">
        <v>955158714551684</v>
      </c>
      <c r="N303" s="5">
        <v>102841870921661</v>
      </c>
      <c r="O303" s="5">
        <v>114062769485275</v>
      </c>
      <c r="P303" s="5">
        <v>11932105786592</v>
      </c>
      <c r="Q303" s="5">
        <v>108577785472994</v>
      </c>
      <c r="R303" s="5">
        <v>114058490018567</v>
      </c>
      <c r="S303" s="5">
        <v>121127851847225</v>
      </c>
      <c r="T303" s="5">
        <v>104009535175992</v>
      </c>
      <c r="U303" s="5">
        <v>106867123188177</v>
      </c>
      <c r="V303" s="5">
        <v>101136151598073</v>
      </c>
      <c r="W303" s="5">
        <v>103654813987124</v>
      </c>
      <c r="X303" s="5">
        <v>100703977296489</v>
      </c>
      <c r="Y303" s="5">
        <v>107212496119556</v>
      </c>
      <c r="Z303" s="5">
        <v>113568699575863</v>
      </c>
      <c r="AA303" s="5">
        <v>132379807724171</v>
      </c>
      <c r="AB303" s="5">
        <v>122771172702135</v>
      </c>
      <c r="AC303" s="5">
        <v>122856540598329</v>
      </c>
      <c r="AD303" s="5">
        <v>119508132996524</v>
      </c>
      <c r="AE303" s="5">
        <v>12174616807917</v>
      </c>
      <c r="AF303" s="5">
        <v>118368669310572</v>
      </c>
      <c r="AG303" s="5">
        <v>129973714520022</v>
      </c>
      <c r="AH303" s="5">
        <v>126760721177684</v>
      </c>
      <c r="AI303" s="5">
        <v>136892270384432</v>
      </c>
      <c r="AJ303" s="5">
        <v>130436957958054</v>
      </c>
      <c r="AK303" s="5">
        <v>125483603082989</v>
      </c>
      <c r="AL303" s="5">
        <v>116545956646195</v>
      </c>
      <c r="AM303" s="5">
        <v>103337264386524</v>
      </c>
      <c r="AN303" s="5">
        <v>108669743568298</v>
      </c>
      <c r="AO303" s="5">
        <v>105117579105191</v>
      </c>
    </row>
    <row r="304" spans="1:41" x14ac:dyDescent="0.45">
      <c r="A304" s="1" t="s">
        <v>298</v>
      </c>
      <c r="B304" s="2">
        <v>4060931</v>
      </c>
      <c r="C304" s="3" t="s">
        <v>1201</v>
      </c>
      <c r="D304" s="3" t="s">
        <v>1202</v>
      </c>
      <c r="E304" s="3" t="s">
        <v>788</v>
      </c>
      <c r="F304" s="5">
        <v>591590799766674</v>
      </c>
      <c r="G304" s="5">
        <v>640641932627411</v>
      </c>
      <c r="H304" s="5">
        <v>642828470899274</v>
      </c>
      <c r="I304" s="5">
        <v>688937697752356</v>
      </c>
      <c r="J304" s="5">
        <v>679645552262431</v>
      </c>
      <c r="K304" s="5">
        <v>731751983515332</v>
      </c>
      <c r="L304" s="5">
        <v>743549799649847</v>
      </c>
      <c r="M304" s="5">
        <v>770142419972985</v>
      </c>
      <c r="N304" s="5">
        <v>777533808788987</v>
      </c>
      <c r="O304" s="5">
        <v>812008095238949</v>
      </c>
      <c r="P304" s="5">
        <v>798511880509777</v>
      </c>
      <c r="Q304" s="5">
        <v>746049811769395</v>
      </c>
      <c r="R304" s="5">
        <v>771470248952326</v>
      </c>
      <c r="S304" s="5">
        <v>823171567704809</v>
      </c>
      <c r="T304" s="5">
        <v>843369485753203</v>
      </c>
      <c r="U304" s="5">
        <v>882328073631145</v>
      </c>
      <c r="V304" s="5">
        <v>867245568374722</v>
      </c>
      <c r="W304" s="5">
        <v>843628384415124</v>
      </c>
      <c r="X304" s="5">
        <v>819237059109207</v>
      </c>
      <c r="Y304" s="5">
        <v>847625058236142</v>
      </c>
      <c r="Z304" s="5">
        <v>902443383244012</v>
      </c>
      <c r="AA304" s="5">
        <v>87259815097266</v>
      </c>
      <c r="AB304" s="5">
        <v>910179103005794</v>
      </c>
      <c r="AC304" s="5">
        <v>94413980666475</v>
      </c>
      <c r="AD304" s="5">
        <v>891759779353363</v>
      </c>
      <c r="AE304" s="5">
        <v>886690348036547</v>
      </c>
      <c r="AF304" s="5">
        <v>85254350449681</v>
      </c>
      <c r="AG304" s="5">
        <v>892014057810613</v>
      </c>
      <c r="AH304" s="5">
        <v>893817971971207</v>
      </c>
      <c r="AI304" s="5">
        <v>915092758764055</v>
      </c>
      <c r="AJ304" s="5">
        <v>909895721692009</v>
      </c>
      <c r="AK304" s="5">
        <v>938052900710187</v>
      </c>
      <c r="AL304" s="5">
        <v>94670596802624</v>
      </c>
      <c r="AM304" s="5">
        <v>874837931327025</v>
      </c>
      <c r="AN304" s="5">
        <v>837064406735864</v>
      </c>
      <c r="AO304" s="5">
        <v>822793454030529</v>
      </c>
    </row>
    <row r="305" spans="1:41" x14ac:dyDescent="0.45">
      <c r="A305" s="1" t="s">
        <v>299</v>
      </c>
      <c r="B305" s="2">
        <v>4967353</v>
      </c>
      <c r="C305" s="3" t="s">
        <v>1203</v>
      </c>
      <c r="D305" s="3" t="s">
        <v>1204</v>
      </c>
      <c r="E305" s="3" t="s">
        <v>518</v>
      </c>
      <c r="F305" s="5">
        <v>36981655922484</v>
      </c>
      <c r="G305" s="5">
        <v>38347340579856</v>
      </c>
      <c r="H305" s="5">
        <v>41741303175</v>
      </c>
      <c r="I305" s="5">
        <v>37579007217024</v>
      </c>
      <c r="J305" s="5">
        <v>34218413699808</v>
      </c>
      <c r="K305" s="5">
        <v>29777617655136</v>
      </c>
      <c r="L305" s="5">
        <v>298182309516</v>
      </c>
      <c r="M305" s="5">
        <v>279299586636</v>
      </c>
      <c r="N305" s="5">
        <v>250282850551157</v>
      </c>
      <c r="O305" s="5">
        <v>25684775743536</v>
      </c>
      <c r="P305" s="5">
        <v>28083660345153</v>
      </c>
      <c r="Q305" s="5">
        <v>2991256316406</v>
      </c>
      <c r="R305" s="5">
        <v>278788934034</v>
      </c>
      <c r="S305" s="5">
        <v>2624408838576</v>
      </c>
      <c r="T305" s="5">
        <v>341119010187</v>
      </c>
      <c r="U305" s="5">
        <v>404108594384</v>
      </c>
      <c r="V305" s="5">
        <v>41197594253376</v>
      </c>
      <c r="W305" s="5">
        <v>3881568442752</v>
      </c>
      <c r="X305" s="5">
        <v>37325288602368</v>
      </c>
      <c r="Y305" s="5">
        <v>33015406316256</v>
      </c>
      <c r="Z305" s="5">
        <v>30462843607056</v>
      </c>
      <c r="AA305" s="5">
        <v>30518010671196</v>
      </c>
      <c r="AB305" s="5">
        <v>32413530243644</v>
      </c>
      <c r="AC305" s="5">
        <v>26616410773888</v>
      </c>
      <c r="AD305" s="5">
        <v>27341781301392</v>
      </c>
      <c r="AE305" s="5">
        <v>24105550983616</v>
      </c>
      <c r="AF305" s="5">
        <v>2003192016501</v>
      </c>
      <c r="AG305" s="5">
        <v>208549823328</v>
      </c>
      <c r="AH305" s="5">
        <v>2295998641236</v>
      </c>
      <c r="AI305" s="5">
        <v>24171210851086</v>
      </c>
      <c r="AJ305" s="5">
        <v>2346730379764</v>
      </c>
      <c r="AK305" s="5">
        <v>21799525710919</v>
      </c>
      <c r="AL305" s="5">
        <v>19801448059185</v>
      </c>
      <c r="AM305" s="5">
        <v>2179327234188</v>
      </c>
      <c r="AN305" s="5">
        <v>215805968199</v>
      </c>
      <c r="AO305" s="5">
        <v>18435709664064</v>
      </c>
    </row>
    <row r="306" spans="1:41" x14ac:dyDescent="0.45">
      <c r="A306" s="1" t="s">
        <v>300</v>
      </c>
      <c r="B306" s="2">
        <v>4915639</v>
      </c>
      <c r="C306" s="3" t="s">
        <v>1205</v>
      </c>
      <c r="D306" s="3" t="s">
        <v>1206</v>
      </c>
      <c r="E306" s="3" t="s">
        <v>1105</v>
      </c>
      <c r="F306" s="5">
        <v>637993281043842</v>
      </c>
      <c r="G306" s="5">
        <v>631853064199132</v>
      </c>
      <c r="H306" s="5">
        <v>565758213200443</v>
      </c>
      <c r="I306" s="5">
        <v>560160379685752</v>
      </c>
      <c r="J306" s="5">
        <v>520966513122164</v>
      </c>
      <c r="K306" s="5">
        <v>500879112916207</v>
      </c>
      <c r="L306" s="5">
        <v>520176406188956</v>
      </c>
      <c r="M306" s="5">
        <v>549640299333125</v>
      </c>
      <c r="N306" s="5">
        <v>516762843376591</v>
      </c>
      <c r="O306" s="5">
        <v>526894540510948</v>
      </c>
      <c r="P306" s="5">
        <v>51114309766777</v>
      </c>
      <c r="Q306" s="5">
        <v>455760552947332</v>
      </c>
      <c r="R306" s="5">
        <v>493725901822929</v>
      </c>
      <c r="S306" s="5">
        <v>50816305341275</v>
      </c>
      <c r="T306" s="5">
        <v>475257884632168</v>
      </c>
      <c r="U306" s="5">
        <v>458187783327725</v>
      </c>
      <c r="V306" s="5">
        <v>417385966676143</v>
      </c>
      <c r="W306" s="5">
        <v>495382366576944</v>
      </c>
      <c r="X306" s="5">
        <v>485780359155419</v>
      </c>
      <c r="Y306" s="5">
        <v>498731889420945</v>
      </c>
      <c r="Z306" s="5">
        <v>520721556004843</v>
      </c>
      <c r="AA306" s="5">
        <v>571115984427986</v>
      </c>
      <c r="AB306" s="5">
        <v>568951315370114</v>
      </c>
      <c r="AC306" s="5">
        <v>52762792970647</v>
      </c>
      <c r="AD306" s="5">
        <v>542275606349259</v>
      </c>
      <c r="AE306" s="5">
        <v>526120340597632</v>
      </c>
      <c r="AF306" s="5">
        <v>506644284346987</v>
      </c>
      <c r="AG306" s="5">
        <v>52404366847707</v>
      </c>
      <c r="AH306" s="5">
        <v>554472609292665</v>
      </c>
      <c r="AI306" s="5">
        <v>54603220543995</v>
      </c>
      <c r="AJ306" s="5">
        <v>550727901706573</v>
      </c>
      <c r="AK306" s="5">
        <v>575724492157381</v>
      </c>
      <c r="AL306" s="5">
        <v>531098303236592</v>
      </c>
      <c r="AM306" s="5">
        <v>519387784066077</v>
      </c>
      <c r="AN306" s="5">
        <v>50066591616</v>
      </c>
      <c r="AO306" s="5">
        <v>500334128705727</v>
      </c>
    </row>
    <row r="307" spans="1:41" x14ac:dyDescent="0.45">
      <c r="A307" s="1" t="s">
        <v>301</v>
      </c>
      <c r="B307" s="2">
        <v>108462</v>
      </c>
      <c r="C307" s="3" t="s">
        <v>1207</v>
      </c>
      <c r="D307" s="3" t="s">
        <v>1208</v>
      </c>
      <c r="E307" s="3" t="s">
        <v>778</v>
      </c>
      <c r="F307" s="5">
        <v>776181470287376</v>
      </c>
      <c r="G307" s="5">
        <v>755055420723912</v>
      </c>
      <c r="H307" s="5">
        <v>742873574340225</v>
      </c>
      <c r="I307" s="5">
        <v>728550403776</v>
      </c>
      <c r="J307" s="5">
        <v>781814120256</v>
      </c>
      <c r="K307" s="5">
        <v>808826991804</v>
      </c>
      <c r="L307" s="5">
        <v>768521355738724</v>
      </c>
      <c r="M307" s="5">
        <v>760101761747884</v>
      </c>
      <c r="N307" s="5">
        <v>718635548028902</v>
      </c>
      <c r="O307" s="5">
        <v>775064656709709</v>
      </c>
      <c r="P307" s="5">
        <v>873259131402</v>
      </c>
      <c r="Q307" s="5">
        <v>870833715485513</v>
      </c>
      <c r="R307" s="5">
        <v>828637522821337</v>
      </c>
      <c r="S307" s="5">
        <v>858817795783005</v>
      </c>
      <c r="T307" s="5">
        <v>757853819258336</v>
      </c>
      <c r="U307" s="5">
        <v>774867174474</v>
      </c>
      <c r="V307" s="5">
        <v>802998601614</v>
      </c>
      <c r="W307" s="5">
        <v>76807507392</v>
      </c>
      <c r="X307" s="5">
        <v>717388126382578</v>
      </c>
      <c r="Y307" s="5">
        <v>668468009610524</v>
      </c>
      <c r="Z307" s="5">
        <v>632270538257764</v>
      </c>
      <c r="AA307" s="5">
        <v>664281916662771</v>
      </c>
      <c r="AB307" s="5">
        <v>640794024038993</v>
      </c>
      <c r="AC307" s="5">
        <v>661282321783735</v>
      </c>
      <c r="AD307" s="5">
        <v>646635133180814</v>
      </c>
      <c r="AE307" s="5">
        <v>612398594672161</v>
      </c>
      <c r="AF307" s="5">
        <v>53350473658482</v>
      </c>
      <c r="AG307" s="5">
        <v>548019712560391</v>
      </c>
      <c r="AH307" s="5">
        <v>56969005829072</v>
      </c>
      <c r="AI307" s="5">
        <v>587220805035995</v>
      </c>
      <c r="AJ307" s="5">
        <v>584461612835869</v>
      </c>
      <c r="AK307" s="5">
        <v>545591245773202</v>
      </c>
      <c r="AL307" s="5">
        <v>520616329900214</v>
      </c>
      <c r="AM307" s="5">
        <v>516196889881358</v>
      </c>
      <c r="AN307" s="5">
        <v>50072437561083</v>
      </c>
      <c r="AO307" s="5">
        <v>544277876427252</v>
      </c>
    </row>
    <row r="308" spans="1:41" x14ac:dyDescent="0.45">
      <c r="A308" s="1" t="s">
        <v>302</v>
      </c>
      <c r="B308" s="2">
        <v>103042</v>
      </c>
      <c r="C308" s="3" t="s">
        <v>1209</v>
      </c>
      <c r="D308" s="3" t="s">
        <v>1210</v>
      </c>
      <c r="E308" s="3" t="s">
        <v>1064</v>
      </c>
      <c r="F308" s="5">
        <v>240307224823925</v>
      </c>
      <c r="G308" s="5">
        <v>232539448548154</v>
      </c>
      <c r="H308" s="5">
        <v>226979788474128</v>
      </c>
      <c r="I308" s="5">
        <v>216274135130776</v>
      </c>
      <c r="J308" s="5">
        <v>205361175240806</v>
      </c>
      <c r="K308" s="5">
        <v>199799552796796</v>
      </c>
      <c r="L308" s="5">
        <v>192425713701392</v>
      </c>
      <c r="M308" s="5">
        <v>18101988525923</v>
      </c>
      <c r="N308" s="5">
        <v>163635407366643</v>
      </c>
      <c r="O308" s="5">
        <v>174096605891524</v>
      </c>
      <c r="P308" s="5">
        <v>206335874570187</v>
      </c>
      <c r="Q308" s="5">
        <v>214563361868853</v>
      </c>
      <c r="R308" s="5">
        <v>195632799690857</v>
      </c>
      <c r="S308" s="5">
        <v>200960510460966</v>
      </c>
      <c r="T308" s="5">
        <v>172590795</v>
      </c>
      <c r="U308" s="5">
        <v>151208097181944</v>
      </c>
      <c r="V308" s="5">
        <v>151551435347062</v>
      </c>
      <c r="W308" s="5">
        <v>15439761876</v>
      </c>
      <c r="X308" s="5">
        <v>147414324796395</v>
      </c>
      <c r="Y308" s="5">
        <v>146619355346314</v>
      </c>
      <c r="Z308" s="5">
        <v>138188208194247</v>
      </c>
      <c r="AA308" s="5">
        <v>142551779622382</v>
      </c>
      <c r="AB308" s="5">
        <v>130160167801766</v>
      </c>
      <c r="AC308" s="5">
        <v>131976400097871</v>
      </c>
      <c r="AD308" s="5">
        <v>138466420184224</v>
      </c>
      <c r="AE308" s="5">
        <v>119400240748277</v>
      </c>
      <c r="AF308" s="5">
        <v>111068342229635</v>
      </c>
      <c r="AG308" s="5">
        <v>127854550364109</v>
      </c>
      <c r="AH308" s="5">
        <v>130085629352614</v>
      </c>
      <c r="AI308" s="5">
        <v>138755624103819</v>
      </c>
      <c r="AJ308" s="5">
        <v>130646981637642</v>
      </c>
      <c r="AK308" s="5">
        <v>128123453211451</v>
      </c>
      <c r="AL308" s="5">
        <v>136334419846079</v>
      </c>
      <c r="AM308" s="5">
        <v>135919467698524</v>
      </c>
      <c r="AN308" s="5">
        <v>152893405909965</v>
      </c>
      <c r="AO308" s="5">
        <v>151453630615994</v>
      </c>
    </row>
    <row r="309" spans="1:41" x14ac:dyDescent="0.45">
      <c r="A309" s="1" t="s">
        <v>303</v>
      </c>
      <c r="B309" s="2">
        <v>4280272</v>
      </c>
      <c r="C309" s="3" t="s">
        <v>1211</v>
      </c>
      <c r="D309" s="3" t="s">
        <v>1212</v>
      </c>
      <c r="E309" s="3" t="s">
        <v>618</v>
      </c>
      <c r="F309" s="5">
        <v>543758171234727</v>
      </c>
      <c r="G309" s="5">
        <v>530997373521359</v>
      </c>
      <c r="H309" s="5">
        <v>587302186661149</v>
      </c>
      <c r="I309" s="5">
        <v>649335789619517</v>
      </c>
      <c r="J309" s="5">
        <v>672923214065743</v>
      </c>
      <c r="K309" s="5">
        <v>640549944089744</v>
      </c>
      <c r="L309" s="5">
        <v>597594785938105</v>
      </c>
      <c r="M309" s="5">
        <v>611036021643972</v>
      </c>
      <c r="N309" s="5">
        <v>648085279947791</v>
      </c>
      <c r="O309" s="5">
        <v>676305568857672</v>
      </c>
      <c r="P309" s="5">
        <v>706302634925728</v>
      </c>
      <c r="Q309" s="5">
        <v>754491718023241</v>
      </c>
      <c r="R309" s="5">
        <v>746139919616783</v>
      </c>
      <c r="S309" s="5">
        <v>791509323213647</v>
      </c>
      <c r="T309" s="5">
        <v>690473726714987</v>
      </c>
      <c r="U309" s="5">
        <v>672599896998397</v>
      </c>
      <c r="V309" s="5">
        <v>666777322984756</v>
      </c>
      <c r="W309" s="5">
        <v>614780646051264</v>
      </c>
      <c r="X309" s="5">
        <v>600934624799922</v>
      </c>
      <c r="Y309" s="5">
        <v>561211022678379</v>
      </c>
      <c r="Z309" s="5">
        <v>528428569701715</v>
      </c>
      <c r="AA309" s="5">
        <v>547533923453401</v>
      </c>
      <c r="AB309" s="5">
        <v>50777513790705</v>
      </c>
      <c r="AC309" s="5">
        <v>488749225580109</v>
      </c>
      <c r="AD309" s="5">
        <v>470109923979902</v>
      </c>
      <c r="AE309" s="5">
        <v>491332281091025</v>
      </c>
      <c r="AF309" s="5">
        <v>440200933868405</v>
      </c>
      <c r="AG309" s="5">
        <v>429595123768945</v>
      </c>
      <c r="AH309" s="5">
        <v>436675399966333</v>
      </c>
      <c r="AI309" s="5">
        <v>436212108216751</v>
      </c>
      <c r="AJ309" s="5">
        <v>450562682810074</v>
      </c>
      <c r="AK309" s="5">
        <v>44365451012406</v>
      </c>
      <c r="AL309" s="5">
        <v>442175818401936</v>
      </c>
      <c r="AM309" s="5">
        <v>441031201368434</v>
      </c>
      <c r="AN309" s="5">
        <v>414056016722584</v>
      </c>
      <c r="AO309" s="5">
        <v>395651460332044</v>
      </c>
    </row>
    <row r="310" spans="1:41" x14ac:dyDescent="0.45">
      <c r="A310" s="1" t="s">
        <v>304</v>
      </c>
      <c r="B310" s="2">
        <v>4167462</v>
      </c>
      <c r="C310" s="3" t="s">
        <v>1213</v>
      </c>
      <c r="D310" s="3" t="s">
        <v>1214</v>
      </c>
      <c r="E310" s="3" t="s">
        <v>778</v>
      </c>
      <c r="F310" s="5">
        <v>367166232270073</v>
      </c>
      <c r="G310" s="5">
        <v>36529246781789</v>
      </c>
      <c r="H310" s="5">
        <v>383416667132162</v>
      </c>
      <c r="I310" s="5">
        <v>374141017510276</v>
      </c>
      <c r="J310" s="5">
        <v>375487393090196</v>
      </c>
      <c r="K310" s="5">
        <v>379662859809943</v>
      </c>
      <c r="L310" s="5">
        <v>379966854763945</v>
      </c>
      <c r="M310" s="5">
        <v>384591129285049</v>
      </c>
      <c r="N310" s="5">
        <v>371739049286112</v>
      </c>
      <c r="O310" s="5">
        <v>40601216760975</v>
      </c>
      <c r="P310" s="5">
        <v>440705503624328</v>
      </c>
      <c r="Q310" s="5">
        <v>446372431088692</v>
      </c>
      <c r="R310" s="5">
        <v>454200567130888</v>
      </c>
      <c r="S310" s="5">
        <v>452835068808443</v>
      </c>
      <c r="T310" s="5">
        <v>412291941653088</v>
      </c>
      <c r="U310" s="5">
        <v>411068088082543</v>
      </c>
      <c r="V310" s="5">
        <v>41284273131033</v>
      </c>
      <c r="W310" s="5">
        <v>392984256824174</v>
      </c>
      <c r="X310" s="5">
        <v>356205693676723</v>
      </c>
      <c r="Y310" s="5">
        <v>361742041667731</v>
      </c>
      <c r="Z310" s="5">
        <v>345106013139604</v>
      </c>
      <c r="AA310" s="5">
        <v>410376308688073</v>
      </c>
      <c r="AB310" s="5">
        <v>410446491856866</v>
      </c>
      <c r="AC310" s="5">
        <v>436384101710443</v>
      </c>
      <c r="AD310" s="5">
        <v>404744067397804</v>
      </c>
      <c r="AE310" s="5">
        <v>377713712030144</v>
      </c>
      <c r="AF310" s="5">
        <v>353001440350192</v>
      </c>
      <c r="AG310" s="5">
        <v>383388496837018</v>
      </c>
      <c r="AH310" s="5">
        <v>396406214916096</v>
      </c>
      <c r="AI310" s="5">
        <v>393329787034829</v>
      </c>
      <c r="AJ310" s="5">
        <v>344168257949153</v>
      </c>
      <c r="AK310" s="5">
        <v>353478557951532</v>
      </c>
      <c r="AL310" s="5">
        <v>349995516540089</v>
      </c>
      <c r="AM310" s="5">
        <v>412435581193615</v>
      </c>
      <c r="AN310" s="5">
        <v>393295439774817</v>
      </c>
      <c r="AO310" s="5">
        <v>391321094953465</v>
      </c>
    </row>
    <row r="311" spans="1:41" x14ac:dyDescent="0.45">
      <c r="A311" s="1" t="s">
        <v>305</v>
      </c>
      <c r="B311" s="2">
        <v>4057757</v>
      </c>
      <c r="C311" s="3" t="s">
        <v>1215</v>
      </c>
      <c r="D311" s="3" t="s">
        <v>1216</v>
      </c>
      <c r="E311" s="3" t="s">
        <v>722</v>
      </c>
      <c r="F311" s="5">
        <v>472359517830889</v>
      </c>
      <c r="G311" s="5">
        <v>447714138722337</v>
      </c>
      <c r="H311" s="5">
        <v>423220844247364</v>
      </c>
      <c r="I311" s="5">
        <v>432560908167213</v>
      </c>
      <c r="J311" s="5">
        <v>464735277130307</v>
      </c>
      <c r="K311" s="5">
        <v>482650874495368</v>
      </c>
      <c r="L311" s="5">
        <v>437142689042306</v>
      </c>
      <c r="M311" s="5">
        <v>422690164747992</v>
      </c>
      <c r="N311" s="5">
        <v>385646069531003</v>
      </c>
      <c r="O311" s="5">
        <v>403669609924121</v>
      </c>
      <c r="P311" s="5">
        <v>457584802272441</v>
      </c>
      <c r="Q311" s="5">
        <v>455319031051637</v>
      </c>
      <c r="R311" s="5">
        <v>429192935617853</v>
      </c>
      <c r="S311" s="5">
        <v>452092387843389</v>
      </c>
      <c r="T311" s="5">
        <v>391296816027533</v>
      </c>
      <c r="U311" s="5">
        <v>377014956303181</v>
      </c>
      <c r="V311" s="5">
        <v>375326080377769</v>
      </c>
      <c r="W311" s="5">
        <v>360171892155398</v>
      </c>
      <c r="X311" s="5">
        <v>324245748071145</v>
      </c>
      <c r="Y311" s="5">
        <v>313815724979901</v>
      </c>
      <c r="Z311" s="5">
        <v>322261980833293</v>
      </c>
      <c r="AA311" s="5">
        <v>336346532696864</v>
      </c>
      <c r="AB311" s="5">
        <v>299053462023734</v>
      </c>
      <c r="AC311" s="5">
        <v>307214068656431</v>
      </c>
      <c r="AD311" s="5">
        <v>303479082742891</v>
      </c>
      <c r="AE311" s="5">
        <v>295404105867707</v>
      </c>
      <c r="AF311" s="5">
        <v>23065524973824</v>
      </c>
      <c r="AG311" s="5">
        <v>225552597321651</v>
      </c>
      <c r="AH311" s="5">
        <v>237730988548096</v>
      </c>
      <c r="AI311" s="5">
        <v>224842289939802</v>
      </c>
      <c r="AJ311" s="5">
        <v>224096199074182</v>
      </c>
      <c r="AK311" s="5">
        <v>25487928797071</v>
      </c>
      <c r="AL311" s="5">
        <v>24622098017226</v>
      </c>
      <c r="AM311" s="5">
        <v>246057817928002</v>
      </c>
      <c r="AN311" s="5">
        <v>258235223819851</v>
      </c>
      <c r="AO311" s="5">
        <v>272252045766138</v>
      </c>
    </row>
    <row r="312" spans="1:41" x14ac:dyDescent="0.45">
      <c r="A312" s="1" t="s">
        <v>306</v>
      </c>
      <c r="B312" s="2">
        <v>4305562</v>
      </c>
      <c r="C312" s="3" t="s">
        <v>1217</v>
      </c>
      <c r="D312" s="3" t="s">
        <v>1218</v>
      </c>
      <c r="E312" s="3" t="s">
        <v>600</v>
      </c>
      <c r="F312" s="5">
        <v>180647977477564</v>
      </c>
      <c r="G312" s="5">
        <v>190552561534917</v>
      </c>
      <c r="H312" s="5">
        <v>203840833871704</v>
      </c>
      <c r="I312" s="5">
        <v>201541625309388</v>
      </c>
      <c r="J312" s="5">
        <v>19248037386408</v>
      </c>
      <c r="K312" s="5">
        <v>182150905635918</v>
      </c>
      <c r="L312" s="5">
        <v>181786858987766</v>
      </c>
      <c r="M312" s="5">
        <v>177760735988053</v>
      </c>
      <c r="N312" s="5">
        <v>160910007444049</v>
      </c>
      <c r="O312" s="5">
        <v>165311666004321</v>
      </c>
      <c r="P312" s="5">
        <v>195127367007265</v>
      </c>
      <c r="Q312" s="5">
        <v>238828955957618</v>
      </c>
      <c r="R312" s="5">
        <v>227950561872209</v>
      </c>
      <c r="S312" s="5">
        <v>236319711477454</v>
      </c>
      <c r="T312" s="5">
        <v>217480260109714</v>
      </c>
      <c r="U312" s="5">
        <v>226774437128285</v>
      </c>
      <c r="V312" s="5">
        <v>223505871959579</v>
      </c>
      <c r="W312" s="5">
        <v>241466218332847</v>
      </c>
      <c r="X312" s="5">
        <v>247392321201194</v>
      </c>
      <c r="Y312" s="5">
        <v>229178192581885</v>
      </c>
      <c r="Z312" s="5">
        <v>197268829686615</v>
      </c>
      <c r="AA312" s="5">
        <v>200559369337664</v>
      </c>
      <c r="AB312" s="5">
        <v>170147056549988</v>
      </c>
      <c r="AC312" s="5">
        <v>165591767569353</v>
      </c>
      <c r="AD312" s="5">
        <v>164326967695545</v>
      </c>
      <c r="AE312" s="5">
        <v>172644727446091</v>
      </c>
      <c r="AF312" s="5">
        <v>143828438769418</v>
      </c>
      <c r="AG312" s="5">
        <v>149685352205547</v>
      </c>
      <c r="AH312" s="5">
        <v>14765167624597</v>
      </c>
      <c r="AI312" s="5">
        <v>15037189415947</v>
      </c>
      <c r="AJ312" s="5">
        <v>14866421766776</v>
      </c>
      <c r="AK312" s="5">
        <v>133168955384818</v>
      </c>
      <c r="AL312" s="5">
        <v>121892805976872</v>
      </c>
      <c r="AM312" s="5">
        <v>125706536598809</v>
      </c>
      <c r="AN312" s="5">
        <v>131081751030777</v>
      </c>
      <c r="AO312" s="5">
        <v>131452237557851</v>
      </c>
    </row>
    <row r="313" spans="1:41" x14ac:dyDescent="0.45">
      <c r="A313" s="1" t="s">
        <v>307</v>
      </c>
      <c r="B313" s="2">
        <v>4104060</v>
      </c>
      <c r="C313" s="3" t="s">
        <v>1219</v>
      </c>
      <c r="D313" s="3" t="s">
        <v>1220</v>
      </c>
      <c r="E313" s="3" t="s">
        <v>1141</v>
      </c>
      <c r="F313" s="5">
        <v>338373116346449</v>
      </c>
      <c r="G313" s="5">
        <v>393126113616593</v>
      </c>
      <c r="H313" s="5">
        <v>411042237043081</v>
      </c>
      <c r="I313" s="5">
        <v>434206531732289</v>
      </c>
      <c r="J313" s="5">
        <v>438920413483342</v>
      </c>
      <c r="K313" s="5">
        <v>430683027173908</v>
      </c>
      <c r="L313" s="5">
        <v>485265804896951</v>
      </c>
      <c r="M313" s="5">
        <v>452778802638088</v>
      </c>
      <c r="N313" s="5">
        <v>424506490097038</v>
      </c>
      <c r="O313" s="5">
        <v>369058883093968</v>
      </c>
      <c r="P313" s="5">
        <v>403125227549134</v>
      </c>
      <c r="Q313" s="5">
        <v>401980797648652</v>
      </c>
      <c r="R313" s="5">
        <v>368009799124067</v>
      </c>
      <c r="S313" s="5">
        <v>359286460486355</v>
      </c>
      <c r="T313" s="5">
        <v>297640636451154</v>
      </c>
      <c r="U313" s="5">
        <v>272919289638909</v>
      </c>
      <c r="V313" s="5">
        <v>272129220328419</v>
      </c>
      <c r="W313" s="5">
        <v>249171001311771</v>
      </c>
      <c r="X313" s="5">
        <v>27140977694745</v>
      </c>
      <c r="Y313" s="5">
        <v>254937415773288</v>
      </c>
      <c r="Z313" s="5">
        <v>221896227582051</v>
      </c>
      <c r="AA313" s="5">
        <v>243326049591937</v>
      </c>
      <c r="AB313" s="5">
        <v>241376544697223</v>
      </c>
      <c r="AC313" s="5">
        <v>225009099031002</v>
      </c>
      <c r="AD313" s="5">
        <v>192789287661489</v>
      </c>
      <c r="AE313" s="5">
        <v>190208184297236</v>
      </c>
      <c r="AF313" s="5">
        <v>170548266583822</v>
      </c>
      <c r="AG313" s="5">
        <v>158880356747264</v>
      </c>
      <c r="AH313" s="5">
        <v>178073236206528</v>
      </c>
      <c r="AI313" s="5">
        <v>17739115106389</v>
      </c>
      <c r="AJ313" s="5">
        <v>179367379227145</v>
      </c>
      <c r="AK313" s="5">
        <v>164855542985109</v>
      </c>
      <c r="AL313" s="5">
        <v>132895376809143</v>
      </c>
      <c r="AM313" s="5">
        <v>141611275200351</v>
      </c>
      <c r="AN313" s="5">
        <v>135138902649613</v>
      </c>
      <c r="AO313" s="5">
        <v>14509349063004</v>
      </c>
    </row>
    <row r="314" spans="1:41" x14ac:dyDescent="0.45">
      <c r="A314" s="1" t="s">
        <v>308</v>
      </c>
      <c r="B314" s="2">
        <v>4075105</v>
      </c>
      <c r="C314" s="3" t="s">
        <v>1221</v>
      </c>
      <c r="D314" s="3" t="s">
        <v>1222</v>
      </c>
      <c r="E314" s="3" t="s">
        <v>1223</v>
      </c>
      <c r="F314" s="5">
        <v>926519581737134</v>
      </c>
      <c r="G314" s="5">
        <v>853864743255105</v>
      </c>
      <c r="H314" s="5">
        <v>766077416165512</v>
      </c>
      <c r="I314" s="5">
        <v>786673725095607</v>
      </c>
      <c r="J314" s="5">
        <v>698411457377726</v>
      </c>
      <c r="K314" s="5">
        <v>596324409498495</v>
      </c>
      <c r="L314" s="5">
        <v>549375763558058</v>
      </c>
      <c r="M314" s="5">
        <v>516647236892408</v>
      </c>
      <c r="N314" s="5">
        <v>51678842815022</v>
      </c>
      <c r="O314" s="5">
        <v>503530788309797</v>
      </c>
      <c r="P314" s="5">
        <v>463968415161783</v>
      </c>
      <c r="Q314" s="5">
        <v>463199389330951</v>
      </c>
      <c r="R314" s="5">
        <v>406243725839028</v>
      </c>
      <c r="S314" s="5">
        <v>450561004543115</v>
      </c>
      <c r="T314" s="5">
        <v>47644425774265</v>
      </c>
      <c r="U314" s="5">
        <v>549237259303551</v>
      </c>
      <c r="V314" s="5">
        <v>553891516334364</v>
      </c>
      <c r="W314" s="5">
        <v>520252241698358</v>
      </c>
      <c r="X314" s="5">
        <v>450629937275132</v>
      </c>
      <c r="Y314" s="5">
        <v>445700085148199</v>
      </c>
      <c r="Z314" s="5">
        <v>43826855109193</v>
      </c>
      <c r="AA314" s="5">
        <v>38261966580311</v>
      </c>
      <c r="AB314" s="5">
        <v>333195466136156</v>
      </c>
      <c r="AC314" s="5">
        <v>366599574528688</v>
      </c>
      <c r="AD314" s="5">
        <v>431576140135394</v>
      </c>
      <c r="AE314" s="5">
        <v>42469566742774</v>
      </c>
      <c r="AF314" s="5">
        <v>281878709988135</v>
      </c>
      <c r="AG314" s="5">
        <v>277860645897744</v>
      </c>
      <c r="AH314" s="5">
        <v>288847413766213</v>
      </c>
      <c r="AI314" s="5">
        <v>309513381899603</v>
      </c>
      <c r="AJ314" s="5">
        <v>311020516576224</v>
      </c>
      <c r="AK314" s="5">
        <v>302379799796005</v>
      </c>
      <c r="AL314" s="5">
        <v>341322055804571</v>
      </c>
      <c r="AM314" s="5">
        <v>35846640859068</v>
      </c>
      <c r="AN314" s="5">
        <v>326095522192784</v>
      </c>
      <c r="AO314" s="5">
        <v>386809925630059</v>
      </c>
    </row>
    <row r="315" spans="1:41" x14ac:dyDescent="0.45">
      <c r="A315" s="1" t="s">
        <v>309</v>
      </c>
      <c r="B315" s="2">
        <v>4382367</v>
      </c>
      <c r="C315" s="3" t="s">
        <v>1224</v>
      </c>
      <c r="D315" s="3" t="s">
        <v>1225</v>
      </c>
      <c r="E315" s="3" t="s">
        <v>1226</v>
      </c>
      <c r="F315" s="5">
        <v>129562912775585</v>
      </c>
      <c r="G315" s="5">
        <v>129976553569484</v>
      </c>
      <c r="H315" s="5">
        <v>135182602881389</v>
      </c>
      <c r="I315" s="5">
        <v>153324576108101</v>
      </c>
      <c r="J315" s="5">
        <v>148898990271586</v>
      </c>
      <c r="K315" s="5">
        <v>151625122097552</v>
      </c>
      <c r="L315" s="5">
        <v>150494739606167</v>
      </c>
      <c r="M315" s="5">
        <v>148261425206497</v>
      </c>
      <c r="N315" s="5">
        <v>142502950758444</v>
      </c>
      <c r="O315" s="5">
        <v>148220489512627</v>
      </c>
      <c r="P315" s="5">
        <v>162634168537759</v>
      </c>
      <c r="Q315" s="5">
        <v>159990319798625</v>
      </c>
      <c r="R315" s="5">
        <v>156345896418764</v>
      </c>
      <c r="S315" s="5">
        <v>163017090049139</v>
      </c>
      <c r="T315" s="5">
        <v>145867324939303</v>
      </c>
      <c r="U315" s="5">
        <v>138162404502355</v>
      </c>
      <c r="V315" s="5">
        <v>147815655554144</v>
      </c>
      <c r="W315" s="5">
        <v>146585415074683</v>
      </c>
      <c r="X315" s="5">
        <v>147969751130181</v>
      </c>
      <c r="Y315" s="5">
        <v>144062109825473</v>
      </c>
      <c r="Z315" s="5">
        <v>128230969119068</v>
      </c>
      <c r="AA315" s="5">
        <v>139879296454049</v>
      </c>
      <c r="AB315" s="5">
        <v>143915656739282</v>
      </c>
      <c r="AC315" s="5">
        <v>13135269900284</v>
      </c>
      <c r="AD315" s="5">
        <v>128938819822719</v>
      </c>
      <c r="AE315" s="5">
        <v>117291083454899</v>
      </c>
      <c r="AF315" s="5">
        <v>11336480077436</v>
      </c>
      <c r="AG315" s="5">
        <v>109997579772349</v>
      </c>
      <c r="AH315" s="5">
        <v>11445524071769</v>
      </c>
      <c r="AI315" s="5">
        <v>103321848325657</v>
      </c>
      <c r="AJ315" s="5">
        <v>102592296809282</v>
      </c>
      <c r="AK315" s="5">
        <v>987302452700481</v>
      </c>
      <c r="AL315" s="5">
        <v>918215912744876</v>
      </c>
      <c r="AM315" s="5">
        <v>916512363956483</v>
      </c>
      <c r="AN315" s="5">
        <v>932254024960962</v>
      </c>
      <c r="AO315" s="5">
        <v>107721430323125</v>
      </c>
    </row>
    <row r="316" spans="1:41" x14ac:dyDescent="0.45">
      <c r="A316" s="1" t="s">
        <v>310</v>
      </c>
      <c r="B316" s="2">
        <v>3010401</v>
      </c>
      <c r="C316" s="3" t="s">
        <v>1227</v>
      </c>
      <c r="D316" s="3" t="s">
        <v>1228</v>
      </c>
      <c r="E316" s="3" t="s">
        <v>547</v>
      </c>
      <c r="F316" s="5">
        <v>142397345856026</v>
      </c>
      <c r="G316" s="5">
        <v>154980515218947</v>
      </c>
      <c r="H316" s="5">
        <v>146977679316679</v>
      </c>
      <c r="I316" s="5">
        <v>132495146642079</v>
      </c>
      <c r="J316" s="5">
        <v>12684324927232</v>
      </c>
      <c r="K316" s="5">
        <v>127924598225327</v>
      </c>
      <c r="L316" s="5">
        <v>121688010987921</v>
      </c>
      <c r="M316" s="5">
        <v>12816014544248</v>
      </c>
      <c r="N316" s="5">
        <v>121352252371631</v>
      </c>
      <c r="O316" s="5">
        <v>134915063033608</v>
      </c>
      <c r="P316" s="5">
        <v>13872664839237</v>
      </c>
      <c r="Q316" s="5">
        <v>141579084775757</v>
      </c>
      <c r="R316" s="5">
        <v>142396495298384</v>
      </c>
      <c r="S316" s="5">
        <v>153332567744354</v>
      </c>
      <c r="T316" s="5">
        <v>150095425071195</v>
      </c>
      <c r="U316" s="5">
        <v>155774423167642</v>
      </c>
      <c r="V316" s="5">
        <v>149607320300367</v>
      </c>
      <c r="W316" s="5">
        <v>14507581850028</v>
      </c>
      <c r="X316" s="5">
        <v>135777837291645</v>
      </c>
      <c r="Y316" s="5">
        <v>15159664698526</v>
      </c>
      <c r="Z316" s="5">
        <v>128676080490958</v>
      </c>
      <c r="AA316" s="5">
        <v>121437877787515</v>
      </c>
      <c r="AB316" s="5">
        <v>104789374990066</v>
      </c>
      <c r="AC316" s="5">
        <v>110872790628697</v>
      </c>
      <c r="AD316" s="5">
        <v>112744372791991</v>
      </c>
      <c r="AE316" s="5">
        <v>110069645530067</v>
      </c>
      <c r="AF316" s="5">
        <v>111670460882757</v>
      </c>
      <c r="AG316" s="5">
        <v>109538765554305</v>
      </c>
      <c r="AH316" s="5">
        <v>124639735589631</v>
      </c>
      <c r="AI316" s="5">
        <v>134602115328343</v>
      </c>
      <c r="AJ316" s="5">
        <v>137526324020204</v>
      </c>
      <c r="AK316" s="5">
        <v>139469452535583</v>
      </c>
      <c r="AL316" s="5">
        <v>140495175705052</v>
      </c>
      <c r="AM316" s="5">
        <v>141001725586836</v>
      </c>
      <c r="AN316" s="5">
        <v>13298382767324</v>
      </c>
      <c r="AO316" s="5">
        <v>136541672897203</v>
      </c>
    </row>
    <row r="317" spans="1:41" x14ac:dyDescent="0.45">
      <c r="A317" s="1" t="s">
        <v>311</v>
      </c>
      <c r="B317" s="2">
        <v>4004236</v>
      </c>
      <c r="C317" s="3" t="s">
        <v>1229</v>
      </c>
      <c r="D317" s="3" t="s">
        <v>1230</v>
      </c>
      <c r="E317" s="3" t="s">
        <v>841</v>
      </c>
      <c r="F317" s="5">
        <v>803282784453274</v>
      </c>
      <c r="G317" s="5">
        <v>823903792878111</v>
      </c>
      <c r="H317" s="5">
        <v>827785815733594</v>
      </c>
      <c r="I317" s="5">
        <v>877736727277295</v>
      </c>
      <c r="J317" s="5">
        <v>976877330131966</v>
      </c>
      <c r="K317" s="5">
        <v>96432933652841</v>
      </c>
      <c r="L317" s="5">
        <v>892834911133027</v>
      </c>
      <c r="M317" s="5">
        <v>788148913171399</v>
      </c>
      <c r="N317" s="5">
        <v>733729040596375</v>
      </c>
      <c r="O317" s="5">
        <v>868716306727104</v>
      </c>
      <c r="P317" s="5">
        <v>112916802442531</v>
      </c>
      <c r="Q317" s="5">
        <v>10943392750687</v>
      </c>
      <c r="R317" s="5">
        <v>10879363683622</v>
      </c>
      <c r="S317" s="5">
        <v>11112842128841</v>
      </c>
      <c r="T317" s="5">
        <v>105737869704383</v>
      </c>
      <c r="U317" s="5">
        <v>118838350260431</v>
      </c>
      <c r="V317" s="5">
        <v>11294612750025</v>
      </c>
      <c r="W317" s="5">
        <v>103711617746204</v>
      </c>
      <c r="X317" s="5">
        <v>106172556385575</v>
      </c>
      <c r="Y317" s="5">
        <v>132288665801593</v>
      </c>
      <c r="Z317" s="5">
        <v>130229820392828</v>
      </c>
      <c r="AA317" s="5">
        <v>131825746991903</v>
      </c>
      <c r="AB317" s="5">
        <v>14567238545135</v>
      </c>
      <c r="AC317" s="5">
        <v>141785427662976</v>
      </c>
      <c r="AD317" s="5">
        <v>1494870028208</v>
      </c>
      <c r="AE317" s="5">
        <v>15387510193365</v>
      </c>
      <c r="AF317" s="5">
        <v>148038944906526</v>
      </c>
      <c r="AG317" s="5">
        <v>138220352296296</v>
      </c>
      <c r="AH317" s="5">
        <v>143475566094205</v>
      </c>
      <c r="AI317" s="5">
        <v>153254021613381</v>
      </c>
      <c r="AJ317" s="5">
        <v>155387909349679</v>
      </c>
      <c r="AK317" s="5">
        <v>151801404353118</v>
      </c>
      <c r="AL317" s="5">
        <v>176478580546025</v>
      </c>
      <c r="AM317" s="5">
        <v>175024225114004</v>
      </c>
      <c r="AN317" s="5">
        <v>173508276899037</v>
      </c>
      <c r="AO317" s="5">
        <v>181776733084597</v>
      </c>
    </row>
    <row r="318" spans="1:41" x14ac:dyDescent="0.45">
      <c r="A318" s="1" t="s">
        <v>312</v>
      </c>
      <c r="B318" s="2">
        <v>4057051</v>
      </c>
      <c r="C318" s="3" t="s">
        <v>1231</v>
      </c>
      <c r="D318" s="3" t="s">
        <v>1232</v>
      </c>
      <c r="E318" s="3" t="s">
        <v>562</v>
      </c>
      <c r="F318" s="5">
        <v>169724095623788</v>
      </c>
      <c r="G318" s="5">
        <v>181609700103696</v>
      </c>
      <c r="H318" s="5">
        <v>174221081306067</v>
      </c>
      <c r="I318" s="5">
        <v>173767110565913</v>
      </c>
      <c r="J318" s="5">
        <v>170151099478946</v>
      </c>
      <c r="K318" s="5">
        <v>174676862909281</v>
      </c>
      <c r="L318" s="5">
        <v>161684144514721</v>
      </c>
      <c r="M318" s="5">
        <v>164023971043982</v>
      </c>
      <c r="N318" s="5">
        <v>162225007687107</v>
      </c>
      <c r="O318" s="5">
        <v>174553524231154</v>
      </c>
      <c r="P318" s="5">
        <v>184322032612207</v>
      </c>
      <c r="Q318" s="5">
        <v>167509831855492</v>
      </c>
      <c r="R318" s="5">
        <v>165736790711664</v>
      </c>
      <c r="S318" s="5">
        <v>16851514300061</v>
      </c>
      <c r="T318" s="5">
        <v>151154037726455</v>
      </c>
      <c r="U318" s="5">
        <v>13933940322948</v>
      </c>
      <c r="V318" s="5">
        <v>13405755404464</v>
      </c>
      <c r="W318" s="5">
        <v>1294481663475</v>
      </c>
      <c r="X318" s="5">
        <v>120542011460351</v>
      </c>
      <c r="Y318" s="5">
        <v>120128911540544</v>
      </c>
      <c r="Z318" s="5">
        <v>116773880253927</v>
      </c>
      <c r="AA318" s="5">
        <v>114600416595072</v>
      </c>
      <c r="AB318" s="5">
        <v>107889687827321</v>
      </c>
      <c r="AC318" s="5">
        <v>989573896085311</v>
      </c>
      <c r="AD318" s="5">
        <v>993015000850018</v>
      </c>
      <c r="AE318" s="5">
        <v>971911424174836</v>
      </c>
      <c r="AF318" s="5">
        <v>984122496428412</v>
      </c>
      <c r="AG318" s="5">
        <v>963613652615187</v>
      </c>
      <c r="AH318" s="5">
        <v>101961199197106</v>
      </c>
      <c r="AI318" s="5">
        <v>104348096473895</v>
      </c>
      <c r="AJ318" s="5">
        <v>103483076003194</v>
      </c>
      <c r="AK318" s="5">
        <v>104219514024453</v>
      </c>
      <c r="AL318" s="5">
        <v>106498335793722</v>
      </c>
      <c r="AM318" s="5">
        <v>106275750367775</v>
      </c>
      <c r="AN318" s="5">
        <v>106588175154926</v>
      </c>
      <c r="AO318" s="5">
        <v>103764989108534</v>
      </c>
    </row>
    <row r="319" spans="1:41" x14ac:dyDescent="0.45">
      <c r="A319" s="1" t="s">
        <v>313</v>
      </c>
      <c r="B319" s="2">
        <v>4298336</v>
      </c>
      <c r="C319" s="3" t="s">
        <v>1233</v>
      </c>
      <c r="D319" s="3" t="s">
        <v>1234</v>
      </c>
      <c r="E319" s="3" t="s">
        <v>871</v>
      </c>
      <c r="F319" s="5">
        <v>114312175606162</v>
      </c>
      <c r="G319" s="5">
        <v>115158313912932</v>
      </c>
      <c r="H319" s="5">
        <v>112991020543969</v>
      </c>
      <c r="I319" s="5">
        <v>10868087653344</v>
      </c>
      <c r="J319" s="5">
        <v>108118988781466</v>
      </c>
      <c r="K319" s="5">
        <v>105819998322694</v>
      </c>
      <c r="L319" s="5">
        <v>10314920075048</v>
      </c>
      <c r="M319" s="5">
        <v>105573848179365</v>
      </c>
      <c r="N319" s="5">
        <v>950921145338252</v>
      </c>
      <c r="O319" s="5">
        <v>106215141523159</v>
      </c>
      <c r="P319" s="5">
        <v>115024153749816</v>
      </c>
      <c r="Q319" s="5">
        <v>120953976396713</v>
      </c>
      <c r="R319" s="5">
        <v>115232191453838</v>
      </c>
      <c r="S319" s="5">
        <v>141447855045316</v>
      </c>
      <c r="T319" s="5">
        <v>130549265283558</v>
      </c>
      <c r="U319" s="5">
        <v>134647676181709</v>
      </c>
      <c r="V319" s="5">
        <v>132635937216686</v>
      </c>
      <c r="W319" s="5">
        <v>132465508077025</v>
      </c>
      <c r="X319" s="5">
        <v>123969502300952</v>
      </c>
      <c r="Y319" s="5">
        <v>123949864835947</v>
      </c>
      <c r="Z319" s="5">
        <v>138095987568216</v>
      </c>
      <c r="AA319" s="5">
        <v>145365032687813</v>
      </c>
      <c r="AB319" s="5">
        <v>140551552049197</v>
      </c>
      <c r="AC319" s="5">
        <v>132513861244426</v>
      </c>
      <c r="AD319" s="5">
        <v>136260064464564</v>
      </c>
      <c r="AE319" s="5">
        <v>123027732317173</v>
      </c>
      <c r="AF319" s="5">
        <v>114722538296582</v>
      </c>
      <c r="AG319" s="5">
        <v>12021564619179</v>
      </c>
      <c r="AH319" s="5">
        <v>128337967923688</v>
      </c>
      <c r="AI319" s="5">
        <v>13011683281538</v>
      </c>
      <c r="AJ319" s="5">
        <v>129559440773816</v>
      </c>
      <c r="AK319" s="5">
        <v>116537459433893</v>
      </c>
      <c r="AL319" s="5">
        <v>112230643011917</v>
      </c>
      <c r="AM319" s="5">
        <v>117137686798052</v>
      </c>
      <c r="AN319" s="5">
        <v>118257971836051</v>
      </c>
      <c r="AO319" s="5">
        <v>128034892355594</v>
      </c>
    </row>
    <row r="320" spans="1:41" x14ac:dyDescent="0.45">
      <c r="A320" s="1" t="s">
        <v>314</v>
      </c>
      <c r="B320" s="2">
        <v>4021829</v>
      </c>
      <c r="C320" s="3" t="s">
        <v>1235</v>
      </c>
      <c r="D320" s="3" t="s">
        <v>1236</v>
      </c>
      <c r="E320" s="3" t="s">
        <v>822</v>
      </c>
      <c r="F320" s="5">
        <v>551773027881064</v>
      </c>
      <c r="G320" s="5">
        <v>565226333938987</v>
      </c>
      <c r="H320" s="5">
        <v>551296511485738</v>
      </c>
      <c r="I320" s="5">
        <v>57443551798931</v>
      </c>
      <c r="J320" s="5">
        <v>537003031652629</v>
      </c>
      <c r="K320" s="5">
        <v>545242887798732</v>
      </c>
      <c r="L320" s="5">
        <v>49137317167751</v>
      </c>
      <c r="M320" s="5">
        <v>490986312884229</v>
      </c>
      <c r="N320" s="5">
        <v>445200572941227</v>
      </c>
      <c r="O320" s="5">
        <v>495761969940907</v>
      </c>
      <c r="P320" s="5">
        <v>534815502834116</v>
      </c>
      <c r="Q320" s="5">
        <v>555898726895722</v>
      </c>
      <c r="R320" s="5">
        <v>512877915717053</v>
      </c>
      <c r="S320" s="5">
        <v>591505021608871</v>
      </c>
      <c r="T320" s="5">
        <v>521812798688419</v>
      </c>
      <c r="U320" s="5">
        <v>503754383642083</v>
      </c>
      <c r="V320" s="5">
        <v>523626351848889</v>
      </c>
      <c r="W320" s="5">
        <v>521363542571995</v>
      </c>
      <c r="X320" s="5">
        <v>45266433777143</v>
      </c>
      <c r="Y320" s="5">
        <v>468292851091862</v>
      </c>
      <c r="Z320" s="5">
        <v>486608117023634</v>
      </c>
      <c r="AA320" s="5">
        <v>533016152442797</v>
      </c>
      <c r="AB320" s="5">
        <v>529470406454117</v>
      </c>
      <c r="AC320" s="5">
        <v>489323692746078</v>
      </c>
      <c r="AD320" s="5">
        <v>482756805327758</v>
      </c>
      <c r="AE320" s="5">
        <v>452342553172659</v>
      </c>
      <c r="AF320" s="5">
        <v>408363176765935</v>
      </c>
      <c r="AG320" s="5">
        <v>422383407584315</v>
      </c>
      <c r="AH320" s="5">
        <v>429102505866239</v>
      </c>
      <c r="AI320" s="5">
        <v>481180595882898</v>
      </c>
      <c r="AJ320" s="5">
        <v>472835134329603</v>
      </c>
      <c r="AK320" s="5">
        <v>44466048582713</v>
      </c>
      <c r="AL320" s="5">
        <v>418778293318578</v>
      </c>
      <c r="AM320" s="5">
        <v>44415893340624</v>
      </c>
      <c r="AN320" s="5">
        <v>482398149637289</v>
      </c>
      <c r="AO320" s="5">
        <v>516176309099578</v>
      </c>
    </row>
    <row r="321" spans="1:41" x14ac:dyDescent="0.45">
      <c r="A321" s="1" t="s">
        <v>315</v>
      </c>
      <c r="B321" s="2">
        <v>100386</v>
      </c>
      <c r="C321" s="3" t="s">
        <v>1237</v>
      </c>
      <c r="D321" s="3" t="s">
        <v>1238</v>
      </c>
      <c r="E321" s="3" t="s">
        <v>579</v>
      </c>
      <c r="F321" s="5">
        <v>220007238373874</v>
      </c>
      <c r="G321" s="5">
        <v>214208735308223</v>
      </c>
      <c r="H321" s="5">
        <v>210973455306224</v>
      </c>
      <c r="I321" s="5">
        <v>218725033809501</v>
      </c>
      <c r="J321" s="5">
        <v>213980810971268</v>
      </c>
      <c r="K321" s="5">
        <v>2166781397937</v>
      </c>
      <c r="L321" s="5">
        <v>210027123544989</v>
      </c>
      <c r="M321" s="5">
        <v>183002363577841</v>
      </c>
      <c r="N321" s="5">
        <v>161144028744699</v>
      </c>
      <c r="O321" s="5">
        <v>178615248786691</v>
      </c>
      <c r="P321" s="5">
        <v>207307399158108</v>
      </c>
      <c r="Q321" s="5">
        <v>2117146393773</v>
      </c>
      <c r="R321" s="5">
        <v>196245713547943</v>
      </c>
      <c r="S321" s="5">
        <v>208837935153114</v>
      </c>
      <c r="T321" s="5">
        <v>183508530801784</v>
      </c>
      <c r="U321" s="5">
        <v>162763887263938</v>
      </c>
      <c r="V321" s="5">
        <v>166276545729887</v>
      </c>
      <c r="W321" s="5">
        <v>165166928388</v>
      </c>
      <c r="X321" s="5">
        <v>160355993956526</v>
      </c>
      <c r="Y321" s="5">
        <v>158922153777217</v>
      </c>
      <c r="Z321" s="5">
        <v>157640231136647</v>
      </c>
      <c r="AA321" s="5">
        <v>167952839806908</v>
      </c>
      <c r="AB321" s="5">
        <v>155635434682914</v>
      </c>
      <c r="AC321" s="5">
        <v>151973366263176</v>
      </c>
      <c r="AD321" s="5">
        <v>158048637363728</v>
      </c>
      <c r="AE321" s="5">
        <v>150441580765003</v>
      </c>
      <c r="AF321" s="5">
        <v>129157186043516</v>
      </c>
      <c r="AG321" s="5">
        <v>135887281885074</v>
      </c>
      <c r="AH321" s="5">
        <v>145185570208737</v>
      </c>
      <c r="AI321" s="5">
        <v>150493877784127</v>
      </c>
      <c r="AJ321" s="5">
        <v>141489955395395</v>
      </c>
      <c r="AK321" s="5">
        <v>140594699992345</v>
      </c>
      <c r="AL321" s="5">
        <v>14754942113392</v>
      </c>
      <c r="AM321" s="5">
        <v>16851679531739</v>
      </c>
      <c r="AN321" s="5">
        <v>186844965215979</v>
      </c>
      <c r="AO321" s="5">
        <v>18608509991412</v>
      </c>
    </row>
    <row r="322" spans="1:41" x14ac:dyDescent="0.45">
      <c r="A322" s="1" t="s">
        <v>316</v>
      </c>
      <c r="B322" s="2">
        <v>4069910</v>
      </c>
      <c r="C322" s="3" t="s">
        <v>1239</v>
      </c>
      <c r="D322" s="3" t="s">
        <v>1240</v>
      </c>
      <c r="E322" s="3" t="s">
        <v>644</v>
      </c>
      <c r="F322" s="5">
        <v>693116946894464</v>
      </c>
      <c r="G322" s="5">
        <v>704335519130628</v>
      </c>
      <c r="H322" s="5">
        <v>72195110020027</v>
      </c>
      <c r="I322" s="5">
        <v>743582781889662</v>
      </c>
      <c r="J322" s="5">
        <v>722251037592145</v>
      </c>
      <c r="K322" s="5">
        <v>721745982532417</v>
      </c>
      <c r="L322" s="5">
        <v>612749736667595</v>
      </c>
      <c r="M322" s="5">
        <v>614901219794712</v>
      </c>
      <c r="N322" s="5">
        <v>617165640490035</v>
      </c>
      <c r="O322" s="5">
        <v>685724423612387</v>
      </c>
      <c r="P322" s="5">
        <v>642394222929789</v>
      </c>
      <c r="Q322" s="5">
        <v>678618100514108</v>
      </c>
      <c r="R322" s="5">
        <v>660418352308712</v>
      </c>
      <c r="S322" s="5">
        <v>676157906065223</v>
      </c>
      <c r="T322" s="5">
        <v>683030573890376</v>
      </c>
      <c r="U322" s="5">
        <v>692423886001264</v>
      </c>
      <c r="V322" s="5">
        <v>691790057564635</v>
      </c>
      <c r="W322" s="5">
        <v>654464637846835</v>
      </c>
      <c r="X322" s="5">
        <v>602129946456138</v>
      </c>
      <c r="Y322" s="5">
        <v>615127730805245</v>
      </c>
      <c r="Z322" s="5">
        <v>671282582258383</v>
      </c>
      <c r="AA322" s="5">
        <v>664873366360967</v>
      </c>
      <c r="AB322" s="5">
        <v>639886681112394</v>
      </c>
      <c r="AC322" s="5">
        <v>617815063581979</v>
      </c>
      <c r="AD322" s="5">
        <v>638646277297221</v>
      </c>
      <c r="AE322" s="5">
        <v>656964481524614</v>
      </c>
      <c r="AF322" s="5">
        <v>672849413341795</v>
      </c>
      <c r="AG322" s="5">
        <v>629242593345804</v>
      </c>
      <c r="AH322" s="5">
        <v>604153272840701</v>
      </c>
      <c r="AI322" s="5">
        <v>61093758146928</v>
      </c>
      <c r="AJ322" s="5">
        <v>63403262088396</v>
      </c>
      <c r="AK322" s="5">
        <v>620528469623718</v>
      </c>
      <c r="AL322" s="5">
        <v>634706796334254</v>
      </c>
      <c r="AM322" s="5">
        <v>646150188504169</v>
      </c>
      <c r="AN322" s="5">
        <v>66913651213951</v>
      </c>
      <c r="AO322" s="5">
        <v>631361115780528</v>
      </c>
    </row>
    <row r="323" spans="1:41" x14ac:dyDescent="0.45">
      <c r="A323" s="1" t="s">
        <v>317</v>
      </c>
      <c r="B323" s="2">
        <v>4232236</v>
      </c>
      <c r="C323" s="3" t="s">
        <v>1241</v>
      </c>
      <c r="D323" s="3" t="s">
        <v>1242</v>
      </c>
      <c r="E323" s="3" t="s">
        <v>530</v>
      </c>
      <c r="F323" s="5">
        <v>865441937147062</v>
      </c>
      <c r="G323" s="5">
        <v>724765552016106</v>
      </c>
      <c r="H323" s="5">
        <v>884923174010928</v>
      </c>
      <c r="I323" s="5">
        <v>955669581677585</v>
      </c>
      <c r="J323" s="5">
        <v>959720756569214</v>
      </c>
      <c r="K323" s="5">
        <v>998385885842897</v>
      </c>
      <c r="L323" s="5">
        <v>771564622066134</v>
      </c>
      <c r="M323" s="5">
        <v>695005406411501</v>
      </c>
      <c r="N323" s="5">
        <v>631273107156237</v>
      </c>
      <c r="O323" s="5">
        <v>771742055900103</v>
      </c>
      <c r="P323" s="5">
        <v>960671960259782</v>
      </c>
      <c r="Q323" s="5">
        <v>119932785263787</v>
      </c>
      <c r="R323" s="5">
        <v>109278970277807</v>
      </c>
      <c r="S323" s="5">
        <v>112065555533391</v>
      </c>
      <c r="T323" s="5">
        <v>102618325754624</v>
      </c>
      <c r="U323" s="5">
        <v>808560080687451</v>
      </c>
      <c r="V323" s="5">
        <v>711172100751982</v>
      </c>
      <c r="W323" s="5">
        <v>748756759162104</v>
      </c>
      <c r="X323" s="5">
        <v>752395971418517</v>
      </c>
      <c r="Y323" s="5">
        <v>656726476588064</v>
      </c>
      <c r="Z323" s="5">
        <v>759117611852477</v>
      </c>
      <c r="AA323" s="5">
        <v>824796220349119</v>
      </c>
      <c r="AB323" s="5">
        <v>763531128151145</v>
      </c>
      <c r="AC323" s="5">
        <v>697963207768684</v>
      </c>
      <c r="AD323" s="5">
        <v>771303403330759</v>
      </c>
      <c r="AE323" s="5">
        <v>595640130270484</v>
      </c>
      <c r="AF323" s="5">
        <v>54762227357676</v>
      </c>
      <c r="AG323" s="5">
        <v>66239747652041</v>
      </c>
      <c r="AH323" s="5">
        <v>649942605066646</v>
      </c>
      <c r="AI323" s="5">
        <v>84944659581282</v>
      </c>
      <c r="AJ323" s="5">
        <v>845841276964348</v>
      </c>
      <c r="AK323" s="5">
        <v>591021312636695</v>
      </c>
      <c r="AL323" s="5">
        <v>51308134666659</v>
      </c>
      <c r="AM323" s="5">
        <v>522323008266618</v>
      </c>
      <c r="AN323" s="5">
        <v>589032650869884</v>
      </c>
      <c r="AO323" s="5">
        <v>59011665107967</v>
      </c>
    </row>
    <row r="324" spans="1:41" x14ac:dyDescent="0.45">
      <c r="A324" s="1" t="s">
        <v>318</v>
      </c>
      <c r="B324" s="2">
        <v>4057436</v>
      </c>
      <c r="C324" s="3" t="s">
        <v>1243</v>
      </c>
      <c r="D324" s="3" t="s">
        <v>1244</v>
      </c>
      <c r="E324" s="3" t="s">
        <v>547</v>
      </c>
      <c r="F324" s="5">
        <v>259910387512929</v>
      </c>
      <c r="G324" s="5">
        <v>280115827170798</v>
      </c>
      <c r="H324" s="5">
        <v>288216962867012</v>
      </c>
      <c r="I324" s="5">
        <v>26699250698598</v>
      </c>
      <c r="J324" s="5">
        <v>240703827671937</v>
      </c>
      <c r="K324" s="5">
        <v>285770241415507</v>
      </c>
      <c r="L324" s="5">
        <v>267328974457964</v>
      </c>
      <c r="M324" s="5">
        <v>268620907366188</v>
      </c>
      <c r="N324" s="5">
        <v>191302181074917</v>
      </c>
      <c r="O324" s="5">
        <v>17493335820341</v>
      </c>
      <c r="P324" s="5">
        <v>201233476142875</v>
      </c>
      <c r="Q324" s="5">
        <v>199644401685405</v>
      </c>
      <c r="R324" s="5">
        <v>176523423203928</v>
      </c>
      <c r="S324" s="5">
        <v>195083486103503</v>
      </c>
      <c r="T324" s="5">
        <v>171828546045888</v>
      </c>
      <c r="U324" s="5">
        <v>168571583365163</v>
      </c>
      <c r="V324" s="5">
        <v>158618463995131</v>
      </c>
      <c r="W324" s="5">
        <v>144801096917308</v>
      </c>
      <c r="X324" s="5">
        <v>151492452199295</v>
      </c>
      <c r="Y324" s="5">
        <v>155710669219947</v>
      </c>
      <c r="Z324" s="5">
        <v>141373126681958</v>
      </c>
      <c r="AA324" s="5">
        <v>130361363834508</v>
      </c>
      <c r="AB324" s="5">
        <v>106457939772904</v>
      </c>
      <c r="AC324" s="5">
        <v>1103693875827</v>
      </c>
      <c r="AD324" s="5">
        <v>105596777073836</v>
      </c>
      <c r="AE324" s="5">
        <v>990304319986426</v>
      </c>
      <c r="AF324" s="5">
        <v>91905118608381</v>
      </c>
      <c r="AG324" s="5">
        <v>833843009572128</v>
      </c>
      <c r="AH324" s="5">
        <v>7932297455773</v>
      </c>
      <c r="AI324" s="5">
        <v>793659940580712</v>
      </c>
      <c r="AJ324" s="5">
        <v>788528383289576</v>
      </c>
      <c r="AK324" s="5">
        <v>729955356415272</v>
      </c>
      <c r="AL324" s="5">
        <v>719140934950187</v>
      </c>
      <c r="AM324" s="5">
        <v>733055735873963</v>
      </c>
      <c r="AN324" s="5">
        <v>709730802270684</v>
      </c>
      <c r="AO324" s="5">
        <v>725856631873857</v>
      </c>
    </row>
    <row r="325" spans="1:41" x14ac:dyDescent="0.45">
      <c r="A325" s="1" t="s">
        <v>319</v>
      </c>
      <c r="B325" s="2">
        <v>4121108</v>
      </c>
      <c r="C325" s="3" t="s">
        <v>1245</v>
      </c>
      <c r="D325" s="3" t="s">
        <v>1246</v>
      </c>
      <c r="E325" s="3" t="s">
        <v>1247</v>
      </c>
      <c r="F325" s="5">
        <v>317932250200446</v>
      </c>
      <c r="G325" s="5">
        <v>3147817567262</v>
      </c>
      <c r="H325" s="5">
        <v>298610352439775</v>
      </c>
      <c r="I325" s="5">
        <v>264945855159791</v>
      </c>
      <c r="J325" s="5">
        <v>291852661319218</v>
      </c>
      <c r="K325" s="5">
        <v>288603797518278</v>
      </c>
      <c r="L325" s="5">
        <v>254525445959749</v>
      </c>
      <c r="M325" s="5">
        <v>222394956337578</v>
      </c>
      <c r="N325" s="5">
        <v>242557463204831</v>
      </c>
      <c r="O325" s="5">
        <v>256680001470341</v>
      </c>
      <c r="P325" s="5">
        <v>304589517253132</v>
      </c>
      <c r="Q325" s="5">
        <v>290140716376887</v>
      </c>
      <c r="R325" s="5">
        <v>264705044003211</v>
      </c>
      <c r="S325" s="5">
        <v>344271384152907</v>
      </c>
      <c r="T325" s="5">
        <v>310045652333971</v>
      </c>
      <c r="U325" s="5">
        <v>319919397636307</v>
      </c>
      <c r="V325" s="5">
        <v>325964365846126</v>
      </c>
      <c r="W325" s="5">
        <v>360977073107112</v>
      </c>
      <c r="X325" s="5">
        <v>353735078434733</v>
      </c>
      <c r="Y325" s="5">
        <v>373300888025555</v>
      </c>
      <c r="Z325" s="5">
        <v>378230609015894</v>
      </c>
      <c r="AA325" s="5">
        <v>439681227731615</v>
      </c>
      <c r="AB325" s="5">
        <v>42827754846029</v>
      </c>
      <c r="AC325" s="5">
        <v>423564323193656</v>
      </c>
      <c r="AD325" s="5">
        <v>38708330798478</v>
      </c>
      <c r="AE325" s="5">
        <v>383128999977815</v>
      </c>
      <c r="AF325" s="5">
        <v>347921070779881</v>
      </c>
      <c r="AG325" s="5">
        <v>367411574779831</v>
      </c>
      <c r="AH325" s="5">
        <v>394663402024428</v>
      </c>
      <c r="AI325" s="5">
        <v>392295790457071</v>
      </c>
      <c r="AJ325" s="5">
        <v>377351077277174</v>
      </c>
      <c r="AK325" s="5">
        <v>311295073513594</v>
      </c>
      <c r="AL325" s="5">
        <v>338267505544638</v>
      </c>
      <c r="AM325" s="5">
        <v>358191533695283</v>
      </c>
      <c r="AN325" s="5">
        <v>3990530544</v>
      </c>
      <c r="AO325" s="5">
        <v>39371028642</v>
      </c>
    </row>
    <row r="326" spans="1:41" x14ac:dyDescent="0.45">
      <c r="A326" s="1" t="s">
        <v>320</v>
      </c>
      <c r="B326" s="2">
        <v>4094286</v>
      </c>
      <c r="C326" s="3" t="s">
        <v>1248</v>
      </c>
      <c r="D326" s="3" t="s">
        <v>1249</v>
      </c>
      <c r="E326" s="3" t="s">
        <v>518</v>
      </c>
      <c r="F326" s="5">
        <v>385970297295</v>
      </c>
      <c r="G326" s="5">
        <v>37091159952</v>
      </c>
      <c r="H326" s="5">
        <v>4266079569</v>
      </c>
      <c r="I326" s="5">
        <v>38642378562</v>
      </c>
      <c r="J326" s="5">
        <v>36184275126</v>
      </c>
      <c r="K326" s="5">
        <v>37940524776</v>
      </c>
      <c r="L326" s="5">
        <v>3282495034</v>
      </c>
      <c r="M326" s="5">
        <v>29057976836</v>
      </c>
      <c r="N326" s="5">
        <v>23424509472</v>
      </c>
      <c r="O326" s="5">
        <v>24466654944</v>
      </c>
      <c r="P326" s="5">
        <v>29294789328</v>
      </c>
      <c r="Q326" s="5">
        <v>282906880803</v>
      </c>
      <c r="R326" s="5">
        <v>317661531239</v>
      </c>
      <c r="S326" s="5">
        <v>32090067415</v>
      </c>
      <c r="T326" s="5">
        <v>29993311788</v>
      </c>
      <c r="U326" s="5">
        <v>267090254112</v>
      </c>
      <c r="V326" s="5">
        <v>264733688901</v>
      </c>
      <c r="W326" s="5">
        <v>265724522201237</v>
      </c>
      <c r="X326" s="5">
        <v>283353402925065</v>
      </c>
      <c r="Y326" s="5">
        <v>248438495268026</v>
      </c>
      <c r="Z326" s="5">
        <v>19887271376448</v>
      </c>
      <c r="AA326" s="5">
        <v>20588328050976</v>
      </c>
      <c r="AB326" s="5">
        <v>18012664136544</v>
      </c>
      <c r="AC326" s="5">
        <v>140072306673</v>
      </c>
      <c r="AD326" s="5">
        <v>110662306898</v>
      </c>
      <c r="AE326" s="5">
        <v>10592203011</v>
      </c>
      <c r="AF326" s="5">
        <v>953377269</v>
      </c>
      <c r="AG326" s="5">
        <v>101511702344</v>
      </c>
      <c r="AH326" s="5">
        <v>1123981157</v>
      </c>
      <c r="AI326" s="5">
        <v>104865367698762</v>
      </c>
      <c r="AJ326" s="5">
        <v>958303769403744</v>
      </c>
      <c r="AK326" s="5">
        <v>877952050868383</v>
      </c>
      <c r="AL326" s="5">
        <v>620069815875774</v>
      </c>
      <c r="AM326" s="5">
        <v>630491262658327</v>
      </c>
      <c r="AN326" s="5">
        <v>5393310470953</v>
      </c>
      <c r="AO326" s="5">
        <v>442677688299</v>
      </c>
    </row>
    <row r="327" spans="1:41" x14ac:dyDescent="0.45">
      <c r="A327" s="1" t="s">
        <v>321</v>
      </c>
      <c r="B327" s="2">
        <v>4094401</v>
      </c>
      <c r="C327" s="3" t="s">
        <v>1250</v>
      </c>
      <c r="D327" s="3" t="s">
        <v>1251</v>
      </c>
      <c r="E327" s="3" t="s">
        <v>830</v>
      </c>
      <c r="F327" s="5">
        <v>176364282823053</v>
      </c>
      <c r="G327" s="5">
        <v>183832973896831</v>
      </c>
      <c r="H327" s="5">
        <v>178857138394651</v>
      </c>
      <c r="I327" s="5">
        <v>196736269352009</v>
      </c>
      <c r="J327" s="5">
        <v>199374714802601</v>
      </c>
      <c r="K327" s="5">
        <v>19028539016808</v>
      </c>
      <c r="L327" s="5">
        <v>186717443402574</v>
      </c>
      <c r="M327" s="5">
        <v>186194293409665</v>
      </c>
      <c r="N327" s="5">
        <v>184940551223707</v>
      </c>
      <c r="O327" s="5">
        <v>198997845980801</v>
      </c>
      <c r="P327" s="5">
        <v>20824684185469</v>
      </c>
      <c r="Q327" s="5">
        <v>23226903132763</v>
      </c>
      <c r="R327" s="5">
        <v>240155561104274</v>
      </c>
      <c r="S327" s="5">
        <v>268195856344782</v>
      </c>
      <c r="T327" s="5">
        <v>258353767556679</v>
      </c>
      <c r="U327" s="5">
        <v>270743854258688</v>
      </c>
      <c r="V327" s="5">
        <v>25521928124526</v>
      </c>
      <c r="W327" s="5">
        <v>245778481776643</v>
      </c>
      <c r="X327" s="5">
        <v>221898203304644</v>
      </c>
      <c r="Y327" s="5">
        <v>221898143305932</v>
      </c>
      <c r="Z327" s="5">
        <v>22036573258665</v>
      </c>
      <c r="AA327" s="5">
        <v>238927346406643</v>
      </c>
      <c r="AB327" s="5">
        <v>224764025740786</v>
      </c>
      <c r="AC327" s="5">
        <v>208347282230807</v>
      </c>
      <c r="AD327" s="5">
        <v>201713108290691</v>
      </c>
      <c r="AE327" s="5">
        <v>179755058481201</v>
      </c>
      <c r="AF327" s="5">
        <v>164448560742689</v>
      </c>
      <c r="AG327" s="5">
        <v>18391651637413</v>
      </c>
      <c r="AH327" s="5">
        <v>191939341669641</v>
      </c>
      <c r="AI327" s="5">
        <v>186583102040069</v>
      </c>
      <c r="AJ327" s="5">
        <v>188880301091723</v>
      </c>
      <c r="AK327" s="5">
        <v>169215390382922</v>
      </c>
      <c r="AL327" s="5">
        <v>17154122102</v>
      </c>
      <c r="AM327" s="5">
        <v>166553780393272</v>
      </c>
      <c r="AN327" s="5">
        <v>158358454547238</v>
      </c>
      <c r="AO327" s="5">
        <v>15618549401037</v>
      </c>
    </row>
    <row r="328" spans="1:41" x14ac:dyDescent="0.45">
      <c r="A328" s="1" t="s">
        <v>322</v>
      </c>
      <c r="B328" s="2">
        <v>4203993</v>
      </c>
      <c r="C328" s="3" t="s">
        <v>1252</v>
      </c>
      <c r="D328" s="3" t="s">
        <v>1253</v>
      </c>
      <c r="E328" s="3" t="s">
        <v>518</v>
      </c>
      <c r="F328" s="5">
        <v>465270599571189</v>
      </c>
      <c r="G328" s="5">
        <v>423105697953006</v>
      </c>
      <c r="H328" s="5">
        <v>456303533805758</v>
      </c>
      <c r="I328" s="5">
        <v>48934000541902</v>
      </c>
      <c r="J328" s="5">
        <v>506178703923027</v>
      </c>
      <c r="K328" s="5">
        <v>471146042219277</v>
      </c>
      <c r="L328" s="5">
        <v>47000112858456</v>
      </c>
      <c r="M328" s="5">
        <v>425535026828546</v>
      </c>
      <c r="N328" s="5">
        <v>410397426824341</v>
      </c>
      <c r="O328" s="5">
        <v>445974520871309</v>
      </c>
      <c r="P328" s="5">
        <v>525509883401952</v>
      </c>
      <c r="Q328" s="5">
        <v>509952890676789</v>
      </c>
      <c r="R328" s="5">
        <v>510248626109677</v>
      </c>
      <c r="S328" s="5">
        <v>552526316515239</v>
      </c>
      <c r="T328" s="5">
        <v>55015817190285</v>
      </c>
      <c r="U328" s="5">
        <v>548167347445704</v>
      </c>
      <c r="V328" s="5">
        <v>590407442104527</v>
      </c>
      <c r="W328" s="5">
        <v>619408185015312</v>
      </c>
      <c r="X328" s="5">
        <v>642128586557164</v>
      </c>
      <c r="Y328" s="5">
        <v>641519325345932</v>
      </c>
      <c r="Z328" s="5">
        <v>612589927694255</v>
      </c>
      <c r="AA328" s="5">
        <v>588280268651152</v>
      </c>
      <c r="AB328" s="5">
        <v>59248557731915</v>
      </c>
      <c r="AC328" s="5">
        <v>500273120993401</v>
      </c>
      <c r="AD328" s="5">
        <v>535610219286883</v>
      </c>
      <c r="AE328" s="5">
        <v>482329142737826</v>
      </c>
      <c r="AF328" s="5">
        <v>420745959904593</v>
      </c>
      <c r="AG328" s="5">
        <v>486948055241437</v>
      </c>
      <c r="AH328" s="5">
        <v>488983207159746</v>
      </c>
      <c r="AI328" s="5">
        <v>52161634782199</v>
      </c>
      <c r="AJ328" s="5">
        <v>486983255523766</v>
      </c>
      <c r="AK328" s="5">
        <v>436496181538883</v>
      </c>
      <c r="AL328" s="5">
        <v>385355797704638</v>
      </c>
      <c r="AM328" s="5">
        <v>445417289741619</v>
      </c>
      <c r="AN328" s="5">
        <v>435678675399139</v>
      </c>
      <c r="AO328" s="5">
        <v>43973687504493</v>
      </c>
    </row>
    <row r="329" spans="1:41" x14ac:dyDescent="0.45">
      <c r="A329" s="1" t="s">
        <v>323</v>
      </c>
      <c r="B329" s="2">
        <v>4930128</v>
      </c>
      <c r="C329" s="3" t="s">
        <v>1254</v>
      </c>
      <c r="D329" s="3" t="s">
        <v>1255</v>
      </c>
      <c r="E329" s="3" t="s">
        <v>636</v>
      </c>
      <c r="F329" s="5">
        <v>655730083448152</v>
      </c>
      <c r="G329" s="5">
        <v>740330610212794</v>
      </c>
      <c r="H329" s="5">
        <v>69338192301419</v>
      </c>
      <c r="I329" s="5">
        <v>779653587924428</v>
      </c>
      <c r="J329" s="5">
        <v>752073788803738</v>
      </c>
      <c r="K329" s="5">
        <v>731068691834103</v>
      </c>
      <c r="L329" s="5">
        <v>656054299746934</v>
      </c>
      <c r="M329" s="5">
        <v>686824226483782</v>
      </c>
      <c r="N329" s="5">
        <v>712409582182407</v>
      </c>
      <c r="O329" s="5">
        <v>758678931130526</v>
      </c>
      <c r="P329" s="5">
        <v>756113874286766</v>
      </c>
      <c r="Q329" s="5">
        <v>7189558083594</v>
      </c>
      <c r="R329" s="5">
        <v>661226698791941</v>
      </c>
      <c r="S329" s="5">
        <v>68025455975568</v>
      </c>
      <c r="T329" s="5">
        <v>614273588043048</v>
      </c>
      <c r="U329" s="5">
        <v>598922724390684</v>
      </c>
      <c r="V329" s="5">
        <v>592589269794727</v>
      </c>
      <c r="W329" s="5">
        <v>606112486578489</v>
      </c>
      <c r="X329" s="5">
        <v>580472458970086</v>
      </c>
      <c r="Y329" s="5">
        <v>523110341749092</v>
      </c>
      <c r="Z329" s="5">
        <v>558915035577557</v>
      </c>
      <c r="AA329" s="5">
        <v>617001441986891</v>
      </c>
      <c r="AB329" s="5">
        <v>593891652263261</v>
      </c>
      <c r="AC329" s="5">
        <v>557866877777285</v>
      </c>
      <c r="AD329" s="5">
        <v>508521001227126</v>
      </c>
      <c r="AE329" s="5">
        <v>532899872922029</v>
      </c>
      <c r="AF329" s="5">
        <v>525060381557844</v>
      </c>
      <c r="AG329" s="5">
        <v>517432910424006</v>
      </c>
      <c r="AH329" s="5">
        <v>522080318315809</v>
      </c>
      <c r="AI329" s="5">
        <v>507417169302492</v>
      </c>
      <c r="AJ329" s="5">
        <v>532724081082609</v>
      </c>
      <c r="AK329" s="5">
        <v>515995140586935</v>
      </c>
      <c r="AL329" s="5">
        <v>507340126648752</v>
      </c>
      <c r="AM329" s="5">
        <v>481086985294616</v>
      </c>
      <c r="AN329" s="5">
        <v>48350742168753</v>
      </c>
      <c r="AO329" s="5">
        <v>456501683624704</v>
      </c>
    </row>
    <row r="330" spans="1:41" x14ac:dyDescent="0.45">
      <c r="A330" s="1" t="s">
        <v>324</v>
      </c>
      <c r="B330" s="2">
        <v>4010841</v>
      </c>
      <c r="C330" s="3" t="s">
        <v>1256</v>
      </c>
      <c r="D330" s="3" t="s">
        <v>1257</v>
      </c>
      <c r="E330" s="3" t="s">
        <v>746</v>
      </c>
      <c r="F330" s="5">
        <v>345039452393463</v>
      </c>
      <c r="G330" s="5">
        <v>356851100878272</v>
      </c>
      <c r="H330" s="5">
        <v>351645813601368</v>
      </c>
      <c r="I330" s="5">
        <v>396445451270369</v>
      </c>
      <c r="J330" s="5">
        <v>400684586620984</v>
      </c>
      <c r="K330" s="5">
        <v>378028469055079</v>
      </c>
      <c r="L330" s="5">
        <v>352039168530672</v>
      </c>
      <c r="M330" s="5">
        <v>353691517455707</v>
      </c>
      <c r="N330" s="5">
        <v>340782564952639</v>
      </c>
      <c r="O330" s="5">
        <v>428903135726118</v>
      </c>
      <c r="P330" s="5">
        <v>440533516712197</v>
      </c>
      <c r="Q330" s="5">
        <v>421146795690375</v>
      </c>
      <c r="R330" s="5">
        <v>44782533342272</v>
      </c>
      <c r="S330" s="5">
        <v>449839064508004</v>
      </c>
      <c r="T330" s="5">
        <v>431596131258541</v>
      </c>
      <c r="U330" s="5">
        <v>43215213099913</v>
      </c>
      <c r="V330" s="5">
        <v>481761870425625</v>
      </c>
      <c r="W330" s="5">
        <v>4982692835274</v>
      </c>
      <c r="X330" s="5">
        <v>521572039051883</v>
      </c>
      <c r="Y330" s="5">
        <v>510979841984375</v>
      </c>
      <c r="Z330" s="5">
        <v>548315023820724</v>
      </c>
      <c r="AA330" s="5">
        <v>533365806853977</v>
      </c>
      <c r="AB330" s="5">
        <v>493138070690555</v>
      </c>
      <c r="AC330" s="5">
        <v>467144741726491</v>
      </c>
      <c r="AD330" s="5">
        <v>474066101912359</v>
      </c>
      <c r="AE330" s="5">
        <v>476018196236983</v>
      </c>
      <c r="AF330" s="5">
        <v>517566904661755</v>
      </c>
      <c r="AG330" s="5">
        <v>542297824121221</v>
      </c>
      <c r="AH330" s="5">
        <v>512163400392134</v>
      </c>
      <c r="AI330" s="5">
        <v>510828757548283</v>
      </c>
      <c r="AJ330" s="5">
        <v>480301091679696</v>
      </c>
      <c r="AK330" s="5">
        <v>482455351867547</v>
      </c>
      <c r="AL330" s="5">
        <v>50072014246117</v>
      </c>
      <c r="AM330" s="5">
        <v>516062095513389</v>
      </c>
      <c r="AN330" s="5">
        <v>496511644315334</v>
      </c>
      <c r="AO330" s="5">
        <v>540375587984694</v>
      </c>
    </row>
    <row r="331" spans="1:41" x14ac:dyDescent="0.45">
      <c r="A331" s="1" t="s">
        <v>325</v>
      </c>
      <c r="B331" s="2">
        <v>4298644</v>
      </c>
      <c r="C331" s="3" t="s">
        <v>1258</v>
      </c>
      <c r="D331" s="3" t="s">
        <v>1259</v>
      </c>
      <c r="E331" s="3" t="s">
        <v>1089</v>
      </c>
      <c r="F331" s="5">
        <v>279243772298198</v>
      </c>
      <c r="G331" s="5">
        <v>243963713453361</v>
      </c>
      <c r="H331" s="5">
        <v>255867390944672</v>
      </c>
      <c r="I331" s="5">
        <v>252174009595828</v>
      </c>
      <c r="J331" s="5">
        <v>271251936063067</v>
      </c>
      <c r="K331" s="5">
        <v>275725434206439</v>
      </c>
      <c r="L331" s="5">
        <v>292048418964393</v>
      </c>
      <c r="M331" s="5">
        <v>298302321390065</v>
      </c>
      <c r="N331" s="5">
        <v>286612742028538</v>
      </c>
      <c r="O331" s="5">
        <v>325351976881729</v>
      </c>
      <c r="P331" s="5">
        <v>360549038128478</v>
      </c>
      <c r="Q331" s="5">
        <v>381254038337612</v>
      </c>
      <c r="R331" s="5">
        <v>363767264319514</v>
      </c>
      <c r="S331" s="5">
        <v>455577464547269</v>
      </c>
      <c r="T331" s="5">
        <v>397339494825974</v>
      </c>
      <c r="U331" s="5">
        <v>381663496322484</v>
      </c>
      <c r="V331" s="5">
        <v>37354134841465</v>
      </c>
      <c r="W331" s="5">
        <v>421981361661182</v>
      </c>
      <c r="X331" s="5">
        <v>35813096697604</v>
      </c>
      <c r="Y331" s="5">
        <v>351128401131631</v>
      </c>
      <c r="Z331" s="5">
        <v>369823062379509</v>
      </c>
      <c r="AA331" s="5">
        <v>441959783243138</v>
      </c>
      <c r="AB331" s="5">
        <v>445512066609602</v>
      </c>
      <c r="AC331" s="5">
        <v>393249028637916</v>
      </c>
      <c r="AD331" s="5">
        <v>400122007139043</v>
      </c>
      <c r="AE331" s="5">
        <v>389240171167226</v>
      </c>
      <c r="AF331" s="5">
        <v>389550204161239</v>
      </c>
      <c r="AG331" s="5">
        <v>422381746254892</v>
      </c>
      <c r="AH331" s="5">
        <v>430554635943663</v>
      </c>
      <c r="AI331" s="5">
        <v>417383306568053</v>
      </c>
      <c r="AJ331" s="5">
        <v>37137985669848</v>
      </c>
      <c r="AK331" s="5">
        <v>319399387565819</v>
      </c>
      <c r="AL331" s="5">
        <v>319191330305989</v>
      </c>
      <c r="AM331" s="5">
        <v>345162962924645</v>
      </c>
      <c r="AN331" s="5">
        <v>351625677765756</v>
      </c>
      <c r="AO331" s="5">
        <v>338973158850583</v>
      </c>
    </row>
    <row r="332" spans="1:41" x14ac:dyDescent="0.45">
      <c r="A332" s="1" t="s">
        <v>326</v>
      </c>
      <c r="B332" s="2">
        <v>4070013</v>
      </c>
      <c r="C332" s="3" t="s">
        <v>1260</v>
      </c>
      <c r="D332" s="3" t="s">
        <v>1261</v>
      </c>
      <c r="E332" s="3" t="s">
        <v>1262</v>
      </c>
      <c r="F332" s="5">
        <v>216367962057756</v>
      </c>
      <c r="G332" s="5">
        <v>119196473071343</v>
      </c>
      <c r="H332" s="5">
        <v>125521031044385</v>
      </c>
      <c r="I332" s="5">
        <v>134614197915669</v>
      </c>
      <c r="J332" s="5">
        <v>129725209491518</v>
      </c>
      <c r="K332" s="5">
        <v>122018511960718</v>
      </c>
      <c r="L332" s="5">
        <v>119517995685231</v>
      </c>
      <c r="M332" s="5">
        <v>126280023475435</v>
      </c>
      <c r="N332" s="5">
        <v>130971920914598</v>
      </c>
      <c r="O332" s="5">
        <v>150790399303149</v>
      </c>
      <c r="P332" s="5">
        <v>15628992223541</v>
      </c>
      <c r="Q332" s="5">
        <v>164004558674116</v>
      </c>
      <c r="R332" s="5">
        <v>163229475318694</v>
      </c>
      <c r="S332" s="5">
        <v>193821857608804</v>
      </c>
      <c r="T332" s="5">
        <v>18147754510932</v>
      </c>
      <c r="U332" s="5">
        <v>181365448348086</v>
      </c>
      <c r="V332" s="5">
        <v>177646729267812</v>
      </c>
      <c r="W332" s="5">
        <v>177236252125733</v>
      </c>
      <c r="X332" s="5">
        <v>163946093934437</v>
      </c>
      <c r="Y332" s="5">
        <v>167865520775851</v>
      </c>
      <c r="Z332" s="5">
        <v>170030563842265</v>
      </c>
      <c r="AA332" s="5">
        <v>176652453496294</v>
      </c>
      <c r="AB332" s="5">
        <v>161897830940833</v>
      </c>
      <c r="AC332" s="5">
        <v>164885588553158</v>
      </c>
      <c r="AD332" s="5">
        <v>154914359817495</v>
      </c>
      <c r="AE332" s="5">
        <v>14633203317338</v>
      </c>
      <c r="AF332" s="5">
        <v>140339908706036</v>
      </c>
      <c r="AG332" s="5">
        <v>139028361174891</v>
      </c>
      <c r="AH332" s="5">
        <v>147568412099123</v>
      </c>
      <c r="AI332" s="5">
        <v>151703516122518</v>
      </c>
      <c r="AJ332" s="5">
        <v>17389187307437</v>
      </c>
      <c r="AK332" s="5">
        <v>165095820182291</v>
      </c>
      <c r="AL332" s="5">
        <v>163732735376131</v>
      </c>
      <c r="AM332" s="5">
        <v>174884645366349</v>
      </c>
      <c r="AN332" s="5">
        <v>172948816953457</v>
      </c>
      <c r="AO332" s="5">
        <v>161442423424751</v>
      </c>
    </row>
    <row r="333" spans="1:41" x14ac:dyDescent="0.45">
      <c r="A333" s="1" t="s">
        <v>327</v>
      </c>
      <c r="B333" s="2">
        <v>4133677</v>
      </c>
      <c r="C333" s="3" t="s">
        <v>1263</v>
      </c>
      <c r="D333" s="3" t="s">
        <v>1264</v>
      </c>
      <c r="E333" s="3" t="s">
        <v>518</v>
      </c>
      <c r="F333" s="5">
        <v>185575133030467</v>
      </c>
      <c r="G333" s="5">
        <v>174338397996421</v>
      </c>
      <c r="H333" s="5">
        <v>177573889892851</v>
      </c>
      <c r="I333" s="5">
        <v>171879143810467</v>
      </c>
      <c r="J333" s="5">
        <v>173382442230781</v>
      </c>
      <c r="K333" s="5">
        <v>205891742235096</v>
      </c>
      <c r="L333" s="5">
        <v>186490173927568</v>
      </c>
      <c r="M333" s="5">
        <v>154752245751602</v>
      </c>
      <c r="N333" s="5">
        <v>147681765337657</v>
      </c>
      <c r="O333" s="5">
        <v>158649832584393</v>
      </c>
      <c r="P333" s="5">
        <v>190565601147639</v>
      </c>
      <c r="Q333" s="5">
        <v>214415894883235</v>
      </c>
      <c r="R333" s="5">
        <v>259310618452128</v>
      </c>
      <c r="S333" s="5">
        <v>287019561306928</v>
      </c>
      <c r="T333" s="5">
        <v>27643318953655</v>
      </c>
      <c r="U333" s="5">
        <v>278868939018047</v>
      </c>
      <c r="V333" s="5">
        <v>301572417201172</v>
      </c>
      <c r="W333" s="5">
        <v>30971432327451</v>
      </c>
      <c r="X333" s="5">
        <v>275252531783536</v>
      </c>
      <c r="Y333" s="5">
        <v>289761968868176</v>
      </c>
      <c r="Z333" s="5">
        <v>282290768395108</v>
      </c>
      <c r="AA333" s="5">
        <v>290979146958887</v>
      </c>
      <c r="AB333" s="5">
        <v>311987914023736</v>
      </c>
      <c r="AC333" s="5">
        <v>282367581971628</v>
      </c>
      <c r="AD333" s="5">
        <v>325476404942769</v>
      </c>
      <c r="AE333" s="5">
        <v>28168689027723</v>
      </c>
      <c r="AF333" s="5">
        <v>255355258682221</v>
      </c>
      <c r="AG333" s="5">
        <v>378965102559586</v>
      </c>
      <c r="AH333" s="5">
        <v>391742502275945</v>
      </c>
      <c r="AI333" s="5">
        <v>421915999256219</v>
      </c>
      <c r="AJ333" s="5">
        <v>374154234648071</v>
      </c>
      <c r="AK333" s="5">
        <v>338769166276785</v>
      </c>
      <c r="AL333" s="5">
        <v>281398644103064</v>
      </c>
      <c r="AM333" s="5">
        <v>327290540951425</v>
      </c>
      <c r="AN333" s="5">
        <v>314991948113795</v>
      </c>
      <c r="AO333" s="5">
        <v>292428235799078</v>
      </c>
    </row>
    <row r="334" spans="1:41" x14ac:dyDescent="0.45">
      <c r="A334" s="1" t="s">
        <v>328</v>
      </c>
      <c r="B334" s="2">
        <v>4010846</v>
      </c>
      <c r="C334" s="3" t="s">
        <v>1265</v>
      </c>
      <c r="D334" s="3" t="s">
        <v>1266</v>
      </c>
      <c r="E334" s="3" t="s">
        <v>1117</v>
      </c>
      <c r="F334" s="5">
        <v>393898640066221</v>
      </c>
      <c r="G334" s="5">
        <v>395157216441902</v>
      </c>
      <c r="H334" s="5">
        <v>36551431914573</v>
      </c>
      <c r="I334" s="5">
        <v>39165992295197</v>
      </c>
      <c r="J334" s="5">
        <v>411213411568295</v>
      </c>
      <c r="K334" s="5">
        <v>451890154481357</v>
      </c>
      <c r="L334" s="5">
        <v>437583032628411</v>
      </c>
      <c r="M334" s="5">
        <v>445014987265599</v>
      </c>
      <c r="N334" s="5">
        <v>452332756639477</v>
      </c>
      <c r="O334" s="5">
        <v>548712104751431</v>
      </c>
      <c r="P334" s="5">
        <v>576724930867728</v>
      </c>
      <c r="Q334" s="5">
        <v>546200577928176</v>
      </c>
      <c r="R334" s="5">
        <v>566585709936605</v>
      </c>
      <c r="S334" s="5">
        <v>629063915326694</v>
      </c>
      <c r="T334" s="5">
        <v>521246990345777</v>
      </c>
      <c r="U334" s="5">
        <v>47723020391948</v>
      </c>
      <c r="V334" s="5">
        <v>487717356358206</v>
      </c>
      <c r="W334" s="5">
        <v>449390143605203</v>
      </c>
      <c r="X334" s="5">
        <v>44421725186839</v>
      </c>
      <c r="Y334" s="5">
        <v>435926459979009</v>
      </c>
      <c r="Z334" s="5">
        <v>431856049955237</v>
      </c>
      <c r="AA334" s="5">
        <v>432829023411122</v>
      </c>
      <c r="AB334" s="5">
        <v>405257979585143</v>
      </c>
      <c r="AC334" s="5">
        <v>366459510367723</v>
      </c>
      <c r="AD334" s="5">
        <v>37008302836277</v>
      </c>
      <c r="AE334" s="5">
        <v>367755918771167</v>
      </c>
      <c r="AF334" s="5">
        <v>359494001717256</v>
      </c>
      <c r="AG334" s="5">
        <v>349069800259486</v>
      </c>
      <c r="AH334" s="5">
        <v>2691170349998</v>
      </c>
      <c r="AI334" s="5">
        <v>27224085299134</v>
      </c>
      <c r="AJ334" s="5">
        <v>253012458901778</v>
      </c>
      <c r="AK334" s="5">
        <v>237880214552082</v>
      </c>
      <c r="AL334" s="5">
        <v>265188596689758</v>
      </c>
      <c r="AM334" s="5">
        <v>26154473484234</v>
      </c>
      <c r="AN334" s="5">
        <v>275729170855908</v>
      </c>
      <c r="AO334" s="5">
        <v>281802323515173</v>
      </c>
    </row>
    <row r="335" spans="1:41" x14ac:dyDescent="0.45">
      <c r="A335" s="1" t="s">
        <v>329</v>
      </c>
      <c r="B335" s="2">
        <v>4041363</v>
      </c>
      <c r="C335" s="3" t="s">
        <v>1267</v>
      </c>
      <c r="D335" s="3" t="s">
        <v>1268</v>
      </c>
      <c r="E335" s="3" t="s">
        <v>817</v>
      </c>
      <c r="F335" s="5">
        <v>47695350606111</v>
      </c>
      <c r="G335" s="5">
        <v>496498829418376</v>
      </c>
      <c r="H335" s="5">
        <v>649076642081176</v>
      </c>
      <c r="I335" s="5">
        <v>683337416293799</v>
      </c>
      <c r="J335" s="5">
        <v>542999486237321</v>
      </c>
      <c r="K335" s="5">
        <v>623127618568422</v>
      </c>
      <c r="L335" s="5">
        <v>522902027709685</v>
      </c>
      <c r="M335" s="5">
        <v>409086111847826</v>
      </c>
      <c r="N335" s="5">
        <v>347810847994272</v>
      </c>
      <c r="O335" s="5">
        <v>362733870865608</v>
      </c>
      <c r="P335" s="5">
        <v>446394921590296</v>
      </c>
      <c r="Q335" s="5">
        <v>457623189574056</v>
      </c>
      <c r="R335" s="5">
        <v>450191257938656</v>
      </c>
      <c r="S335" s="5">
        <v>485466292718225</v>
      </c>
      <c r="T335" s="5">
        <v>42835270902419</v>
      </c>
      <c r="U335" s="5">
        <v>42336479542619</v>
      </c>
      <c r="V335" s="5">
        <v>35203435284354</v>
      </c>
      <c r="W335" s="5">
        <v>355097521548</v>
      </c>
      <c r="X335" s="5">
        <v>3631726322856</v>
      </c>
      <c r="Y335" s="5">
        <v>297006893754086</v>
      </c>
      <c r="Z335" s="5">
        <v>292384170806</v>
      </c>
      <c r="AA335" s="5">
        <v>319623972949332</v>
      </c>
      <c r="AB335" s="5">
        <v>284005338248896</v>
      </c>
      <c r="AC335" s="5">
        <v>28301221320658</v>
      </c>
      <c r="AD335" s="5">
        <v>262199110392362</v>
      </c>
      <c r="AE335" s="5">
        <v>291888597719554</v>
      </c>
      <c r="AF335" s="5">
        <v>268097530275554</v>
      </c>
      <c r="AG335" s="5">
        <v>274138172257682</v>
      </c>
      <c r="AH335" s="5">
        <v>30128160901122</v>
      </c>
      <c r="AI335" s="5">
        <v>288727949424018</v>
      </c>
      <c r="AJ335" s="5">
        <v>29608885154796</v>
      </c>
      <c r="AK335" s="5">
        <v>268369773506604</v>
      </c>
      <c r="AL335" s="5">
        <v>231712644893184</v>
      </c>
      <c r="AM335" s="5">
        <v>230896699933536</v>
      </c>
      <c r="AN335" s="5">
        <v>2219846664924</v>
      </c>
      <c r="AO335" s="5">
        <v>219596654527866</v>
      </c>
    </row>
    <row r="336" spans="1:41" x14ac:dyDescent="0.45">
      <c r="A336" s="1" t="s">
        <v>330</v>
      </c>
      <c r="B336" s="2">
        <v>6331068</v>
      </c>
      <c r="C336" s="3" t="s">
        <v>1269</v>
      </c>
      <c r="D336" s="3" t="s">
        <v>1270</v>
      </c>
      <c r="E336" s="3" t="s">
        <v>871</v>
      </c>
      <c r="F336" s="5">
        <v>289932985024167</v>
      </c>
      <c r="G336" s="5">
        <v>298616808988282</v>
      </c>
      <c r="H336" s="5">
        <v>313420867077049</v>
      </c>
      <c r="I336" s="5">
        <v>305839418827807</v>
      </c>
      <c r="J336" s="5">
        <v>28982828589244</v>
      </c>
      <c r="K336" s="5">
        <v>294003971144853</v>
      </c>
      <c r="L336" s="5">
        <v>332773661173893</v>
      </c>
      <c r="M336" s="5">
        <v>331654457025293</v>
      </c>
      <c r="N336" s="5">
        <v>334892474569882</v>
      </c>
      <c r="O336" s="5">
        <v>378598461671203</v>
      </c>
      <c r="P336" s="5">
        <v>380255584119322</v>
      </c>
      <c r="Q336" s="5">
        <v>36671906970797</v>
      </c>
      <c r="R336" s="5">
        <v>357325423933875</v>
      </c>
      <c r="S336" s="5">
        <v>389891223449687</v>
      </c>
      <c r="T336" s="5">
        <v>361280886037128</v>
      </c>
      <c r="U336" s="5">
        <v>373287417813433</v>
      </c>
      <c r="V336" s="5">
        <v>342911847751446</v>
      </c>
      <c r="W336" s="5">
        <v>34975641144906</v>
      </c>
      <c r="X336" s="5">
        <v>363241421972764</v>
      </c>
      <c r="Y336" s="5">
        <v>369843455510915</v>
      </c>
      <c r="Z336" s="5">
        <v>344847895876646</v>
      </c>
      <c r="AA336" s="5">
        <v>372629692533719</v>
      </c>
      <c r="AB336" s="5">
        <v>357457029010508</v>
      </c>
      <c r="AC336" s="5">
        <v>333607935271508</v>
      </c>
      <c r="AD336" s="5">
        <v>331268452228299</v>
      </c>
      <c r="AE336" s="5">
        <v>321926472964384</v>
      </c>
      <c r="AF336" s="5">
        <v>299083339796051</v>
      </c>
      <c r="AG336" s="5">
        <v>312419291736831</v>
      </c>
      <c r="AH336" s="5">
        <v>324772514606229</v>
      </c>
      <c r="AI336" s="5">
        <v>339842398039429</v>
      </c>
      <c r="AJ336" s="5">
        <v>336969486247018</v>
      </c>
      <c r="AK336" s="5">
        <v>308332831278253</v>
      </c>
      <c r="AL336" s="5">
        <v>319434237455809</v>
      </c>
      <c r="AM336" s="5">
        <v>322277899007314</v>
      </c>
      <c r="AN336" s="5">
        <v>330700910700104</v>
      </c>
      <c r="AO336" s="5">
        <v>315393823739514</v>
      </c>
    </row>
    <row r="337" spans="1:41" x14ac:dyDescent="0.45">
      <c r="A337" s="1" t="s">
        <v>331</v>
      </c>
      <c r="B337" s="2">
        <v>4001586</v>
      </c>
      <c r="C337" s="3" t="s">
        <v>1271</v>
      </c>
      <c r="D337" s="3" t="s">
        <v>1272</v>
      </c>
      <c r="E337" s="3" t="s">
        <v>719</v>
      </c>
      <c r="F337" s="5">
        <v>489856356708785</v>
      </c>
      <c r="G337" s="5">
        <v>477485383366327</v>
      </c>
      <c r="H337" s="5">
        <v>448066544384952</v>
      </c>
      <c r="I337" s="5">
        <v>440026854568773</v>
      </c>
      <c r="J337" s="5">
        <v>448821107642836</v>
      </c>
      <c r="K337" s="5">
        <v>453353222508849</v>
      </c>
      <c r="L337" s="5">
        <v>424921004638358</v>
      </c>
      <c r="M337" s="5">
        <v>434193966665471</v>
      </c>
      <c r="N337" s="5">
        <v>417381376823162</v>
      </c>
      <c r="O337" s="5">
        <v>4728965356282</v>
      </c>
      <c r="P337" s="5">
        <v>540905457141515</v>
      </c>
      <c r="Q337" s="5">
        <v>559417586112</v>
      </c>
      <c r="R337" s="5">
        <v>526780065693966</v>
      </c>
      <c r="S337" s="5">
        <v>581410516145004</v>
      </c>
      <c r="T337" s="5">
        <v>503548108912015</v>
      </c>
      <c r="U337" s="5">
        <v>463813060974271</v>
      </c>
      <c r="V337" s="5">
        <v>455844102886332</v>
      </c>
      <c r="W337" s="5">
        <v>477890262263198</v>
      </c>
      <c r="X337" s="5">
        <v>503566982127503</v>
      </c>
      <c r="Y337" s="5">
        <v>519563104438345</v>
      </c>
      <c r="Z337" s="5">
        <v>519997214866147</v>
      </c>
      <c r="AA337" s="5">
        <v>601026518316151</v>
      </c>
      <c r="AB337" s="5">
        <v>537422607179345</v>
      </c>
      <c r="AC337" s="5">
        <v>484206679879</v>
      </c>
      <c r="AD337" s="5">
        <v>462105886472351</v>
      </c>
      <c r="AE337" s="5">
        <v>440376285536262</v>
      </c>
      <c r="AF337" s="5">
        <v>408617707995</v>
      </c>
      <c r="AG337" s="5">
        <v>419920974184951</v>
      </c>
      <c r="AH337" s="5">
        <v>396629091734811</v>
      </c>
      <c r="AI337" s="5">
        <v>408278387088</v>
      </c>
      <c r="AJ337" s="5">
        <v>400111331470424</v>
      </c>
      <c r="AK337" s="5">
        <v>336994893443519</v>
      </c>
      <c r="AL337" s="5">
        <v>35364748859433</v>
      </c>
      <c r="AM337" s="5">
        <v>352062427808146</v>
      </c>
      <c r="AN337" s="5">
        <v>355374206996904</v>
      </c>
      <c r="AO337" s="5">
        <v>349999256712842</v>
      </c>
    </row>
    <row r="338" spans="1:41" x14ac:dyDescent="0.45">
      <c r="A338" s="1" t="s">
        <v>332</v>
      </c>
      <c r="B338" s="2">
        <v>4062146</v>
      </c>
      <c r="C338" s="3" t="s">
        <v>1273</v>
      </c>
      <c r="D338" s="3" t="s">
        <v>1274</v>
      </c>
      <c r="E338" s="3" t="s">
        <v>559</v>
      </c>
      <c r="F338" s="5">
        <v>156977100076994</v>
      </c>
      <c r="G338" s="5">
        <v>157284427236601</v>
      </c>
      <c r="H338" s="5">
        <v>151678047967349</v>
      </c>
      <c r="I338" s="5">
        <v>165992774604668</v>
      </c>
      <c r="J338" s="5">
        <v>166522067111461</v>
      </c>
      <c r="K338" s="5">
        <v>151328057110238</v>
      </c>
      <c r="L338" s="5">
        <v>143366517835908</v>
      </c>
      <c r="M338" s="5">
        <v>15210041283814</v>
      </c>
      <c r="N338" s="5">
        <v>146079429391259</v>
      </c>
      <c r="O338" s="5">
        <v>163590969850608</v>
      </c>
      <c r="P338" s="5">
        <v>182611738352665</v>
      </c>
      <c r="Q338" s="5">
        <v>182440465676818</v>
      </c>
      <c r="R338" s="5">
        <v>193901284167612</v>
      </c>
      <c r="S338" s="5">
        <v>210314636310977</v>
      </c>
      <c r="T338" s="5">
        <v>188007180617126</v>
      </c>
      <c r="U338" s="5">
        <v>17220175034903</v>
      </c>
      <c r="V338" s="5">
        <v>168918235762999</v>
      </c>
      <c r="W338" s="5">
        <v>164630158691368</v>
      </c>
      <c r="X338" s="5">
        <v>151885636684357</v>
      </c>
      <c r="Y338" s="5">
        <v>15082739693807</v>
      </c>
      <c r="Z338" s="5">
        <v>144110412579531</v>
      </c>
      <c r="AA338" s="5">
        <v>156517387164451</v>
      </c>
      <c r="AB338" s="5">
        <v>149101000123601</v>
      </c>
      <c r="AC338" s="5">
        <v>13600097643553</v>
      </c>
      <c r="AD338" s="5">
        <v>131102431448457</v>
      </c>
      <c r="AE338" s="5">
        <v>137029955539877</v>
      </c>
      <c r="AF338" s="5">
        <v>129267398837111</v>
      </c>
      <c r="AG338" s="5">
        <v>129456768818086</v>
      </c>
      <c r="AH338" s="5">
        <v>12267148485543</v>
      </c>
      <c r="AI338" s="5">
        <v>123967974613865</v>
      </c>
      <c r="AJ338" s="5">
        <v>107850572342733</v>
      </c>
      <c r="AK338" s="5">
        <v>103680100749422</v>
      </c>
      <c r="AL338" s="5">
        <v>109356648676459</v>
      </c>
      <c r="AM338" s="5">
        <v>114014375452399</v>
      </c>
      <c r="AN338" s="5">
        <v>114671618955317</v>
      </c>
      <c r="AO338" s="5">
        <v>120706737746631</v>
      </c>
    </row>
    <row r="339" spans="1:41" x14ac:dyDescent="0.45">
      <c r="A339" s="1" t="s">
        <v>333</v>
      </c>
      <c r="B339" s="2">
        <v>5148548</v>
      </c>
      <c r="C339" s="3" t="s">
        <v>1275</v>
      </c>
      <c r="D339" s="3" t="s">
        <v>1276</v>
      </c>
      <c r="E339" s="3" t="s">
        <v>515</v>
      </c>
      <c r="F339" s="5">
        <v>36082765259301</v>
      </c>
      <c r="G339" s="5">
        <v>346244847619773</v>
      </c>
      <c r="H339" s="5">
        <v>412330881614533</v>
      </c>
      <c r="I339" s="5">
        <v>368843652993206</v>
      </c>
      <c r="J339" s="5">
        <v>317825985601569</v>
      </c>
      <c r="K339" s="5">
        <v>326681658354379</v>
      </c>
      <c r="L339" s="5">
        <v>273930324152123</v>
      </c>
      <c r="M339" s="5">
        <v>27407483102784</v>
      </c>
      <c r="N339" s="5">
        <v>246335201649181</v>
      </c>
      <c r="O339" s="5">
        <v>183141572041241</v>
      </c>
      <c r="P339" s="5">
        <v>191420051951878</v>
      </c>
      <c r="Q339" s="5">
        <v>180792013498209</v>
      </c>
      <c r="R339" s="5">
        <v>166411750797357</v>
      </c>
      <c r="S339" s="5">
        <v>144832985018904</v>
      </c>
      <c r="T339" s="5">
        <v>857190350212598</v>
      </c>
      <c r="U339" s="5">
        <v>746936665737197</v>
      </c>
      <c r="V339" s="5">
        <v>637372464292813</v>
      </c>
      <c r="W339" s="5">
        <v>55330270606112</v>
      </c>
      <c r="X339" s="5">
        <v>526449207703187</v>
      </c>
      <c r="Y339" s="5">
        <v>445181717547932</v>
      </c>
      <c r="Z339" s="5">
        <v>457566058288459</v>
      </c>
      <c r="AA339" s="5">
        <v>471370941738927</v>
      </c>
      <c r="AB339" s="5">
        <v>513387422157519</v>
      </c>
      <c r="AC339" s="5">
        <v>322702552686435</v>
      </c>
      <c r="AD339" s="5">
        <v>338011638852459</v>
      </c>
      <c r="AE339" s="5">
        <v>400030512813438</v>
      </c>
      <c r="AF339" s="5">
        <v>301432002600996</v>
      </c>
      <c r="AG339" s="5">
        <v>325287138741504</v>
      </c>
      <c r="AH339" s="5">
        <v>297200653177697</v>
      </c>
      <c r="AI339" s="5">
        <v>381379736688271</v>
      </c>
      <c r="AJ339" s="5">
        <v>297477963942029</v>
      </c>
      <c r="AK339" s="5">
        <v>292396090034361</v>
      </c>
      <c r="AL339" s="5">
        <v>148729970505922</v>
      </c>
      <c r="AM339" s="5">
        <v>163432867582039</v>
      </c>
      <c r="AN339" s="5">
        <v>155193328382602</v>
      </c>
      <c r="AO339" s="5">
        <v>149005320800025</v>
      </c>
    </row>
    <row r="340" spans="1:41" x14ac:dyDescent="0.45">
      <c r="A340" s="1" t="s">
        <v>334</v>
      </c>
      <c r="B340" s="2">
        <v>4318651</v>
      </c>
      <c r="C340" s="3" t="s">
        <v>1277</v>
      </c>
      <c r="D340" s="3" t="s">
        <v>1278</v>
      </c>
      <c r="E340" s="3" t="s">
        <v>817</v>
      </c>
      <c r="F340" s="5">
        <v>10934754858</v>
      </c>
      <c r="G340" s="5">
        <v>114285774064</v>
      </c>
      <c r="H340" s="5">
        <v>129247205064159</v>
      </c>
      <c r="I340" s="5">
        <v>117467786727409</v>
      </c>
      <c r="J340" s="5">
        <v>1089474540572</v>
      </c>
      <c r="K340" s="5">
        <v>101366676293951</v>
      </c>
      <c r="L340" s="5">
        <v>116190540128</v>
      </c>
      <c r="M340" s="5">
        <v>1130757746328</v>
      </c>
      <c r="N340" s="5">
        <v>1090876635342</v>
      </c>
      <c r="O340" s="5">
        <v>1045297843488</v>
      </c>
      <c r="P340" s="5">
        <v>1211790469533</v>
      </c>
      <c r="Q340" s="5">
        <v>1164298822884</v>
      </c>
      <c r="R340" s="5">
        <v>1153305386168</v>
      </c>
      <c r="S340" s="5">
        <v>1206016186676</v>
      </c>
      <c r="T340" s="5">
        <v>108602722313495</v>
      </c>
      <c r="U340" s="5">
        <v>99782685728</v>
      </c>
      <c r="V340" s="5">
        <v>1061854022176</v>
      </c>
      <c r="W340" s="5">
        <v>97156358376</v>
      </c>
      <c r="X340" s="5">
        <v>1024496830854</v>
      </c>
      <c r="Y340" s="5">
        <v>880530422618</v>
      </c>
      <c r="Z340" s="5">
        <v>877874138456</v>
      </c>
      <c r="AA340" s="5">
        <v>848854456758</v>
      </c>
      <c r="AB340" s="5">
        <v>927084200735</v>
      </c>
      <c r="AC340" s="5">
        <v>983750715051</v>
      </c>
      <c r="AD340" s="5">
        <v>841150832208</v>
      </c>
      <c r="AE340" s="5">
        <v>853100970213</v>
      </c>
      <c r="AF340" s="5">
        <v>714933897073872</v>
      </c>
      <c r="AG340" s="5">
        <v>683533690350708</v>
      </c>
      <c r="AH340" s="5">
        <v>686101493422224</v>
      </c>
      <c r="AI340" s="5">
        <v>693720655177081</v>
      </c>
      <c r="AJ340" s="5">
        <v>715844529294999</v>
      </c>
      <c r="AK340" s="5">
        <v>612394264262397</v>
      </c>
      <c r="AL340" s="5">
        <v>500292650426817</v>
      </c>
      <c r="AM340" s="5">
        <v>556316546724076</v>
      </c>
      <c r="AN340" s="5">
        <v>536961270685367</v>
      </c>
      <c r="AO340" s="5">
        <v>441622067993671</v>
      </c>
    </row>
    <row r="341" spans="1:41" x14ac:dyDescent="0.45">
      <c r="A341" s="1" t="s">
        <v>335</v>
      </c>
      <c r="B341" s="2">
        <v>4074329</v>
      </c>
      <c r="C341" s="3" t="s">
        <v>1279</v>
      </c>
      <c r="D341" s="3" t="s">
        <v>1280</v>
      </c>
      <c r="E341" s="3" t="s">
        <v>977</v>
      </c>
      <c r="F341" s="5">
        <v>127052788243678</v>
      </c>
      <c r="G341" s="5">
        <v>153802719389421</v>
      </c>
      <c r="H341" s="5">
        <v>148362735016949</v>
      </c>
      <c r="I341" s="5">
        <v>179300183489149</v>
      </c>
      <c r="J341" s="5">
        <v>139733251631367</v>
      </c>
      <c r="K341" s="5">
        <v>764084743878197</v>
      </c>
      <c r="L341" s="5">
        <v>775350114140453</v>
      </c>
      <c r="M341" s="5">
        <v>756747836162398</v>
      </c>
      <c r="N341" s="5">
        <v>733202497658748</v>
      </c>
      <c r="O341" s="5">
        <v>782800370472604</v>
      </c>
      <c r="P341" s="5">
        <v>776453706432571</v>
      </c>
      <c r="Q341" s="5">
        <v>744884077928565</v>
      </c>
      <c r="R341" s="5">
        <v>720414593600811</v>
      </c>
      <c r="S341" s="5">
        <v>731838994427241</v>
      </c>
      <c r="T341" s="5">
        <v>712812602647935</v>
      </c>
      <c r="U341" s="5">
        <v>675857592731469</v>
      </c>
      <c r="V341" s="5">
        <v>674162220953174</v>
      </c>
      <c r="W341" s="5">
        <v>746683911751008</v>
      </c>
      <c r="X341" s="5">
        <v>676635843539206</v>
      </c>
      <c r="Y341" s="5">
        <v>76481900852548</v>
      </c>
      <c r="Z341" s="5">
        <v>74532896213729</v>
      </c>
      <c r="AA341" s="5">
        <v>748899899571233</v>
      </c>
      <c r="AB341" s="5">
        <v>704194529281113</v>
      </c>
      <c r="AC341" s="5">
        <v>908774293810471</v>
      </c>
      <c r="AD341" s="5">
        <v>889548399214792</v>
      </c>
      <c r="AE341" s="5">
        <v>870748516828122</v>
      </c>
      <c r="AF341" s="5">
        <v>682134838749027</v>
      </c>
      <c r="AG341" s="5">
        <v>804672347162886</v>
      </c>
      <c r="AH341" s="5">
        <v>918149297086704</v>
      </c>
      <c r="AI341" s="5">
        <v>959660562793826</v>
      </c>
      <c r="AJ341" s="5">
        <v>959431411675576</v>
      </c>
      <c r="AK341" s="5">
        <v>938886224343574</v>
      </c>
      <c r="AL341" s="5">
        <v>138870708684664</v>
      </c>
      <c r="AM341" s="5">
        <v>135096159482909</v>
      </c>
      <c r="AN341" s="5">
        <v>132470609516101</v>
      </c>
      <c r="AO341" s="5">
        <v>139734074022757</v>
      </c>
    </row>
    <row r="342" spans="1:41" x14ac:dyDescent="0.45">
      <c r="A342" s="1" t="s">
        <v>336</v>
      </c>
      <c r="B342" s="2">
        <v>4004412</v>
      </c>
      <c r="C342" s="3" t="s">
        <v>1281</v>
      </c>
      <c r="D342" s="3" t="s">
        <v>1282</v>
      </c>
      <c r="E342" s="3" t="s">
        <v>871</v>
      </c>
      <c r="F342" s="5">
        <v>944646540137042</v>
      </c>
      <c r="G342" s="5">
        <v>937731317228059</v>
      </c>
      <c r="H342" s="5">
        <v>847900468269799</v>
      </c>
      <c r="I342" s="5">
        <v>817691405516096</v>
      </c>
      <c r="J342" s="5">
        <v>822380404527505</v>
      </c>
      <c r="K342" s="5">
        <v>817558144097479</v>
      </c>
      <c r="L342" s="5">
        <v>759956107394788</v>
      </c>
      <c r="M342" s="5">
        <v>748523687987804</v>
      </c>
      <c r="N342" s="5">
        <v>686702758351782</v>
      </c>
      <c r="O342" s="5">
        <v>724151355231973</v>
      </c>
      <c r="P342" s="5">
        <v>827320504298861</v>
      </c>
      <c r="Q342" s="5">
        <v>875926456361346</v>
      </c>
      <c r="R342" s="5">
        <v>790782880572562</v>
      </c>
      <c r="S342" s="5">
        <v>857546620347325</v>
      </c>
      <c r="T342" s="5">
        <v>751407176312353</v>
      </c>
      <c r="U342" s="5">
        <v>728904457804131</v>
      </c>
      <c r="V342" s="5">
        <v>697812918330578</v>
      </c>
      <c r="W342" s="5">
        <v>666500252403216</v>
      </c>
      <c r="X342" s="5">
        <v>606806630311683</v>
      </c>
      <c r="Y342" s="5">
        <v>629998148691261</v>
      </c>
      <c r="Z342" s="5">
        <v>654381496253765</v>
      </c>
      <c r="AA342" s="5">
        <v>660738539786462</v>
      </c>
      <c r="AB342" s="5">
        <v>636076481504049</v>
      </c>
      <c r="AC342" s="5">
        <v>550043095625816</v>
      </c>
      <c r="AD342" s="5">
        <v>53548118322069</v>
      </c>
      <c r="AE342" s="5">
        <v>510283800570294</v>
      </c>
      <c r="AF342" s="5">
        <v>448721254855372</v>
      </c>
      <c r="AG342" s="5">
        <v>472939122896911</v>
      </c>
      <c r="AH342" s="5">
        <v>493666930929018</v>
      </c>
      <c r="AI342" s="5">
        <v>477316772864268</v>
      </c>
      <c r="AJ342" s="5">
        <v>458372013194872</v>
      </c>
      <c r="AK342" s="5">
        <v>385746426064215</v>
      </c>
      <c r="AL342" s="5">
        <v>37758154557501</v>
      </c>
      <c r="AM342" s="5">
        <v>396798203139733</v>
      </c>
      <c r="AN342" s="5">
        <v>42512839301481</v>
      </c>
      <c r="AO342" s="5">
        <v>385407490293342</v>
      </c>
    </row>
    <row r="343" spans="1:41" x14ac:dyDescent="0.45">
      <c r="A343" s="1" t="s">
        <v>337</v>
      </c>
      <c r="B343" s="2">
        <v>4070114</v>
      </c>
      <c r="C343" s="3" t="s">
        <v>1283</v>
      </c>
      <c r="D343" s="3" t="s">
        <v>1284</v>
      </c>
      <c r="E343" s="3" t="s">
        <v>633</v>
      </c>
      <c r="F343" s="5">
        <v>342970805063697</v>
      </c>
      <c r="G343" s="5">
        <v>346655278596322</v>
      </c>
      <c r="H343" s="5">
        <v>365166628184364</v>
      </c>
      <c r="I343" s="5">
        <v>388820807492814</v>
      </c>
      <c r="J343" s="5">
        <v>428726022430079</v>
      </c>
      <c r="K343" s="5">
        <v>454531537224698</v>
      </c>
      <c r="L343" s="5">
        <v>44651237995</v>
      </c>
      <c r="M343" s="5">
        <v>501263243987134</v>
      </c>
      <c r="N343" s="5">
        <v>467064886985274</v>
      </c>
      <c r="O343" s="5">
        <v>514135640828638</v>
      </c>
      <c r="P343" s="5">
        <v>524864076193137</v>
      </c>
      <c r="Q343" s="5">
        <v>511553516517657</v>
      </c>
      <c r="R343" s="5">
        <v>487664019278229</v>
      </c>
      <c r="S343" s="5">
        <v>498943563313168</v>
      </c>
      <c r="T343" s="5">
        <v>461831685559215</v>
      </c>
      <c r="U343" s="5">
        <v>432822347406156</v>
      </c>
      <c r="V343" s="5">
        <v>426718127843536</v>
      </c>
      <c r="W343" s="5">
        <v>425995851631073</v>
      </c>
      <c r="X343" s="5">
        <v>398458024848</v>
      </c>
      <c r="Y343" s="5">
        <v>398837711598098</v>
      </c>
      <c r="Z343" s="5">
        <v>399959270977452</v>
      </c>
      <c r="AA343" s="5">
        <v>409075101115262</v>
      </c>
      <c r="AB343" s="5">
        <v>408166630165414</v>
      </c>
      <c r="AC343" s="5">
        <v>403714838971559</v>
      </c>
      <c r="AD343" s="5">
        <v>387739743005398</v>
      </c>
      <c r="AE343" s="5">
        <v>403981686088474</v>
      </c>
      <c r="AF343" s="5">
        <v>379687117495153</v>
      </c>
      <c r="AG343" s="5">
        <v>393612477908724</v>
      </c>
      <c r="AH343" s="5">
        <v>406320888556268</v>
      </c>
      <c r="AI343" s="5">
        <v>410486699396628</v>
      </c>
      <c r="AJ343" s="5">
        <v>369380597358802</v>
      </c>
      <c r="AK343" s="5">
        <v>354900292054428</v>
      </c>
      <c r="AL343" s="5">
        <v>35882334682228</v>
      </c>
      <c r="AM343" s="5">
        <v>380179151411885</v>
      </c>
      <c r="AN343" s="5">
        <v>374873674990464</v>
      </c>
      <c r="AO343" s="5">
        <v>384517964691535</v>
      </c>
    </row>
    <row r="344" spans="1:41" x14ac:dyDescent="0.45">
      <c r="A344" s="1" t="s">
        <v>338</v>
      </c>
      <c r="B344" s="2">
        <v>4580296</v>
      </c>
      <c r="C344" s="3" t="s">
        <v>1285</v>
      </c>
      <c r="D344" s="3" t="s">
        <v>1286</v>
      </c>
      <c r="E344" s="3" t="s">
        <v>567</v>
      </c>
      <c r="F344" s="5">
        <v>465227165774464</v>
      </c>
      <c r="G344" s="5">
        <v>505849524531108</v>
      </c>
      <c r="H344" s="5">
        <v>561925335499968</v>
      </c>
      <c r="I344" s="5">
        <v>546048801178354</v>
      </c>
      <c r="J344" s="5">
        <v>573278929601176</v>
      </c>
      <c r="K344" s="5">
        <v>574277882815228</v>
      </c>
      <c r="L344" s="5">
        <v>615452618333649</v>
      </c>
      <c r="M344" s="5">
        <v>602365088448544</v>
      </c>
      <c r="N344" s="5">
        <v>564374182720427</v>
      </c>
      <c r="O344" s="5">
        <v>597198743575236</v>
      </c>
      <c r="P344" s="5">
        <v>675515634098521</v>
      </c>
      <c r="Q344" s="5">
        <v>854391840765773</v>
      </c>
      <c r="R344" s="5">
        <v>826488648759298</v>
      </c>
      <c r="S344" s="5">
        <v>824494007532498</v>
      </c>
      <c r="T344" s="5">
        <v>732207240646284</v>
      </c>
      <c r="U344" s="5">
        <v>715241800963813</v>
      </c>
      <c r="V344" s="5">
        <v>669464420808765</v>
      </c>
      <c r="W344" s="5">
        <v>62138159706583</v>
      </c>
      <c r="X344" s="5">
        <v>566532249068894</v>
      </c>
      <c r="Y344" s="5">
        <v>607575748370402</v>
      </c>
      <c r="Z344" s="5">
        <v>664435725323341</v>
      </c>
      <c r="AA344" s="5">
        <v>664687251991335</v>
      </c>
      <c r="AB344" s="5">
        <v>598252031586354</v>
      </c>
      <c r="AC344" s="5">
        <v>609648351576701</v>
      </c>
      <c r="AD344" s="5">
        <v>598989124186884</v>
      </c>
      <c r="AE344" s="5">
        <v>569501794995244</v>
      </c>
      <c r="AF344" s="5">
        <v>538353497544177</v>
      </c>
      <c r="AG344" s="5">
        <v>606479124200428</v>
      </c>
      <c r="AH344" s="5">
        <v>632845331718576</v>
      </c>
      <c r="AI344" s="5">
        <v>767600811529818</v>
      </c>
      <c r="AJ344" s="5">
        <v>681976592655302</v>
      </c>
      <c r="AK344" s="5">
        <v>648957450586511</v>
      </c>
      <c r="AL344" s="5">
        <v>773204638125088</v>
      </c>
      <c r="AM344" s="5">
        <v>790775357854105</v>
      </c>
      <c r="AN344" s="5">
        <v>784394683982976</v>
      </c>
      <c r="AO344" s="5">
        <v>855338216921421</v>
      </c>
    </row>
    <row r="345" spans="1:41" x14ac:dyDescent="0.45">
      <c r="A345" s="1" t="s">
        <v>339</v>
      </c>
      <c r="B345" s="2">
        <v>4765589</v>
      </c>
      <c r="C345" s="3" t="s">
        <v>1287</v>
      </c>
      <c r="D345" s="3" t="s">
        <v>1288</v>
      </c>
      <c r="E345" s="3" t="s">
        <v>871</v>
      </c>
      <c r="F345" s="5">
        <v>145143864068714</v>
      </c>
      <c r="G345" s="5">
        <v>148519694595149</v>
      </c>
      <c r="H345" s="5">
        <v>15088673184246</v>
      </c>
      <c r="I345" s="5">
        <v>154752330925787</v>
      </c>
      <c r="J345" s="5">
        <v>150697735590932</v>
      </c>
      <c r="K345" s="5">
        <v>146461494589662</v>
      </c>
      <c r="L345" s="5">
        <v>14382125797485</v>
      </c>
      <c r="M345" s="5">
        <v>14380866178796</v>
      </c>
      <c r="N345" s="5">
        <v>131571288534857</v>
      </c>
      <c r="O345" s="5">
        <v>133520674407588</v>
      </c>
      <c r="P345" s="5">
        <v>149218258495585</v>
      </c>
      <c r="Q345" s="5">
        <v>164818952525514</v>
      </c>
      <c r="R345" s="5">
        <v>160618194875478</v>
      </c>
      <c r="S345" s="5">
        <v>170684979182961</v>
      </c>
      <c r="T345" s="5">
        <v>150838731028642</v>
      </c>
      <c r="U345" s="5">
        <v>145105955628443</v>
      </c>
      <c r="V345" s="5">
        <v>132703745614999</v>
      </c>
      <c r="W345" s="5">
        <v>134370723215837</v>
      </c>
      <c r="X345" s="5">
        <v>118800763521212</v>
      </c>
      <c r="Y345" s="5">
        <v>124585703901823</v>
      </c>
      <c r="Z345" s="5">
        <v>122800059274071</v>
      </c>
      <c r="AA345" s="5">
        <v>131319317103661</v>
      </c>
      <c r="AB345" s="5">
        <v>118980550209764</v>
      </c>
      <c r="AC345" s="5">
        <v>111478922158387</v>
      </c>
      <c r="AD345" s="5">
        <v>108734873483528</v>
      </c>
      <c r="AE345" s="5">
        <v>978185120482824</v>
      </c>
      <c r="AF345" s="5">
        <v>909319160798622</v>
      </c>
      <c r="AG345" s="5">
        <v>101009396863592</v>
      </c>
      <c r="AH345" s="5">
        <v>106959948969893</v>
      </c>
      <c r="AI345" s="5">
        <v>104127561987332</v>
      </c>
      <c r="AJ345" s="5">
        <v>9760703367948</v>
      </c>
      <c r="AK345" s="5">
        <v>85852511644378</v>
      </c>
      <c r="AL345" s="5">
        <v>868072225661784</v>
      </c>
      <c r="AM345" s="5">
        <v>839059196710363</v>
      </c>
      <c r="AN345" s="5">
        <v>867066936199764</v>
      </c>
      <c r="AO345" s="5">
        <v>838750228014956</v>
      </c>
    </row>
    <row r="346" spans="1:41" x14ac:dyDescent="0.45">
      <c r="A346" s="1" t="s">
        <v>340</v>
      </c>
      <c r="B346" s="2">
        <v>4004166</v>
      </c>
      <c r="C346" s="3" t="s">
        <v>1289</v>
      </c>
      <c r="D346" s="3" t="s">
        <v>1290</v>
      </c>
      <c r="E346" s="3" t="s">
        <v>1105</v>
      </c>
      <c r="F346" s="5">
        <v>16713816527535</v>
      </c>
      <c r="G346" s="5">
        <v>175393333589192</v>
      </c>
      <c r="H346" s="5">
        <v>173187340872724</v>
      </c>
      <c r="I346" s="5">
        <v>163874450516114</v>
      </c>
      <c r="J346" s="5">
        <v>173983542717646</v>
      </c>
      <c r="K346" s="5">
        <v>165069178476339</v>
      </c>
      <c r="L346" s="5">
        <v>154153297106052</v>
      </c>
      <c r="M346" s="5">
        <v>158835293796233</v>
      </c>
      <c r="N346" s="5">
        <v>163844295698862</v>
      </c>
      <c r="O346" s="5">
        <v>190260612818633</v>
      </c>
      <c r="P346" s="5">
        <v>202296249420497</v>
      </c>
      <c r="Q346" s="5">
        <v>201220397771593</v>
      </c>
      <c r="R346" s="5">
        <v>203851779941258</v>
      </c>
      <c r="S346" s="5">
        <v>215015112115726</v>
      </c>
      <c r="T346" s="5">
        <v>209859002227512</v>
      </c>
      <c r="U346" s="5">
        <v>209424229603492</v>
      </c>
      <c r="V346" s="5">
        <v>214690475966499</v>
      </c>
      <c r="W346" s="5">
        <v>219149465588592</v>
      </c>
      <c r="X346" s="5">
        <v>211619663454251</v>
      </c>
      <c r="Y346" s="5">
        <v>219183627308118</v>
      </c>
      <c r="Z346" s="5">
        <v>226167460348931</v>
      </c>
      <c r="AA346" s="5">
        <v>222703818824015</v>
      </c>
      <c r="AB346" s="5">
        <v>210227250305671</v>
      </c>
      <c r="AC346" s="5">
        <v>216097383339642</v>
      </c>
      <c r="AD346" s="5">
        <v>213760408809527</v>
      </c>
      <c r="AE346" s="5">
        <v>214665861181758</v>
      </c>
      <c r="AF346" s="5">
        <v>214998935626382</v>
      </c>
      <c r="AG346" s="5">
        <v>220372539134063</v>
      </c>
      <c r="AH346" s="5">
        <v>225817366969009</v>
      </c>
      <c r="AI346" s="5">
        <v>234158019334156</v>
      </c>
      <c r="AJ346" s="5">
        <v>233741507984435</v>
      </c>
      <c r="AK346" s="5">
        <v>235721921171851</v>
      </c>
      <c r="AL346" s="5">
        <v>238293280666321</v>
      </c>
      <c r="AM346" s="5">
        <v>231098138462623</v>
      </c>
      <c r="AN346" s="5">
        <v>225132744455282</v>
      </c>
      <c r="AO346" s="5">
        <v>219489616941492</v>
      </c>
    </row>
    <row r="347" spans="1:41" x14ac:dyDescent="0.45">
      <c r="A347" s="1" t="s">
        <v>341</v>
      </c>
      <c r="B347" s="2">
        <v>3009080</v>
      </c>
      <c r="C347" s="3" t="s">
        <v>1291</v>
      </c>
      <c r="D347" s="3" t="s">
        <v>1292</v>
      </c>
      <c r="E347" s="3" t="s">
        <v>680</v>
      </c>
      <c r="F347" s="5">
        <v>120578676338756</v>
      </c>
      <c r="G347" s="5">
        <v>126212336923825</v>
      </c>
      <c r="H347" s="5">
        <v>121509026788275</v>
      </c>
      <c r="I347" s="5">
        <v>123470848730502</v>
      </c>
      <c r="J347" s="5">
        <v>120347889551862</v>
      </c>
      <c r="K347" s="5">
        <v>115754714224459</v>
      </c>
      <c r="L347" s="5">
        <v>117347992447291</v>
      </c>
      <c r="M347" s="5">
        <v>117696943130925</v>
      </c>
      <c r="N347" s="5">
        <v>122021201854181</v>
      </c>
      <c r="O347" s="5">
        <v>132964806943856</v>
      </c>
      <c r="P347" s="5">
        <v>143961061444195</v>
      </c>
      <c r="Q347" s="5">
        <v>144592638708101</v>
      </c>
      <c r="R347" s="5">
        <v>145218472752616</v>
      </c>
      <c r="S347" s="5">
        <v>140778448397084</v>
      </c>
      <c r="T347" s="5">
        <v>147698440156615</v>
      </c>
      <c r="U347" s="5">
        <v>147037159509427</v>
      </c>
      <c r="V347" s="5">
        <v>148625743803583</v>
      </c>
      <c r="W347" s="5">
        <v>159905358324946</v>
      </c>
      <c r="X347" s="5">
        <v>147975899624661</v>
      </c>
      <c r="Y347" s="5">
        <v>149753237820305</v>
      </c>
      <c r="Z347" s="5">
        <v>135673492725093</v>
      </c>
      <c r="AA347" s="5">
        <v>145476065180016</v>
      </c>
      <c r="AB347" s="5">
        <v>138745050188897</v>
      </c>
      <c r="AC347" s="5">
        <v>140932420473882</v>
      </c>
      <c r="AD347" s="5">
        <v>147068247930792</v>
      </c>
      <c r="AE347" s="5">
        <v>157749172706338</v>
      </c>
      <c r="AF347" s="5">
        <v>163309606400633</v>
      </c>
      <c r="AG347" s="5">
        <v>176938817299583</v>
      </c>
      <c r="AH347" s="5">
        <v>184173233718845</v>
      </c>
      <c r="AI347" s="5">
        <v>184719210333525</v>
      </c>
      <c r="AJ347" s="5">
        <v>189675993128138</v>
      </c>
      <c r="AK347" s="5">
        <v>201391619752445</v>
      </c>
      <c r="AL347" s="5">
        <v>198898743176488</v>
      </c>
      <c r="AM347" s="5">
        <v>211960403894341</v>
      </c>
      <c r="AN347" s="5">
        <v>21474383764628</v>
      </c>
      <c r="AO347" s="5">
        <v>228226771136574</v>
      </c>
    </row>
    <row r="348" spans="1:41" x14ac:dyDescent="0.45">
      <c r="A348" s="1" t="s">
        <v>342</v>
      </c>
      <c r="B348" s="2">
        <v>4057057</v>
      </c>
      <c r="C348" s="3" t="s">
        <v>1293</v>
      </c>
      <c r="D348" s="3" t="s">
        <v>1294</v>
      </c>
      <c r="E348" s="3" t="s">
        <v>547</v>
      </c>
      <c r="F348" s="5">
        <v>300824021651881</v>
      </c>
      <c r="G348" s="5">
        <v>305551045623824</v>
      </c>
      <c r="H348" s="5">
        <v>30413189882061</v>
      </c>
      <c r="I348" s="5">
        <v>28248109611287</v>
      </c>
      <c r="J348" s="5">
        <v>287100686591385</v>
      </c>
      <c r="K348" s="5">
        <v>269373193847342</v>
      </c>
      <c r="L348" s="5">
        <v>260863073713697</v>
      </c>
      <c r="M348" s="5">
        <v>326934982781025</v>
      </c>
      <c r="N348" s="5">
        <v>319998741489118</v>
      </c>
      <c r="O348" s="5">
        <v>348667628311899</v>
      </c>
      <c r="P348" s="5">
        <v>344487504492188</v>
      </c>
      <c r="Q348" s="5">
        <v>329161461764009</v>
      </c>
      <c r="R348" s="5">
        <v>426115913798945</v>
      </c>
      <c r="S348" s="5">
        <v>438198909162645</v>
      </c>
      <c r="T348" s="5">
        <v>398051119562301</v>
      </c>
      <c r="U348" s="5">
        <v>378881562863726</v>
      </c>
      <c r="V348" s="5">
        <v>380698147670234</v>
      </c>
      <c r="W348" s="5">
        <v>36043993966365</v>
      </c>
      <c r="X348" s="5">
        <v>348238192577176</v>
      </c>
      <c r="Y348" s="5">
        <v>365341196460268</v>
      </c>
      <c r="Z348" s="5">
        <v>341952200318874</v>
      </c>
      <c r="AA348" s="5">
        <v>331043834077338</v>
      </c>
      <c r="AB348" s="5">
        <v>329411935004773</v>
      </c>
      <c r="AC348" s="5">
        <v>331740872535153</v>
      </c>
      <c r="AD348" s="5">
        <v>348012328698531</v>
      </c>
      <c r="AE348" s="5">
        <v>335881883903983</v>
      </c>
      <c r="AF348" s="5">
        <v>32915657541059</v>
      </c>
      <c r="AG348" s="5">
        <v>318697316843769</v>
      </c>
      <c r="AH348" s="5">
        <v>314284295722668</v>
      </c>
      <c r="AI348" s="5">
        <v>334166019896821</v>
      </c>
      <c r="AJ348" s="5">
        <v>315898575174835</v>
      </c>
      <c r="AK348" s="5">
        <v>317222203552465</v>
      </c>
      <c r="AL348" s="5">
        <v>309410177686478</v>
      </c>
      <c r="AM348" s="5">
        <v>295839409934709</v>
      </c>
      <c r="AN348" s="5">
        <v>292483472362699</v>
      </c>
      <c r="AO348" s="5">
        <v>29098199945326</v>
      </c>
    </row>
    <row r="349" spans="1:41" x14ac:dyDescent="0.45">
      <c r="A349" s="1" t="s">
        <v>343</v>
      </c>
      <c r="B349" s="2">
        <v>4913068</v>
      </c>
      <c r="C349" s="3" t="s">
        <v>1295</v>
      </c>
      <c r="D349" s="3" t="s">
        <v>1296</v>
      </c>
      <c r="E349" s="3" t="s">
        <v>553</v>
      </c>
      <c r="F349" s="5">
        <v>212656591292737</v>
      </c>
      <c r="G349" s="5">
        <v>211408279094029</v>
      </c>
      <c r="H349" s="5">
        <v>194788604447628</v>
      </c>
      <c r="I349" s="5">
        <v>215187673110251</v>
      </c>
      <c r="J349" s="5">
        <v>222404608110763</v>
      </c>
      <c r="K349" s="5">
        <v>223234383858406</v>
      </c>
      <c r="L349" s="5">
        <v>241390435915547</v>
      </c>
      <c r="M349" s="5">
        <v>247725884218961</v>
      </c>
      <c r="N349" s="5">
        <v>235091224888648</v>
      </c>
      <c r="O349" s="5">
        <v>228581182095732</v>
      </c>
      <c r="P349" s="5">
        <v>232046282158009</v>
      </c>
      <c r="Q349" s="5">
        <v>194766860133682</v>
      </c>
      <c r="R349" s="5">
        <v>180743265643032</v>
      </c>
      <c r="S349" s="5">
        <v>196086677364094</v>
      </c>
      <c r="T349" s="5">
        <v>190026608419947</v>
      </c>
      <c r="U349" s="5">
        <v>169235855723666</v>
      </c>
      <c r="V349" s="5">
        <v>173308268086794</v>
      </c>
      <c r="W349" s="5">
        <v>165443072861627</v>
      </c>
      <c r="X349" s="5">
        <v>147016456098549</v>
      </c>
      <c r="Y349" s="5">
        <v>145323868464981</v>
      </c>
      <c r="Z349" s="5">
        <v>138025829786828</v>
      </c>
      <c r="AA349" s="5">
        <v>131859809998963</v>
      </c>
      <c r="AB349" s="5">
        <v>129198536705708</v>
      </c>
      <c r="AC349" s="5">
        <v>129992958883042</v>
      </c>
      <c r="AD349" s="5">
        <v>132131756741428</v>
      </c>
      <c r="AE349" s="5">
        <v>132888722321888</v>
      </c>
      <c r="AF349" s="5">
        <v>131007448436131</v>
      </c>
      <c r="AG349" s="5">
        <v>13578298825611</v>
      </c>
      <c r="AH349" s="5">
        <v>137487053458893</v>
      </c>
      <c r="AI349" s="5">
        <v>140465395364944</v>
      </c>
      <c r="AJ349" s="5">
        <v>138797303128705</v>
      </c>
      <c r="AK349" s="5">
        <v>131092917466321</v>
      </c>
      <c r="AL349" s="5">
        <v>140602347993613</v>
      </c>
      <c r="AM349" s="5">
        <v>138931048212516</v>
      </c>
      <c r="AN349" s="5">
        <v>142089076363857</v>
      </c>
      <c r="AO349" s="5">
        <v>148778756373135</v>
      </c>
    </row>
    <row r="350" spans="1:41" x14ac:dyDescent="0.45">
      <c r="A350" s="1" t="s">
        <v>344</v>
      </c>
      <c r="B350" s="2">
        <v>4095021</v>
      </c>
      <c r="C350" s="3" t="s">
        <v>1297</v>
      </c>
      <c r="D350" s="3" t="s">
        <v>1298</v>
      </c>
      <c r="E350" s="3" t="s">
        <v>1160</v>
      </c>
      <c r="F350" s="5">
        <v>442823897748827</v>
      </c>
      <c r="G350" s="5">
        <v>47590749427415</v>
      </c>
      <c r="H350" s="5">
        <v>475581434374863</v>
      </c>
      <c r="I350" s="5">
        <v>468500638063132</v>
      </c>
      <c r="J350" s="5">
        <v>461499977255566</v>
      </c>
      <c r="K350" s="5">
        <v>436590137437775</v>
      </c>
      <c r="L350" s="5">
        <v>413890844194659</v>
      </c>
      <c r="M350" s="5">
        <v>407477676071896</v>
      </c>
      <c r="N350" s="5">
        <v>373827926897808</v>
      </c>
      <c r="O350" s="5">
        <v>465769660143705</v>
      </c>
      <c r="P350" s="5">
        <v>508175845160175</v>
      </c>
      <c r="Q350" s="5">
        <v>46834104563422</v>
      </c>
      <c r="R350" s="5">
        <v>45447394116355</v>
      </c>
      <c r="S350" s="5">
        <v>524439507491934</v>
      </c>
      <c r="T350" s="5">
        <v>463358301701219</v>
      </c>
      <c r="U350" s="5">
        <v>493317560698568</v>
      </c>
      <c r="V350" s="5">
        <v>530972885725306</v>
      </c>
      <c r="W350" s="5">
        <v>562655429423842</v>
      </c>
      <c r="X350" s="5">
        <v>558573730606567</v>
      </c>
      <c r="Y350" s="5">
        <v>555545313320622</v>
      </c>
      <c r="Z350" s="5">
        <v>567799060489329</v>
      </c>
      <c r="AA350" s="5">
        <v>646956837391818</v>
      </c>
      <c r="AB350" s="5">
        <v>564026618494684</v>
      </c>
      <c r="AC350" s="5">
        <v>5719452661</v>
      </c>
      <c r="AD350" s="5">
        <v>529934224506508</v>
      </c>
      <c r="AE350" s="5">
        <v>519936159272186</v>
      </c>
      <c r="AF350" s="5">
        <v>480765152707976</v>
      </c>
      <c r="AG350" s="5">
        <v>505480703300842</v>
      </c>
      <c r="AH350" s="5">
        <v>468690124113626</v>
      </c>
      <c r="AI350" s="5">
        <v>464462592908085</v>
      </c>
      <c r="AJ350" s="5">
        <v>400899195332733</v>
      </c>
      <c r="AK350" s="5">
        <v>394427323221275</v>
      </c>
      <c r="AL350" s="5">
        <v>413456744640654</v>
      </c>
      <c r="AM350" s="5">
        <v>430078421204035</v>
      </c>
      <c r="AN350" s="5">
        <v>448187754800371</v>
      </c>
      <c r="AO350" s="5">
        <v>43020462474</v>
      </c>
    </row>
    <row r="351" spans="1:41" x14ac:dyDescent="0.45">
      <c r="A351" s="1" t="s">
        <v>345</v>
      </c>
      <c r="B351" s="2">
        <v>4056951</v>
      </c>
      <c r="C351" s="3" t="s">
        <v>1299</v>
      </c>
      <c r="D351" s="3" t="s">
        <v>1300</v>
      </c>
      <c r="E351" s="3" t="s">
        <v>547</v>
      </c>
      <c r="F351" s="5">
        <v>904210574787021</v>
      </c>
      <c r="G351" s="5">
        <v>937866006886794</v>
      </c>
      <c r="H351" s="5">
        <v>916566358690896</v>
      </c>
      <c r="I351" s="5">
        <v>912629773988719</v>
      </c>
      <c r="J351" s="5">
        <v>912350863603082</v>
      </c>
      <c r="K351" s="5">
        <v>945878997057604</v>
      </c>
      <c r="L351" s="5">
        <v>909625887894835</v>
      </c>
      <c r="M351" s="5">
        <v>959979960320999</v>
      </c>
      <c r="N351" s="5">
        <v>100011371690894</v>
      </c>
      <c r="O351" s="5">
        <v>105083701799283</v>
      </c>
      <c r="P351" s="5">
        <v>105926938573784</v>
      </c>
      <c r="Q351" s="5">
        <v>951260629964112</v>
      </c>
      <c r="R351" s="5">
        <v>930966656081826</v>
      </c>
      <c r="S351" s="5">
        <v>100975513964052</v>
      </c>
      <c r="T351" s="5">
        <v>918810446085306</v>
      </c>
      <c r="U351" s="5">
        <v>902413851760976</v>
      </c>
      <c r="V351" s="5">
        <v>898971854852899</v>
      </c>
      <c r="W351" s="5">
        <v>89808225896466</v>
      </c>
      <c r="X351" s="5">
        <v>809509667295879</v>
      </c>
      <c r="Y351" s="5">
        <v>825763941012131</v>
      </c>
      <c r="Z351" s="5">
        <v>848582972209644</v>
      </c>
      <c r="AA351" s="5">
        <v>85237209294163</v>
      </c>
      <c r="AB351" s="5">
        <v>716998013727546</v>
      </c>
      <c r="AC351" s="5">
        <v>720137670451498</v>
      </c>
      <c r="AD351" s="5">
        <v>737017218370621</v>
      </c>
      <c r="AE351" s="5">
        <v>779188226194816</v>
      </c>
      <c r="AF351" s="5">
        <v>795580501034811</v>
      </c>
      <c r="AG351" s="5">
        <v>788798697697939</v>
      </c>
      <c r="AH351" s="5">
        <v>807269447959682</v>
      </c>
      <c r="AI351" s="5">
        <v>851128655590626</v>
      </c>
      <c r="AJ351" s="5">
        <v>845086357492528</v>
      </c>
      <c r="AK351" s="5">
        <v>821239899392035</v>
      </c>
      <c r="AL351" s="5">
        <v>804594172800124</v>
      </c>
      <c r="AM351" s="5">
        <v>825417221157547</v>
      </c>
      <c r="AN351" s="5">
        <v>785267228793168</v>
      </c>
      <c r="AO351" s="5">
        <v>776573818445155</v>
      </c>
    </row>
    <row r="352" spans="1:41" x14ac:dyDescent="0.45">
      <c r="A352" s="1" t="s">
        <v>346</v>
      </c>
      <c r="B352" s="2">
        <v>4104752</v>
      </c>
      <c r="C352" s="3" t="s">
        <v>1301</v>
      </c>
      <c r="D352" s="3" t="s">
        <v>1302</v>
      </c>
      <c r="E352" s="3" t="s">
        <v>1004</v>
      </c>
      <c r="F352" s="5">
        <v>72571819383405</v>
      </c>
      <c r="G352" s="5">
        <v>782539543838976</v>
      </c>
      <c r="H352" s="5">
        <v>862478351983368</v>
      </c>
      <c r="I352" s="5">
        <v>986212927737929</v>
      </c>
      <c r="J352" s="5">
        <v>991263240932983</v>
      </c>
      <c r="K352" s="5">
        <v>100525752751919</v>
      </c>
      <c r="L352" s="5">
        <v>933095216148186</v>
      </c>
      <c r="M352" s="5">
        <v>995934663518797</v>
      </c>
      <c r="N352" s="5">
        <v>971361037519595</v>
      </c>
      <c r="O352" s="5">
        <v>111094210205066</v>
      </c>
      <c r="P352" s="5">
        <v>125498240492905</v>
      </c>
      <c r="Q352" s="5">
        <v>126041018548165</v>
      </c>
      <c r="R352" s="5">
        <v>125322157634795</v>
      </c>
      <c r="S352" s="5">
        <v>136012699535204</v>
      </c>
      <c r="T352" s="5">
        <v>126751711223219</v>
      </c>
      <c r="U352" s="5">
        <v>129250155466406</v>
      </c>
      <c r="V352" s="5">
        <v>121621816148618</v>
      </c>
      <c r="W352" s="5">
        <v>132224357395469</v>
      </c>
      <c r="X352" s="5">
        <v>109940692793384</v>
      </c>
      <c r="Y352" s="5">
        <v>128491505770661</v>
      </c>
      <c r="Z352" s="5">
        <v>129949150600517</v>
      </c>
      <c r="AA352" s="5">
        <v>143767012471272</v>
      </c>
      <c r="AB352" s="5">
        <v>141339675747346</v>
      </c>
      <c r="AC352" s="5">
        <v>132352815624851</v>
      </c>
      <c r="AD352" s="5">
        <v>139520766507094</v>
      </c>
      <c r="AE352" s="5">
        <v>123176795070847</v>
      </c>
      <c r="AF352" s="5">
        <v>115602871111905</v>
      </c>
      <c r="AG352" s="5">
        <v>131387732137049</v>
      </c>
      <c r="AH352" s="5">
        <v>131637633509872</v>
      </c>
      <c r="AI352" s="5">
        <v>136335537196728</v>
      </c>
      <c r="AJ352" s="5">
        <v>133978387150205</v>
      </c>
      <c r="AK352" s="5">
        <v>115843030768846</v>
      </c>
      <c r="AL352" s="5">
        <v>12427087190739</v>
      </c>
      <c r="AM352" s="5">
        <v>123153553523408</v>
      </c>
      <c r="AN352" s="5">
        <v>131443829621605</v>
      </c>
      <c r="AO352" s="5">
        <v>138641849185865</v>
      </c>
    </row>
    <row r="353" spans="1:41" x14ac:dyDescent="0.45">
      <c r="A353" s="1" t="s">
        <v>347</v>
      </c>
      <c r="B353" s="2">
        <v>4062397</v>
      </c>
      <c r="C353" s="3" t="s">
        <v>1303</v>
      </c>
      <c r="D353" s="3" t="s">
        <v>1304</v>
      </c>
      <c r="E353" s="3" t="s">
        <v>536</v>
      </c>
      <c r="F353" s="5">
        <v>195823068408</v>
      </c>
      <c r="G353" s="5">
        <v>193599969024</v>
      </c>
      <c r="H353" s="5">
        <v>190177317</v>
      </c>
      <c r="I353" s="5">
        <v>202193916021</v>
      </c>
      <c r="J353" s="5">
        <v>214619319439</v>
      </c>
      <c r="K353" s="5">
        <v>2081588217</v>
      </c>
      <c r="L353" s="5">
        <v>2198436284863</v>
      </c>
      <c r="M353" s="5">
        <v>221636537236038</v>
      </c>
      <c r="N353" s="5">
        <v>217780605991828</v>
      </c>
      <c r="O353" s="5">
        <v>229631909527555</v>
      </c>
      <c r="P353" s="5">
        <v>246961199221258</v>
      </c>
      <c r="Q353" s="5">
        <v>2572075810804</v>
      </c>
      <c r="R353" s="5">
        <v>267332239119124</v>
      </c>
      <c r="S353" s="5">
        <v>273127452813253</v>
      </c>
      <c r="T353" s="5">
        <v>265703257665698</v>
      </c>
      <c r="U353" s="5">
        <v>277075562788</v>
      </c>
      <c r="V353" s="5">
        <v>273634987369</v>
      </c>
      <c r="W353" s="5">
        <v>27372977016</v>
      </c>
      <c r="X353" s="5">
        <v>27653319371455</v>
      </c>
      <c r="Y353" s="5">
        <v>285194540374025</v>
      </c>
      <c r="Z353" s="5">
        <v>283941569423568</v>
      </c>
      <c r="AA353" s="5">
        <v>315590416073793</v>
      </c>
      <c r="AB353" s="5">
        <v>308169872277564</v>
      </c>
      <c r="AC353" s="5">
        <v>306531907344</v>
      </c>
      <c r="AD353" s="5">
        <v>31903241283</v>
      </c>
      <c r="AE353" s="5">
        <v>306989507898</v>
      </c>
      <c r="AF353" s="5">
        <v>27400385619</v>
      </c>
      <c r="AG353" s="5">
        <v>28882146298155</v>
      </c>
      <c r="AH353" s="5">
        <v>307821898260627</v>
      </c>
      <c r="AI353" s="5">
        <v>307520771337549</v>
      </c>
      <c r="AJ353" s="5">
        <v>31979574717726</v>
      </c>
      <c r="AK353" s="5">
        <v>290007629818353</v>
      </c>
      <c r="AL353" s="5">
        <v>299189276968074</v>
      </c>
      <c r="AM353" s="5">
        <v>289365654673565</v>
      </c>
      <c r="AN353" s="5">
        <v>292565134227964</v>
      </c>
      <c r="AO353" s="5">
        <v>28204236320617</v>
      </c>
    </row>
    <row r="354" spans="1:41" x14ac:dyDescent="0.45">
      <c r="A354" s="1" t="s">
        <v>348</v>
      </c>
      <c r="B354" s="2">
        <v>4057058</v>
      </c>
      <c r="C354" s="3" t="s">
        <v>1305</v>
      </c>
      <c r="D354" s="3" t="s">
        <v>1306</v>
      </c>
      <c r="E354" s="3" t="s">
        <v>547</v>
      </c>
      <c r="F354" s="5">
        <v>220638557139225</v>
      </c>
      <c r="G354" s="5">
        <v>235403943444331</v>
      </c>
      <c r="H354" s="5">
        <v>234151528166701</v>
      </c>
      <c r="I354" s="5">
        <v>234215333541867</v>
      </c>
      <c r="J354" s="5">
        <v>230567563678483</v>
      </c>
      <c r="K354" s="5">
        <v>230730220056181</v>
      </c>
      <c r="L354" s="5">
        <v>213331863619945</v>
      </c>
      <c r="M354" s="5">
        <v>226400866761846</v>
      </c>
      <c r="N354" s="5">
        <v>237829332393432</v>
      </c>
      <c r="O354" s="5">
        <v>246656462798947</v>
      </c>
      <c r="P354" s="5">
        <v>249841160763808</v>
      </c>
      <c r="Q354" s="5">
        <v>238560316448328</v>
      </c>
      <c r="R354" s="5">
        <v>231376576953456</v>
      </c>
      <c r="S354" s="5">
        <v>244317176179133</v>
      </c>
      <c r="T354" s="5">
        <v>22124168774759</v>
      </c>
      <c r="U354" s="5">
        <v>218820079676405</v>
      </c>
      <c r="V354" s="5">
        <v>212846351367116</v>
      </c>
      <c r="W354" s="5">
        <v>202593082964395</v>
      </c>
      <c r="X354" s="5">
        <v>19037952483435</v>
      </c>
      <c r="Y354" s="5">
        <v>199523439156408</v>
      </c>
      <c r="Z354" s="5">
        <v>189451452928792</v>
      </c>
      <c r="AA354" s="5">
        <v>187995001630298</v>
      </c>
      <c r="AB354" s="5">
        <v>179937517889749</v>
      </c>
      <c r="AC354" s="5">
        <v>178004777927421</v>
      </c>
      <c r="AD354" s="5">
        <v>180723513811369</v>
      </c>
      <c r="AE354" s="5">
        <v>176537074813995</v>
      </c>
      <c r="AF354" s="5">
        <v>171413662274127</v>
      </c>
      <c r="AG354" s="5">
        <v>164072135110675</v>
      </c>
      <c r="AH354" s="5">
        <v>169355231962896</v>
      </c>
      <c r="AI354" s="5">
        <v>184124818350168</v>
      </c>
      <c r="AJ354" s="5">
        <v>178645737592678</v>
      </c>
      <c r="AK354" s="5">
        <v>181196728698179</v>
      </c>
      <c r="AL354" s="5">
        <v>191805420478408</v>
      </c>
      <c r="AM354" s="5">
        <v>188426842686723</v>
      </c>
      <c r="AN354" s="5">
        <v>187852410763288</v>
      </c>
      <c r="AO354" s="5">
        <v>200666760247325</v>
      </c>
    </row>
    <row r="355" spans="1:41" x14ac:dyDescent="0.45">
      <c r="A355" s="1" t="s">
        <v>349</v>
      </c>
      <c r="B355" s="2">
        <v>110230</v>
      </c>
      <c r="C355" s="3" t="s">
        <v>1307</v>
      </c>
      <c r="D355" s="3" t="s">
        <v>1308</v>
      </c>
      <c r="E355" s="3" t="s">
        <v>521</v>
      </c>
      <c r="F355" s="5">
        <v>165052594369903</v>
      </c>
      <c r="G355" s="5">
        <v>160703339526354</v>
      </c>
      <c r="H355" s="5">
        <v>160074821804792</v>
      </c>
      <c r="I355" s="5">
        <v>157417521091331</v>
      </c>
      <c r="J355" s="5">
        <v>153327060343796</v>
      </c>
      <c r="K355" s="5">
        <v>151569388384408</v>
      </c>
      <c r="L355" s="5">
        <v>151630634117652</v>
      </c>
      <c r="M355" s="5">
        <v>153894539456397</v>
      </c>
      <c r="N355" s="5">
        <v>146521696292969</v>
      </c>
      <c r="O355" s="5">
        <v>176079003412558</v>
      </c>
      <c r="P355" s="5">
        <v>193035696470412</v>
      </c>
      <c r="Q355" s="5">
        <v>181437122477251</v>
      </c>
      <c r="R355" s="5">
        <v>171019057400603</v>
      </c>
      <c r="S355" s="5">
        <v>188799252203374</v>
      </c>
      <c r="T355" s="5">
        <v>173580972334152</v>
      </c>
      <c r="U355" s="5">
        <v>17836100743865</v>
      </c>
      <c r="V355" s="5">
        <v>170472992802906</v>
      </c>
      <c r="W355" s="5">
        <v>174417831506318</v>
      </c>
      <c r="X355" s="5">
        <v>171609499590603</v>
      </c>
      <c r="Y355" s="5">
        <v>177309001813264</v>
      </c>
      <c r="Z355" s="5">
        <v>174038559889068</v>
      </c>
      <c r="AA355" s="5">
        <v>188472596767876</v>
      </c>
      <c r="AB355" s="5">
        <v>176438086519944</v>
      </c>
      <c r="AC355" s="5">
        <v>173817855640711</v>
      </c>
      <c r="AD355" s="5">
        <v>169684454771086</v>
      </c>
      <c r="AE355" s="5">
        <v>161392429030282</v>
      </c>
      <c r="AF355" s="5">
        <v>154840439130062</v>
      </c>
      <c r="AG355" s="5">
        <v>164587872942499</v>
      </c>
      <c r="AH355" s="5">
        <v>173185391617352</v>
      </c>
      <c r="AI355" s="5">
        <v>17538717196</v>
      </c>
      <c r="AJ355" s="5">
        <v>168654255812928</v>
      </c>
      <c r="AK355" s="5">
        <v>149114962600649</v>
      </c>
      <c r="AL355" s="5">
        <v>164521836479</v>
      </c>
      <c r="AM355" s="5">
        <v>166293255470197</v>
      </c>
      <c r="AN355" s="5">
        <v>20509605751039</v>
      </c>
      <c r="AO355" s="5">
        <v>207488261475</v>
      </c>
    </row>
    <row r="356" spans="1:41" x14ac:dyDescent="0.45">
      <c r="A356" s="1" t="s">
        <v>350</v>
      </c>
      <c r="B356" s="2">
        <v>103146</v>
      </c>
      <c r="C356" s="3" t="s">
        <v>1309</v>
      </c>
      <c r="D356" s="3" t="s">
        <v>1310</v>
      </c>
      <c r="E356" s="3" t="s">
        <v>1311</v>
      </c>
      <c r="F356" s="5">
        <v>100993871611074</v>
      </c>
      <c r="G356" s="5">
        <v>102959586399824</v>
      </c>
      <c r="H356" s="5">
        <v>9993311292801</v>
      </c>
      <c r="I356" s="5">
        <v>90583956627948</v>
      </c>
      <c r="J356" s="5">
        <v>90273172458886</v>
      </c>
      <c r="K356" s="5">
        <v>86631967393788</v>
      </c>
      <c r="L356" s="5">
        <v>8305835932368</v>
      </c>
      <c r="M356" s="5">
        <v>8881103656068</v>
      </c>
      <c r="N356" s="5">
        <v>8358672038808</v>
      </c>
      <c r="O356" s="5">
        <v>958754965071441</v>
      </c>
      <c r="P356" s="5">
        <v>11038857369232</v>
      </c>
      <c r="Q356" s="5">
        <v>106260451374375</v>
      </c>
      <c r="R356" s="5">
        <v>9455842011525</v>
      </c>
      <c r="S356" s="5">
        <v>1025128314987</v>
      </c>
      <c r="T356" s="5">
        <v>963386303445</v>
      </c>
      <c r="U356" s="5">
        <v>104834095232328</v>
      </c>
      <c r="V356" s="5">
        <v>107000184388482</v>
      </c>
      <c r="W356" s="5">
        <v>1078410393522</v>
      </c>
      <c r="X356" s="5">
        <v>97045970946012</v>
      </c>
      <c r="Y356" s="5">
        <v>94327605932676</v>
      </c>
      <c r="Z356" s="5">
        <v>8835992196304</v>
      </c>
      <c r="AA356" s="5">
        <v>111501503936556</v>
      </c>
      <c r="AB356" s="5">
        <v>114026799943837</v>
      </c>
      <c r="AC356" s="5">
        <v>107892253516983</v>
      </c>
      <c r="AD356" s="5">
        <v>11142767794121</v>
      </c>
      <c r="AE356" s="5">
        <v>97367432907807</v>
      </c>
      <c r="AF356" s="5">
        <v>88109759063625</v>
      </c>
      <c r="AG356" s="5">
        <v>97944161182896</v>
      </c>
      <c r="AH356" s="5">
        <v>1057936548888</v>
      </c>
      <c r="AI356" s="5">
        <v>1045794692553</v>
      </c>
      <c r="AJ356" s="5">
        <v>10373208619128</v>
      </c>
      <c r="AK356" s="5">
        <v>10792109880849</v>
      </c>
      <c r="AL356" s="5">
        <v>104801400642069</v>
      </c>
      <c r="AM356" s="5">
        <v>106047395558869</v>
      </c>
      <c r="AN356" s="5">
        <v>1073419725612</v>
      </c>
      <c r="AO356" s="5">
        <v>109872285478699</v>
      </c>
    </row>
    <row r="357" spans="1:41" x14ac:dyDescent="0.45">
      <c r="A357" s="1" t="s">
        <v>351</v>
      </c>
      <c r="B357" s="2">
        <v>4072932</v>
      </c>
      <c r="C357" s="3" t="s">
        <v>1312</v>
      </c>
      <c r="D357" s="3" t="s">
        <v>1313</v>
      </c>
      <c r="E357" s="3" t="s">
        <v>521</v>
      </c>
      <c r="F357" s="5">
        <v>336393496104</v>
      </c>
      <c r="G357" s="5">
        <v>3266484452</v>
      </c>
      <c r="H357" s="5">
        <v>315497832</v>
      </c>
      <c r="I357" s="5">
        <v>311141541438</v>
      </c>
      <c r="J357" s="5">
        <v>329900387346</v>
      </c>
      <c r="K357" s="5">
        <v>318644169084</v>
      </c>
      <c r="L357" s="5">
        <v>323863594076017</v>
      </c>
      <c r="M357" s="5">
        <v>324122362352054</v>
      </c>
      <c r="N357" s="5">
        <v>320857857710971</v>
      </c>
      <c r="O357" s="5">
        <v>366216521755369</v>
      </c>
      <c r="P357" s="5">
        <v>3916040394</v>
      </c>
      <c r="Q357" s="5">
        <v>41361217776</v>
      </c>
      <c r="R357" s="5">
        <v>40757773212</v>
      </c>
      <c r="S357" s="5">
        <v>43665108088</v>
      </c>
      <c r="T357" s="5">
        <v>4015825248</v>
      </c>
      <c r="U357" s="5">
        <v>38838443602</v>
      </c>
      <c r="V357" s="5">
        <v>391827284212</v>
      </c>
      <c r="W357" s="5">
        <v>41420114736</v>
      </c>
      <c r="X357" s="5">
        <v>392733407364113</v>
      </c>
      <c r="Y357" s="5">
        <v>398483315402374</v>
      </c>
      <c r="Z357" s="5">
        <v>371314786893308</v>
      </c>
      <c r="AA357" s="5">
        <v>390606399381823</v>
      </c>
      <c r="AB357" s="5">
        <v>362169323208</v>
      </c>
      <c r="AC357" s="5">
        <v>349427613353</v>
      </c>
      <c r="AD357" s="5">
        <v>338994916881</v>
      </c>
      <c r="AE357" s="5">
        <v>323921643466</v>
      </c>
      <c r="AF357" s="5">
        <v>31451528664</v>
      </c>
      <c r="AG357" s="5">
        <v>325795629648</v>
      </c>
      <c r="AH357" s="5">
        <v>31719637916</v>
      </c>
      <c r="AI357" s="5">
        <v>320363840134</v>
      </c>
      <c r="AJ357" s="5">
        <v>29568203368</v>
      </c>
      <c r="AK357" s="5">
        <v>270161631993</v>
      </c>
      <c r="AL357" s="5">
        <v>289288285745901</v>
      </c>
      <c r="AM357" s="5">
        <v>279465107207111</v>
      </c>
      <c r="AN357" s="5">
        <v>344736892602</v>
      </c>
      <c r="AO357" s="5">
        <v>35555518944</v>
      </c>
    </row>
    <row r="358" spans="1:41" x14ac:dyDescent="0.45">
      <c r="A358" s="1" t="s">
        <v>352</v>
      </c>
      <c r="B358" s="2">
        <v>4391244</v>
      </c>
      <c r="C358" s="3" t="s">
        <v>1314</v>
      </c>
      <c r="D358" s="3" t="s">
        <v>1315</v>
      </c>
      <c r="E358" s="3" t="s">
        <v>515</v>
      </c>
      <c r="F358" s="5">
        <v>176446713301641</v>
      </c>
      <c r="G358" s="5">
        <v>180714267876432</v>
      </c>
      <c r="H358" s="5">
        <v>206204188730227</v>
      </c>
      <c r="I358" s="5">
        <v>2072820427513</v>
      </c>
      <c r="J358" s="5">
        <v>218647020956896</v>
      </c>
      <c r="K358" s="5">
        <v>22495500766363</v>
      </c>
      <c r="L358" s="5">
        <v>176020486108485</v>
      </c>
      <c r="M358" s="5">
        <v>177931142639864</v>
      </c>
      <c r="N358" s="5">
        <v>164350597423164</v>
      </c>
      <c r="O358" s="5">
        <v>172495516969991</v>
      </c>
      <c r="P358" s="5">
        <v>189226569256568</v>
      </c>
      <c r="Q358" s="5">
        <v>22403861018785</v>
      </c>
      <c r="R358" s="5">
        <v>213349285722596</v>
      </c>
      <c r="S358" s="5">
        <v>227784999053214</v>
      </c>
      <c r="T358" s="5">
        <v>205057540346928</v>
      </c>
      <c r="U358" s="5">
        <v>194594754043836</v>
      </c>
      <c r="V358" s="5">
        <v>194517282437421</v>
      </c>
      <c r="W358" s="5">
        <v>19677981376284</v>
      </c>
      <c r="X358" s="5">
        <v>203029519352629</v>
      </c>
      <c r="Y358" s="5">
        <v>19459747941411</v>
      </c>
      <c r="Z358" s="5">
        <v>198387518006406</v>
      </c>
      <c r="AA358" s="5">
        <v>209121846307681</v>
      </c>
      <c r="AB358" s="5">
        <v>202405271446852</v>
      </c>
      <c r="AC358" s="5">
        <v>198868594030532</v>
      </c>
      <c r="AD358" s="5">
        <v>188748123360072</v>
      </c>
      <c r="AE358" s="5">
        <v>172050366313675</v>
      </c>
      <c r="AF358" s="5">
        <v>157938285559788</v>
      </c>
      <c r="AG358" s="5">
        <v>159069261632167</v>
      </c>
      <c r="AH358" s="5">
        <v>161245663371661</v>
      </c>
      <c r="AI358" s="5">
        <v>156591104632552</v>
      </c>
      <c r="AJ358" s="5">
        <v>154269963440896</v>
      </c>
      <c r="AK358" s="5">
        <v>149252628373094</v>
      </c>
      <c r="AL358" s="5">
        <v>134794410774958</v>
      </c>
      <c r="AM358" s="5">
        <v>139577652352431</v>
      </c>
      <c r="AN358" s="5">
        <v>139622554525346</v>
      </c>
      <c r="AO358" s="5">
        <v>14672853376914</v>
      </c>
    </row>
    <row r="359" spans="1:41" x14ac:dyDescent="0.45">
      <c r="A359" s="1" t="s">
        <v>353</v>
      </c>
      <c r="B359" s="2">
        <v>4050911</v>
      </c>
      <c r="C359" s="3" t="s">
        <v>1316</v>
      </c>
      <c r="D359" s="3" t="s">
        <v>1317</v>
      </c>
      <c r="E359" s="3" t="s">
        <v>562</v>
      </c>
      <c r="F359" s="5">
        <v>341378941411438</v>
      </c>
      <c r="G359" s="5">
        <v>359528868811284</v>
      </c>
      <c r="H359" s="5">
        <v>348584849396021</v>
      </c>
      <c r="I359" s="5">
        <v>355010191799323</v>
      </c>
      <c r="J359" s="5">
        <v>351271879819164</v>
      </c>
      <c r="K359" s="5">
        <v>391685505286664</v>
      </c>
      <c r="L359" s="5">
        <v>357678059203257</v>
      </c>
      <c r="M359" s="5">
        <v>356343085104655</v>
      </c>
      <c r="N359" s="5">
        <v>351545534568688</v>
      </c>
      <c r="O359" s="5">
        <v>379624444007893</v>
      </c>
      <c r="P359" s="5">
        <v>388844366145198</v>
      </c>
      <c r="Q359" s="5">
        <v>400442872820341</v>
      </c>
      <c r="R359" s="5">
        <v>406596240758181</v>
      </c>
      <c r="S359" s="5">
        <v>445301624944443</v>
      </c>
      <c r="T359" s="5">
        <v>410219245917455</v>
      </c>
      <c r="U359" s="5">
        <v>398458027538842</v>
      </c>
      <c r="V359" s="5">
        <v>363688280961331</v>
      </c>
      <c r="W359" s="5">
        <v>367182411808766</v>
      </c>
      <c r="X359" s="5">
        <v>342600714390261</v>
      </c>
      <c r="Y359" s="5">
        <v>347950526955042</v>
      </c>
      <c r="Z359" s="5">
        <v>321777992271687</v>
      </c>
      <c r="AA359" s="5">
        <v>308250784051187</v>
      </c>
      <c r="AB359" s="5">
        <v>28781529501479</v>
      </c>
      <c r="AC359" s="5">
        <v>266345919819757</v>
      </c>
      <c r="AD359" s="5">
        <v>275679456325363</v>
      </c>
      <c r="AE359" s="5">
        <v>285245406621422</v>
      </c>
      <c r="AF359" s="5">
        <v>290774991138709</v>
      </c>
      <c r="AG359" s="5">
        <v>268364867540878</v>
      </c>
      <c r="AH359" s="5">
        <v>281078184430426</v>
      </c>
      <c r="AI359" s="5">
        <v>285782721878821</v>
      </c>
      <c r="AJ359" s="5">
        <v>286160298778049</v>
      </c>
      <c r="AK359" s="5">
        <v>279736945918777</v>
      </c>
      <c r="AL359" s="5">
        <v>285623182565032</v>
      </c>
      <c r="AM359" s="5">
        <v>286687856814918</v>
      </c>
      <c r="AN359" s="5">
        <v>283925070529446</v>
      </c>
      <c r="AO359" s="5">
        <v>284495910045985</v>
      </c>
    </row>
    <row r="360" spans="1:41" x14ac:dyDescent="0.45">
      <c r="A360" s="1" t="s">
        <v>354</v>
      </c>
      <c r="B360" s="2">
        <v>103016</v>
      </c>
      <c r="C360" s="3" t="s">
        <v>1318</v>
      </c>
      <c r="D360" s="3" t="s">
        <v>1319</v>
      </c>
      <c r="E360" s="3" t="s">
        <v>940</v>
      </c>
      <c r="F360" s="5">
        <v>387801598216761</v>
      </c>
      <c r="G360" s="5">
        <v>415432015207341</v>
      </c>
      <c r="H360" s="5">
        <v>423763392149213</v>
      </c>
      <c r="I360" s="5">
        <v>43194184849913</v>
      </c>
      <c r="J360" s="5">
        <v>441869209254844</v>
      </c>
      <c r="K360" s="5">
        <v>417103964314919</v>
      </c>
      <c r="L360" s="5">
        <v>438310178104427</v>
      </c>
      <c r="M360" s="5">
        <v>476825433217191</v>
      </c>
      <c r="N360" s="5">
        <v>464540448107187</v>
      </c>
      <c r="O360" s="5">
        <v>485736412559812</v>
      </c>
      <c r="P360" s="5">
        <v>511878623193965</v>
      </c>
      <c r="Q360" s="5">
        <v>503068204697255</v>
      </c>
      <c r="R360" s="5">
        <v>506679576726251</v>
      </c>
      <c r="S360" s="5">
        <v>577651552363653</v>
      </c>
      <c r="T360" s="5">
        <v>530691737349133</v>
      </c>
      <c r="U360" s="5">
        <v>570990334296388</v>
      </c>
      <c r="V360" s="5">
        <v>543882448023681</v>
      </c>
      <c r="W360" s="5">
        <v>47855301949224</v>
      </c>
      <c r="X360" s="5">
        <v>471757016547704</v>
      </c>
      <c r="Y360" s="5">
        <v>443702394541296</v>
      </c>
      <c r="Z360" s="5">
        <v>426374180053906</v>
      </c>
      <c r="AA360" s="5">
        <v>471829846481801</v>
      </c>
      <c r="AB360" s="5">
        <v>461379922913544</v>
      </c>
      <c r="AC360" s="5">
        <v>458960908720561</v>
      </c>
      <c r="AD360" s="5">
        <v>48519087607227</v>
      </c>
      <c r="AE360" s="5">
        <v>417183680244251</v>
      </c>
      <c r="AF360" s="5">
        <v>397282492436604</v>
      </c>
      <c r="AG360" s="5">
        <v>437775852406003</v>
      </c>
      <c r="AH360" s="5">
        <v>448059685233212</v>
      </c>
      <c r="AI360" s="5">
        <v>449481017020171</v>
      </c>
      <c r="AJ360" s="5">
        <v>470054772485986</v>
      </c>
      <c r="AK360" s="5">
        <v>467344295584422</v>
      </c>
      <c r="AL360" s="5">
        <v>469629264289606</v>
      </c>
      <c r="AM360" s="5">
        <v>488868645146444</v>
      </c>
      <c r="AN360" s="5">
        <v>494952114233178</v>
      </c>
      <c r="AO360" s="5">
        <v>492149016945091</v>
      </c>
    </row>
    <row r="361" spans="1:41" x14ac:dyDescent="0.45">
      <c r="A361" s="1" t="s">
        <v>355</v>
      </c>
      <c r="B361" s="2">
        <v>4006246</v>
      </c>
      <c r="C361" s="3" t="s">
        <v>1320</v>
      </c>
      <c r="D361" s="3" t="s">
        <v>1321</v>
      </c>
      <c r="E361" s="3" t="s">
        <v>830</v>
      </c>
      <c r="F361" s="5">
        <v>194664151675619</v>
      </c>
      <c r="G361" s="5">
        <v>213801702698473</v>
      </c>
      <c r="H361" s="5">
        <v>202571828018733</v>
      </c>
      <c r="I361" s="5">
        <v>22218547720168</v>
      </c>
      <c r="J361" s="5">
        <v>222677732675835</v>
      </c>
      <c r="K361" s="5">
        <v>194761637254251</v>
      </c>
      <c r="L361" s="5">
        <v>179981982383858</v>
      </c>
      <c r="M361" s="5">
        <v>173156733473563</v>
      </c>
      <c r="N361" s="5">
        <v>181214252768181</v>
      </c>
      <c r="O361" s="5">
        <v>191729001867134</v>
      </c>
      <c r="P361" s="5">
        <v>200964638342684</v>
      </c>
      <c r="Q361" s="5">
        <v>224498824581766</v>
      </c>
      <c r="R361" s="5">
        <v>215718788825783</v>
      </c>
      <c r="S361" s="5">
        <v>26293362066104</v>
      </c>
      <c r="T361" s="5">
        <v>244657156074405</v>
      </c>
      <c r="U361" s="5">
        <v>267060598676889</v>
      </c>
      <c r="V361" s="5">
        <v>247004992596772</v>
      </c>
      <c r="W361" s="5">
        <v>25311291256944</v>
      </c>
      <c r="X361" s="5">
        <v>216139835763253</v>
      </c>
      <c r="Y361" s="5">
        <v>227549721684512</v>
      </c>
      <c r="Z361" s="5">
        <v>219176448091262</v>
      </c>
      <c r="AA361" s="5">
        <v>23561084951046</v>
      </c>
      <c r="AB361" s="5">
        <v>212668906572198</v>
      </c>
      <c r="AC361" s="5">
        <v>20777524658981</v>
      </c>
      <c r="AD361" s="5">
        <v>201329349070673</v>
      </c>
      <c r="AE361" s="5">
        <v>17478780465864</v>
      </c>
      <c r="AF361" s="5">
        <v>150168231282663</v>
      </c>
      <c r="AG361" s="5">
        <v>153529396186351</v>
      </c>
      <c r="AH361" s="5">
        <v>166030940537092</v>
      </c>
      <c r="AI361" s="5">
        <v>168041425202671</v>
      </c>
      <c r="AJ361" s="5">
        <v>15883493512207</v>
      </c>
      <c r="AK361" s="5">
        <v>138405417602033</v>
      </c>
      <c r="AL361" s="5">
        <v>135819925155553</v>
      </c>
      <c r="AM361" s="5">
        <v>120322499910095</v>
      </c>
      <c r="AN361" s="5">
        <v>116180401567692</v>
      </c>
      <c r="AO361" s="5">
        <v>119328834353601</v>
      </c>
    </row>
    <row r="362" spans="1:41" x14ac:dyDescent="0.45">
      <c r="A362" s="1" t="s">
        <v>356</v>
      </c>
      <c r="B362" s="2">
        <v>4062496</v>
      </c>
      <c r="C362" s="3" t="s">
        <v>1322</v>
      </c>
      <c r="D362" s="3" t="s">
        <v>1323</v>
      </c>
      <c r="E362" s="3" t="s">
        <v>518</v>
      </c>
      <c r="F362" s="5">
        <v>154864745023001</v>
      </c>
      <c r="G362" s="5">
        <v>155063263847284</v>
      </c>
      <c r="H362" s="5">
        <v>168108465631691</v>
      </c>
      <c r="I362" s="5">
        <v>152211135580513</v>
      </c>
      <c r="J362" s="5">
        <v>148098402580859</v>
      </c>
      <c r="K362" s="5">
        <v>138372051872037</v>
      </c>
      <c r="L362" s="5">
        <v>147162770325468</v>
      </c>
      <c r="M362" s="5">
        <v>139534451538109</v>
      </c>
      <c r="N362" s="5">
        <v>143633277818104</v>
      </c>
      <c r="O362" s="5">
        <v>157098236742433</v>
      </c>
      <c r="P362" s="5">
        <v>166976144048997</v>
      </c>
      <c r="Q362" s="5">
        <v>18391059669391</v>
      </c>
      <c r="R362" s="5">
        <v>164851910938</v>
      </c>
      <c r="S362" s="5">
        <v>166933009474</v>
      </c>
      <c r="T362" s="5">
        <v>16700104338</v>
      </c>
      <c r="U362" s="5">
        <v>16984804862</v>
      </c>
      <c r="V362" s="5">
        <v>17655644522</v>
      </c>
      <c r="W362" s="5">
        <v>1862583492</v>
      </c>
      <c r="X362" s="5">
        <v>207458478504</v>
      </c>
      <c r="Y362" s="5">
        <v>20998042758</v>
      </c>
      <c r="Z362" s="5">
        <v>17340506456</v>
      </c>
      <c r="AA362" s="5">
        <v>17523301692</v>
      </c>
      <c r="AB362" s="5">
        <v>163196169422</v>
      </c>
      <c r="AC362" s="5">
        <v>153033703706</v>
      </c>
      <c r="AD362" s="5">
        <v>145632444993</v>
      </c>
      <c r="AE362" s="5">
        <v>131696776785</v>
      </c>
      <c r="AF362" s="5">
        <v>11512548306</v>
      </c>
      <c r="AG362" s="5">
        <v>117101308608</v>
      </c>
      <c r="AH362" s="5">
        <v>11784587256</v>
      </c>
      <c r="AI362" s="5">
        <v>133603198612</v>
      </c>
      <c r="AJ362" s="5">
        <v>12147127296</v>
      </c>
      <c r="AK362" s="5">
        <v>118543639742</v>
      </c>
      <c r="AL362" s="5">
        <v>1180032152</v>
      </c>
      <c r="AM362" s="5">
        <v>13092846468</v>
      </c>
      <c r="AN362" s="5">
        <v>1297472649</v>
      </c>
      <c r="AO362" s="5">
        <v>137019649653488</v>
      </c>
    </row>
    <row r="363" spans="1:41" x14ac:dyDescent="0.45">
      <c r="A363" s="1" t="s">
        <v>357</v>
      </c>
      <c r="B363" s="2">
        <v>4097102</v>
      </c>
      <c r="C363" s="3" t="s">
        <v>1324</v>
      </c>
      <c r="D363" s="3" t="s">
        <v>1325</v>
      </c>
      <c r="E363" s="3" t="s">
        <v>785</v>
      </c>
      <c r="F363" s="5">
        <v>536024645242913</v>
      </c>
      <c r="G363" s="5">
        <v>597824248362782</v>
      </c>
      <c r="H363" s="5">
        <v>580650866906448</v>
      </c>
      <c r="I363" s="5">
        <v>526304138620165</v>
      </c>
      <c r="J363" s="5">
        <v>481465028862978</v>
      </c>
      <c r="K363" s="5">
        <v>529028980498618</v>
      </c>
      <c r="L363" s="5">
        <v>477103710973708</v>
      </c>
      <c r="M363" s="5">
        <v>447409146305055</v>
      </c>
      <c r="N363" s="5">
        <v>382486016935235</v>
      </c>
      <c r="O363" s="5">
        <v>348514043492429</v>
      </c>
      <c r="P363" s="5">
        <v>369799852810702</v>
      </c>
      <c r="Q363" s="5">
        <v>436858849141817</v>
      </c>
      <c r="R363" s="5">
        <v>450617894188985</v>
      </c>
      <c r="S363" s="5">
        <v>482005080511693</v>
      </c>
      <c r="T363" s="5">
        <v>410066826532619</v>
      </c>
      <c r="U363" s="5">
        <v>393843865776949</v>
      </c>
      <c r="V363" s="5">
        <v>366475507392377</v>
      </c>
      <c r="W363" s="5">
        <v>358960770056196</v>
      </c>
      <c r="X363" s="5">
        <v>347148798341356</v>
      </c>
      <c r="Y363" s="5">
        <v>372477041544567</v>
      </c>
      <c r="Z363" s="5">
        <v>353964795709235</v>
      </c>
      <c r="AA363" s="5">
        <v>350559576346118</v>
      </c>
      <c r="AB363" s="5">
        <v>325633675377474</v>
      </c>
      <c r="AC363" s="5">
        <v>259850575780776</v>
      </c>
      <c r="AD363" s="5">
        <v>283645879883314</v>
      </c>
      <c r="AE363" s="5">
        <v>250850981723567</v>
      </c>
      <c r="AF363" s="5">
        <v>22967440282443</v>
      </c>
      <c r="AG363" s="5">
        <v>256630093048706</v>
      </c>
      <c r="AH363" s="5">
        <v>280960219903565</v>
      </c>
      <c r="AI363" s="5">
        <v>265598676916932</v>
      </c>
      <c r="AJ363" s="5">
        <v>261240814257848</v>
      </c>
      <c r="AK363" s="5">
        <v>241896335854991</v>
      </c>
      <c r="AL363" s="5">
        <v>223126847486578</v>
      </c>
      <c r="AM363" s="5">
        <v>22086145725988</v>
      </c>
      <c r="AN363" s="5">
        <v>218936665642536</v>
      </c>
      <c r="AO363" s="5">
        <v>200235004659609</v>
      </c>
    </row>
    <row r="364" spans="1:41" x14ac:dyDescent="0.45">
      <c r="A364" s="1" t="s">
        <v>358</v>
      </c>
      <c r="B364" s="2">
        <v>4070417</v>
      </c>
      <c r="C364" s="3" t="s">
        <v>1326</v>
      </c>
      <c r="D364" s="3" t="s">
        <v>1327</v>
      </c>
      <c r="E364" s="3" t="s">
        <v>827</v>
      </c>
      <c r="F364" s="5">
        <v>164411206242134</v>
      </c>
      <c r="G364" s="5">
        <v>181490614292212</v>
      </c>
      <c r="H364" s="5">
        <v>169698721459113</v>
      </c>
      <c r="I364" s="5">
        <v>181636306941003</v>
      </c>
      <c r="J364" s="5">
        <v>173643952378879</v>
      </c>
      <c r="K364" s="5">
        <v>163653406857775</v>
      </c>
      <c r="L364" s="5">
        <v>17075197479809</v>
      </c>
      <c r="M364" s="5">
        <v>170539417510338</v>
      </c>
      <c r="N364" s="5">
        <v>17536046904807</v>
      </c>
      <c r="O364" s="5">
        <v>17372933077045</v>
      </c>
      <c r="P364" s="5">
        <v>184416907238391</v>
      </c>
      <c r="Q364" s="5">
        <v>175144878959003</v>
      </c>
      <c r="R364" s="5">
        <v>16264081328047</v>
      </c>
      <c r="S364" s="5">
        <v>172076173586358</v>
      </c>
      <c r="T364" s="5">
        <v>159161495747658</v>
      </c>
      <c r="U364" s="5">
        <v>154950380995572</v>
      </c>
      <c r="V364" s="5">
        <v>15797757120557</v>
      </c>
      <c r="W364" s="5">
        <v>146365653573216</v>
      </c>
      <c r="X364" s="5">
        <v>141919601320237</v>
      </c>
      <c r="Y364" s="5">
        <v>145430576085152</v>
      </c>
      <c r="Z364" s="5">
        <v>143559126318633</v>
      </c>
      <c r="AA364" s="5">
        <v>136428181866047</v>
      </c>
      <c r="AB364" s="5">
        <v>127906489094445</v>
      </c>
      <c r="AC364" s="5">
        <v>133093725768632</v>
      </c>
      <c r="AD364" s="5">
        <v>140251455734399</v>
      </c>
      <c r="AE364" s="5">
        <v>141472669578664</v>
      </c>
      <c r="AF364" s="5">
        <v>138452061783311</v>
      </c>
      <c r="AG364" s="5">
        <v>129219889529467</v>
      </c>
      <c r="AH364" s="5">
        <v>13607707983757</v>
      </c>
      <c r="AI364" s="5">
        <v>137700619705004</v>
      </c>
      <c r="AJ364" s="5">
        <v>144215156609731</v>
      </c>
      <c r="AK364" s="5">
        <v>139412801491575</v>
      </c>
      <c r="AL364" s="5">
        <v>1408803975149</v>
      </c>
      <c r="AM364" s="5">
        <v>144962801786706</v>
      </c>
      <c r="AN364" s="5">
        <v>145092969547654</v>
      </c>
      <c r="AO364" s="5">
        <v>155690470832118</v>
      </c>
    </row>
    <row r="365" spans="1:41" x14ac:dyDescent="0.45">
      <c r="A365" s="1" t="s">
        <v>359</v>
      </c>
      <c r="B365" s="2">
        <v>4157135</v>
      </c>
      <c r="C365" s="3" t="s">
        <v>1328</v>
      </c>
      <c r="D365" s="3" t="s">
        <v>1329</v>
      </c>
      <c r="E365" s="3" t="s">
        <v>1151</v>
      </c>
      <c r="F365" s="5">
        <v>182631249573011</v>
      </c>
      <c r="G365" s="5">
        <v>192100746156679</v>
      </c>
      <c r="H365" s="5">
        <v>16787872711232</v>
      </c>
      <c r="I365" s="5">
        <v>16188306529619</v>
      </c>
      <c r="J365" s="5">
        <v>153765062967369</v>
      </c>
      <c r="K365" s="5">
        <v>158196814837448</v>
      </c>
      <c r="L365" s="5">
        <v>141467869157152</v>
      </c>
      <c r="M365" s="5">
        <v>147161530006626</v>
      </c>
      <c r="N365" s="5">
        <v>122460483487699</v>
      </c>
      <c r="O365" s="5">
        <v>126140221242313</v>
      </c>
      <c r="P365" s="5">
        <v>160953007090766</v>
      </c>
      <c r="Q365" s="5">
        <v>149182807455713</v>
      </c>
      <c r="R365" s="5">
        <v>138543629826682</v>
      </c>
      <c r="S365" s="5">
        <v>136194659365565</v>
      </c>
      <c r="T365" s="5">
        <v>112911478616243</v>
      </c>
      <c r="U365" s="5">
        <v>107665406550503</v>
      </c>
      <c r="V365" s="5">
        <v>959045581394475</v>
      </c>
      <c r="W365" s="5">
        <v>101654790987935</v>
      </c>
      <c r="X365" s="5">
        <v>102368017265154</v>
      </c>
      <c r="Y365" s="5">
        <v>107717523076244</v>
      </c>
      <c r="Z365" s="5">
        <v>978291957048717</v>
      </c>
      <c r="AA365" s="5">
        <v>111120648448836</v>
      </c>
      <c r="AB365" s="5">
        <v>109948499225932</v>
      </c>
      <c r="AC365" s="5">
        <v>855875388655876</v>
      </c>
      <c r="AD365" s="5">
        <v>843188567649694</v>
      </c>
      <c r="AE365" s="5">
        <v>766732687133628</v>
      </c>
      <c r="AF365" s="5">
        <v>695180219719442</v>
      </c>
      <c r="AG365" s="5">
        <v>715884839058386</v>
      </c>
      <c r="AH365" s="5">
        <v>701858664929922</v>
      </c>
      <c r="AI365" s="5">
        <v>777784286172764</v>
      </c>
      <c r="AJ365" s="5">
        <v>7371485163576</v>
      </c>
      <c r="AK365" s="5">
        <v>652416613413531</v>
      </c>
      <c r="AL365" s="5">
        <v>686259522260813</v>
      </c>
      <c r="AM365" s="5">
        <v>70850677122225</v>
      </c>
      <c r="AN365" s="5">
        <v>73458123960375</v>
      </c>
      <c r="AO365" s="5">
        <v>752275705462924</v>
      </c>
    </row>
    <row r="366" spans="1:41" x14ac:dyDescent="0.45">
      <c r="A366" s="1" t="s">
        <v>360</v>
      </c>
      <c r="B366" s="2">
        <v>102771</v>
      </c>
      <c r="C366" s="3" t="s">
        <v>1330</v>
      </c>
      <c r="D366" s="3" t="s">
        <v>1331</v>
      </c>
      <c r="E366" s="3" t="s">
        <v>1064</v>
      </c>
      <c r="F366" s="5">
        <v>268999794391303</v>
      </c>
      <c r="G366" s="5">
        <v>265509998356976</v>
      </c>
      <c r="H366" s="5">
        <v>272574477324427</v>
      </c>
      <c r="I366" s="5">
        <v>293307745697525</v>
      </c>
      <c r="J366" s="5">
        <v>288816175018019</v>
      </c>
      <c r="K366" s="5">
        <v>292210092</v>
      </c>
      <c r="L366" s="5">
        <v>263480441093406</v>
      </c>
      <c r="M366" s="5">
        <v>26133966202405</v>
      </c>
      <c r="N366" s="5">
        <v>247504797517199</v>
      </c>
      <c r="O366" s="5">
        <v>263349416717841</v>
      </c>
      <c r="P366" s="5">
        <v>304605603388835</v>
      </c>
      <c r="Q366" s="5">
        <v>331969146087328</v>
      </c>
      <c r="R366" s="5">
        <v>306135092786625</v>
      </c>
      <c r="S366" s="5">
        <v>327376847845322</v>
      </c>
      <c r="T366" s="5">
        <v>27752609046</v>
      </c>
      <c r="U366" s="5">
        <v>226121028617078</v>
      </c>
      <c r="V366" s="5">
        <v>222631525029153</v>
      </c>
      <c r="W366" s="5">
        <v>220370304</v>
      </c>
      <c r="X366" s="5">
        <v>239125284902716</v>
      </c>
      <c r="Y366" s="5">
        <v>234611961791112</v>
      </c>
      <c r="Z366" s="5">
        <v>238488802027616</v>
      </c>
      <c r="AA366" s="5">
        <v>248515513865909</v>
      </c>
      <c r="AB366" s="5">
        <v>232664523479956</v>
      </c>
      <c r="AC366" s="5">
        <v>213165598185081</v>
      </c>
      <c r="AD366" s="5">
        <v>210430086377039</v>
      </c>
      <c r="AE366" s="5">
        <v>201122021499446</v>
      </c>
      <c r="AF366" s="5">
        <v>188654835917003</v>
      </c>
      <c r="AG366" s="5">
        <v>198161937832653</v>
      </c>
      <c r="AH366" s="5">
        <v>201390034977451</v>
      </c>
      <c r="AI366" s="5">
        <v>20824462503</v>
      </c>
      <c r="AJ366" s="5">
        <v>201428150082041</v>
      </c>
      <c r="AK366" s="5">
        <v>179648149076811</v>
      </c>
      <c r="AL366" s="5">
        <v>176651209133057</v>
      </c>
      <c r="AM366" s="5">
        <v>184870046475789</v>
      </c>
      <c r="AN366" s="5">
        <v>220023194832289</v>
      </c>
      <c r="AO366" s="5">
        <v>224413692782237</v>
      </c>
    </row>
    <row r="367" spans="1:41" x14ac:dyDescent="0.45">
      <c r="A367" s="1" t="s">
        <v>361</v>
      </c>
      <c r="B367" s="2">
        <v>103118</v>
      </c>
      <c r="C367" s="3" t="s">
        <v>1332</v>
      </c>
      <c r="D367" s="3" t="s">
        <v>1333</v>
      </c>
      <c r="E367" s="3" t="s">
        <v>954</v>
      </c>
      <c r="F367" s="5">
        <v>441649784266467</v>
      </c>
      <c r="G367" s="5">
        <v>45703553015311</v>
      </c>
      <c r="H367" s="5">
        <v>459609418233334</v>
      </c>
      <c r="I367" s="5">
        <v>473714025085866</v>
      </c>
      <c r="J367" s="5">
        <v>459291824870954</v>
      </c>
      <c r="K367" s="5">
        <v>443130908450312</v>
      </c>
      <c r="L367" s="5">
        <v>443005100382895</v>
      </c>
      <c r="M367" s="5">
        <v>450629723098221</v>
      </c>
      <c r="N367" s="5">
        <v>454782687839268</v>
      </c>
      <c r="O367" s="5">
        <v>478620105508535</v>
      </c>
      <c r="P367" s="5">
        <v>488653674786848</v>
      </c>
      <c r="Q367" s="5">
        <v>460090957178412</v>
      </c>
      <c r="R367" s="5">
        <v>451510169241449</v>
      </c>
      <c r="S367" s="5">
        <v>480212041713691</v>
      </c>
      <c r="T367" s="5">
        <v>476188405058902</v>
      </c>
      <c r="U367" s="5">
        <v>495195978888462</v>
      </c>
      <c r="V367" s="5">
        <v>489023957268368</v>
      </c>
      <c r="W367" s="5">
        <v>462079240941595</v>
      </c>
      <c r="X367" s="5">
        <v>42926485518695</v>
      </c>
      <c r="Y367" s="5">
        <v>426040551605329</v>
      </c>
      <c r="Z367" s="5">
        <v>431182930636662</v>
      </c>
      <c r="AA367" s="5">
        <v>431300550458755</v>
      </c>
      <c r="AB367" s="5">
        <v>415121593698725</v>
      </c>
      <c r="AC367" s="5">
        <v>362924999758678</v>
      </c>
      <c r="AD367" s="5">
        <v>376076344992821</v>
      </c>
      <c r="AE367" s="5">
        <v>358167911923471</v>
      </c>
      <c r="AF367" s="5">
        <v>317856989808466</v>
      </c>
      <c r="AG367" s="5">
        <v>334429449626652</v>
      </c>
      <c r="AH367" s="5">
        <v>366222597964838</v>
      </c>
      <c r="AI367" s="5">
        <v>372454809256874</v>
      </c>
      <c r="AJ367" s="5">
        <v>368708070269912</v>
      </c>
      <c r="AK367" s="5">
        <v>37547336386867</v>
      </c>
      <c r="AL367" s="5">
        <v>376106240360546</v>
      </c>
      <c r="AM367" s="5">
        <v>38496012680648</v>
      </c>
      <c r="AN367" s="5">
        <v>397903738462554</v>
      </c>
      <c r="AO367" s="5">
        <v>391664365727737</v>
      </c>
    </row>
    <row r="368" spans="1:41" x14ac:dyDescent="0.45">
      <c r="A368" s="1" t="s">
        <v>362</v>
      </c>
      <c r="B368" s="2">
        <v>103091</v>
      </c>
      <c r="C368" s="3" t="s">
        <v>1334</v>
      </c>
      <c r="D368" s="3" t="s">
        <v>1335</v>
      </c>
      <c r="E368" s="3" t="s">
        <v>954</v>
      </c>
      <c r="F368" s="5">
        <v>107244395793777</v>
      </c>
      <c r="G368" s="5">
        <v>111942441146807</v>
      </c>
      <c r="H368" s="5">
        <v>108238555682093</v>
      </c>
      <c r="I368" s="5">
        <v>112498993578452</v>
      </c>
      <c r="J368" s="5">
        <v>112223018047362</v>
      </c>
      <c r="K368" s="5">
        <v>113009403704778</v>
      </c>
      <c r="L368" s="5">
        <v>109812850768826</v>
      </c>
      <c r="M368" s="5">
        <v>115123948090583</v>
      </c>
      <c r="N368" s="5">
        <v>115180866236133</v>
      </c>
      <c r="O368" s="5">
        <v>123551194526127</v>
      </c>
      <c r="P368" s="5">
        <v>133342582717908</v>
      </c>
      <c r="Q368" s="5">
        <v>125124313526532</v>
      </c>
      <c r="R368" s="5">
        <v>1292730637891</v>
      </c>
      <c r="S368" s="5">
        <v>129698878031488</v>
      </c>
      <c r="T368" s="5">
        <v>119110029231662</v>
      </c>
      <c r="U368" s="5">
        <v>117236705183517</v>
      </c>
      <c r="V368" s="5">
        <v>118970255219242</v>
      </c>
      <c r="W368" s="5">
        <v>114691868774683</v>
      </c>
      <c r="X368" s="5">
        <v>107003798873665</v>
      </c>
      <c r="Y368" s="5">
        <v>104359968424499</v>
      </c>
      <c r="Z368" s="5">
        <v>102084615800264</v>
      </c>
      <c r="AA368" s="5">
        <v>103345231005739</v>
      </c>
      <c r="AB368" s="5">
        <v>105525038991672</v>
      </c>
      <c r="AC368" s="5">
        <v>106363042338685</v>
      </c>
      <c r="AD368" s="5">
        <v>111614562670628</v>
      </c>
      <c r="AE368" s="5">
        <v>105994847173669</v>
      </c>
      <c r="AF368" s="5">
        <v>972811931411712</v>
      </c>
      <c r="AG368" s="5">
        <v>957850716076441</v>
      </c>
      <c r="AH368" s="5">
        <v>97813871475712</v>
      </c>
      <c r="AI368" s="5">
        <v>101391033684547</v>
      </c>
      <c r="AJ368" s="5">
        <v>964791891081324</v>
      </c>
      <c r="AK368" s="5">
        <v>900283314368919</v>
      </c>
      <c r="AL368" s="5">
        <v>950938896920024</v>
      </c>
      <c r="AM368" s="5">
        <v>962015454555137</v>
      </c>
      <c r="AN368" s="5">
        <v>101227263525216</v>
      </c>
      <c r="AO368" s="5">
        <v>104977356216955</v>
      </c>
    </row>
    <row r="369" spans="1:41" x14ac:dyDescent="0.45">
      <c r="A369" s="1" t="s">
        <v>363</v>
      </c>
      <c r="B369" s="2">
        <v>4094029</v>
      </c>
      <c r="C369" s="3" t="s">
        <v>1336</v>
      </c>
      <c r="D369" s="3" t="s">
        <v>1337</v>
      </c>
      <c r="E369" s="3" t="s">
        <v>509</v>
      </c>
      <c r="F369" s="5">
        <v>674490598981001</v>
      </c>
      <c r="G369" s="5">
        <v>690325981855812</v>
      </c>
      <c r="H369" s="5">
        <v>579800446607184</v>
      </c>
      <c r="I369" s="5">
        <v>495935335445697</v>
      </c>
      <c r="J369" s="5">
        <v>513753502060801</v>
      </c>
      <c r="K369" s="5">
        <v>502902869764226</v>
      </c>
      <c r="L369" s="5">
        <v>471470321151375</v>
      </c>
      <c r="M369" s="5">
        <v>455699289158907</v>
      </c>
      <c r="N369" s="5">
        <v>556591063950508</v>
      </c>
      <c r="O369" s="5">
        <v>626836119936085</v>
      </c>
      <c r="P369" s="5">
        <v>717390781147835</v>
      </c>
      <c r="Q369" s="5">
        <v>696614302348868</v>
      </c>
      <c r="R369" s="5">
        <v>740258521711825</v>
      </c>
      <c r="S369" s="5">
        <v>76502452249996</v>
      </c>
      <c r="T369" s="5">
        <v>830572028383482</v>
      </c>
      <c r="U369" s="5">
        <v>10173280351886</v>
      </c>
      <c r="V369" s="5">
        <v>115606324169269</v>
      </c>
      <c r="W369" s="5">
        <v>107580355327895</v>
      </c>
      <c r="X369" s="5">
        <v>105827727173543</v>
      </c>
      <c r="Y369" s="5">
        <v>975075148655446</v>
      </c>
      <c r="Z369" s="5">
        <v>898627153257717</v>
      </c>
      <c r="AA369" s="5">
        <v>957564200601868</v>
      </c>
      <c r="AB369" s="5">
        <v>960419051599527</v>
      </c>
      <c r="AC369" s="5">
        <v>924113098857568</v>
      </c>
      <c r="AD369" s="5">
        <v>845021397347376</v>
      </c>
      <c r="AE369" s="5">
        <v>803293420803608</v>
      </c>
      <c r="AF369" s="5">
        <v>782151108459354</v>
      </c>
      <c r="AG369" s="5">
        <v>823863583468765</v>
      </c>
      <c r="AH369" s="5">
        <v>80743062814314</v>
      </c>
      <c r="AI369" s="5">
        <v>7210760133786</v>
      </c>
      <c r="AJ369" s="5">
        <v>704981097487906</v>
      </c>
      <c r="AK369" s="5">
        <v>739249210949708</v>
      </c>
      <c r="AL369" s="5">
        <v>778158050755774</v>
      </c>
      <c r="AM369" s="5">
        <v>807127917153162</v>
      </c>
      <c r="AN369" s="5">
        <v>764491677589205</v>
      </c>
      <c r="AO369" s="5">
        <v>745822827928416</v>
      </c>
    </row>
    <row r="370" spans="1:41" x14ac:dyDescent="0.45">
      <c r="A370" s="1" t="s">
        <v>364</v>
      </c>
      <c r="B370" s="2">
        <v>100233</v>
      </c>
      <c r="C370" s="3" t="s">
        <v>1338</v>
      </c>
      <c r="D370" s="3" t="s">
        <v>1339</v>
      </c>
      <c r="E370" s="3" t="s">
        <v>653</v>
      </c>
      <c r="F370" s="5">
        <v>202392477855307</v>
      </c>
      <c r="G370" s="5">
        <v>192457554843277</v>
      </c>
      <c r="H370" s="5">
        <v>187218784986156</v>
      </c>
      <c r="I370" s="5">
        <v>200547649947115</v>
      </c>
      <c r="J370" s="5">
        <v>208940345401497</v>
      </c>
      <c r="K370" s="5">
        <v>199054472800768</v>
      </c>
      <c r="L370" s="5">
        <v>180031258946011</v>
      </c>
      <c r="M370" s="5">
        <v>169853499828011</v>
      </c>
      <c r="N370" s="5">
        <v>16172447226</v>
      </c>
      <c r="O370" s="5">
        <v>182040094445663</v>
      </c>
      <c r="P370" s="5">
        <v>206334491945904</v>
      </c>
      <c r="Q370" s="5">
        <v>215456552894722</v>
      </c>
      <c r="R370" s="5">
        <v>206475379296295</v>
      </c>
      <c r="S370" s="5">
        <v>234823385444904</v>
      </c>
      <c r="T370" s="5">
        <v>2002766997</v>
      </c>
      <c r="U370" s="5">
        <v>191422875277933</v>
      </c>
      <c r="V370" s="5">
        <v>193768742995193</v>
      </c>
      <c r="W370" s="5">
        <v>189300362370781</v>
      </c>
      <c r="X370" s="5">
        <v>171290182871939</v>
      </c>
      <c r="Y370" s="5">
        <v>163407686505659</v>
      </c>
      <c r="Z370" s="5">
        <v>165591283436786</v>
      </c>
      <c r="AA370" s="5">
        <v>178983984218319</v>
      </c>
      <c r="AB370" s="5">
        <v>158362662668934</v>
      </c>
      <c r="AC370" s="5">
        <v>160046867321304</v>
      </c>
      <c r="AD370" s="5">
        <v>163069085435387</v>
      </c>
      <c r="AE370" s="5">
        <v>142243127147587</v>
      </c>
      <c r="AF370" s="5">
        <v>129051720421238</v>
      </c>
      <c r="AG370" s="5">
        <v>152491591676259</v>
      </c>
      <c r="AH370" s="5">
        <v>158674748415924</v>
      </c>
      <c r="AI370" s="5">
        <v>173435019691108</v>
      </c>
      <c r="AJ370" s="5">
        <v>153161694816293</v>
      </c>
      <c r="AK370" s="5">
        <v>152048116237008</v>
      </c>
      <c r="AL370" s="5">
        <v>154626836371362</v>
      </c>
      <c r="AM370" s="5">
        <v>159647656817526</v>
      </c>
      <c r="AN370" s="5">
        <v>205299274998946</v>
      </c>
      <c r="AO370" s="5">
        <v>202524993947165</v>
      </c>
    </row>
    <row r="371" spans="1:41" x14ac:dyDescent="0.45">
      <c r="A371" s="1" t="s">
        <v>365</v>
      </c>
      <c r="B371" s="2">
        <v>4102003</v>
      </c>
      <c r="C371" s="3" t="s">
        <v>1340</v>
      </c>
      <c r="D371" s="3" t="s">
        <v>1341</v>
      </c>
      <c r="E371" s="3" t="s">
        <v>1342</v>
      </c>
      <c r="F371" s="5">
        <v>558764713886708</v>
      </c>
      <c r="G371" s="5">
        <v>579479976266059</v>
      </c>
      <c r="H371" s="5">
        <v>558898751829439</v>
      </c>
      <c r="I371" s="5">
        <v>610649821762193</v>
      </c>
      <c r="J371" s="5">
        <v>624497058580765</v>
      </c>
      <c r="K371" s="5">
        <v>629533964595186</v>
      </c>
      <c r="L371" s="5">
        <v>656207524521044</v>
      </c>
      <c r="M371" s="5">
        <v>708585967612148</v>
      </c>
      <c r="N371" s="5">
        <v>690652929649937</v>
      </c>
      <c r="O371" s="5">
        <v>699663294869377</v>
      </c>
      <c r="P371" s="5">
        <v>711384879351737</v>
      </c>
      <c r="Q371" s="5">
        <v>65339382428668</v>
      </c>
      <c r="R371" s="5">
        <v>608516419304397</v>
      </c>
      <c r="S371" s="5">
        <v>647926542447635</v>
      </c>
      <c r="T371" s="5">
        <v>57105791016516</v>
      </c>
      <c r="U371" s="5">
        <v>565552638707843</v>
      </c>
      <c r="V371" s="5">
        <v>591210500805917</v>
      </c>
      <c r="W371" s="5">
        <v>563914885655722</v>
      </c>
      <c r="X371" s="5">
        <v>571216690107866</v>
      </c>
      <c r="Y371" s="5">
        <v>537790316340058</v>
      </c>
      <c r="Z371" s="5">
        <v>564680229532171</v>
      </c>
      <c r="AA371" s="5">
        <v>55760053789873</v>
      </c>
      <c r="AB371" s="5">
        <v>534360908818004</v>
      </c>
      <c r="AC371" s="5">
        <v>496248795391599</v>
      </c>
      <c r="AD371" s="5">
        <v>469419026555927</v>
      </c>
      <c r="AE371" s="5">
        <v>466892555217773</v>
      </c>
      <c r="AF371" s="5">
        <v>442208343037899</v>
      </c>
      <c r="AG371" s="5">
        <v>425912196966749</v>
      </c>
      <c r="AH371" s="5">
        <v>420358816143878</v>
      </c>
      <c r="AI371" s="5">
        <v>433677509672081</v>
      </c>
      <c r="AJ371" s="5">
        <v>443755864871416</v>
      </c>
      <c r="AK371" s="5">
        <v>420312098709096</v>
      </c>
      <c r="AL371" s="5">
        <v>414456931693028</v>
      </c>
      <c r="AM371" s="5">
        <v>393585646970646</v>
      </c>
      <c r="AN371" s="5">
        <v>38383567307846</v>
      </c>
      <c r="AO371" s="5">
        <v>363153881507805</v>
      </c>
    </row>
    <row r="372" spans="1:41" x14ac:dyDescent="0.45">
      <c r="A372" s="1" t="s">
        <v>366</v>
      </c>
      <c r="B372" s="2">
        <v>4811222</v>
      </c>
      <c r="C372" s="3" t="s">
        <v>1343</v>
      </c>
      <c r="D372" s="3" t="s">
        <v>1344</v>
      </c>
      <c r="E372" s="3" t="s">
        <v>506</v>
      </c>
      <c r="F372" s="5">
        <v>299010729817176</v>
      </c>
      <c r="G372" s="5">
        <v>322042211516429</v>
      </c>
      <c r="H372" s="5">
        <v>312433495605782</v>
      </c>
      <c r="I372" s="5">
        <v>34041898205757</v>
      </c>
      <c r="J372" s="5">
        <v>343604292893306</v>
      </c>
      <c r="K372" s="5">
        <v>34800194243149</v>
      </c>
      <c r="L372" s="5">
        <v>32154495004671</v>
      </c>
      <c r="M372" s="5">
        <v>316151902943474</v>
      </c>
      <c r="N372" s="5">
        <v>30576273976742</v>
      </c>
      <c r="O372" s="5">
        <v>303575420077024</v>
      </c>
      <c r="P372" s="5">
        <v>329622590950701</v>
      </c>
      <c r="Q372" s="5">
        <v>333723889423935</v>
      </c>
      <c r="R372" s="5">
        <v>324369326323052</v>
      </c>
      <c r="S372" s="5">
        <v>346355773717375</v>
      </c>
      <c r="T372" s="5">
        <v>32781672934543</v>
      </c>
      <c r="U372" s="5">
        <v>32160207167025</v>
      </c>
      <c r="V372" s="5">
        <v>325487823796113</v>
      </c>
      <c r="W372" s="5">
        <v>2894585512203</v>
      </c>
      <c r="X372" s="5">
        <v>26241174882484</v>
      </c>
      <c r="Y372" s="5">
        <v>279501087631279</v>
      </c>
      <c r="Z372" s="5">
        <v>293995768008897</v>
      </c>
      <c r="AA372" s="5">
        <v>269285849897192</v>
      </c>
      <c r="AB372" s="5">
        <v>236428008184087</v>
      </c>
      <c r="AC372" s="5">
        <v>257857616988379</v>
      </c>
      <c r="AD372" s="5">
        <v>228898469641713</v>
      </c>
      <c r="AE372" s="5">
        <v>212733445964937</v>
      </c>
      <c r="AF372" s="5">
        <v>196610004353343</v>
      </c>
      <c r="AG372" s="5">
        <v>205478826419976</v>
      </c>
      <c r="AH372" s="5">
        <v>216403775859399</v>
      </c>
      <c r="AI372" s="5">
        <v>29672679629673</v>
      </c>
      <c r="AJ372" s="5">
        <v>2943378498922</v>
      </c>
      <c r="AK372" s="5">
        <v>290605714186196</v>
      </c>
      <c r="AL372" s="5">
        <v>32079937562425</v>
      </c>
      <c r="AM372" s="5">
        <v>296124183560267</v>
      </c>
      <c r="AN372" s="5">
        <v>29476786281444</v>
      </c>
      <c r="AO372" s="5">
        <v>30889211226918</v>
      </c>
    </row>
    <row r="373" spans="1:41" x14ac:dyDescent="0.45">
      <c r="A373" s="1" t="s">
        <v>367</v>
      </c>
      <c r="B373" s="2">
        <v>4812263</v>
      </c>
      <c r="C373" s="3" t="s">
        <v>1345</v>
      </c>
      <c r="D373" s="3" t="s">
        <v>1346</v>
      </c>
      <c r="E373" s="3" t="s">
        <v>524</v>
      </c>
      <c r="F373" s="5">
        <v>934237508725148</v>
      </c>
      <c r="G373" s="5">
        <v>102087019028173</v>
      </c>
      <c r="H373" s="5">
        <v>94184228048274</v>
      </c>
      <c r="I373" s="5">
        <v>86710970432151</v>
      </c>
      <c r="J373" s="5">
        <v>894165572713062</v>
      </c>
      <c r="K373" s="5">
        <v>90573616302588</v>
      </c>
      <c r="L373" s="5">
        <v>97074010181928</v>
      </c>
      <c r="M373" s="5">
        <v>939269680539036</v>
      </c>
      <c r="N373" s="5">
        <v>989403312456577</v>
      </c>
      <c r="O373" s="5">
        <v>117607564609618</v>
      </c>
      <c r="P373" s="5">
        <v>129546708644414</v>
      </c>
      <c r="Q373" s="5">
        <v>147685154991486</v>
      </c>
      <c r="R373" s="5">
        <v>131199900880924</v>
      </c>
      <c r="S373" s="5">
        <v>133966668926203</v>
      </c>
      <c r="T373" s="5">
        <v>134710066857841</v>
      </c>
      <c r="U373" s="5">
        <v>141270667031802</v>
      </c>
      <c r="V373" s="5">
        <v>136642782673011</v>
      </c>
      <c r="W373" s="5">
        <v>143214396859472</v>
      </c>
      <c r="X373" s="5">
        <v>120759584675415</v>
      </c>
      <c r="Y373" s="5">
        <v>124316767691402</v>
      </c>
      <c r="Z373" s="5">
        <v>1183737667904</v>
      </c>
      <c r="AA373" s="5">
        <v>12007724324589</v>
      </c>
      <c r="AB373" s="5">
        <v>125236643654441</v>
      </c>
      <c r="AC373" s="5">
        <v>121911352259301</v>
      </c>
      <c r="AD373" s="5">
        <v>12204086944213</v>
      </c>
      <c r="AE373" s="5">
        <v>100592254564441</v>
      </c>
      <c r="AF373" s="5">
        <v>9734340645669</v>
      </c>
      <c r="AG373" s="5">
        <v>129831751021536</v>
      </c>
      <c r="AH373" s="5">
        <v>133943466677016</v>
      </c>
      <c r="AI373" s="5">
        <v>139948040631597</v>
      </c>
      <c r="AJ373" s="5">
        <v>136494411508633</v>
      </c>
      <c r="AK373" s="5">
        <v>135733130138055</v>
      </c>
      <c r="AL373" s="5">
        <v>149465724799132</v>
      </c>
      <c r="AM373" s="5">
        <v>155047464958604</v>
      </c>
      <c r="AN373" s="5">
        <v>148225340534448</v>
      </c>
      <c r="AO373" s="5">
        <v>159946107593263</v>
      </c>
    </row>
    <row r="374" spans="1:41" x14ac:dyDescent="0.45">
      <c r="A374" s="1" t="s">
        <v>368</v>
      </c>
      <c r="B374" s="2">
        <v>4580570</v>
      </c>
      <c r="C374" s="3" t="s">
        <v>1347</v>
      </c>
      <c r="D374" s="3" t="s">
        <v>1348</v>
      </c>
      <c r="E374" s="3" t="s">
        <v>1064</v>
      </c>
      <c r="F374" s="5">
        <v>866164089651576</v>
      </c>
      <c r="G374" s="5">
        <v>996389171555833</v>
      </c>
      <c r="H374" s="5">
        <v>113091246040518</v>
      </c>
      <c r="I374" s="5">
        <v>108447077992955</v>
      </c>
      <c r="J374" s="5">
        <v>79034538898703</v>
      </c>
      <c r="K374" s="5">
        <v>800574599172768</v>
      </c>
      <c r="L374" s="5">
        <v>703520648876895</v>
      </c>
      <c r="M374" s="5">
        <v>514461710760332</v>
      </c>
      <c r="N374" s="5">
        <v>381981578646894</v>
      </c>
      <c r="O374" s="5">
        <v>340962770234074</v>
      </c>
      <c r="P374" s="5">
        <v>426359126773104</v>
      </c>
      <c r="Q374" s="5">
        <v>441820728895995</v>
      </c>
      <c r="R374" s="5">
        <v>3181378471687</v>
      </c>
      <c r="S374" s="5">
        <v>314522192126039</v>
      </c>
      <c r="T374" s="5">
        <v>191241864087758</v>
      </c>
      <c r="U374" s="5">
        <v>185767881059633</v>
      </c>
      <c r="V374" s="5">
        <v>160927197321402</v>
      </c>
      <c r="W374" s="5">
        <v>167037538261994</v>
      </c>
      <c r="X374" s="5">
        <v>186271416869478</v>
      </c>
      <c r="Y374" s="5">
        <v>169368299106206</v>
      </c>
      <c r="Z374" s="5">
        <v>135529219010615</v>
      </c>
      <c r="AA374" s="5">
        <v>16298376222088</v>
      </c>
      <c r="AB374" s="5">
        <v>131955054148577</v>
      </c>
      <c r="AC374" s="5">
        <v>856052684868709</v>
      </c>
      <c r="AD374" s="5">
        <v>996737144824203</v>
      </c>
      <c r="AE374" s="5">
        <v>697768355277224</v>
      </c>
      <c r="AF374" s="5">
        <v>788407292747706</v>
      </c>
      <c r="AG374" s="5">
        <v>844680971579573</v>
      </c>
      <c r="AH374" s="5">
        <v>915045352556148</v>
      </c>
      <c r="AI374" s="5">
        <v>105367421388889</v>
      </c>
      <c r="AJ374" s="5">
        <v>825453519003056</v>
      </c>
      <c r="AK374" s="5">
        <v>755741339554071</v>
      </c>
      <c r="AL374" s="5">
        <v>723193603236604</v>
      </c>
      <c r="AM374" s="5">
        <v>800803791407272</v>
      </c>
      <c r="AN374" s="5">
        <v>849983810945706</v>
      </c>
      <c r="AO374" s="5">
        <v>849914449394799</v>
      </c>
    </row>
    <row r="375" spans="1:41" x14ac:dyDescent="0.45">
      <c r="A375" s="1" t="s">
        <v>369</v>
      </c>
      <c r="B375" s="2">
        <v>4095448</v>
      </c>
      <c r="C375" s="3" t="s">
        <v>1349</v>
      </c>
      <c r="D375" s="3" t="s">
        <v>1350</v>
      </c>
      <c r="E375" s="3" t="s">
        <v>582</v>
      </c>
      <c r="F375" s="5">
        <v>37257087839547</v>
      </c>
      <c r="G375" s="5">
        <v>383290353142115</v>
      </c>
      <c r="H375" s="5">
        <v>359079619932236</v>
      </c>
      <c r="I375" s="5">
        <v>334947037139003</v>
      </c>
      <c r="J375" s="5">
        <v>330105486077659</v>
      </c>
      <c r="K375" s="5">
        <v>346563564554714</v>
      </c>
      <c r="L375" s="5">
        <v>318810371915176</v>
      </c>
      <c r="M375" s="5">
        <v>313457985203153</v>
      </c>
      <c r="N375" s="5">
        <v>246844071002281</v>
      </c>
      <c r="O375" s="5">
        <v>270304473390828</v>
      </c>
      <c r="P375" s="5">
        <v>31205856924192</v>
      </c>
      <c r="Q375" s="5">
        <v>302789043073505</v>
      </c>
      <c r="R375" s="5">
        <v>312020485239612</v>
      </c>
      <c r="S375" s="5">
        <v>315810411965888</v>
      </c>
      <c r="T375" s="5">
        <v>278721177480555</v>
      </c>
      <c r="U375" s="5">
        <v>273117393337854</v>
      </c>
      <c r="V375" s="5">
        <v>279064317597507</v>
      </c>
      <c r="W375" s="5">
        <v>293526941329776</v>
      </c>
      <c r="X375" s="5">
        <v>29289561910185</v>
      </c>
      <c r="Y375" s="5">
        <v>270721532816797</v>
      </c>
      <c r="Z375" s="5">
        <v>290378237237034</v>
      </c>
      <c r="AA375" s="5">
        <v>309069940115809</v>
      </c>
      <c r="AB375" s="5">
        <v>302210683987412</v>
      </c>
      <c r="AC375" s="5">
        <v>267512985200519</v>
      </c>
      <c r="AD375" s="5">
        <v>321850091441567</v>
      </c>
      <c r="AE375" s="5">
        <v>289606555426409</v>
      </c>
      <c r="AF375" s="5">
        <v>285714091581195</v>
      </c>
      <c r="AG375" s="5">
        <v>310225592215478</v>
      </c>
      <c r="AH375" s="5">
        <v>330495852977362</v>
      </c>
      <c r="AI375" s="5">
        <v>350541532703524</v>
      </c>
      <c r="AJ375" s="5">
        <v>34666639052265</v>
      </c>
      <c r="AK375" s="5">
        <v>300296023608735</v>
      </c>
      <c r="AL375" s="5">
        <v>294997308491603</v>
      </c>
      <c r="AM375" s="5">
        <v>310017495100069</v>
      </c>
      <c r="AN375" s="5">
        <v>318893254422748</v>
      </c>
      <c r="AO375" s="5">
        <v>298049865106864</v>
      </c>
    </row>
    <row r="376" spans="1:41" x14ac:dyDescent="0.45">
      <c r="A376" s="1" t="s">
        <v>370</v>
      </c>
      <c r="B376" s="2">
        <v>4004396</v>
      </c>
      <c r="C376" s="3" t="s">
        <v>1351</v>
      </c>
      <c r="D376" s="3" t="s">
        <v>1352</v>
      </c>
      <c r="E376" s="3" t="s">
        <v>1342</v>
      </c>
      <c r="F376" s="5">
        <v>245959515290448</v>
      </c>
      <c r="G376" s="5">
        <v>25510771738075</v>
      </c>
      <c r="H376" s="5">
        <v>242061769999262</v>
      </c>
      <c r="I376" s="5">
        <v>242630665434723</v>
      </c>
      <c r="J376" s="5">
        <v>234255814784481</v>
      </c>
      <c r="K376" s="5">
        <v>242637120839563</v>
      </c>
      <c r="L376" s="5">
        <v>232832057199633</v>
      </c>
      <c r="M376" s="5">
        <v>244525582657678</v>
      </c>
      <c r="N376" s="5">
        <v>244040727803702</v>
      </c>
      <c r="O376" s="5">
        <v>242482301445246</v>
      </c>
      <c r="P376" s="5">
        <v>243817091277398</v>
      </c>
      <c r="Q376" s="5">
        <v>230645178667332</v>
      </c>
      <c r="R376" s="5">
        <v>216820764631364</v>
      </c>
      <c r="S376" s="5">
        <v>231026927253144</v>
      </c>
      <c r="T376" s="5">
        <v>21026557516355</v>
      </c>
      <c r="U376" s="5">
        <v>219636462047875</v>
      </c>
      <c r="V376" s="5">
        <v>219722234028939</v>
      </c>
      <c r="W376" s="5">
        <v>214400118927456</v>
      </c>
      <c r="X376" s="5">
        <v>2204977343275</v>
      </c>
      <c r="Y376" s="5">
        <v>204009892720466</v>
      </c>
      <c r="Z376" s="5">
        <v>201790969880748</v>
      </c>
      <c r="AA376" s="5">
        <v>207559256503707</v>
      </c>
      <c r="AB376" s="5">
        <v>197275881826289</v>
      </c>
      <c r="AC376" s="5">
        <v>193222235149526</v>
      </c>
      <c r="AD376" s="5">
        <v>191234882192906</v>
      </c>
      <c r="AE376" s="5">
        <v>180809950708881</v>
      </c>
      <c r="AF376" s="5">
        <v>172307143239732</v>
      </c>
      <c r="AG376" s="5">
        <v>173814846628812</v>
      </c>
      <c r="AH376" s="5">
        <v>179798459467739</v>
      </c>
      <c r="AI376" s="5">
        <v>182585863548371</v>
      </c>
      <c r="AJ376" s="5">
        <v>193331577605214</v>
      </c>
      <c r="AK376" s="5">
        <v>181808620798418</v>
      </c>
      <c r="AL376" s="5">
        <v>188652293959886</v>
      </c>
      <c r="AM376" s="5">
        <v>170206731666401</v>
      </c>
      <c r="AN376" s="5">
        <v>163232189093952</v>
      </c>
      <c r="AO376" s="5">
        <v>165044651344373</v>
      </c>
    </row>
    <row r="377" spans="1:41" x14ac:dyDescent="0.45">
      <c r="A377" s="1" t="s">
        <v>371</v>
      </c>
      <c r="B377" s="2">
        <v>4677071</v>
      </c>
      <c r="C377" s="3" t="s">
        <v>1353</v>
      </c>
      <c r="D377" s="3" t="s">
        <v>1354</v>
      </c>
      <c r="E377" s="3" t="s">
        <v>515</v>
      </c>
      <c r="F377" s="5">
        <v>40807203337182</v>
      </c>
      <c r="G377" s="5">
        <v>41421049590191</v>
      </c>
      <c r="H377" s="5">
        <v>416354549550315</v>
      </c>
      <c r="I377" s="5">
        <v>457394788641243</v>
      </c>
      <c r="J377" s="5">
        <v>484200242884003</v>
      </c>
      <c r="K377" s="5">
        <v>51732074015593</v>
      </c>
      <c r="L377" s="5">
        <v>518938395316112</v>
      </c>
      <c r="M377" s="5">
        <v>540349754406085</v>
      </c>
      <c r="N377" s="5">
        <v>530776003371763</v>
      </c>
      <c r="O377" s="5">
        <v>585764200013991</v>
      </c>
      <c r="P377" s="5">
        <v>603250306706807</v>
      </c>
      <c r="Q377" s="5">
        <v>593870279098476</v>
      </c>
      <c r="R377" s="5">
        <v>538422353189254</v>
      </c>
      <c r="S377" s="5">
        <v>575683107411746</v>
      </c>
      <c r="T377" s="5">
        <v>531022050839734</v>
      </c>
      <c r="U377" s="5">
        <v>534818539118212</v>
      </c>
      <c r="V377" s="5">
        <v>537324819250219</v>
      </c>
      <c r="W377" s="5">
        <v>53880758137668</v>
      </c>
      <c r="X377" s="5">
        <v>563122616226151</v>
      </c>
      <c r="Y377" s="5">
        <v>525864822730779</v>
      </c>
      <c r="Z377" s="5">
        <v>51199379195163</v>
      </c>
      <c r="AA377" s="5">
        <v>555687427709328</v>
      </c>
      <c r="AB377" s="5">
        <v>539317346235038</v>
      </c>
      <c r="AC377" s="5">
        <v>528719165932893</v>
      </c>
      <c r="AD377" s="5">
        <v>52686302375968</v>
      </c>
      <c r="AE377" s="5">
        <v>527190034033567</v>
      </c>
      <c r="AF377" s="5">
        <v>49346481624473</v>
      </c>
      <c r="AG377" s="5">
        <v>488253310976619</v>
      </c>
      <c r="AH377" s="5">
        <v>491012402370547</v>
      </c>
      <c r="AI377" s="5">
        <v>476886801035354</v>
      </c>
      <c r="AJ377" s="5">
        <v>469445842341952</v>
      </c>
      <c r="AK377" s="5">
        <v>454290373041345</v>
      </c>
      <c r="AL377" s="5">
        <v>439005392615962</v>
      </c>
      <c r="AM377" s="5">
        <v>430934490905139</v>
      </c>
      <c r="AN377" s="5">
        <v>4305491720451</v>
      </c>
      <c r="AO377" s="5">
        <v>416687773207711</v>
      </c>
    </row>
    <row r="378" spans="1:41" x14ac:dyDescent="0.45">
      <c r="A378" s="1" t="s">
        <v>372</v>
      </c>
      <c r="B378" s="2">
        <v>4070608</v>
      </c>
      <c r="C378" s="3" t="s">
        <v>1355</v>
      </c>
      <c r="D378" s="3" t="s">
        <v>1356</v>
      </c>
      <c r="E378" s="3" t="s">
        <v>1357</v>
      </c>
      <c r="F378" s="5">
        <v>496246150582929</v>
      </c>
      <c r="G378" s="5">
        <v>494645942439658</v>
      </c>
      <c r="H378" s="5">
        <v>448108587530882</v>
      </c>
      <c r="I378" s="5">
        <v>422410369049332</v>
      </c>
      <c r="J378" s="5">
        <v>411477885093708</v>
      </c>
      <c r="K378" s="5">
        <v>390402062530226</v>
      </c>
      <c r="L378" s="5">
        <v>355310999944068</v>
      </c>
      <c r="M378" s="5">
        <v>405983045177933</v>
      </c>
      <c r="N378" s="5">
        <v>402869915819514</v>
      </c>
      <c r="O378" s="5">
        <v>390079605086997</v>
      </c>
      <c r="P378" s="5">
        <v>444947635575337</v>
      </c>
      <c r="Q378" s="5">
        <v>477914899980979</v>
      </c>
      <c r="R378" s="5">
        <v>482065135438005</v>
      </c>
      <c r="S378" s="5">
        <v>486980199149681</v>
      </c>
      <c r="T378" s="5">
        <v>426919023512285</v>
      </c>
      <c r="U378" s="5">
        <v>447704428761141</v>
      </c>
      <c r="V378" s="5">
        <v>454217277714239</v>
      </c>
      <c r="W378" s="5">
        <v>441468108186151</v>
      </c>
      <c r="X378" s="5">
        <v>452418158137473</v>
      </c>
      <c r="Y378" s="5">
        <v>432119282895966</v>
      </c>
      <c r="Z378" s="5">
        <v>406241837746189</v>
      </c>
      <c r="AA378" s="5">
        <v>457429829212565</v>
      </c>
      <c r="AB378" s="5">
        <v>463935864403063</v>
      </c>
      <c r="AC378" s="5">
        <v>435296271153722</v>
      </c>
      <c r="AD378" s="5">
        <v>421510989459592</v>
      </c>
      <c r="AE378" s="5">
        <v>404819259045166</v>
      </c>
      <c r="AF378" s="5">
        <v>371701652320441</v>
      </c>
      <c r="AG378" s="5">
        <v>361371864161275</v>
      </c>
      <c r="AH378" s="5">
        <v>382586550795823</v>
      </c>
      <c r="AI378" s="5">
        <v>354364972484492</v>
      </c>
      <c r="AJ378" s="5">
        <v>34989128926574</v>
      </c>
      <c r="AK378" s="5">
        <v>332565458693302</v>
      </c>
      <c r="AL378" s="5">
        <v>330791602183635</v>
      </c>
      <c r="AM378" s="5">
        <v>334119934049168</v>
      </c>
      <c r="AN378" s="5">
        <v>358588985974381</v>
      </c>
      <c r="AO378" s="5">
        <v>374736036361008</v>
      </c>
    </row>
    <row r="379" spans="1:41" x14ac:dyDescent="0.45">
      <c r="A379" s="1" t="s">
        <v>373</v>
      </c>
      <c r="B379" s="2">
        <v>4980858</v>
      </c>
      <c r="C379" s="3" t="s">
        <v>1358</v>
      </c>
      <c r="D379" s="3" t="s">
        <v>1359</v>
      </c>
      <c r="E379" s="3" t="s">
        <v>530</v>
      </c>
      <c r="F379" s="5">
        <v>647846475013594</v>
      </c>
      <c r="G379" s="5">
        <v>62618716352808</v>
      </c>
      <c r="H379" s="5">
        <v>678187009448449</v>
      </c>
      <c r="I379" s="5">
        <v>749114410292924</v>
      </c>
      <c r="J379" s="5">
        <v>843449457988795</v>
      </c>
      <c r="K379" s="5">
        <v>754804249212476</v>
      </c>
      <c r="L379" s="5">
        <v>724085072772001</v>
      </c>
      <c r="M379" s="5">
        <v>614996422671299</v>
      </c>
      <c r="N379" s="5">
        <v>514394202563027</v>
      </c>
      <c r="O379" s="5">
        <v>511541333423724</v>
      </c>
      <c r="P379" s="5">
        <v>636561387500193</v>
      </c>
      <c r="Q379" s="5">
        <v>689716867373073</v>
      </c>
      <c r="R379" s="5">
        <v>59911714242758</v>
      </c>
      <c r="S379" s="5">
        <v>621962388003163</v>
      </c>
      <c r="T379" s="5">
        <v>51099295717854</v>
      </c>
      <c r="U379" s="5">
        <v>427480729944728</v>
      </c>
      <c r="V379" s="5">
        <v>400093222204732</v>
      </c>
      <c r="W379" s="5">
        <v>372768542375645</v>
      </c>
      <c r="X379" s="5">
        <v>382925358576507</v>
      </c>
      <c r="Y379" s="5">
        <v>350447141155147</v>
      </c>
      <c r="Z379" s="5">
        <v>336051665356913</v>
      </c>
      <c r="AA379" s="5">
        <v>330333968831495</v>
      </c>
      <c r="AB379" s="5">
        <v>292898973914978</v>
      </c>
      <c r="AC379" s="5">
        <v>30111916657992</v>
      </c>
      <c r="AD379" s="5">
        <v>300178407082637</v>
      </c>
      <c r="AE379" s="5">
        <v>252468637585177</v>
      </c>
      <c r="AF379" s="5">
        <v>205492725425573</v>
      </c>
      <c r="AG379" s="5">
        <v>22300882804196</v>
      </c>
      <c r="AH379" s="5">
        <v>233688203525821</v>
      </c>
      <c r="AI379" s="5">
        <v>253628056369246</v>
      </c>
      <c r="AJ379" s="5">
        <v>243015914104236</v>
      </c>
      <c r="AK379" s="5">
        <v>194293760029464</v>
      </c>
      <c r="AL379" s="5">
        <v>151613534119988</v>
      </c>
      <c r="AM379" s="5">
        <v>153471182331776</v>
      </c>
      <c r="AN379" s="5">
        <v>169917707883874</v>
      </c>
      <c r="AO379" s="5">
        <v>152573985138099</v>
      </c>
    </row>
    <row r="380" spans="1:41" x14ac:dyDescent="0.45">
      <c r="A380" s="1" t="s">
        <v>374</v>
      </c>
      <c r="B380" s="2">
        <v>4001600</v>
      </c>
      <c r="C380" s="3" t="s">
        <v>1360</v>
      </c>
      <c r="D380" s="3" t="s">
        <v>1361</v>
      </c>
      <c r="E380" s="3" t="s">
        <v>644</v>
      </c>
      <c r="F380" s="5">
        <v>209430963914457</v>
      </c>
      <c r="G380" s="5">
        <v>20224523613159</v>
      </c>
      <c r="H380" s="5">
        <v>207497195357949</v>
      </c>
      <c r="I380" s="5">
        <v>19113456223123</v>
      </c>
      <c r="J380" s="5">
        <v>181489058093305</v>
      </c>
      <c r="K380" s="5">
        <v>184381049991797</v>
      </c>
      <c r="L380" s="5">
        <v>166107188025333</v>
      </c>
      <c r="M380" s="5">
        <v>160688284327736</v>
      </c>
      <c r="N380" s="5">
        <v>148519292517502</v>
      </c>
      <c r="O380" s="5">
        <v>163617929685329</v>
      </c>
      <c r="P380" s="5">
        <v>170267520269108</v>
      </c>
      <c r="Q380" s="5">
        <v>16512961440265</v>
      </c>
      <c r="R380" s="5">
        <v>148772957545425</v>
      </c>
      <c r="S380" s="5">
        <v>153693094263362</v>
      </c>
      <c r="T380" s="5">
        <v>148317539637061</v>
      </c>
      <c r="U380" s="5">
        <v>144271818248467</v>
      </c>
      <c r="V380" s="5">
        <v>148096201450396</v>
      </c>
      <c r="W380" s="5">
        <v>144177131616062</v>
      </c>
      <c r="X380" s="5">
        <v>124364223250122</v>
      </c>
      <c r="Y380" s="5">
        <v>13195346826703</v>
      </c>
      <c r="Z380" s="5">
        <v>126020108410568</v>
      </c>
      <c r="AA380" s="5">
        <v>119850304648904</v>
      </c>
      <c r="AB380" s="5">
        <v>109874429289672</v>
      </c>
      <c r="AC380" s="5">
        <v>120492003272437</v>
      </c>
      <c r="AD380" s="5">
        <v>109209903752193</v>
      </c>
      <c r="AE380" s="5">
        <v>107183496274354</v>
      </c>
      <c r="AF380" s="5">
        <v>110521454854938</v>
      </c>
      <c r="AG380" s="5">
        <v>987519124570754</v>
      </c>
      <c r="AH380" s="5">
        <v>115208746262906</v>
      </c>
      <c r="AI380" s="5">
        <v>115875061017418</v>
      </c>
      <c r="AJ380" s="5">
        <v>130857899323301</v>
      </c>
      <c r="AK380" s="5">
        <v>12607983110248</v>
      </c>
      <c r="AL380" s="5">
        <v>132145146432384</v>
      </c>
      <c r="AM380" s="5">
        <v>131583660081995</v>
      </c>
      <c r="AN380" s="5">
        <v>134891702248176</v>
      </c>
      <c r="AO380" s="5">
        <v>135301521778699</v>
      </c>
    </row>
    <row r="381" spans="1:41" x14ac:dyDescent="0.45">
      <c r="A381" s="1" t="s">
        <v>375</v>
      </c>
      <c r="B381" s="2">
        <v>4023623</v>
      </c>
      <c r="C381" s="3" t="s">
        <v>1362</v>
      </c>
      <c r="D381" s="3" t="s">
        <v>1363</v>
      </c>
      <c r="E381" s="3" t="s">
        <v>778</v>
      </c>
      <c r="F381" s="5">
        <v>1347732226284</v>
      </c>
      <c r="G381" s="5">
        <v>1302618323776</v>
      </c>
      <c r="H381" s="5">
        <v>127906071996</v>
      </c>
      <c r="I381" s="5">
        <v>126637862629914</v>
      </c>
      <c r="J381" s="5">
        <v>143134805889826</v>
      </c>
      <c r="K381" s="5">
        <v>147751312676804</v>
      </c>
      <c r="L381" s="5">
        <v>137696950469273</v>
      </c>
      <c r="M381" s="5">
        <v>138615799105767</v>
      </c>
      <c r="N381" s="5">
        <v>135168848046751</v>
      </c>
      <c r="O381" s="5">
        <v>144170018382667</v>
      </c>
      <c r="P381" s="5">
        <v>1578944788092</v>
      </c>
      <c r="Q381" s="5">
        <v>155493864420409</v>
      </c>
      <c r="R381" s="5">
        <v>149108141307433</v>
      </c>
      <c r="S381" s="5">
        <v>153505873458244</v>
      </c>
      <c r="T381" s="5">
        <v>137132423925485</v>
      </c>
      <c r="U381" s="5">
        <v>144933923685727</v>
      </c>
      <c r="V381" s="5">
        <v>145190120479762</v>
      </c>
      <c r="W381" s="5">
        <v>140143180810913</v>
      </c>
      <c r="X381" s="5">
        <v>13024518822</v>
      </c>
      <c r="Y381" s="5">
        <v>1233473612259</v>
      </c>
      <c r="Z381" s="5">
        <v>1216818711864</v>
      </c>
      <c r="AA381" s="5">
        <v>123324159570855</v>
      </c>
      <c r="AB381" s="5">
        <v>1244760515658</v>
      </c>
      <c r="AC381" s="5">
        <v>130915760976</v>
      </c>
      <c r="AD381" s="5">
        <v>1262569790592</v>
      </c>
      <c r="AE381" s="5">
        <v>1207877701536</v>
      </c>
      <c r="AF381" s="5">
        <v>105203893353</v>
      </c>
      <c r="AG381" s="5">
        <v>1098551668976</v>
      </c>
      <c r="AH381" s="5">
        <v>114670663144</v>
      </c>
      <c r="AI381" s="5">
        <v>1139087186068</v>
      </c>
      <c r="AJ381" s="5">
        <v>117799039633406</v>
      </c>
      <c r="AK381" s="5">
        <v>110595481093396</v>
      </c>
      <c r="AL381" s="5">
        <v>105390393992289</v>
      </c>
      <c r="AM381" s="5">
        <v>101795160606119</v>
      </c>
      <c r="AN381" s="5">
        <v>1034941488</v>
      </c>
      <c r="AO381" s="5">
        <v>1124685246564</v>
      </c>
    </row>
    <row r="382" spans="1:41" x14ac:dyDescent="0.45">
      <c r="A382" s="1" t="s">
        <v>376</v>
      </c>
      <c r="B382" s="2">
        <v>4205848</v>
      </c>
      <c r="C382" s="3" t="s">
        <v>1364</v>
      </c>
      <c r="D382" s="3" t="s">
        <v>1365</v>
      </c>
      <c r="E382" s="3" t="s">
        <v>515</v>
      </c>
      <c r="F382" s="5">
        <v>211409544639</v>
      </c>
      <c r="G382" s="5">
        <v>189274446592</v>
      </c>
      <c r="H382" s="5">
        <v>21493824744</v>
      </c>
      <c r="I382" s="5">
        <v>1922993352</v>
      </c>
      <c r="J382" s="5">
        <v>2094291275</v>
      </c>
      <c r="K382" s="5">
        <v>215895474216</v>
      </c>
      <c r="L382" s="5">
        <v>22197893146</v>
      </c>
      <c r="M382" s="5">
        <v>223580275436</v>
      </c>
      <c r="N382" s="5">
        <v>227242674509211</v>
      </c>
      <c r="O382" s="5">
        <v>238603491792</v>
      </c>
      <c r="P382" s="5">
        <v>273954298695</v>
      </c>
      <c r="Q382" s="5">
        <v>31461333849</v>
      </c>
      <c r="R382" s="5">
        <v>309043385079</v>
      </c>
      <c r="S382" s="5">
        <v>299002883032</v>
      </c>
      <c r="T382" s="5">
        <v>25654429212</v>
      </c>
      <c r="U382" s="5">
        <v>234610417016</v>
      </c>
      <c r="V382" s="5">
        <v>21858642684</v>
      </c>
      <c r="W382" s="5">
        <v>2317181328</v>
      </c>
      <c r="X382" s="5">
        <v>23251293567</v>
      </c>
      <c r="Y382" s="5">
        <v>209475633156</v>
      </c>
      <c r="Z382" s="5">
        <v>24396730736</v>
      </c>
      <c r="AA382" s="5">
        <v>27046747068</v>
      </c>
      <c r="AB382" s="5">
        <v>276547321776</v>
      </c>
      <c r="AC382" s="5">
        <v>250790072104</v>
      </c>
      <c r="AD382" s="5">
        <v>230444749744</v>
      </c>
      <c r="AE382" s="5">
        <v>22357616248</v>
      </c>
      <c r="AF382" s="5">
        <v>184953283935</v>
      </c>
      <c r="AG382" s="5">
        <v>186413707312</v>
      </c>
      <c r="AH382" s="5">
        <v>19867309476</v>
      </c>
      <c r="AI382" s="5">
        <v>198865548076</v>
      </c>
      <c r="AJ382" s="5">
        <v>18848279184</v>
      </c>
      <c r="AK382" s="5">
        <v>205200773480492</v>
      </c>
      <c r="AL382" s="5">
        <v>175972625717811</v>
      </c>
      <c r="AM382" s="5">
        <v>180383839272</v>
      </c>
      <c r="AN382" s="5">
        <v>15273353442</v>
      </c>
      <c r="AO382" s="5">
        <v>153258129189</v>
      </c>
    </row>
    <row r="383" spans="1:41" x14ac:dyDescent="0.45">
      <c r="A383" s="1" t="s">
        <v>377</v>
      </c>
      <c r="B383" s="2">
        <v>4829067</v>
      </c>
      <c r="C383" s="3" t="s">
        <v>1366</v>
      </c>
      <c r="D383" s="3" t="s">
        <v>1367</v>
      </c>
      <c r="E383" s="3" t="s">
        <v>573</v>
      </c>
      <c r="F383" s="5">
        <v>17552992324061</v>
      </c>
      <c r="G383" s="5">
        <v>178506967364424</v>
      </c>
      <c r="H383" s="5">
        <v>178263292658111</v>
      </c>
      <c r="I383" s="5">
        <v>176952243229937</v>
      </c>
      <c r="J383" s="5">
        <v>188048854860764</v>
      </c>
      <c r="K383" s="5">
        <v>211089244821467</v>
      </c>
      <c r="L383" s="5">
        <v>214867287772465</v>
      </c>
      <c r="M383" s="5">
        <v>219593443244575</v>
      </c>
      <c r="N383" s="5">
        <v>231755711702767</v>
      </c>
      <c r="O383" s="5">
        <v>219054322703137</v>
      </c>
      <c r="P383" s="5">
        <v>225371808704593</v>
      </c>
      <c r="Q383" s="5">
        <v>204370898491172</v>
      </c>
      <c r="R383" s="5">
        <v>211658721190987</v>
      </c>
      <c r="S383" s="5">
        <v>23057122894386</v>
      </c>
      <c r="T383" s="5">
        <v>2272051907622</v>
      </c>
      <c r="U383" s="5">
        <v>231938063454201</v>
      </c>
      <c r="V383" s="5">
        <v>220236124219227</v>
      </c>
      <c r="W383" s="5">
        <v>2180102540616</v>
      </c>
      <c r="X383" s="5">
        <v>196842897028651</v>
      </c>
      <c r="Y383" s="5">
        <v>194857176072248</v>
      </c>
      <c r="Z383" s="5">
        <v>1877753066112</v>
      </c>
      <c r="AA383" s="5">
        <v>216888559538231</v>
      </c>
      <c r="AB383" s="5">
        <v>209253722534643</v>
      </c>
      <c r="AC383" s="5">
        <v>222605212031786</v>
      </c>
      <c r="AD383" s="5">
        <v>247615131511546</v>
      </c>
      <c r="AE383" s="5">
        <v>244296829600543</v>
      </c>
      <c r="AF383" s="5">
        <v>214021517157356</v>
      </c>
      <c r="AG383" s="5">
        <v>20497407526638</v>
      </c>
      <c r="AH383" s="5">
        <v>224370295241818</v>
      </c>
      <c r="AI383" s="5">
        <v>2153262010263</v>
      </c>
      <c r="AJ383" s="5">
        <v>229996037530589</v>
      </c>
      <c r="AK383" s="5">
        <v>225450131767824</v>
      </c>
      <c r="AL383" s="5">
        <v>256064437235626</v>
      </c>
      <c r="AM383" s="5">
        <v>259605538752947</v>
      </c>
      <c r="AN383" s="5">
        <v>263844986769</v>
      </c>
      <c r="AO383" s="5">
        <v>295756336900136</v>
      </c>
    </row>
    <row r="384" spans="1:41" x14ac:dyDescent="0.45">
      <c r="A384" s="1" t="s">
        <v>378</v>
      </c>
      <c r="B384" s="2">
        <v>4794937</v>
      </c>
      <c r="C384" s="3" t="s">
        <v>1368</v>
      </c>
      <c r="D384" s="3" t="s">
        <v>1369</v>
      </c>
      <c r="E384" s="3" t="s">
        <v>600</v>
      </c>
      <c r="F384" s="5">
        <v>511018168428178</v>
      </c>
      <c r="G384" s="5">
        <v>519880752589746</v>
      </c>
      <c r="H384" s="5">
        <v>473774317104995</v>
      </c>
      <c r="I384" s="5">
        <v>42789358964547</v>
      </c>
      <c r="J384" s="5">
        <v>304362862396463</v>
      </c>
      <c r="K384" s="5">
        <v>29235984246</v>
      </c>
      <c r="L384" s="5">
        <v>260808884892237</v>
      </c>
      <c r="M384" s="5">
        <v>220579938817357</v>
      </c>
      <c r="N384" s="5">
        <v>169860975201939</v>
      </c>
      <c r="O384" s="5">
        <v>166392992163058</v>
      </c>
      <c r="P384" s="5">
        <v>207358290142675</v>
      </c>
      <c r="Q384" s="5">
        <v>196269596751187</v>
      </c>
      <c r="R384" s="5">
        <v>17634544405257</v>
      </c>
      <c r="S384" s="5">
        <v>203154154622982</v>
      </c>
      <c r="T384" s="5">
        <v>195539506896819</v>
      </c>
      <c r="U384" s="5">
        <v>206710483188636</v>
      </c>
      <c r="V384" s="5">
        <v>18918234675979</v>
      </c>
      <c r="W384" s="5">
        <v>198239851065934</v>
      </c>
      <c r="X384" s="5">
        <v>202390927662929</v>
      </c>
      <c r="Y384" s="5">
        <v>180541017200714</v>
      </c>
      <c r="Z384" s="5">
        <v>168711161495393</v>
      </c>
      <c r="AA384" s="5">
        <v>18048446312108</v>
      </c>
      <c r="AB384" s="5">
        <v>180347998307746</v>
      </c>
      <c r="AC384" s="5">
        <v>165453254146056</v>
      </c>
      <c r="AD384" s="5">
        <v>161561659696967</v>
      </c>
      <c r="AE384" s="5">
        <v>151714430239849</v>
      </c>
      <c r="AF384" s="5">
        <v>135129978676192</v>
      </c>
      <c r="AG384" s="5">
        <v>12950932007317</v>
      </c>
      <c r="AH384" s="5">
        <v>13536220928288</v>
      </c>
      <c r="AI384" s="5">
        <v>119320656816426</v>
      </c>
      <c r="AJ384" s="5">
        <v>117359628151121</v>
      </c>
      <c r="AK384" s="5">
        <v>116777540306044</v>
      </c>
      <c r="AL384" s="5">
        <v>110274464178139</v>
      </c>
      <c r="AM384" s="5">
        <v>125659571259007</v>
      </c>
      <c r="AN384" s="5">
        <v>125574235607693</v>
      </c>
      <c r="AO384" s="5">
        <v>128856350311777</v>
      </c>
    </row>
    <row r="385" spans="1:41" x14ac:dyDescent="0.45">
      <c r="A385" s="1" t="s">
        <v>379</v>
      </c>
      <c r="B385" s="2">
        <v>4057062</v>
      </c>
      <c r="C385" s="3" t="s">
        <v>1370</v>
      </c>
      <c r="D385" s="3" t="s">
        <v>1371</v>
      </c>
      <c r="E385" s="3" t="s">
        <v>562</v>
      </c>
      <c r="F385" s="5">
        <v>49079426693258</v>
      </c>
      <c r="G385" s="5">
        <v>533152873402491</v>
      </c>
      <c r="H385" s="5">
        <v>520098689718635</v>
      </c>
      <c r="I385" s="5">
        <v>500380803362084</v>
      </c>
      <c r="J385" s="5">
        <v>460518587720797</v>
      </c>
      <c r="K385" s="5">
        <v>465680016372893</v>
      </c>
      <c r="L385" s="5">
        <v>420768296632489</v>
      </c>
      <c r="M385" s="5">
        <v>451702120357095</v>
      </c>
      <c r="N385" s="5">
        <v>426752777231131</v>
      </c>
      <c r="O385" s="5">
        <v>430408016365098</v>
      </c>
      <c r="P385" s="5">
        <v>448110907733348</v>
      </c>
      <c r="Q385" s="5">
        <v>505369973070026</v>
      </c>
      <c r="R385" s="5">
        <v>536671266228415</v>
      </c>
      <c r="S385" s="5">
        <v>562334564860065</v>
      </c>
      <c r="T385" s="5">
        <v>486153272424488</v>
      </c>
      <c r="U385" s="5">
        <v>474749606092357</v>
      </c>
      <c r="V385" s="5">
        <v>470420661115808</v>
      </c>
      <c r="W385" s="5">
        <v>468150422905519</v>
      </c>
      <c r="X385" s="5">
        <v>449236929235009</v>
      </c>
      <c r="Y385" s="5">
        <v>449506300025517</v>
      </c>
      <c r="Z385" s="5">
        <v>423760367681342</v>
      </c>
      <c r="AA385" s="5">
        <v>420672313888127</v>
      </c>
      <c r="AB385" s="5">
        <v>41287013242787</v>
      </c>
      <c r="AC385" s="5">
        <v>415084975809534</v>
      </c>
      <c r="AD385" s="5">
        <v>425477567200454</v>
      </c>
      <c r="AE385" s="5">
        <v>420482414192252</v>
      </c>
      <c r="AF385" s="5">
        <v>417679377028442</v>
      </c>
      <c r="AG385" s="5">
        <v>405022027501497</v>
      </c>
      <c r="AH385" s="5">
        <v>407971696052263</v>
      </c>
      <c r="AI385" s="5">
        <v>425475904920338</v>
      </c>
      <c r="AJ385" s="5">
        <v>419622393226034</v>
      </c>
      <c r="AK385" s="5">
        <v>423756173046364</v>
      </c>
      <c r="AL385" s="5">
        <v>443308833494296</v>
      </c>
      <c r="AM385" s="5">
        <v>437765250427066</v>
      </c>
      <c r="AN385" s="5">
        <v>444368200552241</v>
      </c>
      <c r="AO385" s="5">
        <v>464005805902697</v>
      </c>
    </row>
    <row r="386" spans="1:41" x14ac:dyDescent="0.45">
      <c r="A386" s="1" t="s">
        <v>380</v>
      </c>
      <c r="B386" s="2">
        <v>4587650</v>
      </c>
      <c r="C386" s="3" t="s">
        <v>1372</v>
      </c>
      <c r="D386" s="3" t="s">
        <v>1373</v>
      </c>
      <c r="E386" s="3" t="s">
        <v>817</v>
      </c>
      <c r="F386" s="5">
        <v>13535255602614</v>
      </c>
      <c r="G386" s="5">
        <v>145366188070253</v>
      </c>
      <c r="H386" s="5">
        <v>16543177920864</v>
      </c>
      <c r="I386" s="5">
        <v>162768491368236</v>
      </c>
      <c r="J386" s="5">
        <v>162764737349526</v>
      </c>
      <c r="K386" s="5">
        <v>171094332114576</v>
      </c>
      <c r="L386" s="5">
        <v>181194921825308</v>
      </c>
      <c r="M386" s="5">
        <v>184436997795855</v>
      </c>
      <c r="N386" s="5">
        <v>174223706835906</v>
      </c>
      <c r="O386" s="5">
        <v>151737277968</v>
      </c>
      <c r="P386" s="5">
        <v>184080021216</v>
      </c>
      <c r="Q386" s="5">
        <v>201835379988</v>
      </c>
      <c r="R386" s="5">
        <v>211262399508836</v>
      </c>
      <c r="S386" s="5">
        <v>205215108768544</v>
      </c>
      <c r="T386" s="5">
        <v>17728485370143</v>
      </c>
      <c r="U386" s="5">
        <v>165078802103418</v>
      </c>
      <c r="V386" s="5">
        <v>1591285932135</v>
      </c>
      <c r="W386" s="5">
        <v>15490664318052</v>
      </c>
      <c r="X386" s="5">
        <v>150791281815402</v>
      </c>
      <c r="Y386" s="5">
        <v>124411204833446</v>
      </c>
      <c r="Z386" s="5">
        <v>133169900775681</v>
      </c>
      <c r="AA386" s="5">
        <v>1446951336</v>
      </c>
      <c r="AB386" s="5">
        <v>14628115997</v>
      </c>
      <c r="AC386" s="5">
        <v>1446211819</v>
      </c>
      <c r="AD386" s="5">
        <v>130743681246165</v>
      </c>
      <c r="AE386" s="5">
        <v>12861498025233</v>
      </c>
      <c r="AF386" s="5">
        <v>112652739268875</v>
      </c>
      <c r="AG386" s="5">
        <v>107874507375936</v>
      </c>
      <c r="AH386" s="5">
        <v>11089681167642</v>
      </c>
      <c r="AI386" s="5">
        <v>1080601435914</v>
      </c>
      <c r="AJ386" s="5">
        <v>104878176325546</v>
      </c>
      <c r="AK386" s="5">
        <v>104145232306969</v>
      </c>
      <c r="AL386" s="5">
        <v>848130242047676</v>
      </c>
      <c r="AM386" s="5">
        <v>86828842464</v>
      </c>
      <c r="AN386" s="5">
        <v>8264214042</v>
      </c>
      <c r="AO386" s="5">
        <v>85064752773</v>
      </c>
    </row>
    <row r="387" spans="1:41" x14ac:dyDescent="0.45">
      <c r="A387" s="1" t="s">
        <v>381</v>
      </c>
      <c r="B387" s="2">
        <v>103117</v>
      </c>
      <c r="C387" s="3" t="s">
        <v>1374</v>
      </c>
      <c r="D387" s="3" t="s">
        <v>1375</v>
      </c>
      <c r="E387" s="3" t="s">
        <v>954</v>
      </c>
      <c r="F387" s="5">
        <v>514706777693812</v>
      </c>
      <c r="G387" s="5">
        <v>524579823219021</v>
      </c>
      <c r="H387" s="5">
        <v>49752247077571</v>
      </c>
      <c r="I387" s="5">
        <v>522228899700926</v>
      </c>
      <c r="J387" s="5">
        <v>504255776736045</v>
      </c>
      <c r="K387" s="5">
        <v>467392403698735</v>
      </c>
      <c r="L387" s="5">
        <v>446833900130985</v>
      </c>
      <c r="M387" s="5">
        <v>46911714547005</v>
      </c>
      <c r="N387" s="5">
        <v>452558788447784</v>
      </c>
      <c r="O387" s="5">
        <v>501349903267438</v>
      </c>
      <c r="P387" s="5">
        <v>583552035609737</v>
      </c>
      <c r="Q387" s="5">
        <v>545767744956254</v>
      </c>
      <c r="R387" s="5">
        <v>542723351322362</v>
      </c>
      <c r="S387" s="5">
        <v>56777642564459</v>
      </c>
      <c r="T387" s="5">
        <v>507843608352562</v>
      </c>
      <c r="U387" s="5">
        <v>494097006363722</v>
      </c>
      <c r="V387" s="5">
        <v>493307339071397</v>
      </c>
      <c r="W387" s="5">
        <v>462118462911706</v>
      </c>
      <c r="X387" s="5">
        <v>461780719919204</v>
      </c>
      <c r="Y387" s="5">
        <v>454766444637505</v>
      </c>
      <c r="Z387" s="5">
        <v>428143554375031</v>
      </c>
      <c r="AA387" s="5">
        <v>471975692946761</v>
      </c>
      <c r="AB387" s="5">
        <v>446626062587291</v>
      </c>
      <c r="AC387" s="5">
        <v>416803375643127</v>
      </c>
      <c r="AD387" s="5">
        <v>421010567669425</v>
      </c>
      <c r="AE387" s="5">
        <v>373591266346347</v>
      </c>
      <c r="AF387" s="5">
        <v>339332821550905</v>
      </c>
      <c r="AG387" s="5">
        <v>333961406527258</v>
      </c>
      <c r="AH387" s="5">
        <v>342373811637312</v>
      </c>
      <c r="AI387" s="5">
        <v>369708879709988</v>
      </c>
      <c r="AJ387" s="5">
        <v>345895819577296</v>
      </c>
      <c r="AK387" s="5">
        <v>322622058372751</v>
      </c>
      <c r="AL387" s="5">
        <v>335493845036098</v>
      </c>
      <c r="AM387" s="5">
        <v>336728711860192</v>
      </c>
      <c r="AN387" s="5">
        <v>375999875531573</v>
      </c>
      <c r="AO387" s="5">
        <v>388668143570369</v>
      </c>
    </row>
    <row r="388" spans="1:41" x14ac:dyDescent="0.45">
      <c r="A388" s="1" t="s">
        <v>382</v>
      </c>
      <c r="B388" s="2">
        <v>4967090</v>
      </c>
      <c r="C388" s="3" t="s">
        <v>1376</v>
      </c>
      <c r="D388" s="3" t="s">
        <v>1377</v>
      </c>
      <c r="E388" s="3" t="s">
        <v>518</v>
      </c>
      <c r="F388" s="5">
        <v>80296436544928</v>
      </c>
      <c r="G388" s="5">
        <v>845620337845976</v>
      </c>
      <c r="H388" s="5">
        <v>100185244229051</v>
      </c>
      <c r="I388" s="5">
        <v>973834075156867</v>
      </c>
      <c r="J388" s="5">
        <v>950919114756701</v>
      </c>
      <c r="K388" s="5">
        <v>899538832715153</v>
      </c>
      <c r="L388" s="5">
        <v>952626180187188</v>
      </c>
      <c r="M388" s="5">
        <v>913327759400729</v>
      </c>
      <c r="N388" s="5">
        <v>870099559984418</v>
      </c>
      <c r="O388" s="5">
        <v>918311059704805</v>
      </c>
      <c r="P388" s="5">
        <v>102981831616384</v>
      </c>
      <c r="Q388" s="5">
        <v>136565831023214</v>
      </c>
      <c r="R388" s="5">
        <v>136981650297918</v>
      </c>
      <c r="S388" s="5">
        <v>132762607743935</v>
      </c>
      <c r="T388" s="5">
        <v>128829109501778</v>
      </c>
      <c r="U388" s="5">
        <v>141440317350265</v>
      </c>
      <c r="V388" s="5">
        <v>158247489882024</v>
      </c>
      <c r="W388" s="5">
        <v>167678040434705</v>
      </c>
      <c r="X388" s="5">
        <v>159598022384546</v>
      </c>
      <c r="Y388" s="5">
        <v>137088442325112</v>
      </c>
      <c r="Z388" s="5">
        <v>1599367108219</v>
      </c>
      <c r="AA388" s="5">
        <v>160898882476333</v>
      </c>
      <c r="AB388" s="5">
        <v>155517640374894</v>
      </c>
      <c r="AC388" s="5">
        <v>154266740821268</v>
      </c>
      <c r="AD388" s="5">
        <v>162684295262223</v>
      </c>
      <c r="AE388" s="5">
        <v>142160075193444</v>
      </c>
      <c r="AF388" s="5">
        <v>130860362837813</v>
      </c>
      <c r="AG388" s="5">
        <v>148470727049996</v>
      </c>
      <c r="AH388" s="5">
        <v>159804253140127</v>
      </c>
      <c r="AI388" s="5">
        <v>16516971066058</v>
      </c>
      <c r="AJ388" s="5">
        <v>161370213308606</v>
      </c>
      <c r="AK388" s="5">
        <v>1545765239606</v>
      </c>
      <c r="AL388" s="5">
        <v>152716982617805</v>
      </c>
      <c r="AM388" s="5">
        <v>172822485186724</v>
      </c>
      <c r="AN388" s="5">
        <v>167080169645777</v>
      </c>
      <c r="AO388" s="5">
        <v>161719701824918</v>
      </c>
    </row>
    <row r="389" spans="1:41" x14ac:dyDescent="0.45">
      <c r="A389" s="1" t="s">
        <v>383</v>
      </c>
      <c r="B389" s="2">
        <v>4011047</v>
      </c>
      <c r="C389" s="3" t="s">
        <v>1378</v>
      </c>
      <c r="D389" s="3" t="s">
        <v>1379</v>
      </c>
      <c r="E389" s="3" t="s">
        <v>647</v>
      </c>
      <c r="F389" s="5">
        <v>488337432860942</v>
      </c>
      <c r="G389" s="5">
        <v>466901570799418</v>
      </c>
      <c r="H389" s="5">
        <v>467060584031127</v>
      </c>
      <c r="I389" s="5">
        <v>437610158408931</v>
      </c>
      <c r="J389" s="5">
        <v>470414439030888</v>
      </c>
      <c r="K389" s="5">
        <v>440842174428365</v>
      </c>
      <c r="L389" s="5">
        <v>391464045152778</v>
      </c>
      <c r="M389" s="5">
        <v>396173808904001</v>
      </c>
      <c r="N389" s="5">
        <v>398616455210337</v>
      </c>
      <c r="O389" s="5">
        <v>525901726753207</v>
      </c>
      <c r="P389" s="5">
        <v>54447824734151</v>
      </c>
      <c r="Q389" s="5">
        <v>54287699856223</v>
      </c>
      <c r="R389" s="5">
        <v>522957537290406</v>
      </c>
      <c r="S389" s="5">
        <v>588110467297349</v>
      </c>
      <c r="T389" s="5">
        <v>521148059259121</v>
      </c>
      <c r="U389" s="5">
        <v>534035936464027</v>
      </c>
      <c r="V389" s="5">
        <v>564690152415602</v>
      </c>
      <c r="W389" s="5">
        <v>633532588443308</v>
      </c>
      <c r="X389" s="5">
        <v>629381623586381</v>
      </c>
      <c r="Y389" s="5">
        <v>604826673491354</v>
      </c>
      <c r="Z389" s="5">
        <v>634673060427383</v>
      </c>
      <c r="AA389" s="5">
        <v>726826602489348</v>
      </c>
      <c r="AB389" s="5">
        <v>640411780217021</v>
      </c>
      <c r="AC389" s="5">
        <v>64071172564824</v>
      </c>
      <c r="AD389" s="5">
        <v>672437853022835</v>
      </c>
      <c r="AE389" s="5">
        <v>681505767035081</v>
      </c>
      <c r="AF389" s="5">
        <v>752443846626153</v>
      </c>
      <c r="AG389" s="5">
        <v>782815407435494</v>
      </c>
      <c r="AH389" s="5">
        <v>772572635580979</v>
      </c>
      <c r="AI389" s="5">
        <v>752343416981795</v>
      </c>
      <c r="AJ389" s="5">
        <v>641312246681037</v>
      </c>
      <c r="AK389" s="5">
        <v>572803274927697</v>
      </c>
      <c r="AL389" s="5">
        <v>637351465898456</v>
      </c>
      <c r="AM389" s="5">
        <v>645156604176973</v>
      </c>
      <c r="AN389" s="5">
        <v>715568487879127</v>
      </c>
      <c r="AO389" s="5">
        <v>745051986904191</v>
      </c>
    </row>
    <row r="390" spans="1:41" x14ac:dyDescent="0.45">
      <c r="A390" s="1" t="s">
        <v>384</v>
      </c>
      <c r="B390" s="2">
        <v>4217596</v>
      </c>
      <c r="C390" s="3" t="s">
        <v>1380</v>
      </c>
      <c r="D390" s="3" t="s">
        <v>1381</v>
      </c>
      <c r="E390" s="3" t="s">
        <v>559</v>
      </c>
      <c r="F390" s="5">
        <v>171506982671039</v>
      </c>
      <c r="G390" s="5">
        <v>160277830964045</v>
      </c>
      <c r="H390" s="5">
        <v>166681212633281</v>
      </c>
      <c r="I390" s="5">
        <v>188916834791206</v>
      </c>
      <c r="J390" s="5">
        <v>210807264260296</v>
      </c>
      <c r="K390" s="5">
        <v>201976603275198</v>
      </c>
      <c r="L390" s="5">
        <v>191265407660317</v>
      </c>
      <c r="M390" s="5">
        <v>19877898589365</v>
      </c>
      <c r="N390" s="5">
        <v>19256778003002</v>
      </c>
      <c r="O390" s="5">
        <v>216754852292709</v>
      </c>
      <c r="P390" s="5">
        <v>259454171745132</v>
      </c>
      <c r="Q390" s="5">
        <v>264791184492754</v>
      </c>
      <c r="R390" s="5">
        <v>269584682909788</v>
      </c>
      <c r="S390" s="5">
        <v>27018821940189</v>
      </c>
      <c r="T390" s="5">
        <v>245703942455925</v>
      </c>
      <c r="U390" s="5">
        <v>230393935890423</v>
      </c>
      <c r="V390" s="5">
        <v>222661491928683</v>
      </c>
      <c r="W390" s="5">
        <v>215181371358677</v>
      </c>
      <c r="X390" s="5">
        <v>111459717296171</v>
      </c>
      <c r="Y390" s="5">
        <v>1195940911062</v>
      </c>
      <c r="Z390" s="5">
        <v>103343267561028</v>
      </c>
      <c r="AA390" s="5">
        <v>10717958892241</v>
      </c>
      <c r="AB390" s="5">
        <v>9813040268042</v>
      </c>
      <c r="AC390" s="5">
        <v>960528140088712</v>
      </c>
      <c r="AD390" s="5">
        <v>955217407794034</v>
      </c>
      <c r="AE390" s="5">
        <v>824105533324572</v>
      </c>
      <c r="AF390" s="5">
        <v>77993982785355</v>
      </c>
      <c r="AG390" s="5">
        <v>801070550114785</v>
      </c>
      <c r="AH390" s="5">
        <v>96709054901455</v>
      </c>
      <c r="AI390" s="5">
        <v>947572367528907</v>
      </c>
      <c r="AJ390" s="5">
        <v>767694580752352</v>
      </c>
      <c r="AK390" s="5">
        <v>893135245543836</v>
      </c>
      <c r="AL390" s="5">
        <v>826800965148607</v>
      </c>
      <c r="AM390" s="5">
        <v>851221201638896</v>
      </c>
      <c r="AN390" s="5">
        <v>926707455230622</v>
      </c>
      <c r="AO390" s="5">
        <v>97036537561821</v>
      </c>
    </row>
    <row r="391" spans="1:41" x14ac:dyDescent="0.45">
      <c r="A391" s="1" t="s">
        <v>385</v>
      </c>
      <c r="B391" s="2">
        <v>4007403</v>
      </c>
      <c r="C391" s="3" t="s">
        <v>1382</v>
      </c>
      <c r="D391" s="3" t="s">
        <v>1383</v>
      </c>
      <c r="E391" s="3" t="s">
        <v>871</v>
      </c>
      <c r="F391" s="5">
        <v>152640005879117</v>
      </c>
      <c r="G391" s="5">
        <v>152516903991698</v>
      </c>
      <c r="H391" s="5">
        <v>151301346964205</v>
      </c>
      <c r="I391" s="5">
        <v>154063222075265</v>
      </c>
      <c r="J391" s="5">
        <v>145039040788758</v>
      </c>
      <c r="K391" s="5">
        <v>146466555075486</v>
      </c>
      <c r="L391" s="5">
        <v>138555406023445</v>
      </c>
      <c r="M391" s="5">
        <v>147814684839724</v>
      </c>
      <c r="N391" s="5">
        <v>144632859172052</v>
      </c>
      <c r="O391" s="5">
        <v>163439469683544</v>
      </c>
      <c r="P391" s="5">
        <v>171796624855354</v>
      </c>
      <c r="Q391" s="5">
        <v>179352327849055</v>
      </c>
      <c r="R391" s="5">
        <v>172116039351635</v>
      </c>
      <c r="S391" s="5">
        <v>183981831579312</v>
      </c>
      <c r="T391" s="5">
        <v>159648614011015</v>
      </c>
      <c r="U391" s="5">
        <v>136845301488208</v>
      </c>
      <c r="V391" s="5">
        <v>135146469135604</v>
      </c>
      <c r="W391" s="5">
        <v>13972268807768</v>
      </c>
      <c r="X391" s="5">
        <v>128609687515186</v>
      </c>
      <c r="Y391" s="5">
        <v>132642086626171</v>
      </c>
      <c r="Z391" s="5">
        <v>132110676271654</v>
      </c>
      <c r="AA391" s="5">
        <v>14456186849726</v>
      </c>
      <c r="AB391" s="5">
        <v>134426419651398</v>
      </c>
      <c r="AC391" s="5">
        <v>141043082708123</v>
      </c>
      <c r="AD391" s="5">
        <v>137921183495845</v>
      </c>
      <c r="AE391" s="5">
        <v>132933325891863</v>
      </c>
      <c r="AF391" s="5">
        <v>128857102740514</v>
      </c>
      <c r="AG391" s="5">
        <v>12751866143625</v>
      </c>
      <c r="AH391" s="5">
        <v>131047407789616</v>
      </c>
      <c r="AI391" s="5">
        <v>130816086275027</v>
      </c>
      <c r="AJ391" s="5">
        <v>139730500884948</v>
      </c>
      <c r="AK391" s="5">
        <v>123598627535605</v>
      </c>
      <c r="AL391" s="5">
        <v>124416986835312</v>
      </c>
      <c r="AM391" s="5">
        <v>12069598942472</v>
      </c>
      <c r="AN391" s="5">
        <v>124424095145748</v>
      </c>
      <c r="AO391" s="5">
        <v>121727158971433</v>
      </c>
    </row>
    <row r="392" spans="1:41" x14ac:dyDescent="0.45">
      <c r="A392" s="1" t="s">
        <v>386</v>
      </c>
      <c r="B392" s="2">
        <v>4121199</v>
      </c>
      <c r="C392" s="3" t="s">
        <v>1384</v>
      </c>
      <c r="D392" s="3" t="s">
        <v>1385</v>
      </c>
      <c r="E392" s="3" t="s">
        <v>849</v>
      </c>
      <c r="F392" s="5">
        <v>182042523710159</v>
      </c>
      <c r="G392" s="5">
        <v>155250699719315</v>
      </c>
      <c r="H392" s="5">
        <v>13585715667108</v>
      </c>
      <c r="I392" s="5">
        <v>142834739265881</v>
      </c>
      <c r="J392" s="5">
        <v>147715397927529</v>
      </c>
      <c r="K392" s="5">
        <v>142005536147773</v>
      </c>
      <c r="L392" s="5">
        <v>157412092114053</v>
      </c>
      <c r="M392" s="5">
        <v>167641946826274</v>
      </c>
      <c r="N392" s="5">
        <v>140437408380713</v>
      </c>
      <c r="O392" s="5">
        <v>184129225725061</v>
      </c>
      <c r="P392" s="5">
        <v>176919799968743</v>
      </c>
      <c r="Q392" s="5">
        <v>177198904486609</v>
      </c>
      <c r="R392" s="5">
        <v>194756013659552</v>
      </c>
      <c r="S392" s="5">
        <v>18394425094403</v>
      </c>
      <c r="T392" s="5">
        <v>168911069886154</v>
      </c>
      <c r="U392" s="5">
        <v>159173599492649</v>
      </c>
      <c r="V392" s="5">
        <v>156659021365889</v>
      </c>
      <c r="W392" s="5">
        <v>149145520448786</v>
      </c>
      <c r="X392" s="5">
        <v>159798126112143</v>
      </c>
      <c r="Y392" s="5">
        <v>148112970506503</v>
      </c>
      <c r="Z392" s="5">
        <v>145180079030494</v>
      </c>
      <c r="AA392" s="5">
        <v>161243229293333</v>
      </c>
      <c r="AB392" s="5">
        <v>189161609822896</v>
      </c>
      <c r="AC392" s="5">
        <v>164227480223479</v>
      </c>
      <c r="AD392" s="5">
        <v>155751452741797</v>
      </c>
      <c r="AE392" s="5">
        <v>139760043674455</v>
      </c>
      <c r="AF392" s="5">
        <v>125426818953891</v>
      </c>
      <c r="AG392" s="5">
        <v>152337708521451</v>
      </c>
      <c r="AH392" s="5">
        <v>173539076463496</v>
      </c>
      <c r="AI392" s="5">
        <v>184627298549468</v>
      </c>
      <c r="AJ392" s="5">
        <v>197375970160246</v>
      </c>
      <c r="AK392" s="5">
        <v>16678124756776</v>
      </c>
      <c r="AL392" s="5">
        <v>163322373586424</v>
      </c>
      <c r="AM392" s="5">
        <v>177987736324198</v>
      </c>
      <c r="AN392" s="5">
        <v>187986869468317</v>
      </c>
      <c r="AO392" s="5">
        <v>195542954048618</v>
      </c>
    </row>
    <row r="393" spans="1:41" x14ac:dyDescent="0.45">
      <c r="A393" s="1" t="s">
        <v>387</v>
      </c>
      <c r="B393" s="2">
        <v>4102347</v>
      </c>
      <c r="C393" s="3" t="s">
        <v>1386</v>
      </c>
      <c r="D393" s="3" t="s">
        <v>1387</v>
      </c>
      <c r="E393" s="3" t="s">
        <v>871</v>
      </c>
      <c r="F393" s="5">
        <v>979868511074606</v>
      </c>
      <c r="G393" s="5">
        <v>955312615204147</v>
      </c>
      <c r="H393" s="5">
        <v>908835434825028</v>
      </c>
      <c r="I393" s="5">
        <v>980631468933837</v>
      </c>
      <c r="J393" s="5">
        <v>983093625373069</v>
      </c>
      <c r="K393" s="5">
        <v>915435621444861</v>
      </c>
      <c r="L393" s="5">
        <v>892523042454713</v>
      </c>
      <c r="M393" s="5">
        <v>892125957277781</v>
      </c>
      <c r="N393" s="5">
        <v>818454465609721</v>
      </c>
      <c r="O393" s="5">
        <v>10992157650705</v>
      </c>
      <c r="P393" s="5">
        <v>128416791127628</v>
      </c>
      <c r="Q393" s="5">
        <v>130626360338575</v>
      </c>
      <c r="R393" s="5">
        <v>11955733868638</v>
      </c>
      <c r="S393" s="5">
        <v>130701226940705</v>
      </c>
      <c r="T393" s="5">
        <v>131960792040448</v>
      </c>
      <c r="U393" s="5">
        <v>152023532785201</v>
      </c>
      <c r="V393" s="5">
        <v>142479766044232</v>
      </c>
      <c r="W393" s="5">
        <v>150253494468739</v>
      </c>
      <c r="X393" s="5">
        <v>11473404515714</v>
      </c>
      <c r="Y393" s="5">
        <v>123686894846647</v>
      </c>
      <c r="Z393" s="5">
        <v>131467334693688</v>
      </c>
      <c r="AA393" s="5">
        <v>13944408452083</v>
      </c>
      <c r="AB393" s="5">
        <v>12704385868904</v>
      </c>
      <c r="AC393" s="5">
        <v>131839550834893</v>
      </c>
      <c r="AD393" s="5">
        <v>136065518582108</v>
      </c>
      <c r="AE393" s="5">
        <v>127779251399485</v>
      </c>
      <c r="AF393" s="5">
        <v>123415418365029</v>
      </c>
      <c r="AG393" s="5">
        <v>1210002273174</v>
      </c>
      <c r="AH393" s="5">
        <v>133338273926629</v>
      </c>
      <c r="AI393" s="5">
        <v>137947275580882</v>
      </c>
      <c r="AJ393" s="5">
        <v>13145519158194</v>
      </c>
      <c r="AK393" s="5">
        <v>107727246156756</v>
      </c>
      <c r="AL393" s="5">
        <v>119739200690504</v>
      </c>
      <c r="AM393" s="5">
        <v>11351468623233</v>
      </c>
      <c r="AN393" s="5">
        <v>123405531373933</v>
      </c>
      <c r="AO393" s="5">
        <v>121649153116826</v>
      </c>
    </row>
    <row r="394" spans="1:41" x14ac:dyDescent="0.45">
      <c r="A394" s="1" t="s">
        <v>388</v>
      </c>
      <c r="B394" s="2">
        <v>4071032</v>
      </c>
      <c r="C394" s="3" t="s">
        <v>1388</v>
      </c>
      <c r="D394" s="3" t="s">
        <v>1389</v>
      </c>
      <c r="E394" s="3" t="s">
        <v>749</v>
      </c>
      <c r="F394" s="5">
        <v>815546961747</v>
      </c>
      <c r="G394" s="5">
        <v>854231183344</v>
      </c>
      <c r="H394" s="5">
        <v>79712936301</v>
      </c>
      <c r="I394" s="5">
        <v>81961276086</v>
      </c>
      <c r="J394" s="5">
        <v>856999403577</v>
      </c>
      <c r="K394" s="5">
        <v>885985719624</v>
      </c>
      <c r="L394" s="5">
        <v>88665274698</v>
      </c>
      <c r="M394" s="5">
        <v>84076707414</v>
      </c>
      <c r="N394" s="5">
        <v>80179917948</v>
      </c>
      <c r="O394" s="5">
        <v>103089005901418</v>
      </c>
      <c r="P394" s="5">
        <v>12643480175256</v>
      </c>
      <c r="Q394" s="5">
        <v>117681245070652</v>
      </c>
      <c r="R394" s="5">
        <v>99931289575</v>
      </c>
      <c r="S394" s="5">
        <v>1101051184744</v>
      </c>
      <c r="T394" s="5">
        <v>10199425695</v>
      </c>
      <c r="U394" s="5">
        <v>990524839288</v>
      </c>
      <c r="V394" s="5">
        <v>968894351684</v>
      </c>
      <c r="W394" s="5">
        <v>8161963656</v>
      </c>
      <c r="X394" s="5">
        <v>822990426435</v>
      </c>
      <c r="Y394" s="5">
        <v>837867953874</v>
      </c>
      <c r="Z394" s="5">
        <v>937375490296</v>
      </c>
      <c r="AA394" s="5">
        <v>957958203509814</v>
      </c>
      <c r="AB394" s="5">
        <v>99399820580203</v>
      </c>
      <c r="AC394" s="5">
        <v>970830284734947</v>
      </c>
      <c r="AD394" s="5">
        <v>987340427649</v>
      </c>
      <c r="AE394" s="5">
        <v>103494454839</v>
      </c>
      <c r="AF394" s="5">
        <v>99999330264</v>
      </c>
      <c r="AG394" s="5">
        <v>987700136784</v>
      </c>
      <c r="AH394" s="5">
        <v>102902369472</v>
      </c>
      <c r="AI394" s="5">
        <v>105651711612101</v>
      </c>
      <c r="AJ394" s="5">
        <v>104017427098781</v>
      </c>
      <c r="AK394" s="5">
        <v>105022365721628</v>
      </c>
      <c r="AL394" s="5">
        <v>1190194036317</v>
      </c>
      <c r="AM394" s="5">
        <v>1101503509236</v>
      </c>
      <c r="AN394" s="5">
        <v>110526778854</v>
      </c>
      <c r="AO394" s="5">
        <v>115413149991886</v>
      </c>
    </row>
    <row r="395" spans="1:41" x14ac:dyDescent="0.45">
      <c r="A395" s="1" t="s">
        <v>389</v>
      </c>
      <c r="B395" s="2">
        <v>100447</v>
      </c>
      <c r="C395" s="3" t="s">
        <v>1390</v>
      </c>
      <c r="D395" s="3" t="s">
        <v>1391</v>
      </c>
      <c r="E395" s="3" t="s">
        <v>579</v>
      </c>
      <c r="F395" s="5">
        <v>306902407286322</v>
      </c>
      <c r="G395" s="5">
        <v>286694239128577</v>
      </c>
      <c r="H395" s="5">
        <v>280086745935079</v>
      </c>
      <c r="I395" s="5">
        <v>280504685738455</v>
      </c>
      <c r="J395" s="5">
        <v>278838060712807</v>
      </c>
      <c r="K395" s="5">
        <v>277147227963627</v>
      </c>
      <c r="L395" s="5">
        <v>258227700459981</v>
      </c>
      <c r="M395" s="5">
        <v>241981058022412</v>
      </c>
      <c r="N395" s="5">
        <v>224231019448457</v>
      </c>
      <c r="O395" s="5">
        <v>23894805630147</v>
      </c>
      <c r="P395" s="5">
        <v>275112841274725</v>
      </c>
      <c r="Q395" s="5">
        <v>282322923165401</v>
      </c>
      <c r="R395" s="5">
        <v>277915735705511</v>
      </c>
      <c r="S395" s="5">
        <v>273708125785768</v>
      </c>
      <c r="T395" s="5">
        <v>250552230783072</v>
      </c>
      <c r="U395" s="5">
        <v>236871969131064</v>
      </c>
      <c r="V395" s="5">
        <v>235154629331653</v>
      </c>
      <c r="W395" s="5">
        <v>234933084492414</v>
      </c>
      <c r="X395" s="5">
        <v>208062029875824</v>
      </c>
      <c r="Y395" s="5">
        <v>20998207015804</v>
      </c>
      <c r="Z395" s="5">
        <v>204397864051366</v>
      </c>
      <c r="AA395" s="5">
        <v>216139831630188</v>
      </c>
      <c r="AB395" s="5">
        <v>205948532580417</v>
      </c>
      <c r="AC395" s="5">
        <v>205581557708731</v>
      </c>
      <c r="AD395" s="5">
        <v>216249344160357</v>
      </c>
      <c r="AE395" s="5">
        <v>206037069103982</v>
      </c>
      <c r="AF395" s="5">
        <v>188767615670277</v>
      </c>
      <c r="AG395" s="5">
        <v>201584000255386</v>
      </c>
      <c r="AH395" s="5">
        <v>201948754202496</v>
      </c>
      <c r="AI395" s="5">
        <v>209448833580979</v>
      </c>
      <c r="AJ395" s="5">
        <v>224063329117578</v>
      </c>
      <c r="AK395" s="5">
        <v>213334576237569</v>
      </c>
      <c r="AL395" s="5">
        <v>218855262140326</v>
      </c>
      <c r="AM395" s="5">
        <v>239981286156894</v>
      </c>
      <c r="AN395" s="5">
        <v>287765581565182</v>
      </c>
      <c r="AO395" s="5">
        <v>293485804623617</v>
      </c>
    </row>
    <row r="396" spans="1:41" x14ac:dyDescent="0.45">
      <c r="A396" s="1" t="s">
        <v>390</v>
      </c>
      <c r="B396" s="2">
        <v>4120616</v>
      </c>
      <c r="C396" s="3" t="s">
        <v>1392</v>
      </c>
      <c r="D396" s="3" t="s">
        <v>1393</v>
      </c>
      <c r="E396" s="3" t="s">
        <v>1247</v>
      </c>
      <c r="F396" s="5">
        <v>210758333605753</v>
      </c>
      <c r="G396" s="5">
        <v>211365878048605</v>
      </c>
      <c r="H396" s="5">
        <v>198527965276704</v>
      </c>
      <c r="I396" s="5">
        <v>174932323600713</v>
      </c>
      <c r="J396" s="5">
        <v>164756539945782</v>
      </c>
      <c r="K396" s="5">
        <v>16554529948602</v>
      </c>
      <c r="L396" s="5">
        <v>161815489377461</v>
      </c>
      <c r="M396" s="5">
        <v>161015435810767</v>
      </c>
      <c r="N396" s="5">
        <v>171371592442225</v>
      </c>
      <c r="O396" s="5">
        <v>173466582928606</v>
      </c>
      <c r="P396" s="5">
        <v>194936545200071</v>
      </c>
      <c r="Q396" s="5">
        <v>187780834221939</v>
      </c>
      <c r="R396" s="5">
        <v>167743859772839</v>
      </c>
      <c r="S396" s="5">
        <v>209621423155355</v>
      </c>
      <c r="T396" s="5">
        <v>18545697991584</v>
      </c>
      <c r="U396" s="5">
        <v>174428712839332</v>
      </c>
      <c r="V396" s="5">
        <v>166722324591493</v>
      </c>
      <c r="W396" s="5">
        <v>193423547589149</v>
      </c>
      <c r="X396" s="5">
        <v>189914873315706</v>
      </c>
      <c r="Y396" s="5">
        <v>193967616566303</v>
      </c>
      <c r="Z396" s="5">
        <v>192203367660942</v>
      </c>
      <c r="AA396" s="5">
        <v>216753303453616</v>
      </c>
      <c r="AB396" s="5">
        <v>195790456111759</v>
      </c>
      <c r="AC396" s="5">
        <v>180004597537553</v>
      </c>
      <c r="AD396" s="5">
        <v>172892920643029</v>
      </c>
      <c r="AE396" s="5">
        <v>176752610775916</v>
      </c>
      <c r="AF396" s="5">
        <v>166988947335937</v>
      </c>
      <c r="AG396" s="5">
        <v>167800175813275</v>
      </c>
      <c r="AH396" s="5">
        <v>162788644639243</v>
      </c>
      <c r="AI396" s="5">
        <v>163473663884525</v>
      </c>
      <c r="AJ396" s="5">
        <v>168661626012956</v>
      </c>
      <c r="AK396" s="5">
        <v>145757373319383</v>
      </c>
      <c r="AL396" s="5">
        <v>160672786064891</v>
      </c>
      <c r="AM396" s="5">
        <v>177511826004633</v>
      </c>
      <c r="AN396" s="5">
        <v>203826798436521</v>
      </c>
      <c r="AO396" s="5">
        <v>195012866535664</v>
      </c>
    </row>
    <row r="397" spans="1:41" x14ac:dyDescent="0.45">
      <c r="A397" s="1" t="s">
        <v>391</v>
      </c>
      <c r="B397" s="2">
        <v>4810920</v>
      </c>
      <c r="C397" s="3" t="s">
        <v>1394</v>
      </c>
      <c r="D397" s="3" t="s">
        <v>1395</v>
      </c>
      <c r="E397" s="3" t="s">
        <v>506</v>
      </c>
      <c r="F397" s="5">
        <v>211921950539549</v>
      </c>
      <c r="G397" s="5">
        <v>225384665839428</v>
      </c>
      <c r="H397" s="5">
        <v>201267424682514</v>
      </c>
      <c r="I397" s="5">
        <v>207709904021059</v>
      </c>
      <c r="J397" s="5">
        <v>206339586491472</v>
      </c>
      <c r="K397" s="5">
        <v>194772136200693</v>
      </c>
      <c r="L397" s="5">
        <v>201215211039361</v>
      </c>
      <c r="M397" s="5">
        <v>212586076752636</v>
      </c>
      <c r="N397" s="5">
        <v>194620896767246</v>
      </c>
      <c r="O397" s="5">
        <v>206028544356016</v>
      </c>
      <c r="P397" s="5">
        <v>207044659910902</v>
      </c>
      <c r="Q397" s="5">
        <v>209543183550234</v>
      </c>
      <c r="R397" s="5">
        <v>195983796536101</v>
      </c>
      <c r="S397" s="5">
        <v>204941154804732</v>
      </c>
      <c r="T397" s="5">
        <v>201497526042206</v>
      </c>
      <c r="U397" s="5">
        <v>214453314460175</v>
      </c>
      <c r="V397" s="5">
        <v>214963307001929</v>
      </c>
      <c r="W397" s="5">
        <v>21808428222467</v>
      </c>
      <c r="X397" s="5">
        <v>202546969879127</v>
      </c>
      <c r="Y397" s="5">
        <v>203256974423765</v>
      </c>
      <c r="Z397" s="5">
        <v>189035707444259</v>
      </c>
      <c r="AA397" s="5">
        <v>205669907946265</v>
      </c>
      <c r="AB397" s="5">
        <v>212909701026504</v>
      </c>
      <c r="AC397" s="5">
        <v>199384865328006</v>
      </c>
      <c r="AD397" s="5">
        <v>196511835686255</v>
      </c>
      <c r="AE397" s="5">
        <v>182031279997436</v>
      </c>
      <c r="AF397" s="5">
        <v>196324162315744</v>
      </c>
      <c r="AG397" s="5">
        <v>204781772955505</v>
      </c>
      <c r="AH397" s="5">
        <v>209102436092639</v>
      </c>
      <c r="AI397" s="5">
        <v>201903133275934</v>
      </c>
      <c r="AJ397" s="5">
        <v>203301619589449</v>
      </c>
      <c r="AK397" s="5">
        <v>185099267575305</v>
      </c>
      <c r="AL397" s="5">
        <v>169622660534237</v>
      </c>
      <c r="AM397" s="5">
        <v>174794344477796</v>
      </c>
      <c r="AN397" s="5">
        <v>175856834958872</v>
      </c>
      <c r="AO397" s="5">
        <v>189797130887244</v>
      </c>
    </row>
    <row r="398" spans="1:41" x14ac:dyDescent="0.45">
      <c r="A398" s="1" t="s">
        <v>392</v>
      </c>
      <c r="B398" s="2">
        <v>4321488</v>
      </c>
      <c r="C398" s="3" t="s">
        <v>1396</v>
      </c>
      <c r="D398" s="3" t="s">
        <v>1397</v>
      </c>
      <c r="E398" s="3" t="s">
        <v>506</v>
      </c>
      <c r="F398" s="5">
        <v>114477371375432</v>
      </c>
      <c r="G398" s="5">
        <v>122415963534786</v>
      </c>
      <c r="H398" s="5">
        <v>118079462644864</v>
      </c>
      <c r="I398" s="5">
        <v>12045346136327</v>
      </c>
      <c r="J398" s="5">
        <v>127926295191253</v>
      </c>
      <c r="K398" s="5">
        <v>131206586416574</v>
      </c>
      <c r="L398" s="5">
        <v>128743296537267</v>
      </c>
      <c r="M398" s="5">
        <v>128873877303495</v>
      </c>
      <c r="N398" s="5">
        <v>125794368335646</v>
      </c>
      <c r="O398" s="5">
        <v>131455810744765</v>
      </c>
      <c r="P398" s="5">
        <v>141629658096578</v>
      </c>
      <c r="Q398" s="5">
        <v>143512531456099</v>
      </c>
      <c r="R398" s="5">
        <v>132576284266409</v>
      </c>
      <c r="S398" s="5">
        <v>141690190829012</v>
      </c>
      <c r="T398" s="5">
        <v>125089810711689</v>
      </c>
      <c r="U398" s="5">
        <v>123432488626381</v>
      </c>
      <c r="V398" s="5">
        <v>124175587872633</v>
      </c>
      <c r="W398" s="5">
        <v>115261612440836</v>
      </c>
      <c r="X398" s="5">
        <v>120972630561468</v>
      </c>
      <c r="Y398" s="5">
        <v>119815977131312</v>
      </c>
      <c r="Z398" s="5">
        <v>119667114756213</v>
      </c>
      <c r="AA398" s="5">
        <v>125987576843522</v>
      </c>
      <c r="AB398" s="5">
        <v>122796633394736</v>
      </c>
      <c r="AC398" s="5">
        <v>117481407033538</v>
      </c>
      <c r="AD398" s="5">
        <v>102933402318633</v>
      </c>
      <c r="AE398" s="5">
        <v>103219267140673</v>
      </c>
      <c r="AF398" s="5">
        <v>971333193208812</v>
      </c>
      <c r="AG398" s="5">
        <v>980532433336414</v>
      </c>
      <c r="AH398" s="5">
        <v>992866127916349</v>
      </c>
      <c r="AI398" s="5">
        <v>976224024458668</v>
      </c>
      <c r="AJ398" s="5">
        <v>106086224314285</v>
      </c>
      <c r="AK398" s="5">
        <v>981578321718465</v>
      </c>
      <c r="AL398" s="5">
        <v>102857557767518</v>
      </c>
      <c r="AM398" s="5">
        <v>995366181025284</v>
      </c>
      <c r="AN398" s="5">
        <v>93811103530367</v>
      </c>
      <c r="AO398" s="5">
        <v>884325907673264</v>
      </c>
    </row>
    <row r="399" spans="1:41" x14ac:dyDescent="0.45">
      <c r="A399" s="1" t="s">
        <v>393</v>
      </c>
      <c r="B399" s="2">
        <v>4276821</v>
      </c>
      <c r="C399" s="3" t="s">
        <v>1398</v>
      </c>
      <c r="D399" s="3" t="s">
        <v>1399</v>
      </c>
      <c r="E399" s="3" t="s">
        <v>600</v>
      </c>
      <c r="F399" s="5">
        <v>148820479900804</v>
      </c>
      <c r="G399" s="5">
        <v>174269245876079</v>
      </c>
      <c r="H399" s="5">
        <v>267716084195506</v>
      </c>
      <c r="I399" s="5">
        <v>242815687911787</v>
      </c>
      <c r="J399" s="5">
        <v>211041581869222</v>
      </c>
      <c r="K399" s="5">
        <v>307668890422748</v>
      </c>
      <c r="L399" s="5">
        <v>249064029551367</v>
      </c>
      <c r="M399" s="5">
        <v>210495351646204</v>
      </c>
      <c r="N399" s="5">
        <v>167586810430375</v>
      </c>
      <c r="O399" s="5">
        <v>188008055408425</v>
      </c>
      <c r="P399" s="5">
        <v>236485736903025</v>
      </c>
      <c r="Q399" s="5">
        <v>160673793155348</v>
      </c>
      <c r="R399" s="5">
        <v>172394116260506</v>
      </c>
      <c r="S399" s="5">
        <v>181151596212518</v>
      </c>
      <c r="T399" s="5">
        <v>156991864139337</v>
      </c>
      <c r="U399" s="5">
        <v>218617420698545</v>
      </c>
      <c r="V399" s="5">
        <v>231722564677684</v>
      </c>
      <c r="W399" s="5">
        <v>379636369446642</v>
      </c>
      <c r="X399" s="5">
        <v>447781384279401</v>
      </c>
      <c r="Y399" s="5">
        <v>423595966971216</v>
      </c>
      <c r="Z399" s="5">
        <v>470247726370442</v>
      </c>
      <c r="AA399" s="5">
        <v>547496844405263</v>
      </c>
      <c r="AB399" s="5">
        <v>44816447093708</v>
      </c>
      <c r="AC399" s="5">
        <v>272642771453407</v>
      </c>
      <c r="AD399" s="5">
        <v>143637740733409</v>
      </c>
      <c r="AE399" s="5">
        <v>139258850693126</v>
      </c>
      <c r="AF399" s="5">
        <v>119915749167372</v>
      </c>
      <c r="AG399" s="5">
        <v>13707034429334</v>
      </c>
      <c r="AH399" s="5">
        <v>134182052045007</v>
      </c>
      <c r="AI399" s="5">
        <v>15730119196401</v>
      </c>
      <c r="AJ399" s="5">
        <v>11983805530622</v>
      </c>
      <c r="AK399" s="5">
        <v>110295271804288</v>
      </c>
      <c r="AL399" s="5">
        <v>50386910563567</v>
      </c>
      <c r="AM399" s="5">
        <v>526012206578196</v>
      </c>
      <c r="AN399" s="5">
        <v>495005209184292</v>
      </c>
      <c r="AO399" s="5">
        <v>352435889547067</v>
      </c>
    </row>
    <row r="400" spans="1:41" x14ac:dyDescent="0.45">
      <c r="A400" s="1" t="s">
        <v>394</v>
      </c>
      <c r="B400" s="2">
        <v>4389036</v>
      </c>
      <c r="C400" s="3" t="s">
        <v>1400</v>
      </c>
      <c r="D400" s="3" t="s">
        <v>1401</v>
      </c>
      <c r="E400" s="3" t="s">
        <v>707</v>
      </c>
      <c r="F400" s="5">
        <v>255927969272194</v>
      </c>
      <c r="G400" s="5">
        <v>240289098882399</v>
      </c>
      <c r="H400" s="5">
        <v>232265192754311</v>
      </c>
      <c r="I400" s="5">
        <v>225302852517964</v>
      </c>
      <c r="J400" s="5">
        <v>242816163109222</v>
      </c>
      <c r="K400" s="5">
        <v>226603561985197</v>
      </c>
      <c r="L400" s="5">
        <v>21632399548194</v>
      </c>
      <c r="M400" s="5">
        <v>1934002017739</v>
      </c>
      <c r="N400" s="5">
        <v>174298014198071</v>
      </c>
      <c r="O400" s="5">
        <v>19040984181175</v>
      </c>
      <c r="P400" s="5">
        <v>22671694483711</v>
      </c>
      <c r="Q400" s="5">
        <v>25839096166399</v>
      </c>
      <c r="R400" s="5">
        <v>244444030700805</v>
      </c>
      <c r="S400" s="5">
        <v>249162713311236</v>
      </c>
      <c r="T400" s="5">
        <v>19772441785609</v>
      </c>
      <c r="U400" s="5">
        <v>17675489774616</v>
      </c>
      <c r="V400" s="5">
        <v>179591273784023</v>
      </c>
      <c r="W400" s="5">
        <v>18547973268862</v>
      </c>
      <c r="X400" s="5">
        <v>176849584339235</v>
      </c>
      <c r="Y400" s="5">
        <v>162175383189063</v>
      </c>
      <c r="Z400" s="5">
        <v>165155303122438</v>
      </c>
      <c r="AA400" s="5">
        <v>162413983862666</v>
      </c>
      <c r="AB400" s="5">
        <v>155441229694813</v>
      </c>
      <c r="AC400" s="5">
        <v>148251532136484</v>
      </c>
      <c r="AD400" s="5">
        <v>142971446435495</v>
      </c>
      <c r="AE400" s="5">
        <v>122779411642542</v>
      </c>
      <c r="AF400" s="5">
        <v>10986226440057</v>
      </c>
      <c r="AG400" s="5">
        <v>120781872850402</v>
      </c>
      <c r="AH400" s="5">
        <v>124460311410096</v>
      </c>
      <c r="AI400" s="5">
        <v>131065245205638</v>
      </c>
      <c r="AJ400" s="5">
        <v>133159963671347</v>
      </c>
      <c r="AK400" s="5">
        <v>124498758044264</v>
      </c>
      <c r="AL400" s="5">
        <v>114595533459403</v>
      </c>
      <c r="AM400" s="5">
        <v>116973474495571</v>
      </c>
      <c r="AN400" s="5">
        <v>147013470809112</v>
      </c>
      <c r="AO400" s="5">
        <v>152360995890601</v>
      </c>
    </row>
    <row r="401" spans="1:41" x14ac:dyDescent="0.45">
      <c r="A401" s="1" t="s">
        <v>395</v>
      </c>
      <c r="B401" s="2">
        <v>4089979</v>
      </c>
      <c r="C401" s="3" t="s">
        <v>1402</v>
      </c>
      <c r="D401" s="3" t="s">
        <v>1403</v>
      </c>
      <c r="E401" s="3" t="s">
        <v>515</v>
      </c>
      <c r="F401" s="5">
        <v>765388617430999</v>
      </c>
      <c r="G401" s="5">
        <v>669608779353496</v>
      </c>
      <c r="H401" s="5">
        <v>730850332310056</v>
      </c>
      <c r="I401" s="5">
        <v>781103441426239</v>
      </c>
      <c r="J401" s="5">
        <v>954731243254365</v>
      </c>
      <c r="K401" s="5">
        <v>102473366857348</v>
      </c>
      <c r="L401" s="5">
        <v>677350451043048</v>
      </c>
      <c r="M401" s="5">
        <v>634461724152684</v>
      </c>
      <c r="N401" s="5">
        <v>625548627801075</v>
      </c>
      <c r="O401" s="5">
        <v>613489198870735</v>
      </c>
      <c r="P401" s="5">
        <v>679542567543374</v>
      </c>
      <c r="Q401" s="5">
        <v>781493466003983</v>
      </c>
      <c r="R401" s="5">
        <v>724678027228136</v>
      </c>
      <c r="S401" s="5">
        <v>813134110644816</v>
      </c>
      <c r="T401" s="5">
        <v>726646482064286</v>
      </c>
      <c r="U401" s="5">
        <v>697451366647419</v>
      </c>
      <c r="V401" s="5">
        <v>721604061761088</v>
      </c>
      <c r="W401" s="5">
        <v>790422947564342</v>
      </c>
      <c r="X401" s="5">
        <v>850915446549313</v>
      </c>
      <c r="Y401" s="5">
        <v>792301376864522</v>
      </c>
      <c r="Z401" s="5">
        <v>756933639373839</v>
      </c>
      <c r="AA401" s="5">
        <v>80710057897443</v>
      </c>
      <c r="AB401" s="5">
        <v>809637263080489</v>
      </c>
      <c r="AC401" s="5">
        <v>747150310131442</v>
      </c>
      <c r="AD401" s="5">
        <v>708014269636316</v>
      </c>
      <c r="AE401" s="5">
        <v>75735711866111</v>
      </c>
      <c r="AF401" s="5">
        <v>675746359051723</v>
      </c>
      <c r="AG401" s="5">
        <v>659488440847254</v>
      </c>
      <c r="AH401" s="5">
        <v>643461428460459</v>
      </c>
      <c r="AI401" s="5">
        <v>623798387973025</v>
      </c>
      <c r="AJ401" s="5">
        <v>606866437207892</v>
      </c>
      <c r="AK401" s="5">
        <v>64955237966623</v>
      </c>
      <c r="AL401" s="5">
        <v>512423640513682</v>
      </c>
      <c r="AM401" s="5">
        <v>541439315310465</v>
      </c>
      <c r="AN401" s="5">
        <v>521879850600398</v>
      </c>
      <c r="AO401" s="5">
        <v>496419180949642</v>
      </c>
    </row>
    <row r="402" spans="1:41" x14ac:dyDescent="0.45">
      <c r="A402" s="1" t="s">
        <v>396</v>
      </c>
      <c r="B402" s="2">
        <v>4064204</v>
      </c>
      <c r="C402" s="3" t="s">
        <v>1404</v>
      </c>
      <c r="D402" s="3" t="s">
        <v>1405</v>
      </c>
      <c r="E402" s="3" t="s">
        <v>1406</v>
      </c>
      <c r="F402" s="5">
        <v>300541688952123</v>
      </c>
      <c r="G402" s="5">
        <v>314682968317133</v>
      </c>
      <c r="H402" s="5">
        <v>308390159408026</v>
      </c>
      <c r="I402" s="5">
        <v>335601694666664</v>
      </c>
      <c r="J402" s="5">
        <v>328980466796237</v>
      </c>
      <c r="K402" s="5">
        <v>332272062946094</v>
      </c>
      <c r="L402" s="5">
        <v>312629011095774</v>
      </c>
      <c r="M402" s="5">
        <v>311864509219669</v>
      </c>
      <c r="N402" s="5">
        <v>305063733986248</v>
      </c>
      <c r="O402" s="5">
        <v>339657504078252</v>
      </c>
      <c r="P402" s="5">
        <v>355188030634881</v>
      </c>
      <c r="Q402" s="5">
        <v>343225573287058</v>
      </c>
      <c r="R402" s="5">
        <v>362783806726354</v>
      </c>
      <c r="S402" s="5">
        <v>359011897643938</v>
      </c>
      <c r="T402" s="5">
        <v>33908821895595</v>
      </c>
      <c r="U402" s="5">
        <v>344008355792601</v>
      </c>
      <c r="V402" s="5">
        <v>346486017667634</v>
      </c>
      <c r="W402" s="5">
        <v>34828578874089</v>
      </c>
      <c r="X402" s="5">
        <v>331797199315532</v>
      </c>
      <c r="Y402" s="5">
        <v>334381902706552</v>
      </c>
      <c r="Z402" s="5">
        <v>34677302064436</v>
      </c>
      <c r="AA402" s="5">
        <v>374151135770961</v>
      </c>
      <c r="AB402" s="5">
        <v>372901100208626</v>
      </c>
      <c r="AC402" s="5">
        <v>371347044997484</v>
      </c>
      <c r="AD402" s="5">
        <v>333696081436707</v>
      </c>
      <c r="AE402" s="5">
        <v>333756414411758</v>
      </c>
      <c r="AF402" s="5">
        <v>317309077430121</v>
      </c>
      <c r="AG402" s="5">
        <v>315094127532219</v>
      </c>
      <c r="AH402" s="5">
        <v>324249745945531</v>
      </c>
      <c r="AI402" s="5">
        <v>350845553828027</v>
      </c>
      <c r="AJ402" s="5">
        <v>344377784439696</v>
      </c>
      <c r="AK402" s="5">
        <v>33255630327609</v>
      </c>
      <c r="AL402" s="5">
        <v>352957957240042</v>
      </c>
      <c r="AM402" s="5">
        <v>360817586197353</v>
      </c>
      <c r="AN402" s="5">
        <v>356566138584139</v>
      </c>
      <c r="AO402" s="5">
        <v>361813199335616</v>
      </c>
    </row>
    <row r="403" spans="1:41" x14ac:dyDescent="0.45">
      <c r="A403" s="1" t="s">
        <v>397</v>
      </c>
      <c r="B403" s="2">
        <v>4091145</v>
      </c>
      <c r="C403" s="3" t="s">
        <v>1407</v>
      </c>
      <c r="D403" s="3" t="s">
        <v>1408</v>
      </c>
      <c r="E403" s="3" t="s">
        <v>1409</v>
      </c>
      <c r="F403" s="5">
        <v>193422420236667</v>
      </c>
      <c r="G403" s="5">
        <v>201611069881984</v>
      </c>
      <c r="H403" s="5">
        <v>203694988658057</v>
      </c>
      <c r="I403" s="5">
        <v>229612014380402</v>
      </c>
      <c r="J403" s="5">
        <v>242444804160367</v>
      </c>
      <c r="K403" s="5">
        <v>234557609821103</v>
      </c>
      <c r="L403" s="5">
        <v>230357275444416</v>
      </c>
      <c r="M403" s="5">
        <v>242361734785393</v>
      </c>
      <c r="N403" s="5">
        <v>247142946527317</v>
      </c>
      <c r="O403" s="5">
        <v>281737089396056</v>
      </c>
      <c r="P403" s="5">
        <v>2959392171764</v>
      </c>
      <c r="Q403" s="5">
        <v>255911212483824</v>
      </c>
      <c r="R403" s="5">
        <v>247419358985615</v>
      </c>
      <c r="S403" s="5">
        <v>271611588953978</v>
      </c>
      <c r="T403" s="5">
        <v>238515238538633</v>
      </c>
      <c r="U403" s="5">
        <v>215881154064522</v>
      </c>
      <c r="V403" s="5">
        <v>209627630358439</v>
      </c>
      <c r="W403" s="5">
        <v>196517607626562</v>
      </c>
      <c r="X403" s="5">
        <v>193223434670962</v>
      </c>
      <c r="Y403" s="5">
        <v>189582706184064</v>
      </c>
      <c r="Z403" s="5">
        <v>179916874972268</v>
      </c>
      <c r="AA403" s="5">
        <v>179346462592611</v>
      </c>
      <c r="AB403" s="5">
        <v>179298695920187</v>
      </c>
      <c r="AC403" s="5">
        <v>177703774726121</v>
      </c>
      <c r="AD403" s="5">
        <v>167747344670758</v>
      </c>
      <c r="AE403" s="5">
        <v>159532964769231</v>
      </c>
      <c r="AF403" s="5">
        <v>157469680267559</v>
      </c>
      <c r="AG403" s="5">
        <v>155667926433786</v>
      </c>
      <c r="AH403" s="5">
        <v>147789498250053</v>
      </c>
      <c r="AI403" s="5">
        <v>147071856987448</v>
      </c>
      <c r="AJ403" s="5">
        <v>152665198063866</v>
      </c>
      <c r="AK403" s="5">
        <v>154524161462579</v>
      </c>
      <c r="AL403" s="5">
        <v>156451326749002</v>
      </c>
      <c r="AM403" s="5">
        <v>162556859860069</v>
      </c>
      <c r="AN403" s="5">
        <v>163316320926172</v>
      </c>
      <c r="AO403" s="5">
        <v>17103351670536</v>
      </c>
    </row>
    <row r="404" spans="1:41" x14ac:dyDescent="0.45">
      <c r="A404" s="1" t="s">
        <v>398</v>
      </c>
      <c r="B404" s="2">
        <v>4055767</v>
      </c>
      <c r="C404" s="3" t="s">
        <v>1410</v>
      </c>
      <c r="D404" s="3" t="s">
        <v>1411</v>
      </c>
      <c r="E404" s="3" t="s">
        <v>579</v>
      </c>
      <c r="F404" s="5">
        <v>19029621727902</v>
      </c>
      <c r="G404" s="5">
        <v>19268692941344</v>
      </c>
      <c r="H404" s="5">
        <v>1939985294187</v>
      </c>
      <c r="I404" s="5">
        <v>192207051021774</v>
      </c>
      <c r="J404" s="5">
        <v>202147552967155</v>
      </c>
      <c r="K404" s="5">
        <v>195393028829479</v>
      </c>
      <c r="L404" s="5">
        <v>18103317871938</v>
      </c>
      <c r="M404" s="5">
        <v>181718619522883</v>
      </c>
      <c r="N404" s="5">
        <v>173455676996402</v>
      </c>
      <c r="O404" s="5">
        <v>188901865632689</v>
      </c>
      <c r="P404" s="5">
        <v>226213315519541</v>
      </c>
      <c r="Q404" s="5">
        <v>24990437082092</v>
      </c>
      <c r="R404" s="5">
        <v>242672855691356</v>
      </c>
      <c r="S404" s="5">
        <v>260760904232774</v>
      </c>
      <c r="T404" s="5">
        <v>22522682976565</v>
      </c>
      <c r="U404" s="5">
        <v>217403803148626</v>
      </c>
      <c r="V404" s="5">
        <v>213406226846514</v>
      </c>
      <c r="W404" s="5">
        <v>234907564263926</v>
      </c>
      <c r="X404" s="5">
        <v>240312727368742</v>
      </c>
      <c r="Y404" s="5">
        <v>242617673627488</v>
      </c>
      <c r="Z404" s="5">
        <v>228815106916232</v>
      </c>
      <c r="AA404" s="5">
        <v>252434753146126</v>
      </c>
      <c r="AB404" s="5">
        <v>234526495625106</v>
      </c>
      <c r="AC404" s="5">
        <v>223377282130603</v>
      </c>
      <c r="AD404" s="5">
        <v>217720752126043</v>
      </c>
      <c r="AE404" s="5">
        <v>205166309997698</v>
      </c>
      <c r="AF404" s="5">
        <v>19142076880773</v>
      </c>
      <c r="AG404" s="5">
        <v>222234221799564</v>
      </c>
      <c r="AH404" s="5">
        <v>232091731218299</v>
      </c>
      <c r="AI404" s="5">
        <v>250865374553463</v>
      </c>
      <c r="AJ404" s="5">
        <v>230434034491058</v>
      </c>
      <c r="AK404" s="5">
        <v>22580315351289</v>
      </c>
      <c r="AL404" s="5">
        <v>228515017437292</v>
      </c>
      <c r="AM404" s="5">
        <v>233299285498578</v>
      </c>
      <c r="AN404" s="5">
        <v>237341715378902</v>
      </c>
      <c r="AO404" s="5">
        <v>240525702747</v>
      </c>
    </row>
    <row r="405" spans="1:41" x14ac:dyDescent="0.45">
      <c r="A405" s="1" t="s">
        <v>399</v>
      </c>
      <c r="B405" s="2">
        <v>4965854</v>
      </c>
      <c r="C405" s="3" t="s">
        <v>1412</v>
      </c>
      <c r="D405" s="3" t="s">
        <v>1413</v>
      </c>
      <c r="E405" s="3" t="s">
        <v>895</v>
      </c>
      <c r="F405" s="5">
        <v>402930108748228</v>
      </c>
      <c r="G405" s="5">
        <v>39212057848863</v>
      </c>
      <c r="H405" s="5">
        <v>410027086931315</v>
      </c>
      <c r="I405" s="5">
        <v>406203827416083</v>
      </c>
      <c r="J405" s="5">
        <v>367875150953849</v>
      </c>
      <c r="K405" s="5">
        <v>359177059108548</v>
      </c>
      <c r="L405" s="5">
        <v>378186972884292</v>
      </c>
      <c r="M405" s="5">
        <v>364715100518581</v>
      </c>
      <c r="N405" s="5">
        <v>362960327184231</v>
      </c>
      <c r="O405" s="5">
        <v>338426456853762</v>
      </c>
      <c r="P405" s="5">
        <v>359581722832985</v>
      </c>
      <c r="Q405" s="5">
        <v>313458311505729</v>
      </c>
      <c r="R405" s="5">
        <v>31227054521667</v>
      </c>
      <c r="S405" s="5">
        <v>313576672073345</v>
      </c>
      <c r="T405" s="5">
        <v>261073385245889</v>
      </c>
      <c r="U405" s="5">
        <v>241568384407348</v>
      </c>
      <c r="V405" s="5">
        <v>256266940524585</v>
      </c>
      <c r="W405" s="5">
        <v>243801245902368</v>
      </c>
      <c r="X405" s="5">
        <v>253963062602557</v>
      </c>
      <c r="Y405" s="5">
        <v>25342406716091</v>
      </c>
      <c r="Z405" s="5">
        <v>227828236959118</v>
      </c>
      <c r="AA405" s="5">
        <v>234508622576213</v>
      </c>
      <c r="AB405" s="5">
        <v>231869481917496</v>
      </c>
      <c r="AC405" s="5">
        <v>258529960906352</v>
      </c>
      <c r="AD405" s="5">
        <v>247637952972633</v>
      </c>
      <c r="AE405" s="5">
        <v>246689171230796</v>
      </c>
      <c r="AF405" s="5">
        <v>214996514527294</v>
      </c>
      <c r="AG405" s="5">
        <v>2252646625512</v>
      </c>
      <c r="AH405" s="5">
        <v>222662403943596</v>
      </c>
      <c r="AI405" s="5">
        <v>23561109543104</v>
      </c>
      <c r="AJ405" s="5">
        <v>228259223392491</v>
      </c>
      <c r="AK405" s="5">
        <v>21883326813545</v>
      </c>
      <c r="AL405" s="5">
        <v>189959852874464</v>
      </c>
      <c r="AM405" s="5">
        <v>185210907534479</v>
      </c>
      <c r="AN405" s="5">
        <v>174065535621369</v>
      </c>
      <c r="AO405" s="5">
        <v>174952883777675</v>
      </c>
    </row>
    <row r="406" spans="1:41" x14ac:dyDescent="0.45">
      <c r="A406" s="1" t="s">
        <v>400</v>
      </c>
      <c r="B406" s="2">
        <v>4112718</v>
      </c>
      <c r="C406" s="3" t="s">
        <v>1414</v>
      </c>
      <c r="D406" s="3" t="s">
        <v>1415</v>
      </c>
      <c r="E406" s="3" t="s">
        <v>1151</v>
      </c>
      <c r="F406" s="5">
        <v>222703357590662</v>
      </c>
      <c r="G406" s="5">
        <v>192868213125181</v>
      </c>
      <c r="H406" s="5">
        <v>197098100183815</v>
      </c>
      <c r="I406" s="5">
        <v>199754945497122</v>
      </c>
      <c r="J406" s="5">
        <v>181163122567505</v>
      </c>
      <c r="K406" s="5">
        <v>196142213445944</v>
      </c>
      <c r="L406" s="5">
        <v>155290369445716</v>
      </c>
      <c r="M406" s="5">
        <v>143775820005889</v>
      </c>
      <c r="N406" s="5">
        <v>128910420123323</v>
      </c>
      <c r="O406" s="5">
        <v>134856778170627</v>
      </c>
      <c r="P406" s="5">
        <v>16995382987582</v>
      </c>
      <c r="Q406" s="5">
        <v>160832887870318</v>
      </c>
      <c r="R406" s="5">
        <v>144621782731925</v>
      </c>
      <c r="S406" s="5">
        <v>13755863558178</v>
      </c>
      <c r="T406" s="5">
        <v>101728814791227</v>
      </c>
      <c r="U406" s="5">
        <v>980527739916737</v>
      </c>
      <c r="V406" s="5">
        <v>852760043148442</v>
      </c>
      <c r="W406" s="5">
        <v>851152726347</v>
      </c>
      <c r="X406" s="5">
        <v>917620314308775</v>
      </c>
      <c r="Y406" s="5">
        <v>921439651224925</v>
      </c>
      <c r="Z406" s="5">
        <v>856296883065434</v>
      </c>
      <c r="AA406" s="5">
        <v>100822443615195</v>
      </c>
      <c r="AB406" s="5">
        <v>100852304794785</v>
      </c>
      <c r="AC406" s="5">
        <v>819404328060829</v>
      </c>
      <c r="AD406" s="5">
        <v>763236786305096</v>
      </c>
      <c r="AE406" s="5">
        <v>665516645964633</v>
      </c>
      <c r="AF406" s="5">
        <v>597695640755616</v>
      </c>
      <c r="AG406" s="5">
        <v>6223833851952</v>
      </c>
      <c r="AH406" s="5">
        <v>6987169528794</v>
      </c>
      <c r="AI406" s="5">
        <v>9075882918518</v>
      </c>
      <c r="AJ406" s="5">
        <v>908758638944</v>
      </c>
      <c r="AK406" s="5">
        <v>87041849471148</v>
      </c>
      <c r="AL406" s="5">
        <v>872959086558959</v>
      </c>
      <c r="AM406" s="5">
        <v>93671138234335</v>
      </c>
      <c r="AN406" s="5">
        <v>967589508689028</v>
      </c>
      <c r="AO406" s="5">
        <v>10109844392185</v>
      </c>
    </row>
    <row r="407" spans="1:41" x14ac:dyDescent="0.45">
      <c r="A407" s="1" t="s">
        <v>401</v>
      </c>
      <c r="B407" s="2">
        <v>4276678</v>
      </c>
      <c r="C407" s="3" t="s">
        <v>1416</v>
      </c>
      <c r="D407" s="3" t="s">
        <v>1417</v>
      </c>
      <c r="E407" s="3" t="s">
        <v>1117</v>
      </c>
      <c r="F407" s="5">
        <v>337311569578986</v>
      </c>
      <c r="G407" s="5">
        <v>32453658158014</v>
      </c>
      <c r="H407" s="5">
        <v>287394485487634</v>
      </c>
      <c r="I407" s="5">
        <v>307281789101014</v>
      </c>
      <c r="J407" s="5">
        <v>308623901947404</v>
      </c>
      <c r="K407" s="5">
        <v>315582971196413</v>
      </c>
      <c r="L407" s="5">
        <v>321556185595341</v>
      </c>
      <c r="M407" s="5">
        <v>30193380735885</v>
      </c>
      <c r="N407" s="5">
        <v>327751527166783</v>
      </c>
      <c r="O407" s="5">
        <v>403566055093882</v>
      </c>
      <c r="P407" s="5">
        <v>422850329166674</v>
      </c>
      <c r="Q407" s="5">
        <v>412884038451758</v>
      </c>
      <c r="R407" s="5">
        <v>375969982109495</v>
      </c>
      <c r="S407" s="5">
        <v>422248247941426</v>
      </c>
      <c r="T407" s="5">
        <v>336879226745342</v>
      </c>
      <c r="U407" s="5">
        <v>290731412614309</v>
      </c>
      <c r="V407" s="5">
        <v>290964785088851</v>
      </c>
      <c r="W407" s="5">
        <v>277142793278736</v>
      </c>
      <c r="X407" s="5">
        <v>266481896579229</v>
      </c>
      <c r="Y407" s="5">
        <v>241715074342689</v>
      </c>
      <c r="Z407" s="5">
        <v>237375938524993</v>
      </c>
      <c r="AA407" s="5">
        <v>230725316564982</v>
      </c>
      <c r="AB407" s="5">
        <v>202807664248221</v>
      </c>
      <c r="AC407" s="5">
        <v>174606912297792</v>
      </c>
      <c r="AD407" s="5">
        <v>175239398195484</v>
      </c>
      <c r="AE407" s="5">
        <v>18492170335038</v>
      </c>
      <c r="AF407" s="5">
        <v>177038888177497</v>
      </c>
      <c r="AG407" s="5">
        <v>181180677269367</v>
      </c>
      <c r="AH407" s="5">
        <v>1779016010439</v>
      </c>
      <c r="AI407" s="5">
        <v>16815308858112</v>
      </c>
      <c r="AJ407" s="5">
        <v>157552506881424</v>
      </c>
      <c r="AK407" s="5">
        <v>144316182825481</v>
      </c>
      <c r="AL407" s="5">
        <v>154858088072819</v>
      </c>
      <c r="AM407" s="5">
        <v>151928826776438</v>
      </c>
      <c r="AN407" s="5">
        <v>158199285870756</v>
      </c>
      <c r="AO407" s="5">
        <v>156359548871937</v>
      </c>
    </row>
    <row r="408" spans="1:41" x14ac:dyDescent="0.45">
      <c r="A408" s="1" t="s">
        <v>402</v>
      </c>
      <c r="B408" s="2">
        <v>4094305</v>
      </c>
      <c r="C408" s="3" t="s">
        <v>1418</v>
      </c>
      <c r="D408" s="3" t="s">
        <v>1419</v>
      </c>
      <c r="E408" s="3" t="s">
        <v>809</v>
      </c>
      <c r="F408" s="5">
        <v>376977983620861</v>
      </c>
      <c r="G408" s="5">
        <v>353871330975156</v>
      </c>
      <c r="H408" s="5">
        <v>365283477652195</v>
      </c>
      <c r="I408" s="5">
        <v>347394101274839</v>
      </c>
      <c r="J408" s="5">
        <v>372849505193867</v>
      </c>
      <c r="K408" s="5">
        <v>399192704007471</v>
      </c>
      <c r="L408" s="5">
        <v>38166951507803</v>
      </c>
      <c r="M408" s="5">
        <v>376446751705077</v>
      </c>
      <c r="N408" s="5">
        <v>38725702457527</v>
      </c>
      <c r="O408" s="5">
        <v>439876715912686</v>
      </c>
      <c r="P408" s="5">
        <v>547137411316665</v>
      </c>
      <c r="Q408" s="5">
        <v>60797030058224</v>
      </c>
      <c r="R408" s="5">
        <v>598288974422483</v>
      </c>
      <c r="S408" s="5">
        <v>574613420649733</v>
      </c>
      <c r="T408" s="5">
        <v>636591763625954</v>
      </c>
      <c r="U408" s="5">
        <v>643765555367786</v>
      </c>
      <c r="V408" s="5">
        <v>639821102248108</v>
      </c>
      <c r="W408" s="5">
        <v>642966942571153</v>
      </c>
      <c r="X408" s="5">
        <v>639205207585164</v>
      </c>
      <c r="Y408" s="5">
        <v>666174162477089</v>
      </c>
      <c r="Z408" s="5">
        <v>696485704694855</v>
      </c>
      <c r="AA408" s="5">
        <v>757453651969897</v>
      </c>
      <c r="AB408" s="5">
        <v>653095830040456</v>
      </c>
      <c r="AC408" s="5">
        <v>591804427618248</v>
      </c>
      <c r="AD408" s="5">
        <v>594839106061132</v>
      </c>
      <c r="AE408" s="5">
        <v>566414658284402</v>
      </c>
      <c r="AF408" s="5">
        <v>48405211445984</v>
      </c>
      <c r="AG408" s="5">
        <v>482223238227527</v>
      </c>
      <c r="AH408" s="5">
        <v>538597100946024</v>
      </c>
      <c r="AI408" s="5">
        <v>571562551225233</v>
      </c>
      <c r="AJ408" s="5">
        <v>557658169456848</v>
      </c>
      <c r="AK408" s="5">
        <v>567033455992118</v>
      </c>
      <c r="AL408" s="5">
        <v>658031743816645</v>
      </c>
      <c r="AM408" s="5">
        <v>701805808381153</v>
      </c>
      <c r="AN408" s="5">
        <v>73069489856469</v>
      </c>
      <c r="AO408" s="5">
        <v>729542227094382</v>
      </c>
    </row>
    <row r="409" spans="1:41" x14ac:dyDescent="0.45">
      <c r="A409" s="1" t="s">
        <v>403</v>
      </c>
      <c r="B409" s="2">
        <v>4558889</v>
      </c>
      <c r="C409" s="3" t="s">
        <v>1420</v>
      </c>
      <c r="D409" s="3" t="s">
        <v>1421</v>
      </c>
      <c r="E409" s="3" t="s">
        <v>1092</v>
      </c>
      <c r="F409" s="5">
        <v>570051287459487</v>
      </c>
      <c r="G409" s="5">
        <v>57376246420453</v>
      </c>
      <c r="H409" s="5">
        <v>630818857985645</v>
      </c>
      <c r="I409" s="5">
        <v>552861881802997</v>
      </c>
      <c r="J409" s="5">
        <v>521633716544434</v>
      </c>
      <c r="K409" s="5">
        <v>531472659231751</v>
      </c>
      <c r="L409" s="5">
        <v>425907530460751</v>
      </c>
      <c r="M409" s="5">
        <v>418337249560375</v>
      </c>
      <c r="N409" s="5">
        <v>382602330141893</v>
      </c>
      <c r="O409" s="5">
        <v>390094586970595</v>
      </c>
      <c r="P409" s="5">
        <v>441676775771309</v>
      </c>
      <c r="Q409" s="5">
        <v>424741366149097</v>
      </c>
      <c r="R409" s="5">
        <v>413127120268189</v>
      </c>
      <c r="S409" s="5">
        <v>428494519658578</v>
      </c>
      <c r="T409" s="5">
        <v>412641977090288</v>
      </c>
      <c r="U409" s="5">
        <v>411437893900057</v>
      </c>
      <c r="V409" s="5">
        <v>422051116514611</v>
      </c>
      <c r="W409" s="5">
        <v>43339080806369</v>
      </c>
      <c r="X409" s="5">
        <v>428874488771839</v>
      </c>
      <c r="Y409" s="5">
        <v>422712821593148</v>
      </c>
      <c r="Z409" s="5">
        <v>405177338960634</v>
      </c>
      <c r="AA409" s="5">
        <v>416055328302648</v>
      </c>
      <c r="AB409" s="5">
        <v>410107769989484</v>
      </c>
      <c r="AC409" s="5">
        <v>404701215421422</v>
      </c>
      <c r="AD409" s="5">
        <v>395032624179962</v>
      </c>
      <c r="AE409" s="5">
        <v>373289107594225</v>
      </c>
      <c r="AF409" s="5">
        <v>350182914394556</v>
      </c>
      <c r="AG409" s="5">
        <v>366401357194036</v>
      </c>
      <c r="AH409" s="5">
        <v>383204721015868</v>
      </c>
      <c r="AI409" s="5">
        <v>408756957749458</v>
      </c>
      <c r="AJ409" s="5">
        <v>404565400982323</v>
      </c>
      <c r="AK409" s="5">
        <v>362139643776149</v>
      </c>
      <c r="AL409" s="5">
        <v>349397880758759</v>
      </c>
      <c r="AM409" s="5">
        <v>381567007377738</v>
      </c>
      <c r="AN409" s="5">
        <v>37954363480871</v>
      </c>
      <c r="AO409" s="5">
        <v>370466282475551</v>
      </c>
    </row>
    <row r="410" spans="1:41" x14ac:dyDescent="0.45">
      <c r="A410" s="1" t="s">
        <v>404</v>
      </c>
      <c r="B410" s="2">
        <v>4987124</v>
      </c>
      <c r="C410" s="3" t="s">
        <v>1422</v>
      </c>
      <c r="D410" s="3" t="s">
        <v>1423</v>
      </c>
      <c r="E410" s="3" t="s">
        <v>1110</v>
      </c>
      <c r="F410" s="5">
        <v>204231507238374</v>
      </c>
      <c r="G410" s="5">
        <v>202258301394294</v>
      </c>
      <c r="H410" s="5">
        <v>214450013481518</v>
      </c>
      <c r="I410" s="5">
        <v>234199556940782</v>
      </c>
      <c r="J410" s="5">
        <v>215725320399074</v>
      </c>
      <c r="K410" s="5">
        <v>225862684468306</v>
      </c>
      <c r="L410" s="5">
        <v>204415445841949</v>
      </c>
      <c r="M410" s="5">
        <v>20601492073442</v>
      </c>
      <c r="N410" s="5">
        <v>192478906998373</v>
      </c>
      <c r="O410" s="5">
        <v>215678763216451</v>
      </c>
      <c r="P410" s="5">
        <v>231837942620449</v>
      </c>
      <c r="Q410" s="5">
        <v>229260394511264</v>
      </c>
      <c r="R410" s="5">
        <v>208919680938506</v>
      </c>
      <c r="S410" s="5">
        <v>214337788410024</v>
      </c>
      <c r="T410" s="5">
        <v>195426702627001</v>
      </c>
      <c r="U410" s="5">
        <v>183584038279726</v>
      </c>
      <c r="V410" s="5">
        <v>183064042980442</v>
      </c>
      <c r="W410" s="5">
        <v>182364226008703</v>
      </c>
      <c r="X410" s="5">
        <v>171717658595977</v>
      </c>
      <c r="Y410" s="5">
        <v>173579399636115</v>
      </c>
      <c r="Z410" s="5">
        <v>16918452084959</v>
      </c>
      <c r="AA410" s="5">
        <v>188323909758264</v>
      </c>
      <c r="AB410" s="5">
        <v>187263354724461</v>
      </c>
      <c r="AC410" s="5">
        <v>181993168875639</v>
      </c>
      <c r="AD410" s="5">
        <v>190512254563104</v>
      </c>
      <c r="AE410" s="5">
        <v>174335198718107</v>
      </c>
      <c r="AF410" s="5">
        <v>167293076619962</v>
      </c>
      <c r="AG410" s="5">
        <v>181720418625366</v>
      </c>
      <c r="AH410" s="5">
        <v>181553876183586</v>
      </c>
      <c r="AI410" s="5">
        <v>164253919922889</v>
      </c>
      <c r="AJ410" s="5">
        <v>17716271712144</v>
      </c>
      <c r="AK410" s="5">
        <v>171561251723758</v>
      </c>
      <c r="AL410" s="5">
        <v>176650428402594</v>
      </c>
      <c r="AM410" s="5">
        <v>193534253149087</v>
      </c>
      <c r="AN410" s="5">
        <v>190389956420369</v>
      </c>
      <c r="AO410" s="5">
        <v>183086073938269</v>
      </c>
    </row>
    <row r="411" spans="1:41" x14ac:dyDescent="0.45">
      <c r="A411" s="1" t="s">
        <v>405</v>
      </c>
      <c r="B411" s="2">
        <v>4071231</v>
      </c>
      <c r="C411" s="3" t="s">
        <v>1424</v>
      </c>
      <c r="D411" s="3" t="s">
        <v>1425</v>
      </c>
      <c r="E411" s="3" t="s">
        <v>603</v>
      </c>
      <c r="F411" s="5">
        <v>258176699346968</v>
      </c>
      <c r="G411" s="5">
        <v>245658816022546</v>
      </c>
      <c r="H411" s="5">
        <v>246792635078938</v>
      </c>
      <c r="I411" s="5">
        <v>186610070289803</v>
      </c>
      <c r="J411" s="5">
        <v>16079689646804</v>
      </c>
      <c r="K411" s="5">
        <v>150659203422128</v>
      </c>
      <c r="L411" s="5">
        <v>122828808642946</v>
      </c>
      <c r="M411" s="5">
        <v>111123421561417</v>
      </c>
      <c r="N411" s="5">
        <v>105198441702072</v>
      </c>
      <c r="O411" s="5">
        <v>122910645739291</v>
      </c>
      <c r="P411" s="5">
        <v>170753097534456</v>
      </c>
      <c r="Q411" s="5">
        <v>181430207678193</v>
      </c>
      <c r="R411" s="5">
        <v>198082090234791</v>
      </c>
      <c r="S411" s="5">
        <v>16979610305196</v>
      </c>
      <c r="T411" s="5">
        <v>159617889477263</v>
      </c>
      <c r="U411" s="5">
        <v>195944522897171</v>
      </c>
      <c r="V411" s="5">
        <v>20171435604569</v>
      </c>
      <c r="W411" s="5">
        <v>189194865890184</v>
      </c>
      <c r="X411" s="5">
        <v>216057376704924</v>
      </c>
      <c r="Y411" s="5">
        <v>20288421405199</v>
      </c>
      <c r="Z411" s="5">
        <v>166408473105997</v>
      </c>
      <c r="AA411" s="5">
        <v>159904961891345</v>
      </c>
      <c r="AB411" s="5">
        <v>146698843352032</v>
      </c>
      <c r="AC411" s="5">
        <v>136103349762922</v>
      </c>
      <c r="AD411" s="5">
        <v>15009334484248</v>
      </c>
      <c r="AE411" s="5">
        <v>129282946610061</v>
      </c>
      <c r="AF411" s="5">
        <v>121386010735955</v>
      </c>
      <c r="AG411" s="5">
        <v>146181533790555</v>
      </c>
      <c r="AH411" s="5">
        <v>15317611689539</v>
      </c>
      <c r="AI411" s="5">
        <v>158886426306727</v>
      </c>
      <c r="AJ411" s="5">
        <v>15810584344502</v>
      </c>
      <c r="AK411" s="5">
        <v>145749250976758</v>
      </c>
      <c r="AL411" s="5">
        <v>128964788262001</v>
      </c>
      <c r="AM411" s="5">
        <v>154123668319967</v>
      </c>
      <c r="AN411" s="5">
        <v>148672858500878</v>
      </c>
      <c r="AO411" s="5">
        <v>145842563243777</v>
      </c>
    </row>
    <row r="412" spans="1:41" x14ac:dyDescent="0.45">
      <c r="A412" s="1" t="s">
        <v>406</v>
      </c>
      <c r="B412" s="2">
        <v>4574287</v>
      </c>
      <c r="C412" s="3" t="s">
        <v>1426</v>
      </c>
      <c r="D412" s="3" t="s">
        <v>1427</v>
      </c>
      <c r="E412" s="3" t="s">
        <v>970</v>
      </c>
      <c r="F412" s="5">
        <v>127387695498859</v>
      </c>
      <c r="G412" s="5">
        <v>123380776503338</v>
      </c>
      <c r="H412" s="5">
        <v>131648401103375</v>
      </c>
      <c r="I412" s="5">
        <v>126034808725328</v>
      </c>
      <c r="J412" s="5">
        <v>920625242525661</v>
      </c>
      <c r="K412" s="5">
        <v>869225040582317</v>
      </c>
      <c r="L412" s="5">
        <v>8712283609133</v>
      </c>
      <c r="M412" s="5">
        <v>983471302435015</v>
      </c>
      <c r="N412" s="5">
        <v>801038358962563</v>
      </c>
      <c r="O412" s="5">
        <v>771239832171813</v>
      </c>
      <c r="P412" s="5">
        <v>9057167677179</v>
      </c>
      <c r="Q412" s="5">
        <v>125207962730905</v>
      </c>
      <c r="R412" s="5">
        <v>125214494088981</v>
      </c>
      <c r="S412" s="5">
        <v>105014741708324</v>
      </c>
      <c r="T412" s="5">
        <v>738672766742859</v>
      </c>
      <c r="U412" s="5">
        <v>749390627774765</v>
      </c>
      <c r="V412" s="5">
        <v>618408431613033</v>
      </c>
      <c r="W412" s="5">
        <v>685035305824762</v>
      </c>
      <c r="X412" s="5">
        <v>588985225752978</v>
      </c>
      <c r="Y412" s="5">
        <v>523690146457992</v>
      </c>
      <c r="Z412" s="5">
        <v>546639244885753</v>
      </c>
      <c r="AA412" s="5">
        <v>518313117469529</v>
      </c>
      <c r="AB412" s="5">
        <v>594788871855583</v>
      </c>
      <c r="AC412" s="5">
        <v>549775060053925</v>
      </c>
      <c r="AD412" s="5">
        <v>71462107093212</v>
      </c>
      <c r="AE412" s="5">
        <v>699773905859769</v>
      </c>
      <c r="AF412" s="5">
        <v>604297252557428</v>
      </c>
      <c r="AG412" s="5">
        <v>750357226899333</v>
      </c>
      <c r="AH412" s="5">
        <v>755251221663978</v>
      </c>
      <c r="AI412" s="5">
        <v>770220484197122</v>
      </c>
      <c r="AJ412" s="5">
        <v>759987925039457</v>
      </c>
      <c r="AK412" s="5">
        <v>606476784456179</v>
      </c>
      <c r="AL412" s="5">
        <v>471879892162933</v>
      </c>
      <c r="AM412" s="5">
        <v>604173336540043</v>
      </c>
      <c r="AN412" s="5">
        <v>613136087758593</v>
      </c>
      <c r="AO412" s="5">
        <v>504622660386749</v>
      </c>
    </row>
    <row r="413" spans="1:41" x14ac:dyDescent="0.45">
      <c r="A413" s="1" t="s">
        <v>407</v>
      </c>
      <c r="B413" s="2">
        <v>4112734</v>
      </c>
      <c r="C413" s="3" t="s">
        <v>1428</v>
      </c>
      <c r="D413" s="3" t="s">
        <v>1429</v>
      </c>
      <c r="E413" s="3" t="s">
        <v>518</v>
      </c>
      <c r="F413" s="5">
        <v>134259439491988</v>
      </c>
      <c r="G413" s="5">
        <v>131855781784225</v>
      </c>
      <c r="H413" s="5">
        <v>127194338525576</v>
      </c>
      <c r="I413" s="5">
        <v>142364588527053</v>
      </c>
      <c r="J413" s="5">
        <v>15737178214275</v>
      </c>
      <c r="K413" s="5">
        <v>143900642141092</v>
      </c>
      <c r="L413" s="5">
        <v>160607352545246</v>
      </c>
      <c r="M413" s="5">
        <v>146396373643271</v>
      </c>
      <c r="N413" s="5">
        <v>128156402833418</v>
      </c>
      <c r="O413" s="5">
        <v>151281517281401</v>
      </c>
      <c r="P413" s="5">
        <v>171475770401723</v>
      </c>
      <c r="Q413" s="5">
        <v>161805698991</v>
      </c>
      <c r="R413" s="5">
        <v>165216941249512</v>
      </c>
      <c r="S413" s="5">
        <v>173810318223792</v>
      </c>
      <c r="T413" s="5">
        <v>170685179043521</v>
      </c>
      <c r="U413" s="5">
        <v>169105847243657</v>
      </c>
      <c r="V413" s="5">
        <v>176934423852487</v>
      </c>
      <c r="W413" s="5">
        <v>171945217492384</v>
      </c>
      <c r="X413" s="5">
        <v>165302448534226</v>
      </c>
      <c r="Y413" s="5">
        <v>163721734987055</v>
      </c>
      <c r="Z413" s="5">
        <v>150218613736534</v>
      </c>
      <c r="AA413" s="5">
        <v>146777083941704</v>
      </c>
      <c r="AB413" s="5">
        <v>140754988459491</v>
      </c>
      <c r="AC413" s="5">
        <v>134152587036</v>
      </c>
      <c r="AD413" s="5">
        <v>140058841331058</v>
      </c>
      <c r="AE413" s="5">
        <v>127166554552837</v>
      </c>
      <c r="AF413" s="5">
        <v>122073950863219</v>
      </c>
      <c r="AG413" s="5">
        <v>136406185600044</v>
      </c>
      <c r="AH413" s="5">
        <v>140690580884202</v>
      </c>
      <c r="AI413" s="5">
        <v>148299956121564</v>
      </c>
      <c r="AJ413" s="5">
        <v>149670596985312</v>
      </c>
      <c r="AK413" s="5">
        <v>148085183462095</v>
      </c>
      <c r="AL413" s="5">
        <v>137509487480691</v>
      </c>
      <c r="AM413" s="5">
        <v>155145698069685</v>
      </c>
      <c r="AN413" s="5">
        <v>14635758250669</v>
      </c>
      <c r="AO413" s="5">
        <v>147820465782</v>
      </c>
    </row>
    <row r="414" spans="1:41" x14ac:dyDescent="0.45">
      <c r="A414" s="1" t="s">
        <v>408</v>
      </c>
      <c r="B414" s="2">
        <v>4783703</v>
      </c>
      <c r="C414" s="3" t="s">
        <v>1430</v>
      </c>
      <c r="D414" s="3" t="s">
        <v>1431</v>
      </c>
      <c r="E414" s="3" t="s">
        <v>595</v>
      </c>
      <c r="F414" s="5">
        <v>16864033402825</v>
      </c>
      <c r="G414" s="5">
        <v>171280179298645</v>
      </c>
      <c r="H414" s="5">
        <v>187950998036286</v>
      </c>
      <c r="I414" s="5">
        <v>182856672215652</v>
      </c>
      <c r="J414" s="5">
        <v>18344622937773</v>
      </c>
      <c r="K414" s="5">
        <v>194550761543962</v>
      </c>
      <c r="L414" s="5">
        <v>206774694881387</v>
      </c>
      <c r="M414" s="5">
        <v>225688334114866</v>
      </c>
      <c r="N414" s="5">
        <v>261109607694476</v>
      </c>
      <c r="O414" s="5">
        <v>281766213436034</v>
      </c>
      <c r="P414" s="5">
        <v>315443998463798</v>
      </c>
      <c r="Q414" s="5">
        <v>286728594009509</v>
      </c>
      <c r="R414" s="5">
        <v>245428775114868</v>
      </c>
      <c r="S414" s="5">
        <v>348429573670584</v>
      </c>
      <c r="T414" s="5">
        <v>246761186607999</v>
      </c>
      <c r="U414" s="5">
        <v>182277501388881</v>
      </c>
      <c r="V414" s="5">
        <v>180527351073584</v>
      </c>
      <c r="W414" s="5">
        <v>179478166342955</v>
      </c>
      <c r="X414" s="5">
        <v>157547455111005</v>
      </c>
      <c r="Y414" s="5">
        <v>130226674389535</v>
      </c>
      <c r="Z414" s="5">
        <v>123988206210322</v>
      </c>
      <c r="AA414" s="5">
        <v>123212651796859</v>
      </c>
      <c r="AB414" s="5">
        <v>111761195391714</v>
      </c>
      <c r="AC414" s="5">
        <v>103373386944295</v>
      </c>
      <c r="AD414" s="5">
        <v>109182313307608</v>
      </c>
      <c r="AE414" s="5">
        <v>117656551750938</v>
      </c>
      <c r="AF414" s="5">
        <v>134124653681004</v>
      </c>
      <c r="AG414" s="5">
        <v>132280018306113</v>
      </c>
      <c r="AH414" s="5">
        <v>133419398300887</v>
      </c>
      <c r="AI414" s="5">
        <v>105137966925191</v>
      </c>
      <c r="AJ414" s="5">
        <v>927610509136975</v>
      </c>
      <c r="AK414" s="5">
        <v>940954677781653</v>
      </c>
      <c r="AL414" s="5">
        <v>103034892999942</v>
      </c>
      <c r="AM414" s="5">
        <v>120482132603229</v>
      </c>
      <c r="AN414" s="5">
        <v>129048771548408</v>
      </c>
      <c r="AO414" s="5">
        <v>141576207800176</v>
      </c>
    </row>
    <row r="415" spans="1:41" x14ac:dyDescent="0.45">
      <c r="A415" s="1" t="s">
        <v>409</v>
      </c>
      <c r="B415" s="2">
        <v>3002287</v>
      </c>
      <c r="C415" s="3" t="s">
        <v>1432</v>
      </c>
      <c r="D415" s="3" t="s">
        <v>1433</v>
      </c>
      <c r="E415" s="3" t="s">
        <v>644</v>
      </c>
      <c r="F415" s="5">
        <v>130833483778681</v>
      </c>
      <c r="G415" s="5">
        <v>126382936231158</v>
      </c>
      <c r="H415" s="5">
        <v>123466579524653</v>
      </c>
      <c r="I415" s="5">
        <v>12832710668729</v>
      </c>
      <c r="J415" s="5">
        <v>122121921687113</v>
      </c>
      <c r="K415" s="5">
        <v>121155603474975</v>
      </c>
      <c r="L415" s="5">
        <v>123428843362111</v>
      </c>
      <c r="M415" s="5">
        <v>117788276886506</v>
      </c>
      <c r="N415" s="5">
        <v>111977597727543</v>
      </c>
      <c r="O415" s="5">
        <v>121405773315069</v>
      </c>
      <c r="P415" s="5">
        <v>131129240328443</v>
      </c>
      <c r="Q415" s="5">
        <v>136555580454895</v>
      </c>
      <c r="R415" s="5">
        <v>137059095998902</v>
      </c>
      <c r="S415" s="5">
        <v>150561413869207</v>
      </c>
      <c r="T415" s="5">
        <v>137402531741097</v>
      </c>
      <c r="U415" s="5">
        <v>148804888571914</v>
      </c>
      <c r="V415" s="5">
        <v>15448776708696</v>
      </c>
      <c r="W415" s="5">
        <v>1608312634698</v>
      </c>
      <c r="X415" s="5">
        <v>1528130872253</v>
      </c>
      <c r="Y415" s="5">
        <v>154056526660227</v>
      </c>
      <c r="Z415" s="5">
        <v>15085924255272</v>
      </c>
      <c r="AA415" s="5">
        <v>170862682938303</v>
      </c>
      <c r="AB415" s="5">
        <v>158909090315035</v>
      </c>
      <c r="AC415" s="5">
        <v>153035586393186</v>
      </c>
      <c r="AD415" s="5">
        <v>142605679333501</v>
      </c>
      <c r="AE415" s="5">
        <v>137771361540962</v>
      </c>
      <c r="AF415" s="5">
        <v>14099456543838</v>
      </c>
      <c r="AG415" s="5">
        <v>146228923331231</v>
      </c>
      <c r="AH415" s="5">
        <v>141914842927886</v>
      </c>
      <c r="AI415" s="5">
        <v>139775438931368</v>
      </c>
      <c r="AJ415" s="5">
        <v>124938609666379</v>
      </c>
      <c r="AK415" s="5">
        <v>117080249702324</v>
      </c>
      <c r="AL415" s="5">
        <v>12232737209657</v>
      </c>
      <c r="AM415" s="5">
        <v>132395152602673</v>
      </c>
      <c r="AN415" s="5">
        <v>140210738137955</v>
      </c>
      <c r="AO415" s="5">
        <v>140029278975986</v>
      </c>
    </row>
    <row r="416" spans="1:41" x14ac:dyDescent="0.45">
      <c r="A416" s="1" t="s">
        <v>410</v>
      </c>
      <c r="B416" s="2">
        <v>4055465</v>
      </c>
      <c r="C416" s="3" t="s">
        <v>1434</v>
      </c>
      <c r="D416" s="3" t="s">
        <v>1435</v>
      </c>
      <c r="E416" s="3" t="s">
        <v>1436</v>
      </c>
      <c r="F416" s="5">
        <v>869740227078883</v>
      </c>
      <c r="G416" s="5">
        <v>863471141560474</v>
      </c>
      <c r="H416" s="5">
        <v>856260250147356</v>
      </c>
      <c r="I416" s="5">
        <v>798653873910715</v>
      </c>
      <c r="J416" s="5">
        <v>824222007244914</v>
      </c>
      <c r="K416" s="5">
        <v>818407246207995</v>
      </c>
      <c r="L416" s="5">
        <v>63772479537507</v>
      </c>
      <c r="M416" s="5">
        <v>633064335051236</v>
      </c>
      <c r="N416" s="5">
        <v>6274691421258</v>
      </c>
      <c r="O416" s="5">
        <v>818043779516825</v>
      </c>
      <c r="P416" s="5">
        <v>792076223245708</v>
      </c>
      <c r="Q416" s="5">
        <v>75248702987733</v>
      </c>
      <c r="R416" s="5">
        <v>883887173812972</v>
      </c>
      <c r="S416" s="5">
        <v>878780506487442</v>
      </c>
      <c r="T416" s="5">
        <v>107985738998835</v>
      </c>
      <c r="U416" s="5">
        <v>127865396830439</v>
      </c>
      <c r="V416" s="5">
        <v>110102504962832</v>
      </c>
      <c r="W416" s="5">
        <v>116819099167201</v>
      </c>
      <c r="X416" s="5">
        <v>116535692415044</v>
      </c>
      <c r="Y416" s="5">
        <v>141480503911399</v>
      </c>
      <c r="Z416" s="5">
        <v>118989870366203</v>
      </c>
      <c r="AA416" s="5">
        <v>117991284282489</v>
      </c>
      <c r="AB416" s="5">
        <v>998771602334616</v>
      </c>
      <c r="AC416" s="5">
        <v>102948473204125</v>
      </c>
      <c r="AD416" s="5">
        <v>116619077183166</v>
      </c>
      <c r="AE416" s="5">
        <v>105666450583157</v>
      </c>
      <c r="AF416" s="5">
        <v>944367783624975</v>
      </c>
      <c r="AG416" s="5">
        <v>96165157864736</v>
      </c>
      <c r="AH416" s="5">
        <v>110699456069411</v>
      </c>
      <c r="AI416" s="5">
        <v>131370935967464</v>
      </c>
      <c r="AJ416" s="5">
        <v>127098017236949</v>
      </c>
      <c r="AK416" s="5">
        <v>123974642438521</v>
      </c>
      <c r="AL416" s="5">
        <v>143429021952602</v>
      </c>
      <c r="AM416" s="5">
        <v>148278866972571</v>
      </c>
      <c r="AN416" s="5">
        <v>155473225474118</v>
      </c>
      <c r="AO416" s="5">
        <v>168566390941721</v>
      </c>
    </row>
    <row r="417" spans="1:41" x14ac:dyDescent="0.45">
      <c r="A417" s="1" t="s">
        <v>411</v>
      </c>
      <c r="B417" s="2">
        <v>103247</v>
      </c>
      <c r="C417" s="3" t="s">
        <v>1437</v>
      </c>
      <c r="D417" s="3" t="s">
        <v>1438</v>
      </c>
      <c r="E417" s="3" t="s">
        <v>570</v>
      </c>
      <c r="F417" s="5">
        <v>463912877729543</v>
      </c>
      <c r="G417" s="5">
        <v>4806411347447</v>
      </c>
      <c r="H417" s="5">
        <v>437544915391786</v>
      </c>
      <c r="I417" s="5">
        <v>482072982175041</v>
      </c>
      <c r="J417" s="5">
        <v>458313259569463</v>
      </c>
      <c r="K417" s="5">
        <v>468199307762541</v>
      </c>
      <c r="L417" s="5">
        <v>453938157597148</v>
      </c>
      <c r="M417" s="5">
        <v>489802302261347</v>
      </c>
      <c r="N417" s="5">
        <v>463062394416597</v>
      </c>
      <c r="O417" s="5">
        <v>507739987661599</v>
      </c>
      <c r="P417" s="5">
        <v>507267978920371</v>
      </c>
      <c r="Q417" s="5">
        <v>489994155621571</v>
      </c>
      <c r="R417" s="5">
        <v>493106041134632</v>
      </c>
      <c r="S417" s="5">
        <v>520508911973131</v>
      </c>
      <c r="T417" s="5">
        <v>454892410200383</v>
      </c>
      <c r="U417" s="5">
        <v>44875582178048</v>
      </c>
      <c r="V417" s="5">
        <v>450815556974201</v>
      </c>
      <c r="W417" s="5">
        <v>417283542850205</v>
      </c>
      <c r="X417" s="5">
        <v>393262025559151</v>
      </c>
      <c r="Y417" s="5">
        <v>407670520057837</v>
      </c>
      <c r="Z417" s="5">
        <v>419668972213322</v>
      </c>
      <c r="AA417" s="5">
        <v>421362070937391</v>
      </c>
      <c r="AB417" s="5">
        <v>388213719391441</v>
      </c>
      <c r="AC417" s="5">
        <v>374458291094862</v>
      </c>
      <c r="AD417" s="5">
        <v>33140025186376</v>
      </c>
      <c r="AE417" s="5">
        <v>330806476064932</v>
      </c>
      <c r="AF417" s="5">
        <v>317223687871689</v>
      </c>
      <c r="AG417" s="5">
        <v>275332972904307</v>
      </c>
      <c r="AH417" s="5">
        <v>260006456380783</v>
      </c>
      <c r="AI417" s="5">
        <v>268755127419683</v>
      </c>
      <c r="AJ417" s="5">
        <v>262538174954256</v>
      </c>
      <c r="AK417" s="5">
        <v>26747452077536</v>
      </c>
      <c r="AL417" s="5">
        <v>276035841358124</v>
      </c>
      <c r="AM417" s="5">
        <v>268568707580628</v>
      </c>
      <c r="AN417" s="5">
        <v>31944726037572</v>
      </c>
      <c r="AO417" s="5">
        <v>313696060858178</v>
      </c>
    </row>
    <row r="418" spans="1:41" x14ac:dyDescent="0.45">
      <c r="A418" s="1" t="s">
        <v>412</v>
      </c>
      <c r="B418" s="2">
        <v>100144</v>
      </c>
      <c r="C418" s="3" t="s">
        <v>1439</v>
      </c>
      <c r="D418" s="3" t="s">
        <v>1440</v>
      </c>
      <c r="E418" s="3" t="s">
        <v>579</v>
      </c>
      <c r="F418" s="5">
        <v>689495947760548</v>
      </c>
      <c r="G418" s="5">
        <v>67416254456665</v>
      </c>
      <c r="H418" s="5">
        <v>652546604565284</v>
      </c>
      <c r="I418" s="5">
        <v>654933224050721</v>
      </c>
      <c r="J418" s="5">
        <v>63667335451991</v>
      </c>
      <c r="K418" s="5">
        <v>625461083406734</v>
      </c>
      <c r="L418" s="5">
        <v>55503509876957</v>
      </c>
      <c r="M418" s="5">
        <v>5586968917618</v>
      </c>
      <c r="N418" s="5">
        <v>50885233941786</v>
      </c>
      <c r="O418" s="5">
        <v>557122802818645</v>
      </c>
      <c r="P418" s="5">
        <v>612381415097789</v>
      </c>
      <c r="Q418" s="5">
        <v>60109929900175</v>
      </c>
      <c r="R418" s="5">
        <v>53956552653797</v>
      </c>
      <c r="S418" s="5">
        <v>564186499709515</v>
      </c>
      <c r="T418" s="5">
        <v>504640050417792</v>
      </c>
      <c r="U418" s="5">
        <v>475463625623403</v>
      </c>
      <c r="V418" s="5">
        <v>455155227119873</v>
      </c>
      <c r="W418" s="5">
        <v>4436942847876</v>
      </c>
      <c r="X418" s="5">
        <v>417994181112614</v>
      </c>
      <c r="Y418" s="5">
        <v>411047301044431</v>
      </c>
      <c r="Z418" s="5">
        <v>397737772015614</v>
      </c>
      <c r="AA418" s="5">
        <v>401616173655894</v>
      </c>
      <c r="AB418" s="5">
        <v>390656347026233</v>
      </c>
      <c r="AC418" s="5">
        <v>38815753251808</v>
      </c>
      <c r="AD418" s="5">
        <v>362153799492735</v>
      </c>
      <c r="AE418" s="5">
        <v>34073490105065</v>
      </c>
      <c r="AF418" s="5">
        <v>31327498253385</v>
      </c>
      <c r="AG418" s="5">
        <v>31381600271437</v>
      </c>
      <c r="AH418" s="5">
        <v>322183397307055</v>
      </c>
      <c r="AI418" s="5">
        <v>32054405449248</v>
      </c>
      <c r="AJ418" s="5">
        <v>321811293761798</v>
      </c>
      <c r="AK418" s="5">
        <v>297658590831439</v>
      </c>
      <c r="AL418" s="5">
        <v>308601343918552</v>
      </c>
      <c r="AM418" s="5">
        <v>334448286501489</v>
      </c>
      <c r="AN418" s="5">
        <v>385445145893645</v>
      </c>
      <c r="AO418" s="5">
        <v>376333519611703</v>
      </c>
    </row>
    <row r="419" spans="1:41" x14ac:dyDescent="0.45">
      <c r="A419" s="1" t="s">
        <v>413</v>
      </c>
      <c r="B419" s="2">
        <v>4004086</v>
      </c>
      <c r="C419" s="3" t="s">
        <v>1441</v>
      </c>
      <c r="D419" s="3" t="s">
        <v>1442</v>
      </c>
      <c r="E419" s="3" t="s">
        <v>644</v>
      </c>
      <c r="F419" s="5">
        <v>140557693087957</v>
      </c>
      <c r="G419" s="5">
        <v>123890696673005</v>
      </c>
      <c r="H419" s="5">
        <v>132472736977371</v>
      </c>
      <c r="I419" s="5">
        <v>13909665150029</v>
      </c>
      <c r="J419" s="5">
        <v>151706354613737</v>
      </c>
      <c r="K419" s="5">
        <v>146643573358003</v>
      </c>
      <c r="L419" s="5">
        <v>134525732072588</v>
      </c>
      <c r="M419" s="5">
        <v>137765181624649</v>
      </c>
      <c r="N419" s="5">
        <v>121777717037347</v>
      </c>
      <c r="O419" s="5">
        <v>118724528943557</v>
      </c>
      <c r="P419" s="5">
        <v>125890158661045</v>
      </c>
      <c r="Q419" s="5">
        <v>127239326370578</v>
      </c>
      <c r="R419" s="5">
        <v>127911383552336</v>
      </c>
      <c r="S419" s="5">
        <v>110077702560594</v>
      </c>
      <c r="T419" s="5">
        <v>102802535088969</v>
      </c>
      <c r="U419" s="5">
        <v>839953312003335</v>
      </c>
      <c r="V419" s="5">
        <v>967865117437031</v>
      </c>
      <c r="W419" s="5">
        <v>108515910563676</v>
      </c>
      <c r="X419" s="5">
        <v>104280472000637</v>
      </c>
      <c r="Y419" s="5">
        <v>100538386014421</v>
      </c>
      <c r="Z419" s="5">
        <v>963577036916408</v>
      </c>
      <c r="AA419" s="5">
        <v>109012943716549</v>
      </c>
      <c r="AB419" s="5">
        <v>114986917839801</v>
      </c>
      <c r="AC419" s="5">
        <v>118680795957371</v>
      </c>
      <c r="AD419" s="5">
        <v>142665084999376</v>
      </c>
      <c r="AE419" s="5">
        <v>128485908045965</v>
      </c>
      <c r="AF419" s="5">
        <v>106975100776509</v>
      </c>
      <c r="AG419" s="5">
        <v>109239719671584</v>
      </c>
      <c r="AH419" s="5">
        <v>124595108210816</v>
      </c>
      <c r="AI419" s="5">
        <v>130733808235269</v>
      </c>
      <c r="AJ419" s="5">
        <v>116361756203318</v>
      </c>
      <c r="AK419" s="5">
        <v>116112546093043</v>
      </c>
      <c r="AL419" s="5">
        <v>112716579622517</v>
      </c>
      <c r="AM419" s="5">
        <v>117151443651205</v>
      </c>
      <c r="AN419" s="5">
        <v>113581827432059</v>
      </c>
      <c r="AO419" s="5">
        <v>117320226598723</v>
      </c>
    </row>
    <row r="420" spans="1:41" x14ac:dyDescent="0.45">
      <c r="A420" s="1" t="s">
        <v>414</v>
      </c>
      <c r="B420" s="2">
        <v>4133211</v>
      </c>
      <c r="C420" s="3" t="s">
        <v>1443</v>
      </c>
      <c r="D420" s="3" t="s">
        <v>1444</v>
      </c>
      <c r="E420" s="3" t="s">
        <v>788</v>
      </c>
      <c r="F420" s="5">
        <v>707677649932136</v>
      </c>
      <c r="G420" s="5">
        <v>782540816141146</v>
      </c>
      <c r="H420" s="5">
        <v>777681051963363</v>
      </c>
      <c r="I420" s="5">
        <v>802065773763585</v>
      </c>
      <c r="J420" s="5">
        <v>81380410260952</v>
      </c>
      <c r="K420" s="5">
        <v>831915707099501</v>
      </c>
      <c r="L420" s="5">
        <v>77807376209927</v>
      </c>
      <c r="M420" s="5">
        <v>894529257633743</v>
      </c>
      <c r="N420" s="5">
        <v>95823259294049</v>
      </c>
      <c r="O420" s="5">
        <v>110130442679341</v>
      </c>
      <c r="P420" s="5">
        <v>114777025440005</v>
      </c>
      <c r="Q420" s="5">
        <v>111196587346035</v>
      </c>
      <c r="R420" s="5">
        <v>120590829424896</v>
      </c>
      <c r="S420" s="5">
        <v>130537148955998</v>
      </c>
      <c r="T420" s="5">
        <v>127869636653694</v>
      </c>
      <c r="U420" s="5">
        <v>130754239088516</v>
      </c>
      <c r="V420" s="5">
        <v>13420550052545</v>
      </c>
      <c r="W420" s="5">
        <v>129269771872164</v>
      </c>
      <c r="X420" s="5">
        <v>125917570039379</v>
      </c>
      <c r="Y420" s="5">
        <v>121991925239976</v>
      </c>
      <c r="Z420" s="5">
        <v>127432876027272</v>
      </c>
      <c r="AA420" s="5">
        <v>122674615968578</v>
      </c>
      <c r="AB420" s="5">
        <v>117589247897664</v>
      </c>
      <c r="AC420" s="5">
        <v>122624771177473</v>
      </c>
      <c r="AD420" s="5">
        <v>116587385029201</v>
      </c>
      <c r="AE420" s="5">
        <v>109647025390256</v>
      </c>
      <c r="AF420" s="5">
        <v>113834634595384</v>
      </c>
      <c r="AG420" s="5">
        <v>115639642896045</v>
      </c>
      <c r="AH420" s="5">
        <v>11460858323823</v>
      </c>
      <c r="AI420" s="5">
        <v>123937869886639</v>
      </c>
      <c r="AJ420" s="5">
        <v>124812149567322</v>
      </c>
      <c r="AK420" s="5">
        <v>142044651950604</v>
      </c>
      <c r="AL420" s="5">
        <v>147345871126689</v>
      </c>
      <c r="AM420" s="5">
        <v>151545608623597</v>
      </c>
      <c r="AN420" s="5">
        <v>148158103465258</v>
      </c>
      <c r="AO420" s="5">
        <v>143181284960574</v>
      </c>
    </row>
    <row r="421" spans="1:41" x14ac:dyDescent="0.45">
      <c r="A421" s="1" t="s">
        <v>415</v>
      </c>
      <c r="B421" s="2">
        <v>102775</v>
      </c>
      <c r="C421" s="3" t="s">
        <v>1445</v>
      </c>
      <c r="D421" s="3" t="s">
        <v>1446</v>
      </c>
      <c r="E421" s="3" t="s">
        <v>1064</v>
      </c>
      <c r="F421" s="5">
        <v>151205497166669</v>
      </c>
      <c r="G421" s="5">
        <v>142102258978643</v>
      </c>
      <c r="H421" s="5">
        <v>148755115980612</v>
      </c>
      <c r="I421" s="5">
        <v>147702726254463</v>
      </c>
      <c r="J421" s="5">
        <v>148727481081989</v>
      </c>
      <c r="K421" s="5">
        <v>155233893076842</v>
      </c>
      <c r="L421" s="5">
        <v>141161991649799</v>
      </c>
      <c r="M421" s="5">
        <v>141458488510838</v>
      </c>
      <c r="N421" s="5">
        <v>130284773949381</v>
      </c>
      <c r="O421" s="5">
        <v>131347014270348</v>
      </c>
      <c r="P421" s="5">
        <v>138622371281589</v>
      </c>
      <c r="Q421" s="5">
        <v>145684620901146</v>
      </c>
      <c r="R421" s="5">
        <v>130859584817486</v>
      </c>
      <c r="S421" s="5">
        <v>143588663818504</v>
      </c>
      <c r="T421" s="5">
        <v>119335863653078</v>
      </c>
      <c r="U421" s="5">
        <v>106300391620207</v>
      </c>
      <c r="V421" s="5">
        <v>107669219870573</v>
      </c>
      <c r="W421" s="5">
        <v>110121144842764</v>
      </c>
      <c r="X421" s="5">
        <v>1257325106907</v>
      </c>
      <c r="Y421" s="5">
        <v>123532505006829</v>
      </c>
      <c r="Z421" s="5">
        <v>12634837046103</v>
      </c>
      <c r="AA421" s="5">
        <v>122182320538771</v>
      </c>
      <c r="AB421" s="5">
        <v>112706193931689</v>
      </c>
      <c r="AC421" s="5">
        <v>105741819406979</v>
      </c>
      <c r="AD421" s="5">
        <v>113491021703855</v>
      </c>
      <c r="AE421" s="5">
        <v>102473038056505</v>
      </c>
      <c r="AF421" s="5">
        <v>897005009608442</v>
      </c>
      <c r="AG421" s="5">
        <v>944602719067037</v>
      </c>
      <c r="AH421" s="5">
        <v>993167803902092</v>
      </c>
      <c r="AI421" s="5">
        <v>10916418847098</v>
      </c>
      <c r="AJ421" s="5">
        <v>944942258512242</v>
      </c>
      <c r="AK421" s="5">
        <v>899808043471425</v>
      </c>
      <c r="AL421" s="5">
        <v>860880989014679</v>
      </c>
      <c r="AM421" s="5">
        <v>876810865008012</v>
      </c>
      <c r="AN421" s="5">
        <v>135229087183726</v>
      </c>
      <c r="AO421" s="5">
        <v>133062291279347</v>
      </c>
    </row>
    <row r="422" spans="1:41" x14ac:dyDescent="0.45">
      <c r="A422" s="1" t="s">
        <v>416</v>
      </c>
      <c r="B422" s="2">
        <v>103339</v>
      </c>
      <c r="C422" s="3" t="s">
        <v>1447</v>
      </c>
      <c r="D422" s="3" t="s">
        <v>1448</v>
      </c>
      <c r="E422" s="3" t="s">
        <v>733</v>
      </c>
      <c r="F422" s="5">
        <v>626178683522021</v>
      </c>
      <c r="G422" s="5">
        <v>63876800535038</v>
      </c>
      <c r="H422" s="5">
        <v>566048873369815</v>
      </c>
      <c r="I422" s="5">
        <v>655776816164606</v>
      </c>
      <c r="J422" s="5">
        <v>686575746210962</v>
      </c>
      <c r="K422" s="5">
        <v>623927281238577</v>
      </c>
      <c r="L422" s="5">
        <v>751976677583954</v>
      </c>
      <c r="M422" s="5">
        <v>745474325258787</v>
      </c>
      <c r="N422" s="5">
        <v>812541488630623</v>
      </c>
      <c r="O422" s="5">
        <v>825228111410892</v>
      </c>
      <c r="P422" s="5">
        <v>81237548015111</v>
      </c>
      <c r="Q422" s="5">
        <v>787337211670532</v>
      </c>
      <c r="R422" s="5">
        <v>741898716536694</v>
      </c>
      <c r="S422" s="5">
        <v>89055240900785</v>
      </c>
      <c r="T422" s="5">
        <v>806475693651661</v>
      </c>
      <c r="U422" s="5">
        <v>868329172996209</v>
      </c>
      <c r="V422" s="5">
        <v>914438837743075</v>
      </c>
      <c r="W422" s="5">
        <v>915204277020911</v>
      </c>
      <c r="X422" s="5">
        <v>87642789465115</v>
      </c>
      <c r="Y422" s="5">
        <v>902713605693221</v>
      </c>
      <c r="Z422" s="5">
        <v>947109483249144</v>
      </c>
      <c r="AA422" s="5">
        <v>9537397242988</v>
      </c>
      <c r="AB422" s="5">
        <v>909116280346585</v>
      </c>
      <c r="AC422" s="5">
        <v>811685692301891</v>
      </c>
      <c r="AD422" s="5">
        <v>792743816662779</v>
      </c>
      <c r="AE422" s="5">
        <v>705315575254612</v>
      </c>
      <c r="AF422" s="5">
        <v>86620895152803</v>
      </c>
      <c r="AG422" s="5">
        <v>799971959649364</v>
      </c>
      <c r="AH422" s="5">
        <v>753896092716822</v>
      </c>
      <c r="AI422" s="5">
        <v>792268138570139</v>
      </c>
      <c r="AJ422" s="5">
        <v>760479211850376</v>
      </c>
      <c r="AK422" s="5">
        <v>686852007786655</v>
      </c>
      <c r="AL422" s="5">
        <v>681707628172789</v>
      </c>
      <c r="AM422" s="5">
        <v>698590192440289</v>
      </c>
      <c r="AN422" s="5">
        <v>817384874627286</v>
      </c>
      <c r="AO422" s="5">
        <v>891406736242233</v>
      </c>
    </row>
    <row r="423" spans="1:41" x14ac:dyDescent="0.45">
      <c r="A423" s="1" t="s">
        <v>417</v>
      </c>
      <c r="B423" s="2">
        <v>4091914</v>
      </c>
      <c r="C423" s="3" t="s">
        <v>1449</v>
      </c>
      <c r="D423" s="3" t="s">
        <v>1450</v>
      </c>
      <c r="E423" s="3" t="s">
        <v>754</v>
      </c>
      <c r="F423" s="5">
        <v>104752981511293</v>
      </c>
      <c r="G423" s="5">
        <v>113548431630258</v>
      </c>
      <c r="H423" s="5">
        <v>119255127775475</v>
      </c>
      <c r="I423" s="5">
        <v>128533238609863</v>
      </c>
      <c r="J423" s="5">
        <v>123592659909805</v>
      </c>
      <c r="K423" s="5">
        <v>135287891430975</v>
      </c>
      <c r="L423" s="5">
        <v>126013183028212</v>
      </c>
      <c r="M423" s="5">
        <v>143251615189441</v>
      </c>
      <c r="N423" s="5">
        <v>154508697905117</v>
      </c>
      <c r="O423" s="5">
        <v>167828577636519</v>
      </c>
      <c r="P423" s="5">
        <v>185162289977549</v>
      </c>
      <c r="Q423" s="5">
        <v>188972021596649</v>
      </c>
      <c r="R423" s="5">
        <v>194178005128774</v>
      </c>
      <c r="S423" s="5">
        <v>196123732331109</v>
      </c>
      <c r="T423" s="5">
        <v>180751112593569</v>
      </c>
      <c r="U423" s="5">
        <v>180918496997488</v>
      </c>
      <c r="V423" s="5">
        <v>177280640069297</v>
      </c>
      <c r="W423" s="5">
        <v>151389524219842</v>
      </c>
      <c r="X423" s="5">
        <v>158175329498688</v>
      </c>
      <c r="Y423" s="5">
        <v>150654523880455</v>
      </c>
      <c r="Z423" s="5">
        <v>171737391226605</v>
      </c>
      <c r="AA423" s="5">
        <v>175919781337243</v>
      </c>
      <c r="AB423" s="5">
        <v>17601638943004</v>
      </c>
      <c r="AC423" s="5">
        <v>166086505585137</v>
      </c>
      <c r="AD423" s="5">
        <v>16003769163322</v>
      </c>
      <c r="AE423" s="5">
        <v>163060319601713</v>
      </c>
      <c r="AF423" s="5">
        <v>137945932894787</v>
      </c>
      <c r="AG423" s="5">
        <v>153328140103096</v>
      </c>
      <c r="AH423" s="5">
        <v>178615156296717</v>
      </c>
      <c r="AI423" s="5">
        <v>169924183104428</v>
      </c>
      <c r="AJ423" s="5">
        <v>180095540953754</v>
      </c>
      <c r="AK423" s="5">
        <v>183482397773961</v>
      </c>
      <c r="AL423" s="5">
        <v>185371737291337</v>
      </c>
      <c r="AM423" s="5">
        <v>179906764720251</v>
      </c>
      <c r="AN423" s="5">
        <v>180870733494374</v>
      </c>
      <c r="AO423" s="5">
        <v>164368393580902</v>
      </c>
    </row>
    <row r="424" spans="1:41" x14ac:dyDescent="0.45">
      <c r="A424" s="1" t="s">
        <v>418</v>
      </c>
      <c r="B424" s="2">
        <v>4202062</v>
      </c>
      <c r="C424" s="3" t="s">
        <v>1451</v>
      </c>
      <c r="D424" s="3" t="s">
        <v>1452</v>
      </c>
      <c r="E424" s="3" t="s">
        <v>1105</v>
      </c>
      <c r="F424" s="5">
        <v>256127886507259</v>
      </c>
      <c r="G424" s="5">
        <v>271253810054895</v>
      </c>
      <c r="H424" s="5">
        <v>256962196447573</v>
      </c>
      <c r="I424" s="5">
        <v>243262794517695</v>
      </c>
      <c r="J424" s="5">
        <v>253828362176364</v>
      </c>
      <c r="K424" s="5">
        <v>255420232745204</v>
      </c>
      <c r="L424" s="5">
        <v>259304631264045</v>
      </c>
      <c r="M424" s="5">
        <v>273500554913977</v>
      </c>
      <c r="N424" s="5">
        <v>275194032826423</v>
      </c>
      <c r="O424" s="5">
        <v>285166490235797</v>
      </c>
      <c r="P424" s="5">
        <v>294360170264773</v>
      </c>
      <c r="Q424" s="5">
        <v>263094867648303</v>
      </c>
      <c r="R424" s="5">
        <v>259057712173295</v>
      </c>
      <c r="S424" s="5">
        <v>261634162563561</v>
      </c>
      <c r="T424" s="5">
        <v>25911619482724</v>
      </c>
      <c r="U424" s="5">
        <v>277683408507219</v>
      </c>
      <c r="V424" s="5">
        <v>282383108541255</v>
      </c>
      <c r="W424" s="5">
        <v>265779914705844</v>
      </c>
      <c r="X424" s="5">
        <v>25591212489267</v>
      </c>
      <c r="Y424" s="5">
        <v>249980966489635</v>
      </c>
      <c r="Z424" s="5">
        <v>248861545632</v>
      </c>
      <c r="AA424" s="5">
        <v>244187752471368</v>
      </c>
      <c r="AB424" s="5">
        <v>239446981125028</v>
      </c>
      <c r="AC424" s="5">
        <v>237061136361195</v>
      </c>
      <c r="AD424" s="5">
        <v>23049835848734</v>
      </c>
      <c r="AE424" s="5">
        <v>231664231872413</v>
      </c>
      <c r="AF424" s="5">
        <v>231163360059111</v>
      </c>
      <c r="AG424" s="5">
        <v>228714181969578</v>
      </c>
      <c r="AH424" s="5">
        <v>238544957194007</v>
      </c>
      <c r="AI424" s="5">
        <v>243007776175577</v>
      </c>
      <c r="AJ424" s="5">
        <v>238550306264087</v>
      </c>
      <c r="AK424" s="5">
        <v>242085467301311</v>
      </c>
      <c r="AL424" s="5">
        <v>251371794055944</v>
      </c>
      <c r="AM424" s="5">
        <v>246999218384655</v>
      </c>
      <c r="AN424" s="5">
        <v>242547505181963</v>
      </c>
      <c r="AO424" s="5">
        <v>244150446487946</v>
      </c>
    </row>
    <row r="425" spans="1:41" x14ac:dyDescent="0.45">
      <c r="A425" s="1" t="s">
        <v>419</v>
      </c>
      <c r="B425" s="2">
        <v>4578418</v>
      </c>
      <c r="C425" s="3" t="s">
        <v>1453</v>
      </c>
      <c r="D425" s="3" t="s">
        <v>1454</v>
      </c>
      <c r="E425" s="3" t="s">
        <v>542</v>
      </c>
      <c r="F425" s="5">
        <v>136803111696346</v>
      </c>
      <c r="G425" s="5">
        <v>133613177537483</v>
      </c>
      <c r="H425" s="5">
        <v>120502003553844</v>
      </c>
      <c r="I425" s="5">
        <v>116171384613306</v>
      </c>
      <c r="J425" s="5">
        <v>114545719096066</v>
      </c>
      <c r="K425" s="5">
        <v>123293137131638</v>
      </c>
      <c r="L425" s="5">
        <v>12089009281621</v>
      </c>
      <c r="M425" s="5">
        <v>120056976482507</v>
      </c>
      <c r="N425" s="5">
        <v>143954330782387</v>
      </c>
      <c r="O425" s="5">
        <v>156066555096535</v>
      </c>
      <c r="P425" s="5">
        <v>173690979280556</v>
      </c>
      <c r="Q425" s="5">
        <v>185393808140226</v>
      </c>
      <c r="R425" s="5">
        <v>177219765976211</v>
      </c>
      <c r="S425" s="5">
        <v>197178362274744</v>
      </c>
      <c r="T425" s="5">
        <v>192006474487988</v>
      </c>
      <c r="U425" s="5">
        <v>197026318921189</v>
      </c>
      <c r="V425" s="5">
        <v>190373822744823</v>
      </c>
      <c r="W425" s="5">
        <v>171714851619696</v>
      </c>
      <c r="X425" s="5">
        <v>162237083835492</v>
      </c>
      <c r="Y425" s="5">
        <v>173161121035299</v>
      </c>
      <c r="Z425" s="5">
        <v>16554194647523</v>
      </c>
      <c r="AA425" s="5">
        <v>186695092816017</v>
      </c>
      <c r="AB425" s="5">
        <v>172088663864832</v>
      </c>
      <c r="AC425" s="5">
        <v>170281098512345</v>
      </c>
      <c r="AD425" s="5">
        <v>16956441644624</v>
      </c>
      <c r="AE425" s="5">
        <v>152990965821223</v>
      </c>
      <c r="AF425" s="5">
        <v>146131587411349</v>
      </c>
      <c r="AG425" s="5">
        <v>148798201842734</v>
      </c>
      <c r="AH425" s="5">
        <v>168942115772062</v>
      </c>
      <c r="AI425" s="5">
        <v>175767647903634</v>
      </c>
      <c r="AJ425" s="5">
        <v>173882661421771</v>
      </c>
      <c r="AK425" s="5">
        <v>172405708283267</v>
      </c>
      <c r="AL425" s="5">
        <v>170934523940201</v>
      </c>
      <c r="AM425" s="5">
        <v>169949712808412</v>
      </c>
      <c r="AN425" s="5">
        <v>152232884214516</v>
      </c>
      <c r="AO425" s="5">
        <v>158783773640243</v>
      </c>
    </row>
    <row r="426" spans="1:41" x14ac:dyDescent="0.45">
      <c r="A426" s="1" t="s">
        <v>420</v>
      </c>
      <c r="B426" s="2">
        <v>4913043</v>
      </c>
      <c r="C426" s="3" t="s">
        <v>1455</v>
      </c>
      <c r="D426" s="3" t="s">
        <v>1456</v>
      </c>
      <c r="E426" s="3" t="s">
        <v>1457</v>
      </c>
      <c r="F426" s="5">
        <v>321405384542458</v>
      </c>
      <c r="G426" s="5">
        <v>292345732987123</v>
      </c>
      <c r="H426" s="5">
        <v>302090818020552</v>
      </c>
      <c r="I426" s="5">
        <v>270645027140669</v>
      </c>
      <c r="J426" s="5">
        <v>282225219210228</v>
      </c>
      <c r="K426" s="5">
        <v>293549801866994</v>
      </c>
      <c r="L426" s="5">
        <v>24751367926376</v>
      </c>
      <c r="M426" s="5">
        <v>212232881730596</v>
      </c>
      <c r="N426" s="5">
        <v>190105094656511</v>
      </c>
      <c r="O426" s="5">
        <v>21965376161124</v>
      </c>
      <c r="P426" s="5">
        <v>248609059953669</v>
      </c>
      <c r="Q426" s="5">
        <v>288144492679021</v>
      </c>
      <c r="R426" s="5">
        <v>259983309109987</v>
      </c>
      <c r="S426" s="5">
        <v>245380635838467</v>
      </c>
      <c r="T426" s="5">
        <v>227928574485572</v>
      </c>
      <c r="U426" s="5">
        <v>320630574751239</v>
      </c>
      <c r="V426" s="5">
        <v>297269891865583</v>
      </c>
      <c r="W426" s="5">
        <v>330020959545816</v>
      </c>
      <c r="X426" s="5">
        <v>356065179614928</v>
      </c>
      <c r="Y426" s="5">
        <v>407867399673686</v>
      </c>
      <c r="Z426" s="5">
        <v>491836959619215</v>
      </c>
      <c r="AA426" s="5">
        <v>511584822383466</v>
      </c>
      <c r="AB426" s="5">
        <v>492726568739394</v>
      </c>
      <c r="AC426" s="5">
        <v>435338927573415</v>
      </c>
      <c r="AD426" s="5">
        <v>473475326054884</v>
      </c>
      <c r="AE426" s="5">
        <v>418963073058299</v>
      </c>
      <c r="AF426" s="5">
        <v>436475190989621</v>
      </c>
      <c r="AG426" s="5">
        <v>488703104018861</v>
      </c>
      <c r="AH426" s="5">
        <v>529413382224579</v>
      </c>
      <c r="AI426" s="5">
        <v>58376983219308</v>
      </c>
      <c r="AJ426" s="5">
        <v>642929121028375</v>
      </c>
      <c r="AK426" s="5">
        <v>617164177929686</v>
      </c>
      <c r="AL426" s="5">
        <v>798576440657324</v>
      </c>
      <c r="AM426" s="5">
        <v>810324669951532</v>
      </c>
      <c r="AN426" s="5">
        <v>817866717147138</v>
      </c>
      <c r="AO426" s="5">
        <v>910255206916428</v>
      </c>
    </row>
    <row r="427" spans="1:41" x14ac:dyDescent="0.45">
      <c r="A427" s="1" t="s">
        <v>421</v>
      </c>
      <c r="B427" s="2">
        <v>4039450</v>
      </c>
      <c r="C427" s="3" t="s">
        <v>1458</v>
      </c>
      <c r="D427" s="3" t="s">
        <v>1459</v>
      </c>
      <c r="E427" s="3" t="s">
        <v>1064</v>
      </c>
      <c r="F427" s="5">
        <v>234864745944323</v>
      </c>
      <c r="G427" s="5">
        <v>223486933241387</v>
      </c>
      <c r="H427" s="5">
        <v>214704933927584</v>
      </c>
      <c r="I427" s="5">
        <v>214826351728053</v>
      </c>
      <c r="J427" s="5">
        <v>201654715530132</v>
      </c>
      <c r="K427" s="5">
        <v>202820178116062</v>
      </c>
      <c r="L427" s="5">
        <v>193229011280195</v>
      </c>
      <c r="M427" s="5">
        <v>169671312991917</v>
      </c>
      <c r="N427" s="5">
        <v>156646679901211</v>
      </c>
      <c r="O427" s="5">
        <v>164052646130281</v>
      </c>
      <c r="P427" s="5">
        <v>194873714553273</v>
      </c>
      <c r="Q427" s="5">
        <v>202839929357039</v>
      </c>
      <c r="R427" s="5">
        <v>182087692107622</v>
      </c>
      <c r="S427" s="5">
        <v>189893087893099</v>
      </c>
      <c r="T427" s="5">
        <v>157899576053605</v>
      </c>
      <c r="U427" s="5">
        <v>146983338566194</v>
      </c>
      <c r="V427" s="5">
        <v>152745054466554</v>
      </c>
      <c r="W427" s="5">
        <v>158868194908075</v>
      </c>
      <c r="X427" s="5">
        <v>142589868427927</v>
      </c>
      <c r="Y427" s="5">
        <v>142186852924904</v>
      </c>
      <c r="Z427" s="5">
        <v>136027174289388</v>
      </c>
      <c r="AA427" s="5">
        <v>131813415036203</v>
      </c>
      <c r="AB427" s="5">
        <v>122682455044679</v>
      </c>
      <c r="AC427" s="5">
        <v>121557582985619</v>
      </c>
      <c r="AD427" s="5">
        <v>119862401848807</v>
      </c>
      <c r="AE427" s="5">
        <v>107550759459869</v>
      </c>
      <c r="AF427" s="5">
        <v>997156915004119</v>
      </c>
      <c r="AG427" s="5">
        <v>106080351160511</v>
      </c>
      <c r="AH427" s="5">
        <v>104844929074183</v>
      </c>
      <c r="AI427" s="5">
        <v>112948056736895</v>
      </c>
      <c r="AJ427" s="5">
        <v>10333981157517</v>
      </c>
      <c r="AK427" s="5">
        <v>106301960552329</v>
      </c>
      <c r="AL427" s="5">
        <v>109265879319564</v>
      </c>
      <c r="AM427" s="5">
        <v>105712900815271</v>
      </c>
      <c r="AN427" s="5">
        <v>116849981156598</v>
      </c>
      <c r="AO427" s="5">
        <v>118635786304296</v>
      </c>
    </row>
    <row r="428" spans="1:41" x14ac:dyDescent="0.45">
      <c r="A428" s="1" t="s">
        <v>422</v>
      </c>
      <c r="B428" s="2">
        <v>103647</v>
      </c>
      <c r="C428" s="3" t="s">
        <v>1460</v>
      </c>
      <c r="D428" s="3" t="s">
        <v>1461</v>
      </c>
      <c r="E428" s="3" t="s">
        <v>570</v>
      </c>
      <c r="F428" s="5">
        <v>327035853193639</v>
      </c>
      <c r="G428" s="5">
        <v>329294068598042</v>
      </c>
      <c r="H428" s="5">
        <v>300006217569055</v>
      </c>
      <c r="I428" s="5">
        <v>319659267353098</v>
      </c>
      <c r="J428" s="5">
        <v>318038374614023</v>
      </c>
      <c r="K428" s="5">
        <v>305750945497781</v>
      </c>
      <c r="L428" s="5">
        <v>306915901774977</v>
      </c>
      <c r="M428" s="5">
        <v>325093342091841</v>
      </c>
      <c r="N428" s="5">
        <v>307175949761153</v>
      </c>
      <c r="O428" s="5">
        <v>326696739663271</v>
      </c>
      <c r="P428" s="5">
        <v>324424808122124</v>
      </c>
      <c r="Q428" s="5">
        <v>30865880538</v>
      </c>
      <c r="R428" s="5">
        <v>306326249005127</v>
      </c>
      <c r="S428" s="5">
        <v>338804934548719</v>
      </c>
      <c r="T428" s="5">
        <v>294863321302638</v>
      </c>
      <c r="U428" s="5">
        <v>307066634865612</v>
      </c>
      <c r="V428" s="5">
        <v>307565547497962</v>
      </c>
      <c r="W428" s="5">
        <v>300310715519338</v>
      </c>
      <c r="X428" s="5">
        <v>277519042526513</v>
      </c>
      <c r="Y428" s="5">
        <v>282124731505181</v>
      </c>
      <c r="Z428" s="5">
        <v>267988461711284</v>
      </c>
      <c r="AA428" s="5">
        <v>283682929457214</v>
      </c>
      <c r="AB428" s="5">
        <v>26363527322095</v>
      </c>
      <c r="AC428" s="5">
        <v>241070121086625</v>
      </c>
      <c r="AD428" s="5">
        <v>218719175274168</v>
      </c>
      <c r="AE428" s="5">
        <v>215546408497165</v>
      </c>
      <c r="AF428" s="5">
        <v>209096462697369</v>
      </c>
      <c r="AG428" s="5">
        <v>204884153043181</v>
      </c>
      <c r="AH428" s="5">
        <v>202505732027424</v>
      </c>
      <c r="AI428" s="5">
        <v>199465523975827</v>
      </c>
      <c r="AJ428" s="5">
        <v>204662840173917</v>
      </c>
      <c r="AK428" s="5">
        <v>199457089095808</v>
      </c>
      <c r="AL428" s="5">
        <v>199555504857302</v>
      </c>
      <c r="AM428" s="5">
        <v>200803198140862</v>
      </c>
      <c r="AN428" s="5">
        <v>230847550515972</v>
      </c>
      <c r="AO428" s="5">
        <v>227299266098306</v>
      </c>
    </row>
    <row r="429" spans="1:41" x14ac:dyDescent="0.45">
      <c r="A429" s="1" t="s">
        <v>423</v>
      </c>
      <c r="B429" s="2">
        <v>4914369</v>
      </c>
      <c r="C429" s="3" t="s">
        <v>1462</v>
      </c>
      <c r="D429" s="3" t="s">
        <v>1463</v>
      </c>
      <c r="E429" s="3" t="s">
        <v>788</v>
      </c>
      <c r="F429" s="5">
        <v>314301458483787</v>
      </c>
      <c r="G429" s="5">
        <v>328917857231434</v>
      </c>
      <c r="H429" s="5">
        <v>298234476922936</v>
      </c>
      <c r="I429" s="5">
        <v>323188469834617</v>
      </c>
      <c r="J429" s="5">
        <v>318455183446234</v>
      </c>
      <c r="K429" s="5">
        <v>329862417022037</v>
      </c>
      <c r="L429" s="5">
        <v>286292172563508</v>
      </c>
      <c r="M429" s="5">
        <v>286919579772076</v>
      </c>
      <c r="N429" s="5">
        <v>298499365880876</v>
      </c>
      <c r="O429" s="5">
        <v>320529487205411</v>
      </c>
      <c r="P429" s="5">
        <v>335984613148639</v>
      </c>
      <c r="Q429" s="5">
        <v>290568119047056</v>
      </c>
      <c r="R429" s="5">
        <v>331002119469341</v>
      </c>
      <c r="S429" s="5">
        <v>337802957128385</v>
      </c>
      <c r="T429" s="5">
        <v>330844064269898</v>
      </c>
      <c r="U429" s="5">
        <v>34783374627635</v>
      </c>
      <c r="V429" s="5">
        <v>353084324055923</v>
      </c>
      <c r="W429" s="5">
        <v>36901069512384</v>
      </c>
      <c r="X429" s="5">
        <v>346961683871388</v>
      </c>
      <c r="Y429" s="5">
        <v>368904571306556</v>
      </c>
      <c r="Z429" s="5">
        <v>370345769018373</v>
      </c>
      <c r="AA429" s="5">
        <v>367719845460783</v>
      </c>
      <c r="AB429" s="5">
        <v>354556376792292</v>
      </c>
      <c r="AC429" s="5">
        <v>364795758323545</v>
      </c>
      <c r="AD429" s="5">
        <v>344931724971613</v>
      </c>
      <c r="AE429" s="5">
        <v>35235824012212</v>
      </c>
      <c r="AF429" s="5">
        <v>362630034620766</v>
      </c>
      <c r="AG429" s="5">
        <v>386517079405757</v>
      </c>
      <c r="AH429" s="5">
        <v>405052781099634</v>
      </c>
      <c r="AI429" s="5">
        <v>429159083822691</v>
      </c>
      <c r="AJ429" s="5">
        <v>467511474894772</v>
      </c>
      <c r="AK429" s="5">
        <v>498071767288041</v>
      </c>
      <c r="AL429" s="5">
        <v>505722731774338</v>
      </c>
      <c r="AM429" s="5">
        <v>477768480757096</v>
      </c>
      <c r="AN429" s="5">
        <v>458055497899526</v>
      </c>
      <c r="AO429" s="5">
        <v>424088659266307</v>
      </c>
    </row>
    <row r="430" spans="1:41" x14ac:dyDescent="0.45">
      <c r="A430" s="1" t="s">
        <v>424</v>
      </c>
      <c r="B430" s="2">
        <v>4004135</v>
      </c>
      <c r="C430" s="3" t="s">
        <v>1464</v>
      </c>
      <c r="D430" s="3" t="s">
        <v>1465</v>
      </c>
      <c r="E430" s="3" t="s">
        <v>1148</v>
      </c>
      <c r="F430" s="5">
        <v>291754521043605</v>
      </c>
      <c r="G430" s="5">
        <v>306426208036675</v>
      </c>
      <c r="H430" s="5">
        <v>327586254629211</v>
      </c>
      <c r="I430" s="5">
        <v>343750245818886</v>
      </c>
      <c r="J430" s="5">
        <v>346143390229522</v>
      </c>
      <c r="K430" s="5">
        <v>319647719009417</v>
      </c>
      <c r="L430" s="5">
        <v>310610507551971</v>
      </c>
      <c r="M430" s="5">
        <v>322927732920046</v>
      </c>
      <c r="N430" s="5">
        <v>315806645491157</v>
      </c>
      <c r="O430" s="5">
        <v>337052996126396</v>
      </c>
      <c r="P430" s="5">
        <v>378642271815543</v>
      </c>
      <c r="Q430" s="5">
        <v>393735123346762</v>
      </c>
      <c r="R430" s="5">
        <v>373231605466612</v>
      </c>
      <c r="S430" s="5">
        <v>404029793068269</v>
      </c>
      <c r="T430" s="5">
        <v>360211635085444</v>
      </c>
      <c r="U430" s="5">
        <v>360865788304735</v>
      </c>
      <c r="V430" s="5">
        <v>33092646578069</v>
      </c>
      <c r="W430" s="5">
        <v>33732715513521</v>
      </c>
      <c r="X430" s="5">
        <v>318585004453818</v>
      </c>
      <c r="Y430" s="5">
        <v>306194224937733</v>
      </c>
      <c r="Z430" s="5">
        <v>309759029264594</v>
      </c>
      <c r="AA430" s="5">
        <v>351946249654008</v>
      </c>
      <c r="AB430" s="5">
        <v>350433995322521</v>
      </c>
      <c r="AC430" s="5">
        <v>32378179977636</v>
      </c>
      <c r="AD430" s="5">
        <v>31203826039696</v>
      </c>
      <c r="AE430" s="5">
        <v>286077050267541</v>
      </c>
      <c r="AF430" s="5">
        <v>269476864449346</v>
      </c>
      <c r="AG430" s="5">
        <v>285499604592034</v>
      </c>
      <c r="AH430" s="5">
        <v>304556693933941</v>
      </c>
      <c r="AI430" s="5">
        <v>30455498779285</v>
      </c>
      <c r="AJ430" s="5">
        <v>286075997577251</v>
      </c>
      <c r="AK430" s="5">
        <v>267390976636708</v>
      </c>
      <c r="AL430" s="5">
        <v>27576930550177</v>
      </c>
      <c r="AM430" s="5">
        <v>275690788883835</v>
      </c>
      <c r="AN430" s="5">
        <v>284700116431975</v>
      </c>
      <c r="AO430" s="5">
        <v>304189642804527</v>
      </c>
    </row>
    <row r="431" spans="1:41" x14ac:dyDescent="0.45">
      <c r="A431" s="1" t="s">
        <v>425</v>
      </c>
      <c r="B431" s="2">
        <v>4912995</v>
      </c>
      <c r="C431" s="3" t="s">
        <v>1466</v>
      </c>
      <c r="D431" s="3" t="s">
        <v>1467</v>
      </c>
      <c r="E431" s="3" t="s">
        <v>788</v>
      </c>
      <c r="F431" s="5">
        <v>888814711790008</v>
      </c>
      <c r="G431" s="5">
        <v>958593388466806</v>
      </c>
      <c r="H431" s="5">
        <v>9577964291706</v>
      </c>
      <c r="I431" s="5">
        <v>98747549388648</v>
      </c>
      <c r="J431" s="5">
        <v>100790803843148</v>
      </c>
      <c r="K431" s="5">
        <v>100108364184845</v>
      </c>
      <c r="L431" s="5">
        <v>89206009411948</v>
      </c>
      <c r="M431" s="5">
        <v>105611252563109</v>
      </c>
      <c r="N431" s="5">
        <v>109056155455627</v>
      </c>
      <c r="O431" s="5">
        <v>116582528440828</v>
      </c>
      <c r="P431" s="5">
        <v>113046784063958</v>
      </c>
      <c r="Q431" s="5">
        <v>109436977926602</v>
      </c>
      <c r="R431" s="5">
        <v>113189246460509</v>
      </c>
      <c r="S431" s="5">
        <v>118804236060684</v>
      </c>
      <c r="T431" s="5">
        <v>111239948087416</v>
      </c>
      <c r="U431" s="5">
        <v>115534024379337</v>
      </c>
      <c r="V431" s="5">
        <v>110324299137737</v>
      </c>
      <c r="W431" s="5">
        <v>115997388364704</v>
      </c>
      <c r="X431" s="5">
        <v>108314201791676</v>
      </c>
      <c r="Y431" s="5">
        <v>109300555504842</v>
      </c>
      <c r="Z431" s="5">
        <v>11404073745246</v>
      </c>
      <c r="AA431" s="5">
        <v>123726841957953</v>
      </c>
      <c r="AB431" s="5">
        <v>118034580668218</v>
      </c>
      <c r="AC431" s="5">
        <v>128698979775101</v>
      </c>
      <c r="AD431" s="5">
        <v>121360569454747</v>
      </c>
      <c r="AE431" s="5">
        <v>102766608433003</v>
      </c>
      <c r="AF431" s="5">
        <v>110057635309874</v>
      </c>
      <c r="AG431" s="5">
        <v>118612859315332</v>
      </c>
      <c r="AH431" s="5">
        <v>136492419495575</v>
      </c>
      <c r="AI431" s="5">
        <v>13958177280834</v>
      </c>
      <c r="AJ431" s="5">
        <v>138117448720642</v>
      </c>
      <c r="AK431" s="5">
        <v>146673037462139</v>
      </c>
      <c r="AL431" s="5">
        <v>149195518507498</v>
      </c>
      <c r="AM431" s="5">
        <v>154455287277594</v>
      </c>
      <c r="AN431" s="5">
        <v>148557279097313</v>
      </c>
      <c r="AO431" s="5">
        <v>150022917189526</v>
      </c>
    </row>
    <row r="432" spans="1:41" x14ac:dyDescent="0.45">
      <c r="A432" s="1" t="s">
        <v>426</v>
      </c>
      <c r="B432" s="2">
        <v>4384788</v>
      </c>
      <c r="C432" s="3" t="s">
        <v>1468</v>
      </c>
      <c r="D432" s="3" t="s">
        <v>1469</v>
      </c>
      <c r="E432" s="3" t="s">
        <v>788</v>
      </c>
      <c r="F432" s="5">
        <v>244468968233818</v>
      </c>
      <c r="G432" s="5">
        <v>260402144146181</v>
      </c>
      <c r="H432" s="5">
        <v>253786527403369</v>
      </c>
      <c r="I432" s="5">
        <v>262686731489948</v>
      </c>
      <c r="J432" s="5">
        <v>283016953602309</v>
      </c>
      <c r="K432" s="5">
        <v>284129288308574</v>
      </c>
      <c r="L432" s="5">
        <v>260210370762187</v>
      </c>
      <c r="M432" s="5">
        <v>2788087762103</v>
      </c>
      <c r="N432" s="5">
        <v>303563636276027</v>
      </c>
      <c r="O432" s="5">
        <v>335987419353396</v>
      </c>
      <c r="P432" s="5">
        <v>352705837539671</v>
      </c>
      <c r="Q432" s="5">
        <v>347142794190392</v>
      </c>
      <c r="R432" s="5">
        <v>358674997448194</v>
      </c>
      <c r="S432" s="5">
        <v>366394091861264</v>
      </c>
      <c r="T432" s="5">
        <v>37262731588934</v>
      </c>
      <c r="U432" s="5">
        <v>380613514820525</v>
      </c>
      <c r="V432" s="5">
        <v>387295332164539</v>
      </c>
      <c r="W432" s="5">
        <v>393362211981539</v>
      </c>
      <c r="X432" s="5">
        <v>365150707728565</v>
      </c>
      <c r="Y432" s="5">
        <v>396039429876172</v>
      </c>
      <c r="Z432" s="5">
        <v>438943461631235</v>
      </c>
      <c r="AA432" s="5">
        <v>41528651308537</v>
      </c>
      <c r="AB432" s="5">
        <v>395925782650065</v>
      </c>
      <c r="AC432" s="5">
        <v>419754915204664</v>
      </c>
      <c r="AD432" s="5">
        <v>410348405979574</v>
      </c>
      <c r="AE432" s="5">
        <v>394851739646392</v>
      </c>
      <c r="AF432" s="5">
        <v>365747902736588</v>
      </c>
      <c r="AG432" s="5">
        <v>390389725942701</v>
      </c>
      <c r="AH432" s="5">
        <v>37474012395628</v>
      </c>
      <c r="AI432" s="5">
        <v>402898777000743</v>
      </c>
      <c r="AJ432" s="5">
        <v>39907308504712</v>
      </c>
      <c r="AK432" s="5">
        <v>440109771118858</v>
      </c>
      <c r="AL432" s="5">
        <v>436597469533445</v>
      </c>
      <c r="AM432" s="5">
        <v>436711838103338</v>
      </c>
      <c r="AN432" s="5">
        <v>44934936873358</v>
      </c>
      <c r="AO432" s="5">
        <v>457094584768492</v>
      </c>
    </row>
    <row r="433" spans="1:41" x14ac:dyDescent="0.45">
      <c r="A433" s="1" t="s">
        <v>427</v>
      </c>
      <c r="B433" s="2">
        <v>4004136</v>
      </c>
      <c r="C433" s="3" t="s">
        <v>1470</v>
      </c>
      <c r="D433" s="3" t="s">
        <v>1471</v>
      </c>
      <c r="E433" s="3" t="s">
        <v>1472</v>
      </c>
      <c r="F433" s="5">
        <v>336765718956586</v>
      </c>
      <c r="G433" s="5">
        <v>384500954651377</v>
      </c>
      <c r="H433" s="5">
        <v>365581080838285</v>
      </c>
      <c r="I433" s="5">
        <v>380732111483051</v>
      </c>
      <c r="J433" s="5">
        <v>383446690214766</v>
      </c>
      <c r="K433" s="5">
        <v>4051656859393</v>
      </c>
      <c r="L433" s="5">
        <v>403821390831686</v>
      </c>
      <c r="M433" s="5">
        <v>400384762703129</v>
      </c>
      <c r="N433" s="5">
        <v>420631560551416</v>
      </c>
      <c r="O433" s="5">
        <v>41208426504</v>
      </c>
      <c r="P433" s="5">
        <v>450795779370173</v>
      </c>
      <c r="Q433" s="5">
        <v>429126250509637</v>
      </c>
      <c r="R433" s="5">
        <v>427396404931321</v>
      </c>
      <c r="S433" s="5">
        <v>418837955751355</v>
      </c>
      <c r="T433" s="5">
        <v>371612721758593</v>
      </c>
      <c r="U433" s="5">
        <v>3716923775978</v>
      </c>
      <c r="V433" s="5">
        <v>347233076190265</v>
      </c>
      <c r="W433" s="5">
        <v>36347942566782</v>
      </c>
      <c r="X433" s="5">
        <v>336352137186356</v>
      </c>
      <c r="Y433" s="5">
        <v>348505780630772</v>
      </c>
      <c r="Z433" s="5">
        <v>373772064832333</v>
      </c>
      <c r="AA433" s="5">
        <v>380509924417984</v>
      </c>
      <c r="AB433" s="5">
        <v>330173714749653</v>
      </c>
      <c r="AC433" s="5">
        <v>305950921533494</v>
      </c>
      <c r="AD433" s="5">
        <v>297509199612161</v>
      </c>
      <c r="AE433" s="5">
        <v>291978639932698</v>
      </c>
      <c r="AF433" s="5">
        <v>308893652564995</v>
      </c>
      <c r="AG433" s="5">
        <v>304125272306844</v>
      </c>
      <c r="AH433" s="5">
        <v>306991099283216</v>
      </c>
      <c r="AI433" s="5">
        <v>316783703350067</v>
      </c>
      <c r="AJ433" s="5">
        <v>3090038012704</v>
      </c>
      <c r="AK433" s="5">
        <v>305238387675293</v>
      </c>
      <c r="AL433" s="5">
        <v>316142331941391</v>
      </c>
      <c r="AM433" s="5">
        <v>326018308392747</v>
      </c>
      <c r="AN433" s="5">
        <v>29089483457625</v>
      </c>
      <c r="AO433" s="5">
        <v>294137228499469</v>
      </c>
    </row>
    <row r="434" spans="1:41" x14ac:dyDescent="0.45">
      <c r="A434" s="1" t="s">
        <v>428</v>
      </c>
      <c r="B434" s="2">
        <v>4097833</v>
      </c>
      <c r="C434" s="3" t="s">
        <v>1473</v>
      </c>
      <c r="D434" s="3" t="s">
        <v>1474</v>
      </c>
      <c r="E434" s="3" t="s">
        <v>738</v>
      </c>
      <c r="F434" s="5">
        <v>651240119817728</v>
      </c>
      <c r="G434" s="5">
        <v>670371022602635</v>
      </c>
      <c r="H434" s="5">
        <v>75533343872229</v>
      </c>
      <c r="I434" s="5">
        <v>938099365862306</v>
      </c>
      <c r="J434" s="5">
        <v>906231281197316</v>
      </c>
      <c r="K434" s="5">
        <v>998640715313366</v>
      </c>
      <c r="L434" s="5">
        <v>985405148471328</v>
      </c>
      <c r="M434" s="5">
        <v>101038586841554</v>
      </c>
      <c r="N434" s="5">
        <v>850003111465248</v>
      </c>
      <c r="O434" s="5">
        <v>792020108783761</v>
      </c>
      <c r="P434" s="5">
        <v>728611309769106</v>
      </c>
      <c r="Q434" s="5">
        <v>852336595123632</v>
      </c>
      <c r="R434" s="5">
        <v>754147769690016</v>
      </c>
      <c r="S434" s="5">
        <v>796615863632064</v>
      </c>
      <c r="T434" s="5">
        <v>785312910046872</v>
      </c>
      <c r="U434" s="5">
        <v>765079041224774</v>
      </c>
      <c r="V434" s="5">
        <v>823045239640873</v>
      </c>
      <c r="W434" s="5">
        <v>884070599063652</v>
      </c>
      <c r="X434" s="5">
        <v>866872548996363</v>
      </c>
      <c r="Y434" s="5">
        <v>916630035769785</v>
      </c>
      <c r="Z434" s="5">
        <v>943478386716247</v>
      </c>
      <c r="AA434" s="5">
        <v>966722482626098</v>
      </c>
      <c r="AB434" s="5">
        <v>927304264270481</v>
      </c>
      <c r="AC434" s="5">
        <v>925121057580519</v>
      </c>
      <c r="AD434" s="5">
        <v>105649335312286</v>
      </c>
      <c r="AE434" s="5">
        <v>107553511356662</v>
      </c>
      <c r="AF434" s="5">
        <v>102150583662809</v>
      </c>
      <c r="AG434" s="5">
        <v>111761982291139</v>
      </c>
      <c r="AH434" s="5">
        <v>119021702383773</v>
      </c>
      <c r="AI434" s="5">
        <v>122832657022558</v>
      </c>
      <c r="AJ434" s="5">
        <v>1064742069552</v>
      </c>
      <c r="AK434" s="5">
        <v>995931303312106</v>
      </c>
      <c r="AL434" s="5">
        <v>128941896546164</v>
      </c>
      <c r="AM434" s="5">
        <v>142091448496577</v>
      </c>
      <c r="AN434" s="5">
        <v>168596601253407</v>
      </c>
      <c r="AO434" s="5">
        <v>155298431917083</v>
      </c>
    </row>
    <row r="435" spans="1:41" x14ac:dyDescent="0.45">
      <c r="A435" s="1" t="s">
        <v>429</v>
      </c>
      <c r="B435" s="2">
        <v>100406</v>
      </c>
      <c r="C435" s="3" t="s">
        <v>1475</v>
      </c>
      <c r="D435" s="3" t="s">
        <v>1476</v>
      </c>
      <c r="E435" s="3" t="s">
        <v>653</v>
      </c>
      <c r="F435" s="5">
        <v>697161023525568</v>
      </c>
      <c r="G435" s="5">
        <v>645010173097185</v>
      </c>
      <c r="H435" s="5">
        <v>621025608097341</v>
      </c>
      <c r="I435" s="5">
        <v>674405534251811</v>
      </c>
      <c r="J435" s="5">
        <v>698379807000462</v>
      </c>
      <c r="K435" s="5">
        <v>655332432943663</v>
      </c>
      <c r="L435" s="5">
        <v>627909739478397</v>
      </c>
      <c r="M435" s="5">
        <v>605924611665598</v>
      </c>
      <c r="N435" s="5">
        <v>560508706338868</v>
      </c>
      <c r="O435" s="5">
        <v>643577485694575</v>
      </c>
      <c r="P435" s="5">
        <v>729977170565519</v>
      </c>
      <c r="Q435" s="5">
        <v>765480844916569</v>
      </c>
      <c r="R435" s="5">
        <v>739103628623378</v>
      </c>
      <c r="S435" s="5">
        <v>807500366342996</v>
      </c>
      <c r="T435" s="5">
        <v>688244801970209</v>
      </c>
      <c r="U435" s="5">
        <v>658796436991352</v>
      </c>
      <c r="V435" s="5">
        <v>665169729130893</v>
      </c>
      <c r="W435" s="5">
        <v>665259241765272</v>
      </c>
      <c r="X435" s="5">
        <v>577401055696951</v>
      </c>
      <c r="Y435" s="5">
        <v>577479980586104</v>
      </c>
      <c r="Z435" s="5">
        <v>570516236059421</v>
      </c>
      <c r="AA435" s="5">
        <v>595157852144794</v>
      </c>
      <c r="AB435" s="5">
        <v>541714082653286</v>
      </c>
      <c r="AC435" s="5">
        <v>554734342667988</v>
      </c>
      <c r="AD435" s="5">
        <v>558047194633024</v>
      </c>
      <c r="AE435" s="5">
        <v>489274115851556</v>
      </c>
      <c r="AF435" s="5">
        <v>431492344946079</v>
      </c>
      <c r="AG435" s="5">
        <v>46194783354283</v>
      </c>
      <c r="AH435" s="5">
        <v>443309375171976</v>
      </c>
      <c r="AI435" s="5">
        <v>49437166428</v>
      </c>
      <c r="AJ435" s="5">
        <v>460451719736338</v>
      </c>
      <c r="AK435" s="5">
        <v>433763721711945</v>
      </c>
      <c r="AL435" s="5">
        <v>471702985561545</v>
      </c>
      <c r="AM435" s="5">
        <v>467559540571516</v>
      </c>
      <c r="AN435" s="5">
        <v>594569737694218</v>
      </c>
      <c r="AO435" s="5">
        <v>61076871801</v>
      </c>
    </row>
    <row r="436" spans="1:41" x14ac:dyDescent="0.45">
      <c r="A436" s="1" t="s">
        <v>430</v>
      </c>
      <c r="B436" s="2">
        <v>4004124</v>
      </c>
      <c r="C436" s="3" t="s">
        <v>1477</v>
      </c>
      <c r="D436" s="3" t="s">
        <v>1478</v>
      </c>
      <c r="E436" s="3" t="s">
        <v>754</v>
      </c>
      <c r="F436" s="5">
        <v>285214983555454</v>
      </c>
      <c r="G436" s="5">
        <v>29857188571535</v>
      </c>
      <c r="H436" s="5">
        <v>304641798802634</v>
      </c>
      <c r="I436" s="5">
        <v>306500342219519</v>
      </c>
      <c r="J436" s="5">
        <v>314218328759976</v>
      </c>
      <c r="K436" s="5">
        <v>308067937662756</v>
      </c>
      <c r="L436" s="5">
        <v>318062869983633</v>
      </c>
      <c r="M436" s="5">
        <v>351034345137512</v>
      </c>
      <c r="N436" s="5">
        <v>335947547729149</v>
      </c>
      <c r="O436" s="5">
        <v>369718844610467</v>
      </c>
      <c r="P436" s="5">
        <v>39177226971521</v>
      </c>
      <c r="Q436" s="5">
        <v>374470440602098</v>
      </c>
      <c r="R436" s="5">
        <v>38135929023279</v>
      </c>
      <c r="S436" s="5">
        <v>400127778806764</v>
      </c>
      <c r="T436" s="5">
        <v>358274335165319</v>
      </c>
      <c r="U436" s="5">
        <v>364888746927851</v>
      </c>
      <c r="V436" s="5">
        <v>364414561807269</v>
      </c>
      <c r="W436" s="5">
        <v>350128913904</v>
      </c>
      <c r="X436" s="5">
        <v>363271635543254</v>
      </c>
      <c r="Y436" s="5">
        <v>358085233540788</v>
      </c>
      <c r="Z436" s="5">
        <v>360214797766548</v>
      </c>
      <c r="AA436" s="5">
        <v>353449763193447</v>
      </c>
      <c r="AB436" s="5">
        <v>345977377765185</v>
      </c>
      <c r="AC436" s="5">
        <v>340802011489839</v>
      </c>
      <c r="AD436" s="5">
        <v>312463571919138</v>
      </c>
      <c r="AE436" s="5">
        <v>331761166993253</v>
      </c>
      <c r="AF436" s="5">
        <v>334685843590686</v>
      </c>
      <c r="AG436" s="5">
        <v>324800051587282</v>
      </c>
      <c r="AH436" s="5">
        <v>335389461854977</v>
      </c>
      <c r="AI436" s="5">
        <v>334280992382952</v>
      </c>
      <c r="AJ436" s="5">
        <v>327604216826976</v>
      </c>
      <c r="AK436" s="5">
        <v>315145064863645</v>
      </c>
      <c r="AL436" s="5">
        <v>333972931778628</v>
      </c>
      <c r="AM436" s="5">
        <v>322858944099744</v>
      </c>
      <c r="AN436" s="5">
        <v>30570146541888</v>
      </c>
      <c r="AO436" s="5">
        <v>309258455348304</v>
      </c>
    </row>
    <row r="437" spans="1:41" x14ac:dyDescent="0.45">
      <c r="A437" s="1" t="s">
        <v>431</v>
      </c>
      <c r="B437" s="2">
        <v>103383</v>
      </c>
      <c r="C437" s="3" t="s">
        <v>1479</v>
      </c>
      <c r="D437" s="3" t="s">
        <v>1480</v>
      </c>
      <c r="E437" s="3" t="s">
        <v>570</v>
      </c>
      <c r="F437" s="5">
        <v>113731230238221</v>
      </c>
      <c r="G437" s="5">
        <v>115701156693717</v>
      </c>
      <c r="H437" s="5">
        <v>1047322128</v>
      </c>
      <c r="I437" s="5">
        <v>123382515612441</v>
      </c>
      <c r="J437" s="5">
        <v>123814028955598</v>
      </c>
      <c r="K437" s="5">
        <v>124039862576314</v>
      </c>
      <c r="L437" s="5">
        <v>133208354627389</v>
      </c>
      <c r="M437" s="5">
        <v>147205920801371</v>
      </c>
      <c r="N437" s="5">
        <v>145577455855218</v>
      </c>
      <c r="O437" s="5">
        <v>153500563562929</v>
      </c>
      <c r="P437" s="5">
        <v>158772608820391</v>
      </c>
      <c r="Q437" s="5">
        <v>138895862839626</v>
      </c>
      <c r="R437" s="5">
        <v>135579803600456</v>
      </c>
      <c r="S437" s="5">
        <v>149290818487069</v>
      </c>
      <c r="T437" s="5">
        <v>131012078694</v>
      </c>
      <c r="U437" s="5">
        <v>133251591791465</v>
      </c>
      <c r="V437" s="5">
        <v>133540210666643</v>
      </c>
      <c r="W437" s="5">
        <v>115878598488983</v>
      </c>
      <c r="X437" s="5">
        <v>113540995985787</v>
      </c>
      <c r="Y437" s="5">
        <v>114052506886597</v>
      </c>
      <c r="Z437" s="5">
        <v>114067932208777</v>
      </c>
      <c r="AA437" s="5">
        <v>112145995606563</v>
      </c>
      <c r="AB437" s="5">
        <v>10270554567216</v>
      </c>
      <c r="AC437" s="5">
        <v>961607075325</v>
      </c>
      <c r="AD437" s="5">
        <v>842933052812532</v>
      </c>
      <c r="AE437" s="5">
        <v>879776797094252</v>
      </c>
      <c r="AF437" s="5">
        <v>875409492287918</v>
      </c>
      <c r="AG437" s="5">
        <v>770361336578232</v>
      </c>
      <c r="AH437" s="5">
        <v>720307701876042</v>
      </c>
      <c r="AI437" s="5">
        <v>669157276490169</v>
      </c>
      <c r="AJ437" s="5">
        <v>709762203571322</v>
      </c>
      <c r="AK437" s="5">
        <v>702544828438409</v>
      </c>
      <c r="AL437" s="5">
        <v>723466334558739</v>
      </c>
      <c r="AM437" s="5">
        <v>7707661913643</v>
      </c>
      <c r="AN437" s="5">
        <v>791355378526502</v>
      </c>
      <c r="AO437" s="5">
        <v>734481567913658</v>
      </c>
    </row>
    <row r="438" spans="1:41" x14ac:dyDescent="0.45">
      <c r="A438" s="1" t="s">
        <v>432</v>
      </c>
      <c r="B438" s="2">
        <v>4191577</v>
      </c>
      <c r="C438" s="3" t="s">
        <v>1481</v>
      </c>
      <c r="D438" s="3" t="s">
        <v>1482</v>
      </c>
      <c r="E438" s="3" t="s">
        <v>536</v>
      </c>
      <c r="F438" s="5">
        <v>680189611906671</v>
      </c>
      <c r="G438" s="5">
        <v>730522792941973</v>
      </c>
      <c r="H438" s="5">
        <v>737090448383574</v>
      </c>
      <c r="I438" s="5">
        <v>731615014544213</v>
      </c>
      <c r="J438" s="5">
        <v>77532257717615</v>
      </c>
      <c r="K438" s="5">
        <v>717082486577192</v>
      </c>
      <c r="L438" s="5">
        <v>731167522599134</v>
      </c>
      <c r="M438" s="5">
        <v>790807625181204</v>
      </c>
      <c r="N438" s="5">
        <v>77791448197301</v>
      </c>
      <c r="O438" s="5">
        <v>807945477955804</v>
      </c>
      <c r="P438" s="5">
        <v>870225767958686</v>
      </c>
      <c r="Q438" s="5">
        <v>864888381637054</v>
      </c>
      <c r="R438" s="5">
        <v>824108564266719</v>
      </c>
      <c r="S438" s="5">
        <v>945382011126367</v>
      </c>
      <c r="T438" s="5">
        <v>829351277355867</v>
      </c>
      <c r="U438" s="5">
        <v>863201717520704</v>
      </c>
      <c r="V438" s="5">
        <v>842371422604593</v>
      </c>
      <c r="W438" s="5">
        <v>8176305164412</v>
      </c>
      <c r="X438" s="5">
        <v>706468828058953</v>
      </c>
      <c r="Y438" s="5">
        <v>710550665882155</v>
      </c>
      <c r="Z438" s="5">
        <v>710706131032842</v>
      </c>
      <c r="AA438" s="5">
        <v>817068636645767</v>
      </c>
      <c r="AB438" s="5">
        <v>7772328234011</v>
      </c>
      <c r="AC438" s="5">
        <v>718105304256701</v>
      </c>
      <c r="AD438" s="5">
        <v>722274694942137</v>
      </c>
      <c r="AE438" s="5">
        <v>654330518483748</v>
      </c>
      <c r="AF438" s="5">
        <v>577115902959088</v>
      </c>
      <c r="AG438" s="5">
        <v>619240410394998</v>
      </c>
      <c r="AH438" s="5">
        <v>643793524804668</v>
      </c>
      <c r="AI438" s="5">
        <v>644745007456095</v>
      </c>
      <c r="AJ438" s="5">
        <v>627443634872973</v>
      </c>
      <c r="AK438" s="5">
        <v>551365146850863</v>
      </c>
      <c r="AL438" s="5">
        <v>555258080490744</v>
      </c>
      <c r="AM438" s="5">
        <v>53385486090514</v>
      </c>
      <c r="AN438" s="5">
        <v>535907175631566</v>
      </c>
      <c r="AO438" s="5">
        <v>561007830865368</v>
      </c>
    </row>
    <row r="439" spans="1:41" x14ac:dyDescent="0.45">
      <c r="A439" s="1" t="s">
        <v>433</v>
      </c>
      <c r="B439" s="2">
        <v>4004298</v>
      </c>
      <c r="C439" s="3" t="s">
        <v>1483</v>
      </c>
      <c r="D439" s="3" t="s">
        <v>1484</v>
      </c>
      <c r="E439" s="3" t="s">
        <v>547</v>
      </c>
      <c r="F439" s="5">
        <v>817771187450863</v>
      </c>
      <c r="G439" s="5">
        <v>865268974488836</v>
      </c>
      <c r="H439" s="5">
        <v>897760288107692</v>
      </c>
      <c r="I439" s="5">
        <v>888535472805327</v>
      </c>
      <c r="J439" s="5">
        <v>868017377569489</v>
      </c>
      <c r="K439" s="5">
        <v>908577731534793</v>
      </c>
      <c r="L439" s="5">
        <v>859386818878427</v>
      </c>
      <c r="M439" s="5">
        <v>87173750511288</v>
      </c>
      <c r="N439" s="5">
        <v>890257220150594</v>
      </c>
      <c r="O439" s="5">
        <v>933073100554916</v>
      </c>
      <c r="P439" s="5">
        <v>946509245540803</v>
      </c>
      <c r="Q439" s="5">
        <v>884965430770731</v>
      </c>
      <c r="R439" s="5">
        <v>871210134877118</v>
      </c>
      <c r="S439" s="5">
        <v>925605660871105</v>
      </c>
      <c r="T439" s="5">
        <v>918606605638734</v>
      </c>
      <c r="U439" s="5">
        <v>885015373566409</v>
      </c>
      <c r="V439" s="5">
        <v>855011706757949</v>
      </c>
      <c r="W439" s="5">
        <v>843824046826253</v>
      </c>
      <c r="X439" s="5">
        <v>79159765299471</v>
      </c>
      <c r="Y439" s="5">
        <v>808010121066214</v>
      </c>
      <c r="Z439" s="5">
        <v>751732990484868</v>
      </c>
      <c r="AA439" s="5">
        <v>724618329304888</v>
      </c>
      <c r="AB439" s="5">
        <v>678752959496912</v>
      </c>
      <c r="AC439" s="5">
        <v>698831623282238</v>
      </c>
      <c r="AD439" s="5">
        <v>691862347518258</v>
      </c>
      <c r="AE439" s="5">
        <v>709792107803431</v>
      </c>
      <c r="AF439" s="5">
        <v>694672172816816</v>
      </c>
      <c r="AG439" s="5">
        <v>66684148955353</v>
      </c>
      <c r="AH439" s="5">
        <v>681014276516077</v>
      </c>
      <c r="AI439" s="5">
        <v>715754576953426</v>
      </c>
      <c r="AJ439" s="5">
        <v>7016631304646</v>
      </c>
      <c r="AK439" s="5">
        <v>713629480539195</v>
      </c>
      <c r="AL439" s="5">
        <v>726684106868837</v>
      </c>
      <c r="AM439" s="5">
        <v>698381154481614</v>
      </c>
      <c r="AN439" s="5">
        <v>646838744365559</v>
      </c>
      <c r="AO439" s="5">
        <v>677761308270161</v>
      </c>
    </row>
    <row r="440" spans="1:41" x14ac:dyDescent="0.45">
      <c r="A440" s="1" t="s">
        <v>434</v>
      </c>
      <c r="B440" s="2">
        <v>4074192</v>
      </c>
      <c r="C440" s="3" t="s">
        <v>1485</v>
      </c>
      <c r="D440" s="3" t="s">
        <v>1486</v>
      </c>
      <c r="E440" s="3" t="s">
        <v>1357</v>
      </c>
      <c r="F440" s="5">
        <v>145282006939295</v>
      </c>
      <c r="G440" s="5">
        <v>14581256958576</v>
      </c>
      <c r="H440" s="5">
        <v>135223593980475</v>
      </c>
      <c r="I440" s="5">
        <v>137104529470177</v>
      </c>
      <c r="J440" s="5">
        <v>129977767198799</v>
      </c>
      <c r="K440" s="5">
        <v>121450519858705</v>
      </c>
      <c r="L440" s="5">
        <v>117308918456708</v>
      </c>
      <c r="M440" s="5">
        <v>124767071072819</v>
      </c>
      <c r="N440" s="5">
        <v>126699919674035</v>
      </c>
      <c r="O440" s="5">
        <v>126680648826871</v>
      </c>
      <c r="P440" s="5">
        <v>134794232421386</v>
      </c>
      <c r="Q440" s="5">
        <v>134966928950275</v>
      </c>
      <c r="R440" s="5">
        <v>131178426459903</v>
      </c>
      <c r="S440" s="5">
        <v>134362343850294</v>
      </c>
      <c r="T440" s="5">
        <v>117412273724392</v>
      </c>
      <c r="U440" s="5">
        <v>118862418188886</v>
      </c>
      <c r="V440" s="5">
        <v>119581372838821</v>
      </c>
      <c r="W440" s="5">
        <v>118022018832675</v>
      </c>
      <c r="X440" s="5">
        <v>116129979623157</v>
      </c>
      <c r="Y440" s="5">
        <v>107441596338678</v>
      </c>
      <c r="Z440" s="5">
        <v>996522581782653</v>
      </c>
      <c r="AA440" s="5">
        <v>107009539795959</v>
      </c>
      <c r="AB440" s="5">
        <v>104524791328826</v>
      </c>
      <c r="AC440" s="5">
        <v>996972719132663</v>
      </c>
      <c r="AD440" s="5">
        <v>967242653839761</v>
      </c>
      <c r="AE440" s="5">
        <v>920722778519401</v>
      </c>
      <c r="AF440" s="5">
        <v>953685585608733</v>
      </c>
      <c r="AG440" s="5">
        <v>960728190834185</v>
      </c>
      <c r="AH440" s="5">
        <v>975518132024742</v>
      </c>
      <c r="AI440" s="5">
        <v>902351267682254</v>
      </c>
      <c r="AJ440" s="5">
        <v>892586395291079</v>
      </c>
      <c r="AK440" s="5">
        <v>828049955308766</v>
      </c>
      <c r="AL440" s="5">
        <v>822382414297793</v>
      </c>
      <c r="AM440" s="5">
        <v>831262039439383</v>
      </c>
      <c r="AN440" s="5">
        <v>833779439802228</v>
      </c>
      <c r="AO440" s="5">
        <v>870886167649148</v>
      </c>
    </row>
    <row r="441" spans="1:41" x14ac:dyDescent="0.45">
      <c r="A441" s="1" t="s">
        <v>435</v>
      </c>
      <c r="B441" s="2">
        <v>4844112</v>
      </c>
      <c r="C441" s="3" t="s">
        <v>1487</v>
      </c>
      <c r="D441" s="3" t="s">
        <v>1488</v>
      </c>
      <c r="E441" s="3" t="s">
        <v>1262</v>
      </c>
      <c r="F441" s="5">
        <v>156348793225792</v>
      </c>
      <c r="G441" s="5">
        <v>164985855581796</v>
      </c>
      <c r="H441" s="5">
        <v>213143691420284</v>
      </c>
      <c r="I441" s="5">
        <v>204237416152588</v>
      </c>
      <c r="J441" s="5">
        <v>228477301609847</v>
      </c>
      <c r="K441" s="5">
        <v>371683031712165</v>
      </c>
      <c r="L441" s="5">
        <v>301249373187855</v>
      </c>
      <c r="M441" s="5">
        <v>325781505020052</v>
      </c>
      <c r="N441" s="5">
        <v>234328321019975</v>
      </c>
      <c r="O441" s="5">
        <v>251154475942798</v>
      </c>
      <c r="P441" s="5">
        <v>335279228771715</v>
      </c>
      <c r="Q441" s="5">
        <v>563572703542356</v>
      </c>
      <c r="R441" s="5">
        <v>560316097928642</v>
      </c>
      <c r="S441" s="5">
        <v>60136892552007</v>
      </c>
      <c r="T441" s="5">
        <v>546096129021614</v>
      </c>
      <c r="U441" s="5">
        <v>484590585252221</v>
      </c>
      <c r="V441" s="5">
        <v>464568482784695</v>
      </c>
      <c r="W441" s="5">
        <v>40621569658861</v>
      </c>
      <c r="X441" s="5">
        <v>445865757243256</v>
      </c>
      <c r="Y441" s="5">
        <v>418460101648565</v>
      </c>
      <c r="Z441" s="5">
        <v>378672933502875</v>
      </c>
      <c r="AA441" s="5">
        <v>395713377197813</v>
      </c>
      <c r="AB441" s="5">
        <v>386413099492525</v>
      </c>
      <c r="AC441" s="5">
        <v>309239793734421</v>
      </c>
      <c r="AD441" s="5">
        <v>319194200832928</v>
      </c>
      <c r="AE441" s="5">
        <v>316755277177401</v>
      </c>
      <c r="AF441" s="5">
        <v>329235092019942</v>
      </c>
      <c r="AG441" s="5">
        <v>361943482553886</v>
      </c>
      <c r="AH441" s="5">
        <v>361705932406823</v>
      </c>
      <c r="AI441" s="5">
        <v>404812975436406</v>
      </c>
      <c r="AJ441" s="5">
        <v>345780466633087</v>
      </c>
      <c r="AK441" s="5">
        <v>321448197316847</v>
      </c>
      <c r="AL441" s="5">
        <v>284540997544639</v>
      </c>
      <c r="AM441" s="5">
        <v>275147239789441</v>
      </c>
      <c r="AN441" s="5">
        <v>258719140361074</v>
      </c>
      <c r="AO441" s="5">
        <v>228501297576852</v>
      </c>
    </row>
    <row r="442" spans="1:41" x14ac:dyDescent="0.45">
      <c r="A442" s="1" t="s">
        <v>436</v>
      </c>
      <c r="B442" s="2">
        <v>4055530</v>
      </c>
      <c r="C442" s="3" t="s">
        <v>1489</v>
      </c>
      <c r="D442" s="3" t="s">
        <v>1490</v>
      </c>
      <c r="E442" s="3" t="s">
        <v>570</v>
      </c>
      <c r="F442" s="5">
        <v>551065015418165</v>
      </c>
      <c r="G442" s="5">
        <v>563374462257795</v>
      </c>
      <c r="H442" s="5">
        <v>519500288296262</v>
      </c>
      <c r="I442" s="5">
        <v>535771727249102</v>
      </c>
      <c r="J442" s="5">
        <v>522566936313561</v>
      </c>
      <c r="K442" s="5">
        <v>512183558694845</v>
      </c>
      <c r="L442" s="5">
        <v>51453679024222</v>
      </c>
      <c r="M442" s="5">
        <v>550504171027663</v>
      </c>
      <c r="N442" s="5">
        <v>52746160891463</v>
      </c>
      <c r="O442" s="5">
        <v>554750955074161</v>
      </c>
      <c r="P442" s="5">
        <v>563267592235321</v>
      </c>
      <c r="Q442" s="5">
        <v>534521478348</v>
      </c>
      <c r="R442" s="5">
        <v>528217850053699</v>
      </c>
      <c r="S442" s="5">
        <v>572434471958777</v>
      </c>
      <c r="T442" s="5">
        <v>514222333031626</v>
      </c>
      <c r="U442" s="5">
        <v>478455413503565</v>
      </c>
      <c r="V442" s="5">
        <v>469990256579668</v>
      </c>
      <c r="W442" s="5">
        <v>45584135127263</v>
      </c>
      <c r="X442" s="5">
        <v>43457729790117</v>
      </c>
      <c r="Y442" s="5">
        <v>455460918188222</v>
      </c>
      <c r="Z442" s="5">
        <v>454350442212925</v>
      </c>
      <c r="AA442" s="5">
        <v>488183799251885</v>
      </c>
      <c r="AB442" s="5">
        <v>46835635768121</v>
      </c>
      <c r="AC442" s="5">
        <v>444557588384</v>
      </c>
      <c r="AD442" s="5">
        <v>393615161308881</v>
      </c>
      <c r="AE442" s="5">
        <v>378253414269952</v>
      </c>
      <c r="AF442" s="5">
        <v>361971918649942</v>
      </c>
      <c r="AG442" s="5">
        <v>353247224341505</v>
      </c>
      <c r="AH442" s="5">
        <v>340332065630517</v>
      </c>
      <c r="AI442" s="5">
        <v>35858392953219</v>
      </c>
      <c r="AJ442" s="5">
        <v>367420334945564</v>
      </c>
      <c r="AK442" s="5">
        <v>36678591623401</v>
      </c>
      <c r="AL442" s="5">
        <v>37910403965093</v>
      </c>
      <c r="AM442" s="5">
        <v>36616529984338</v>
      </c>
      <c r="AN442" s="5">
        <v>404733045435638</v>
      </c>
      <c r="AO442" s="5">
        <v>408412871064</v>
      </c>
    </row>
    <row r="443" spans="1:41" x14ac:dyDescent="0.45">
      <c r="A443" s="1" t="s">
        <v>437</v>
      </c>
      <c r="B443" s="2">
        <v>4097175</v>
      </c>
      <c r="C443" s="3" t="s">
        <v>1491</v>
      </c>
      <c r="D443" s="3" t="s">
        <v>1492</v>
      </c>
      <c r="E443" s="3" t="s">
        <v>1141</v>
      </c>
      <c r="F443" s="5">
        <v>172990756138423</v>
      </c>
      <c r="G443" s="5">
        <v>160845470039573</v>
      </c>
      <c r="H443" s="5">
        <v>175553028272223</v>
      </c>
      <c r="I443" s="5">
        <v>175457396171646</v>
      </c>
      <c r="J443" s="5">
        <v>181956409172997</v>
      </c>
      <c r="K443" s="5">
        <v>187192064064826</v>
      </c>
      <c r="L443" s="5">
        <v>189832149803084</v>
      </c>
      <c r="M443" s="5">
        <v>179095356251881</v>
      </c>
      <c r="N443" s="5">
        <v>14491837535532</v>
      </c>
      <c r="O443" s="5">
        <v>165082289654533</v>
      </c>
      <c r="P443" s="5">
        <v>197723616933641</v>
      </c>
      <c r="Q443" s="5">
        <v>19671526143863</v>
      </c>
      <c r="R443" s="5">
        <v>194771891795342</v>
      </c>
      <c r="S443" s="5">
        <v>201626479973422</v>
      </c>
      <c r="T443" s="5">
        <v>1608979632</v>
      </c>
      <c r="U443" s="5">
        <v>156619020464</v>
      </c>
      <c r="V443" s="5">
        <v>148390005328</v>
      </c>
      <c r="W443" s="5">
        <v>157820032621889</v>
      </c>
      <c r="X443" s="5">
        <v>168936578916702</v>
      </c>
      <c r="Y443" s="5">
        <v>174675616806874</v>
      </c>
      <c r="Z443" s="5">
        <v>190588084803048</v>
      </c>
      <c r="AA443" s="5">
        <v>207791386041185</v>
      </c>
      <c r="AB443" s="5">
        <v>189341552272041</v>
      </c>
      <c r="AC443" s="5">
        <v>162322081096116</v>
      </c>
      <c r="AD443" s="5">
        <v>149510020411564</v>
      </c>
      <c r="AE443" s="5">
        <v>155553902953667</v>
      </c>
      <c r="AF443" s="5">
        <v>141304548044904</v>
      </c>
      <c r="AG443" s="5">
        <v>140117213737616</v>
      </c>
      <c r="AH443" s="5">
        <v>141172849716565</v>
      </c>
      <c r="AI443" s="5">
        <v>147388201983825</v>
      </c>
      <c r="AJ443" s="5">
        <v>149437879025034</v>
      </c>
      <c r="AK443" s="5">
        <v>150812721370346</v>
      </c>
      <c r="AL443" s="5">
        <v>169665177909432</v>
      </c>
      <c r="AM443" s="5">
        <v>168357918311405</v>
      </c>
      <c r="AN443" s="5">
        <v>171414108344345</v>
      </c>
      <c r="AO443" s="5">
        <v>182471588528583</v>
      </c>
    </row>
    <row r="444" spans="1:41" x14ac:dyDescent="0.45">
      <c r="A444" s="1" t="s">
        <v>438</v>
      </c>
      <c r="B444" s="2">
        <v>4011165</v>
      </c>
      <c r="C444" s="3" t="s">
        <v>1493</v>
      </c>
      <c r="D444" s="3" t="s">
        <v>1494</v>
      </c>
      <c r="E444" s="3" t="s">
        <v>1117</v>
      </c>
      <c r="F444" s="5">
        <v>625211388734266</v>
      </c>
      <c r="G444" s="5">
        <v>641702056643858</v>
      </c>
      <c r="H444" s="5">
        <v>612704891863248</v>
      </c>
      <c r="I444" s="5">
        <v>659352831573835</v>
      </c>
      <c r="J444" s="5">
        <v>604258276259723</v>
      </c>
      <c r="K444" s="5">
        <v>639908564024819</v>
      </c>
      <c r="L444" s="5">
        <v>65302736181239</v>
      </c>
      <c r="M444" s="5">
        <v>651131724988865</v>
      </c>
      <c r="N444" s="5">
        <v>630162419110557</v>
      </c>
      <c r="O444" s="5">
        <v>674917116486662</v>
      </c>
      <c r="P444" s="5">
        <v>681832265559174</v>
      </c>
      <c r="Q444" s="5">
        <v>65008927634937</v>
      </c>
      <c r="R444" s="5">
        <v>637232419866454</v>
      </c>
      <c r="S444" s="5">
        <v>676128014430903</v>
      </c>
      <c r="T444" s="5">
        <v>587924277813291</v>
      </c>
      <c r="U444" s="5">
        <v>498905976720799</v>
      </c>
      <c r="V444" s="5">
        <v>504401735213725</v>
      </c>
      <c r="W444" s="5">
        <v>483559669600946</v>
      </c>
      <c r="X444" s="5">
        <v>483421828521397</v>
      </c>
      <c r="Y444" s="5">
        <v>466494809889851</v>
      </c>
      <c r="Z444" s="5">
        <v>437101086418748</v>
      </c>
      <c r="AA444" s="5">
        <v>439588549723835</v>
      </c>
      <c r="AB444" s="5">
        <v>404546240931722</v>
      </c>
      <c r="AC444" s="5">
        <v>3886241498855</v>
      </c>
      <c r="AD444" s="5">
        <v>383327259202891</v>
      </c>
      <c r="AE444" s="5">
        <v>410358467944067</v>
      </c>
      <c r="AF444" s="5">
        <v>396061962666948</v>
      </c>
      <c r="AG444" s="5">
        <v>387190746907865</v>
      </c>
      <c r="AH444" s="5">
        <v>387267965342336</v>
      </c>
      <c r="AI444" s="5">
        <v>38080443910542</v>
      </c>
      <c r="AJ444" s="5">
        <v>364104921053151</v>
      </c>
      <c r="AK444" s="5">
        <v>327590956134373</v>
      </c>
      <c r="AL444" s="5">
        <v>334180960190219</v>
      </c>
      <c r="AM444" s="5">
        <v>334967800708835</v>
      </c>
      <c r="AN444" s="5">
        <v>345513778520778</v>
      </c>
      <c r="AO444" s="5">
        <v>361644294635807</v>
      </c>
    </row>
    <row r="445" spans="1:41" x14ac:dyDescent="0.45">
      <c r="A445" s="1" t="s">
        <v>439</v>
      </c>
      <c r="B445" s="2">
        <v>4072879</v>
      </c>
      <c r="C445" s="3" t="s">
        <v>1495</v>
      </c>
      <c r="D445" s="3" t="s">
        <v>1496</v>
      </c>
      <c r="E445" s="3" t="s">
        <v>524</v>
      </c>
      <c r="F445" s="5">
        <v>185418526428556</v>
      </c>
      <c r="G445" s="5">
        <v>191435200571112</v>
      </c>
      <c r="H445" s="5">
        <v>184820987181741</v>
      </c>
      <c r="I445" s="5">
        <v>15609825997944</v>
      </c>
      <c r="J445" s="5">
        <v>159060167137122</v>
      </c>
      <c r="K445" s="5">
        <v>154336821586429</v>
      </c>
      <c r="L445" s="5">
        <v>130329467347931</v>
      </c>
      <c r="M445" s="5">
        <v>134012326642941</v>
      </c>
      <c r="N445" s="5">
        <v>142737610433933</v>
      </c>
      <c r="O445" s="5">
        <v>173683321883793</v>
      </c>
      <c r="P445" s="5">
        <v>191793343519805</v>
      </c>
      <c r="Q445" s="5">
        <v>219974095087748</v>
      </c>
      <c r="R445" s="5">
        <v>192202618212392</v>
      </c>
      <c r="S445" s="5">
        <v>192008750630578</v>
      </c>
      <c r="T445" s="5">
        <v>192205164025368</v>
      </c>
      <c r="U445" s="5">
        <v>211858508143872</v>
      </c>
      <c r="V445" s="5">
        <v>212421922954054</v>
      </c>
      <c r="W445" s="5">
        <v>21632862594311</v>
      </c>
      <c r="X445" s="5">
        <v>197009481873513</v>
      </c>
      <c r="Y445" s="5">
        <v>199917953364526</v>
      </c>
      <c r="Z445" s="5">
        <v>203020987923712</v>
      </c>
      <c r="AA445" s="5">
        <v>205178113540586</v>
      </c>
      <c r="AB445" s="5">
        <v>201132123458519</v>
      </c>
      <c r="AC445" s="5">
        <v>191941217107847</v>
      </c>
      <c r="AD445" s="5">
        <v>18553819588927</v>
      </c>
      <c r="AE445" s="5">
        <v>17563030789048</v>
      </c>
      <c r="AF445" s="5">
        <v>164681879093355</v>
      </c>
      <c r="AG445" s="5">
        <v>187079411711106</v>
      </c>
      <c r="AH445" s="5">
        <v>200934166131774</v>
      </c>
      <c r="AI445" s="5">
        <v>192032917520832</v>
      </c>
      <c r="AJ445" s="5">
        <v>184345074168978</v>
      </c>
      <c r="AK445" s="5">
        <v>184023003838151</v>
      </c>
      <c r="AL445" s="5">
        <v>193927111193122</v>
      </c>
      <c r="AM445" s="5">
        <v>204467166935443</v>
      </c>
      <c r="AN445" s="5">
        <v>19669958380162</v>
      </c>
      <c r="AO445" s="5">
        <v>206915766033834</v>
      </c>
    </row>
    <row r="446" spans="1:41" x14ac:dyDescent="0.45">
      <c r="A446" s="1" t="s">
        <v>440</v>
      </c>
      <c r="B446" s="2">
        <v>4071364</v>
      </c>
      <c r="C446" s="3" t="s">
        <v>1497</v>
      </c>
      <c r="D446" s="3" t="s">
        <v>1498</v>
      </c>
      <c r="E446" s="3" t="s">
        <v>1499</v>
      </c>
      <c r="F446" s="5">
        <v>225065675064936</v>
      </c>
      <c r="G446" s="5">
        <v>249629863607678</v>
      </c>
      <c r="H446" s="5">
        <v>248618187299145</v>
      </c>
      <c r="I446" s="5">
        <v>256869169118824</v>
      </c>
      <c r="J446" s="5">
        <v>279807189097035</v>
      </c>
      <c r="K446" s="5">
        <v>263965188594288</v>
      </c>
      <c r="L446" s="5">
        <v>238239556714101</v>
      </c>
      <c r="M446" s="5">
        <v>226157636908804</v>
      </c>
      <c r="N446" s="5">
        <v>237188009023931</v>
      </c>
      <c r="O446" s="5">
        <v>271009656384872</v>
      </c>
      <c r="P446" s="5">
        <v>282767145318019</v>
      </c>
      <c r="Q446" s="5">
        <v>279382684179188</v>
      </c>
      <c r="R446" s="5">
        <v>273778433697833</v>
      </c>
      <c r="S446" s="5">
        <v>287249930002764</v>
      </c>
      <c r="T446" s="5">
        <v>263776838216165</v>
      </c>
      <c r="U446" s="5">
        <v>281373625703944</v>
      </c>
      <c r="V446" s="5">
        <v>260926128155087</v>
      </c>
      <c r="W446" s="5">
        <v>262310970873336</v>
      </c>
      <c r="X446" s="5">
        <v>27167249246445</v>
      </c>
      <c r="Y446" s="5">
        <v>283612395603241</v>
      </c>
      <c r="Z446" s="5">
        <v>275642097815121</v>
      </c>
      <c r="AA446" s="5">
        <v>261520201538189</v>
      </c>
      <c r="AB446" s="5">
        <v>25389676549571</v>
      </c>
      <c r="AC446" s="5">
        <v>223811343662993</v>
      </c>
      <c r="AD446" s="5">
        <v>210322822047528</v>
      </c>
      <c r="AE446" s="5">
        <v>201243637695993</v>
      </c>
      <c r="AF446" s="5">
        <v>198311087582587</v>
      </c>
      <c r="AG446" s="5">
        <v>208738798420235</v>
      </c>
      <c r="AH446" s="5">
        <v>21920106663676</v>
      </c>
      <c r="AI446" s="5">
        <v>22269605227255</v>
      </c>
      <c r="AJ446" s="5">
        <v>221906145564048</v>
      </c>
      <c r="AK446" s="5">
        <v>215475247227834</v>
      </c>
      <c r="AL446" s="5">
        <v>236683234212755</v>
      </c>
      <c r="AM446" s="5">
        <v>237737461971585</v>
      </c>
      <c r="AN446" s="5">
        <v>241863664091854</v>
      </c>
      <c r="AO446" s="5">
        <v>231873831700053</v>
      </c>
    </row>
    <row r="447" spans="1:41" x14ac:dyDescent="0.45">
      <c r="A447" s="1" t="s">
        <v>441</v>
      </c>
      <c r="B447" s="2">
        <v>4402486</v>
      </c>
      <c r="C447" s="3" t="s">
        <v>1500</v>
      </c>
      <c r="D447" s="3" t="s">
        <v>1501</v>
      </c>
      <c r="E447" s="3" t="s">
        <v>503</v>
      </c>
      <c r="F447" s="5">
        <v>735024086978866</v>
      </c>
      <c r="G447" s="5">
        <v>805986581820654</v>
      </c>
      <c r="H447" s="5">
        <v>862519379933682</v>
      </c>
      <c r="I447" s="5">
        <v>800246466871264</v>
      </c>
      <c r="J447" s="5">
        <v>79058914898022</v>
      </c>
      <c r="K447" s="5">
        <v>852166037891034</v>
      </c>
      <c r="L447" s="5">
        <v>830640859352523</v>
      </c>
      <c r="M447" s="5">
        <v>845677482724967</v>
      </c>
      <c r="N447" s="5">
        <v>75346507436758</v>
      </c>
      <c r="O447" s="5">
        <v>699156168438822</v>
      </c>
      <c r="P447" s="5">
        <v>762457102934915</v>
      </c>
      <c r="Q447" s="5">
        <v>785337276043568</v>
      </c>
      <c r="R447" s="5">
        <v>802784253735024</v>
      </c>
      <c r="S447" s="5">
        <v>887704098939997</v>
      </c>
      <c r="T447" s="5">
        <v>767145413109617</v>
      </c>
      <c r="U447" s="5">
        <v>786540457247185</v>
      </c>
      <c r="V447" s="5">
        <v>737889313416622</v>
      </c>
      <c r="W447" s="5">
        <v>697038294124603</v>
      </c>
      <c r="X447" s="5">
        <v>694880178516889</v>
      </c>
      <c r="Y447" s="5">
        <v>683473140714096</v>
      </c>
      <c r="Z447" s="5">
        <v>671760538440325</v>
      </c>
      <c r="AA447" s="5">
        <v>631090841867558</v>
      </c>
      <c r="AB447" s="5">
        <v>592318911316841</v>
      </c>
      <c r="AC447" s="5">
        <v>528647840107422</v>
      </c>
      <c r="AD447" s="5">
        <v>502118893966214</v>
      </c>
      <c r="AE447" s="5">
        <v>47031120374455</v>
      </c>
      <c r="AF447" s="5">
        <v>411409308214324</v>
      </c>
      <c r="AG447" s="5">
        <v>437859948232405</v>
      </c>
      <c r="AH447" s="5">
        <v>432242166706205</v>
      </c>
      <c r="AI447" s="5">
        <v>412709651109588</v>
      </c>
      <c r="AJ447" s="5">
        <v>399533508956427</v>
      </c>
      <c r="AK447" s="5">
        <v>34928125705792</v>
      </c>
      <c r="AL447" s="5">
        <v>383949969217327</v>
      </c>
      <c r="AM447" s="5">
        <v>387904125402222</v>
      </c>
      <c r="AN447" s="5">
        <v>399143786740215</v>
      </c>
      <c r="AO447" s="5">
        <v>379813082807601</v>
      </c>
    </row>
    <row r="448" spans="1:41" x14ac:dyDescent="0.45">
      <c r="A448" s="1" t="s">
        <v>442</v>
      </c>
      <c r="B448" s="2">
        <v>4421633</v>
      </c>
      <c r="C448" s="3" t="s">
        <v>1502</v>
      </c>
      <c r="D448" s="3" t="s">
        <v>1503</v>
      </c>
      <c r="E448" s="3" t="s">
        <v>644</v>
      </c>
      <c r="F448" s="5">
        <v>637883005497251</v>
      </c>
      <c r="G448" s="5">
        <v>660622964595391</v>
      </c>
      <c r="H448" s="5">
        <v>639281682057784</v>
      </c>
      <c r="I448" s="5">
        <v>633010050864071</v>
      </c>
      <c r="J448" s="5">
        <v>673894473834159</v>
      </c>
      <c r="K448" s="5">
        <v>789774218390812</v>
      </c>
      <c r="L448" s="5">
        <v>727265435884416</v>
      </c>
      <c r="M448" s="5">
        <v>726873613737785</v>
      </c>
      <c r="N448" s="5">
        <v>698522256961321</v>
      </c>
      <c r="O448" s="5">
        <v>71778170974558</v>
      </c>
      <c r="P448" s="5">
        <v>73696040184625</v>
      </c>
      <c r="Q448" s="5">
        <v>72966815255383</v>
      </c>
      <c r="R448" s="5">
        <v>688297656164169</v>
      </c>
      <c r="S448" s="5">
        <v>667773100672848</v>
      </c>
      <c r="T448" s="5">
        <v>673010316026919</v>
      </c>
      <c r="U448" s="5">
        <v>717981610050879</v>
      </c>
      <c r="V448" s="5">
        <v>696633695599013</v>
      </c>
      <c r="W448" s="5">
        <v>669184676026944</v>
      </c>
      <c r="X448" s="5">
        <v>667245229534922</v>
      </c>
      <c r="Y448" s="5">
        <v>693097470922579</v>
      </c>
      <c r="Z448" s="5">
        <v>649012732476842</v>
      </c>
      <c r="AA448" s="5">
        <v>634031084558681</v>
      </c>
      <c r="AB448" s="5">
        <v>605845379646625</v>
      </c>
      <c r="AC448" s="5">
        <v>559902524869604</v>
      </c>
      <c r="AD448" s="5">
        <v>506231648595101</v>
      </c>
      <c r="AE448" s="5">
        <v>488343611099143</v>
      </c>
      <c r="AF448" s="5">
        <v>432518536358046</v>
      </c>
      <c r="AG448" s="5">
        <v>439583106022678</v>
      </c>
      <c r="AH448" s="5">
        <v>45986869831052</v>
      </c>
      <c r="AI448" s="5">
        <v>44843783203715</v>
      </c>
      <c r="AJ448" s="5">
        <v>449895514655982</v>
      </c>
      <c r="AK448" s="5">
        <v>398733147551721</v>
      </c>
      <c r="AL448" s="5">
        <v>37845548929656</v>
      </c>
      <c r="AM448" s="5">
        <v>370382794267325</v>
      </c>
      <c r="AN448" s="5">
        <v>382582578793546</v>
      </c>
      <c r="AO448" s="5">
        <v>360387718644962</v>
      </c>
    </row>
    <row r="449" spans="1:41" x14ac:dyDescent="0.45">
      <c r="A449" s="1" t="s">
        <v>443</v>
      </c>
      <c r="B449" s="2">
        <v>4104139</v>
      </c>
      <c r="C449" s="3" t="s">
        <v>1504</v>
      </c>
      <c r="D449" s="3" t="s">
        <v>1505</v>
      </c>
      <c r="E449" s="3" t="s">
        <v>515</v>
      </c>
      <c r="F449" s="5">
        <v>158766311493286</v>
      </c>
      <c r="G449" s="5">
        <v>167060029237369</v>
      </c>
      <c r="H449" s="5">
        <v>164539564895723</v>
      </c>
      <c r="I449" s="5">
        <v>165603393827524</v>
      </c>
      <c r="J449" s="5">
        <v>164420028260927</v>
      </c>
      <c r="K449" s="5">
        <v>174971625102383</v>
      </c>
      <c r="L449" s="5">
        <v>154358507409354</v>
      </c>
      <c r="M449" s="5">
        <v>149857042677067</v>
      </c>
      <c r="N449" s="5">
        <v>130672058507841</v>
      </c>
      <c r="O449" s="5">
        <v>149292569688865</v>
      </c>
      <c r="P449" s="5">
        <v>170038888882948</v>
      </c>
      <c r="Q449" s="5">
        <v>177262810750989</v>
      </c>
      <c r="R449" s="5">
        <v>166672900893098</v>
      </c>
      <c r="S449" s="5">
        <v>168896342813122</v>
      </c>
      <c r="T449" s="5">
        <v>136073701887255</v>
      </c>
      <c r="U449" s="5">
        <v>135950118183632</v>
      </c>
      <c r="V449" s="5">
        <v>125164774516481</v>
      </c>
      <c r="W449" s="5">
        <v>123068327880406</v>
      </c>
      <c r="X449" s="5">
        <v>127452284303251</v>
      </c>
      <c r="Y449" s="5">
        <v>125382361055806</v>
      </c>
      <c r="Z449" s="5">
        <v>137189642754785</v>
      </c>
      <c r="AA449" s="5">
        <v>146391448880483</v>
      </c>
      <c r="AB449" s="5">
        <v>139075820698463</v>
      </c>
      <c r="AC449" s="5">
        <v>11661641828633</v>
      </c>
      <c r="AD449" s="5">
        <v>119731928541526</v>
      </c>
      <c r="AE449" s="5">
        <v>105836070881704</v>
      </c>
      <c r="AF449" s="5">
        <v>110772682568445</v>
      </c>
      <c r="AG449" s="5">
        <v>12636326789469</v>
      </c>
      <c r="AH449" s="5">
        <v>125443116924055</v>
      </c>
      <c r="AI449" s="5">
        <v>12094533012016</v>
      </c>
      <c r="AJ449" s="5">
        <v>12013995482272</v>
      </c>
      <c r="AK449" s="5">
        <v>108489465832748</v>
      </c>
      <c r="AL449" s="5">
        <v>105579839772705</v>
      </c>
      <c r="AM449" s="5">
        <v>119147694033835</v>
      </c>
      <c r="AN449" s="5">
        <v>121106396357624</v>
      </c>
      <c r="AO449" s="5">
        <v>131835305153948</v>
      </c>
    </row>
    <row r="450" spans="1:41" x14ac:dyDescent="0.45">
      <c r="A450" s="1" t="s">
        <v>444</v>
      </c>
      <c r="B450" s="2">
        <v>100438</v>
      </c>
      <c r="C450" s="3" t="s">
        <v>1506</v>
      </c>
      <c r="D450" s="3" t="s">
        <v>1507</v>
      </c>
      <c r="E450" s="3" t="s">
        <v>653</v>
      </c>
      <c r="F450" s="5">
        <v>536159722283028</v>
      </c>
      <c r="G450" s="5">
        <v>512998238651976</v>
      </c>
      <c r="H450" s="5">
        <v>494994253995593</v>
      </c>
      <c r="I450" s="5">
        <v>502456213043751</v>
      </c>
      <c r="J450" s="5">
        <v>516114709782418</v>
      </c>
      <c r="K450" s="5">
        <v>492709707869541</v>
      </c>
      <c r="L450" s="5">
        <v>479369635632816</v>
      </c>
      <c r="M450" s="5">
        <v>455868191100074</v>
      </c>
      <c r="N450" s="5">
        <v>442530877262418</v>
      </c>
      <c r="O450" s="5">
        <v>496988089271618</v>
      </c>
      <c r="P450" s="5">
        <v>581494383199214</v>
      </c>
      <c r="Q450" s="5">
        <v>60289873659072</v>
      </c>
      <c r="R450" s="5">
        <v>55624099165903</v>
      </c>
      <c r="S450" s="5">
        <v>599921225813289</v>
      </c>
      <c r="T450" s="5">
        <v>5263494650505</v>
      </c>
      <c r="U450" s="5">
        <v>513529128368145</v>
      </c>
      <c r="V450" s="5">
        <v>538285926690676</v>
      </c>
      <c r="W450" s="5">
        <v>552547534493262</v>
      </c>
      <c r="X450" s="5">
        <v>485176333831922</v>
      </c>
      <c r="Y450" s="5">
        <v>465781566877449</v>
      </c>
      <c r="Z450" s="5">
        <v>468665087548851</v>
      </c>
      <c r="AA450" s="5">
        <v>481622951015278</v>
      </c>
      <c r="AB450" s="5">
        <v>431853843448202</v>
      </c>
      <c r="AC450" s="5">
        <v>45558262810086</v>
      </c>
      <c r="AD450" s="5">
        <v>445465462819493</v>
      </c>
      <c r="AE450" s="5">
        <v>393020859500138</v>
      </c>
      <c r="AF450" s="5">
        <v>35799305437211</v>
      </c>
      <c r="AG450" s="5">
        <v>360042814721118</v>
      </c>
      <c r="AH450" s="5">
        <v>375179017247749</v>
      </c>
      <c r="AI450" s="5">
        <v>401508560168607</v>
      </c>
      <c r="AJ450" s="5">
        <v>370281164093322</v>
      </c>
      <c r="AK450" s="5">
        <v>380795337212479</v>
      </c>
      <c r="AL450" s="5">
        <v>392076753584998</v>
      </c>
      <c r="AM450" s="5">
        <v>416845264518368</v>
      </c>
      <c r="AN450" s="5">
        <v>587293419829158</v>
      </c>
      <c r="AO450" s="5">
        <v>603325382980494</v>
      </c>
    </row>
    <row r="451" spans="1:41" x14ac:dyDescent="0.45">
      <c r="A451" s="1" t="s">
        <v>445</v>
      </c>
      <c r="B451" s="2">
        <v>4964207</v>
      </c>
      <c r="C451" s="3" t="s">
        <v>1508</v>
      </c>
      <c r="D451" s="3" t="s">
        <v>1509</v>
      </c>
      <c r="E451" s="3" t="s">
        <v>515</v>
      </c>
      <c r="F451" s="5">
        <v>166357766998735</v>
      </c>
      <c r="G451" s="5">
        <v>174262422319857</v>
      </c>
      <c r="H451" s="5">
        <v>177668984342218</v>
      </c>
      <c r="I451" s="5">
        <v>192899767932551</v>
      </c>
      <c r="J451" s="5">
        <v>208178473881827</v>
      </c>
      <c r="K451" s="5">
        <v>221077518979771</v>
      </c>
      <c r="L451" s="5">
        <v>2176890660356</v>
      </c>
      <c r="M451" s="5">
        <v>219283786410037</v>
      </c>
      <c r="N451" s="5">
        <v>206503404683425</v>
      </c>
      <c r="O451" s="5">
        <v>231868150391065</v>
      </c>
      <c r="P451" s="5">
        <v>251528388556074</v>
      </c>
      <c r="Q451" s="5">
        <v>247734406676507</v>
      </c>
      <c r="R451" s="5">
        <v>23837809330945</v>
      </c>
      <c r="S451" s="5">
        <v>255219657496337</v>
      </c>
      <c r="T451" s="5">
        <v>238708418780281</v>
      </c>
      <c r="U451" s="5">
        <v>223333084698097</v>
      </c>
      <c r="V451" s="5">
        <v>226802336009533</v>
      </c>
      <c r="W451" s="5">
        <v>222861978434819</v>
      </c>
      <c r="X451" s="5">
        <v>199219036774713</v>
      </c>
      <c r="Y451" s="5">
        <v>188051340969483</v>
      </c>
      <c r="Z451" s="5">
        <v>183254576780965</v>
      </c>
      <c r="AA451" s="5">
        <v>166345712437071</v>
      </c>
      <c r="AB451" s="5">
        <v>170963938932211</v>
      </c>
      <c r="AC451" s="5">
        <v>164136332603535</v>
      </c>
      <c r="AD451" s="5">
        <v>159344491191445</v>
      </c>
      <c r="AE451" s="5">
        <v>157908996660677</v>
      </c>
      <c r="AF451" s="5">
        <v>148515684977385</v>
      </c>
      <c r="AG451" s="5">
        <v>153512589578955</v>
      </c>
      <c r="AH451" s="5">
        <v>154576074263886</v>
      </c>
      <c r="AI451" s="5">
        <v>151441065246814</v>
      </c>
      <c r="AJ451" s="5">
        <v>159939432822268</v>
      </c>
      <c r="AK451" s="5">
        <v>156158208606191</v>
      </c>
      <c r="AL451" s="5">
        <v>143987924249643</v>
      </c>
      <c r="AM451" s="5">
        <v>136502586182477</v>
      </c>
      <c r="AN451" s="5">
        <v>126552459654</v>
      </c>
      <c r="AO451" s="5">
        <v>123743091641774</v>
      </c>
    </row>
    <row r="452" spans="1:41" x14ac:dyDescent="0.45">
      <c r="A452" s="1" t="s">
        <v>446</v>
      </c>
      <c r="B452" s="2">
        <v>3009699</v>
      </c>
      <c r="C452" s="3" t="s">
        <v>1510</v>
      </c>
      <c r="D452" s="3" t="s">
        <v>1511</v>
      </c>
      <c r="E452" s="3" t="s">
        <v>788</v>
      </c>
      <c r="F452" s="5">
        <v>176269477913997</v>
      </c>
      <c r="G452" s="5">
        <v>176747068308888</v>
      </c>
      <c r="H452" s="5">
        <v>158575203289759</v>
      </c>
      <c r="I452" s="5">
        <v>164649680957274</v>
      </c>
      <c r="J452" s="5">
        <v>172694807951709</v>
      </c>
      <c r="K452" s="5">
        <v>162872711054528</v>
      </c>
      <c r="L452" s="5">
        <v>169684803043445</v>
      </c>
      <c r="M452" s="5">
        <v>176313961552005</v>
      </c>
      <c r="N452" s="5">
        <v>192262808749811</v>
      </c>
      <c r="O452" s="5">
        <v>210286514731335</v>
      </c>
      <c r="P452" s="5">
        <v>20999038185351</v>
      </c>
      <c r="Q452" s="5">
        <v>193576324663501</v>
      </c>
      <c r="R452" s="5">
        <v>1976091489555</v>
      </c>
      <c r="S452" s="5">
        <v>217550982920901</v>
      </c>
      <c r="T452" s="5">
        <v>192010651073602</v>
      </c>
      <c r="U452" s="5">
        <v>190018381944282</v>
      </c>
      <c r="V452" s="5">
        <v>206888890628434</v>
      </c>
      <c r="W452" s="5">
        <v>200340899750376</v>
      </c>
      <c r="X452" s="5">
        <v>189863664115711</v>
      </c>
      <c r="Y452" s="5">
        <v>187946338375393</v>
      </c>
      <c r="Z452" s="5">
        <v>202120344023606</v>
      </c>
      <c r="AA452" s="5">
        <v>193754546755248</v>
      </c>
      <c r="AB452" s="5">
        <v>178806411457471</v>
      </c>
      <c r="AC452" s="5">
        <v>17986293359047</v>
      </c>
      <c r="AD452" s="5">
        <v>173289282880937</v>
      </c>
      <c r="AE452" s="5">
        <v>152566966590011</v>
      </c>
      <c r="AF452" s="5">
        <v>155985299387638</v>
      </c>
      <c r="AG452" s="5">
        <v>169612778798266</v>
      </c>
      <c r="AH452" s="5">
        <v>174633248145945</v>
      </c>
      <c r="AI452" s="5">
        <v>179797931772666</v>
      </c>
      <c r="AJ452" s="5">
        <v>166257386164742</v>
      </c>
      <c r="AK452" s="5">
        <v>168970240555388</v>
      </c>
      <c r="AL452" s="5">
        <v>201363201505599</v>
      </c>
      <c r="AM452" s="5">
        <v>194165115204085</v>
      </c>
      <c r="AN452" s="5">
        <v>198453793545046</v>
      </c>
      <c r="AO452" s="5">
        <v>216613743359904</v>
      </c>
    </row>
    <row r="453" spans="1:41" x14ac:dyDescent="0.45">
      <c r="A453" s="1" t="s">
        <v>447</v>
      </c>
      <c r="B453" s="2">
        <v>4047176</v>
      </c>
      <c r="C453" s="3" t="s">
        <v>1512</v>
      </c>
      <c r="D453" s="3" t="s">
        <v>1513</v>
      </c>
      <c r="E453" s="3" t="s">
        <v>653</v>
      </c>
      <c r="F453" s="5">
        <v>706439173659377</v>
      </c>
      <c r="G453" s="5">
        <v>657536802266282</v>
      </c>
      <c r="H453" s="5">
        <v>629814148184567</v>
      </c>
      <c r="I453" s="5">
        <v>641020252873725</v>
      </c>
      <c r="J453" s="5">
        <v>649627661233425</v>
      </c>
      <c r="K453" s="5">
        <v>612367659791147</v>
      </c>
      <c r="L453" s="5">
        <v>600313870333336</v>
      </c>
      <c r="M453" s="5">
        <v>598529804108595</v>
      </c>
      <c r="N453" s="5">
        <v>553961175737126</v>
      </c>
      <c r="O453" s="5">
        <v>608589200352084</v>
      </c>
      <c r="P453" s="5">
        <v>703128472775723</v>
      </c>
      <c r="Q453" s="5">
        <v>717133131912117</v>
      </c>
      <c r="R453" s="5">
        <v>720719005211899</v>
      </c>
      <c r="S453" s="5">
        <v>787944905895293</v>
      </c>
      <c r="T453" s="5">
        <v>694327467324258</v>
      </c>
      <c r="U453" s="5">
        <v>639834442133021</v>
      </c>
      <c r="V453" s="5">
        <v>666349526196232</v>
      </c>
      <c r="W453" s="5">
        <v>647108993873866</v>
      </c>
      <c r="X453" s="5">
        <v>578181763010751</v>
      </c>
      <c r="Y453" s="5">
        <v>583473984782695</v>
      </c>
      <c r="Z453" s="5">
        <v>592114496273356</v>
      </c>
      <c r="AA453" s="5">
        <v>64488024449631</v>
      </c>
      <c r="AB453" s="5">
        <v>604823707852795</v>
      </c>
      <c r="AC453" s="5">
        <v>596139848197077</v>
      </c>
      <c r="AD453" s="5">
        <v>609654684740909</v>
      </c>
      <c r="AE453" s="5">
        <v>544210526133406</v>
      </c>
      <c r="AF453" s="5">
        <v>46980529775882</v>
      </c>
      <c r="AG453" s="5">
        <v>486319532185307</v>
      </c>
      <c r="AH453" s="5">
        <v>524396243573649</v>
      </c>
      <c r="AI453" s="5">
        <v>551937782853317</v>
      </c>
      <c r="AJ453" s="5">
        <v>463932928616662</v>
      </c>
      <c r="AK453" s="5">
        <v>430063505825225</v>
      </c>
      <c r="AL453" s="5">
        <v>475790792480715</v>
      </c>
      <c r="AM453" s="5">
        <v>508254191274921</v>
      </c>
      <c r="AN453" s="5">
        <v>688353239035883</v>
      </c>
      <c r="AO453" s="5">
        <v>701629096906822</v>
      </c>
    </row>
    <row r="454" spans="1:41" x14ac:dyDescent="0.45">
      <c r="A454" s="1" t="s">
        <v>448</v>
      </c>
      <c r="B454" s="2">
        <v>4398745</v>
      </c>
      <c r="C454" s="3" t="s">
        <v>1514</v>
      </c>
      <c r="D454" s="3" t="s">
        <v>1515</v>
      </c>
      <c r="E454" s="3" t="s">
        <v>515</v>
      </c>
      <c r="F454" s="5">
        <v>144601217551517</v>
      </c>
      <c r="G454" s="5">
        <v>156864757387083</v>
      </c>
      <c r="H454" s="5">
        <v>174477596236878</v>
      </c>
      <c r="I454" s="5">
        <v>174132107010244</v>
      </c>
      <c r="J454" s="5">
        <v>167139789948038</v>
      </c>
      <c r="K454" s="5">
        <v>160415700524083</v>
      </c>
      <c r="L454" s="5">
        <v>166132744987205</v>
      </c>
      <c r="M454" s="5">
        <v>155102372791624</v>
      </c>
      <c r="N454" s="5">
        <v>149320459385064</v>
      </c>
      <c r="O454" s="5">
        <v>140971860035324</v>
      </c>
      <c r="P454" s="5">
        <v>152608805395715</v>
      </c>
      <c r="Q454" s="5">
        <v>13543161164479</v>
      </c>
      <c r="R454" s="5">
        <v>122685127704896</v>
      </c>
      <c r="S454" s="5">
        <v>143617141820991</v>
      </c>
      <c r="T454" s="5">
        <v>139730764673816</v>
      </c>
      <c r="U454" s="5">
        <v>141578916015228</v>
      </c>
      <c r="V454" s="5">
        <v>138907315913276</v>
      </c>
      <c r="W454" s="5">
        <v>124473315770274</v>
      </c>
      <c r="X454" s="5">
        <v>141736858158436</v>
      </c>
      <c r="Y454" s="5">
        <v>124390771356077</v>
      </c>
      <c r="Z454" s="5">
        <v>128995683370012</v>
      </c>
      <c r="AA454" s="5">
        <v>148356030616257</v>
      </c>
      <c r="AB454" s="5">
        <v>15271693570683</v>
      </c>
      <c r="AC454" s="5">
        <v>123799432029675</v>
      </c>
      <c r="AD454" s="5">
        <v>114627599055729</v>
      </c>
      <c r="AE454" s="5">
        <v>106380614901085</v>
      </c>
      <c r="AF454" s="5">
        <v>837119246302361</v>
      </c>
      <c r="AG454" s="5">
        <v>887938221589282</v>
      </c>
      <c r="AH454" s="5">
        <v>889873601024432</v>
      </c>
      <c r="AI454" s="5">
        <v>908293711258686</v>
      </c>
      <c r="AJ454" s="5">
        <v>800296546225226</v>
      </c>
      <c r="AK454" s="5">
        <v>720274400001475</v>
      </c>
      <c r="AL454" s="5">
        <v>566590885530205</v>
      </c>
      <c r="AM454" s="5">
        <v>587580969209458</v>
      </c>
      <c r="AN454" s="5">
        <v>62972240907351</v>
      </c>
      <c r="AO454" s="5">
        <v>567952384174223</v>
      </c>
    </row>
    <row r="455" spans="1:41" x14ac:dyDescent="0.45">
      <c r="A455" s="1" t="s">
        <v>449</v>
      </c>
      <c r="B455" s="2">
        <v>103025</v>
      </c>
      <c r="C455" s="3" t="s">
        <v>1516</v>
      </c>
      <c r="D455" s="3" t="s">
        <v>1517</v>
      </c>
      <c r="E455" s="3" t="s">
        <v>639</v>
      </c>
      <c r="F455" s="5">
        <v>103244946697519</v>
      </c>
      <c r="G455" s="5">
        <v>103800995699386</v>
      </c>
      <c r="H455" s="5">
        <v>96532363281186</v>
      </c>
      <c r="I455" s="5">
        <v>105224927730054</v>
      </c>
      <c r="J455" s="5">
        <v>112089430980792</v>
      </c>
      <c r="K455" s="5">
        <v>113808874407257</v>
      </c>
      <c r="L455" s="5">
        <v>115180779193073</v>
      </c>
      <c r="M455" s="5">
        <v>12096359442678</v>
      </c>
      <c r="N455" s="5">
        <v>12224657278518</v>
      </c>
      <c r="O455" s="5">
        <v>138405113221101</v>
      </c>
      <c r="P455" s="5">
        <v>143786376189108</v>
      </c>
      <c r="Q455" s="5">
        <v>132505593286605</v>
      </c>
      <c r="R455" s="5">
        <v>138351382575352</v>
      </c>
      <c r="S455" s="5">
        <v>143420854715711</v>
      </c>
      <c r="T455" s="5">
        <v>128212599975131</v>
      </c>
      <c r="U455" s="5">
        <v>134079359492965</v>
      </c>
      <c r="V455" s="5">
        <v>132725918615695</v>
      </c>
      <c r="W455" s="5">
        <v>122116118024855</v>
      </c>
      <c r="X455" s="5">
        <v>126471189619012</v>
      </c>
      <c r="Y455" s="5">
        <v>117271043538653</v>
      </c>
      <c r="Z455" s="5">
        <v>117282089343086</v>
      </c>
      <c r="AA455" s="5">
        <v>114024062544607</v>
      </c>
      <c r="AB455" s="5">
        <v>108120652935103</v>
      </c>
      <c r="AC455" s="5">
        <v>10920293661103</v>
      </c>
      <c r="AD455" s="5">
        <v>11394387319553</v>
      </c>
      <c r="AE455" s="5">
        <v>100732464825576</v>
      </c>
      <c r="AF455" s="5">
        <v>990342253161411</v>
      </c>
      <c r="AG455" s="5">
        <v>111038176266873</v>
      </c>
      <c r="AH455" s="5">
        <v>121208518487112</v>
      </c>
      <c r="AI455" s="5">
        <v>122219073810404</v>
      </c>
      <c r="AJ455" s="5">
        <v>129533972369539</v>
      </c>
      <c r="AK455" s="5">
        <v>122525886813137</v>
      </c>
      <c r="AL455" s="5">
        <v>123272292713791</v>
      </c>
      <c r="AM455" s="5">
        <v>124397028912674</v>
      </c>
      <c r="AN455" s="5">
        <v>132835702772102</v>
      </c>
      <c r="AO455" s="5">
        <v>127653438344711</v>
      </c>
    </row>
    <row r="456" spans="1:41" x14ac:dyDescent="0.45">
      <c r="A456" s="1" t="s">
        <v>450</v>
      </c>
      <c r="B456" s="2">
        <v>4107935</v>
      </c>
      <c r="C456" s="3" t="s">
        <v>1518</v>
      </c>
      <c r="D456" s="3" t="s">
        <v>1519</v>
      </c>
      <c r="E456" s="3" t="s">
        <v>1499</v>
      </c>
      <c r="F456" s="5">
        <v>228592512775209</v>
      </c>
      <c r="G456" s="5">
        <v>208358044933611</v>
      </c>
      <c r="H456" s="5">
        <v>202102630423694</v>
      </c>
      <c r="I456" s="5">
        <v>208944545531391</v>
      </c>
      <c r="J456" s="5">
        <v>188874827444212</v>
      </c>
      <c r="K456" s="5">
        <v>202354885783439</v>
      </c>
      <c r="L456" s="5">
        <v>179040246708317</v>
      </c>
      <c r="M456" s="5">
        <v>186747954127173</v>
      </c>
      <c r="N456" s="5">
        <v>15743835860571</v>
      </c>
      <c r="O456" s="5">
        <v>153654807996023</v>
      </c>
      <c r="P456" s="5">
        <v>163281692481366</v>
      </c>
      <c r="Q456" s="5">
        <v>183880800024591</v>
      </c>
      <c r="R456" s="5">
        <v>194810516011652</v>
      </c>
      <c r="S456" s="5">
        <v>17265539981212</v>
      </c>
      <c r="T456" s="5">
        <v>160110250029517</v>
      </c>
      <c r="U456" s="5">
        <v>164376211524772</v>
      </c>
      <c r="V456" s="5">
        <v>150297224843382</v>
      </c>
      <c r="W456" s="5">
        <v>160879713685614</v>
      </c>
      <c r="X456" s="5">
        <v>171842124345879</v>
      </c>
      <c r="Y456" s="5">
        <v>173836676991825</v>
      </c>
      <c r="Z456" s="5">
        <v>181485053366328</v>
      </c>
      <c r="AA456" s="5">
        <v>233660448067062</v>
      </c>
      <c r="AB456" s="5">
        <v>246436517236826</v>
      </c>
      <c r="AC456" s="5">
        <v>224713313673987</v>
      </c>
      <c r="AD456" s="5">
        <v>215270268346067</v>
      </c>
      <c r="AE456" s="5">
        <v>189676541427404</v>
      </c>
      <c r="AF456" s="5">
        <v>177671075261548</v>
      </c>
      <c r="AG456" s="5">
        <v>185789098549136</v>
      </c>
      <c r="AH456" s="5">
        <v>188377196313013</v>
      </c>
      <c r="AI456" s="5">
        <v>201004962455398</v>
      </c>
      <c r="AJ456" s="5">
        <v>214677242515118</v>
      </c>
      <c r="AK456" s="5">
        <v>191508779454345</v>
      </c>
      <c r="AL456" s="5">
        <v>250267942117419</v>
      </c>
      <c r="AM456" s="5">
        <v>252097138591455</v>
      </c>
      <c r="AN456" s="5">
        <v>248659212431016</v>
      </c>
      <c r="AO456" s="5">
        <v>240769320548514</v>
      </c>
    </row>
    <row r="457" spans="1:41" x14ac:dyDescent="0.45">
      <c r="A457" s="1" t="s">
        <v>451</v>
      </c>
      <c r="B457" s="2">
        <v>4004099</v>
      </c>
      <c r="C457" s="3" t="s">
        <v>1520</v>
      </c>
      <c r="D457" s="3" t="s">
        <v>1521</v>
      </c>
      <c r="E457" s="3" t="s">
        <v>822</v>
      </c>
      <c r="F457" s="5">
        <v>116861737277592</v>
      </c>
      <c r="G457" s="5">
        <v>118590770424661</v>
      </c>
      <c r="H457" s="5">
        <v>113329788049442</v>
      </c>
      <c r="I457" s="5">
        <v>119472710038652</v>
      </c>
      <c r="J457" s="5">
        <v>113347700850181</v>
      </c>
      <c r="K457" s="5">
        <v>115077112369664</v>
      </c>
      <c r="L457" s="5">
        <v>117053310879003</v>
      </c>
      <c r="M457" s="5">
        <v>116716237843914</v>
      </c>
      <c r="N457" s="5">
        <v>113569791472362</v>
      </c>
      <c r="O457" s="5">
        <v>130992523915329</v>
      </c>
      <c r="P457" s="5">
        <v>143272528872515</v>
      </c>
      <c r="Q457" s="5">
        <v>144530827512326</v>
      </c>
      <c r="R457" s="5">
        <v>133536410263441</v>
      </c>
      <c r="S457" s="5">
        <v>140584090201733</v>
      </c>
      <c r="T457" s="5">
        <v>129579151369087</v>
      </c>
      <c r="U457" s="5">
        <v>134629001107908</v>
      </c>
      <c r="V457" s="5">
        <v>141048117123342</v>
      </c>
      <c r="W457" s="5">
        <v>138883973618951</v>
      </c>
      <c r="X457" s="5">
        <v>128838547694428</v>
      </c>
      <c r="Y457" s="5">
        <v>130983043976649</v>
      </c>
      <c r="Z457" s="5">
        <v>135320225206532</v>
      </c>
      <c r="AA457" s="5">
        <v>138907956232306</v>
      </c>
      <c r="AB457" s="5">
        <v>143107936533361</v>
      </c>
      <c r="AC457" s="5">
        <v>137055976097746</v>
      </c>
      <c r="AD457" s="5">
        <v>135460130932303</v>
      </c>
      <c r="AE457" s="5">
        <v>125912400996892</v>
      </c>
      <c r="AF457" s="5">
        <v>119787654264323</v>
      </c>
      <c r="AG457" s="5">
        <v>117253052048313</v>
      </c>
      <c r="AH457" s="5">
        <v>123942392269831</v>
      </c>
      <c r="AI457" s="5">
        <v>128311832533302</v>
      </c>
      <c r="AJ457" s="5">
        <v>114380958763819</v>
      </c>
      <c r="AK457" s="5">
        <v>110237091913852</v>
      </c>
      <c r="AL457" s="5">
        <v>108113496455142</v>
      </c>
      <c r="AM457" s="5">
        <v>113343169886038</v>
      </c>
      <c r="AN457" s="5">
        <v>119472947674583</v>
      </c>
      <c r="AO457" s="5">
        <v>120859174200788</v>
      </c>
    </row>
    <row r="458" spans="1:41" x14ac:dyDescent="0.45">
      <c r="A458" s="1" t="s">
        <v>452</v>
      </c>
      <c r="B458" s="2">
        <v>4994529</v>
      </c>
      <c r="C458" s="3" t="s">
        <v>1522</v>
      </c>
      <c r="D458" s="3" t="s">
        <v>1523</v>
      </c>
      <c r="E458" s="3" t="s">
        <v>849</v>
      </c>
      <c r="F458" s="5">
        <v>30831865289764</v>
      </c>
      <c r="G458" s="5">
        <v>284663797891187</v>
      </c>
      <c r="H458" s="5">
        <v>263952258609805</v>
      </c>
      <c r="I458" s="5">
        <v>266259773486133</v>
      </c>
      <c r="J458" s="5">
        <v>29059649551863</v>
      </c>
      <c r="K458" s="5">
        <v>249923125435206</v>
      </c>
      <c r="L458" s="5">
        <v>221451336858187</v>
      </c>
      <c r="M458" s="5">
        <v>228668992265807</v>
      </c>
      <c r="N458" s="5">
        <v>198109203918304</v>
      </c>
      <c r="O458" s="5">
        <v>209121076865138</v>
      </c>
      <c r="P458" s="5">
        <v>295131940158351</v>
      </c>
      <c r="Q458" s="5">
        <v>334889935187976</v>
      </c>
      <c r="R458" s="5">
        <v>30844905608751</v>
      </c>
      <c r="S458" s="5">
        <v>301827416096766</v>
      </c>
      <c r="T458" s="5">
        <v>23704539527214</v>
      </c>
      <c r="U458" s="5">
        <v>168231413667844</v>
      </c>
      <c r="V458" s="5">
        <v>130930363034355</v>
      </c>
      <c r="W458" s="5">
        <v>138005277156886</v>
      </c>
      <c r="X458" s="5">
        <v>149324033031309</v>
      </c>
      <c r="Y458" s="5">
        <v>16066019220993</v>
      </c>
      <c r="Z458" s="5">
        <v>1582379400782</v>
      </c>
      <c r="AA458" s="5">
        <v>145405029469548</v>
      </c>
      <c r="AB458" s="5">
        <v>138042472169209</v>
      </c>
      <c r="AC458" s="5">
        <v>125105474251866</v>
      </c>
      <c r="AD458" s="5">
        <v>122441898178006</v>
      </c>
      <c r="AE458" s="5">
        <v>118498931489219</v>
      </c>
      <c r="AF458" s="5">
        <v>108694109706462</v>
      </c>
      <c r="AG458" s="5">
        <v>131077220295132</v>
      </c>
      <c r="AH458" s="5">
        <v>150624089157781</v>
      </c>
      <c r="AI458" s="5">
        <v>161631330762563</v>
      </c>
      <c r="AJ458" s="5">
        <v>164840172380822</v>
      </c>
      <c r="AK458" s="5">
        <v>146065559866451</v>
      </c>
      <c r="AL458" s="5">
        <v>13016159657461</v>
      </c>
      <c r="AM458" s="5">
        <v>133217454539169</v>
      </c>
      <c r="AN458" s="5">
        <v>16009998500921</v>
      </c>
      <c r="AO458" s="5">
        <v>147370801479232</v>
      </c>
    </row>
    <row r="459" spans="1:41" x14ac:dyDescent="0.45">
      <c r="A459" s="1" t="s">
        <v>453</v>
      </c>
      <c r="B459" s="2">
        <v>4051574</v>
      </c>
      <c r="C459" s="3" t="s">
        <v>1524</v>
      </c>
      <c r="D459" s="3" t="s">
        <v>1525</v>
      </c>
      <c r="E459" s="3" t="s">
        <v>700</v>
      </c>
      <c r="F459" s="5">
        <v>716717197549487</v>
      </c>
      <c r="G459" s="5">
        <v>700845370699283</v>
      </c>
      <c r="H459" s="5">
        <v>708535504523819</v>
      </c>
      <c r="I459" s="5">
        <v>603407025988724</v>
      </c>
      <c r="J459" s="5">
        <v>633579123705408</v>
      </c>
      <c r="K459" s="5">
        <v>63781718515168</v>
      </c>
      <c r="L459" s="5">
        <v>727826186128005</v>
      </c>
      <c r="M459" s="5">
        <v>727924346929676</v>
      </c>
      <c r="N459" s="5">
        <v>711904991835071</v>
      </c>
      <c r="O459" s="5">
        <v>862471826921046</v>
      </c>
      <c r="P459" s="5">
        <v>977170430160893</v>
      </c>
      <c r="Q459" s="5">
        <v>937858972756081</v>
      </c>
      <c r="R459" s="5">
        <v>103940403630704</v>
      </c>
      <c r="S459" s="5">
        <v>109773548095066</v>
      </c>
      <c r="T459" s="5">
        <v>10576103006169</v>
      </c>
      <c r="U459" s="5">
        <v>104710166681962</v>
      </c>
      <c r="V459" s="5">
        <v>995532349727083</v>
      </c>
      <c r="W459" s="5">
        <v>10306223920644</v>
      </c>
      <c r="X459" s="5">
        <v>109273789662423</v>
      </c>
      <c r="Y459" s="5">
        <v>109603392035637</v>
      </c>
      <c r="Z459" s="5">
        <v>117667399397137</v>
      </c>
      <c r="AA459" s="5">
        <v>117392994863788</v>
      </c>
      <c r="AB459" s="5">
        <v>116945908546353</v>
      </c>
      <c r="AC459" s="5">
        <v>111422691802606</v>
      </c>
      <c r="AD459" s="5">
        <v>121182991146308</v>
      </c>
      <c r="AE459" s="5">
        <v>118427206104927</v>
      </c>
      <c r="AF459" s="5">
        <v>114234075816313</v>
      </c>
      <c r="AG459" s="5">
        <v>125831396846677</v>
      </c>
      <c r="AH459" s="5">
        <v>133453793923265</v>
      </c>
      <c r="AI459" s="5">
        <v>14584041473874</v>
      </c>
      <c r="AJ459" s="5">
        <v>141023125644585</v>
      </c>
      <c r="AK459" s="5">
        <v>134584140604755</v>
      </c>
      <c r="AL459" s="5">
        <v>139576757715681</v>
      </c>
      <c r="AM459" s="5">
        <v>152960427001972</v>
      </c>
      <c r="AN459" s="5">
        <v>147622367611913</v>
      </c>
      <c r="AO459" s="5">
        <v>147504233327117</v>
      </c>
    </row>
    <row r="460" spans="1:41" x14ac:dyDescent="0.45">
      <c r="A460" s="1" t="s">
        <v>454</v>
      </c>
      <c r="B460" s="2">
        <v>4086110</v>
      </c>
      <c r="C460" s="3" t="s">
        <v>1526</v>
      </c>
      <c r="D460" s="3" t="s">
        <v>1527</v>
      </c>
      <c r="E460" s="3" t="s">
        <v>951</v>
      </c>
      <c r="F460" s="5">
        <v>438601231405031</v>
      </c>
      <c r="G460" s="5">
        <v>447327080348111</v>
      </c>
      <c r="H460" s="5">
        <v>480606810388198</v>
      </c>
      <c r="I460" s="5">
        <v>523516675246294</v>
      </c>
      <c r="J460" s="5">
        <v>526037788231707</v>
      </c>
      <c r="K460" s="5">
        <v>496628111827529</v>
      </c>
      <c r="L460" s="5">
        <v>416981874331035</v>
      </c>
      <c r="M460" s="5">
        <v>405785916650413</v>
      </c>
      <c r="N460" s="5">
        <v>361758648695711</v>
      </c>
      <c r="O460" s="5">
        <v>378810373871128</v>
      </c>
      <c r="P460" s="5">
        <v>403162758405717</v>
      </c>
      <c r="Q460" s="5">
        <v>476303948287755</v>
      </c>
      <c r="R460" s="5">
        <v>446506869853599</v>
      </c>
      <c r="S460" s="5">
        <v>538625074468292</v>
      </c>
      <c r="T460" s="5">
        <v>491241779487552</v>
      </c>
      <c r="U460" s="5">
        <v>480149014663426</v>
      </c>
      <c r="V460" s="5">
        <v>443224860542376</v>
      </c>
      <c r="W460" s="5">
        <v>462660363711084</v>
      </c>
      <c r="X460" s="5">
        <v>401932204624199</v>
      </c>
      <c r="Y460" s="5">
        <v>411034948955309</v>
      </c>
      <c r="Z460" s="5">
        <v>415990096462056</v>
      </c>
      <c r="AA460" s="5">
        <v>44843146659606</v>
      </c>
      <c r="AB460" s="5">
        <v>430929520004433</v>
      </c>
      <c r="AC460" s="5">
        <v>387313488377299</v>
      </c>
      <c r="AD460" s="5">
        <v>351631911766773</v>
      </c>
      <c r="AE460" s="5">
        <v>295840772526101</v>
      </c>
      <c r="AF460" s="5">
        <v>260643097130047</v>
      </c>
      <c r="AG460" s="5">
        <v>28680763194278</v>
      </c>
      <c r="AH460" s="5">
        <v>300013603869664</v>
      </c>
      <c r="AI460" s="5">
        <v>287914423447145</v>
      </c>
      <c r="AJ460" s="5">
        <v>280394885800704</v>
      </c>
      <c r="AK460" s="5">
        <v>215262655074066</v>
      </c>
      <c r="AL460" s="5">
        <v>22488956293279</v>
      </c>
      <c r="AM460" s="5">
        <v>252740211210827</v>
      </c>
      <c r="AN460" s="5">
        <v>306122203192987</v>
      </c>
      <c r="AO460" s="5">
        <v>2815879159749</v>
      </c>
    </row>
    <row r="461" spans="1:41" x14ac:dyDescent="0.45">
      <c r="A461" s="1" t="s">
        <v>455</v>
      </c>
      <c r="B461" s="2">
        <v>111568</v>
      </c>
      <c r="C461" s="3" t="s">
        <v>1528</v>
      </c>
      <c r="D461" s="3" t="s">
        <v>1529</v>
      </c>
      <c r="E461" s="3" t="s">
        <v>733</v>
      </c>
      <c r="F461" s="5">
        <v>254680773678612</v>
      </c>
      <c r="G461" s="5">
        <v>257614749641086</v>
      </c>
      <c r="H461" s="5">
        <v>268248273253922</v>
      </c>
      <c r="I461" s="5">
        <v>266539014241864</v>
      </c>
      <c r="J461" s="5">
        <v>239920064574213</v>
      </c>
      <c r="K461" s="5">
        <v>1979066136242</v>
      </c>
      <c r="L461" s="5">
        <v>240975013777023</v>
      </c>
      <c r="M461" s="5">
        <v>241365835278938</v>
      </c>
      <c r="N461" s="5">
        <v>330086482847952</v>
      </c>
      <c r="O461" s="5">
        <v>443245356694976</v>
      </c>
      <c r="P461" s="5">
        <v>417551595841063</v>
      </c>
      <c r="Q461" s="5">
        <v>480323661019132</v>
      </c>
      <c r="R461" s="5">
        <v>449660288565214</v>
      </c>
      <c r="S461" s="5">
        <v>532244199075125</v>
      </c>
      <c r="T461" s="5">
        <v>480089251566675</v>
      </c>
      <c r="U461" s="5">
        <v>484078037526397</v>
      </c>
      <c r="V461" s="5">
        <v>492735758624733</v>
      </c>
      <c r="W461" s="5">
        <v>489987095886288</v>
      </c>
      <c r="X461" s="5">
        <v>437451992564757</v>
      </c>
      <c r="Y461" s="5">
        <v>420414117659196</v>
      </c>
      <c r="Z461" s="5">
        <v>41620386913582</v>
      </c>
      <c r="AA461" s="5">
        <v>422239608086105</v>
      </c>
      <c r="AB461" s="5">
        <v>42098218215484</v>
      </c>
      <c r="AC461" s="5">
        <v>436260214042682</v>
      </c>
      <c r="AD461" s="5">
        <v>440539520574466</v>
      </c>
      <c r="AE461" s="5">
        <v>468953950716856</v>
      </c>
      <c r="AF461" s="5">
        <v>469551059299848</v>
      </c>
      <c r="AG461" s="5">
        <v>441253522933021</v>
      </c>
      <c r="AH461" s="5">
        <v>40702473989934</v>
      </c>
      <c r="AI461" s="5">
        <v>42779072562682</v>
      </c>
      <c r="AJ461" s="5">
        <v>409901971167667</v>
      </c>
      <c r="AK461" s="5">
        <v>425646702240663</v>
      </c>
      <c r="AL461" s="5">
        <v>415385507307058</v>
      </c>
      <c r="AM461" s="5">
        <v>405761999178301</v>
      </c>
      <c r="AN461" s="5">
        <v>418228229074039</v>
      </c>
      <c r="AO461" s="5">
        <v>429430789050426</v>
      </c>
    </row>
    <row r="462" spans="1:41" x14ac:dyDescent="0.45">
      <c r="A462" s="1" t="s">
        <v>456</v>
      </c>
      <c r="B462" s="2">
        <v>4540311</v>
      </c>
      <c r="C462" s="3" t="s">
        <v>1530</v>
      </c>
      <c r="D462" s="3" t="s">
        <v>1531</v>
      </c>
      <c r="E462" s="3" t="s">
        <v>1020</v>
      </c>
      <c r="F462" s="5">
        <v>116022249917781</v>
      </c>
      <c r="G462" s="5">
        <v>131279771945488</v>
      </c>
      <c r="H462" s="5">
        <v>119734712453523</v>
      </c>
      <c r="I462" s="5">
        <v>110886733917623</v>
      </c>
      <c r="J462" s="5">
        <v>987880834598798</v>
      </c>
      <c r="K462" s="5">
        <v>937675975077246</v>
      </c>
      <c r="L462" s="5">
        <v>993988083319465</v>
      </c>
      <c r="M462" s="5">
        <v>108102276158493</v>
      </c>
      <c r="N462" s="5">
        <v>101761549982871</v>
      </c>
      <c r="O462" s="5">
        <v>113002737178781</v>
      </c>
      <c r="P462" s="5">
        <v>109484631981634</v>
      </c>
      <c r="Q462" s="5">
        <v>119670640968372</v>
      </c>
      <c r="R462" s="5">
        <v>114319640853221</v>
      </c>
      <c r="S462" s="5">
        <v>12817059440752</v>
      </c>
      <c r="T462" s="5">
        <v>125533818750736</v>
      </c>
      <c r="U462" s="5">
        <v>136982367384951</v>
      </c>
      <c r="V462" s="5">
        <v>143532472518946</v>
      </c>
      <c r="W462" s="5">
        <v>132194716519219</v>
      </c>
      <c r="X462" s="5">
        <v>115516579657962</v>
      </c>
      <c r="Y462" s="5">
        <v>117135872278526</v>
      </c>
      <c r="Z462" s="5">
        <v>107321417839185</v>
      </c>
      <c r="AA462" s="5">
        <v>113551269269627</v>
      </c>
      <c r="AB462" s="5">
        <v>103888698169344</v>
      </c>
      <c r="AC462" s="5">
        <v>999137987979061</v>
      </c>
      <c r="AD462" s="5">
        <v>941372633112147</v>
      </c>
      <c r="AE462" s="5">
        <v>860437905530605</v>
      </c>
      <c r="AF462" s="5">
        <v>826853185479867</v>
      </c>
      <c r="AG462" s="5">
        <v>824319079780997</v>
      </c>
      <c r="AH462" s="5">
        <v>86181702416628</v>
      </c>
      <c r="AI462" s="5">
        <v>885144362218085</v>
      </c>
      <c r="AJ462" s="5">
        <v>101422025974388</v>
      </c>
      <c r="AK462" s="5">
        <v>870096632224977</v>
      </c>
      <c r="AL462" s="5">
        <v>954184097746978</v>
      </c>
      <c r="AM462" s="5">
        <v>826730981481288</v>
      </c>
      <c r="AN462" s="5">
        <v>889195796502108</v>
      </c>
      <c r="AO462" s="5">
        <v>974427719279711</v>
      </c>
    </row>
    <row r="463" spans="1:41" x14ac:dyDescent="0.45">
      <c r="A463" s="1" t="s">
        <v>457</v>
      </c>
      <c r="B463" s="2">
        <v>4011157</v>
      </c>
      <c r="C463" s="3" t="s">
        <v>1532</v>
      </c>
      <c r="D463" s="3" t="s">
        <v>1533</v>
      </c>
      <c r="E463" s="3" t="s">
        <v>1160</v>
      </c>
      <c r="F463" s="5">
        <v>4228903668059</v>
      </c>
      <c r="G463" s="5">
        <v>464949904244031</v>
      </c>
      <c r="H463" s="5">
        <v>448390009142723</v>
      </c>
      <c r="I463" s="5">
        <v>450794816450709</v>
      </c>
      <c r="J463" s="5">
        <v>403702345054907</v>
      </c>
      <c r="K463" s="5">
        <v>372895176247851</v>
      </c>
      <c r="L463" s="5">
        <v>358491435172742</v>
      </c>
      <c r="M463" s="5">
        <v>355994026657786</v>
      </c>
      <c r="N463" s="5">
        <v>320477908944848</v>
      </c>
      <c r="O463" s="5">
        <v>384243150551376</v>
      </c>
      <c r="P463" s="5">
        <v>3957522532868</v>
      </c>
      <c r="Q463" s="5">
        <v>405100241652204</v>
      </c>
      <c r="R463" s="5">
        <v>374867558567923</v>
      </c>
      <c r="S463" s="5">
        <v>417322723530055</v>
      </c>
      <c r="T463" s="5">
        <v>378347713496429</v>
      </c>
      <c r="U463" s="5">
        <v>387877923634421</v>
      </c>
      <c r="V463" s="5">
        <v>42501224895392</v>
      </c>
      <c r="W463" s="5">
        <v>478742257973179</v>
      </c>
      <c r="X463" s="5">
        <v>478409141340414</v>
      </c>
      <c r="Y463" s="5">
        <v>473813815390621</v>
      </c>
      <c r="Z463" s="5">
        <v>488893678687964</v>
      </c>
      <c r="AA463" s="5">
        <v>520619067526784</v>
      </c>
      <c r="AB463" s="5">
        <v>435101271918246</v>
      </c>
      <c r="AC463" s="5">
        <v>435861917054905</v>
      </c>
      <c r="AD463" s="5">
        <v>40041010961562</v>
      </c>
      <c r="AE463" s="5">
        <v>391325408838821</v>
      </c>
      <c r="AF463" s="5">
        <v>40924316119581</v>
      </c>
      <c r="AG463" s="5">
        <v>47280116609351</v>
      </c>
      <c r="AH463" s="5">
        <v>42293948145264</v>
      </c>
      <c r="AI463" s="5">
        <v>413069890654699</v>
      </c>
      <c r="AJ463" s="5">
        <v>388438393158132</v>
      </c>
      <c r="AK463" s="5">
        <v>363091832515268</v>
      </c>
      <c r="AL463" s="5">
        <v>375625100937522</v>
      </c>
      <c r="AM463" s="5">
        <v>472629858248246</v>
      </c>
      <c r="AN463" s="5">
        <v>460559810479558</v>
      </c>
      <c r="AO463" s="5">
        <v>497038280261056</v>
      </c>
    </row>
    <row r="464" spans="1:41" x14ac:dyDescent="0.45">
      <c r="A464" s="1" t="s">
        <v>458</v>
      </c>
      <c r="B464" s="2">
        <v>4046115</v>
      </c>
      <c r="C464" s="3" t="s">
        <v>1534</v>
      </c>
      <c r="D464" s="3" t="s">
        <v>1535</v>
      </c>
      <c r="E464" s="3" t="s">
        <v>539</v>
      </c>
      <c r="F464" s="5">
        <v>309575285070179</v>
      </c>
      <c r="G464" s="5">
        <v>326630184734811</v>
      </c>
      <c r="H464" s="5">
        <v>300515942669263</v>
      </c>
      <c r="I464" s="5">
        <v>270936296343826</v>
      </c>
      <c r="J464" s="5">
        <v>264346504467777</v>
      </c>
      <c r="K464" s="5">
        <v>266740836923172</v>
      </c>
      <c r="L464" s="5">
        <v>242578512161954</v>
      </c>
      <c r="M464" s="5">
        <v>255516456234038</v>
      </c>
      <c r="N464" s="5">
        <v>27854942865984</v>
      </c>
      <c r="O464" s="5">
        <v>27809425696945</v>
      </c>
      <c r="P464" s="5">
        <v>29064955541942</v>
      </c>
      <c r="Q464" s="5">
        <v>243860139778671</v>
      </c>
      <c r="R464" s="5">
        <v>238623715268964</v>
      </c>
      <c r="S464" s="5">
        <v>254748309759758</v>
      </c>
      <c r="T464" s="5">
        <v>252937281938422</v>
      </c>
      <c r="U464" s="5">
        <v>238471308356845</v>
      </c>
      <c r="V464" s="5">
        <v>231999812572243</v>
      </c>
      <c r="W464" s="5">
        <v>203246901618869</v>
      </c>
      <c r="X464" s="5">
        <v>193300827710924</v>
      </c>
      <c r="Y464" s="5">
        <v>18725540073534</v>
      </c>
      <c r="Z464" s="5">
        <v>166782223305472</v>
      </c>
      <c r="AA464" s="5">
        <v>162229574051552</v>
      </c>
      <c r="AB464" s="5">
        <v>157452946727343</v>
      </c>
      <c r="AC464" s="5">
        <v>171930165052633</v>
      </c>
      <c r="AD464" s="5">
        <v>181309576739593</v>
      </c>
      <c r="AE464" s="5">
        <v>169007003506179</v>
      </c>
      <c r="AF464" s="5">
        <v>161709212184211</v>
      </c>
      <c r="AG464" s="5">
        <v>160164217737667</v>
      </c>
      <c r="AH464" s="5">
        <v>162049503200458</v>
      </c>
      <c r="AI464" s="5">
        <v>176131745149869</v>
      </c>
      <c r="AJ464" s="5">
        <v>17322044383722</v>
      </c>
      <c r="AK464" s="5">
        <v>161934702655822</v>
      </c>
      <c r="AL464" s="5">
        <v>17414962528904</v>
      </c>
      <c r="AM464" s="5">
        <v>159594798861365</v>
      </c>
      <c r="AN464" s="5">
        <v>183310258281423</v>
      </c>
      <c r="AO464" s="5">
        <v>19067134270784</v>
      </c>
    </row>
    <row r="465" spans="1:41" x14ac:dyDescent="0.45">
      <c r="A465" s="1" t="s">
        <v>459</v>
      </c>
      <c r="B465" s="2">
        <v>4087927</v>
      </c>
      <c r="C465" s="3" t="s">
        <v>1536</v>
      </c>
      <c r="D465" s="3" t="s">
        <v>1537</v>
      </c>
      <c r="E465" s="3" t="s">
        <v>533</v>
      </c>
      <c r="F465" s="5">
        <v>191815317405</v>
      </c>
      <c r="G465" s="5">
        <v>201452095152</v>
      </c>
      <c r="H465" s="5">
        <v>1927294182</v>
      </c>
      <c r="I465" s="5">
        <v>222571672843295</v>
      </c>
      <c r="J465" s="5">
        <v>218299632664877</v>
      </c>
      <c r="K465" s="5">
        <v>219553307702475</v>
      </c>
      <c r="L465" s="5">
        <v>2309124948</v>
      </c>
      <c r="M465" s="5">
        <v>225480014529</v>
      </c>
      <c r="N465" s="5">
        <v>233492273352</v>
      </c>
      <c r="O465" s="5">
        <v>222196975704</v>
      </c>
      <c r="P465" s="5">
        <v>216280638728</v>
      </c>
      <c r="Q465" s="5">
        <v>1987842915</v>
      </c>
      <c r="R465" s="5">
        <v>192106460104</v>
      </c>
      <c r="S465" s="5">
        <v>170490245044</v>
      </c>
      <c r="T465" s="5">
        <v>15651772404</v>
      </c>
      <c r="U465" s="5">
        <v>166230500736</v>
      </c>
      <c r="V465" s="5">
        <v>16227365424</v>
      </c>
      <c r="W465" s="5">
        <v>16865010624</v>
      </c>
      <c r="X465" s="5">
        <v>16527697704</v>
      </c>
      <c r="Y465" s="5">
        <v>160097510112</v>
      </c>
      <c r="Z465" s="5">
        <v>157863705216</v>
      </c>
      <c r="AA465" s="5">
        <v>177027393222</v>
      </c>
      <c r="AB465" s="5">
        <v>182288744011</v>
      </c>
      <c r="AC465" s="5">
        <v>187157157616</v>
      </c>
      <c r="AD465" s="5">
        <v>190244984252</v>
      </c>
      <c r="AE465" s="5">
        <v>19865206978</v>
      </c>
      <c r="AF465" s="5">
        <v>19294673199</v>
      </c>
      <c r="AG465" s="5">
        <v>197346814107652</v>
      </c>
      <c r="AH465" s="5">
        <v>197586121570607</v>
      </c>
      <c r="AI465" s="5">
        <v>197414558552529</v>
      </c>
      <c r="AJ465" s="5">
        <v>215467634991214</v>
      </c>
      <c r="AK465" s="5">
        <v>218124837631792</v>
      </c>
      <c r="AL465" s="5">
        <v>209205673327856</v>
      </c>
      <c r="AM465" s="5">
        <v>203998780900245</v>
      </c>
      <c r="AN465" s="5">
        <v>19446077144995</v>
      </c>
      <c r="AO465" s="5">
        <v>212837189940976</v>
      </c>
    </row>
    <row r="466" spans="1:41" x14ac:dyDescent="0.45">
      <c r="A466" s="1" t="s">
        <v>460</v>
      </c>
      <c r="B466" s="2">
        <v>4241337</v>
      </c>
      <c r="C466" s="3" t="s">
        <v>1538</v>
      </c>
      <c r="D466" s="3" t="s">
        <v>1539</v>
      </c>
      <c r="E466" s="3" t="s">
        <v>778</v>
      </c>
      <c r="F466" s="5">
        <v>265528122811166</v>
      </c>
      <c r="G466" s="5">
        <v>270522671261058</v>
      </c>
      <c r="H466" s="5">
        <v>264340873392444</v>
      </c>
      <c r="I466" s="5">
        <v>299495768411978</v>
      </c>
      <c r="J466" s="5">
        <v>320248771731621</v>
      </c>
      <c r="K466" s="5">
        <v>340413126538298</v>
      </c>
      <c r="L466" s="5">
        <v>371031673226533</v>
      </c>
      <c r="M466" s="5">
        <v>387271280140598</v>
      </c>
      <c r="N466" s="5">
        <v>365638059139036</v>
      </c>
      <c r="O466" s="5">
        <v>38626167608698</v>
      </c>
      <c r="P466" s="5">
        <v>400292346399092</v>
      </c>
      <c r="Q466" s="5">
        <v>390512393792192</v>
      </c>
      <c r="R466" s="5">
        <v>375673716307587</v>
      </c>
      <c r="S466" s="5">
        <v>393769013202989</v>
      </c>
      <c r="T466" s="5">
        <v>357287079280541</v>
      </c>
      <c r="U466" s="5">
        <v>342177399503238</v>
      </c>
      <c r="V466" s="5">
        <v>351297688014806</v>
      </c>
      <c r="W466" s="5">
        <v>34446196866312</v>
      </c>
      <c r="X466" s="5">
        <v>358929541874556</v>
      </c>
      <c r="Y466" s="5">
        <v>332559481336098</v>
      </c>
      <c r="Z466" s="5">
        <v>290959355747608</v>
      </c>
      <c r="AA466" s="5">
        <v>312932410915553</v>
      </c>
      <c r="AB466" s="5">
        <v>32088030570424</v>
      </c>
      <c r="AC466" s="5">
        <v>322766467111422</v>
      </c>
      <c r="AD466" s="5">
        <v>313311083189382</v>
      </c>
      <c r="AE466" s="5">
        <v>320952635975412</v>
      </c>
      <c r="AF466" s="5">
        <v>312092818837867</v>
      </c>
      <c r="AG466" s="5">
        <v>323699788374691</v>
      </c>
      <c r="AH466" s="5">
        <v>323884390441735</v>
      </c>
      <c r="AI466" s="5">
        <v>300789419051438</v>
      </c>
      <c r="AJ466" s="5">
        <v>299780693664194</v>
      </c>
      <c r="AK466" s="5">
        <v>297677504793655</v>
      </c>
      <c r="AL466" s="5">
        <v>272083797618908</v>
      </c>
      <c r="AM466" s="5">
        <v>273174206841289</v>
      </c>
      <c r="AN466" s="5">
        <v>24934745204192</v>
      </c>
      <c r="AO466" s="5">
        <v>261752850318613</v>
      </c>
    </row>
    <row r="467" spans="1:41" x14ac:dyDescent="0.45">
      <c r="A467" s="1" t="s">
        <v>461</v>
      </c>
      <c r="B467" s="2">
        <v>4057229</v>
      </c>
      <c r="C467" s="3" t="s">
        <v>1540</v>
      </c>
      <c r="D467" s="3" t="s">
        <v>1541</v>
      </c>
      <c r="E467" s="3" t="s">
        <v>625</v>
      </c>
      <c r="F467" s="5">
        <v>146266708159208</v>
      </c>
      <c r="G467" s="5">
        <v>149486045997846</v>
      </c>
      <c r="H467" s="5">
        <v>14527516932479</v>
      </c>
      <c r="I467" s="5">
        <v>157937561208077</v>
      </c>
      <c r="J467" s="5">
        <v>159428630745827</v>
      </c>
      <c r="K467" s="5">
        <v>157609560652288</v>
      </c>
      <c r="L467" s="5">
        <v>155345403634656</v>
      </c>
      <c r="M467" s="5">
        <v>163345928632932</v>
      </c>
      <c r="N467" s="5">
        <v>163736083997654</v>
      </c>
      <c r="O467" s="5">
        <v>176668949104071</v>
      </c>
      <c r="P467" s="5">
        <v>174380293030857</v>
      </c>
      <c r="Q467" s="5">
        <v>159532707699716</v>
      </c>
      <c r="R467" s="5">
        <v>162602459787578</v>
      </c>
      <c r="S467" s="5">
        <v>176911446747824</v>
      </c>
      <c r="T467" s="5">
        <v>163340781929447</v>
      </c>
      <c r="U467" s="5">
        <v>169501820272055</v>
      </c>
      <c r="V467" s="5">
        <v>159007453245867</v>
      </c>
      <c r="W467" s="5">
        <v>157606449219838</v>
      </c>
      <c r="X467" s="5">
        <v>162011240717595</v>
      </c>
      <c r="Y467" s="5">
        <v>159717714538717</v>
      </c>
      <c r="Z467" s="5">
        <v>155452194534549</v>
      </c>
      <c r="AA467" s="5">
        <v>16354405128</v>
      </c>
      <c r="AB467" s="5">
        <v>155652684929512</v>
      </c>
      <c r="AC467" s="5">
        <v>164102883136898</v>
      </c>
      <c r="AD467" s="5">
        <v>143390094062828</v>
      </c>
      <c r="AE467" s="5">
        <v>147752215290885</v>
      </c>
      <c r="AF467" s="5">
        <v>139788671397154</v>
      </c>
      <c r="AG467" s="5">
        <v>128731773851405</v>
      </c>
      <c r="AH467" s="5">
        <v>135586847818627</v>
      </c>
      <c r="AI467" s="5">
        <v>130006539671817</v>
      </c>
      <c r="AJ467" s="5">
        <v>143213342019537</v>
      </c>
      <c r="AK467" s="5">
        <v>140546283578816</v>
      </c>
      <c r="AL467" s="5">
        <v>147912660391039</v>
      </c>
      <c r="AM467" s="5">
        <v>150332105005304</v>
      </c>
      <c r="AN467" s="5">
        <v>153543604291442</v>
      </c>
      <c r="AO467" s="5">
        <v>160741708857937</v>
      </c>
    </row>
    <row r="468" spans="1:41" x14ac:dyDescent="0.45">
      <c r="A468" s="1" t="s">
        <v>462</v>
      </c>
      <c r="B468" s="2">
        <v>4159057</v>
      </c>
      <c r="C468" s="3" t="s">
        <v>1542</v>
      </c>
      <c r="D468" s="3" t="s">
        <v>1543</v>
      </c>
      <c r="E468" s="3" t="s">
        <v>509</v>
      </c>
      <c r="F468" s="5">
        <v>979676179865137</v>
      </c>
      <c r="G468" s="5">
        <v>948769552400664</v>
      </c>
      <c r="H468" s="5">
        <v>946002508230427</v>
      </c>
      <c r="I468" s="5">
        <v>855818588934766</v>
      </c>
      <c r="J468" s="5">
        <v>857070354754517</v>
      </c>
      <c r="K468" s="5">
        <v>102563706126944</v>
      </c>
      <c r="L468" s="5">
        <v>973486806660186</v>
      </c>
      <c r="M468" s="5">
        <v>100042705287215</v>
      </c>
      <c r="N468" s="5">
        <v>115448142981865</v>
      </c>
      <c r="O468" s="5">
        <v>115184498839794</v>
      </c>
      <c r="P468" s="5">
        <v>118412528529982</v>
      </c>
      <c r="Q468" s="5">
        <v>114389959560387</v>
      </c>
      <c r="R468" s="5">
        <v>10017063484567</v>
      </c>
      <c r="S468" s="5">
        <v>114264101390954</v>
      </c>
      <c r="T468" s="5">
        <v>113146219143809</v>
      </c>
      <c r="U468" s="5">
        <v>107626225527374</v>
      </c>
      <c r="V468" s="5">
        <v>11571603153703</v>
      </c>
      <c r="W468" s="5">
        <v>118200135903363</v>
      </c>
      <c r="X468" s="5">
        <v>112887099491546</v>
      </c>
      <c r="Y468" s="5">
        <v>10834862115905</v>
      </c>
      <c r="Z468" s="5">
        <v>949465676626858</v>
      </c>
      <c r="AA468" s="5">
        <v>999634866038309</v>
      </c>
      <c r="AB468" s="5">
        <v>100540266259102</v>
      </c>
      <c r="AC468" s="5">
        <v>102930606274446</v>
      </c>
      <c r="AD468" s="5">
        <v>948566286044515</v>
      </c>
      <c r="AE468" s="5">
        <v>838308563052402</v>
      </c>
      <c r="AF468" s="5">
        <v>884586722895587</v>
      </c>
      <c r="AG468" s="5">
        <v>847956969866609</v>
      </c>
      <c r="AH468" s="5">
        <v>828921775242462</v>
      </c>
      <c r="AI468" s="5">
        <v>823426760771056</v>
      </c>
      <c r="AJ468" s="5">
        <v>83021644937296</v>
      </c>
      <c r="AK468" s="5">
        <v>781941417882196</v>
      </c>
      <c r="AL468" s="5">
        <v>79526971761141</v>
      </c>
      <c r="AM468" s="5">
        <v>745540570107268</v>
      </c>
      <c r="AN468" s="5">
        <v>703024720922324</v>
      </c>
      <c r="AO468" s="5">
        <v>763601033956028</v>
      </c>
    </row>
    <row r="469" spans="1:41" x14ac:dyDescent="0.45">
      <c r="A469" s="1" t="s">
        <v>463</v>
      </c>
      <c r="B469" s="2">
        <v>11078438</v>
      </c>
      <c r="C469" s="3" t="s">
        <v>1544</v>
      </c>
      <c r="D469" s="3" t="s">
        <v>1545</v>
      </c>
      <c r="E469" s="3" t="s">
        <v>582</v>
      </c>
      <c r="F469" s="5">
        <v>52756538046912</v>
      </c>
      <c r="G469" s="5">
        <v>592621142921106</v>
      </c>
      <c r="H469" s="5">
        <v>639306440281711</v>
      </c>
      <c r="I469" s="5">
        <v>490996435227254</v>
      </c>
      <c r="J469" s="5">
        <v>416396937998867</v>
      </c>
      <c r="K469" s="5">
        <v>486053331645773</v>
      </c>
      <c r="L469" s="5">
        <v>416704650947935</v>
      </c>
      <c r="M469" s="5">
        <v>362502325245752</v>
      </c>
      <c r="N469" s="5">
        <v>286796631500599</v>
      </c>
      <c r="O469" s="5">
        <v>254355955764746</v>
      </c>
      <c r="P469" s="5">
        <v>348287378152673</v>
      </c>
      <c r="Q469" s="5">
        <v>422571808898325</v>
      </c>
      <c r="R469" s="5">
        <v>411878325091768</v>
      </c>
      <c r="S469" s="5">
        <v>453928646305658</v>
      </c>
      <c r="T469" s="5">
        <v>377798533909913</v>
      </c>
      <c r="U469" s="5">
        <v>334642053999622</v>
      </c>
      <c r="V469" s="5">
        <v>281613752120854</v>
      </c>
      <c r="W469" s="5">
        <v>27280294566294</v>
      </c>
      <c r="X469" s="5">
        <v>302454955880998</v>
      </c>
      <c r="Y469" s="5">
        <v>338521470721205</v>
      </c>
      <c r="Z469" s="5">
        <v>325581311613432</v>
      </c>
      <c r="AA469" s="5">
        <v>288808200105503</v>
      </c>
      <c r="AB469" s="5">
        <v>238942627645579</v>
      </c>
      <c r="AC469" s="5">
        <v>198041989388815</v>
      </c>
      <c r="AD469" s="5">
        <v>165746787061515</v>
      </c>
      <c r="AE469" s="5">
        <v>15269810437541</v>
      </c>
      <c r="AF469" s="5">
        <v>141778200927825</v>
      </c>
      <c r="AG469" s="5">
        <v>133742415727728</v>
      </c>
      <c r="AH469" s="5">
        <v>138198471844329</v>
      </c>
      <c r="AI469" s="5">
        <v>896233570326198</v>
      </c>
      <c r="AJ469" s="5">
        <v>86159577456364</v>
      </c>
      <c r="AK469" s="5">
        <v>68767162633213</v>
      </c>
      <c r="AL469" s="5">
        <v>513365919096524</v>
      </c>
      <c r="AM469" s="5">
        <v>497387844732121</v>
      </c>
      <c r="AN469" s="5">
        <v>57807367449975</v>
      </c>
      <c r="AO469" s="5">
        <v>493968685085528</v>
      </c>
    </row>
    <row r="470" spans="1:41" x14ac:dyDescent="0.45">
      <c r="A470" s="1" t="s">
        <v>464</v>
      </c>
      <c r="B470" s="2">
        <v>4761964</v>
      </c>
      <c r="C470" s="3" t="s">
        <v>1546</v>
      </c>
      <c r="D470" s="3" t="s">
        <v>1547</v>
      </c>
      <c r="E470" s="3" t="s">
        <v>680</v>
      </c>
      <c r="F470" s="5">
        <v>122129818797809</v>
      </c>
      <c r="G470" s="5">
        <v>106182309490808</v>
      </c>
      <c r="H470" s="5">
        <v>103695634294627</v>
      </c>
      <c r="I470" s="5">
        <v>983736085703679</v>
      </c>
      <c r="J470" s="5">
        <v>105152280584778</v>
      </c>
      <c r="K470" s="5">
        <v>896752643539771</v>
      </c>
      <c r="L470" s="5">
        <v>892455441764978</v>
      </c>
      <c r="M470" s="5">
        <v>909207639173543</v>
      </c>
      <c r="N470" s="5">
        <v>885882735756361</v>
      </c>
      <c r="O470" s="5">
        <v>961933123430651</v>
      </c>
      <c r="P470" s="5">
        <v>105891567890078</v>
      </c>
      <c r="Q470" s="5">
        <v>129534526458402</v>
      </c>
      <c r="R470" s="5">
        <v>143534977313204</v>
      </c>
      <c r="S470" s="5">
        <v>148085514444292</v>
      </c>
      <c r="T470" s="5">
        <v>127518691278072</v>
      </c>
      <c r="U470" s="5">
        <v>124239822911305</v>
      </c>
      <c r="V470" s="5">
        <v>130350671552275</v>
      </c>
      <c r="W470" s="5">
        <v>132682245484774</v>
      </c>
      <c r="X470" s="5">
        <v>118126697961068</v>
      </c>
      <c r="Y470" s="5">
        <v>116379750306189</v>
      </c>
      <c r="Z470" s="5">
        <v>128498117104353</v>
      </c>
      <c r="AA470" s="5">
        <v>131274511266417</v>
      </c>
      <c r="AB470" s="5">
        <v>135899321181826</v>
      </c>
      <c r="AC470" s="5">
        <v>13014521673439</v>
      </c>
      <c r="AD470" s="5">
        <v>11754257690571</v>
      </c>
      <c r="AE470" s="5">
        <v>10097801160282</v>
      </c>
      <c r="AF470" s="5">
        <v>101046818080058</v>
      </c>
      <c r="AG470" s="5">
        <v>111745184505814</v>
      </c>
      <c r="AH470" s="5">
        <v>118891663241925</v>
      </c>
      <c r="AI470" s="5">
        <v>114566379727812</v>
      </c>
      <c r="AJ470" s="5">
        <v>109611484241331</v>
      </c>
      <c r="AK470" s="5">
        <v>102942059809829</v>
      </c>
      <c r="AL470" s="5">
        <v>101177610865716</v>
      </c>
      <c r="AM470" s="5">
        <v>105968876028478</v>
      </c>
      <c r="AN470" s="5">
        <v>128523457429092</v>
      </c>
      <c r="AO470" s="5">
        <v>135768675060438</v>
      </c>
    </row>
    <row r="471" spans="1:41" x14ac:dyDescent="0.45">
      <c r="A471" s="1" t="s">
        <v>465</v>
      </c>
      <c r="B471" s="2">
        <v>6614190</v>
      </c>
      <c r="C471" s="3" t="s">
        <v>1548</v>
      </c>
      <c r="D471" s="3" t="s">
        <v>1549</v>
      </c>
      <c r="E471" s="3" t="s">
        <v>1086</v>
      </c>
      <c r="F471" s="5">
        <v>255978228484213</v>
      </c>
      <c r="G471" s="5">
        <v>265646311374185</v>
      </c>
      <c r="H471" s="5">
        <v>277905171651234</v>
      </c>
      <c r="I471" s="5">
        <v>296381516239523</v>
      </c>
      <c r="J471" s="5">
        <v>307951830941081</v>
      </c>
      <c r="K471" s="5">
        <v>303903869936398</v>
      </c>
      <c r="L471" s="5">
        <v>293330273566447</v>
      </c>
      <c r="M471" s="5">
        <v>295307615636218</v>
      </c>
      <c r="N471" s="5">
        <v>298228406959546</v>
      </c>
      <c r="O471" s="5">
        <v>318913082595012</v>
      </c>
      <c r="P471" s="5">
        <v>329853928480066</v>
      </c>
      <c r="Q471" s="5">
        <v>30193357529807</v>
      </c>
      <c r="R471" s="5">
        <v>297424050224072</v>
      </c>
      <c r="S471" s="5">
        <v>325821593635169</v>
      </c>
      <c r="T471" s="5">
        <v>308356057484292</v>
      </c>
      <c r="U471" s="5">
        <v>3127459530989</v>
      </c>
      <c r="V471" s="5">
        <v>316971525515085</v>
      </c>
      <c r="W471" s="5">
        <v>302467889746915</v>
      </c>
      <c r="X471" s="5">
        <v>278839434911318</v>
      </c>
      <c r="Y471" s="5">
        <v>276166584607042</v>
      </c>
      <c r="Z471" s="5">
        <v>278517170022188</v>
      </c>
      <c r="AA471" s="5">
        <v>28769283283701</v>
      </c>
      <c r="AB471" s="5">
        <v>288699640593246</v>
      </c>
      <c r="AC471" s="5">
        <v>287202706242964</v>
      </c>
      <c r="AD471" s="5">
        <v>298378053091448</v>
      </c>
      <c r="AE471" s="5">
        <v>283525327386568</v>
      </c>
      <c r="AF471" s="5">
        <v>273192513829717</v>
      </c>
      <c r="AG471" s="5">
        <v>27862869259092</v>
      </c>
      <c r="AH471" s="5">
        <v>28816302462612</v>
      </c>
      <c r="AI471" s="5">
        <v>289485264601988</v>
      </c>
      <c r="AJ471" s="5">
        <v>289109390846298</v>
      </c>
      <c r="AK471" s="5">
        <v>291436525281222</v>
      </c>
      <c r="AL471" s="5">
        <v>308823479862212</v>
      </c>
      <c r="AM471" s="5">
        <v>301496941369173</v>
      </c>
      <c r="AN471" s="5">
        <v>317013279025997</v>
      </c>
      <c r="AO471" s="5">
        <v>315856713034073</v>
      </c>
    </row>
    <row r="472" spans="1:41" x14ac:dyDescent="0.45">
      <c r="A472" s="1" t="s">
        <v>466</v>
      </c>
      <c r="B472" s="2">
        <v>4163620</v>
      </c>
      <c r="C472" s="3" t="s">
        <v>1550</v>
      </c>
      <c r="D472" s="3" t="s">
        <v>1551</v>
      </c>
      <c r="E472" s="3" t="s">
        <v>567</v>
      </c>
      <c r="F472" s="5">
        <v>570763050432496</v>
      </c>
      <c r="G472" s="5">
        <v>551658100838512</v>
      </c>
      <c r="H472" s="5">
        <v>5660411535113</v>
      </c>
      <c r="I472" s="5">
        <v>559727999562235</v>
      </c>
      <c r="J472" s="5">
        <v>578539387588967</v>
      </c>
      <c r="K472" s="5">
        <v>580984822803354</v>
      </c>
      <c r="L472" s="5">
        <v>585387899659672</v>
      </c>
      <c r="M472" s="5">
        <v>623178151454058</v>
      </c>
      <c r="N472" s="5">
        <v>589645067117215</v>
      </c>
      <c r="O472" s="5">
        <v>632156820422437</v>
      </c>
      <c r="P472" s="5">
        <v>679639878905044</v>
      </c>
      <c r="Q472" s="5">
        <v>641125454973452</v>
      </c>
      <c r="R472" s="5">
        <v>597424392210586</v>
      </c>
      <c r="S472" s="5">
        <v>584062103272211</v>
      </c>
      <c r="T472" s="5">
        <v>523839235115566</v>
      </c>
      <c r="U472" s="5">
        <v>484779756020912</v>
      </c>
      <c r="V472" s="5">
        <v>491359531502646</v>
      </c>
      <c r="W472" s="5">
        <v>482732461650655</v>
      </c>
      <c r="X472" s="5">
        <v>549335103050505</v>
      </c>
      <c r="Y472" s="5">
        <v>563400449284294</v>
      </c>
      <c r="Z472" s="5">
        <v>500290356766821</v>
      </c>
      <c r="AA472" s="5">
        <v>51662552612753</v>
      </c>
      <c r="AB472" s="5">
        <v>522820099241396</v>
      </c>
      <c r="AC472" s="5">
        <v>503611479842118</v>
      </c>
      <c r="AD472" s="5">
        <v>471212557723976</v>
      </c>
      <c r="AE472" s="5">
        <v>470421354957719</v>
      </c>
      <c r="AF472" s="5">
        <v>447822083384871</v>
      </c>
      <c r="AG472" s="5">
        <v>440118576335449</v>
      </c>
      <c r="AH472" s="5">
        <v>458758180262429</v>
      </c>
      <c r="AI472" s="5">
        <v>436883720683178</v>
      </c>
      <c r="AJ472" s="5">
        <v>443083540948212</v>
      </c>
      <c r="AK472" s="5">
        <v>422431255386992</v>
      </c>
      <c r="AL472" s="5">
        <v>429528122591373</v>
      </c>
      <c r="AM472" s="5">
        <v>424211087298952</v>
      </c>
      <c r="AN472" s="5">
        <v>423536678102559</v>
      </c>
      <c r="AO472" s="5">
        <v>433289565547297</v>
      </c>
    </row>
    <row r="473" spans="1:41" x14ac:dyDescent="0.45">
      <c r="A473" s="1" t="s">
        <v>467</v>
      </c>
      <c r="B473" s="2">
        <v>4085953</v>
      </c>
      <c r="C473" s="3" t="s">
        <v>1552</v>
      </c>
      <c r="D473" s="3" t="s">
        <v>1553</v>
      </c>
      <c r="E473" s="3" t="s">
        <v>1436</v>
      </c>
      <c r="F473" s="5">
        <v>465562354741579</v>
      </c>
      <c r="G473" s="5">
        <v>522634469267434</v>
      </c>
      <c r="H473" s="5">
        <v>553144846969764</v>
      </c>
      <c r="I473" s="5">
        <v>565771040554876</v>
      </c>
      <c r="J473" s="5">
        <v>54777128877105</v>
      </c>
      <c r="K473" s="5">
        <v>618621385477153</v>
      </c>
      <c r="L473" s="5">
        <v>559996859930361</v>
      </c>
      <c r="M473" s="5">
        <v>480189805227363</v>
      </c>
      <c r="N473" s="5">
        <v>387285898826422</v>
      </c>
      <c r="O473" s="5">
        <v>368302599357673</v>
      </c>
      <c r="P473" s="5">
        <v>435434816425599</v>
      </c>
      <c r="Q473" s="5">
        <v>550015363597422</v>
      </c>
      <c r="R473" s="5">
        <v>453074604949886</v>
      </c>
      <c r="S473" s="5">
        <v>515430310332531</v>
      </c>
      <c r="T473" s="5">
        <v>395398497182885</v>
      </c>
      <c r="U473" s="5">
        <v>365147242268385</v>
      </c>
      <c r="V473" s="5">
        <v>2653574244016</v>
      </c>
      <c r="W473" s="5">
        <v>254338219019993</v>
      </c>
      <c r="X473" s="5">
        <v>278819743398851</v>
      </c>
      <c r="Y473" s="5">
        <v>317445252546417</v>
      </c>
      <c r="Z473" s="5">
        <v>2474199792338</v>
      </c>
      <c r="AA473" s="5">
        <v>224323172264667</v>
      </c>
      <c r="AB473" s="5">
        <v>175525272223349</v>
      </c>
      <c r="AC473" s="5">
        <v>135216822291993</v>
      </c>
      <c r="AD473" s="5">
        <v>124603571244158</v>
      </c>
      <c r="AE473" s="5">
        <v>116088051153316</v>
      </c>
      <c r="AF473" s="5">
        <v>11383459444031</v>
      </c>
      <c r="AG473" s="5">
        <v>115227626868991</v>
      </c>
      <c r="AH473" s="5">
        <v>106482307311715</v>
      </c>
      <c r="AI473" s="5">
        <v>949788991896477</v>
      </c>
      <c r="AJ473" s="5">
        <v>8969442943335</v>
      </c>
      <c r="AK473" s="5">
        <v>838977744562851</v>
      </c>
      <c r="AL473" s="5">
        <v>821093636523123</v>
      </c>
      <c r="AM473" s="5">
        <v>84261442108896</v>
      </c>
      <c r="AN473" s="5">
        <v>824343988131954</v>
      </c>
      <c r="AO473" s="5">
        <v>844908713460444</v>
      </c>
    </row>
    <row r="474" spans="1:41" x14ac:dyDescent="0.45">
      <c r="A474" s="1" t="s">
        <v>468</v>
      </c>
      <c r="B474" s="2">
        <v>4063773</v>
      </c>
      <c r="C474" s="3" t="s">
        <v>1554</v>
      </c>
      <c r="D474" s="3" t="s">
        <v>1555</v>
      </c>
      <c r="E474" s="3" t="s">
        <v>814</v>
      </c>
      <c r="F474" s="5">
        <v>32097487055916</v>
      </c>
      <c r="G474" s="5">
        <v>338704065903773</v>
      </c>
      <c r="H474" s="5">
        <v>331643946968325</v>
      </c>
      <c r="I474" s="5">
        <v>346409097383791</v>
      </c>
      <c r="J474" s="5">
        <v>328873787890201</v>
      </c>
      <c r="K474" s="5">
        <v>317202357490632</v>
      </c>
      <c r="L474" s="5">
        <v>293386360452167</v>
      </c>
      <c r="M474" s="5">
        <v>308601991904676</v>
      </c>
      <c r="N474" s="5">
        <v>305441269119118</v>
      </c>
      <c r="O474" s="5">
        <v>285139296014054</v>
      </c>
      <c r="P474" s="5">
        <v>314010976580321</v>
      </c>
      <c r="Q474" s="5">
        <v>348324400363812</v>
      </c>
      <c r="R474" s="5">
        <v>328117366406174</v>
      </c>
      <c r="S474" s="5">
        <v>36064558244664</v>
      </c>
      <c r="T474" s="5">
        <v>333176729643183</v>
      </c>
      <c r="U474" s="5">
        <v>296521667408486</v>
      </c>
      <c r="V474" s="5">
        <v>292769608607698</v>
      </c>
      <c r="W474" s="5">
        <v>335454214937041</v>
      </c>
      <c r="X474" s="5">
        <v>306948302955586</v>
      </c>
      <c r="Y474" s="5">
        <v>31191103341655</v>
      </c>
      <c r="Z474" s="5">
        <v>318582149106654</v>
      </c>
      <c r="AA474" s="5">
        <v>33409736084899</v>
      </c>
      <c r="AB474" s="5">
        <v>325196491617069</v>
      </c>
      <c r="AC474" s="5">
        <v>276793092743334</v>
      </c>
      <c r="AD474" s="5">
        <v>272889976862225</v>
      </c>
      <c r="AE474" s="5">
        <v>260183583198665</v>
      </c>
      <c r="AF474" s="5">
        <v>247114981997078</v>
      </c>
      <c r="AG474" s="5">
        <v>253599660371803</v>
      </c>
      <c r="AH474" s="5">
        <v>26736194357505</v>
      </c>
      <c r="AI474" s="5">
        <v>266227521534702</v>
      </c>
      <c r="AJ474" s="5">
        <v>274771718395942</v>
      </c>
      <c r="AK474" s="5">
        <v>244081047470359</v>
      </c>
      <c r="AL474" s="5">
        <v>210998672238869</v>
      </c>
      <c r="AM474" s="5">
        <v>209971567798762</v>
      </c>
      <c r="AN474" s="5">
        <v>226611173541348</v>
      </c>
      <c r="AO474" s="5">
        <v>224336065552982</v>
      </c>
    </row>
    <row r="475" spans="1:41" x14ac:dyDescent="0.45">
      <c r="A475" s="1" t="s">
        <v>469</v>
      </c>
      <c r="B475" s="2">
        <v>103336</v>
      </c>
      <c r="C475" s="3" t="s">
        <v>1556</v>
      </c>
      <c r="D475" s="3" t="s">
        <v>1557</v>
      </c>
      <c r="E475" s="3" t="s">
        <v>570</v>
      </c>
      <c r="F475" s="5">
        <v>226953220567735</v>
      </c>
      <c r="G475" s="5">
        <v>254613639349509</v>
      </c>
      <c r="H475" s="5">
        <v>2349606863106</v>
      </c>
      <c r="I475" s="5">
        <v>247690416753857</v>
      </c>
      <c r="J475" s="5">
        <v>232460124065067</v>
      </c>
      <c r="K475" s="5">
        <v>228214322042991</v>
      </c>
      <c r="L475" s="5">
        <v>237323895029869</v>
      </c>
      <c r="M475" s="5">
        <v>249708315466688</v>
      </c>
      <c r="N475" s="5">
        <v>23967857070962</v>
      </c>
      <c r="O475" s="5">
        <v>24967193829317</v>
      </c>
      <c r="P475" s="5">
        <v>229910301655545</v>
      </c>
      <c r="Q475" s="5">
        <v>21511865962638</v>
      </c>
      <c r="R475" s="5">
        <v>215397292792282</v>
      </c>
      <c r="S475" s="5">
        <v>233139954854688</v>
      </c>
      <c r="T475" s="5">
        <v>20037347655642</v>
      </c>
      <c r="U475" s="5">
        <v>193563706233708</v>
      </c>
      <c r="V475" s="5">
        <v>20540131108362</v>
      </c>
      <c r="W475" s="5">
        <v>1939020385764</v>
      </c>
      <c r="X475" s="5">
        <v>187499423504359</v>
      </c>
      <c r="Y475" s="5">
        <v>191025133960204</v>
      </c>
      <c r="Z475" s="5">
        <v>184669744007439</v>
      </c>
      <c r="AA475" s="5">
        <v>210056282690195</v>
      </c>
      <c r="AB475" s="5">
        <v>198410531761968</v>
      </c>
      <c r="AC475" s="5">
        <v>194612916903704</v>
      </c>
      <c r="AD475" s="5">
        <v>164987515248842</v>
      </c>
      <c r="AE475" s="5">
        <v>171539298351144</v>
      </c>
      <c r="AF475" s="5">
        <v>164333412292649</v>
      </c>
      <c r="AG475" s="5">
        <v>154476249955303</v>
      </c>
      <c r="AH475" s="5">
        <v>146878202813101</v>
      </c>
      <c r="AI475" s="5">
        <v>145975163135862</v>
      </c>
      <c r="AJ475" s="5">
        <v>142270738742449</v>
      </c>
      <c r="AK475" s="5">
        <v>136240545568132</v>
      </c>
      <c r="AL475" s="5">
        <v>14625662287177</v>
      </c>
      <c r="AM475" s="5">
        <v>15096555115424</v>
      </c>
      <c r="AN475" s="5">
        <v>164261360227945</v>
      </c>
      <c r="AO475" s="5">
        <v>171438898418477</v>
      </c>
    </row>
    <row r="476" spans="1:41" x14ac:dyDescent="0.45">
      <c r="A476" s="1" t="s">
        <v>470</v>
      </c>
      <c r="B476" s="2">
        <v>4071818</v>
      </c>
      <c r="C476" s="3" t="s">
        <v>1558</v>
      </c>
      <c r="D476" s="3" t="s">
        <v>1559</v>
      </c>
      <c r="E476" s="3" t="s">
        <v>951</v>
      </c>
      <c r="F476" s="5">
        <v>408642751443222</v>
      </c>
      <c r="G476" s="5">
        <v>389000418462865</v>
      </c>
      <c r="H476" s="5">
        <v>40599673881492</v>
      </c>
      <c r="I476" s="5">
        <v>388497220509612</v>
      </c>
      <c r="J476" s="5">
        <v>414438244984406</v>
      </c>
      <c r="K476" s="5">
        <v>436563970999819</v>
      </c>
      <c r="L476" s="5">
        <v>425514227578487</v>
      </c>
      <c r="M476" s="5">
        <v>460439824958838</v>
      </c>
      <c r="N476" s="5">
        <v>434904587333258</v>
      </c>
      <c r="O476" s="5">
        <v>440258110424316</v>
      </c>
      <c r="P476" s="5">
        <v>473239723244271</v>
      </c>
      <c r="Q476" s="5">
        <v>497907957960432</v>
      </c>
      <c r="R476" s="5">
        <v>495819737741377</v>
      </c>
      <c r="S476" s="5">
        <v>556361034719066</v>
      </c>
      <c r="T476" s="5">
        <v>498803787101335</v>
      </c>
      <c r="U476" s="5">
        <v>454761155430733</v>
      </c>
      <c r="V476" s="5">
        <v>434776368456189</v>
      </c>
      <c r="W476" s="5">
        <v>442881510567342</v>
      </c>
      <c r="X476" s="5">
        <v>413189069870326</v>
      </c>
      <c r="Y476" s="5">
        <v>416926971470921</v>
      </c>
      <c r="Z476" s="5">
        <v>422799650688086</v>
      </c>
      <c r="AA476" s="5">
        <v>463122711152534</v>
      </c>
      <c r="AB476" s="5">
        <v>44282960726939</v>
      </c>
      <c r="AC476" s="5">
        <v>409735560587002</v>
      </c>
      <c r="AD476" s="5">
        <v>372115086088384</v>
      </c>
      <c r="AE476" s="5">
        <v>357791547930157</v>
      </c>
      <c r="AF476" s="5">
        <v>342864813888443</v>
      </c>
      <c r="AG476" s="5">
        <v>326830987733315</v>
      </c>
      <c r="AH476" s="5">
        <v>329224353999416</v>
      </c>
      <c r="AI476" s="5">
        <v>335058830034444</v>
      </c>
      <c r="AJ476" s="5">
        <v>362380281849362</v>
      </c>
      <c r="AK476" s="5">
        <v>305504502797052</v>
      </c>
      <c r="AL476" s="5">
        <v>316180289089438</v>
      </c>
      <c r="AM476" s="5">
        <v>318253695388715</v>
      </c>
      <c r="AN476" s="5">
        <v>318163093015988</v>
      </c>
      <c r="AO476" s="5">
        <v>274239609499481</v>
      </c>
    </row>
    <row r="477" spans="1:41" x14ac:dyDescent="0.45">
      <c r="A477" s="1" t="s">
        <v>471</v>
      </c>
      <c r="B477" s="2">
        <v>3005566</v>
      </c>
      <c r="C477" s="3" t="s">
        <v>1560</v>
      </c>
      <c r="D477" s="3" t="s">
        <v>1561</v>
      </c>
      <c r="E477" s="3" t="s">
        <v>809</v>
      </c>
      <c r="F477" s="5">
        <v>756272381952835</v>
      </c>
      <c r="G477" s="5">
        <v>759843200109291</v>
      </c>
      <c r="H477" s="5">
        <v>699402897346273</v>
      </c>
      <c r="I477" s="5">
        <v>700319599822579</v>
      </c>
      <c r="J477" s="5">
        <v>661014751338703</v>
      </c>
      <c r="K477" s="5">
        <v>683555663147763</v>
      </c>
      <c r="L477" s="5">
        <v>664446982796646</v>
      </c>
      <c r="M477" s="5">
        <v>69609265097406</v>
      </c>
      <c r="N477" s="5">
        <v>685805222596313</v>
      </c>
      <c r="O477" s="5">
        <v>651155031579641</v>
      </c>
      <c r="P477" s="5">
        <v>761356715510831</v>
      </c>
      <c r="Q477" s="5">
        <v>758670873330639</v>
      </c>
      <c r="R477" s="5">
        <v>701066103766939</v>
      </c>
      <c r="S477" s="5">
        <v>704725537801341</v>
      </c>
      <c r="T477" s="5">
        <v>606694643696265</v>
      </c>
      <c r="U477" s="5">
        <v>581973002210628</v>
      </c>
      <c r="V477" s="5">
        <v>561259980317707</v>
      </c>
      <c r="W477" s="5">
        <v>510148544294189</v>
      </c>
      <c r="X477" s="5">
        <v>508301610005384</v>
      </c>
      <c r="Y477" s="5">
        <v>488724139823414</v>
      </c>
      <c r="Z477" s="5">
        <v>447351796552002</v>
      </c>
      <c r="AA477" s="5">
        <v>448876711791958</v>
      </c>
      <c r="AB477" s="5">
        <v>436623290576682</v>
      </c>
      <c r="AC477" s="5">
        <v>410056603138673</v>
      </c>
      <c r="AD477" s="5">
        <v>383982402973561</v>
      </c>
      <c r="AE477" s="5">
        <v>384322174083264</v>
      </c>
      <c r="AF477" s="5">
        <v>416297626721525</v>
      </c>
      <c r="AG477" s="5">
        <v>406700314810016</v>
      </c>
      <c r="AH477" s="5">
        <v>403727125509665</v>
      </c>
      <c r="AI477" s="5">
        <v>390614481012363</v>
      </c>
      <c r="AJ477" s="5">
        <v>387705995313574</v>
      </c>
      <c r="AK477" s="5">
        <v>371716292301109</v>
      </c>
      <c r="AL477" s="5">
        <v>36898063498161</v>
      </c>
      <c r="AM477" s="5">
        <v>36583549972211</v>
      </c>
      <c r="AN477" s="5">
        <v>361065007477098</v>
      </c>
      <c r="AO477" s="5">
        <v>357221120938212</v>
      </c>
    </row>
    <row r="478" spans="1:41" x14ac:dyDescent="0.45">
      <c r="A478" s="1" t="s">
        <v>472</v>
      </c>
      <c r="B478" s="2">
        <v>4216584</v>
      </c>
      <c r="C478" s="3" t="s">
        <v>1562</v>
      </c>
      <c r="D478" s="3" t="s">
        <v>1563</v>
      </c>
      <c r="E478" s="3" t="s">
        <v>1141</v>
      </c>
      <c r="F478" s="5">
        <v>608614653667279</v>
      </c>
      <c r="G478" s="5">
        <v>512881251974784</v>
      </c>
      <c r="H478" s="5">
        <v>481888030626903</v>
      </c>
      <c r="I478" s="5">
        <v>412102669824762</v>
      </c>
      <c r="J478" s="5">
        <v>246364991059842</v>
      </c>
      <c r="K478" s="5">
        <v>284845549615896</v>
      </c>
      <c r="L478" s="5">
        <v>241424939535246</v>
      </c>
      <c r="M478" s="5">
        <v>217386109324347</v>
      </c>
      <c r="N478" s="5">
        <v>189044035790484</v>
      </c>
      <c r="O478" s="5">
        <v>243694176600765</v>
      </c>
      <c r="P478" s="5">
        <v>270372800891714</v>
      </c>
      <c r="Q478" s="5">
        <v>246403850597594</v>
      </c>
      <c r="R478" s="5">
        <v>250457436072226</v>
      </c>
      <c r="S478" s="5">
        <v>243671515312556</v>
      </c>
      <c r="T478" s="5">
        <v>183592276721069</v>
      </c>
      <c r="U478" s="5">
        <v>181366434325477</v>
      </c>
      <c r="V478" s="5">
        <v>173794794241617</v>
      </c>
      <c r="W478" s="5">
        <v>195843748648548</v>
      </c>
      <c r="X478" s="5">
        <v>170143685579893</v>
      </c>
      <c r="Y478" s="5">
        <v>186177360305974</v>
      </c>
      <c r="Z478" s="5">
        <v>168644195405396</v>
      </c>
      <c r="AA478" s="5">
        <v>197181231362475</v>
      </c>
      <c r="AB478" s="5">
        <v>198386314873191</v>
      </c>
      <c r="AC478" s="5">
        <v>225212120044169</v>
      </c>
      <c r="AD478" s="5">
        <v>251062183861101</v>
      </c>
      <c r="AE478" s="5">
        <v>23365372709889</v>
      </c>
      <c r="AF478" s="5">
        <v>22931424285924</v>
      </c>
      <c r="AG478" s="5">
        <v>250088508829632</v>
      </c>
      <c r="AH478" s="5">
        <v>29529106996752</v>
      </c>
      <c r="AI478" s="5">
        <v>288915474932963</v>
      </c>
      <c r="AJ478" s="5">
        <v>279826893943344</v>
      </c>
      <c r="AK478" s="5">
        <v>25783819823219</v>
      </c>
      <c r="AL478" s="5">
        <v>300358702736079</v>
      </c>
      <c r="AM478" s="5">
        <v>338500661406118</v>
      </c>
      <c r="AN478" s="5">
        <v>357555583563473</v>
      </c>
      <c r="AO478" s="5">
        <v>331349148071756</v>
      </c>
    </row>
    <row r="479" spans="1:41" x14ac:dyDescent="0.45">
      <c r="A479" s="1" t="s">
        <v>473</v>
      </c>
      <c r="B479" s="2">
        <v>4063852</v>
      </c>
      <c r="C479" s="3" t="s">
        <v>1564</v>
      </c>
      <c r="D479" s="3" t="s">
        <v>1565</v>
      </c>
      <c r="E479" s="3" t="s">
        <v>1342</v>
      </c>
      <c r="F479" s="5">
        <v>753873054725464</v>
      </c>
      <c r="G479" s="5">
        <v>756951285317415</v>
      </c>
      <c r="H479" s="5">
        <v>697768109247601</v>
      </c>
      <c r="I479" s="5">
        <v>758180668346938</v>
      </c>
      <c r="J479" s="5">
        <v>779641058604855</v>
      </c>
      <c r="K479" s="5">
        <v>806996705362367</v>
      </c>
      <c r="L479" s="5">
        <v>784052625976745</v>
      </c>
      <c r="M479" s="5">
        <v>854581187044833</v>
      </c>
      <c r="N479" s="5">
        <v>827686825412279</v>
      </c>
      <c r="O479" s="5">
        <v>861303331357298</v>
      </c>
      <c r="P479" s="5">
        <v>899632194898827</v>
      </c>
      <c r="Q479" s="5">
        <v>85054233123761</v>
      </c>
      <c r="R479" s="5">
        <v>782297405775129</v>
      </c>
      <c r="S479" s="5">
        <v>868181423623815</v>
      </c>
      <c r="T479" s="5">
        <v>797906066148868</v>
      </c>
      <c r="U479" s="5">
        <v>746983982191903</v>
      </c>
      <c r="V479" s="5">
        <v>76934204988632</v>
      </c>
      <c r="W479" s="5">
        <v>751493476639937</v>
      </c>
      <c r="X479" s="5">
        <v>799022479458772</v>
      </c>
      <c r="Y479" s="5">
        <v>77977593909539</v>
      </c>
      <c r="Z479" s="5">
        <v>780268278141818</v>
      </c>
      <c r="AA479" s="5">
        <v>792490633581988</v>
      </c>
      <c r="AB479" s="5">
        <v>764027550593748</v>
      </c>
      <c r="AC479" s="5">
        <v>68912930557163</v>
      </c>
      <c r="AD479" s="5">
        <v>652624153493158</v>
      </c>
      <c r="AE479" s="5">
        <v>631474258738971</v>
      </c>
      <c r="AF479" s="5">
        <v>626470233222483</v>
      </c>
      <c r="AG479" s="5">
        <v>583388146729756</v>
      </c>
      <c r="AH479" s="5">
        <v>585518143783201</v>
      </c>
      <c r="AI479" s="5">
        <v>60201170310446</v>
      </c>
      <c r="AJ479" s="5">
        <v>646239401306876</v>
      </c>
      <c r="AK479" s="5">
        <v>618074732276989</v>
      </c>
      <c r="AL479" s="5">
        <v>61208789153303</v>
      </c>
      <c r="AM479" s="5">
        <v>610889771844163</v>
      </c>
      <c r="AN479" s="5">
        <v>57579625449815</v>
      </c>
      <c r="AO479" s="5">
        <v>584765305636984</v>
      </c>
    </row>
    <row r="480" spans="1:41" x14ac:dyDescent="0.45">
      <c r="A480" s="1" t="s">
        <v>474</v>
      </c>
      <c r="B480" s="2">
        <v>4337758</v>
      </c>
      <c r="C480" s="3" t="s">
        <v>1566</v>
      </c>
      <c r="D480" s="3" t="s">
        <v>1567</v>
      </c>
      <c r="E480" s="3" t="s">
        <v>524</v>
      </c>
      <c r="F480" s="5">
        <v>192595604865701</v>
      </c>
      <c r="G480" s="5">
        <v>207126961488339</v>
      </c>
      <c r="H480" s="5">
        <v>18041954280216</v>
      </c>
      <c r="I480" s="5">
        <v>152100856406602</v>
      </c>
      <c r="J480" s="5">
        <v>153577505428266</v>
      </c>
      <c r="K480" s="5">
        <v>150257183723172</v>
      </c>
      <c r="L480" s="5">
        <v>176865511395128</v>
      </c>
      <c r="M480" s="5">
        <v>183160175737919</v>
      </c>
      <c r="N480" s="5">
        <v>182348196153323</v>
      </c>
      <c r="O480" s="5">
        <v>202591881531471</v>
      </c>
      <c r="P480" s="5">
        <v>21546059434787</v>
      </c>
      <c r="Q480" s="5">
        <v>237346344494036</v>
      </c>
      <c r="R480" s="5">
        <v>212762396101793</v>
      </c>
      <c r="S480" s="5">
        <v>216507865345612</v>
      </c>
      <c r="T480" s="5">
        <v>176651780865654</v>
      </c>
      <c r="U480" s="5">
        <v>191547507199397</v>
      </c>
      <c r="V480" s="5">
        <v>185882990888124</v>
      </c>
      <c r="W480" s="5">
        <v>184450994218814</v>
      </c>
      <c r="X480" s="5">
        <v>160619353412522</v>
      </c>
      <c r="Y480" s="5">
        <v>168964267149563</v>
      </c>
      <c r="Z480" s="5">
        <v>171413638910985</v>
      </c>
      <c r="AA480" s="5">
        <v>188671744078399</v>
      </c>
      <c r="AB480" s="5">
        <v>184799364250575</v>
      </c>
      <c r="AC480" s="5">
        <v>173143482078229</v>
      </c>
      <c r="AD480" s="5">
        <v>176112291347362</v>
      </c>
      <c r="AE480" s="5">
        <v>152128573095429</v>
      </c>
      <c r="AF480" s="5">
        <v>133435866154807</v>
      </c>
      <c r="AG480" s="5">
        <v>153120072458826</v>
      </c>
      <c r="AH480" s="5">
        <v>153016046587872</v>
      </c>
      <c r="AI480" s="5">
        <v>147957582848987</v>
      </c>
      <c r="AJ480" s="5">
        <v>144130841411354</v>
      </c>
      <c r="AK480" s="5">
        <v>139153771809215</v>
      </c>
      <c r="AL480" s="5">
        <v>160627221003137</v>
      </c>
      <c r="AM480" s="5">
        <v>167979411968533</v>
      </c>
      <c r="AN480" s="5">
        <v>172621175430415</v>
      </c>
      <c r="AO480" s="5">
        <v>179721938127154</v>
      </c>
    </row>
    <row r="481" spans="1:41" x14ac:dyDescent="0.45">
      <c r="A481" s="1" t="s">
        <v>475</v>
      </c>
      <c r="B481" s="2">
        <v>4009725</v>
      </c>
      <c r="C481" s="3" t="s">
        <v>1568</v>
      </c>
      <c r="D481" s="3" t="s">
        <v>1569</v>
      </c>
      <c r="E481" s="3" t="s">
        <v>562</v>
      </c>
      <c r="F481" s="5">
        <v>292180214476191</v>
      </c>
      <c r="G481" s="5">
        <v>314394188109823</v>
      </c>
      <c r="H481" s="5">
        <v>315112249147573</v>
      </c>
      <c r="I481" s="5">
        <v>314350998140595</v>
      </c>
      <c r="J481" s="5">
        <v>293076730214166</v>
      </c>
      <c r="K481" s="5">
        <v>306924507216817</v>
      </c>
      <c r="L481" s="5">
        <v>283155347497763</v>
      </c>
      <c r="M481" s="5">
        <v>302177529600989</v>
      </c>
      <c r="N481" s="5">
        <v>308019767838395</v>
      </c>
      <c r="O481" s="5">
        <v>321732205096598</v>
      </c>
      <c r="P481" s="5">
        <v>325822261141584</v>
      </c>
      <c r="Q481" s="5">
        <v>302112314364125</v>
      </c>
      <c r="R481" s="5">
        <v>287354980531673</v>
      </c>
      <c r="S481" s="5">
        <v>302989071729947</v>
      </c>
      <c r="T481" s="5">
        <v>27833854348496</v>
      </c>
      <c r="U481" s="5">
        <v>272571033522822</v>
      </c>
      <c r="V481" s="5">
        <v>265849399608946</v>
      </c>
      <c r="W481" s="5">
        <v>251344569630554</v>
      </c>
      <c r="X481" s="5">
        <v>231266515162795</v>
      </c>
      <c r="Y481" s="5">
        <v>235975572055129</v>
      </c>
      <c r="Z481" s="5">
        <v>243881485799213</v>
      </c>
      <c r="AA481" s="5">
        <v>23991098990071</v>
      </c>
      <c r="AB481" s="5">
        <v>229132680431995</v>
      </c>
      <c r="AC481" s="5">
        <v>234798399433053</v>
      </c>
      <c r="AD481" s="5">
        <v>240198976118721</v>
      </c>
      <c r="AE481" s="5">
        <v>241847370736475</v>
      </c>
      <c r="AF481" s="5">
        <v>242996993965122</v>
      </c>
      <c r="AG481" s="5">
        <v>240057159907928</v>
      </c>
      <c r="AH481" s="5">
        <v>244646732333978</v>
      </c>
      <c r="AI481" s="5">
        <v>257202048675659</v>
      </c>
      <c r="AJ481" s="5">
        <v>25495891802143</v>
      </c>
      <c r="AK481" s="5">
        <v>258531734551982</v>
      </c>
      <c r="AL481" s="5">
        <v>274868505286052</v>
      </c>
      <c r="AM481" s="5">
        <v>275199960736882</v>
      </c>
      <c r="AN481" s="5">
        <v>263443728383893</v>
      </c>
      <c r="AO481" s="5">
        <v>272966296272929</v>
      </c>
    </row>
    <row r="482" spans="1:41" x14ac:dyDescent="0.45">
      <c r="A482" s="1" t="s">
        <v>476</v>
      </c>
      <c r="B482" s="2">
        <v>100382</v>
      </c>
      <c r="C482" s="3" t="s">
        <v>1570</v>
      </c>
      <c r="D482" s="3" t="s">
        <v>1571</v>
      </c>
      <c r="E482" s="3" t="s">
        <v>653</v>
      </c>
      <c r="F482" s="5">
        <v>249175633972074</v>
      </c>
      <c r="G482" s="5">
        <v>232408527799436</v>
      </c>
      <c r="H482" s="5">
        <v>236696360329581</v>
      </c>
      <c r="I482" s="5">
        <v>228853154434541</v>
      </c>
      <c r="J482" s="5">
        <v>2250599468852</v>
      </c>
      <c r="K482" s="5">
        <v>226993273225275</v>
      </c>
      <c r="L482" s="5">
        <v>222007420583852</v>
      </c>
      <c r="M482" s="5">
        <v>21446238380676</v>
      </c>
      <c r="N482" s="5">
        <v>203673467325291</v>
      </c>
      <c r="O482" s="5">
        <v>216872201793653</v>
      </c>
      <c r="P482" s="5">
        <v>247512826028563</v>
      </c>
      <c r="Q482" s="5">
        <v>249346277201015</v>
      </c>
      <c r="R482" s="5">
        <v>225888681133574</v>
      </c>
      <c r="S482" s="5">
        <v>240369002253537</v>
      </c>
      <c r="T482" s="5">
        <v>19907464142928</v>
      </c>
      <c r="U482" s="5">
        <v>172397334540818</v>
      </c>
      <c r="V482" s="5">
        <v>179932577285021</v>
      </c>
      <c r="W482" s="5">
        <v>186571191469758</v>
      </c>
      <c r="X482" s="5">
        <v>193241882761875</v>
      </c>
      <c r="Y482" s="5">
        <v>192626704985379</v>
      </c>
      <c r="Z482" s="5">
        <v>19425934584365</v>
      </c>
      <c r="AA482" s="5">
        <v>189975845021806</v>
      </c>
      <c r="AB482" s="5">
        <v>183974714295352</v>
      </c>
      <c r="AC482" s="5">
        <v>166450654986999</v>
      </c>
      <c r="AD482" s="5">
        <v>16171449779237</v>
      </c>
      <c r="AE482" s="5">
        <v>148478031733453</v>
      </c>
      <c r="AF482" s="5">
        <v>136703289764501</v>
      </c>
      <c r="AG482" s="5">
        <v>14124560377915</v>
      </c>
      <c r="AH482" s="5">
        <v>139287613193921</v>
      </c>
      <c r="AI482" s="5">
        <v>15362232704936</v>
      </c>
      <c r="AJ482" s="5">
        <v>146692728208483</v>
      </c>
      <c r="AK482" s="5">
        <v>140159517962811</v>
      </c>
      <c r="AL482" s="5">
        <v>135541811896393</v>
      </c>
      <c r="AM482" s="5">
        <v>129949014655802</v>
      </c>
      <c r="AN482" s="5">
        <v>167147712124744</v>
      </c>
      <c r="AO482" s="5">
        <v>165440964782286</v>
      </c>
    </row>
    <row r="483" spans="1:41" x14ac:dyDescent="0.45">
      <c r="A483" s="1" t="s">
        <v>477</v>
      </c>
      <c r="B483" s="2">
        <v>102952</v>
      </c>
      <c r="C483" s="3" t="s">
        <v>1572</v>
      </c>
      <c r="D483" s="3" t="s">
        <v>1573</v>
      </c>
      <c r="E483" s="3" t="s">
        <v>539</v>
      </c>
      <c r="F483" s="5">
        <v>10849750774375</v>
      </c>
      <c r="G483" s="5">
        <v>123243190937848</v>
      </c>
      <c r="H483" s="5">
        <v>107727202660392</v>
      </c>
      <c r="I483" s="5">
        <v>101546988014306</v>
      </c>
      <c r="J483" s="5">
        <v>962190202364428</v>
      </c>
      <c r="K483" s="5">
        <v>965143884866007</v>
      </c>
      <c r="L483" s="5">
        <v>856029772444746</v>
      </c>
      <c r="M483" s="5">
        <v>889158102557683</v>
      </c>
      <c r="N483" s="5">
        <v>87951795388901</v>
      </c>
      <c r="O483" s="5">
        <v>919130774264353</v>
      </c>
      <c r="P483" s="5">
        <v>946176044943726</v>
      </c>
      <c r="Q483" s="5">
        <v>817637472538864</v>
      </c>
      <c r="R483" s="5">
        <v>758014757677862</v>
      </c>
      <c r="S483" s="5">
        <v>815517812494991</v>
      </c>
      <c r="T483" s="5">
        <v>77353282196123</v>
      </c>
      <c r="U483" s="5">
        <v>699250794159976</v>
      </c>
      <c r="V483" s="5">
        <v>664621305255404</v>
      </c>
      <c r="W483" s="5">
        <v>62617320449145</v>
      </c>
      <c r="X483" s="5">
        <v>581751682093154</v>
      </c>
      <c r="Y483" s="5">
        <v>571572649130511</v>
      </c>
      <c r="Z483" s="5">
        <v>532778345499496</v>
      </c>
      <c r="AA483" s="5">
        <v>492117931681544</v>
      </c>
      <c r="AB483" s="5">
        <v>485009595538237</v>
      </c>
      <c r="AC483" s="5">
        <v>441315616083113</v>
      </c>
      <c r="AD483" s="5">
        <v>451502392365237</v>
      </c>
      <c r="AE483" s="5">
        <v>452160970807006</v>
      </c>
      <c r="AF483" s="5">
        <v>424149159727457</v>
      </c>
      <c r="AG483" s="5">
        <v>401486014787092</v>
      </c>
      <c r="AH483" s="5">
        <v>396388692378381</v>
      </c>
      <c r="AI483" s="5">
        <v>3787965060269</v>
      </c>
      <c r="AJ483" s="5">
        <v>368276431617736</v>
      </c>
      <c r="AK483" s="5">
        <v>347954432855096</v>
      </c>
      <c r="AL483" s="5">
        <v>356246367562689</v>
      </c>
      <c r="AM483" s="5">
        <v>323743959387092</v>
      </c>
      <c r="AN483" s="5">
        <v>342572736515496</v>
      </c>
      <c r="AO483" s="5">
        <v>326461891697283</v>
      </c>
    </row>
    <row r="484" spans="1:41" x14ac:dyDescent="0.45">
      <c r="A484" s="1" t="s">
        <v>478</v>
      </c>
      <c r="B484" s="2">
        <v>4102413</v>
      </c>
      <c r="C484" s="3" t="s">
        <v>1574</v>
      </c>
      <c r="D484" s="3" t="s">
        <v>1575</v>
      </c>
      <c r="E484" s="3" t="s">
        <v>542</v>
      </c>
      <c r="F484" s="5">
        <v>168589844886701</v>
      </c>
      <c r="G484" s="5">
        <v>172016985865648</v>
      </c>
      <c r="H484" s="5">
        <v>175940988192023</v>
      </c>
      <c r="I484" s="5">
        <v>160773172138672</v>
      </c>
      <c r="J484" s="5">
        <v>151808986405904</v>
      </c>
      <c r="K484" s="5">
        <v>150402146197989</v>
      </c>
      <c r="L484" s="5">
        <v>133853804451848</v>
      </c>
      <c r="M484" s="5">
        <v>133504567729712</v>
      </c>
      <c r="N484" s="5">
        <v>133798344141562</v>
      </c>
      <c r="O484" s="5">
        <v>149742663493823</v>
      </c>
      <c r="P484" s="5">
        <v>161455736754341</v>
      </c>
      <c r="Q484" s="5">
        <v>23798364460844</v>
      </c>
      <c r="R484" s="5">
        <v>229137217742692</v>
      </c>
      <c r="S484" s="5">
        <v>223552947678349</v>
      </c>
      <c r="T484" s="5">
        <v>20539233827292</v>
      </c>
      <c r="U484" s="5">
        <v>195226442119054</v>
      </c>
      <c r="V484" s="5">
        <v>205693778325626</v>
      </c>
      <c r="W484" s="5">
        <v>205220950046204</v>
      </c>
      <c r="X484" s="5">
        <v>223934205250319</v>
      </c>
      <c r="Y484" s="5">
        <v>222603706048493</v>
      </c>
      <c r="Z484" s="5">
        <v>243525815940295</v>
      </c>
      <c r="AA484" s="5">
        <v>268186630690227</v>
      </c>
      <c r="AB484" s="5">
        <v>243000972895395</v>
      </c>
      <c r="AC484" s="5">
        <v>254392578953122</v>
      </c>
      <c r="AD484" s="5">
        <v>235703685805819</v>
      </c>
      <c r="AE484" s="5">
        <v>237959542056515</v>
      </c>
      <c r="AF484" s="5">
        <v>222902378588599</v>
      </c>
      <c r="AG484" s="5">
        <v>261836820669505</v>
      </c>
      <c r="AH484" s="5">
        <v>277099052441016</v>
      </c>
      <c r="AI484" s="5">
        <v>246666531334692</v>
      </c>
      <c r="AJ484" s="5">
        <v>260103339698717</v>
      </c>
      <c r="AK484" s="5">
        <v>233109336778821</v>
      </c>
      <c r="AL484" s="5">
        <v>243010502251134</v>
      </c>
      <c r="AM484" s="5">
        <v>236411600609873</v>
      </c>
      <c r="AN484" s="5">
        <v>22140009392912</v>
      </c>
      <c r="AO484" s="5">
        <v>18103872652367</v>
      </c>
    </row>
    <row r="485" spans="1:41" x14ac:dyDescent="0.45">
      <c r="A485" s="1" t="s">
        <v>479</v>
      </c>
      <c r="B485" s="2">
        <v>4071659</v>
      </c>
      <c r="C485" s="3" t="s">
        <v>1576</v>
      </c>
      <c r="D485" s="3" t="s">
        <v>1577</v>
      </c>
      <c r="E485" s="3" t="s">
        <v>600</v>
      </c>
      <c r="F485" s="5">
        <v>501642690487239</v>
      </c>
      <c r="G485" s="5">
        <v>481584940094856</v>
      </c>
      <c r="H485" s="5">
        <v>445262510961417</v>
      </c>
      <c r="I485" s="5">
        <v>354995482624554</v>
      </c>
      <c r="J485" s="5">
        <v>238275365080679</v>
      </c>
      <c r="K485" s="5">
        <v>239996211332853</v>
      </c>
      <c r="L485" s="5">
        <v>19009504679762</v>
      </c>
      <c r="M485" s="5">
        <v>158498982334905</v>
      </c>
      <c r="N485" s="5">
        <v>13446247359592</v>
      </c>
      <c r="O485" s="5">
        <v>130106438350921</v>
      </c>
      <c r="P485" s="5">
        <v>163569835097429</v>
      </c>
      <c r="Q485" s="5">
        <v>217951928263178</v>
      </c>
      <c r="R485" s="5">
        <v>199116373611035</v>
      </c>
      <c r="S485" s="5">
        <v>239160838132807</v>
      </c>
      <c r="T485" s="5">
        <v>20794539759261</v>
      </c>
      <c r="U485" s="5">
        <v>210291330935126</v>
      </c>
      <c r="V485" s="5">
        <v>203666510523218</v>
      </c>
      <c r="W485" s="5">
        <v>202295745862056</v>
      </c>
      <c r="X485" s="5">
        <v>230905644622662</v>
      </c>
      <c r="Y485" s="5">
        <v>226689453621552</v>
      </c>
      <c r="Z485" s="5">
        <v>216290645376483</v>
      </c>
      <c r="AA485" s="5">
        <v>20605988644142</v>
      </c>
      <c r="AB485" s="5">
        <v>179274009954173</v>
      </c>
      <c r="AC485" s="5">
        <v>171094444138163</v>
      </c>
      <c r="AD485" s="5">
        <v>153623619369558</v>
      </c>
      <c r="AE485" s="5">
        <v>14362493292129</v>
      </c>
      <c r="AF485" s="5">
        <v>123181662232085</v>
      </c>
      <c r="AG485" s="5">
        <v>138773288793663</v>
      </c>
      <c r="AH485" s="5">
        <v>1335546342189</v>
      </c>
      <c r="AI485" s="5">
        <v>123556458085308</v>
      </c>
      <c r="AJ485" s="5">
        <v>1111586777966</v>
      </c>
      <c r="AK485" s="5">
        <v>116266411727584</v>
      </c>
      <c r="AL485" s="5">
        <v>996497164822723</v>
      </c>
      <c r="AM485" s="5">
        <v>110715652634409</v>
      </c>
      <c r="AN485" s="5">
        <v>115750469267597</v>
      </c>
      <c r="AO485" s="5">
        <v>128536445393557</v>
      </c>
    </row>
    <row r="486" spans="1:41" x14ac:dyDescent="0.45">
      <c r="A486" s="1" t="s">
        <v>480</v>
      </c>
      <c r="B486" s="2">
        <v>4994265</v>
      </c>
      <c r="C486" s="3" t="s">
        <v>1578</v>
      </c>
      <c r="D486" s="3" t="s">
        <v>1579</v>
      </c>
      <c r="E486" s="3" t="s">
        <v>719</v>
      </c>
      <c r="F486" s="5">
        <v>310792240282429</v>
      </c>
      <c r="G486" s="5">
        <v>307472516713947</v>
      </c>
      <c r="H486" s="5">
        <v>303020723207633</v>
      </c>
      <c r="I486" s="5">
        <v>292091591460158</v>
      </c>
      <c r="J486" s="5">
        <v>282796130418476</v>
      </c>
      <c r="K486" s="5">
        <v>287013476913795</v>
      </c>
      <c r="L486" s="5">
        <v>305052405534533</v>
      </c>
      <c r="M486" s="5">
        <v>305126145581393</v>
      </c>
      <c r="N486" s="5">
        <v>278644722491819</v>
      </c>
      <c r="O486" s="5">
        <v>286657597613579</v>
      </c>
      <c r="P486" s="5">
        <v>304365112805839</v>
      </c>
      <c r="Q486" s="5">
        <v>343847715075032</v>
      </c>
      <c r="R486" s="5">
        <v>314772841290971</v>
      </c>
      <c r="S486" s="5">
        <v>326844056565289</v>
      </c>
      <c r="T486" s="5">
        <v>297591784094779</v>
      </c>
      <c r="U486" s="5">
        <v>285504840819018</v>
      </c>
      <c r="V486" s="5">
        <v>26857032449882</v>
      </c>
      <c r="W486" s="5">
        <v>260852387212032</v>
      </c>
      <c r="X486" s="5">
        <v>260182014895572</v>
      </c>
      <c r="Y486" s="5">
        <v>2752433804573</v>
      </c>
      <c r="Z486" s="5">
        <v>265709832549231</v>
      </c>
      <c r="AA486" s="5">
        <v>238759658391982</v>
      </c>
      <c r="AB486" s="5">
        <v>231389658807569</v>
      </c>
      <c r="AC486" s="5">
        <v>21726285376862</v>
      </c>
      <c r="AD486" s="5">
        <v>205686235613988</v>
      </c>
      <c r="AE486" s="5">
        <v>191474317001942</v>
      </c>
      <c r="AF486" s="5">
        <v>179782508465388</v>
      </c>
      <c r="AG486" s="5">
        <v>179853834253813</v>
      </c>
      <c r="AH486" s="5">
        <v>18583597057509</v>
      </c>
      <c r="AI486" s="5">
        <v>192515769390803</v>
      </c>
      <c r="AJ486" s="5">
        <v>180692867991227</v>
      </c>
      <c r="AK486" s="5">
        <v>156333148449818</v>
      </c>
      <c r="AL486" s="5">
        <v>159182386747128</v>
      </c>
      <c r="AM486" s="5">
        <v>167755817243352</v>
      </c>
      <c r="AN486" s="5">
        <v>17724818442378</v>
      </c>
      <c r="AO486" s="5">
        <v>173825425169661</v>
      </c>
    </row>
    <row r="487" spans="1:41" x14ac:dyDescent="0.45">
      <c r="A487" s="1" t="s">
        <v>481</v>
      </c>
      <c r="B487" s="2">
        <v>4006248</v>
      </c>
      <c r="C487" s="3" t="s">
        <v>1580</v>
      </c>
      <c r="D487" s="3" t="s">
        <v>1581</v>
      </c>
      <c r="E487" s="3" t="s">
        <v>1582</v>
      </c>
      <c r="F487" s="5">
        <v>14544648761553</v>
      </c>
      <c r="G487" s="5">
        <v>13807302391344</v>
      </c>
      <c r="H487" s="5">
        <v>14374689201</v>
      </c>
      <c r="I487" s="5">
        <v>15244457429187</v>
      </c>
      <c r="J487" s="5">
        <v>15957127033393</v>
      </c>
      <c r="K487" s="5">
        <v>1580016015081</v>
      </c>
      <c r="L487" s="5">
        <v>15865372259555</v>
      </c>
      <c r="M487" s="5">
        <v>16561233988859</v>
      </c>
      <c r="N487" s="5">
        <v>16563113171202</v>
      </c>
      <c r="O487" s="5">
        <v>196631425851062</v>
      </c>
      <c r="P487" s="5">
        <v>2099032577558</v>
      </c>
      <c r="Q487" s="5">
        <v>2138303222919</v>
      </c>
      <c r="R487" s="5">
        <v>1975582633947</v>
      </c>
      <c r="S487" s="5">
        <v>22215991576296</v>
      </c>
      <c r="T487" s="5">
        <v>2085171180552</v>
      </c>
      <c r="U487" s="5">
        <v>2208046589794</v>
      </c>
      <c r="V487" s="5">
        <v>20049171835835</v>
      </c>
      <c r="W487" s="5">
        <v>213439605456</v>
      </c>
      <c r="X487" s="5">
        <v>19316316561579</v>
      </c>
      <c r="Y487" s="5">
        <v>20186964068271</v>
      </c>
      <c r="Z487" s="5">
        <v>20569202990728</v>
      </c>
      <c r="AA487" s="5">
        <v>242564535546082</v>
      </c>
      <c r="AB487" s="5">
        <v>23202370174698</v>
      </c>
      <c r="AC487" s="5">
        <v>22041539155077</v>
      </c>
      <c r="AD487" s="5">
        <v>22963217326419</v>
      </c>
      <c r="AE487" s="5">
        <v>20983743694815</v>
      </c>
      <c r="AF487" s="5">
        <v>19823239205085</v>
      </c>
      <c r="AG487" s="5">
        <v>21167992380864</v>
      </c>
      <c r="AH487" s="5">
        <v>22065301234</v>
      </c>
      <c r="AI487" s="5">
        <v>22584529840912</v>
      </c>
      <c r="AJ487" s="5">
        <v>2247794288736</v>
      </c>
      <c r="AK487" s="5">
        <v>19692668232688</v>
      </c>
      <c r="AL487" s="5">
        <v>19846284161496</v>
      </c>
      <c r="AM487" s="5">
        <v>20324305342951</v>
      </c>
      <c r="AN487" s="5">
        <v>215584648125</v>
      </c>
      <c r="AO487" s="5">
        <v>23229350694594</v>
      </c>
    </row>
    <row r="488" spans="1:41" x14ac:dyDescent="0.45">
      <c r="A488" s="1" t="s">
        <v>482</v>
      </c>
      <c r="B488" s="2">
        <v>4252151</v>
      </c>
      <c r="C488" s="3" t="s">
        <v>1583</v>
      </c>
      <c r="D488" s="3" t="s">
        <v>1584</v>
      </c>
      <c r="E488" s="3" t="s">
        <v>1585</v>
      </c>
      <c r="F488" s="5">
        <v>181584153428682</v>
      </c>
      <c r="G488" s="5">
        <v>185327360692037</v>
      </c>
      <c r="H488" s="5">
        <v>205207917842957</v>
      </c>
      <c r="I488" s="5">
        <v>202880815144677</v>
      </c>
      <c r="J488" s="5">
        <v>195940709937391</v>
      </c>
      <c r="K488" s="5">
        <v>201125334664457</v>
      </c>
      <c r="L488" s="5">
        <v>171102055315729</v>
      </c>
      <c r="M488" s="5">
        <v>175344914019284</v>
      </c>
      <c r="N488" s="5">
        <v>167382515613325</v>
      </c>
      <c r="O488" s="5">
        <v>180662426927694</v>
      </c>
      <c r="P488" s="5">
        <v>230210234981822</v>
      </c>
      <c r="Q488" s="5">
        <v>250334907872326</v>
      </c>
      <c r="R488" s="5">
        <v>220183158668744</v>
      </c>
      <c r="S488" s="5">
        <v>200702831502883</v>
      </c>
      <c r="T488" s="5">
        <v>156071701630057</v>
      </c>
      <c r="U488" s="5">
        <v>17548695307443</v>
      </c>
      <c r="V488" s="5">
        <v>153436292013985</v>
      </c>
      <c r="W488" s="5">
        <v>183823780665571</v>
      </c>
      <c r="X488" s="5">
        <v>169474898811494</v>
      </c>
      <c r="Y488" s="5">
        <v>173875012832834</v>
      </c>
      <c r="Z488" s="5">
        <v>172322039931074</v>
      </c>
      <c r="AA488" s="5">
        <v>188470359965456</v>
      </c>
      <c r="AB488" s="5">
        <v>139763724639208</v>
      </c>
      <c r="AC488" s="5">
        <v>114336041915572</v>
      </c>
      <c r="AD488" s="5">
        <v>11709605420344</v>
      </c>
      <c r="AE488" s="5">
        <v>110299980902101</v>
      </c>
      <c r="AF488" s="5">
        <v>9121550443092</v>
      </c>
      <c r="AG488" s="5">
        <v>9417884717304</v>
      </c>
      <c r="AH488" s="5">
        <v>8350806628</v>
      </c>
      <c r="AI488" s="5">
        <v>807929848050832</v>
      </c>
      <c r="AJ488" s="5">
        <v>73616972417288</v>
      </c>
      <c r="AK488" s="5">
        <v>684009554750621</v>
      </c>
      <c r="AL488" s="5">
        <v>720149852238367</v>
      </c>
      <c r="AM488" s="5">
        <v>74159642832235</v>
      </c>
      <c r="AN488" s="5">
        <v>783329906702304</v>
      </c>
      <c r="AO488" s="5">
        <v>827028885560249</v>
      </c>
    </row>
    <row r="489" spans="1:41" x14ac:dyDescent="0.45">
      <c r="A489" s="1" t="s">
        <v>483</v>
      </c>
      <c r="B489" s="2">
        <v>4248534</v>
      </c>
      <c r="C489" s="3" t="s">
        <v>1586</v>
      </c>
      <c r="D489" s="3" t="s">
        <v>1587</v>
      </c>
      <c r="E489" s="3" t="s">
        <v>592</v>
      </c>
      <c r="F489" s="5">
        <v>267970321872241</v>
      </c>
      <c r="G489" s="5">
        <v>265061268362352</v>
      </c>
      <c r="H489" s="5">
        <v>259916982631701</v>
      </c>
      <c r="I489" s="5">
        <v>287207657603367</v>
      </c>
      <c r="J489" s="5">
        <v>272522525511531</v>
      </c>
      <c r="K489" s="5">
        <v>270154214988752</v>
      </c>
      <c r="L489" s="5">
        <v>258765834166872</v>
      </c>
      <c r="M489" s="5">
        <v>276603640063674</v>
      </c>
      <c r="N489" s="5">
        <v>268988346173617</v>
      </c>
      <c r="O489" s="5">
        <v>310735344723701</v>
      </c>
      <c r="P489" s="5">
        <v>32543427308216</v>
      </c>
      <c r="Q489" s="5">
        <v>319374773118701</v>
      </c>
      <c r="R489" s="5">
        <v>304753493317195</v>
      </c>
      <c r="S489" s="5">
        <v>307405679604352</v>
      </c>
      <c r="T489" s="5">
        <v>280336101833693</v>
      </c>
      <c r="U489" s="5">
        <v>268184389840622</v>
      </c>
      <c r="V489" s="5">
        <v>268205770407407</v>
      </c>
      <c r="W489" s="5">
        <v>264884962060488</v>
      </c>
      <c r="X489" s="5">
        <v>250125663135873</v>
      </c>
      <c r="Y489" s="5">
        <v>240666430946164</v>
      </c>
      <c r="Z489" s="5">
        <v>240117647721613</v>
      </c>
      <c r="AA489" s="5">
        <v>2609126527194</v>
      </c>
      <c r="AB489" s="5">
        <v>25844952229354</v>
      </c>
      <c r="AC489" s="5">
        <v>23441631349587</v>
      </c>
      <c r="AD489" s="5">
        <v>225328292793515</v>
      </c>
      <c r="AE489" s="5">
        <v>233195527660153</v>
      </c>
      <c r="AF489" s="5">
        <v>230549391959432</v>
      </c>
      <c r="AG489" s="5">
        <v>206947034053924</v>
      </c>
      <c r="AH489" s="5">
        <v>199826741640226</v>
      </c>
      <c r="AI489" s="5">
        <v>201009271813601</v>
      </c>
      <c r="AJ489" s="5">
        <v>22955211829926</v>
      </c>
      <c r="AK489" s="5">
        <v>218515972271914</v>
      </c>
      <c r="AL489" s="5">
        <v>223310737114873</v>
      </c>
      <c r="AM489" s="5">
        <v>227950965599245</v>
      </c>
      <c r="AN489" s="5">
        <v>235288375353612</v>
      </c>
      <c r="AO489" s="5">
        <v>253311462560482</v>
      </c>
    </row>
    <row r="490" spans="1:41" x14ac:dyDescent="0.45">
      <c r="A490" s="1" t="s">
        <v>484</v>
      </c>
      <c r="B490" s="2">
        <v>4334777</v>
      </c>
      <c r="C490" s="3" t="s">
        <v>1588</v>
      </c>
      <c r="D490" s="3" t="s">
        <v>1589</v>
      </c>
      <c r="E490" s="3" t="s">
        <v>515</v>
      </c>
      <c r="F490" s="5">
        <v>48110097138</v>
      </c>
      <c r="G490" s="5">
        <v>48905030944</v>
      </c>
      <c r="H490" s="5">
        <v>5553884088</v>
      </c>
      <c r="I490" s="5">
        <v>54781505793</v>
      </c>
      <c r="J490" s="5">
        <v>52686580806</v>
      </c>
      <c r="K490" s="5">
        <v>535092127239323</v>
      </c>
      <c r="L490" s="5">
        <v>545328386148</v>
      </c>
      <c r="M490" s="5">
        <v>582545055156034</v>
      </c>
      <c r="N490" s="5">
        <v>57760922319009</v>
      </c>
      <c r="O490" s="5">
        <v>57548534104512</v>
      </c>
      <c r="P490" s="5">
        <v>67323555684</v>
      </c>
      <c r="Q490" s="5">
        <v>67066028316</v>
      </c>
      <c r="R490" s="5">
        <v>66295493082</v>
      </c>
      <c r="S490" s="5">
        <v>625295974843493</v>
      </c>
      <c r="T490" s="5">
        <v>568385901013149</v>
      </c>
      <c r="U490" s="5">
        <v>578314388481972</v>
      </c>
      <c r="V490" s="5">
        <v>627960238107313</v>
      </c>
      <c r="W490" s="5">
        <v>556737128467027</v>
      </c>
      <c r="X490" s="5">
        <v>553526224252863</v>
      </c>
      <c r="Y490" s="5">
        <v>517259583618357</v>
      </c>
      <c r="Z490" s="5">
        <v>607175924464062</v>
      </c>
      <c r="AA490" s="5">
        <v>666631548</v>
      </c>
      <c r="AB490" s="5">
        <v>71691161058</v>
      </c>
      <c r="AC490" s="5">
        <v>70557434597</v>
      </c>
      <c r="AD490" s="5">
        <v>65684639766</v>
      </c>
      <c r="AE490" s="5">
        <v>65282693184</v>
      </c>
      <c r="AF490" s="5">
        <v>5250048093</v>
      </c>
      <c r="AG490" s="5">
        <v>5318345336</v>
      </c>
      <c r="AH490" s="5">
        <v>59062398</v>
      </c>
      <c r="AI490" s="5">
        <v>56032322538587</v>
      </c>
      <c r="AJ490" s="5">
        <v>538822629794198</v>
      </c>
      <c r="AK490" s="5">
        <v>517976956249693</v>
      </c>
      <c r="AL490" s="5">
        <v>436859611975987</v>
      </c>
      <c r="AM490" s="5">
        <v>492387295028429</v>
      </c>
      <c r="AN490" s="5">
        <v>452533391557632</v>
      </c>
      <c r="AO490" s="5">
        <v>429325676849837</v>
      </c>
    </row>
    <row r="491" spans="1:41" x14ac:dyDescent="0.45">
      <c r="A491" s="1" t="s">
        <v>485</v>
      </c>
      <c r="B491" s="2">
        <v>4107971</v>
      </c>
      <c r="C491" s="3" t="s">
        <v>1590</v>
      </c>
      <c r="D491" s="3" t="s">
        <v>1591</v>
      </c>
      <c r="E491" s="3" t="s">
        <v>1130</v>
      </c>
      <c r="F491" s="5">
        <v>10551401517666</v>
      </c>
      <c r="G491" s="5">
        <v>114253466571651</v>
      </c>
      <c r="H491" s="5">
        <v>106215476958348</v>
      </c>
      <c r="I491" s="5">
        <v>112557859303288</v>
      </c>
      <c r="J491" s="5">
        <v>11156334487077</v>
      </c>
      <c r="K491" s="5">
        <v>986836913553858</v>
      </c>
      <c r="L491" s="5">
        <v>825797843847665</v>
      </c>
      <c r="M491" s="5">
        <v>826138444022766</v>
      </c>
      <c r="N491" s="5">
        <v>751507915563475</v>
      </c>
      <c r="O491" s="5">
        <v>82018719907776</v>
      </c>
      <c r="P491" s="5">
        <v>904659984669025</v>
      </c>
      <c r="Q491" s="5">
        <v>909427018557789</v>
      </c>
      <c r="R491" s="5">
        <v>905765285081842</v>
      </c>
      <c r="S491" s="5">
        <v>97358638660243</v>
      </c>
      <c r="T491" s="5">
        <v>972902154041298</v>
      </c>
      <c r="U491" s="5">
        <v>945746173916575</v>
      </c>
      <c r="V491" s="5">
        <v>764676382618855</v>
      </c>
      <c r="W491" s="5">
        <v>850148290295304</v>
      </c>
      <c r="X491" s="5">
        <v>927965412921105</v>
      </c>
      <c r="Y491" s="5">
        <v>971941635110014</v>
      </c>
      <c r="Z491" s="5">
        <v>960536894576532</v>
      </c>
      <c r="AA491" s="5">
        <v>106065128075627</v>
      </c>
      <c r="AB491" s="5">
        <v>108123686509146</v>
      </c>
      <c r="AC491" s="5">
        <v>975740497087738</v>
      </c>
      <c r="AD491" s="5">
        <v>924071104322627</v>
      </c>
      <c r="AE491" s="5">
        <v>867764888393836</v>
      </c>
      <c r="AF491" s="5">
        <v>939659683698351</v>
      </c>
      <c r="AG491" s="5">
        <v>987445770153538</v>
      </c>
      <c r="AH491" s="5">
        <v>105715241655667</v>
      </c>
      <c r="AI491" s="5">
        <v>111703797104065</v>
      </c>
      <c r="AJ491" s="5">
        <v>109275518026502</v>
      </c>
      <c r="AK491" s="5">
        <v>104611932924229</v>
      </c>
      <c r="AL491" s="5">
        <v>117716346960575</v>
      </c>
      <c r="AM491" s="5">
        <v>117094344567842</v>
      </c>
      <c r="AN491" s="5">
        <v>115201704110901</v>
      </c>
      <c r="AO491" s="5">
        <v>107265010407861</v>
      </c>
    </row>
    <row r="492" spans="1:41" x14ac:dyDescent="0.45">
      <c r="A492" s="1" t="s">
        <v>486</v>
      </c>
      <c r="B492" s="2">
        <v>4025308</v>
      </c>
      <c r="C492" s="3" t="s">
        <v>1592</v>
      </c>
      <c r="D492" s="3" t="s">
        <v>1593</v>
      </c>
      <c r="E492" s="3" t="s">
        <v>547</v>
      </c>
      <c r="F492" s="5">
        <v>372117334056904</v>
      </c>
      <c r="G492" s="5">
        <v>418879156483123</v>
      </c>
      <c r="H492" s="5">
        <v>416292506856135</v>
      </c>
      <c r="I492" s="5">
        <v>406534495974951</v>
      </c>
      <c r="J492" s="5">
        <v>366011251807453</v>
      </c>
      <c r="K492" s="5">
        <v>379702986632689</v>
      </c>
      <c r="L492" s="5">
        <v>334447041801229</v>
      </c>
      <c r="M492" s="5">
        <v>356317688894067</v>
      </c>
      <c r="N492" s="5">
        <v>359408260638827</v>
      </c>
      <c r="O492" s="5">
        <v>376302758346822</v>
      </c>
      <c r="P492" s="5">
        <v>398138070420651</v>
      </c>
      <c r="Q492" s="5">
        <v>371265204484944</v>
      </c>
      <c r="R492" s="5">
        <v>374506500529762</v>
      </c>
      <c r="S492" s="5">
        <v>394919646081022</v>
      </c>
      <c r="T492" s="5">
        <v>353342487957574</v>
      </c>
      <c r="U492" s="5">
        <v>326405387211744</v>
      </c>
      <c r="V492" s="5">
        <v>308621466713273</v>
      </c>
      <c r="W492" s="5">
        <v>299215838505461</v>
      </c>
      <c r="X492" s="5">
        <v>276972663844428</v>
      </c>
      <c r="Y492" s="5">
        <v>284100917756204</v>
      </c>
      <c r="Z492" s="5">
        <v>279199350001459</v>
      </c>
      <c r="AA492" s="5">
        <v>276255226377975</v>
      </c>
      <c r="AB492" s="5">
        <v>270602458229546</v>
      </c>
      <c r="AC492" s="5">
        <v>304504268901791</v>
      </c>
      <c r="AD492" s="5">
        <v>309072193354147</v>
      </c>
      <c r="AE492" s="5">
        <v>307826296950945</v>
      </c>
      <c r="AF492" s="5">
        <v>309563740294785</v>
      </c>
      <c r="AG492" s="5">
        <v>298166630641924</v>
      </c>
      <c r="AH492" s="5">
        <v>290513584375241</v>
      </c>
      <c r="AI492" s="5">
        <v>313939066169959</v>
      </c>
      <c r="AJ492" s="5">
        <v>313415382380153</v>
      </c>
      <c r="AK492" s="5">
        <v>337157132596839</v>
      </c>
      <c r="AL492" s="5">
        <v>348625699979003</v>
      </c>
      <c r="AM492" s="5">
        <v>341300501455942</v>
      </c>
      <c r="AN492" s="5">
        <v>33444479698837</v>
      </c>
      <c r="AO492" s="5">
        <v>346498807396753</v>
      </c>
    </row>
    <row r="493" spans="1:41" x14ac:dyDescent="0.45">
      <c r="A493" s="1" t="s">
        <v>487</v>
      </c>
      <c r="B493" s="2">
        <v>4317520</v>
      </c>
      <c r="C493" s="3" t="s">
        <v>1594</v>
      </c>
      <c r="D493" s="3" t="s">
        <v>1595</v>
      </c>
      <c r="E493" s="3" t="s">
        <v>871</v>
      </c>
      <c r="F493" s="5">
        <v>282386389983379</v>
      </c>
      <c r="G493" s="5">
        <v>295361591627219</v>
      </c>
      <c r="H493" s="5">
        <v>318425761691279</v>
      </c>
      <c r="I493" s="5">
        <v>30600066369654</v>
      </c>
      <c r="J493" s="5">
        <v>294573537879111</v>
      </c>
      <c r="K493" s="5">
        <v>307735089164771</v>
      </c>
      <c r="L493" s="5">
        <v>268051235956904</v>
      </c>
      <c r="M493" s="5">
        <v>270311996051216</v>
      </c>
      <c r="N493" s="5">
        <v>258610087926724</v>
      </c>
      <c r="O493" s="5">
        <v>268960522152722</v>
      </c>
      <c r="P493" s="5">
        <v>305620498240364</v>
      </c>
      <c r="Q493" s="5">
        <v>289927497297315</v>
      </c>
      <c r="R493" s="5">
        <v>272252866865858</v>
      </c>
      <c r="S493" s="5">
        <v>291858339195559</v>
      </c>
      <c r="T493" s="5">
        <v>272485272627641</v>
      </c>
      <c r="U493" s="5">
        <v>294065309050378</v>
      </c>
      <c r="V493" s="5">
        <v>302015132420477</v>
      </c>
      <c r="W493" s="5">
        <v>29961808812936</v>
      </c>
      <c r="X493" s="5">
        <v>30689818024568</v>
      </c>
      <c r="Y493" s="5">
        <v>315265188033585</v>
      </c>
      <c r="Z493" s="5">
        <v>295517523140543</v>
      </c>
      <c r="AA493" s="5">
        <v>289279246894519</v>
      </c>
      <c r="AB493" s="5">
        <v>284162328418734</v>
      </c>
      <c r="AC493" s="5">
        <v>249843242720354</v>
      </c>
      <c r="AD493" s="5">
        <v>249422668068478</v>
      </c>
      <c r="AE493" s="5">
        <v>232383784787527</v>
      </c>
      <c r="AF493" s="5">
        <v>213439683097458</v>
      </c>
      <c r="AG493" s="5">
        <v>20712492229948</v>
      </c>
      <c r="AH493" s="5">
        <v>229904256975686</v>
      </c>
      <c r="AI493" s="5">
        <v>244924162089893</v>
      </c>
      <c r="AJ493" s="5">
        <v>246960389908258</v>
      </c>
      <c r="AK493" s="5">
        <v>225074214596735</v>
      </c>
      <c r="AL493" s="5">
        <v>16994224954326</v>
      </c>
      <c r="AM493" s="5">
        <v>173726843482109</v>
      </c>
      <c r="AN493" s="5">
        <v>174322519292088</v>
      </c>
      <c r="AO493" s="5">
        <v>172616590966307</v>
      </c>
    </row>
    <row r="494" spans="1:41" x14ac:dyDescent="0.45">
      <c r="A494" s="1" t="s">
        <v>488</v>
      </c>
      <c r="B494" s="2">
        <v>4025819</v>
      </c>
      <c r="C494" s="3" t="s">
        <v>1596</v>
      </c>
      <c r="D494" s="3" t="s">
        <v>1597</v>
      </c>
      <c r="E494" s="3" t="s">
        <v>749</v>
      </c>
      <c r="F494" s="5">
        <v>357742276194029</v>
      </c>
      <c r="G494" s="5">
        <v>36685797396572</v>
      </c>
      <c r="H494" s="5">
        <v>332565668077867</v>
      </c>
      <c r="I494" s="5">
        <v>359546384025216</v>
      </c>
      <c r="J494" s="5">
        <v>348708762190335</v>
      </c>
      <c r="K494" s="5">
        <v>350279551005009</v>
      </c>
      <c r="L494" s="5">
        <v>350722459640903</v>
      </c>
      <c r="M494" s="5">
        <v>352609983144233</v>
      </c>
      <c r="N494" s="5">
        <v>369307705820658</v>
      </c>
      <c r="O494" s="5">
        <v>406343034964178</v>
      </c>
      <c r="P494" s="5">
        <v>419454504297328</v>
      </c>
      <c r="Q494" s="5">
        <v>350386015107087</v>
      </c>
      <c r="R494" s="5">
        <v>36163566386937</v>
      </c>
      <c r="S494" s="5">
        <v>367502278895535</v>
      </c>
      <c r="T494" s="5">
        <v>339642711309967</v>
      </c>
      <c r="U494" s="5">
        <v>35219848874218</v>
      </c>
      <c r="V494" s="5">
        <v>342968364693424</v>
      </c>
      <c r="W494" s="5">
        <v>34566107009243</v>
      </c>
      <c r="X494" s="5">
        <v>348167591146586</v>
      </c>
      <c r="Y494" s="5">
        <v>35689617604827</v>
      </c>
      <c r="Z494" s="5">
        <v>3716367857916</v>
      </c>
      <c r="AA494" s="5">
        <v>361129354005276</v>
      </c>
      <c r="AB494" s="5">
        <v>360257695435678</v>
      </c>
      <c r="AC494" s="5">
        <v>334550474652183</v>
      </c>
      <c r="AD494" s="5">
        <v>331347025429903</v>
      </c>
      <c r="AE494" s="5">
        <v>322681837834381</v>
      </c>
      <c r="AF494" s="5">
        <v>320544864766012</v>
      </c>
      <c r="AG494" s="5">
        <v>330770676690027</v>
      </c>
      <c r="AH494" s="5">
        <v>334259441639892</v>
      </c>
      <c r="AI494" s="5">
        <v>349889583092761</v>
      </c>
      <c r="AJ494" s="5">
        <v>355463431690994</v>
      </c>
      <c r="AK494" s="5">
        <v>338204547422019</v>
      </c>
      <c r="AL494" s="5">
        <v>356800101791073</v>
      </c>
      <c r="AM494" s="5">
        <v>340517134800548</v>
      </c>
      <c r="AN494" s="5">
        <v>335526419392534</v>
      </c>
      <c r="AO494" s="5">
        <v>338477708787014</v>
      </c>
    </row>
    <row r="495" spans="1:41" x14ac:dyDescent="0.45">
      <c r="A495" s="1" t="s">
        <v>489</v>
      </c>
      <c r="B495" s="2">
        <v>4376897</v>
      </c>
      <c r="C495" s="3" t="s">
        <v>1598</v>
      </c>
      <c r="D495" s="3" t="s">
        <v>1599</v>
      </c>
      <c r="E495" s="3" t="s">
        <v>1110</v>
      </c>
      <c r="F495" s="5">
        <v>104770342120101</v>
      </c>
      <c r="G495" s="5">
        <v>110424940051272</v>
      </c>
      <c r="H495" s="5">
        <v>118261142274195</v>
      </c>
      <c r="I495" s="5">
        <v>128775243441497</v>
      </c>
      <c r="J495" s="5">
        <v>137831157867614</v>
      </c>
      <c r="K495" s="5">
        <v>150717621899459</v>
      </c>
      <c r="L495" s="5">
        <v>133527463930726</v>
      </c>
      <c r="M495" s="5">
        <v>129868882104504</v>
      </c>
      <c r="N495" s="5">
        <v>112200943156717</v>
      </c>
      <c r="O495" s="5">
        <v>133701172116353</v>
      </c>
      <c r="P495" s="5">
        <v>155573444226124</v>
      </c>
      <c r="Q495" s="5">
        <v>194500793073133</v>
      </c>
      <c r="R495" s="5">
        <v>192419241842371</v>
      </c>
      <c r="S495" s="5">
        <v>198972330691288</v>
      </c>
      <c r="T495" s="5">
        <v>181455634548424</v>
      </c>
      <c r="U495" s="5">
        <v>171261724715129</v>
      </c>
      <c r="V495" s="5">
        <v>161063846058312</v>
      </c>
      <c r="W495" s="5">
        <v>167378057471394</v>
      </c>
      <c r="X495" s="5">
        <v>148254669243317</v>
      </c>
      <c r="Y495" s="5">
        <v>148092361326777</v>
      </c>
      <c r="Z495" s="5">
        <v>151263806236623</v>
      </c>
      <c r="AA495" s="5">
        <v>143391717638312</v>
      </c>
      <c r="AB495" s="5">
        <v>132845064808897</v>
      </c>
      <c r="AC495" s="5">
        <v>113398531154789</v>
      </c>
      <c r="AD495" s="5">
        <v>127002876718262</v>
      </c>
      <c r="AE495" s="5">
        <v>11159772322683</v>
      </c>
      <c r="AF495" s="5">
        <v>10180782925904</v>
      </c>
      <c r="AG495" s="5">
        <v>11472766146242</v>
      </c>
      <c r="AH495" s="5">
        <v>130173155319161</v>
      </c>
      <c r="AI495" s="5">
        <v>143718430044216</v>
      </c>
      <c r="AJ495" s="5">
        <v>139366073917346</v>
      </c>
      <c r="AK495" s="5">
        <v>126708631091977</v>
      </c>
      <c r="AL495" s="5">
        <v>134144047377552</v>
      </c>
      <c r="AM495" s="5">
        <v>150439291991352</v>
      </c>
      <c r="AN495" s="5">
        <v>14539085905941</v>
      </c>
      <c r="AO495" s="5">
        <v>150297917857809</v>
      </c>
    </row>
    <row r="496" spans="1:41" x14ac:dyDescent="0.45">
      <c r="A496" s="1" t="s">
        <v>490</v>
      </c>
      <c r="B496" s="2">
        <v>4812735</v>
      </c>
      <c r="C496" s="3" t="s">
        <v>1600</v>
      </c>
      <c r="D496" s="3" t="s">
        <v>1601</v>
      </c>
      <c r="E496" s="3" t="s">
        <v>506</v>
      </c>
      <c r="F496" s="5">
        <v>15179743981687</v>
      </c>
      <c r="G496" s="5">
        <v>166695525264675</v>
      </c>
      <c r="H496" s="5">
        <v>172711013749517</v>
      </c>
      <c r="I496" s="5">
        <v>166304649055752</v>
      </c>
      <c r="J496" s="5">
        <v>179682744381618</v>
      </c>
      <c r="K496" s="5">
        <v>158516583418744</v>
      </c>
      <c r="L496" s="5">
        <v>153659190095966</v>
      </c>
      <c r="M496" s="5">
        <v>160710698756894</v>
      </c>
      <c r="N496" s="5">
        <v>179695856475708</v>
      </c>
      <c r="O496" s="5">
        <v>208447272276863</v>
      </c>
      <c r="P496" s="5">
        <v>199584613939361</v>
      </c>
      <c r="Q496" s="5">
        <v>209652225633739</v>
      </c>
      <c r="R496" s="5">
        <v>20307848724464</v>
      </c>
      <c r="S496" s="5">
        <v>211478777271479</v>
      </c>
      <c r="T496" s="5">
        <v>196034493453638</v>
      </c>
      <c r="U496" s="5">
        <v>197110999619287</v>
      </c>
      <c r="V496" s="5">
        <v>212587390789417</v>
      </c>
      <c r="W496" s="5">
        <v>211668599763852</v>
      </c>
      <c r="X496" s="5">
        <v>208384452425095</v>
      </c>
      <c r="Y496" s="5">
        <v>218442032398864</v>
      </c>
      <c r="Z496" s="5">
        <v>231115071907371</v>
      </c>
      <c r="AA496" s="5">
        <v>251047355720989</v>
      </c>
      <c r="AB496" s="5">
        <v>235939807276236</v>
      </c>
      <c r="AC496" s="5">
        <v>241927606788847</v>
      </c>
      <c r="AD496" s="5">
        <v>230091921527149</v>
      </c>
      <c r="AE496" s="5">
        <v>222866724825583</v>
      </c>
      <c r="AF496" s="5">
        <v>206313735552468</v>
      </c>
      <c r="AG496" s="5">
        <v>221555175949951</v>
      </c>
      <c r="AH496" s="5">
        <v>229502466459978</v>
      </c>
      <c r="AI496" s="5">
        <v>261731519324894</v>
      </c>
      <c r="AJ496" s="5">
        <v>278460251259008</v>
      </c>
      <c r="AK496" s="5">
        <v>249205093251078</v>
      </c>
      <c r="AL496" s="5">
        <v>263171369469328</v>
      </c>
      <c r="AM496" s="5">
        <v>249482474549256</v>
      </c>
      <c r="AN496" s="5">
        <v>245114588123474</v>
      </c>
      <c r="AO496" s="5">
        <v>246035011320157</v>
      </c>
    </row>
    <row r="497" spans="1:41" x14ac:dyDescent="0.45">
      <c r="A497" s="1" t="s">
        <v>491</v>
      </c>
      <c r="B497" s="2">
        <v>4810470</v>
      </c>
      <c r="C497" s="3" t="s">
        <v>1602</v>
      </c>
      <c r="D497" s="3" t="s">
        <v>1603</v>
      </c>
      <c r="E497" s="3" t="s">
        <v>680</v>
      </c>
      <c r="F497" s="5">
        <v>472250787919733</v>
      </c>
      <c r="G497" s="5">
        <v>487152996414565</v>
      </c>
      <c r="H497" s="5">
        <v>553651517185762</v>
      </c>
      <c r="I497" s="5">
        <v>55268761972517</v>
      </c>
      <c r="J497" s="5">
        <v>592564488532819</v>
      </c>
      <c r="K497" s="5">
        <v>567415962853738</v>
      </c>
      <c r="L497" s="5">
        <v>591198117793455</v>
      </c>
      <c r="M497" s="5">
        <v>661639799642738</v>
      </c>
      <c r="N497" s="5">
        <v>614899242484207</v>
      </c>
      <c r="O497" s="5">
        <v>682140144868231</v>
      </c>
      <c r="P497" s="5">
        <v>719755489833358</v>
      </c>
      <c r="Q497" s="5">
        <v>741818549755018</v>
      </c>
      <c r="R497" s="5">
        <v>7100168169247</v>
      </c>
      <c r="S497" s="5">
        <v>749393880988715</v>
      </c>
      <c r="T497" s="5">
        <v>745977359688162</v>
      </c>
      <c r="U497" s="5">
        <v>793644340353309</v>
      </c>
      <c r="V497" s="5">
        <v>751581278768259</v>
      </c>
      <c r="W497" s="5">
        <v>759078718541035</v>
      </c>
      <c r="X497" s="5">
        <v>738271331761337</v>
      </c>
      <c r="Y497" s="5">
        <v>713423269025448</v>
      </c>
      <c r="Z497" s="5">
        <v>680491480387118</v>
      </c>
      <c r="AA497" s="5">
        <v>717269979950871</v>
      </c>
      <c r="AB497" s="5">
        <v>840072069275956</v>
      </c>
      <c r="AC497" s="5">
        <v>794746353640946</v>
      </c>
      <c r="AD497" s="5">
        <v>819796340386086</v>
      </c>
      <c r="AE497" s="5">
        <v>743712405169066</v>
      </c>
      <c r="AF497" s="5">
        <v>684033222414525</v>
      </c>
      <c r="AG497" s="5">
        <v>756651915126191</v>
      </c>
      <c r="AH497" s="5">
        <v>808547656329691</v>
      </c>
      <c r="AI497" s="5">
        <v>788700033471932</v>
      </c>
      <c r="AJ497" s="5">
        <v>728955837725304</v>
      </c>
      <c r="AK497" s="5">
        <v>706811068150156</v>
      </c>
      <c r="AL497" s="5">
        <v>736737247824249</v>
      </c>
      <c r="AM497" s="5">
        <v>709192445239755</v>
      </c>
      <c r="AN497" s="5">
        <v>72897217840824</v>
      </c>
      <c r="AO497" s="5">
        <v>710138252744628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2026-04-07T16:45:42Z</dcterms:created>
  <dcterms:modified xsi:type="dcterms:W3CDTF">2026-04-07T16:57:46Z</dcterms:modified>
</cp:coreProperties>
</file>