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anton\OneDrive\Bureau\Edhec course\Master 2\Research Thesis\Data-Analysis\"/>
    </mc:Choice>
  </mc:AlternateContent>
  <xr:revisionPtr revIDLastSave="0" documentId="8_{CBE038A3-CCDB-4938-B434-B1CE38B031F9}" xr6:coauthVersionLast="47" xr6:coauthVersionMax="47" xr10:uidLastSave="{00000000-0000-0000-0000-000000000000}"/>
  <bookViews>
    <workbookView xWindow="-98" yWindow="-98" windowWidth="19396" windowHeight="11475" firstSheet="1" activeTab="1" xr2:uid="{2E5DD331-DA65-4269-8964-8396E4ED54FC}"/>
  </bookViews>
  <sheets>
    <sheet name="__snloffice" sheetId="2" state="veryHidden" r:id="rId1"/>
    <sheet name="Feuil1" sheetId="1" r:id="rId2"/>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1" l="1"/>
  <c r="B2" i="1"/>
  <c r="G2" i="1"/>
  <c r="M2" i="1"/>
  <c r="F5" i="1"/>
  <c r="H2" i="1"/>
  <c r="N2" i="1"/>
  <c r="G5" i="1"/>
  <c r="I2" i="1"/>
  <c r="H5" i="1"/>
  <c r="J2" i="1"/>
  <c r="I5" i="1"/>
  <c r="K2" i="1"/>
  <c r="J5" i="1"/>
  <c r="L2" i="1"/>
  <c r="K5" i="1"/>
  <c r="L5" i="1"/>
  <c r="M5" i="1"/>
  <c r="O2" i="1"/>
  <c r="N5" i="1"/>
  <c r="P2" i="1"/>
  <c r="O5" i="1"/>
  <c r="P5" i="1"/>
  <c r="A1" i="1" s="1"/>
  <c r="C2" i="1"/>
  <c r="E2" i="1"/>
  <c r="F2" i="1"/>
  <c r="D2" i="1"/>
</calcChain>
</file>

<file path=xl/sharedStrings.xml><?xml version="1.0" encoding="utf-8"?>
<sst xmlns="http://schemas.openxmlformats.org/spreadsheetml/2006/main" count="5011" uniqueCount="4650">
  <si>
    <t>3M Company (NYSE:MMM)</t>
  </si>
  <si>
    <t>A. O. Smith Corporation (NYSE:AOS)</t>
  </si>
  <si>
    <t>Abbott Laboratories (NYSE:ABT)</t>
  </si>
  <si>
    <t>AbbVie Inc. (NYSE:ABBV)</t>
  </si>
  <si>
    <t>Accenture plc (NYSE:ACN)</t>
  </si>
  <si>
    <t>Adobe Inc. (NASDAQGS:ADBE)</t>
  </si>
  <si>
    <t>Advanced Micro Devices, Inc. (NASDAQGS:AMD)</t>
  </si>
  <si>
    <t>Aflac Incorporated (NYSE:AFL)</t>
  </si>
  <si>
    <t>Agilent Technologies, Inc. (NYSE:A)</t>
  </si>
  <si>
    <t>Air Products and Chemicals, Inc. (NYSE:APD)</t>
  </si>
  <si>
    <t>Akamai Technologies, Inc. (NASDAQGS:AKAM)</t>
  </si>
  <si>
    <t>Albemarle Corporation (NYSE:ALB)</t>
  </si>
  <si>
    <t>Alexandria Real Estate Equities, Inc. (NYSE:ARE)</t>
  </si>
  <si>
    <t>Align Technology, Inc. (NASDAQGS:ALGN)</t>
  </si>
  <si>
    <t>Allegion plc (NYSE:ALLE)</t>
  </si>
  <si>
    <t>Alliant Energy Corporation (NASDAQGS:LNT)</t>
  </si>
  <si>
    <t>Alphabet Inc. (NASDAQGS:GOOGL)</t>
  </si>
  <si>
    <t>Altria Group, Inc. (NYSE:MO)</t>
  </si>
  <si>
    <t>Amazon.com, Inc. (NASDAQGS:AMZN)</t>
  </si>
  <si>
    <t>Amcor plc (NYSE:AMCR)</t>
  </si>
  <si>
    <t>Ameren Corporation (NYSE:AEE)</t>
  </si>
  <si>
    <t>American Electric Power Company, Inc. (NASDAQGS:AEP)</t>
  </si>
  <si>
    <t>American Express Company (NYSE:AXP)</t>
  </si>
  <si>
    <t>American International Group, Inc. (NYSE:AIG)</t>
  </si>
  <si>
    <t>American Tower Corporation (NYSE:AMT)</t>
  </si>
  <si>
    <t>American Water Works Company, Inc. (NYSE:AWK)</t>
  </si>
  <si>
    <t>Ameriprise Financial, Inc. (NYSE:AMP)</t>
  </si>
  <si>
    <t>AMETEK, Inc. (NYSE:AME)</t>
  </si>
  <si>
    <t>Amgen Inc. (NASDAQGS:AMGN)</t>
  </si>
  <si>
    <t>Amphenol Corporation (NYSE:APH)</t>
  </si>
  <si>
    <t>Analog Devices, Inc. (NASDAQGS:ADI)</t>
  </si>
  <si>
    <t>Aon plc (NYSE:AON)</t>
  </si>
  <si>
    <t>APA Corporation (NASDAQGS:APA)</t>
  </si>
  <si>
    <t>Apollo Global Management, Inc. (NYSE:APO)</t>
  </si>
  <si>
    <t>Apple Inc. (NASDAQGS:AAPL)</t>
  </si>
  <si>
    <t>Applied Materials, Inc. (NASDAQGS:AMAT)</t>
  </si>
  <si>
    <t>Aptiv PLC (NYSE:APTV)</t>
  </si>
  <si>
    <t>Arch Capital Group Ltd. (NASDAQGS:ACGL)</t>
  </si>
  <si>
    <t>Archer-Daniels-Midland Company (NYSE:ADM)</t>
  </si>
  <si>
    <t>Ares Management Corporation (NYSE:ARES)</t>
  </si>
  <si>
    <t>Arista Networks, Inc. (NYSE:ANET)</t>
  </si>
  <si>
    <t>Arthur J. Gallagher &amp; Co. (NYSE:AJG)</t>
  </si>
  <si>
    <t>Assurant, Inc. (NYSE:AIZ)</t>
  </si>
  <si>
    <t>AT&amp;T Inc. (NYSE:T)</t>
  </si>
  <si>
    <t>Atmos Energy Corporation (NYSE:ATO)</t>
  </si>
  <si>
    <t>Autodesk, Inc. (NASDAQGS:ADSK)</t>
  </si>
  <si>
    <t>Automatic Data Processing, Inc. (NASDAQGS:ADP)</t>
  </si>
  <si>
    <t>AutoZone, Inc. (NYSE:AZO)</t>
  </si>
  <si>
    <t>AvalonBay Communities, Inc. (NYSE:AVB)</t>
  </si>
  <si>
    <t>Avery Dennison Corporation (NYSE:AVY)</t>
  </si>
  <si>
    <t>Axon Enterprise, Inc. (NASDAQGS:AXON)</t>
  </si>
  <si>
    <t>Baker Hughes Company (NASDAQGS:BKR)</t>
  </si>
  <si>
    <t>Ball Corporation (NYSE:BALL)</t>
  </si>
  <si>
    <t>Bank of America Corporation (NYSE:BAC)</t>
  </si>
  <si>
    <t>Baxter International Inc. (NYSE:BAX)</t>
  </si>
  <si>
    <t>Becton, Dickinson and Company (NYSE:BDX)</t>
  </si>
  <si>
    <t>Berkshire Hathaway Inc. (NYSE:BRK.A)</t>
  </si>
  <si>
    <t>Best Buy Co., Inc. (NYSE:BBY)</t>
  </si>
  <si>
    <t>Bio-Techne Corporation (NASDAQGS:TECH)</t>
  </si>
  <si>
    <t>Biogen Inc. (NASDAQGS:BIIB)</t>
  </si>
  <si>
    <t>BlackRock, Inc. (NYSE:BLK)</t>
  </si>
  <si>
    <t>Blackstone Inc. (NYSE:BX)</t>
  </si>
  <si>
    <t>Block, Inc. (NYSE:XYZ)</t>
  </si>
  <si>
    <t>Booking Holdings Inc. (NASDAQGS:BKNG)</t>
  </si>
  <si>
    <t>Boston Scientific Corporation (NYSE:BSX)</t>
  </si>
  <si>
    <t>Bristol-Myers Squibb Company (NYSE:BMY)</t>
  </si>
  <si>
    <t>Broadcom Inc. (NASDAQGS:AVGO)</t>
  </si>
  <si>
    <t>Broadridge Financial Solutions, Inc. (NYSE:BR)</t>
  </si>
  <si>
    <t>Brown &amp; Brown, Inc. (NYSE:BRO)</t>
  </si>
  <si>
    <t>Brown-Forman Corporation (NYSE:BF.B)</t>
  </si>
  <si>
    <t>Builders FirstSource, Inc. (NYSE:BLDR)</t>
  </si>
  <si>
    <t>Bunge Global SA (NYSE:BG)</t>
  </si>
  <si>
    <t>BXP, Inc. (NYSE:BXP)</t>
  </si>
  <si>
    <t>C.H. Robinson Worldwide, Inc. (NASDAQGS:CHRW)</t>
  </si>
  <si>
    <t>Cadence Design Systems, Inc. (NASDAQGS:CDNS)</t>
  </si>
  <si>
    <t>Camden Property Trust (NYSE:CPT)</t>
  </si>
  <si>
    <t>Capital One Financial Corporation (NYSE:COF)</t>
  </si>
  <si>
    <t>Cardinal Health, Inc. (NYSE:CAH)</t>
  </si>
  <si>
    <t>Carnival Corporation &amp; plc (NYSE:CCL)</t>
  </si>
  <si>
    <t>Carvana Co. (NYSE:CVNA)</t>
  </si>
  <si>
    <t>Caterpillar Inc. (NYSE:CAT)</t>
  </si>
  <si>
    <t>Cboe Global Markets, Inc. (BATS:CBOE)</t>
  </si>
  <si>
    <t>CBRE Group, Inc. (NYSE:CBRE)</t>
  </si>
  <si>
    <t>CDW Corporation (NASDAQGS:CDW)</t>
  </si>
  <si>
    <t>Cencora, Inc. (NYSE:COR)</t>
  </si>
  <si>
    <t>Centene Corporation (NYSE:CNC)</t>
  </si>
  <si>
    <t>CenterPoint Energy, Inc. (NYSE:CNP)</t>
  </si>
  <si>
    <t>CF Industries Holdings, Inc. (NYSE:CF)</t>
  </si>
  <si>
    <t>Charles River Laboratories International, Inc. (NYSE:CRL)</t>
  </si>
  <si>
    <t>Charter Communications, Inc. (NASDAQGS:CHTR)</t>
  </si>
  <si>
    <t>Chevron Corporation (NYSE:CVX)</t>
  </si>
  <si>
    <t>Chipotle Mexican Grill, Inc. (NYSE:CMG)</t>
  </si>
  <si>
    <t>Chubb Limited (NYSE:CB)</t>
  </si>
  <si>
    <t>Church &amp; Dwight Co., Inc. (NYSE:CHD)</t>
  </si>
  <si>
    <t>Ciena Corporation (NYSE:CIEN)</t>
  </si>
  <si>
    <t>Cincinnati Financial Corporation (NASDAQGS:CINF)</t>
  </si>
  <si>
    <t>Cintas Corporation (NASDAQGS:CTAS)</t>
  </si>
  <si>
    <t>Cisco Systems, Inc. (NASDAQGS:CSCO)</t>
  </si>
  <si>
    <t>Citigroup Inc. (NYSE:C)</t>
  </si>
  <si>
    <t>Citizens Financial Group, Inc. (NYSE:CFG)</t>
  </si>
  <si>
    <t>CME Group Inc. (NASDAQGS:CME)</t>
  </si>
  <si>
    <t>CMS Energy Corporation (NYSE:CMS)</t>
  </si>
  <si>
    <t>Cognizant Technology Solutions Corporation (NASDAQGS:CTSH)</t>
  </si>
  <si>
    <t>Coherent Corp. (NYSE:COHR)</t>
  </si>
  <si>
    <t>Colgate-Palmolive Company (NYSE:CL)</t>
  </si>
  <si>
    <t>Comcast Corporation (NASDAQGS:CMCSA)</t>
  </si>
  <si>
    <t>Comfort Systems USA, Inc. (NYSE:FIX)</t>
  </si>
  <si>
    <t>Conagra Brands, Inc. (NYSE:CAG)</t>
  </si>
  <si>
    <t>ConocoPhillips (NYSE:COP)</t>
  </si>
  <si>
    <t>Consolidated Edison, Inc. (NYSE:ED)</t>
  </si>
  <si>
    <t>Constellation Brands, Inc. (NYSE:STZ)</t>
  </si>
  <si>
    <t>Constellation Energy Corporation (NASDAQGS:CEG)</t>
  </si>
  <si>
    <t>Copart, Inc. (NASDAQGS:CPRT)</t>
  </si>
  <si>
    <t>Corning Incorporated (NYSE:GLW)</t>
  </si>
  <si>
    <t>Corpay, Inc. (NYSE:CPAY)</t>
  </si>
  <si>
    <t>CoStar Group, Inc. (NASDAQGS:CSGP)</t>
  </si>
  <si>
    <t>Costco Wholesale Corporation (NASDAQGS:COST)</t>
  </si>
  <si>
    <t>Coterra Energy Inc. (NYSE:CTRA)</t>
  </si>
  <si>
    <t>CRH plc (NYSE:CRH)</t>
  </si>
  <si>
    <t>Crown Castle Inc. (NYSE:CCI)</t>
  </si>
  <si>
    <t>CSX Corporation (NASDAQGS:CSX)</t>
  </si>
  <si>
    <t>Cummins Inc. (NYSE:CMI)</t>
  </si>
  <si>
    <t>CVS Health Corporation (NYSE:CVS)</t>
  </si>
  <si>
    <t>D.R. Horton, Inc. (NYSE:DHI)</t>
  </si>
  <si>
    <t>Danaher Corporation (NYSE:DHR)</t>
  </si>
  <si>
    <t>Darden Restaurants, Inc. (NYSE:DRI)</t>
  </si>
  <si>
    <t>DaVita Inc. (NYSE:DVA)</t>
  </si>
  <si>
    <t>Deckers Outdoor Corporation (NYSE:DECK)</t>
  </si>
  <si>
    <t>Deere &amp; Company (NYSE:DE)</t>
  </si>
  <si>
    <t>Dell Technologies Inc. (NYSE:DELL)</t>
  </si>
  <si>
    <t>Delta Air Lines, Inc. (NYSE:DAL)</t>
  </si>
  <si>
    <t>Devon Energy Corporation (NYSE:DVN)</t>
  </si>
  <si>
    <t>DexCom, Inc. (NASDAQGS:DXCM)</t>
  </si>
  <si>
    <t>Diamondback Energy, Inc. (NASDAQGS:FANG)</t>
  </si>
  <si>
    <t>Digital Realty Trust, Inc. (NYSE:DLR)</t>
  </si>
  <si>
    <t>Dollar General Corporation (NYSE:DG)</t>
  </si>
  <si>
    <t>Dollar Tree, Inc. (NASDAQGS:DLTR)</t>
  </si>
  <si>
    <t>Dominion Energy, Inc. (NYSE:D)</t>
  </si>
  <si>
    <t>Domino's Pizza, Inc. (NASDAQGS:DPZ)</t>
  </si>
  <si>
    <t>Dover Corporation (NYSE:DOV)</t>
  </si>
  <si>
    <t>DTE Energy Company (NYSE:DTE)</t>
  </si>
  <si>
    <t>Duke Energy Corporation (NYSE:DUK)</t>
  </si>
  <si>
    <t>DuPont de Nemours, Inc. (NYSE:DD)</t>
  </si>
  <si>
    <t>Eaton Corporation plc (NYSE:ETN)</t>
  </si>
  <si>
    <t>eBay Inc. (NASDAQGS:EBAY)</t>
  </si>
  <si>
    <t>EchoStar Corporation (NASDAQGS:SATS)</t>
  </si>
  <si>
    <t>Ecolab Inc. (NYSE:ECL)</t>
  </si>
  <si>
    <t>Edison International (NYSE:EIX)</t>
  </si>
  <si>
    <t>Edwards Lifesciences Corporation (NYSE:EW)</t>
  </si>
  <si>
    <t>Electronic Arts Inc. (NASDAQGS:EA)</t>
  </si>
  <si>
    <t>Elevance Health, Inc. (NYSE:ELV)</t>
  </si>
  <si>
    <t>Eli Lilly and Company (NYSE:LLY)</t>
  </si>
  <si>
    <t>EMCOR Group, Inc. (NYSE:EME)</t>
  </si>
  <si>
    <t>Emerson Electric Co. (NYSE:EMR)</t>
  </si>
  <si>
    <t>Entergy Corporation (NYSE:ETR)</t>
  </si>
  <si>
    <t>EOG Resources, Inc. (NYSE:EOG)</t>
  </si>
  <si>
    <t>EPAM Systems, Inc. (NYSE:EPAM)</t>
  </si>
  <si>
    <t>EQT Corporation (NYSE:EQT)</t>
  </si>
  <si>
    <t>Equifax Inc. (NYSE:EFX)</t>
  </si>
  <si>
    <t>Equinix, Inc. (NASDAQGS:EQIX)</t>
  </si>
  <si>
    <t>Equity Residential (NYSE:EQR)</t>
  </si>
  <si>
    <t>Erie Indemnity Company (NASDAQGS:ERIE)</t>
  </si>
  <si>
    <t>Essex Property Trust, Inc. (NYSE:ESS)</t>
  </si>
  <si>
    <t>Everest Group, Ltd. (NYSE:EG)</t>
  </si>
  <si>
    <t>Evergy, Inc. (NASDAQGS:EVRG)</t>
  </si>
  <si>
    <t>Eversource Energy (NYSE:ES)</t>
  </si>
  <si>
    <t>Exelon Corporation (NASDAQGS:EXC)</t>
  </si>
  <si>
    <t>Expand Energy Corporation (NASDAQGS:EXE)</t>
  </si>
  <si>
    <t>Expedia Group, Inc. (NASDAQGS:EXPE)</t>
  </si>
  <si>
    <t>Expeditors International of Washington, Inc. (NYSE:EXPD)</t>
  </si>
  <si>
    <t>Extra Space Storage Inc. (NYSE:EXR)</t>
  </si>
  <si>
    <t>Exxon Mobil Corporation (NYSE:XOM)</t>
  </si>
  <si>
    <t>F5, Inc. (NASDAQGS:FFIV)</t>
  </si>
  <si>
    <t>FactSet Research Systems Inc. (NYSE:FDS)</t>
  </si>
  <si>
    <t>Fair Isaac Corporation (NYSE:FICO)</t>
  </si>
  <si>
    <t>Fastenal Company (NASDAQGS:FAST)</t>
  </si>
  <si>
    <t>Federal Realty Investment Trust (NYSE:FRT)</t>
  </si>
  <si>
    <t>FedEx Corporation (NYSE:FDX)</t>
  </si>
  <si>
    <t>Fidelity National Information Services, Inc. (NYSE:FIS)</t>
  </si>
  <si>
    <t>Fifth Third Bancorp (NASDAQGS:FITB)</t>
  </si>
  <si>
    <t>First Solar, Inc. (NASDAQGS:FSLR)</t>
  </si>
  <si>
    <t>FirstEnergy Corp. (NYSE:FE)</t>
  </si>
  <si>
    <t>Fiserv, Inc. (NASDAQGS:FISV)</t>
  </si>
  <si>
    <t>Ford Motor Company (NYSE:F)</t>
  </si>
  <si>
    <t>Fortinet, Inc. (NASDAQGS:FTNT)</t>
  </si>
  <si>
    <t>Fortive Corporation (NYSE:FTV)</t>
  </si>
  <si>
    <t>Franklin Resources, Inc. (NYSE:BEN)</t>
  </si>
  <si>
    <t>Freeport-McMoRan Inc. (NYSE:FCX)</t>
  </si>
  <si>
    <t>Garmin Ltd. (NYSE:GRMN)</t>
  </si>
  <si>
    <t>Gartner, Inc. (NYSE:IT)</t>
  </si>
  <si>
    <t>Gen Digital Inc. (NASDAQGS:GEN)</t>
  </si>
  <si>
    <t>Generac Holdings Inc. (NYSE:GNRC)</t>
  </si>
  <si>
    <t>General Dynamics Corporation (NYSE:GD)</t>
  </si>
  <si>
    <t>General Electric Company (NYSE:GE)</t>
  </si>
  <si>
    <t>General Mills, Inc. (NYSE:GIS)</t>
  </si>
  <si>
    <t>General Motors Company (NYSE:GM)</t>
  </si>
  <si>
    <t>Genuine Parts Company (NYSE:GPC)</t>
  </si>
  <si>
    <t>Gilead Sciences, Inc. (NASDAQGS:GILD)</t>
  </si>
  <si>
    <t>Global Payments Inc. (NYSE:GPN)</t>
  </si>
  <si>
    <t>Globe Life Inc. (NYSE:GL)</t>
  </si>
  <si>
    <t>GoDaddy Inc. (NYSE:GDDY)</t>
  </si>
  <si>
    <t>Halliburton Company (NYSE:HAL)</t>
  </si>
  <si>
    <t>Hasbro, Inc. (NASDAQGS:HAS)</t>
  </si>
  <si>
    <t>HCA Healthcare, Inc. (NYSE:HCA)</t>
  </si>
  <si>
    <t>Healthpeak Properties, Inc. (NYSE:DOC)</t>
  </si>
  <si>
    <t>Henry Schein, Inc. (NASDAQGS:HSIC)</t>
  </si>
  <si>
    <t>Hewlett Packard Enterprise Company (NYSE:HPE)</t>
  </si>
  <si>
    <t>Hilton Worldwide Holdings Inc. (NYSE:HLT)</t>
  </si>
  <si>
    <t>Honeywell International Inc. (NASDAQGS:HON)</t>
  </si>
  <si>
    <t>Hormel Foods Corporation (NYSE:HRL)</t>
  </si>
  <si>
    <t>Host Hotels &amp; Resorts, Inc. (NASDAQGS:HST)</t>
  </si>
  <si>
    <t>Howmet Aerospace Inc. (NYSE:HWM)</t>
  </si>
  <si>
    <t>HP Inc. (NYSE:HPQ)</t>
  </si>
  <si>
    <t>Hubbell Incorporated (NYSE:HUBB)</t>
  </si>
  <si>
    <t>Humana Inc. (NYSE:HUM)</t>
  </si>
  <si>
    <t>Huntington Bancshares Incorporated (NASDAQGS:HBAN)</t>
  </si>
  <si>
    <t>Huntington Ingalls Industries, Inc. (NYSE:HII)</t>
  </si>
  <si>
    <t>IDEX Corporation (NYSE:IEX)</t>
  </si>
  <si>
    <t>IDEXX Laboratories, Inc. (NASDAQGS:IDXX)</t>
  </si>
  <si>
    <t>Illinois Tool Works Inc. (NYSE:ITW)</t>
  </si>
  <si>
    <t>Incyte Corporation (NASDAQGS:INCY)</t>
  </si>
  <si>
    <t>Ingersoll Rand Inc. (NYSE:IR)</t>
  </si>
  <si>
    <t>Insulet Corporation (NASDAQGS:PODD)</t>
  </si>
  <si>
    <t>Intel Corporation (NASDAQGS:INTC)</t>
  </si>
  <si>
    <t>Interactive Brokers Group, Inc. (NASDAQGS:IBKR)</t>
  </si>
  <si>
    <t>Intercontinental Exchange, Inc. (NYSE:ICE)</t>
  </si>
  <si>
    <t>International Business Machines Corporation (NYSE:IBM)</t>
  </si>
  <si>
    <t>International Flavors &amp; Fragrances Inc. (NYSE:IFF)</t>
  </si>
  <si>
    <t>International Paper Company (NYSE:IP)</t>
  </si>
  <si>
    <t>Intuit Inc. (NASDAQGS:INTU)</t>
  </si>
  <si>
    <t>Intuitive Surgical, Inc. (NASDAQGS:ISRG)</t>
  </si>
  <si>
    <t>Invesco Ltd. (NYSE:IVZ)</t>
  </si>
  <si>
    <t>Invitation Homes Inc. (NYSE:INVH)</t>
  </si>
  <si>
    <t>IQVIA Holdings Inc. (NYSE:IQV)</t>
  </si>
  <si>
    <t>Iron Mountain Incorporated (NYSE:IRM)</t>
  </si>
  <si>
    <t>J.B. Hunt Transport Services, Inc. (NASDAQGS:JBHT)</t>
  </si>
  <si>
    <t>Jabil Inc. (NYSE:JBL)</t>
  </si>
  <si>
    <t>Jack Henry &amp; Associates, Inc. (NASDAQGS:JKHY)</t>
  </si>
  <si>
    <t>Jacobs Solutions Inc. (NYSE:J)</t>
  </si>
  <si>
    <t>Johnson &amp; Johnson (NYSE:JNJ)</t>
  </si>
  <si>
    <t>Johnson Controls International plc (NYSE:JCI)</t>
  </si>
  <si>
    <t>JPMorgan Chase &amp; Co. (NYSE:JPM)</t>
  </si>
  <si>
    <t>Keurig Dr Pepper Inc. (NASDAQGS:KDP)</t>
  </si>
  <si>
    <t>KeyCorp (NYSE:KEY)</t>
  </si>
  <si>
    <t>Keysight Technologies, Inc. (NYSE:KEYS)</t>
  </si>
  <si>
    <t>Kimberly-Clark Corporation (NASDAQGS:KMB)</t>
  </si>
  <si>
    <t>Kimco Realty Corporation (NYSE:KIM)</t>
  </si>
  <si>
    <t>Kinder Morgan, Inc. (NYSE:KMI)</t>
  </si>
  <si>
    <t>KKR &amp; Co. Inc. (NYSE:KKR)</t>
  </si>
  <si>
    <t>KLA Corporation (NASDAQGS:KLAC)</t>
  </si>
  <si>
    <t>L3Harris Technologies, Inc. (NYSE:LHX)</t>
  </si>
  <si>
    <t>Labcorp Holdings Inc. (NYSE:LH)</t>
  </si>
  <si>
    <t>Lam Research Corporation (NASDAQGS:LRCX)</t>
  </si>
  <si>
    <t>Las Vegas Sands Corp. (NYSE:LVS)</t>
  </si>
  <si>
    <t>Leidos Holdings, Inc. (NYSE:LDOS)</t>
  </si>
  <si>
    <t>Lennar Corporation (NYSE:LEN)</t>
  </si>
  <si>
    <t>Lennox International Inc. (NYSE:LII)</t>
  </si>
  <si>
    <t>Linde plc (NASDAQGS:LIN)</t>
  </si>
  <si>
    <t>Live Nation Entertainment, Inc. (NYSE:LYV)</t>
  </si>
  <si>
    <t>Lockheed Martin Corporation (NYSE:LMT)</t>
  </si>
  <si>
    <t>Loews Corporation (NYSE:L)</t>
  </si>
  <si>
    <t>Lowe's Companies, Inc. (NYSE:LOW)</t>
  </si>
  <si>
    <t>lululemon athletica inc. (NASDAQGS:LULU)</t>
  </si>
  <si>
    <t>Lumentum Holdings Inc. (NASDAQGS:LITE)</t>
  </si>
  <si>
    <t>LyondellBasell Industries N.V. (NYSE:LYB)</t>
  </si>
  <si>
    <t>M&amp;T Bank Corporation (NYSE:MTB)</t>
  </si>
  <si>
    <t>Marathon Petroleum Corporation (NYSE:MPC)</t>
  </si>
  <si>
    <t>Marriott International, Inc. (NASDAQGS:MAR)</t>
  </si>
  <si>
    <t>Marsh &amp; McLennan Companies, Inc. (NYSE:MRSH)</t>
  </si>
  <si>
    <t>Martin Marietta Materials, Inc. (NYSE:MLM)</t>
  </si>
  <si>
    <t>Masco Corporation (NYSE:MAS)</t>
  </si>
  <si>
    <t>Mastercard Incorporated (NYSE:MA)</t>
  </si>
  <si>
    <t>McCormick &amp; Company, Incorporated (NYSE:MKC)</t>
  </si>
  <si>
    <t>McDonald's Corporation (NYSE:MCD)</t>
  </si>
  <si>
    <t>McKesson Corporation (NYSE:MCK)</t>
  </si>
  <si>
    <t>Medtronic plc (NYSE:MDT)</t>
  </si>
  <si>
    <t>Merck &amp; Co., Inc. (NYSE:MRK)</t>
  </si>
  <si>
    <t>Meta Platforms, Inc. (NASDAQGS:META)</t>
  </si>
  <si>
    <t>MetLife, Inc. (NYSE:MET)</t>
  </si>
  <si>
    <t>Mettler-Toledo International Inc. (NYSE:MTD)</t>
  </si>
  <si>
    <t>MGM Resorts International (NYSE:MGM)</t>
  </si>
  <si>
    <t>Microchip Technology Incorporated (NASDAQGS:MCHP)</t>
  </si>
  <si>
    <t>Micron Technology, Inc. (NASDAQGS:MU)</t>
  </si>
  <si>
    <t>Microsoft Corporation (NASDAQGS:MSFT)</t>
  </si>
  <si>
    <t>Mid-America Apartment Communities, Inc. (NYSE:MAA)</t>
  </si>
  <si>
    <t>Molson Coors Beverage Company (NYSE:TAP)</t>
  </si>
  <si>
    <t>Mondelez International, Inc. (NASDAQGS:MDLZ)</t>
  </si>
  <si>
    <t>Monolithic Power Systems, Inc. (NASDAQGS:MPWR)</t>
  </si>
  <si>
    <t>Monster Beverage Corporation (NASDAQGS:MNST)</t>
  </si>
  <si>
    <t>Moody's Corporation (NYSE:MCO)</t>
  </si>
  <si>
    <t>Morgan Stanley (NYSE:MS)</t>
  </si>
  <si>
    <t>Motorola Solutions, Inc. (NYSE:MSI)</t>
  </si>
  <si>
    <t>MSCI Inc. (NYSE:MSCI)</t>
  </si>
  <si>
    <t>Nasdaq, Inc. (NASDAQGS:NDAQ)</t>
  </si>
  <si>
    <t>NetApp, Inc. (NASDAQGS:NTAP)</t>
  </si>
  <si>
    <t>Netflix, Inc. (NASDAQGS:NFLX)</t>
  </si>
  <si>
    <t>Newmont Corporation (NYSE:NEM)</t>
  </si>
  <si>
    <t>News Corporation (NASDAQGS:NWSA)</t>
  </si>
  <si>
    <t>NextEra Energy, Inc. (NYSE:NEE)</t>
  </si>
  <si>
    <t>NIKE, Inc. (NYSE:NKE)</t>
  </si>
  <si>
    <t>NiSource Inc. (NYSE:NI)</t>
  </si>
  <si>
    <t>Nordson Corporation (NASDAQGS:NDSN)</t>
  </si>
  <si>
    <t>Norfolk Southern Corporation (NYSE:NSC)</t>
  </si>
  <si>
    <t>Northern Trust Corporation (NASDAQGS:NTRS)</t>
  </si>
  <si>
    <t>Northrop Grumman Corporation (NYSE:NOC)</t>
  </si>
  <si>
    <t>Norwegian Cruise Line Holdings Ltd. (NYSE:NCLH)</t>
  </si>
  <si>
    <t>NRG Energy, Inc. (NYSE:NRG)</t>
  </si>
  <si>
    <t>Nucor Corporation (NYSE:NUE)</t>
  </si>
  <si>
    <t>NVIDIA Corporation (NASDAQGS:NVDA)</t>
  </si>
  <si>
    <t>NVR, Inc. (NYSE:NVR)</t>
  </si>
  <si>
    <t>NXP Semiconductors N.V. (NASDAQGS:NXPI)</t>
  </si>
  <si>
    <t>O'Reilly Automotive, Inc. (NASDAQGS:ORLY)</t>
  </si>
  <si>
    <t>Occidental Petroleum Corporation (NYSE:OXY)</t>
  </si>
  <si>
    <t>Old Dominion Freight Line, Inc. (NASDAQGS:ODFL)</t>
  </si>
  <si>
    <t>Omnicom Group Inc. (NYSE:OMC)</t>
  </si>
  <si>
    <t>ON Semiconductor Corporation (NASDAQGS:ON)</t>
  </si>
  <si>
    <t>ONEOK, Inc. (NYSE:OKE)</t>
  </si>
  <si>
    <t>Oracle Corporation (NYSE:ORCL)</t>
  </si>
  <si>
    <t>PACCAR Inc (NASDAQGS:PCAR)</t>
  </si>
  <si>
    <t>Packaging Corporation of America (NYSE:PKG)</t>
  </si>
  <si>
    <t>Palo Alto Networks, Inc. (NASDAQGS:PANW)</t>
  </si>
  <si>
    <t>Paramount Skydance Corporation (NASDAQGS:PSKY)</t>
  </si>
  <si>
    <t>Parker-Hannifin Corporation (NYSE:PH)</t>
  </si>
  <si>
    <t>Paychex, Inc. (NASDAQGS:PAYX)</t>
  </si>
  <si>
    <t>PayPal Holdings, Inc. (NASDAQGS:PYPL)</t>
  </si>
  <si>
    <t>Pentair plc (NYSE:PNR)</t>
  </si>
  <si>
    <t>PepsiCo, Inc. (NASDAQGS:PEP)</t>
  </si>
  <si>
    <t>Pfizer Inc. (NYSE:PFE)</t>
  </si>
  <si>
    <t>PG&amp;E Corporation (NYSE:PCG)</t>
  </si>
  <si>
    <t>Philip Morris International Inc. (NYSE:PM)</t>
  </si>
  <si>
    <t>Phillips 66 (NYSE:PSX)</t>
  </si>
  <si>
    <t>Pinnacle West Capital Corporation (NYSE:PNW)</t>
  </si>
  <si>
    <t>Pool Corporation (NASDAQGS:POOL)</t>
  </si>
  <si>
    <t>PPG Industries, Inc. (NYSE:PPG)</t>
  </si>
  <si>
    <t>PPL Corporation (NYSE:PPL)</t>
  </si>
  <si>
    <t>Principal Financial Group, Inc. (NASDAQGS:PFG)</t>
  </si>
  <si>
    <t>Prologis, Inc. (NYSE:PLD)</t>
  </si>
  <si>
    <t>Prudential Financial, Inc. (NYSE:PRU)</t>
  </si>
  <si>
    <t>PTC Inc. (NASDAQGS:PTC)</t>
  </si>
  <si>
    <t>Public Service Enterprise Group Incorporated (NYSE:PEG)</t>
  </si>
  <si>
    <t>Public Storage (NYSE:PSA)</t>
  </si>
  <si>
    <t>PulteGroup, Inc. (NYSE:PHM)</t>
  </si>
  <si>
    <t>QUALCOMM Incorporated (NASDAQGS:QCOM)</t>
  </si>
  <si>
    <t>Quanta Services, Inc. (NYSE:PWR)</t>
  </si>
  <si>
    <t>Quest Diagnostics Incorporated (NYSE:DGX)</t>
  </si>
  <si>
    <t>Ralph Lauren Corporation (NYSE:RL)</t>
  </si>
  <si>
    <t>Raymond James Financial, Inc. (NYSE:RJF)</t>
  </si>
  <si>
    <t>Realty Income Corporation (NYSE:O)</t>
  </si>
  <si>
    <t>Regency Centers Corporation (NASDAQGS:REG)</t>
  </si>
  <si>
    <t>Regeneron Pharmaceuticals, Inc. (NASDAQGS:REGN)</t>
  </si>
  <si>
    <t>Regions Financial Corporation (NYSE:RF)</t>
  </si>
  <si>
    <t>Republic Services, Inc. (NYSE:RSG)</t>
  </si>
  <si>
    <t>ResMed Inc. (NYSE:RMD)</t>
  </si>
  <si>
    <t>Revvity, Inc. (NYSE:RVTY)</t>
  </si>
  <si>
    <t>Rockwell Automation, Inc. (NYSE:ROK)</t>
  </si>
  <si>
    <t>Rollins, Inc. (NYSE:ROL)</t>
  </si>
  <si>
    <t>Roper Technologies, Inc. (NASDAQGS:ROP)</t>
  </si>
  <si>
    <t>Ross Stores, Inc. (NASDAQGS:ROST)</t>
  </si>
  <si>
    <t>Royal Caribbean Cruises Ltd. (NYSE:RCL)</t>
  </si>
  <si>
    <t>RTX Corporation (NYSE:RTX)</t>
  </si>
  <si>
    <t>S&amp;P Global Inc. (NYSE:SPGI)</t>
  </si>
  <si>
    <t>Salesforce, Inc. (NYSE:CRM)</t>
  </si>
  <si>
    <t>SBA Communications Corporation (NASDAQGS:SBAC)</t>
  </si>
  <si>
    <t>Seagate Technology Holdings plc (NASDAQGS:STX)</t>
  </si>
  <si>
    <t>Sempra (NYSE:SRE)</t>
  </si>
  <si>
    <t>ServiceNow, Inc. (NYSE:NOW)</t>
  </si>
  <si>
    <t>Simon Property Group, Inc. (NYSE:SPG)</t>
  </si>
  <si>
    <t>Skyworks Solutions, Inc. (NASDAQGS:SWKS)</t>
  </si>
  <si>
    <t>SLB N.V. (NYSE:SLB)</t>
  </si>
  <si>
    <t>Smurfit Westrock Plc (NYSE:SW)</t>
  </si>
  <si>
    <t>Snap-on Incorporated (NYSE:SNA)</t>
  </si>
  <si>
    <t>Southwest Airlines Co. (NYSE:LUV)</t>
  </si>
  <si>
    <t>Stanley Black &amp; Decker, Inc. (NYSE:SWK)</t>
  </si>
  <si>
    <t>Starbucks Corporation (NASDAQGS:SBUX)</t>
  </si>
  <si>
    <t>State Street Corporation (NYSE:STT)</t>
  </si>
  <si>
    <t>Steel Dynamics, Inc. (NASDAQGS:STLD)</t>
  </si>
  <si>
    <t>STERIS plc (NYSE:STE)</t>
  </si>
  <si>
    <t>Stryker Corporation (NYSE:SYK)</t>
  </si>
  <si>
    <t>Super Micro Computer, Inc. (NASDAQGS:SMCI)</t>
  </si>
  <si>
    <t>Synchrony Financial (NYSE:SYF)</t>
  </si>
  <si>
    <t>Synopsys, Inc. (NASDAQGS:SNPS)</t>
  </si>
  <si>
    <t>Sysco Corporation (NYSE:SYY)</t>
  </si>
  <si>
    <t>T-Mobile US, Inc. (NASDAQGS:TMUS)</t>
  </si>
  <si>
    <t>T. Rowe Price Group, Inc. (NASDAQGS:TROW)</t>
  </si>
  <si>
    <t>Take-Two Interactive Software, Inc. (NASDAQGS:TTWO)</t>
  </si>
  <si>
    <t>Tapestry, Inc. (NYSE:TPR)</t>
  </si>
  <si>
    <t>Targa Resources Corp. (NYSE:TRGP)</t>
  </si>
  <si>
    <t>Target Corporation (NYSE:TGT)</t>
  </si>
  <si>
    <t>TE Connectivity plc (NYSE:TEL)</t>
  </si>
  <si>
    <t>Teledyne Technologies Incorporated (NYSE:TDY)</t>
  </si>
  <si>
    <t>Teradyne, Inc. (NASDAQGS:TER)</t>
  </si>
  <si>
    <t>Tesla, Inc. (NASDAQGS:TSLA)</t>
  </si>
  <si>
    <t>Texas Instruments Incorporated (NASDAQGS:TXN)</t>
  </si>
  <si>
    <t>Texas Pacific Land Corporation (NYSE:TPL)</t>
  </si>
  <si>
    <t>Textron Inc. (NYSE:TXT)</t>
  </si>
  <si>
    <t>The AES Corporation (NYSE:AES)</t>
  </si>
  <si>
    <t>The Allstate Corporation (NYSE:ALL)</t>
  </si>
  <si>
    <t>The Bank of New York Mellon Corporation (NYSE:BK)</t>
  </si>
  <si>
    <t>The Boeing Company (NYSE:BA)</t>
  </si>
  <si>
    <t>The Campbell's Company (NASDAQGS:CPB)</t>
  </si>
  <si>
    <t>The Charles Schwab Corporation (NYSE:SCHW)</t>
  </si>
  <si>
    <t>The Cigna Group (NYSE:CI)</t>
  </si>
  <si>
    <t>The Clorox Company (NYSE:CLX)</t>
  </si>
  <si>
    <t>The Coca-Cola Company (NYSE:KO)</t>
  </si>
  <si>
    <t>The Cooper Companies, Inc. (NASDAQGS:COO)</t>
  </si>
  <si>
    <t>The Estée Lauder Companies Inc. (NYSE:EL)</t>
  </si>
  <si>
    <t>The Goldman Sachs Group, Inc. (NYSE:GS)</t>
  </si>
  <si>
    <t>The Hartford Insurance Group, Inc. (NYSE:HIG)</t>
  </si>
  <si>
    <t>The Hershey Company (NYSE:HSY)</t>
  </si>
  <si>
    <t>The Home Depot, Inc. (NYSE:HD)</t>
  </si>
  <si>
    <t>The J. M. Smucker Company (NYSE:SJM)</t>
  </si>
  <si>
    <t>The Kraft Heinz Company (NASDAQGS:KHC)</t>
  </si>
  <si>
    <t>The Kroger Co. (NYSE:KR)</t>
  </si>
  <si>
    <t>The Mosaic Company (NYSE:MOS)</t>
  </si>
  <si>
    <t>The PNC Financial Services Group, Inc. (NYSE:PNC)</t>
  </si>
  <si>
    <t>The Procter &amp; Gamble Company (NYSE:PG)</t>
  </si>
  <si>
    <t>The Progressive Corporation (NYSE:PGR)</t>
  </si>
  <si>
    <t>The Sherwin-Williams Company (NYSE:SHW)</t>
  </si>
  <si>
    <t>The Southern Company (NYSE:SO)</t>
  </si>
  <si>
    <t>The TJX Companies, Inc. (NYSE:TJX)</t>
  </si>
  <si>
    <t>The Trade Desk, Inc. (NASDAQGM:TTD)</t>
  </si>
  <si>
    <t>The Travelers Companies, Inc. (NYSE:TRV)</t>
  </si>
  <si>
    <t>The Walt Disney Company (NYSE:DIS)</t>
  </si>
  <si>
    <t>The Williams Companies, Inc. (NYSE:WMB)</t>
  </si>
  <si>
    <t>Thermo Fisher Scientific Inc. (NYSE:TMO)</t>
  </si>
  <si>
    <t>Tractor Supply Company (NASDAQGS:TSCO)</t>
  </si>
  <si>
    <t>Trane Technologies plc (NYSE:TT)</t>
  </si>
  <si>
    <t>TransDigm Group Incorporated (NYSE:TDG)</t>
  </si>
  <si>
    <t>Trimble Inc. (NASDAQGS:TRMB)</t>
  </si>
  <si>
    <t>Truist Financial Corporation (NYSE:TFC)</t>
  </si>
  <si>
    <t>Tyler Technologies, Inc. (NYSE:TYL)</t>
  </si>
  <si>
    <t>Tyson Foods, Inc. (NYSE:TSN)</t>
  </si>
  <si>
    <t>U.S. Bancorp (NYSE:USB)</t>
  </si>
  <si>
    <t>UDR, Inc. (NYSE:UDR)</t>
  </si>
  <si>
    <t>Ulta Beauty, Inc. (NASDAQGS:ULTA)</t>
  </si>
  <si>
    <t>Union Pacific Corporation (NYSE:UNP)</t>
  </si>
  <si>
    <t>United Airlines Holdings, Inc. (NASDAQGS:UAL)</t>
  </si>
  <si>
    <t>United Parcel Service, Inc. (NYSE:UPS)</t>
  </si>
  <si>
    <t>United Rentals, Inc. (NYSE:URI)</t>
  </si>
  <si>
    <t>UnitedHealth Group Incorporated (NYSE:UNH)</t>
  </si>
  <si>
    <t>Universal Health Services, Inc. (NYSE:UHS)</t>
  </si>
  <si>
    <t>Valero Energy Corporation (NYSE:VLO)</t>
  </si>
  <si>
    <t>Ventas, Inc. (NYSE:VTR)</t>
  </si>
  <si>
    <t>VeriSign, Inc. (NASDAQGS:VRSN)</t>
  </si>
  <si>
    <t>Verisk Analytics, Inc. (NASDAQGS:VRSK)</t>
  </si>
  <si>
    <t>Verizon Communications Inc. (NYSE:VZ)</t>
  </si>
  <si>
    <t>Vertex Pharmaceuticals Incorporated (NASDAQGS:VRTX)</t>
  </si>
  <si>
    <t>Viatris Inc. (NASDAQGS:VTRS)</t>
  </si>
  <si>
    <t>VICI Properties Inc. (NYSE:VICI)</t>
  </si>
  <si>
    <t>Visa Inc. (NYSE:V)</t>
  </si>
  <si>
    <t>Vistra Corp. (NYSE:VST)</t>
  </si>
  <si>
    <t>Vulcan Materials Company (NYSE:VMC)</t>
  </si>
  <si>
    <t>W. R. Berkley Corporation (NYSE:WRB)</t>
  </si>
  <si>
    <t>W.W. Grainger, Inc. (NYSE:GWW)</t>
  </si>
  <si>
    <t>Walmart Inc. (NASDAQGS:WMT)</t>
  </si>
  <si>
    <t>Warner Bros. Discovery, Inc. (NASDAQGS:WBD)</t>
  </si>
  <si>
    <t>Waste Management, Inc. (NYSE:WM)</t>
  </si>
  <si>
    <t>Waters Corporation (NYSE:WAT)</t>
  </si>
  <si>
    <t>WEC Energy Group, Inc. (NYSE:WEC)</t>
  </si>
  <si>
    <t>Wells Fargo &amp; Company (NYSE:WFC)</t>
  </si>
  <si>
    <t>Welltower Inc. (NYSE:WELL)</t>
  </si>
  <si>
    <t>West Pharmaceutical Services, Inc. (NYSE:WST)</t>
  </si>
  <si>
    <t>Western Digital Corporation (NASDAQGS:WDC)</t>
  </si>
  <si>
    <t>Westinghouse Air Brake Technologies Corporation (NYSE:WAB)</t>
  </si>
  <si>
    <t>Weyerhaeuser Company (NYSE:WY)</t>
  </si>
  <si>
    <t>Williams-Sonoma, Inc. (NYSE:WSM)</t>
  </si>
  <si>
    <t>Willis Towers Watson Public Limited Company (NASDAQGS:WTW)</t>
  </si>
  <si>
    <t>Workday, Inc. (NASDAQGS:WDAY)</t>
  </si>
  <si>
    <t>Wynn Resorts, Limited (NASDAQGS:WYNN)</t>
  </si>
  <si>
    <t>Xcel Energy Inc. (NASDAQGS:XEL)</t>
  </si>
  <si>
    <t>Xylem Inc. (NYSE:XYL)</t>
  </si>
  <si>
    <t>Yum! Brands, Inc. (NYSE:YUM)</t>
  </si>
  <si>
    <t>Zebra Technologies Corporation (NASDAQGS:ZBRA)</t>
  </si>
  <si>
    <t>Zimmer Biomet Holdings, Inc. (NYSE:ZBH)</t>
  </si>
  <si>
    <t>Zoetis Inc. (NYSE:ZTS)</t>
  </si>
  <si>
    <t>FY2025</t>
  </si>
  <si>
    <t>FY2024</t>
  </si>
  <si>
    <t>FY2023</t>
  </si>
  <si>
    <t>FY2022</t>
  </si>
  <si>
    <t>FY2021</t>
  </si>
  <si>
    <t>FY2020</t>
  </si>
  <si>
    <t>FY2019</t>
  </si>
  <si>
    <t>FY2018</t>
  </si>
  <si>
    <t>FY2017</t>
  </si>
  <si>
    <t>FY2016</t>
  </si>
  <si>
    <t>FY2015</t>
  </si>
  <si>
    <t>SP_COMPANY_NAME_ABBR</t>
  </si>
  <si>
    <t>SP_TICKER</t>
  </si>
  <si>
    <t>MI_INDUSTRY_CLASSIFICATION</t>
  </si>
  <si>
    <t>IQ_TOTAL_ASSETS</t>
  </si>
  <si>
    <t>SP_ENTITY_NAME</t>
  </si>
  <si>
    <t>SP_ENTITY_ID</t>
  </si>
  <si>
    <t>3M Co.</t>
  </si>
  <si>
    <t>MMM</t>
  </si>
  <si>
    <t>Industrial Conglomerates</t>
  </si>
  <si>
    <t>32137196,1</t>
  </si>
  <si>
    <t>38508501,2</t>
  </si>
  <si>
    <t>43467943,5</t>
  </si>
  <si>
    <t>41390409,6</t>
  </si>
  <si>
    <t>39795634,9</t>
  </si>
  <si>
    <t>31635573,6</t>
  </si>
  <si>
    <t>31171853,8</t>
  </si>
  <si>
    <t>30277022,25</t>
  </si>
  <si>
    <t>A. O. Smith Corp.</t>
  </si>
  <si>
    <t>AOS</t>
  </si>
  <si>
    <t>Building Products</t>
  </si>
  <si>
    <t>2676722,76</t>
  </si>
  <si>
    <t>2907615,33</t>
  </si>
  <si>
    <t>3118033,11</t>
  </si>
  <si>
    <t>3055039,92</t>
  </si>
  <si>
    <t>2583872,25</t>
  </si>
  <si>
    <t>2724983,8</t>
  </si>
  <si>
    <t>2682648,1</t>
  </si>
  <si>
    <t>2662794,72</t>
  </si>
  <si>
    <t>2738644,3</t>
  </si>
  <si>
    <t>2420835,9</t>
  </si>
  <si>
    <t>Abbott Laboratories</t>
  </si>
  <si>
    <t>ABT</t>
  </si>
  <si>
    <t>Health Care Equipment</t>
  </si>
  <si>
    <t>73853462,1</t>
  </si>
  <si>
    <t>78637782,6</t>
  </si>
  <si>
    <t>66236705,8</t>
  </si>
  <si>
    <t>69651636,6</t>
  </si>
  <si>
    <t>66119842,8</t>
  </si>
  <si>
    <t>60494105,7</t>
  </si>
  <si>
    <t>58668898,2</t>
  </si>
  <si>
    <t>49890501,8</t>
  </si>
  <si>
    <t>37978175,25</t>
  </si>
  <si>
    <t>AbbVie Inc.</t>
  </si>
  <si>
    <t>ABBV</t>
  </si>
  <si>
    <t>Biotechnology</t>
  </si>
  <si>
    <t>130552009,9</t>
  </si>
  <si>
    <t>121873041,7</t>
  </si>
  <si>
    <t>129879838,5</t>
  </si>
  <si>
    <t>128842949,7</t>
  </si>
  <si>
    <t>123086887,5</t>
  </si>
  <si>
    <t>79410376,5</t>
  </si>
  <si>
    <t>51838036,8</t>
  </si>
  <si>
    <t>58950580,8</t>
  </si>
  <si>
    <t>62615582,7</t>
  </si>
  <si>
    <t>48845787,5</t>
  </si>
  <si>
    <t>Accenture plc</t>
  </si>
  <si>
    <t>ACN</t>
  </si>
  <si>
    <t>IT Consulting and Other Services</t>
  </si>
  <si>
    <t>47248171,21</t>
  </si>
  <si>
    <t>Adobe Inc.</t>
  </si>
  <si>
    <t>ADBE</t>
  </si>
  <si>
    <t>Application Software</t>
  </si>
  <si>
    <t>25437350,4</t>
  </si>
  <si>
    <t>27417525,3</t>
  </si>
  <si>
    <t>25907260,5</t>
  </si>
  <si>
    <t>24132801,9</t>
  </si>
  <si>
    <t>20311137,6</t>
  </si>
  <si>
    <t>18843591,2</t>
  </si>
  <si>
    <t>Advanced Micro Devices Inc.</t>
  </si>
  <si>
    <t>AMD</t>
  </si>
  <si>
    <t>Semiconductors</t>
  </si>
  <si>
    <t>66380811,4</t>
  </si>
  <si>
    <t>61415559,5</t>
  </si>
  <si>
    <t>10979637,9</t>
  </si>
  <si>
    <t>7354217,2</t>
  </si>
  <si>
    <t>5394457,2</t>
  </si>
  <si>
    <t>3980121,6</t>
  </si>
  <si>
    <t>2958105,6</t>
  </si>
  <si>
    <t>3145983,3</t>
  </si>
  <si>
    <t>Aflac Inc.</t>
  </si>
  <si>
    <t>AFL</t>
  </si>
  <si>
    <t>Life and Health</t>
  </si>
  <si>
    <t>113556999,4</t>
  </si>
  <si>
    <t>114647202,8</t>
  </si>
  <si>
    <t>123267246,6</t>
  </si>
  <si>
    <t>138526680,6</t>
  </si>
  <si>
    <t>136131564,8</t>
  </si>
  <si>
    <t>122630600,4</t>
  </si>
  <si>
    <t>114274317,6</t>
  </si>
  <si>
    <t>122977538,7</t>
  </si>
  <si>
    <t>Agilent Technologies Inc</t>
  </si>
  <si>
    <t>A</t>
  </si>
  <si>
    <t>Life Sciences Tools and Services</t>
  </si>
  <si>
    <t>10187179,5</t>
  </si>
  <si>
    <t>10651011,6</t>
  </si>
  <si>
    <t>8260928,7</t>
  </si>
  <si>
    <t>8479389,2</t>
  </si>
  <si>
    <t>7545973,5</t>
  </si>
  <si>
    <t>7111245,6</t>
  </si>
  <si>
    <t>6782331,15</t>
  </si>
  <si>
    <t>Air Products &amp; Chemicals Inc.</t>
  </si>
  <si>
    <t>APD</t>
  </si>
  <si>
    <t>Industrial Gases</t>
  </si>
  <si>
    <t>34995011,85</t>
  </si>
  <si>
    <t>35482586,36</t>
  </si>
  <si>
    <t>27731013,48</t>
  </si>
  <si>
    <t>23174117,76</t>
  </si>
  <si>
    <t>21433494,6</t>
  </si>
  <si>
    <t>17372441,88</t>
  </si>
  <si>
    <t>16506762,81</t>
  </si>
  <si>
    <t>15625097,92</t>
  </si>
  <si>
    <t>16039143,99</t>
  </si>
  <si>
    <t>Akamai Technologies Inc.</t>
  </si>
  <si>
    <t>AKAM</t>
  </si>
  <si>
    <t>Internet Services and Infrastructure</t>
  </si>
  <si>
    <t>7769491,38</t>
  </si>
  <si>
    <t>Albemarle Corp.</t>
  </si>
  <si>
    <t>ALB</t>
  </si>
  <si>
    <t>Specialty Chemicals</t>
  </si>
  <si>
    <t>Alexandria Real Estate</t>
  </si>
  <si>
    <t>ARE</t>
  </si>
  <si>
    <t>Health Care REIT</t>
  </si>
  <si>
    <t>Align Technology Inc.</t>
  </si>
  <si>
    <t>ALGN</t>
  </si>
  <si>
    <t>Health Care Supplies</t>
  </si>
  <si>
    <t>6002682,14</t>
  </si>
  <si>
    <t>Allegion plc</t>
  </si>
  <si>
    <t>ALLE</t>
  </si>
  <si>
    <t>4449025,29</t>
  </si>
  <si>
    <t>4334766,02</t>
  </si>
  <si>
    <t>3900614,05</t>
  </si>
  <si>
    <t>3734565,84</t>
  </si>
  <si>
    <t>2682744,3</t>
  </si>
  <si>
    <t>2509234,5</t>
  </si>
  <si>
    <t>2644071,92</t>
  </si>
  <si>
    <t>2454428,68</t>
  </si>
  <si>
    <t>2116977,6</t>
  </si>
  <si>
    <t>2128962,02</t>
  </si>
  <si>
    <t>2083657,25</t>
  </si>
  <si>
    <t>Alliant Energy</t>
  </si>
  <si>
    <t>LNT</t>
  </si>
  <si>
    <t>Electric Utilities</t>
  </si>
  <si>
    <t>21284834,7</t>
  </si>
  <si>
    <t>21939452,6</t>
  </si>
  <si>
    <t>19213113,9</t>
  </si>
  <si>
    <t>18866519,1</t>
  </si>
  <si>
    <t>16313652,9</t>
  </si>
  <si>
    <t>14882261,1</t>
  </si>
  <si>
    <t>13473068,4</t>
  </si>
  <si>
    <t>11815599,84</t>
  </si>
  <si>
    <t>12669000,74</t>
  </si>
  <si>
    <t>11504955,4</t>
  </si>
  <si>
    <t>Alphabet Inc.</t>
  </si>
  <si>
    <t>GOOGL</t>
  </si>
  <si>
    <t>Interactive Media and Services</t>
  </si>
  <si>
    <t>507000827,7</t>
  </si>
  <si>
    <t>434902270,4</t>
  </si>
  <si>
    <t>364044042,4</t>
  </si>
  <si>
    <t>341777524,8</t>
  </si>
  <si>
    <t>315904352,4</t>
  </si>
  <si>
    <t>245862509,9</t>
  </si>
  <si>
    <t>203320532,8</t>
  </si>
  <si>
    <t>158669908,1</t>
  </si>
  <si>
    <t>135774715,75</t>
  </si>
  <si>
    <t>Altria Group</t>
  </si>
  <si>
    <t>MO</t>
  </si>
  <si>
    <t>Tobacco Producers</t>
  </si>
  <si>
    <t>29823978,9</t>
  </si>
  <si>
    <t>33977464,3</t>
  </si>
  <si>
    <t>34577857,8</t>
  </si>
  <si>
    <t>34752573,9</t>
  </si>
  <si>
    <t>43905388,1</t>
  </si>
  <si>
    <t>48437890,6</t>
  </si>
  <si>
    <t>35978625,6</t>
  </si>
  <si>
    <t>43511383,6</t>
  </si>
  <si>
    <t>28965874,25</t>
  </si>
  <si>
    <t>Amazon.com Inc.</t>
  </si>
  <si>
    <t>AMZN</t>
  </si>
  <si>
    <t>Broadline Retail</t>
  </si>
  <si>
    <t>696726371,4</t>
  </si>
  <si>
    <t>603585114,6</t>
  </si>
  <si>
    <t>477549513,8</t>
  </si>
  <si>
    <t>432924997,5</t>
  </si>
  <si>
    <t>369788735,7</t>
  </si>
  <si>
    <t>262576912,5</t>
  </si>
  <si>
    <t>200718492,8</t>
  </si>
  <si>
    <t>142056763,2</t>
  </si>
  <si>
    <t>79006714,6</t>
  </si>
  <si>
    <t>59615800,25</t>
  </si>
  <si>
    <t>Amcor plc</t>
  </si>
  <si>
    <t>AMCR</t>
  </si>
  <si>
    <t>Packaging and Materials: Paper and Plastic</t>
  </si>
  <si>
    <t>15421849,2</t>
  </si>
  <si>
    <t>16669711,6</t>
  </si>
  <si>
    <t>14496359,2</t>
  </si>
  <si>
    <t>14610361,2</t>
  </si>
  <si>
    <t>7763183,25</t>
  </si>
  <si>
    <t>7961512,45</t>
  </si>
  <si>
    <t>Ameren Corp.</t>
  </si>
  <si>
    <t>AEE</t>
  </si>
  <si>
    <t>Multi-Utilities</t>
  </si>
  <si>
    <t>41287009,2</t>
  </si>
  <si>
    <t>43077208,2</t>
  </si>
  <si>
    <t>35466772,8</t>
  </si>
  <si>
    <t>31421785,5</t>
  </si>
  <si>
    <t>25782196,3</t>
  </si>
  <si>
    <t>23397362,7</t>
  </si>
  <si>
    <t>American Electric Power Co.</t>
  </si>
  <si>
    <t>AEP</t>
  </si>
  <si>
    <t>99563040,2</t>
  </si>
  <si>
    <t>87470014,8</t>
  </si>
  <si>
    <t>87397467,81</t>
  </si>
  <si>
    <t>77087087,91</t>
  </si>
  <si>
    <t>67627628,53</t>
  </si>
  <si>
    <t>60092365,52</t>
  </si>
  <si>
    <t>53906394,48</t>
  </si>
  <si>
    <t>60122952,21</t>
  </si>
  <si>
    <t>American Express Co.</t>
  </si>
  <si>
    <t>AXP</t>
  </si>
  <si>
    <t>Payment Processors</t>
  </si>
  <si>
    <t>255554288,4</t>
  </si>
  <si>
    <t>262204179,9</t>
  </si>
  <si>
    <t>236224407,6</t>
  </si>
  <si>
    <t>213670837,8</t>
  </si>
  <si>
    <t>165790256,4</t>
  </si>
  <si>
    <t>156442522,5</t>
  </si>
  <si>
    <t>176723843,1</t>
  </si>
  <si>
    <t>164724986,8</t>
  </si>
  <si>
    <t>150900028,8</t>
  </si>
  <si>
    <t>150519338,9</t>
  </si>
  <si>
    <t>American International Group</t>
  </si>
  <si>
    <t>AIG</t>
  </si>
  <si>
    <t>Property and Casualty</t>
  </si>
  <si>
    <t>137340031,8</t>
  </si>
  <si>
    <t>155820919,8</t>
  </si>
  <si>
    <t>487910138,2</t>
  </si>
  <si>
    <t>488648739,6</t>
  </si>
  <si>
    <t>524161281,6</t>
  </si>
  <si>
    <t>479448217,5</t>
  </si>
  <si>
    <t>467884530,4</t>
  </si>
  <si>
    <t>429698825,6</t>
  </si>
  <si>
    <t>414985072,8</t>
  </si>
  <si>
    <t>472005487,2</t>
  </si>
  <si>
    <t>457467271,5</t>
  </si>
  <si>
    <t>American Tower Corp.</t>
  </si>
  <si>
    <t>AMT</t>
  </si>
  <si>
    <t>Telecom Tower REIT</t>
  </si>
  <si>
    <t>53819263,68</t>
  </si>
  <si>
    <t>58994660,66</t>
  </si>
  <si>
    <t>59735169,72</t>
  </si>
  <si>
    <t>62873893,65</t>
  </si>
  <si>
    <t>61452430,47</t>
  </si>
  <si>
    <t>38613386,25</t>
  </si>
  <si>
    <t>38140505,76</t>
  </si>
  <si>
    <t>28831283,36</t>
  </si>
  <si>
    <t>27660869,04</t>
  </si>
  <si>
    <t>29251866,16</t>
  </si>
  <si>
    <t>American Water Works Co.</t>
  </si>
  <si>
    <t>AWK</t>
  </si>
  <si>
    <t>Water Utilities</t>
  </si>
  <si>
    <t>30185951,4</t>
  </si>
  <si>
    <t>27410600,6</t>
  </si>
  <si>
    <t>26000295,9</t>
  </si>
  <si>
    <t>22927747,5</t>
  </si>
  <si>
    <t>20211930,2</t>
  </si>
  <si>
    <t>18536168,2</t>
  </si>
  <si>
    <t>16224609,6</t>
  </si>
  <si>
    <t>17507998,6</t>
  </si>
  <si>
    <t>15874650,75</t>
  </si>
  <si>
    <t>Ameriprise Financial Inc.</t>
  </si>
  <si>
    <t>AMP</t>
  </si>
  <si>
    <t>Asset Management</t>
  </si>
  <si>
    <t>162592936,8</t>
  </si>
  <si>
    <t>175217157,7</t>
  </si>
  <si>
    <t>158495297,7</t>
  </si>
  <si>
    <t>148637816,4</t>
  </si>
  <si>
    <t>135609352,5</t>
  </si>
  <si>
    <t>135293930,8</t>
  </si>
  <si>
    <t>119844454,4</t>
  </si>
  <si>
    <t>132452433,3</t>
  </si>
  <si>
    <t>133820884,25</t>
  </si>
  <si>
    <t>AMETEK Inc.</t>
  </si>
  <si>
    <t>AME</t>
  </si>
  <si>
    <t>Electrical Components and Equipment: Light</t>
  </si>
  <si>
    <t>Amgen Inc.</t>
  </si>
  <si>
    <t>AMGN</t>
  </si>
  <si>
    <t>77152096,2</t>
  </si>
  <si>
    <t>88707290,1</t>
  </si>
  <si>
    <t>87895223,8</t>
  </si>
  <si>
    <t>60933719,7</t>
  </si>
  <si>
    <t>53782384,5</t>
  </si>
  <si>
    <t>53204907,7</t>
  </si>
  <si>
    <t>58007734,4</t>
  </si>
  <si>
    <t>66585691,2</t>
  </si>
  <si>
    <t>73535109,8</t>
  </si>
  <si>
    <t>65786666,75</t>
  </si>
  <si>
    <t>Amphenol Corp.</t>
  </si>
  <si>
    <t>APH</t>
  </si>
  <si>
    <t>Electronic Components</t>
  </si>
  <si>
    <t>30862967,73</t>
  </si>
  <si>
    <t>20709089,18</t>
  </si>
  <si>
    <t>14951434,08</t>
  </si>
  <si>
    <t>14340725,34</t>
  </si>
  <si>
    <t>12906717,12</t>
  </si>
  <si>
    <t>10077567,75</t>
  </si>
  <si>
    <t>9637692,05</t>
  </si>
  <si>
    <t>8773215,66</t>
  </si>
  <si>
    <t>8331247,92</t>
  </si>
  <si>
    <t>8050818,51</t>
  </si>
  <si>
    <t>6867321,8</t>
  </si>
  <si>
    <t>Analog Devices Inc.</t>
  </si>
  <si>
    <t>ADI</t>
  </si>
  <si>
    <t>Aon plc</t>
  </si>
  <si>
    <t>AON</t>
  </si>
  <si>
    <t>Insurance Broker</t>
  </si>
  <si>
    <t>43252732,8</t>
  </si>
  <si>
    <t>47295293,5</t>
  </si>
  <si>
    <t>30722707,3</t>
  </si>
  <si>
    <t>30601132,8</t>
  </si>
  <si>
    <t>28064618,1</t>
  </si>
  <si>
    <t>26202795,5</t>
  </si>
  <si>
    <t>23076974,8</t>
  </si>
  <si>
    <t>21726086,4</t>
  </si>
  <si>
    <t>25212389,5</t>
  </si>
  <si>
    <t>24752522,25</t>
  </si>
  <si>
    <t>APA Corp.</t>
  </si>
  <si>
    <t>APA</t>
  </si>
  <si>
    <t>Oil and Gas Exploration and Production</t>
  </si>
  <si>
    <t>15127043,7</t>
  </si>
  <si>
    <t>13791246,8</t>
  </si>
  <si>
    <t>12301647,9</t>
  </si>
  <si>
    <t>11697327,9</t>
  </si>
  <si>
    <t>16135147,7</t>
  </si>
  <si>
    <t>18849718,8</t>
  </si>
  <si>
    <t>18256641,6</t>
  </si>
  <si>
    <t>21332248,7</t>
  </si>
  <si>
    <t>Apollo Global Management Inc.</t>
  </si>
  <si>
    <t>APO</t>
  </si>
  <si>
    <t>392590263,3</t>
  </si>
  <si>
    <t>365008780,5</t>
  </si>
  <si>
    <t>283612593,6</t>
  </si>
  <si>
    <t>240677946,9</t>
  </si>
  <si>
    <t>26820408,6</t>
  </si>
  <si>
    <t>19349476,17</t>
  </si>
  <si>
    <t>Apple Inc.</t>
  </si>
  <si>
    <t>AAPL</t>
  </si>
  <si>
    <t>Technology Hardware, Storage and Peripherals</t>
  </si>
  <si>
    <t>307222903,2</t>
  </si>
  <si>
    <t>333120418,4</t>
  </si>
  <si>
    <t>362808517,5</t>
  </si>
  <si>
    <t>278770401,6</t>
  </si>
  <si>
    <t>309200514,4</t>
  </si>
  <si>
    <t>314779507,5</t>
  </si>
  <si>
    <t>317557405,9</t>
  </si>
  <si>
    <t>286606141,7</t>
  </si>
  <si>
    <t>259118395,25</t>
  </si>
  <si>
    <t>Applied Materials Inc.</t>
  </si>
  <si>
    <t>AMAT</t>
  </si>
  <si>
    <t>Semiconductor Materials and Equipment</t>
  </si>
  <si>
    <t>31206250,3</t>
  </si>
  <si>
    <t>29011248,9</t>
  </si>
  <si>
    <t>26878338,2</t>
  </si>
  <si>
    <t>18883814,4</t>
  </si>
  <si>
    <t>17155843,2</t>
  </si>
  <si>
    <t>15490590,5</t>
  </si>
  <si>
    <t>16766364,6</t>
  </si>
  <si>
    <t>13898898,6</t>
  </si>
  <si>
    <t>Aptiv PLC</t>
  </si>
  <si>
    <t>APTV</t>
  </si>
  <si>
    <t>Automotive Parts and Equipment</t>
  </si>
  <si>
    <t>19940852,1</t>
  </si>
  <si>
    <t>22658082,2</t>
  </si>
  <si>
    <t>22099106,9</t>
  </si>
  <si>
    <t>20476858,8</t>
  </si>
  <si>
    <t>15833555,1</t>
  </si>
  <si>
    <t>11993314,9</t>
  </si>
  <si>
    <t>10134343,2</t>
  </si>
  <si>
    <t>11644211,6</t>
  </si>
  <si>
    <t>11024139,75</t>
  </si>
  <si>
    <t>Arch Capital Group Ltd.</t>
  </si>
  <si>
    <t>ACGL</t>
  </si>
  <si>
    <t>67489559,7</t>
  </si>
  <si>
    <t>68488105,4</t>
  </si>
  <si>
    <t>53292258,2</t>
  </si>
  <si>
    <t>Archer-Daniels-Midland Co.</t>
  </si>
  <si>
    <t>ADM</t>
  </si>
  <si>
    <t>Agricultural Products and Services</t>
  </si>
  <si>
    <t>44619711,3</t>
  </si>
  <si>
    <t>51454458,9</t>
  </si>
  <si>
    <t>49424665,7</t>
  </si>
  <si>
    <t>55930531,8</t>
  </si>
  <si>
    <t>49360384,8</t>
  </si>
  <si>
    <t>40645282,5</t>
  </si>
  <si>
    <t>39205726,7</t>
  </si>
  <si>
    <t>35663542,2</t>
  </si>
  <si>
    <t>33281186,4</t>
  </si>
  <si>
    <t>37673173,7</t>
  </si>
  <si>
    <t>36974557,75</t>
  </si>
  <si>
    <t>Ares Management Corporation</t>
  </si>
  <si>
    <t>ARES</t>
  </si>
  <si>
    <t>22373683,35</t>
  </si>
  <si>
    <t>12400650,96</t>
  </si>
  <si>
    <t>Arista Networks Inc.</t>
  </si>
  <si>
    <t>ANET</t>
  </si>
  <si>
    <t>Communications Equipment</t>
  </si>
  <si>
    <t>16564372,62</t>
  </si>
  <si>
    <t>13565003,01</t>
  </si>
  <si>
    <t>Arthur J. Gallagher &amp; Co.</t>
  </si>
  <si>
    <t>AJG</t>
  </si>
  <si>
    <t>60185380,5</t>
  </si>
  <si>
    <t>62063904,5</t>
  </si>
  <si>
    <t>46696814,26</t>
  </si>
  <si>
    <t>35891954,88</t>
  </si>
  <si>
    <t>29320258,5</t>
  </si>
  <si>
    <t>18255919,5</t>
  </si>
  <si>
    <t>17496570,28</t>
  </si>
  <si>
    <t>14266115,6</t>
  </si>
  <si>
    <t>12416798,16</t>
  </si>
  <si>
    <t>10884098,08</t>
  </si>
  <si>
    <t>Assurant Inc.</t>
  </si>
  <si>
    <t>AIZ</t>
  </si>
  <si>
    <t>30907852,32</t>
  </si>
  <si>
    <t>33826397,54</t>
  </si>
  <si>
    <t>30429765,44</t>
  </si>
  <si>
    <t>30987857,61</t>
  </si>
  <si>
    <t>29826383,58</t>
  </si>
  <si>
    <t>36501293,25</t>
  </si>
  <si>
    <t>39467888,32</t>
  </si>
  <si>
    <t>35887394,62</t>
  </si>
  <si>
    <t>26518850,4</t>
  </si>
  <si>
    <t>28143430,43</t>
  </si>
  <si>
    <t>AT&amp;T Inc.</t>
  </si>
  <si>
    <t>T</t>
  </si>
  <si>
    <t>Integrated Telecommunication Services</t>
  </si>
  <si>
    <t>357882636,6</t>
  </si>
  <si>
    <t>381332490,5</t>
  </si>
  <si>
    <t>376949552,1</t>
  </si>
  <si>
    <t>485041224,6</t>
  </si>
  <si>
    <t>429809617,5</t>
  </si>
  <si>
    <t>491592245,9</t>
  </si>
  <si>
    <t>464530017,6</t>
  </si>
  <si>
    <t>369843981,6</t>
  </si>
  <si>
    <t>382539633,3</t>
  </si>
  <si>
    <t>Atmos Energy Corp.</t>
  </si>
  <si>
    <t>ATO</t>
  </si>
  <si>
    <t>Gas Utilities</t>
  </si>
  <si>
    <t>Autodesk Inc.</t>
  </si>
  <si>
    <t>ADSK</t>
  </si>
  <si>
    <t>10422429,3</t>
  </si>
  <si>
    <t>9135890,4</t>
  </si>
  <si>
    <t>8689566,6</t>
  </si>
  <si>
    <t>7684329,6</t>
  </si>
  <si>
    <t>5997099,24</t>
  </si>
  <si>
    <t>5573728,6</t>
  </si>
  <si>
    <t>4128591,6</t>
  </si>
  <si>
    <t>3306923,04</t>
  </si>
  <si>
    <t>4446399,27</t>
  </si>
  <si>
    <t>Automatic Data Processing Inc.</t>
  </si>
  <si>
    <t>ADP</t>
  </si>
  <si>
    <t>Human Resource and Employment Services</t>
  </si>
  <si>
    <t>45443958,95</t>
  </si>
  <si>
    <t>50736707,91</t>
  </si>
  <si>
    <t>60331040,12</t>
  </si>
  <si>
    <t>41134726,5</t>
  </si>
  <si>
    <t>34802463,3</t>
  </si>
  <si>
    <t>36810910,76</t>
  </si>
  <si>
    <t>33297563,61</t>
  </si>
  <si>
    <t>39322651,5</t>
  </si>
  <si>
    <t>AutoZone Inc.</t>
  </si>
  <si>
    <t>AZO</t>
  </si>
  <si>
    <t>Automotive Retail</t>
  </si>
  <si>
    <t>8043076,29</t>
  </si>
  <si>
    <t>AvalonBay Communities Inc.</t>
  </si>
  <si>
    <t>AVB</t>
  </si>
  <si>
    <t>Multi-Family Residential REIT</t>
  </si>
  <si>
    <t>15695300,22</t>
  </si>
  <si>
    <t>16053266,68</t>
  </si>
  <si>
    <t>Avery Dennison Corp.</t>
  </si>
  <si>
    <t>AVY</t>
  </si>
  <si>
    <t>7496407,89</t>
  </si>
  <si>
    <t>8058787,38</t>
  </si>
  <si>
    <t>7427406,06</t>
  </si>
  <si>
    <t>7439282,85</t>
  </si>
  <si>
    <t>7009427,88</t>
  </si>
  <si>
    <t>4980280,54</t>
  </si>
  <si>
    <t>4911927,12</t>
  </si>
  <si>
    <t>4278010,32</t>
  </si>
  <si>
    <t>4164709,72</t>
  </si>
  <si>
    <t>Axon Enterprise Inc.</t>
  </si>
  <si>
    <t>AXON</t>
  </si>
  <si>
    <t>Aerospace and Defense</t>
  </si>
  <si>
    <t>Baker Hughes Co.</t>
  </si>
  <si>
    <t>BKR</t>
  </si>
  <si>
    <t>Oil and Gas Equipment and Services</t>
  </si>
  <si>
    <t>34818347,7</t>
  </si>
  <si>
    <t>37054821,7</t>
  </si>
  <si>
    <t>33424141,5</t>
  </si>
  <si>
    <t>31983161,7</t>
  </si>
  <si>
    <t>31046324,4</t>
  </si>
  <si>
    <t>31070722,5</t>
  </si>
  <si>
    <t>47557115,9</t>
  </si>
  <si>
    <t>45800222,6</t>
  </si>
  <si>
    <t>20576303,3</t>
  </si>
  <si>
    <t>21299709,75</t>
  </si>
  <si>
    <t>Ball Corp.</t>
  </si>
  <si>
    <t>BALL</t>
  </si>
  <si>
    <t>Containers and Packaging: Metal, Glass, and Plastic</t>
  </si>
  <si>
    <t>16628590,8</t>
  </si>
  <si>
    <t>17026885,2</t>
  </si>
  <si>
    <t>17463424,1</t>
  </si>
  <si>
    <t>18628851,3</t>
  </si>
  <si>
    <t>17334520,2</t>
  </si>
  <si>
    <t>14458263,6</t>
  </si>
  <si>
    <t>14298343,2</t>
  </si>
  <si>
    <t>15320682,9</t>
  </si>
  <si>
    <t>8928512,75</t>
  </si>
  <si>
    <t>Bank of America Corporation</t>
  </si>
  <si>
    <t>BAC</t>
  </si>
  <si>
    <t>Bank</t>
  </si>
  <si>
    <t>2905777254,6</t>
  </si>
  <si>
    <t>3150088704,1</t>
  </si>
  <si>
    <t>2877082609,7</t>
  </si>
  <si>
    <t>2855171587,5</t>
  </si>
  <si>
    <t>2786936953,5</t>
  </si>
  <si>
    <t>2305045072,5</t>
  </si>
  <si>
    <t>2169007796,9</t>
  </si>
  <si>
    <t>2056426413,8</t>
  </si>
  <si>
    <t>1899811675,2</t>
  </si>
  <si>
    <t>2072755869,1</t>
  </si>
  <si>
    <t>1974352255,25</t>
  </si>
  <si>
    <t>Baxter International Inc.</t>
  </si>
  <si>
    <t>BAX</t>
  </si>
  <si>
    <t>17080843,5</t>
  </si>
  <si>
    <t>24902833,8</t>
  </si>
  <si>
    <t>25581297,2</t>
  </si>
  <si>
    <t>26468145,9</t>
  </si>
  <si>
    <t>29475015,3</t>
  </si>
  <si>
    <t>16365532,5</t>
  </si>
  <si>
    <t>16211782,3</t>
  </si>
  <si>
    <t>14250040,8</t>
  </si>
  <si>
    <t>14726725,8</t>
  </si>
  <si>
    <t>19300761,5</t>
  </si>
  <si>
    <t>Becton Dickinson &amp; Co.</t>
  </si>
  <si>
    <t>BDX</t>
  </si>
  <si>
    <t>47153497,5</t>
  </si>
  <si>
    <t>51362627,6</t>
  </si>
  <si>
    <t>53982093,2</t>
  </si>
  <si>
    <t>46475584,8</t>
  </si>
  <si>
    <t>45996619,2</t>
  </si>
  <si>
    <t>47473681,5</t>
  </si>
  <si>
    <t>46395172,8</t>
  </si>
  <si>
    <t>31926737,4</t>
  </si>
  <si>
    <t>22762584,9</t>
  </si>
  <si>
    <t>23725611,9</t>
  </si>
  <si>
    <t>Berkshire Hathaway Inc.</t>
  </si>
  <si>
    <t>BRK.A</t>
  </si>
  <si>
    <t>Holding Companies, Patent Owners, and Trusts or Estates</t>
  </si>
  <si>
    <t>1040927299,2</t>
  </si>
  <si>
    <t>1114533657,9</t>
  </si>
  <si>
    <t>968009096,6</t>
  </si>
  <si>
    <t>887478700,5</t>
  </si>
  <si>
    <t>843058771,2</t>
  </si>
  <si>
    <t>714273457,5</t>
  </si>
  <si>
    <t>728678311,9</t>
  </si>
  <si>
    <t>618187279,6</t>
  </si>
  <si>
    <t>588134994,2</t>
  </si>
  <si>
    <t>508490632,75</t>
  </si>
  <si>
    <t>Best Buy Co.</t>
  </si>
  <si>
    <t>BBY</t>
  </si>
  <si>
    <t>Computer and Electronics Retail</t>
  </si>
  <si>
    <t>14221762,2</t>
  </si>
  <si>
    <t>13869918,9</t>
  </si>
  <si>
    <t>14557723,6</t>
  </si>
  <si>
    <t>15681833,6</t>
  </si>
  <si>
    <t>15707394,6</t>
  </si>
  <si>
    <t>11235480,9</t>
  </si>
  <si>
    <t>10488786,2</t>
  </si>
  <si>
    <t>12958131,2</t>
  </si>
  <si>
    <t>12493583,85</t>
  </si>
  <si>
    <t>13503258,75</t>
  </si>
  <si>
    <t>Bio-Techne Corp.</t>
  </si>
  <si>
    <t>TECH</t>
  </si>
  <si>
    <t>954631,44</t>
  </si>
  <si>
    <t>Biogen Inc.</t>
  </si>
  <si>
    <t>BIIB</t>
  </si>
  <si>
    <t>25073622,15</t>
  </si>
  <si>
    <t>27092818,87</t>
  </si>
  <si>
    <t>24286490,56</t>
  </si>
  <si>
    <t>22975271,37</t>
  </si>
  <si>
    <t>20995309,89</t>
  </si>
  <si>
    <t>20125950,75</t>
  </si>
  <si>
    <t>24268484,73</t>
  </si>
  <si>
    <t>22087325,26</t>
  </si>
  <si>
    <t>19697885,28</t>
  </si>
  <si>
    <t>21671192,64</t>
  </si>
  <si>
    <t>17959044,6</t>
  </si>
  <si>
    <t>BlackRock Inc.</t>
  </si>
  <si>
    <t>BLK</t>
  </si>
  <si>
    <t>144787296,6</t>
  </si>
  <si>
    <t>133888228,5</t>
  </si>
  <si>
    <t>111468991,7</t>
  </si>
  <si>
    <t>110064519,6</t>
  </si>
  <si>
    <t>134223386,4</t>
  </si>
  <si>
    <t>150259064,2</t>
  </si>
  <si>
    <t>139371058,2</t>
  </si>
  <si>
    <t>183416704,8</t>
  </si>
  <si>
    <t>208573672,1</t>
  </si>
  <si>
    <t>207409065,75</t>
  </si>
  <si>
    <t>Blackstone Inc.</t>
  </si>
  <si>
    <t>BX</t>
  </si>
  <si>
    <t>21475113,51</t>
  </si>
  <si>
    <t>25262789,31</t>
  </si>
  <si>
    <t>20740888,16</t>
  </si>
  <si>
    <t>Block Inc.</t>
  </si>
  <si>
    <t>XYZ</t>
  </si>
  <si>
    <t>Booking Holdings</t>
  </si>
  <si>
    <t>BKNG</t>
  </si>
  <si>
    <t>Hotels, Resorts and Cruise Lines</t>
  </si>
  <si>
    <t>24924148,8</t>
  </si>
  <si>
    <t>26763157,2</t>
  </si>
  <si>
    <t>22022207,4</t>
  </si>
  <si>
    <t>23730287,7</t>
  </si>
  <si>
    <t>20787531,3</t>
  </si>
  <si>
    <t>19071322,2</t>
  </si>
  <si>
    <t>19814825,8</t>
  </si>
  <si>
    <t>21195592,8</t>
  </si>
  <si>
    <t>Boston Scientific Corp.</t>
  </si>
  <si>
    <t>BSX</t>
  </si>
  <si>
    <t>37196294,1</t>
  </si>
  <si>
    <t>38051630,5</t>
  </si>
  <si>
    <t>31787539,2</t>
  </si>
  <si>
    <t>30381243,3</t>
  </si>
  <si>
    <t>28338959,7</t>
  </si>
  <si>
    <t>25160197,5</t>
  </si>
  <si>
    <t>27236471,5</t>
  </si>
  <si>
    <t>18340526,6</t>
  </si>
  <si>
    <t>15858177,6</t>
  </si>
  <si>
    <t>17142340,8</t>
  </si>
  <si>
    <t>16695959,75</t>
  </si>
  <si>
    <t>Bristol-Myers Squibb Co.</t>
  </si>
  <si>
    <t>BMY</t>
  </si>
  <si>
    <t>Pharmaceuticals</t>
  </si>
  <si>
    <t>76685364,6</t>
  </si>
  <si>
    <t>89445237,7</t>
  </si>
  <si>
    <t>86090347,3</t>
  </si>
  <si>
    <t>96119800,2</t>
  </si>
  <si>
    <t>96858217,5</t>
  </si>
  <si>
    <t>115793098,4</t>
  </si>
  <si>
    <t>30556772,4</t>
  </si>
  <si>
    <t>27941272,8</t>
  </si>
  <si>
    <t>31930641,1</t>
  </si>
  <si>
    <t>Broadcom Inc.</t>
  </si>
  <si>
    <t>AVGO</t>
  </si>
  <si>
    <t>68788070,1</t>
  </si>
  <si>
    <t>73666519,3</t>
  </si>
  <si>
    <t>65158107,3</t>
  </si>
  <si>
    <t>60446730,8</t>
  </si>
  <si>
    <t>44028921,6</t>
  </si>
  <si>
    <t>46984501,2</t>
  </si>
  <si>
    <t>45703900,2</t>
  </si>
  <si>
    <t>9535527,75</t>
  </si>
  <si>
    <t>Broadridge Finl Solutions Inc.</t>
  </si>
  <si>
    <t>BR</t>
  </si>
  <si>
    <t>Investment and Capital Markets Technology</t>
  </si>
  <si>
    <t>7276067,5</t>
  </si>
  <si>
    <t>7692631,92</t>
  </si>
  <si>
    <t>7541611,2</t>
  </si>
  <si>
    <t>7814274,08</t>
  </si>
  <si>
    <t>6848239,32</t>
  </si>
  <si>
    <t>4345076,28</t>
  </si>
  <si>
    <t>3410359,16</t>
  </si>
  <si>
    <t>2832458,37</t>
  </si>
  <si>
    <t>2760799,7</t>
  </si>
  <si>
    <t>Brown &amp; Brown Inc.</t>
  </si>
  <si>
    <t>BRO</t>
  </si>
  <si>
    <t>25543334,7</t>
  </si>
  <si>
    <t>17011430,8</t>
  </si>
  <si>
    <t>13464650,1</t>
  </si>
  <si>
    <t>13075003,95</t>
  </si>
  <si>
    <t>8613095,22</t>
  </si>
  <si>
    <t>7330107,21</t>
  </si>
  <si>
    <t>4786559,64</t>
  </si>
  <si>
    <t>Brown-Forman Corp.</t>
  </si>
  <si>
    <t>BF.B</t>
  </si>
  <si>
    <t>Distillers and Vintners</t>
  </si>
  <si>
    <t>7127000,4</t>
  </si>
  <si>
    <t>7636843,2</t>
  </si>
  <si>
    <t>7046739,7</t>
  </si>
  <si>
    <t>6047339,7</t>
  </si>
  <si>
    <t>5421738,6</t>
  </si>
  <si>
    <t>5270700,6</t>
  </si>
  <si>
    <t>4586557,5</t>
  </si>
  <si>
    <t>4121123,2</t>
  </si>
  <si>
    <t>3652386,45</t>
  </si>
  <si>
    <t>Builders FirstSource Inc.</t>
  </si>
  <si>
    <t>BLDR</t>
  </si>
  <si>
    <t>Bunge Global SA</t>
  </si>
  <si>
    <t>BG</t>
  </si>
  <si>
    <t>37924497,6</t>
  </si>
  <si>
    <t>24049944,1</t>
  </si>
  <si>
    <t>22954048,4</t>
  </si>
  <si>
    <t>20944046,7</t>
  </si>
  <si>
    <t>19337962,5</t>
  </si>
  <si>
    <t>16322278,7</t>
  </si>
  <si>
    <t>15715768,8</t>
  </si>
  <si>
    <t>18176792,4</t>
  </si>
  <si>
    <t>16494315,5</t>
  </si>
  <si>
    <t>BXP Inc.</t>
  </si>
  <si>
    <t>BXP</t>
  </si>
  <si>
    <t>Office REIT</t>
  </si>
  <si>
    <t>C.H. Robinson Worldwide Inc.</t>
  </si>
  <si>
    <t>CHRW</t>
  </si>
  <si>
    <t>Air Freight and Logistics</t>
  </si>
  <si>
    <t>Cadence Design Systems Inc.</t>
  </si>
  <si>
    <t>CDNS</t>
  </si>
  <si>
    <t>Camden Property Trust</t>
  </si>
  <si>
    <t>CPT</t>
  </si>
  <si>
    <t>5885143,26</t>
  </si>
  <si>
    <t>Capital One Financial Corp.</t>
  </si>
  <si>
    <t>COF</t>
  </si>
  <si>
    <t>Specialty Finance: Consumer Focused</t>
  </si>
  <si>
    <t>569794965,3</t>
  </si>
  <si>
    <t>473430089,6</t>
  </si>
  <si>
    <t>432866380,8</t>
  </si>
  <si>
    <t>425976489,3</t>
  </si>
  <si>
    <t>380192613,3</t>
  </si>
  <si>
    <t>347854251,5</t>
  </si>
  <si>
    <t>325374689,2</t>
  </si>
  <si>
    <t>304549130,4</t>
  </si>
  <si>
    <t>338217360,9</t>
  </si>
  <si>
    <t>Cardinal Health Inc.</t>
  </si>
  <si>
    <t>CAH</t>
  </si>
  <si>
    <t>Health Care Distributors</t>
  </si>
  <si>
    <t>42111429,3</t>
  </si>
  <si>
    <t>41973694,8</t>
  </si>
  <si>
    <t>37491660,2</t>
  </si>
  <si>
    <t>36224667,6</t>
  </si>
  <si>
    <t>35998284,4</t>
  </si>
  <si>
    <t>34242002,1</t>
  </si>
  <si>
    <t>30725154,9</t>
  </si>
  <si>
    <t>27059980,5</t>
  </si>
  <si>
    <t>Carnival Corp. &amp; plc</t>
  </si>
  <si>
    <t>CCL</t>
  </si>
  <si>
    <t>44574868,8</t>
  </si>
  <si>
    <t>46496224,6</t>
  </si>
  <si>
    <t>50136399,1</t>
  </si>
  <si>
    <t>47326796,8</t>
  </si>
  <si>
    <t>44841263,1</t>
  </si>
  <si>
    <t>40894640,8</t>
  </si>
  <si>
    <t>37448563,2</t>
  </si>
  <si>
    <t>34241286,6</t>
  </si>
  <si>
    <t>37139782,35</t>
  </si>
  <si>
    <t>Carvana Co.</t>
  </si>
  <si>
    <t>CVNA</t>
  </si>
  <si>
    <t>11243291,7</t>
  </si>
  <si>
    <t>8194695,6</t>
  </si>
  <si>
    <t>6397133,7</t>
  </si>
  <si>
    <t>8138718,6</t>
  </si>
  <si>
    <t>6168289,5</t>
  </si>
  <si>
    <t>2481112,5</t>
  </si>
  <si>
    <t>Caterpillar Inc.</t>
  </si>
  <si>
    <t>CAT</t>
  </si>
  <si>
    <t>Machinery and Equipment: Construction and Heavy Transportation</t>
  </si>
  <si>
    <t>83964844,5</t>
  </si>
  <si>
    <t>84771247,6</t>
  </si>
  <si>
    <t>79139537,2</t>
  </si>
  <si>
    <t>76674065,1</t>
  </si>
  <si>
    <t>72799884,9</t>
  </si>
  <si>
    <t>69909468,3</t>
  </si>
  <si>
    <t>68569760,6</t>
  </si>
  <si>
    <t>64093953,6</t>
  </si>
  <si>
    <t>70767099,2</t>
  </si>
  <si>
    <t>72133396,5</t>
  </si>
  <si>
    <t>Cboe Global Markets Inc.</t>
  </si>
  <si>
    <t>CBOE</t>
  </si>
  <si>
    <t>Financial Exchanges</t>
  </si>
  <si>
    <t>7925324,01</t>
  </si>
  <si>
    <t>7523491,69</t>
  </si>
  <si>
    <t>6773941,25</t>
  </si>
  <si>
    <t>6548870,73</t>
  </si>
  <si>
    <t>5991989,85</t>
  </si>
  <si>
    <t>5327238,75</t>
  </si>
  <si>
    <t>4556996,29</t>
  </si>
  <si>
    <t>4647361,4</t>
  </si>
  <si>
    <t>4385274,96</t>
  </si>
  <si>
    <t>451577,91</t>
  </si>
  <si>
    <t>CBRE Group Inc.</t>
  </si>
  <si>
    <t>CBRE</t>
  </si>
  <si>
    <t>Real Estate Services</t>
  </si>
  <si>
    <t>26297940,9</t>
  </si>
  <si>
    <t>23551539,7</t>
  </si>
  <si>
    <t>20399175,6</t>
  </si>
  <si>
    <t>19194014,1</t>
  </si>
  <si>
    <t>CDW Corp.</t>
  </si>
  <si>
    <t>CDW</t>
  </si>
  <si>
    <t>Technology Distributors</t>
  </si>
  <si>
    <t>13651217,94</t>
  </si>
  <si>
    <t>14177866,56</t>
  </si>
  <si>
    <t>12018577,62</t>
  </si>
  <si>
    <t>12287144,55</t>
  </si>
  <si>
    <t>11606232,42</t>
  </si>
  <si>
    <t>7639292,25</t>
  </si>
  <si>
    <t>7128265,34</t>
  </si>
  <si>
    <t>6260269,18</t>
  </si>
  <si>
    <t>5801867,76</t>
  </si>
  <si>
    <t>6582219,32</t>
  </si>
  <si>
    <t>Cencora Inc.</t>
  </si>
  <si>
    <t>COR</t>
  </si>
  <si>
    <t>Centene Corp.</t>
  </si>
  <si>
    <t>CNC</t>
  </si>
  <si>
    <t>Managed Care</t>
  </si>
  <si>
    <t>65365419,9</t>
  </si>
  <si>
    <t>79633625,5</t>
  </si>
  <si>
    <t>76574712,7</t>
  </si>
  <si>
    <t>68915137,5</t>
  </si>
  <si>
    <t>56177782,5</t>
  </si>
  <si>
    <t>36529753,4</t>
  </si>
  <si>
    <t>26988933,4</t>
  </si>
  <si>
    <t>19132618,1</t>
  </si>
  <si>
    <t>6757384,25</t>
  </si>
  <si>
    <t>CenterPoint Energy Inc.</t>
  </si>
  <si>
    <t>CNP</t>
  </si>
  <si>
    <t>39633007,8</t>
  </si>
  <si>
    <t>42275511,2</t>
  </si>
  <si>
    <t>35930160,5</t>
  </si>
  <si>
    <t>36067492,2</t>
  </si>
  <si>
    <t>33131144,7</t>
  </si>
  <si>
    <t>27362542,5</t>
  </si>
  <si>
    <t>31659891,9</t>
  </si>
  <si>
    <t>23589660,6</t>
  </si>
  <si>
    <t>18934540,8</t>
  </si>
  <si>
    <t>20678611,7</t>
  </si>
  <si>
    <t>19602767,5</t>
  </si>
  <si>
    <t>CF Industries Holdings Inc.</t>
  </si>
  <si>
    <t>CF</t>
  </si>
  <si>
    <t>Fertilizers and Agricultural Chemicals</t>
  </si>
  <si>
    <t>11998749,6</t>
  </si>
  <si>
    <t>13006809,4</t>
  </si>
  <si>
    <t>13005967,2</t>
  </si>
  <si>
    <t>12456974,1</t>
  </si>
  <si>
    <t>10881337,5</t>
  </si>
  <si>
    <t>9828802,5</t>
  </si>
  <si>
    <t>10846469,2</t>
  </si>
  <si>
    <t>11058117,4</t>
  </si>
  <si>
    <t>11211986,4</t>
  </si>
  <si>
    <t>14333596,3</t>
  </si>
  <si>
    <t>11677872,25</t>
  </si>
  <si>
    <t>Charles River Laboratories Int</t>
  </si>
  <si>
    <t>CRL</t>
  </si>
  <si>
    <t>6065108,7</t>
  </si>
  <si>
    <t>2568888,14</t>
  </si>
  <si>
    <t>Charter Communications Inc.</t>
  </si>
  <si>
    <t>CHTR</t>
  </si>
  <si>
    <t>Cable and Satellite</t>
  </si>
  <si>
    <t>131343212,1</t>
  </si>
  <si>
    <t>133165507,1</t>
  </si>
  <si>
    <t>135230171,1</t>
  </si>
  <si>
    <t>125292336,3</t>
  </si>
  <si>
    <t>132050326,8</t>
  </si>
  <si>
    <t>122107634,4</t>
  </si>
  <si>
    <t>141211169,1</t>
  </si>
  <si>
    <t>Chevron Corp.</t>
  </si>
  <si>
    <t>CVX</t>
  </si>
  <si>
    <t>Integrated Oil and Gas</t>
  </si>
  <si>
    <t>275961020,4</t>
  </si>
  <si>
    <t>248176414,2</t>
  </si>
  <si>
    <t>236698470,4</t>
  </si>
  <si>
    <t>241138311,3</t>
  </si>
  <si>
    <t>210623125,5</t>
  </si>
  <si>
    <t>211572090,8</t>
  </si>
  <si>
    <t>221723944,2</t>
  </si>
  <si>
    <t>211369636,8</t>
  </si>
  <si>
    <t>246371889,4</t>
  </si>
  <si>
    <t>Chipotle Mexican Grill Inc.</t>
  </si>
  <si>
    <t>CMG</t>
  </si>
  <si>
    <t>Restaurants</t>
  </si>
  <si>
    <t>4891017,48</t>
  </si>
  <si>
    <t>Chubb Ltd.</t>
  </si>
  <si>
    <t>CB</t>
  </si>
  <si>
    <t>231940905,9</t>
  </si>
  <si>
    <t>238140713,2</t>
  </si>
  <si>
    <t>208698005,4</t>
  </si>
  <si>
    <t>186220206,9</t>
  </si>
  <si>
    <t>175907482,2</t>
  </si>
  <si>
    <t>157673907,3</t>
  </si>
  <si>
    <t>146531191,4</t>
  </si>
  <si>
    <t>139095921,6</t>
  </si>
  <si>
    <t>151365277,8</t>
  </si>
  <si>
    <t>94198249,5</t>
  </si>
  <si>
    <t>Church &amp; Dwight Co.</t>
  </si>
  <si>
    <t>CHD</t>
  </si>
  <si>
    <t>Household Products Producers</t>
  </si>
  <si>
    <t>7590691,08</t>
  </si>
  <si>
    <t>8580186,29</t>
  </si>
  <si>
    <t>7752555,24</t>
  </si>
  <si>
    <t>7808977,92</t>
  </si>
  <si>
    <t>7031322,45</t>
  </si>
  <si>
    <t>6061353,75</t>
  </si>
  <si>
    <t>5932409,14</t>
  </si>
  <si>
    <t>5300839,28</t>
  </si>
  <si>
    <t>5009125,44</t>
  </si>
  <si>
    <t>4124638,93</t>
  </si>
  <si>
    <t>Ciena Corp.</t>
  </si>
  <si>
    <t>CIEN</t>
  </si>
  <si>
    <t>2621849,83</t>
  </si>
  <si>
    <t>Cincinnati Financial Corp.</t>
  </si>
  <si>
    <t>CINF</t>
  </si>
  <si>
    <t>34921403,4</t>
  </si>
  <si>
    <t>35256315,9</t>
  </si>
  <si>
    <t>29646114,3</t>
  </si>
  <si>
    <t>27820232,4</t>
  </si>
  <si>
    <t>27598589,1</t>
  </si>
  <si>
    <t>22641068,8</t>
  </si>
  <si>
    <t>18190850,4</t>
  </si>
  <si>
    <t>19311657,8</t>
  </si>
  <si>
    <t>Cintas Corp.</t>
  </si>
  <si>
    <t>CTAS</t>
  </si>
  <si>
    <t>Diversified Support Services</t>
  </si>
  <si>
    <t>6091210,73</t>
  </si>
  <si>
    <t>Cisco Systems Inc.</t>
  </si>
  <si>
    <t>CSCO</t>
  </si>
  <si>
    <t>114596814,3</t>
  </si>
  <si>
    <t>92369578,8</t>
  </si>
  <si>
    <t>92159560,8</t>
  </si>
  <si>
    <t>81554609,4</t>
  </si>
  <si>
    <t>87945244,9</t>
  </si>
  <si>
    <t>93358428,8</t>
  </si>
  <si>
    <t>110436172,6</t>
  </si>
  <si>
    <t>108872457,4</t>
  </si>
  <si>
    <t>103299808,95</t>
  </si>
  <si>
    <t>Citigroup Inc.</t>
  </si>
  <si>
    <t>C</t>
  </si>
  <si>
    <t>2263138943,4</t>
  </si>
  <si>
    <t>2272709575,5</t>
  </si>
  <si>
    <t>2181986219,8</t>
  </si>
  <si>
    <t>2261283733,2</t>
  </si>
  <si>
    <t>2014839450,9</t>
  </si>
  <si>
    <t>1738676893,8</t>
  </si>
  <si>
    <t>1674642312,2</t>
  </si>
  <si>
    <t>1697634542,1</t>
  </si>
  <si>
    <t>1594011607,5</t>
  </si>
  <si>
    <t>Citizens Financial Group Inc.</t>
  </si>
  <si>
    <t>CFG</t>
  </si>
  <si>
    <t>192783146,7</t>
  </si>
  <si>
    <t>210103533,9</t>
  </si>
  <si>
    <t>200810830,8</t>
  </si>
  <si>
    <t>212154068,1</t>
  </si>
  <si>
    <t>165668033,7</t>
  </si>
  <si>
    <t>149887807,5</t>
  </si>
  <si>
    <t>147684676,3</t>
  </si>
  <si>
    <t>140196421,2</t>
  </si>
  <si>
    <t>126865420,8</t>
  </si>
  <si>
    <t>CME Group Inc.</t>
  </si>
  <si>
    <t>CME</t>
  </si>
  <si>
    <t>168997891,14</t>
  </si>
  <si>
    <t>132760057,3</t>
  </si>
  <si>
    <t>117345108,67</t>
  </si>
  <si>
    <t>162976202,49</t>
  </si>
  <si>
    <t>173028917,79</t>
  </si>
  <si>
    <t>67024353,83</t>
  </si>
  <si>
    <t>67667276,38</t>
  </si>
  <si>
    <t>63118911,36</t>
  </si>
  <si>
    <t>65713632,62</t>
  </si>
  <si>
    <t>62021167,55</t>
  </si>
  <si>
    <t>CMS Energy Corp.</t>
  </si>
  <si>
    <t>CMS</t>
  </si>
  <si>
    <t>34017749,7</t>
  </si>
  <si>
    <t>30322829,9</t>
  </si>
  <si>
    <t>29337002,1</t>
  </si>
  <si>
    <t>25282512,9</t>
  </si>
  <si>
    <t>23914450,7</t>
  </si>
  <si>
    <t>21423628,6</t>
  </si>
  <si>
    <t>20482520,6</t>
  </si>
  <si>
    <t>18690304,25</t>
  </si>
  <si>
    <t>Cognizant Technology Solutions</t>
  </si>
  <si>
    <t>CTSH</t>
  </si>
  <si>
    <t>17623376,4</t>
  </si>
  <si>
    <t>19285159,4</t>
  </si>
  <si>
    <t>16721570,1</t>
  </si>
  <si>
    <t>16704116,4</t>
  </si>
  <si>
    <t>15697263,6</t>
  </si>
  <si>
    <t>13834552,5</t>
  </si>
  <si>
    <t>14439384,4</t>
  </si>
  <si>
    <t>13839896,4</t>
  </si>
  <si>
    <t>12676048,8</t>
  </si>
  <si>
    <t>13510392,6</t>
  </si>
  <si>
    <t>12025915,75</t>
  </si>
  <si>
    <t>Coherent Corp.</t>
  </si>
  <si>
    <t>COHR</t>
  </si>
  <si>
    <t>5492769,01</t>
  </si>
  <si>
    <t>Colgate-Palmolive Co.</t>
  </si>
  <si>
    <t>CL</t>
  </si>
  <si>
    <t>15498831,4</t>
  </si>
  <si>
    <t>14830747,1</t>
  </si>
  <si>
    <t>14719496,7</t>
  </si>
  <si>
    <t>13396797,4</t>
  </si>
  <si>
    <t>10621417,4</t>
  </si>
  <si>
    <t>10556572,8</t>
  </si>
  <si>
    <t>11484117,9</t>
  </si>
  <si>
    <t>10989151,25</t>
  </si>
  <si>
    <t>Comcast Corp.</t>
  </si>
  <si>
    <t>CMCSA</t>
  </si>
  <si>
    <t>232199822,7</t>
  </si>
  <si>
    <t>257133204,9</t>
  </si>
  <si>
    <t>239574511,7</t>
  </si>
  <si>
    <t>240732217,5</t>
  </si>
  <si>
    <t>242603266,5</t>
  </si>
  <si>
    <t>223887907,5</t>
  </si>
  <si>
    <t>234728215,4</t>
  </si>
  <si>
    <t>219820805,6</t>
  </si>
  <si>
    <t>156118353,6</t>
  </si>
  <si>
    <t>153373010,5</t>
  </si>
  <si>
    <t>Comfort Systems USA Inc.</t>
  </si>
  <si>
    <t>FIX</t>
  </si>
  <si>
    <t>Construction and Engineering</t>
  </si>
  <si>
    <t>Conagra Brands Inc.</t>
  </si>
  <si>
    <t>CAG</t>
  </si>
  <si>
    <t>Packaged Foods and Meats Producers</t>
  </si>
  <si>
    <t>18469979,97</t>
  </si>
  <si>
    <t>19220436,99</t>
  </si>
  <si>
    <t>20603744,18</t>
  </si>
  <si>
    <t>20940922,34</t>
  </si>
  <si>
    <t>18211489,8</t>
  </si>
  <si>
    <t>19819152,36</t>
  </si>
  <si>
    <t>8913152,05</t>
  </si>
  <si>
    <t>9031140,35</t>
  </si>
  <si>
    <t>12028106,45</t>
  </si>
  <si>
    <t>15888451,47</t>
  </si>
  <si>
    <t>ConocoPhillips</t>
  </si>
  <si>
    <t>COP</t>
  </si>
  <si>
    <t>103855446,3</t>
  </si>
  <si>
    <t>86782442,8</t>
  </si>
  <si>
    <t>87795795,3</t>
  </si>
  <si>
    <t>79718217,3</t>
  </si>
  <si>
    <t>62835025,4</t>
  </si>
  <si>
    <t>61095873,6</t>
  </si>
  <si>
    <t>85041015,6</t>
  </si>
  <si>
    <t>Consolidated Edison Inc.</t>
  </si>
  <si>
    <t>ED</t>
  </si>
  <si>
    <t>63539375,1</t>
  </si>
  <si>
    <t>68155835,8</t>
  </si>
  <si>
    <t>60009655,7</t>
  </si>
  <si>
    <t>64624120,5</t>
  </si>
  <si>
    <t>55497898,8</t>
  </si>
  <si>
    <t>51416662,5</t>
  </si>
  <si>
    <t>51754196,9</t>
  </si>
  <si>
    <t>40066840,8</t>
  </si>
  <si>
    <t>45711961,5</t>
  </si>
  <si>
    <t>42024871,5</t>
  </si>
  <si>
    <t>Constellation Brands Inc.</t>
  </si>
  <si>
    <t>STZ</t>
  </si>
  <si>
    <t>20810025,53</t>
  </si>
  <si>
    <t>23767391,67</t>
  </si>
  <si>
    <t>23231886,6</t>
  </si>
  <si>
    <t>23024589,9</t>
  </si>
  <si>
    <t>22402117,2</t>
  </si>
  <si>
    <t>24844985,76</t>
  </si>
  <si>
    <t>25668180,15</t>
  </si>
  <si>
    <t>16821195,3</t>
  </si>
  <si>
    <t>17523460,8</t>
  </si>
  <si>
    <t>15617130,75</t>
  </si>
  <si>
    <t>13460692,05</t>
  </si>
  <si>
    <t>Constellation Energy Corp.</t>
  </si>
  <si>
    <t>CEG</t>
  </si>
  <si>
    <t>48758973,3</t>
  </si>
  <si>
    <t>51121223,4</t>
  </si>
  <si>
    <t>45920762,6</t>
  </si>
  <si>
    <t>43892751,3</t>
  </si>
  <si>
    <t>42282019,8</t>
  </si>
  <si>
    <t>43659444,5</t>
  </si>
  <si>
    <t>41535410,4</t>
  </si>
  <si>
    <t>40354989,6</t>
  </si>
  <si>
    <t>44498470,2</t>
  </si>
  <si>
    <t>42841576,75</t>
  </si>
  <si>
    <t>Copart Inc.</t>
  </si>
  <si>
    <t>CPRT</t>
  </si>
  <si>
    <t>Corning Inc.</t>
  </si>
  <si>
    <t>GLW</t>
  </si>
  <si>
    <t>26382259,2</t>
  </si>
  <si>
    <t>26789236,5</t>
  </si>
  <si>
    <t>27602214,3</t>
  </si>
  <si>
    <t>26514412,2</t>
  </si>
  <si>
    <t>25158562,5</t>
  </si>
  <si>
    <t>25751007,8</t>
  </si>
  <si>
    <t>22897003,2</t>
  </si>
  <si>
    <t>26428722,7</t>
  </si>
  <si>
    <t>26266235,25</t>
  </si>
  <si>
    <t>Corpay Inc.</t>
  </si>
  <si>
    <t>CPAY</t>
  </si>
  <si>
    <t>CoStar Group Inc.</t>
  </si>
  <si>
    <t>CSGP</t>
  </si>
  <si>
    <t>8975214,6</t>
  </si>
  <si>
    <t>8941336,3</t>
  </si>
  <si>
    <t>8069652,59</t>
  </si>
  <si>
    <t>7862219,25</t>
  </si>
  <si>
    <t>5653355,85</t>
  </si>
  <si>
    <t>Costco Wholesale Corp.</t>
  </si>
  <si>
    <t>COST</t>
  </si>
  <si>
    <t>Consumer Staples Merchandise Retail</t>
  </si>
  <si>
    <t>65911935,1</t>
  </si>
  <si>
    <t>63134207,1</t>
  </si>
  <si>
    <t>63916041,6</t>
  </si>
  <si>
    <t>50265190,8</t>
  </si>
  <si>
    <t>46705929,2</t>
  </si>
  <si>
    <t>30622347,5</t>
  </si>
  <si>
    <t>29460351,05</t>
  </si>
  <si>
    <t>29399987,65</t>
  </si>
  <si>
    <t>Coterra Energy Inc.</t>
  </si>
  <si>
    <t>CTRA</t>
  </si>
  <si>
    <t>20646059,7</t>
  </si>
  <si>
    <t>20887587,5</t>
  </si>
  <si>
    <t>18469450,5</t>
  </si>
  <si>
    <t>18858097,8</t>
  </si>
  <si>
    <t>CRH plc</t>
  </si>
  <si>
    <t>CRH</t>
  </si>
  <si>
    <t>Construction Materials</t>
  </si>
  <si>
    <t>49678809,3</t>
  </si>
  <si>
    <t>48887096,7</t>
  </si>
  <si>
    <t>42945204,3</t>
  </si>
  <si>
    <t>42404988,3</t>
  </si>
  <si>
    <t>42427053,2</t>
  </si>
  <si>
    <t>40855031,8</t>
  </si>
  <si>
    <t>Crown Castle Inc.</t>
  </si>
  <si>
    <t>CCI</t>
  </si>
  <si>
    <t>26843880,6</t>
  </si>
  <si>
    <t>31619702,4</t>
  </si>
  <si>
    <t>34855376,9</t>
  </si>
  <si>
    <t>36418379,7</t>
  </si>
  <si>
    <t>34269032,7</t>
  </si>
  <si>
    <t>28614330,8</t>
  </si>
  <si>
    <t>26840311,2</t>
  </si>
  <si>
    <t>CSX Corp.</t>
  </si>
  <si>
    <t>CSX</t>
  </si>
  <si>
    <t>Rail Transportation</t>
  </si>
  <si>
    <t>37203959,4</t>
  </si>
  <si>
    <t>41305747,6</t>
  </si>
  <si>
    <t>38189196,4</t>
  </si>
  <si>
    <t>39217058,4</t>
  </si>
  <si>
    <t>35638908,3</t>
  </si>
  <si>
    <t>32530777,5</t>
  </si>
  <si>
    <t>34090812,7</t>
  </si>
  <si>
    <t>32079108,6</t>
  </si>
  <si>
    <t>29763439,2</t>
  </si>
  <si>
    <t>33547682,2</t>
  </si>
  <si>
    <t>31730871,25</t>
  </si>
  <si>
    <t>Cummins Inc.</t>
  </si>
  <si>
    <t>CMI</t>
  </si>
  <si>
    <t>28950986,4</t>
  </si>
  <si>
    <t>28954923,5</t>
  </si>
  <si>
    <t>28350774,3</t>
  </si>
  <si>
    <t>17587640,7</t>
  </si>
  <si>
    <t>16648750,8</t>
  </si>
  <si>
    <t>14219920,3</t>
  </si>
  <si>
    <t>13934630,5</t>
  </si>
  <si>
    <t>CVS Health Corp.</t>
  </si>
  <si>
    <t>CVS</t>
  </si>
  <si>
    <t>Health Care Services</t>
  </si>
  <si>
    <t>215938314,6</t>
  </si>
  <si>
    <t>244580368,5</t>
  </si>
  <si>
    <t>225928921,6</t>
  </si>
  <si>
    <t>213596917,5</t>
  </si>
  <si>
    <t>204876020,7</t>
  </si>
  <si>
    <t>188609512,5</t>
  </si>
  <si>
    <t>198224303,9</t>
  </si>
  <si>
    <t>171584670,4</t>
  </si>
  <si>
    <t>79225096,8</t>
  </si>
  <si>
    <t>89483852,6</t>
  </si>
  <si>
    <t>85111367,75</t>
  </si>
  <si>
    <t>D.R. Horton, Inc.</t>
  </si>
  <si>
    <t>DHI</t>
  </si>
  <si>
    <t>Homebuilding Producers</t>
  </si>
  <si>
    <t>30232103,76</t>
  </si>
  <si>
    <t>32371115,38</t>
  </si>
  <si>
    <t>30783851,52</t>
  </si>
  <si>
    <t>30952051,78</t>
  </si>
  <si>
    <t>20720918,52</t>
  </si>
  <si>
    <t>16105714,68</t>
  </si>
  <si>
    <t>14312812,86</t>
  </si>
  <si>
    <t>12148436,22</t>
  </si>
  <si>
    <t>10309390,06</t>
  </si>
  <si>
    <t>9991853,55</t>
  </si>
  <si>
    <t>Danaher Corp.</t>
  </si>
  <si>
    <t>DHR</t>
  </si>
  <si>
    <t>71086288,8</t>
  </si>
  <si>
    <t>74897817,8</t>
  </si>
  <si>
    <t>76436293,6</t>
  </si>
  <si>
    <t>73143691,2</t>
  </si>
  <si>
    <t>62261617,5</t>
  </si>
  <si>
    <t>55321270,2</t>
  </si>
  <si>
    <t>41776905,5</t>
  </si>
  <si>
    <t>38848954,08</t>
  </si>
  <si>
    <t>42908237,69</t>
  </si>
  <si>
    <t>44400590,65</t>
  </si>
  <si>
    <t>Darden Restaurants Inc.</t>
  </si>
  <si>
    <t>DRI</t>
  </si>
  <si>
    <t>11105510,1</t>
  </si>
  <si>
    <t>10431879,9</t>
  </si>
  <si>
    <t>9568633,45</t>
  </si>
  <si>
    <t>9460755,72</t>
  </si>
  <si>
    <t>8743330,05</t>
  </si>
  <si>
    <t>8946516,95</t>
  </si>
  <si>
    <t>5257556,16</t>
  </si>
  <si>
    <t>4692369,84</t>
  </si>
  <si>
    <t>4733962,35</t>
  </si>
  <si>
    <t>4116320,45</t>
  </si>
  <si>
    <t>DaVita Inc.</t>
  </si>
  <si>
    <t>DVA</t>
  </si>
  <si>
    <t>13888111,83</t>
  </si>
  <si>
    <t>Deckers Outdoor Corp.</t>
  </si>
  <si>
    <t>DECK</t>
  </si>
  <si>
    <t>Footwear Producers</t>
  </si>
  <si>
    <t>2099491,45</t>
  </si>
  <si>
    <t>1846884,66</t>
  </si>
  <si>
    <t>1606257,38</t>
  </si>
  <si>
    <t>Deere &amp; Co.</t>
  </si>
  <si>
    <t>DE</t>
  </si>
  <si>
    <t>Machinery: Agricultural and Farm</t>
  </si>
  <si>
    <t>98268536,7</t>
  </si>
  <si>
    <t>72741787,2</t>
  </si>
  <si>
    <t>64435587,1</t>
  </si>
  <si>
    <t>65388651,6</t>
  </si>
  <si>
    <t>56799891,42</t>
  </si>
  <si>
    <t>52978051,95</t>
  </si>
  <si>
    <t>52549781,06</t>
  </si>
  <si>
    <t>Dell Technologies Inc.</t>
  </si>
  <si>
    <t>DELL</t>
  </si>
  <si>
    <t>76723626,6</t>
  </si>
  <si>
    <t>76106164,2</t>
  </si>
  <si>
    <t>82576536,5</t>
  </si>
  <si>
    <t>83081286,5</t>
  </si>
  <si>
    <t>99826333,4</t>
  </si>
  <si>
    <t>109659706,2</t>
  </si>
  <si>
    <t>41699496,3</t>
  </si>
  <si>
    <t>Delta Air Lines Inc.</t>
  </si>
  <si>
    <t>DAL</t>
  </si>
  <si>
    <t>Passenger Airlines</t>
  </si>
  <si>
    <t>69257688,9</t>
  </si>
  <si>
    <t>72801814,8</t>
  </si>
  <si>
    <t>66625726,8</t>
  </si>
  <si>
    <t>67639881,6</t>
  </si>
  <si>
    <t>63713198,7</t>
  </si>
  <si>
    <t>57504465,2</t>
  </si>
  <si>
    <t>52636324,4</t>
  </si>
  <si>
    <t>44697208,8</t>
  </si>
  <si>
    <t>48559545,3</t>
  </si>
  <si>
    <t>48923130,5</t>
  </si>
  <si>
    <t>Devon Energy Corp.</t>
  </si>
  <si>
    <t>DVN</t>
  </si>
  <si>
    <t>26912868,3</t>
  </si>
  <si>
    <t>29449325,1</t>
  </si>
  <si>
    <t>22195739,7</t>
  </si>
  <si>
    <t>18487282,5</t>
  </si>
  <si>
    <t>12223218,7</t>
  </si>
  <si>
    <t>17088944,4</t>
  </si>
  <si>
    <t>25184704,8</t>
  </si>
  <si>
    <t>27163827,5</t>
  </si>
  <si>
    <t>27117008,25</t>
  </si>
  <si>
    <t>DexCom Inc.</t>
  </si>
  <si>
    <t>DXCM</t>
  </si>
  <si>
    <t>5399692,83</t>
  </si>
  <si>
    <t>6263378,55</t>
  </si>
  <si>
    <t>5667493,15</t>
  </si>
  <si>
    <t>5045013,69</t>
  </si>
  <si>
    <t>4337850,69</t>
  </si>
  <si>
    <t>3507483,75</t>
  </si>
  <si>
    <t>2134184,5</t>
  </si>
  <si>
    <t>1673434,4</t>
  </si>
  <si>
    <t>752934,48</t>
  </si>
  <si>
    <t>381572,44</t>
  </si>
  <si>
    <t>Diamondback Energy Inc.</t>
  </si>
  <si>
    <t>FANG</t>
  </si>
  <si>
    <t>60520950,3</t>
  </si>
  <si>
    <t>64997342,8</t>
  </si>
  <si>
    <t>26237204,7</t>
  </si>
  <si>
    <t>24523761,3</t>
  </si>
  <si>
    <t>20134211,4</t>
  </si>
  <si>
    <t>14403532,5</t>
  </si>
  <si>
    <t>20968474,1</t>
  </si>
  <si>
    <t>18861946,4</t>
  </si>
  <si>
    <t>Digital Realty Trust Inc.</t>
  </si>
  <si>
    <t>DLR</t>
  </si>
  <si>
    <t>Data Center REIT</t>
  </si>
  <si>
    <t>Dollar General Corp.</t>
  </si>
  <si>
    <t>DG</t>
  </si>
  <si>
    <t>Dollar Tree Inc.</t>
  </si>
  <si>
    <t>DLTR</t>
  </si>
  <si>
    <t>17937392,4</t>
  </si>
  <si>
    <t>20409177,45</t>
  </si>
  <si>
    <t>21207958,52</t>
  </si>
  <si>
    <t>19460560,62</t>
  </si>
  <si>
    <t>17049364,8</t>
  </si>
  <si>
    <t>17656289,2</t>
  </si>
  <si>
    <t>11758195,08</t>
  </si>
  <si>
    <t>13128304,64</t>
  </si>
  <si>
    <t>14684136,32</t>
  </si>
  <si>
    <t>14695093,98</t>
  </si>
  <si>
    <t>Dominion Energy</t>
  </si>
  <si>
    <t>D</t>
  </si>
  <si>
    <t>98675406,9</t>
  </si>
  <si>
    <t>98922648,5</t>
  </si>
  <si>
    <t>98056681,5</t>
  </si>
  <si>
    <t>78402337,5</t>
  </si>
  <si>
    <t>92516675,3</t>
  </si>
  <si>
    <t>68050087,6</t>
  </si>
  <si>
    <t>Domino's Pizza Inc.</t>
  </si>
  <si>
    <t>DPZ</t>
  </si>
  <si>
    <t>1458990,15</t>
  </si>
  <si>
    <t>Dover Corp.</t>
  </si>
  <si>
    <t>DOV</t>
  </si>
  <si>
    <t>Machinery and Supplies and Components: Industrial</t>
  </si>
  <si>
    <t>DTE Energy Co.</t>
  </si>
  <si>
    <t>DTE</t>
  </si>
  <si>
    <t>46048012,2</t>
  </si>
  <si>
    <t>47180351,4</t>
  </si>
  <si>
    <t>40489848,5</t>
  </si>
  <si>
    <t>39938483,1</t>
  </si>
  <si>
    <t>34924916,7</t>
  </si>
  <si>
    <t>37665014,8</t>
  </si>
  <si>
    <t>31693939,2</t>
  </si>
  <si>
    <t>28121157,6</t>
  </si>
  <si>
    <t>30352439,3</t>
  </si>
  <si>
    <t>26390536,5</t>
  </si>
  <si>
    <t>Duke Energy Corp</t>
  </si>
  <si>
    <t>DUK</t>
  </si>
  <si>
    <t>166708351,2</t>
  </si>
  <si>
    <t>179988703,7</t>
  </si>
  <si>
    <t>160035097,1</t>
  </si>
  <si>
    <t>166635070,2</t>
  </si>
  <si>
    <t>149117849,1</t>
  </si>
  <si>
    <t>141540541,8</t>
  </si>
  <si>
    <t>126985372,8</t>
  </si>
  <si>
    <t>114854779,2</t>
  </si>
  <si>
    <t>125764495,3</t>
  </si>
  <si>
    <t>DuPont de Nemours Inc.</t>
  </si>
  <si>
    <t>DD</t>
  </si>
  <si>
    <t>18375427,5</t>
  </si>
  <si>
    <t>35386712,4</t>
  </si>
  <si>
    <t>34877994,4</t>
  </si>
  <si>
    <t>38695873,5</t>
  </si>
  <si>
    <t>40190165,1</t>
  </si>
  <si>
    <t>61796893,9</t>
  </si>
  <si>
    <t>160034179,2</t>
  </si>
  <si>
    <t>75320770,3</t>
  </si>
  <si>
    <t>62553913,5</t>
  </si>
  <si>
    <t>Eaton Corp. plc</t>
  </si>
  <si>
    <t>ETN</t>
  </si>
  <si>
    <t>35133476,7</t>
  </si>
  <si>
    <t>37072207,9</t>
  </si>
  <si>
    <t>34769430,4</t>
  </si>
  <si>
    <t>32762599,8</t>
  </si>
  <si>
    <t>29919941,1</t>
  </si>
  <si>
    <t>29232535,5</t>
  </si>
  <si>
    <t>27155752,8</t>
  </si>
  <si>
    <t>27168434,4</t>
  </si>
  <si>
    <t>28869914,8</t>
  </si>
  <si>
    <t>eBay Inc.</t>
  </si>
  <si>
    <t>EBAY</t>
  </si>
  <si>
    <t>18704653,5</t>
  </si>
  <si>
    <t>23412241,8</t>
  </si>
  <si>
    <t>16194851,4</t>
  </si>
  <si>
    <t>19930114,6</t>
  </si>
  <si>
    <t>21641140,8</t>
  </si>
  <si>
    <t>22590263,1</t>
  </si>
  <si>
    <t>16347916,25</t>
  </si>
  <si>
    <t>EchoStar Corp.</t>
  </si>
  <si>
    <t>SATS</t>
  </si>
  <si>
    <t>5782465,26</t>
  </si>
  <si>
    <t>Ecolab Inc.</t>
  </si>
  <si>
    <t>ECL</t>
  </si>
  <si>
    <t>21033838,71</t>
  </si>
  <si>
    <t>21624376,02</t>
  </si>
  <si>
    <t>19764619,02</t>
  </si>
  <si>
    <t>20084145,51</t>
  </si>
  <si>
    <t>18646787,52</t>
  </si>
  <si>
    <t>18596455,01</t>
  </si>
  <si>
    <t>17533068,3</t>
  </si>
  <si>
    <t>16625602,8</t>
  </si>
  <si>
    <t>17364198,46</t>
  </si>
  <si>
    <t>Edison International</t>
  </si>
  <si>
    <t>EIX</t>
  </si>
  <si>
    <t>80081944,2</t>
  </si>
  <si>
    <t>82660756,1</t>
  </si>
  <si>
    <t>73966462,6</t>
  </si>
  <si>
    <t>73022963,7</t>
  </si>
  <si>
    <t>65723278,5</t>
  </si>
  <si>
    <t>57370800,2</t>
  </si>
  <si>
    <t>48614488,7</t>
  </si>
  <si>
    <t>46248351,75</t>
  </si>
  <si>
    <t>Edwards Lifesciences Corp.</t>
  </si>
  <si>
    <t>EW</t>
  </si>
  <si>
    <t>11665905,24</t>
  </si>
  <si>
    <t>12610114,27</t>
  </si>
  <si>
    <t>8470887,04</t>
  </si>
  <si>
    <t>7759292,25</t>
  </si>
  <si>
    <t>7476336,18</t>
  </si>
  <si>
    <t>5916329,25</t>
  </si>
  <si>
    <t>5781545,91</t>
  </si>
  <si>
    <t>4649719,58</t>
  </si>
  <si>
    <t>4718977,92</t>
  </si>
  <si>
    <t>Electronic Arts Inc.</t>
  </si>
  <si>
    <t>EA</t>
  </si>
  <si>
    <t>Interactive Home Entertainment</t>
  </si>
  <si>
    <t>11442873,6</t>
  </si>
  <si>
    <t>12387663,6</t>
  </si>
  <si>
    <t>6967632,8</t>
  </si>
  <si>
    <t>7217873,6</t>
  </si>
  <si>
    <t>6190252,5</t>
  </si>
  <si>
    <t>5721934,95</t>
  </si>
  <si>
    <t>Elevance Health Inc.</t>
  </si>
  <si>
    <t>ELV</t>
  </si>
  <si>
    <t>103476439,8</t>
  </si>
  <si>
    <t>112903085,1</t>
  </si>
  <si>
    <t>98547161,6</t>
  </si>
  <si>
    <t>96147853,5</t>
  </si>
  <si>
    <t>70807762,5</t>
  </si>
  <si>
    <t>69018368,3</t>
  </si>
  <si>
    <t>62510111,4</t>
  </si>
  <si>
    <t>61653220,63</t>
  </si>
  <si>
    <t>56826664,35</t>
  </si>
  <si>
    <t>Eli Lilly &amp; Co.</t>
  </si>
  <si>
    <t>LLY</t>
  </si>
  <si>
    <t>95795809,2</t>
  </si>
  <si>
    <t>76030818,5</t>
  </si>
  <si>
    <t>57906499,61</t>
  </si>
  <si>
    <t>46307605,86</t>
  </si>
  <si>
    <t>42915115,8</t>
  </si>
  <si>
    <t>38122559,25</t>
  </si>
  <si>
    <t>35007843,71</t>
  </si>
  <si>
    <t>38349596,56</t>
  </si>
  <si>
    <t>37460176,8</t>
  </si>
  <si>
    <t>36760829,07</t>
  </si>
  <si>
    <t>EMCOR Group</t>
  </si>
  <si>
    <t>EME</t>
  </si>
  <si>
    <t>4139689,2</t>
  </si>
  <si>
    <t>Emerson Electric Co.</t>
  </si>
  <si>
    <t>EMR</t>
  </si>
  <si>
    <t>35765917,2</t>
  </si>
  <si>
    <t>39670963,6</t>
  </si>
  <si>
    <t>40386420,8</t>
  </si>
  <si>
    <t>36378305,6</t>
  </si>
  <si>
    <t>19486311,2</t>
  </si>
  <si>
    <t>18797798,7</t>
  </si>
  <si>
    <t>16574252,9</t>
  </si>
  <si>
    <t>19333873,8</t>
  </si>
  <si>
    <t>19791952,4</t>
  </si>
  <si>
    <t>Entergy Corp.</t>
  </si>
  <si>
    <t>ETR</t>
  </si>
  <si>
    <t>47610555,81</t>
  </si>
  <si>
    <t>EOG Resources Inc.</t>
  </si>
  <si>
    <t>EOG</t>
  </si>
  <si>
    <t>44117208,3</t>
  </si>
  <si>
    <t>45576957,4</t>
  </si>
  <si>
    <t>39677427,9</t>
  </si>
  <si>
    <t>38710844,7</t>
  </si>
  <si>
    <t>33620914,8</t>
  </si>
  <si>
    <t>29270587,5</t>
  </si>
  <si>
    <t>EPAM Systems Inc.</t>
  </si>
  <si>
    <t>EPAM</t>
  </si>
  <si>
    <t>2224688,91</t>
  </si>
  <si>
    <t>EQT Corp.</t>
  </si>
  <si>
    <t>EQT</t>
  </si>
  <si>
    <t>Equifax Inc.</t>
  </si>
  <si>
    <t>EFX</t>
  </si>
  <si>
    <t>Research and Consulting Services</t>
  </si>
  <si>
    <t>10104739,14</t>
  </si>
  <si>
    <t>11358404,46</t>
  </si>
  <si>
    <t>10805370,03</t>
  </si>
  <si>
    <t>9708263,37</t>
  </si>
  <si>
    <t>7857646,5</t>
  </si>
  <si>
    <t>7047709,9</t>
  </si>
  <si>
    <t>6247604,88</t>
  </si>
  <si>
    <t>6023975,52</t>
  </si>
  <si>
    <t>6312807,2</t>
  </si>
  <si>
    <t>Equinix Inc.</t>
  </si>
  <si>
    <t>EQIX</t>
  </si>
  <si>
    <t>34188089,7</t>
  </si>
  <si>
    <t>33888601,5</t>
  </si>
  <si>
    <t>29539359,7</t>
  </si>
  <si>
    <t>Equity Residential</t>
  </si>
  <si>
    <t>EQR</t>
  </si>
  <si>
    <t>Erie Indemnity Co.</t>
  </si>
  <si>
    <t>ERIE</t>
  </si>
  <si>
    <t>Essex Property Trust Inc.</t>
  </si>
  <si>
    <t>ESS</t>
  </si>
  <si>
    <t>Everest Group</t>
  </si>
  <si>
    <t>EG</t>
  </si>
  <si>
    <t>Reinsurance</t>
  </si>
  <si>
    <t>53243173,8</t>
  </si>
  <si>
    <t>54419771,9</t>
  </si>
  <si>
    <t>44691275,3</t>
  </si>
  <si>
    <t>37396186,2</t>
  </si>
  <si>
    <t>33576070,5</t>
  </si>
  <si>
    <t>Evergy, Inc.</t>
  </si>
  <si>
    <t>EVRG</t>
  </si>
  <si>
    <t>28913937,45</t>
  </si>
  <si>
    <t>31181280,39</t>
  </si>
  <si>
    <t>28024077,67</t>
  </si>
  <si>
    <t>27593699,43</t>
  </si>
  <si>
    <t>25078075,65</t>
  </si>
  <si>
    <t>23147124,49</t>
  </si>
  <si>
    <t>22357380,54</t>
  </si>
  <si>
    <t>9680800,32</t>
  </si>
  <si>
    <t>Eversource Energy</t>
  </si>
  <si>
    <t>ES</t>
  </si>
  <si>
    <t>49808153,13</t>
  </si>
  <si>
    <t>Exelon Corp.</t>
  </si>
  <si>
    <t>EXC</t>
  </si>
  <si>
    <t>104108565,6</t>
  </si>
  <si>
    <t>92149123,2</t>
  </si>
  <si>
    <t>89218059,3</t>
  </si>
  <si>
    <t>116958330,9</t>
  </si>
  <si>
    <t>105716647,5</t>
  </si>
  <si>
    <t>111367004,7</t>
  </si>
  <si>
    <t>104488335,6</t>
  </si>
  <si>
    <t>108848559,2</t>
  </si>
  <si>
    <t>Expand Energy Corp.</t>
  </si>
  <si>
    <t>EXE</t>
  </si>
  <si>
    <t>24092037,9</t>
  </si>
  <si>
    <t>26942814,6</t>
  </si>
  <si>
    <t>14473407,6</t>
  </si>
  <si>
    <t>9680213,7</t>
  </si>
  <si>
    <t>14429582,3</t>
  </si>
  <si>
    <t>12341424,4</t>
  </si>
  <si>
    <t>15941865,5</t>
  </si>
  <si>
    <t>Expedia Group, Inc.</t>
  </si>
  <si>
    <t>EXPE</t>
  </si>
  <si>
    <t>20825768,4</t>
  </si>
  <si>
    <t>21624569,2</t>
  </si>
  <si>
    <t>19579517,4</t>
  </si>
  <si>
    <t>20174627,7</t>
  </si>
  <si>
    <t>18947156,4</t>
  </si>
  <si>
    <t>19083797,6</t>
  </si>
  <si>
    <t>15750022,2</t>
  </si>
  <si>
    <t>15420124,8</t>
  </si>
  <si>
    <t>Expeditors Intl WA Inc</t>
  </si>
  <si>
    <t>EXPD</t>
  </si>
  <si>
    <t>Extra Space Storage Inc.</t>
  </si>
  <si>
    <t>EXR</t>
  </si>
  <si>
    <t>Self-Storage REIT</t>
  </si>
  <si>
    <t>7681105,74</t>
  </si>
  <si>
    <t>Exxon Mobil Corp.</t>
  </si>
  <si>
    <t>XOM</t>
  </si>
  <si>
    <t>438011502,5</t>
  </si>
  <si>
    <t>340453989,9</t>
  </si>
  <si>
    <t>345335991,9</t>
  </si>
  <si>
    <t>298014993,9</t>
  </si>
  <si>
    <t>323110186,7</t>
  </si>
  <si>
    <t>302367586,4</t>
  </si>
  <si>
    <t>290389864,8</t>
  </si>
  <si>
    <t>312906452,2</t>
  </si>
  <si>
    <t>310069928,5</t>
  </si>
  <si>
    <t>F5 Inc.</t>
  </si>
  <si>
    <t>FFIV</t>
  </si>
  <si>
    <t>FactSet Research Systems Inc.</t>
  </si>
  <si>
    <t>FDS</t>
  </si>
  <si>
    <t>Financial Media and Data Solutions</t>
  </si>
  <si>
    <t>Fair Isaac Corp.</t>
  </si>
  <si>
    <t>FICO</t>
  </si>
  <si>
    <t>Fastenal Co.</t>
  </si>
  <si>
    <t>FAST</t>
  </si>
  <si>
    <t>Trading Companies and Distributors</t>
  </si>
  <si>
    <t>4303554,93</t>
  </si>
  <si>
    <t>4537798,2</t>
  </si>
  <si>
    <t>4037585,63</t>
  </si>
  <si>
    <t>4256125,02</t>
  </si>
  <si>
    <t>3780110,7</t>
  </si>
  <si>
    <t>3241142,25</t>
  </si>
  <si>
    <t>3386090,89</t>
  </si>
  <si>
    <t>2900998,1</t>
  </si>
  <si>
    <t>2423864,4</t>
  </si>
  <si>
    <t>2528248,97</t>
  </si>
  <si>
    <t>Federal Realty Investment</t>
  </si>
  <si>
    <t>FRT</t>
  </si>
  <si>
    <t>Retail REIT</t>
  </si>
  <si>
    <t>6219232,62</t>
  </si>
  <si>
    <t>FedEx Corp.</t>
  </si>
  <si>
    <t>FDX</t>
  </si>
  <si>
    <t>77225675,1</t>
  </si>
  <si>
    <t>80229154,7</t>
  </si>
  <si>
    <t>81766276,9</t>
  </si>
  <si>
    <t>80155007,4</t>
  </si>
  <si>
    <t>67703308,3</t>
  </si>
  <si>
    <t>66146531,5</t>
  </si>
  <si>
    <t>48804931,3</t>
  </si>
  <si>
    <t>41296459,45</t>
  </si>
  <si>
    <t>33285220,65</t>
  </si>
  <si>
    <t>Fidelity National Information</t>
  </si>
  <si>
    <t>FIS</t>
  </si>
  <si>
    <t>28521729,6</t>
  </si>
  <si>
    <t>32631965,6</t>
  </si>
  <si>
    <t>49734073,1</t>
  </si>
  <si>
    <t>59209224,6</t>
  </si>
  <si>
    <t>72921228,3</t>
  </si>
  <si>
    <t>74679526,6</t>
  </si>
  <si>
    <t>20425252,8</t>
  </si>
  <si>
    <t>24659166,3</t>
  </si>
  <si>
    <t>Fifth Third Bancorp</t>
  </si>
  <si>
    <t>FITB</t>
  </si>
  <si>
    <t>182584039,2</t>
  </si>
  <si>
    <t>205666189,3</t>
  </si>
  <si>
    <t>194125097,8</t>
  </si>
  <si>
    <t>194112836,4</t>
  </si>
  <si>
    <t>185634298,8</t>
  </si>
  <si>
    <t>150924715,9</t>
  </si>
  <si>
    <t>127576664,6</t>
  </si>
  <si>
    <t>118325056,8</t>
  </si>
  <si>
    <t>134684272,1</t>
  </si>
  <si>
    <t>First Solar Inc.</t>
  </si>
  <si>
    <t>FSLR</t>
  </si>
  <si>
    <t>FirstEnergy Corp.</t>
  </si>
  <si>
    <t>FE</t>
  </si>
  <si>
    <t>47613436,8</t>
  </si>
  <si>
    <t>50269299,6</t>
  </si>
  <si>
    <t>44119504,9</t>
  </si>
  <si>
    <t>43143255,6</t>
  </si>
  <si>
    <t>39948357,6</t>
  </si>
  <si>
    <t>37694421,1</t>
  </si>
  <si>
    <t>34991024,2</t>
  </si>
  <si>
    <t>35191629,6</t>
  </si>
  <si>
    <t>40874100,4</t>
  </si>
  <si>
    <t>47965550,5</t>
  </si>
  <si>
    <t>Fiserv Inc.</t>
  </si>
  <si>
    <t>FISV</t>
  </si>
  <si>
    <t>Banking Technology</t>
  </si>
  <si>
    <t>68249276,1</t>
  </si>
  <si>
    <t>74544298,4</t>
  </si>
  <si>
    <t>78476223,3</t>
  </si>
  <si>
    <t>67045745,7</t>
  </si>
  <si>
    <t>61001032,5</t>
  </si>
  <si>
    <t>69095002,9</t>
  </si>
  <si>
    <t>9836230,8</t>
  </si>
  <si>
    <t>8568679,2</t>
  </si>
  <si>
    <t>9229543,9</t>
  </si>
  <si>
    <t>Ford Motor Co.</t>
  </si>
  <si>
    <t>F</t>
  </si>
  <si>
    <t>Automobile Manufacturers</t>
  </si>
  <si>
    <t>275470816,4</t>
  </si>
  <si>
    <t>239430658,8</t>
  </si>
  <si>
    <t>226010875,5</t>
  </si>
  <si>
    <t>218485867,5</t>
  </si>
  <si>
    <t>230382320,7</t>
  </si>
  <si>
    <t>215275468,8</t>
  </si>
  <si>
    <t>225410982,3</t>
  </si>
  <si>
    <t>207099693,75</t>
  </si>
  <si>
    <t>Fortinet Inc.</t>
  </si>
  <si>
    <t>FTNT</t>
  </si>
  <si>
    <t>Systems Software</t>
  </si>
  <si>
    <t>8848481,64</t>
  </si>
  <si>
    <t>9430178,29</t>
  </si>
  <si>
    <t>6567126,83</t>
  </si>
  <si>
    <t>5827539,6</t>
  </si>
  <si>
    <t>5204664,63</t>
  </si>
  <si>
    <t>3306378,75</t>
  </si>
  <si>
    <t>3456755,12</t>
  </si>
  <si>
    <t>2688325,2</t>
  </si>
  <si>
    <t>1880379,12</t>
  </si>
  <si>
    <t>Fortive Corp.</t>
  </si>
  <si>
    <t>FTV</t>
  </si>
  <si>
    <t>9996999,09</t>
  </si>
  <si>
    <t>16435850,99</t>
  </si>
  <si>
    <t>15300105,46</t>
  </si>
  <si>
    <t>14868834,42</t>
  </si>
  <si>
    <t>14478114,15</t>
  </si>
  <si>
    <t>13122101,25</t>
  </si>
  <si>
    <t>15539892,9</t>
  </si>
  <si>
    <t>11271751,04</t>
  </si>
  <si>
    <t>8744899,68</t>
  </si>
  <si>
    <t>7758197,54</t>
  </si>
  <si>
    <t>6639159,95</t>
  </si>
  <si>
    <t>Franklin Resources Inc.</t>
  </si>
  <si>
    <t>BEN</t>
  </si>
  <si>
    <t>27587502,09</t>
  </si>
  <si>
    <t>29107670,7</t>
  </si>
  <si>
    <t>28458509,76</t>
  </si>
  <si>
    <t>28616199,88</t>
  </si>
  <si>
    <t>20852495,52</t>
  </si>
  <si>
    <t>18466520,2</t>
  </si>
  <si>
    <t>13327480,62</t>
  </si>
  <si>
    <t>12379878,45</t>
  </si>
  <si>
    <t>14835517,4</t>
  </si>
  <si>
    <t>14322297,42</t>
  </si>
  <si>
    <t>Freeport-McMoRan Inc.</t>
  </si>
  <si>
    <t>FCX</t>
  </si>
  <si>
    <t>Copper</t>
  </si>
  <si>
    <t>49540833,9</t>
  </si>
  <si>
    <t>52977683,2</t>
  </si>
  <si>
    <t>47502178,2</t>
  </si>
  <si>
    <t>47807720,1</t>
  </si>
  <si>
    <t>42225744,6</t>
  </si>
  <si>
    <t>36364899,9</t>
  </si>
  <si>
    <t>36871454,4</t>
  </si>
  <si>
    <t>31065105,6</t>
  </si>
  <si>
    <t>35350394,1</t>
  </si>
  <si>
    <t>42885772,75</t>
  </si>
  <si>
    <t>Garmin Ltd.</t>
  </si>
  <si>
    <t>GRMN</t>
  </si>
  <si>
    <t>Consumer Electronics Producers</t>
  </si>
  <si>
    <t>9344618,65</t>
  </si>
  <si>
    <t>Gartner Inc.</t>
  </si>
  <si>
    <t>IT</t>
  </si>
  <si>
    <t>6886335,18</t>
  </si>
  <si>
    <t>Gen Digital Inc.</t>
  </si>
  <si>
    <t>GEN</t>
  </si>
  <si>
    <t>14638531,7</t>
  </si>
  <si>
    <t>14677618,8</t>
  </si>
  <si>
    <t>5410666,6</t>
  </si>
  <si>
    <t>7169571,5</t>
  </si>
  <si>
    <t>12791580,3</t>
  </si>
  <si>
    <t>16996324,8</t>
  </si>
  <si>
    <t>10355548,35</t>
  </si>
  <si>
    <t>12042691,65</t>
  </si>
  <si>
    <t>Generac Holdings Inc.</t>
  </si>
  <si>
    <t>GNRC</t>
  </si>
  <si>
    <t>General Dynamics Corp.</t>
  </si>
  <si>
    <t>GD</t>
  </si>
  <si>
    <t>48268084,5</t>
  </si>
  <si>
    <t>44029188,9</t>
  </si>
  <si>
    <t>43974893,9</t>
  </si>
  <si>
    <t>39659347,2</t>
  </si>
  <si>
    <t>29186308,8</t>
  </si>
  <si>
    <t>31423835,6</t>
  </si>
  <si>
    <t>29461237,75</t>
  </si>
  <si>
    <t>General Electric Co.</t>
  </si>
  <si>
    <t>GE</t>
  </si>
  <si>
    <t>110864937,3</t>
  </si>
  <si>
    <t>176707880,7</t>
  </si>
  <si>
    <t>174869908,2</t>
  </si>
  <si>
    <t>209452492,5</t>
  </si>
  <si>
    <t>236299224,7</t>
  </si>
  <si>
    <t>271690284,8</t>
  </si>
  <si>
    <t>345937855,9</t>
  </si>
  <si>
    <t>453995123,25</t>
  </si>
  <si>
    <t>General Mills Inc.</t>
  </si>
  <si>
    <t>GIS</t>
  </si>
  <si>
    <t>29178631,53</t>
  </si>
  <si>
    <t>28993218,87</t>
  </si>
  <si>
    <t>29385323,31</t>
  </si>
  <si>
    <t>29019499,34</t>
  </si>
  <si>
    <t>26126278,95</t>
  </si>
  <si>
    <t>27710626,65</t>
  </si>
  <si>
    <t>26865212,64</t>
  </si>
  <si>
    <t>26272329,6</t>
  </si>
  <si>
    <t>19511370,7</t>
  </si>
  <si>
    <t>19892226,8</t>
  </si>
  <si>
    <t>General Motors Co.</t>
  </si>
  <si>
    <t>GM</t>
  </si>
  <si>
    <t>239569582,8</t>
  </si>
  <si>
    <t>270221149,9</t>
  </si>
  <si>
    <t>247041000,8</t>
  </si>
  <si>
    <t>247059420,9</t>
  </si>
  <si>
    <t>215180537,4</t>
  </si>
  <si>
    <t>203203770,7</t>
  </si>
  <si>
    <t>198557882,6</t>
  </si>
  <si>
    <t>176955009,6</t>
  </si>
  <si>
    <t>178936713,5</t>
  </si>
  <si>
    <t>Genuine Parts Co.</t>
  </si>
  <si>
    <t>GPC</t>
  </si>
  <si>
    <t>Other Distributors</t>
  </si>
  <si>
    <t>8392509,62</t>
  </si>
  <si>
    <t>Gilead Sciences Inc.</t>
  </si>
  <si>
    <t>GILD</t>
  </si>
  <si>
    <t>50269889,1</t>
  </si>
  <si>
    <t>56983270,5</t>
  </si>
  <si>
    <t>56204487,5</t>
  </si>
  <si>
    <t>59109104,7</t>
  </si>
  <si>
    <t>59750193,6</t>
  </si>
  <si>
    <t>55922722,5</t>
  </si>
  <si>
    <t>54915819,7</t>
  </si>
  <si>
    <t>58531682,4</t>
  </si>
  <si>
    <t>53974312,1</t>
  </si>
  <si>
    <t>Global Payments Inc.</t>
  </si>
  <si>
    <t>GPN</t>
  </si>
  <si>
    <t>Globe Life Inc.</t>
  </si>
  <si>
    <t>GL</t>
  </si>
  <si>
    <t>GoDaddy Inc.</t>
  </si>
  <si>
    <t>GDDY</t>
  </si>
  <si>
    <t>6843324,33</t>
  </si>
  <si>
    <t>7954572,86</t>
  </si>
  <si>
    <t>6843965,03</t>
  </si>
  <si>
    <t>6525103,95</t>
  </si>
  <si>
    <t>6521856,03</t>
  </si>
  <si>
    <t>5258895,75</t>
  </si>
  <si>
    <t>5614999,32</t>
  </si>
  <si>
    <t>5313241,56</t>
  </si>
  <si>
    <t>4778856,24</t>
  </si>
  <si>
    <t>3587330,37</t>
  </si>
  <si>
    <t>3221520,1</t>
  </si>
  <si>
    <t>Halliburton Co.</t>
  </si>
  <si>
    <t>HAL</t>
  </si>
  <si>
    <t>24714483,3</t>
  </si>
  <si>
    <t>22330710,1</t>
  </si>
  <si>
    <t>21759703,5</t>
  </si>
  <si>
    <t>19626855,3</t>
  </si>
  <si>
    <t>22613444,7</t>
  </si>
  <si>
    <t>22692678,8</t>
  </si>
  <si>
    <t>34014346,5</t>
  </si>
  <si>
    <t>Hasbro Inc.</t>
  </si>
  <si>
    <t>HAS</t>
  </si>
  <si>
    <t>Leisure Products Producers</t>
  </si>
  <si>
    <t>6079713,67</t>
  </si>
  <si>
    <t>5917552,23</t>
  </si>
  <si>
    <t>8752089,85</t>
  </si>
  <si>
    <t>8874418,98</t>
  </si>
  <si>
    <t>8877579,04</t>
  </si>
  <si>
    <t>HCA Healthcare Inc.</t>
  </si>
  <si>
    <t>HCA</t>
  </si>
  <si>
    <t>Health Care Facilities</t>
  </si>
  <si>
    <t>57483606,7</t>
  </si>
  <si>
    <t>50854091,7</t>
  </si>
  <si>
    <t>49066236,6</t>
  </si>
  <si>
    <t>44617440,6</t>
  </si>
  <si>
    <t>40151183,8</t>
  </si>
  <si>
    <t>34243393,8</t>
  </si>
  <si>
    <t>30474650,4</t>
  </si>
  <si>
    <t>31978953,4</t>
  </si>
  <si>
    <t>Healthpeak Properties</t>
  </si>
  <si>
    <t>DOC</t>
  </si>
  <si>
    <t>Henry Schein Inc.</t>
  </si>
  <si>
    <t>HSIC</t>
  </si>
  <si>
    <t>9798040,2</t>
  </si>
  <si>
    <t>9565393,1</t>
  </si>
  <si>
    <t>8053569,9</t>
  </si>
  <si>
    <t>7498052,1</t>
  </si>
  <si>
    <t>Hewlett Packard Entpr Co.</t>
  </si>
  <si>
    <t>HPE</t>
  </si>
  <si>
    <t>54095314,5</t>
  </si>
  <si>
    <t>57768489,9</t>
  </si>
  <si>
    <t>49898095,2</t>
  </si>
  <si>
    <t>46350271,5</t>
  </si>
  <si>
    <t>46472471,3</t>
  </si>
  <si>
    <t>49028065,5</t>
  </si>
  <si>
    <t>72653499,6</t>
  </si>
  <si>
    <t>72471824,6</t>
  </si>
  <si>
    <t>Hilton Worldwide Holdings Inc</t>
  </si>
  <si>
    <t>HLT</t>
  </si>
  <si>
    <t>14286415,8</t>
  </si>
  <si>
    <t>15958599,8</t>
  </si>
  <si>
    <t>13933284,7</t>
  </si>
  <si>
    <t>14514578,4</t>
  </si>
  <si>
    <t>13577271,3</t>
  </si>
  <si>
    <t>13697212,5</t>
  </si>
  <si>
    <t>13328182,7</t>
  </si>
  <si>
    <t>11849078,4</t>
  </si>
  <si>
    <t>24829680,3</t>
  </si>
  <si>
    <t>23591456,5</t>
  </si>
  <si>
    <t>Honeywell International Inc.</t>
  </si>
  <si>
    <t>HON</t>
  </si>
  <si>
    <t>62754107,7</t>
  </si>
  <si>
    <t>72631816,4</t>
  </si>
  <si>
    <t>55661667,5</t>
  </si>
  <si>
    <t>58270717,5</t>
  </si>
  <si>
    <t>52288856,9</t>
  </si>
  <si>
    <t>50458938,2</t>
  </si>
  <si>
    <t>51292505,8</t>
  </si>
  <si>
    <t>Hormel Foods Corp.</t>
  </si>
  <si>
    <t>HRL</t>
  </si>
  <si>
    <t>Host Hotels &amp; Resorts</t>
  </si>
  <si>
    <t>HST</t>
  </si>
  <si>
    <t>Hotel and Resort REIT</t>
  </si>
  <si>
    <t>11113833,3</t>
  </si>
  <si>
    <t>12603063,2</t>
  </si>
  <si>
    <t>11076242,1</t>
  </si>
  <si>
    <t>11480103,3</t>
  </si>
  <si>
    <t>10861113,6</t>
  </si>
  <si>
    <t>10964985,5</t>
  </si>
  <si>
    <t>9737930,4</t>
  </si>
  <si>
    <t>10806798,4</t>
  </si>
  <si>
    <t>Howmet Aerospace Inc.</t>
  </si>
  <si>
    <t>HWM</t>
  </si>
  <si>
    <t>9521154,3</t>
  </si>
  <si>
    <t>10160302,1</t>
  </si>
  <si>
    <t>9434211,6</t>
  </si>
  <si>
    <t>9595603,5</t>
  </si>
  <si>
    <t>8985566,7</t>
  </si>
  <si>
    <t>9354652,5</t>
  </si>
  <si>
    <t>15649498,2</t>
  </si>
  <si>
    <t>16326466,2</t>
  </si>
  <si>
    <t>15588350,4</t>
  </si>
  <si>
    <t>18981997,4</t>
  </si>
  <si>
    <t>33586197,75</t>
  </si>
  <si>
    <t>HP Inc.</t>
  </si>
  <si>
    <t>HPQ</t>
  </si>
  <si>
    <t>38928982,2</t>
  </si>
  <si>
    <t>29759766,1</t>
  </si>
  <si>
    <t>30023245,7</t>
  </si>
  <si>
    <t>26447738,8</t>
  </si>
  <si>
    <t>96925941,7</t>
  </si>
  <si>
    <t>Hubbell Inc.</t>
  </si>
  <si>
    <t>HUBB</t>
  </si>
  <si>
    <t>7008468,96</t>
  </si>
  <si>
    <t>6614193,43</t>
  </si>
  <si>
    <t>6255095,8</t>
  </si>
  <si>
    <t>5055212,82</t>
  </si>
  <si>
    <t>4644022,95</t>
  </si>
  <si>
    <t>4157069,25</t>
  </si>
  <si>
    <t>4369063,3</t>
  </si>
  <si>
    <t>4255292,14</t>
  </si>
  <si>
    <t>3098515,68</t>
  </si>
  <si>
    <t>3339232,5</t>
  </si>
  <si>
    <t>Humana Inc.</t>
  </si>
  <si>
    <t>HUM</t>
  </si>
  <si>
    <t>41655795,3</t>
  </si>
  <si>
    <t>44894066,1</t>
  </si>
  <si>
    <t>42579705,5</t>
  </si>
  <si>
    <t>40286563,5</t>
  </si>
  <si>
    <t>39003989,4</t>
  </si>
  <si>
    <t>28587157,5</t>
  </si>
  <si>
    <t>25907841,4</t>
  </si>
  <si>
    <t>22195714,2</t>
  </si>
  <si>
    <t>22633838,4</t>
  </si>
  <si>
    <t>24057630,8</t>
  </si>
  <si>
    <t>22722268,5</t>
  </si>
  <si>
    <t>Huntington Bancshares Inc.</t>
  </si>
  <si>
    <t>HBAN</t>
  </si>
  <si>
    <t>191722780,2</t>
  </si>
  <si>
    <t>171321229,6</t>
  </si>
  <si>
    <t>171145144,2</t>
  </si>
  <si>
    <t>153054475,2</t>
  </si>
  <si>
    <t>97131682,2</t>
  </si>
  <si>
    <t>95009325,4</t>
  </si>
  <si>
    <t>94459072,2</t>
  </si>
  <si>
    <t>Huntington Ingalls Indstrs Inc</t>
  </si>
  <si>
    <t>HII</t>
  </si>
  <si>
    <t>10858323,3</t>
  </si>
  <si>
    <t>11726991,9</t>
  </si>
  <si>
    <t>10146210,5</t>
  </si>
  <si>
    <t>10158894,9</t>
  </si>
  <si>
    <t>9344321,1</t>
  </si>
  <si>
    <t>6668347,5</t>
  </si>
  <si>
    <t>6265324,1</t>
  </si>
  <si>
    <t>5574912,2</t>
  </si>
  <si>
    <t>5308267,2</t>
  </si>
  <si>
    <t>6017249,6</t>
  </si>
  <si>
    <t>IDEX Corp.</t>
  </si>
  <si>
    <t>IEX</t>
  </si>
  <si>
    <t>5899725,9</t>
  </si>
  <si>
    <t>6515285,27</t>
  </si>
  <si>
    <t>5306246,44</t>
  </si>
  <si>
    <t>5157484,83</t>
  </si>
  <si>
    <t>4323693,96</t>
  </si>
  <si>
    <t>IDEXX Laboratories Inc.</t>
  </si>
  <si>
    <t>IDXX</t>
  </si>
  <si>
    <t>Illinois Tool Works Inc.</t>
  </si>
  <si>
    <t>ITW</t>
  </si>
  <si>
    <t>13753251,6</t>
  </si>
  <si>
    <t>14553215,3</t>
  </si>
  <si>
    <t>14039134,6</t>
  </si>
  <si>
    <t>14430365,4</t>
  </si>
  <si>
    <t>14136506,1</t>
  </si>
  <si>
    <t>13427094,8</t>
  </si>
  <si>
    <t>14399907,3</t>
  </si>
  <si>
    <t>14482476,75</t>
  </si>
  <si>
    <t>Incyte Corp.</t>
  </si>
  <si>
    <t>INCY</t>
  </si>
  <si>
    <t>927600,38</t>
  </si>
  <si>
    <t>Ingersoll Rand Inc.</t>
  </si>
  <si>
    <t>IR</t>
  </si>
  <si>
    <t>15583725,24</t>
  </si>
  <si>
    <t>17395665,82</t>
  </si>
  <si>
    <t>14080298,45</t>
  </si>
  <si>
    <t>13816452,63</t>
  </si>
  <si>
    <t>13325351,85</t>
  </si>
  <si>
    <t>13127905,5</t>
  </si>
  <si>
    <t>4124367,24</t>
  </si>
  <si>
    <t>3919033,14</t>
  </si>
  <si>
    <t>3848535,36</t>
  </si>
  <si>
    <t>4088546,8</t>
  </si>
  <si>
    <t>Insulet Corp.</t>
  </si>
  <si>
    <t>PODD</t>
  </si>
  <si>
    <t>2717263,68</t>
  </si>
  <si>
    <t>2982409,43</t>
  </si>
  <si>
    <t>2341544,54</t>
  </si>
  <si>
    <t>2106354,27</t>
  </si>
  <si>
    <t>1801509,84</t>
  </si>
  <si>
    <t>1531095,75</t>
  </si>
  <si>
    <t>1018438,19</t>
  </si>
  <si>
    <t>811126,58</t>
  </si>
  <si>
    <t>Intel Corp.</t>
  </si>
  <si>
    <t>INTC</t>
  </si>
  <si>
    <t>188409466,5</t>
  </si>
  <si>
    <t>173315188,4</t>
  </si>
  <si>
    <t>170393777,1</t>
  </si>
  <si>
    <t>148887744,6</t>
  </si>
  <si>
    <t>125626474,6</t>
  </si>
  <si>
    <t>122175327,6</t>
  </si>
  <si>
    <t>111788476,8</t>
  </si>
  <si>
    <t>102641767,2</t>
  </si>
  <si>
    <t>107354667,1</t>
  </si>
  <si>
    <t>92657431,75</t>
  </si>
  <si>
    <t>Interactive Brokers Group Inc.</t>
  </si>
  <si>
    <t>IBKR</t>
  </si>
  <si>
    <t>Investment Banks, Brokers and Capital Markets</t>
  </si>
  <si>
    <t>145022157,8</t>
  </si>
  <si>
    <t>116028679,7</t>
  </si>
  <si>
    <t>107739305,1</t>
  </si>
  <si>
    <t>95943060,9</t>
  </si>
  <si>
    <t>78217582,5</t>
  </si>
  <si>
    <t>63870483,6</t>
  </si>
  <si>
    <t>52881749,8</t>
  </si>
  <si>
    <t>50935713,6</t>
  </si>
  <si>
    <t>51791732,9</t>
  </si>
  <si>
    <t>44871830,5</t>
  </si>
  <si>
    <t>Intercontinental Exchange Inc.</t>
  </si>
  <si>
    <t>ICE</t>
  </si>
  <si>
    <t>116586657,9</t>
  </si>
  <si>
    <t>134673505,2</t>
  </si>
  <si>
    <t>123115194,8</t>
  </si>
  <si>
    <t>181842066,6</t>
  </si>
  <si>
    <t>170146308,6</t>
  </si>
  <si>
    <t>84202712,3</t>
  </si>
  <si>
    <t>81043659,4</t>
  </si>
  <si>
    <t>65178259,2</t>
  </si>
  <si>
    <t>77681441,9</t>
  </si>
  <si>
    <t>71806530,25</t>
  </si>
  <si>
    <t>Intl Bus Machines Corp</t>
  </si>
  <si>
    <t>IBM</t>
  </si>
  <si>
    <t>132497332,5</t>
  </si>
  <si>
    <t>122352532,7</t>
  </si>
  <si>
    <t>119061275,1</t>
  </si>
  <si>
    <t>116068479,3</t>
  </si>
  <si>
    <t>127506292,5</t>
  </si>
  <si>
    <t>135612944,6</t>
  </si>
  <si>
    <t>107761838,8</t>
  </si>
  <si>
    <t>104396476,8</t>
  </si>
  <si>
    <t>101738271,25</t>
  </si>
  <si>
    <t>Intl Flavors &amp; Fragrances Inc</t>
  </si>
  <si>
    <t>IFF</t>
  </si>
  <si>
    <t>21751566,3</t>
  </si>
  <si>
    <t>27743545,7</t>
  </si>
  <si>
    <t>28025796,6</t>
  </si>
  <si>
    <t>33237935,4</t>
  </si>
  <si>
    <t>34871279,4</t>
  </si>
  <si>
    <t>11081212,5</t>
  </si>
  <si>
    <t>International Paper Company</t>
  </si>
  <si>
    <t>IP</t>
  </si>
  <si>
    <t>32333938,8</t>
  </si>
  <si>
    <t>21044226,7</t>
  </si>
  <si>
    <t>22196169,9</t>
  </si>
  <si>
    <t>29826008,1</t>
  </si>
  <si>
    <t>29325278,4</t>
  </si>
  <si>
    <t>28234418,4</t>
  </si>
  <si>
    <t>31348998,9</t>
  </si>
  <si>
    <t>28111418,25</t>
  </si>
  <si>
    <t>Intuit Inc.</t>
  </si>
  <si>
    <t>INTU</t>
  </si>
  <si>
    <t>32308683,6</t>
  </si>
  <si>
    <t>27190413,6</t>
  </si>
  <si>
    <t>9239974,3</t>
  </si>
  <si>
    <t>5645275,5</t>
  </si>
  <si>
    <t>3803537,5</t>
  </si>
  <si>
    <t>4496785,2</t>
  </si>
  <si>
    <t>Intuitive Surgical Inc.</t>
  </si>
  <si>
    <t>ISRG</t>
  </si>
  <si>
    <t>17424674,79</t>
  </si>
  <si>
    <t>18104056,88</t>
  </si>
  <si>
    <t>13969925,05</t>
  </si>
  <si>
    <t>12139771,8</t>
  </si>
  <si>
    <t>11918911,5</t>
  </si>
  <si>
    <t>9130575,75</t>
  </si>
  <si>
    <t>8673254,52</t>
  </si>
  <si>
    <t>6853307,78</t>
  </si>
  <si>
    <t>4810919,04</t>
  </si>
  <si>
    <t>6145040,37</t>
  </si>
  <si>
    <t>Invesco Ltd.</t>
  </si>
  <si>
    <t>IVZ</t>
  </si>
  <si>
    <t>23075959,8</t>
  </si>
  <si>
    <t>26087896,51</t>
  </si>
  <si>
    <t>26176408,86</t>
  </si>
  <si>
    <t>27843437,76</t>
  </si>
  <si>
    <t>28740448,08</t>
  </si>
  <si>
    <t>29842101,75</t>
  </si>
  <si>
    <t>35127429,33</t>
  </si>
  <si>
    <t>27056534,56</t>
  </si>
  <si>
    <t>26373776,64</t>
  </si>
  <si>
    <t>24378102,39</t>
  </si>
  <si>
    <t>23086148,9</t>
  </si>
  <si>
    <t>Invitation Homes Inc.</t>
  </si>
  <si>
    <t>INVH</t>
  </si>
  <si>
    <t>Single-Family Residential REIT</t>
  </si>
  <si>
    <t>IQVIA Holdings Inc.</t>
  </si>
  <si>
    <t>IQV</t>
  </si>
  <si>
    <t>25503304,8</t>
  </si>
  <si>
    <t>25981744,1</t>
  </si>
  <si>
    <t>24138300,7</t>
  </si>
  <si>
    <t>23707830,9</t>
  </si>
  <si>
    <t>21709037,7</t>
  </si>
  <si>
    <t>20718966,1</t>
  </si>
  <si>
    <t>19694296,6</t>
  </si>
  <si>
    <t>19035309,6</t>
  </si>
  <si>
    <t>20090338,4</t>
  </si>
  <si>
    <t>3614864,5</t>
  </si>
  <si>
    <t>Iron Mountain Inc.</t>
  </si>
  <si>
    <t>IRM</t>
  </si>
  <si>
    <t>Other Specialized REIT</t>
  </si>
  <si>
    <t>8986845,64</t>
  </si>
  <si>
    <t>J.B. Hunt Transport Svcs Inc</t>
  </si>
  <si>
    <t>JBHT</t>
  </si>
  <si>
    <t>Cargo Ground Transportation</t>
  </si>
  <si>
    <t>4846424,49</t>
  </si>
  <si>
    <t>Jabil Inc.</t>
  </si>
  <si>
    <t>JBL</t>
  </si>
  <si>
    <t>Electronic Manufacturing Services</t>
  </si>
  <si>
    <t>15852410,7</t>
  </si>
  <si>
    <t>15687039,1</t>
  </si>
  <si>
    <t>19577009,3</t>
  </si>
  <si>
    <t>14109268,8</t>
  </si>
  <si>
    <t>12043090,5</t>
  </si>
  <si>
    <t>11792755,87</t>
  </si>
  <si>
    <t>8562900,9</t>
  </si>
  <si>
    <t>Jack Henry &amp; Assoc. Inc.</t>
  </si>
  <si>
    <t>JKHY</t>
  </si>
  <si>
    <t>Jacobs Solutions Inc.</t>
  </si>
  <si>
    <t>J</t>
  </si>
  <si>
    <t>Johnson &amp; Johnson</t>
  </si>
  <si>
    <t>JNJ</t>
  </si>
  <si>
    <t>172701725,6</t>
  </si>
  <si>
    <t>151589722,6</t>
  </si>
  <si>
    <t>175329594,6</t>
  </si>
  <si>
    <t>160048427,4</t>
  </si>
  <si>
    <t>143168228,4</t>
  </si>
  <si>
    <t>141150787,2</t>
  </si>
  <si>
    <t>133620614,4</t>
  </si>
  <si>
    <t>131001938,4</t>
  </si>
  <si>
    <t>133766338,4</t>
  </si>
  <si>
    <t>122811496,05</t>
  </si>
  <si>
    <t>Johnson Controls Intl plc</t>
  </si>
  <si>
    <t>JCI</t>
  </si>
  <si>
    <t>32335409,7</t>
  </si>
  <si>
    <t>39910241,6</t>
  </si>
  <si>
    <t>42992728,4</t>
  </si>
  <si>
    <t>38781407,7</t>
  </si>
  <si>
    <t>41999577,9</t>
  </si>
  <si>
    <t>43899052,4</t>
  </si>
  <si>
    <t>56207197,35</t>
  </si>
  <si>
    <t>26542793,1</t>
  </si>
  <si>
    <t>JPMorgan Chase &amp; Co.</t>
  </si>
  <si>
    <t>JPM</t>
  </si>
  <si>
    <t>3866318042,6</t>
  </si>
  <si>
    <t>3506068047,1</t>
  </si>
  <si>
    <t>3430035725,1</t>
  </si>
  <si>
    <t>3291718463,1</t>
  </si>
  <si>
    <t>2767038847,5</t>
  </si>
  <si>
    <t>2394723426,9</t>
  </si>
  <si>
    <t>2290519448,8</t>
  </si>
  <si>
    <t>2359697775,6</t>
  </si>
  <si>
    <t>2165325933,5</t>
  </si>
  <si>
    <t>Keurig Dr Pepper Inc.</t>
  </si>
  <si>
    <t>KDP</t>
  </si>
  <si>
    <t>Soft Drinks and Non-alcoholic Beverages</t>
  </si>
  <si>
    <t>47234430,3</t>
  </si>
  <si>
    <t>48503880,9</t>
  </si>
  <si>
    <t>44490821,4</t>
  </si>
  <si>
    <t>40694332,5</t>
  </si>
  <si>
    <t>44125489,8</t>
  </si>
  <si>
    <t>42724981,2</t>
  </si>
  <si>
    <t>13111603,2</t>
  </si>
  <si>
    <t>KeyCorp</t>
  </si>
  <si>
    <t>KEY</t>
  </si>
  <si>
    <t>157037297,7</t>
  </si>
  <si>
    <t>180785571,2</t>
  </si>
  <si>
    <t>170337820,7</t>
  </si>
  <si>
    <t>177608024,1</t>
  </si>
  <si>
    <t>163854037,8</t>
  </si>
  <si>
    <t>129198806,8</t>
  </si>
  <si>
    <t>121937994,2</t>
  </si>
  <si>
    <t>114674894,4</t>
  </si>
  <si>
    <t>129261926,9</t>
  </si>
  <si>
    <t>87591868,25</t>
  </si>
  <si>
    <t>Keysight Technologies Inc.</t>
  </si>
  <si>
    <t>KEYS</t>
  </si>
  <si>
    <t>Electronic Equipment and Instruments</t>
  </si>
  <si>
    <t>8218459,5</t>
  </si>
  <si>
    <t>8189507,4</t>
  </si>
  <si>
    <t>6729008,8</t>
  </si>
  <si>
    <t>6193765,8</t>
  </si>
  <si>
    <t>5941493,3</t>
  </si>
  <si>
    <t>3463470,4</t>
  </si>
  <si>
    <t>3181229,8</t>
  </si>
  <si>
    <t>Kimberly-Clark Corp.</t>
  </si>
  <si>
    <t>KMB</t>
  </si>
  <si>
    <t>14562366,6</t>
  </si>
  <si>
    <t>15981781,4</t>
  </si>
  <si>
    <t>15691116,8</t>
  </si>
  <si>
    <t>15684074,1</t>
  </si>
  <si>
    <t>14325052,5</t>
  </si>
  <si>
    <t>13618681,3</t>
  </si>
  <si>
    <t>12680021,2</t>
  </si>
  <si>
    <t>12617752,8</t>
  </si>
  <si>
    <t>13832474,6</t>
  </si>
  <si>
    <t>13665771,5</t>
  </si>
  <si>
    <t>Kimco Realty Corp.</t>
  </si>
  <si>
    <t>KIM</t>
  </si>
  <si>
    <t>9606613,94</t>
  </si>
  <si>
    <t>10638747,38</t>
  </si>
  <si>
    <t>Kinder Morgan Inc.</t>
  </si>
  <si>
    <t>KMI</t>
  </si>
  <si>
    <t>Oil and Gas Storage and Transportation</t>
  </si>
  <si>
    <t>61959471,6</t>
  </si>
  <si>
    <t>68972021,3</t>
  </si>
  <si>
    <t>65571984,6</t>
  </si>
  <si>
    <t>61916788,8</t>
  </si>
  <si>
    <t>58837927,5</t>
  </si>
  <si>
    <t>66081302,7</t>
  </si>
  <si>
    <t>68881564,4</t>
  </si>
  <si>
    <t>76072926,5</t>
  </si>
  <si>
    <t>KKR &amp; Co.</t>
  </si>
  <si>
    <t>KKR</t>
  </si>
  <si>
    <t>KLA Corp.</t>
  </si>
  <si>
    <t>KLAC</t>
  </si>
  <si>
    <t>L3Harris Technologies Inc.</t>
  </si>
  <si>
    <t>LHX</t>
  </si>
  <si>
    <t>40808171,6</t>
  </si>
  <si>
    <t>37714228,9</t>
  </si>
  <si>
    <t>31368406,8</t>
  </si>
  <si>
    <t>30519623,7</t>
  </si>
  <si>
    <t>8443292,1</t>
  </si>
  <si>
    <t>10776276,15</t>
  </si>
  <si>
    <t>11825457,95</t>
  </si>
  <si>
    <t>Labcorp Holdings Inc.</t>
  </si>
  <si>
    <t>LH</t>
  </si>
  <si>
    <t>15665062,59</t>
  </si>
  <si>
    <t>17752276,1</t>
  </si>
  <si>
    <t>15131197,97</t>
  </si>
  <si>
    <t>18859127,07</t>
  </si>
  <si>
    <t>17924882,22</t>
  </si>
  <si>
    <t>16408614,75</t>
  </si>
  <si>
    <t>16081147,04</t>
  </si>
  <si>
    <t>14136241,02</t>
  </si>
  <si>
    <t>13885274,4</t>
  </si>
  <si>
    <t>13496183,1</t>
  </si>
  <si>
    <t>Lam Research Corp.</t>
  </si>
  <si>
    <t>LRCX</t>
  </si>
  <si>
    <t>18218179,41</t>
  </si>
  <si>
    <t>Las Vegas Sands Corp.</t>
  </si>
  <si>
    <t>LVS</t>
  </si>
  <si>
    <t>Casinos and Gaming</t>
  </si>
  <si>
    <t>19961289,4</t>
  </si>
  <si>
    <t>19702556,6</t>
  </si>
  <si>
    <t>20621892,3</t>
  </si>
  <si>
    <t>17637878,7</t>
  </si>
  <si>
    <t>17009722,5</t>
  </si>
  <si>
    <t>20672628,9</t>
  </si>
  <si>
    <t>19692549,8</t>
  </si>
  <si>
    <t>17228133,6</t>
  </si>
  <si>
    <t>19390283,7</t>
  </si>
  <si>
    <t>19209607,25</t>
  </si>
  <si>
    <t>Leidos Holdings Inc.</t>
  </si>
  <si>
    <t>LDOS</t>
  </si>
  <si>
    <t>11487940,2</t>
  </si>
  <si>
    <t>11485166,5</t>
  </si>
  <si>
    <t>12230534,7</t>
  </si>
  <si>
    <t>11660397,3</t>
  </si>
  <si>
    <t>10241504,6</t>
  </si>
  <si>
    <t>8650743,6</t>
  </si>
  <si>
    <t>2906145,75</t>
  </si>
  <si>
    <t>Lennar Corp.</t>
  </si>
  <si>
    <t>LEN</t>
  </si>
  <si>
    <t>Lennox International Inc.</t>
  </si>
  <si>
    <t>LII</t>
  </si>
  <si>
    <t>3476469,06</t>
  </si>
  <si>
    <t>2531622,01</t>
  </si>
  <si>
    <t>2402503,32</t>
  </si>
  <si>
    <t>1909751,67</t>
  </si>
  <si>
    <t>1661568,75</t>
  </si>
  <si>
    <t>1813299,39</t>
  </si>
  <si>
    <t>1587142,48</t>
  </si>
  <si>
    <t>1575241,2</t>
  </si>
  <si>
    <t>1667532,19</t>
  </si>
  <si>
    <t>1544466,05</t>
  </si>
  <si>
    <t>Linde plc</t>
  </si>
  <si>
    <t>LIN</t>
  </si>
  <si>
    <t>73942038,9</t>
  </si>
  <si>
    <t>77413987,3</t>
  </si>
  <si>
    <t>73109711,7</t>
  </si>
  <si>
    <t>74535990,6</t>
  </si>
  <si>
    <t>71755276,5</t>
  </si>
  <si>
    <t>72127207,5</t>
  </si>
  <si>
    <t>77179953,2</t>
  </si>
  <si>
    <t>81563332,4</t>
  </si>
  <si>
    <t>17019100,8</t>
  </si>
  <si>
    <t>18313203,6</t>
  </si>
  <si>
    <t>16867219,25</t>
  </si>
  <si>
    <t>Live Nation Entertainment Inc.</t>
  </si>
  <si>
    <t>LYV</t>
  </si>
  <si>
    <t>Movies and Entertainment</t>
  </si>
  <si>
    <t>Lockheed Martin Corp.</t>
  </si>
  <si>
    <t>LMT</t>
  </si>
  <si>
    <t>53720460,3</t>
  </si>
  <si>
    <t>47456943,2</t>
  </si>
  <si>
    <t>44732628,9</t>
  </si>
  <si>
    <t>42352200,8</t>
  </si>
  <si>
    <t>39194698,4</t>
  </si>
  <si>
    <t>45286623,8</t>
  </si>
  <si>
    <t>Loews Corp.</t>
  </si>
  <si>
    <t>L</t>
  </si>
  <si>
    <t>73542591,6</t>
  </si>
  <si>
    <t>79148743,7</t>
  </si>
  <si>
    <t>71649525,9</t>
  </si>
  <si>
    <t>70708041,9</t>
  </si>
  <si>
    <t>71773741,8</t>
  </si>
  <si>
    <t>73286737,3</t>
  </si>
  <si>
    <t>68401194,4</t>
  </si>
  <si>
    <t>66279220,8</t>
  </si>
  <si>
    <t>72557496,2</t>
  </si>
  <si>
    <t>69982524,5</t>
  </si>
  <si>
    <t>Lowe's Companies Inc.</t>
  </si>
  <si>
    <t>LOW</t>
  </si>
  <si>
    <t>Home Improvement Retail</t>
  </si>
  <si>
    <t>41468434,2</t>
  </si>
  <si>
    <t>38731426,5</t>
  </si>
  <si>
    <t>30053017,2</t>
  </si>
  <si>
    <t>28366905,8</t>
  </si>
  <si>
    <t>31920301,6</t>
  </si>
  <si>
    <t>28894473,9</t>
  </si>
  <si>
    <t>28096875,75</t>
  </si>
  <si>
    <t>lululemon athletica inc.</t>
  </si>
  <si>
    <t>LULU</t>
  </si>
  <si>
    <t>Apparel, Accessories and Luxury Goods</t>
  </si>
  <si>
    <t>Lumentum Holdings Inc.</t>
  </si>
  <si>
    <t>LITE</t>
  </si>
  <si>
    <t>3600660,45</t>
  </si>
  <si>
    <t>3669642,27</t>
  </si>
  <si>
    <t>4243003,6</t>
  </si>
  <si>
    <t>4001539,08</t>
  </si>
  <si>
    <t>2998971,04</t>
  </si>
  <si>
    <t>2937328,46</t>
  </si>
  <si>
    <t>2387348,08</t>
  </si>
  <si>
    <t>1355503,65</t>
  </si>
  <si>
    <t>1080636,85</t>
  </si>
  <si>
    <t>459520,27</t>
  </si>
  <si>
    <t>LyondellBasell Industries N.V.</t>
  </si>
  <si>
    <t>LYB</t>
  </si>
  <si>
    <t>Commodity Chemicals</t>
  </si>
  <si>
    <t>28960355,1</t>
  </si>
  <si>
    <t>34527061,4</t>
  </si>
  <si>
    <t>34026730,5</t>
  </si>
  <si>
    <t>32307240,6</t>
  </si>
  <si>
    <t>28941952,5</t>
  </si>
  <si>
    <t>27120628,5</t>
  </si>
  <si>
    <t>24698005,2</t>
  </si>
  <si>
    <t>21824356,8</t>
  </si>
  <si>
    <t>22206606,6</t>
  </si>
  <si>
    <t>20953507,75</t>
  </si>
  <si>
    <t>M&amp;T Bank Corp.</t>
  </si>
  <si>
    <t>MTB</t>
  </si>
  <si>
    <t>201008619,5</t>
  </si>
  <si>
    <t>188416440,8</t>
  </si>
  <si>
    <t>Marathon Petroleum Corp.</t>
  </si>
  <si>
    <t>MPC</t>
  </si>
  <si>
    <t>Oil and Gas Refining and Marketing</t>
  </si>
  <si>
    <t>71504473,5</t>
  </si>
  <si>
    <t>76168942,2</t>
  </si>
  <si>
    <t>77792438,9</t>
  </si>
  <si>
    <t>84123172,8</t>
  </si>
  <si>
    <t>75068478,9</t>
  </si>
  <si>
    <t>87823251,6</t>
  </si>
  <si>
    <t>40846341,6</t>
  </si>
  <si>
    <t>42072434,9</t>
  </si>
  <si>
    <t>39698136,25</t>
  </si>
  <si>
    <t>Marriott International Inc.</t>
  </si>
  <si>
    <t>MAR</t>
  </si>
  <si>
    <t>25289193,8</t>
  </si>
  <si>
    <t>23227267,8</t>
  </si>
  <si>
    <t>23219395,5</t>
  </si>
  <si>
    <t>22468752,9</t>
  </si>
  <si>
    <t>20193067,5</t>
  </si>
  <si>
    <t>22322946,1</t>
  </si>
  <si>
    <t>20696086,4</t>
  </si>
  <si>
    <t>19858948,8</t>
  </si>
  <si>
    <t>5600001,5</t>
  </si>
  <si>
    <t>Marsh &amp; McLennan Cos Inc</t>
  </si>
  <si>
    <t>MRSH</t>
  </si>
  <si>
    <t>54554997,9</t>
  </si>
  <si>
    <t>41277469,8</t>
  </si>
  <si>
    <t>30237368,4</t>
  </si>
  <si>
    <t>27017557,5</t>
  </si>
  <si>
    <t>27942222,7</t>
  </si>
  <si>
    <t>18846225,2</t>
  </si>
  <si>
    <t>17013271,2</t>
  </si>
  <si>
    <t>Martin Marietta Materials Inc.</t>
  </si>
  <si>
    <t>MLM</t>
  </si>
  <si>
    <t>15936158,7</t>
  </si>
  <si>
    <t>13683587,5</t>
  </si>
  <si>
    <t>14029511,52</t>
  </si>
  <si>
    <t>12655764,9</t>
  </si>
  <si>
    <t>9028268,76</t>
  </si>
  <si>
    <t>8342192,76</t>
  </si>
  <si>
    <t>Masco Corp.</t>
  </si>
  <si>
    <t>MAS</t>
  </si>
  <si>
    <t>4429691,7</t>
  </si>
  <si>
    <t>4844954,4</t>
  </si>
  <si>
    <t>4851906,1</t>
  </si>
  <si>
    <t>4853475,9</t>
  </si>
  <si>
    <t>4902097,5</t>
  </si>
  <si>
    <t>4722697,5</t>
  </si>
  <si>
    <t>4479559,7</t>
  </si>
  <si>
    <t>4710246,2</t>
  </si>
  <si>
    <t>4608715,2</t>
  </si>
  <si>
    <t>4866280,1</t>
  </si>
  <si>
    <t>Mastercard Inc.</t>
  </si>
  <si>
    <t>MA</t>
  </si>
  <si>
    <t>46125516,9</t>
  </si>
  <si>
    <t>46441437,9</t>
  </si>
  <si>
    <t>38402705,6</t>
  </si>
  <si>
    <t>36234046,8</t>
  </si>
  <si>
    <t>33122351,7</t>
  </si>
  <si>
    <t>26052199,6</t>
  </si>
  <si>
    <t>17762791,2</t>
  </si>
  <si>
    <t>17690827,5</t>
  </si>
  <si>
    <t>14962187,5</t>
  </si>
  <si>
    <t>McCormick &amp; Co.</t>
  </si>
  <si>
    <t>MKC</t>
  </si>
  <si>
    <t>11384024,96</t>
  </si>
  <si>
    <t>12388030,34</t>
  </si>
  <si>
    <t>11793442,87</t>
  </si>
  <si>
    <t>12727215,53</t>
  </si>
  <si>
    <t>11450025,76</t>
  </si>
  <si>
    <t>10115451,99</t>
  </si>
  <si>
    <t>9404641,96</t>
  </si>
  <si>
    <t>9058452,48</t>
  </si>
  <si>
    <t>8720956,26</t>
  </si>
  <si>
    <t>4385561,4</t>
  </si>
  <si>
    <t>4233539,53</t>
  </si>
  <si>
    <t>McDonald's Corp.</t>
  </si>
  <si>
    <t>MCD</t>
  </si>
  <si>
    <t>50688925,5</t>
  </si>
  <si>
    <t>53300293,8</t>
  </si>
  <si>
    <t>50796190,9</t>
  </si>
  <si>
    <t>47192590,92</t>
  </si>
  <si>
    <t>47354085,99</t>
  </si>
  <si>
    <t>42336873,88</t>
  </si>
  <si>
    <t>28657302,08</t>
  </si>
  <si>
    <t>28151721,36</t>
  </si>
  <si>
    <t>29388940,47</t>
  </si>
  <si>
    <t>McKesson Corp.</t>
  </si>
  <si>
    <t>MCK</t>
  </si>
  <si>
    <t>62512916,7</t>
  </si>
  <si>
    <t>56980859,6</t>
  </si>
  <si>
    <t>49011257,7</t>
  </si>
  <si>
    <t>57018208,8</t>
  </si>
  <si>
    <t>49630020,15</t>
  </si>
  <si>
    <t>50144889,5</t>
  </si>
  <si>
    <t>Medtronic plc</t>
  </si>
  <si>
    <t>MDT</t>
  </si>
  <si>
    <t>84285202,7</t>
  </si>
  <si>
    <t>82407982,8</t>
  </si>
  <si>
    <t>86331870,9</t>
  </si>
  <si>
    <t>77379897,9</t>
  </si>
  <si>
    <t>83996151,8</t>
  </si>
  <si>
    <t>80347885,2</t>
  </si>
  <si>
    <t>75508018,3</t>
  </si>
  <si>
    <t>91732274,4</t>
  </si>
  <si>
    <t>87004158,6</t>
  </si>
  <si>
    <t>98230213,75</t>
  </si>
  <si>
    <t>Merck &amp; Co.</t>
  </si>
  <si>
    <t>MRK</t>
  </si>
  <si>
    <t>116568772,2</t>
  </si>
  <si>
    <t>113112685,4</t>
  </si>
  <si>
    <t>96508872,5</t>
  </si>
  <si>
    <t>92936734,2</t>
  </si>
  <si>
    <t>75206166,7</t>
  </si>
  <si>
    <t>72175155,8</t>
  </si>
  <si>
    <t>73179801,6</t>
  </si>
  <si>
    <t>90350632,1</t>
  </si>
  <si>
    <t>93619097,75</t>
  </si>
  <si>
    <t>Meta Platforms Inc.</t>
  </si>
  <si>
    <t>META</t>
  </si>
  <si>
    <t>311740085,7</t>
  </si>
  <si>
    <t>266640558,6</t>
  </si>
  <si>
    <t>207739928,1</t>
  </si>
  <si>
    <t>173784753,9</t>
  </si>
  <si>
    <t>145952369,1</t>
  </si>
  <si>
    <t>118851353,6</t>
  </si>
  <si>
    <t>85011515,6</t>
  </si>
  <si>
    <t>70391587,2</t>
  </si>
  <si>
    <t>61537555,3</t>
  </si>
  <si>
    <t>45491495,25</t>
  </si>
  <si>
    <t>MetLife Inc.</t>
  </si>
  <si>
    <t>MET</t>
  </si>
  <si>
    <t>634657882,2</t>
  </si>
  <si>
    <t>654355716,3</t>
  </si>
  <si>
    <t>622057244,8</t>
  </si>
  <si>
    <t>620436470,4</t>
  </si>
  <si>
    <t>668011244,4</t>
  </si>
  <si>
    <t>659826579,3</t>
  </si>
  <si>
    <t>600495689,2</t>
  </si>
  <si>
    <t>599526057,6</t>
  </si>
  <si>
    <t>851399137,2</t>
  </si>
  <si>
    <t>808356809,75</t>
  </si>
  <si>
    <t>Mettler-Toledo Intl Inc.</t>
  </si>
  <si>
    <t>MTD</t>
  </si>
  <si>
    <t>MGM Resorts International</t>
  </si>
  <si>
    <t>MGM</t>
  </si>
  <si>
    <t>Microchip Technology Inc.</t>
  </si>
  <si>
    <t>MCHP</t>
  </si>
  <si>
    <t>14224579,92</t>
  </si>
  <si>
    <t>14712869,08</t>
  </si>
  <si>
    <t>15067224,12</t>
  </si>
  <si>
    <t>14582789,9</t>
  </si>
  <si>
    <t>14039937,6</t>
  </si>
  <si>
    <t>6702369,24</t>
  </si>
  <si>
    <t>7188788,88</t>
  </si>
  <si>
    <t>Micron Technology Inc.</t>
  </si>
  <si>
    <t>MU</t>
  </si>
  <si>
    <t>62668764,8</t>
  </si>
  <si>
    <t>66693954,6</t>
  </si>
  <si>
    <t>45395484,6</t>
  </si>
  <si>
    <t>44198736,7</t>
  </si>
  <si>
    <t>37242633,6</t>
  </si>
  <si>
    <t>29756445,6</t>
  </si>
  <si>
    <t>21732321,45</t>
  </si>
  <si>
    <t>Microsoft Corp.</t>
  </si>
  <si>
    <t>MSFT</t>
  </si>
  <si>
    <t>527081054,5</t>
  </si>
  <si>
    <t>478001727,9</t>
  </si>
  <si>
    <t>281509208,6</t>
  </si>
  <si>
    <t>267744954,6</t>
  </si>
  <si>
    <t>251825412,8</t>
  </si>
  <si>
    <t>221858620,8</t>
  </si>
  <si>
    <t>174208260,6</t>
  </si>
  <si>
    <t>MAA</t>
  </si>
  <si>
    <t>Molson Coors Beverage Co.</t>
  </si>
  <si>
    <t>TAP</t>
  </si>
  <si>
    <t>Brewer: Beer and Malt Liquor</t>
  </si>
  <si>
    <t>19366295,28</t>
  </si>
  <si>
    <t>25175507,37</t>
  </si>
  <si>
    <t>23861552,97</t>
  </si>
  <si>
    <t>24204968,31</t>
  </si>
  <si>
    <t>24285386,7</t>
  </si>
  <si>
    <t>22343174,25</t>
  </si>
  <si>
    <t>25716967,78</t>
  </si>
  <si>
    <t>26297899,32</t>
  </si>
  <si>
    <t>25189618,32</t>
  </si>
  <si>
    <t>27795202,95</t>
  </si>
  <si>
    <t>Mondelez International</t>
  </si>
  <si>
    <t>MDLZ</t>
  </si>
  <si>
    <t>60885477,9</t>
  </si>
  <si>
    <t>66161252,3</t>
  </si>
  <si>
    <t>64587437,7</t>
  </si>
  <si>
    <t>66585347,7</t>
  </si>
  <si>
    <t>58993995,6</t>
  </si>
  <si>
    <t>57489316,5</t>
  </si>
  <si>
    <t>54787508,6</t>
  </si>
  <si>
    <t>52430589,6</t>
  </si>
  <si>
    <t>58294947,4</t>
  </si>
  <si>
    <t>57862692,25</t>
  </si>
  <si>
    <t>Monolithic Power Systems Inc.</t>
  </si>
  <si>
    <t>MPWR</t>
  </si>
  <si>
    <t>Monster Beverage Corp.</t>
  </si>
  <si>
    <t>MNST</t>
  </si>
  <si>
    <t>5070720,33</t>
  </si>
  <si>
    <t>Moody's Corp.</t>
  </si>
  <si>
    <t>MCO</t>
  </si>
  <si>
    <t>14976279,5</t>
  </si>
  <si>
    <t>13228523,4</t>
  </si>
  <si>
    <t>13426359,3</t>
  </si>
  <si>
    <t>10144357,5</t>
  </si>
  <si>
    <t>9147141,5</t>
  </si>
  <si>
    <t>8320008,4</t>
  </si>
  <si>
    <t>7157249,76</t>
  </si>
  <si>
    <t>5046551,29</t>
  </si>
  <si>
    <t>4698587,25</t>
  </si>
  <si>
    <t>Morgan Stanley</t>
  </si>
  <si>
    <t>MS</t>
  </si>
  <si>
    <t>1173637078,9</t>
  </si>
  <si>
    <t>1079934057,1</t>
  </si>
  <si>
    <t>1104342146,7</t>
  </si>
  <si>
    <t>797916781,9</t>
  </si>
  <si>
    <t>745473975,4</t>
  </si>
  <si>
    <t>709323242,4</t>
  </si>
  <si>
    <t>772001187,7</t>
  </si>
  <si>
    <t>725058398,75</t>
  </si>
  <si>
    <t>Motorola Solutions Inc.</t>
  </si>
  <si>
    <t>MSI</t>
  </si>
  <si>
    <t>16513611,3</t>
  </si>
  <si>
    <t>14097310,5</t>
  </si>
  <si>
    <t>12065079,2</t>
  </si>
  <si>
    <t>11990059,8</t>
  </si>
  <si>
    <t>10717787,7</t>
  </si>
  <si>
    <t>9483086,2</t>
  </si>
  <si>
    <t>8217820,6</t>
  </si>
  <si>
    <t>6835622,4</t>
  </si>
  <si>
    <t>8016999,9</t>
  </si>
  <si>
    <t>7684579,5</t>
  </si>
  <si>
    <t>MSCI Inc.</t>
  </si>
  <si>
    <t>MSCI</t>
  </si>
  <si>
    <t>Nasdaq Inc.</t>
  </si>
  <si>
    <t>NDAQ</t>
  </si>
  <si>
    <t>26447840,1</t>
  </si>
  <si>
    <t>29358530,5</t>
  </si>
  <si>
    <t>29216381,8</t>
  </si>
  <si>
    <t>19526187,6</t>
  </si>
  <si>
    <t>17687119,5</t>
  </si>
  <si>
    <t>14697832,5</t>
  </si>
  <si>
    <t>12407676,4</t>
  </si>
  <si>
    <t>12786811,2</t>
  </si>
  <si>
    <t>10921015,75</t>
  </si>
  <si>
    <t>NetApp Inc.</t>
  </si>
  <si>
    <t>NTAP</t>
  </si>
  <si>
    <t>9261152,9</t>
  </si>
  <si>
    <t>8896089,8</t>
  </si>
  <si>
    <t>9513671,4</t>
  </si>
  <si>
    <t>6966876,4</t>
  </si>
  <si>
    <t>7830187,8</t>
  </si>
  <si>
    <t>8253565,1</t>
  </si>
  <si>
    <t>8712675,4</t>
  </si>
  <si>
    <t>8763806,55</t>
  </si>
  <si>
    <t>8655970,75</t>
  </si>
  <si>
    <t>Netflix Inc.</t>
  </si>
  <si>
    <t>NFLX</t>
  </si>
  <si>
    <t>22686040,96</t>
  </si>
  <si>
    <t>Newmont Corp.</t>
  </si>
  <si>
    <t>NEM</t>
  </si>
  <si>
    <t>Gold</t>
  </si>
  <si>
    <t>48649955,7</t>
  </si>
  <si>
    <t>54427499,1</t>
  </si>
  <si>
    <t>50216278,2</t>
  </si>
  <si>
    <t>36007607,4</t>
  </si>
  <si>
    <t>35667925,2</t>
  </si>
  <si>
    <t>33819157,5</t>
  </si>
  <si>
    <t>35620831,4</t>
  </si>
  <si>
    <t>17193988,8</t>
  </si>
  <si>
    <t>19922666,3</t>
  </si>
  <si>
    <t>23138447,5</t>
  </si>
  <si>
    <t>News Corp.</t>
  </si>
  <si>
    <t>NWSA</t>
  </si>
  <si>
    <t>Publishing</t>
  </si>
  <si>
    <t>15571177,2</t>
  </si>
  <si>
    <t>16473608,6</t>
  </si>
  <si>
    <t>14144661,4</t>
  </si>
  <si>
    <t>12672324,6</t>
  </si>
  <si>
    <t>13806826,8</t>
  </si>
  <si>
    <t>14010156,6</t>
  </si>
  <si>
    <t>13941667,35</t>
  </si>
  <si>
    <t>13497671,25</t>
  </si>
  <si>
    <t>NextEra Energy Inc.</t>
  </si>
  <si>
    <t>NEE</t>
  </si>
  <si>
    <t>181174475,7</t>
  </si>
  <si>
    <t>183660089,6</t>
  </si>
  <si>
    <t>160574298,3</t>
  </si>
  <si>
    <t>148715479,5</t>
  </si>
  <si>
    <t>123903921,6</t>
  </si>
  <si>
    <t>104874450,1</t>
  </si>
  <si>
    <t>90573326,8</t>
  </si>
  <si>
    <t>81583586,4</t>
  </si>
  <si>
    <t>85250368,9</t>
  </si>
  <si>
    <t>75942539,25</t>
  </si>
  <si>
    <t>NIKE Inc.</t>
  </si>
  <si>
    <t>NKE</t>
  </si>
  <si>
    <t>32237072,7</t>
  </si>
  <si>
    <t>35215337,3</t>
  </si>
  <si>
    <t>37583204,1</t>
  </si>
  <si>
    <t>21276520,7</t>
  </si>
  <si>
    <t>19329127,2</t>
  </si>
  <si>
    <t>19210100,45</t>
  </si>
  <si>
    <t>19678106,55</t>
  </si>
  <si>
    <t>NiSource Inc.</t>
  </si>
  <si>
    <t>NI</t>
  </si>
  <si>
    <t>30540854,79</t>
  </si>
  <si>
    <t>30704125,79</t>
  </si>
  <si>
    <t>28115542,84</t>
  </si>
  <si>
    <t>25017436,62</t>
  </si>
  <si>
    <t>21241162,17</t>
  </si>
  <si>
    <t>18018108,75</t>
  </si>
  <si>
    <t>20192147,78</t>
  </si>
  <si>
    <t>19043613,6</t>
  </si>
  <si>
    <t>16624103,76</t>
  </si>
  <si>
    <t>17706836,87</t>
  </si>
  <si>
    <t>Nordson Corp.</t>
  </si>
  <si>
    <t>NDSN</t>
  </si>
  <si>
    <t>Norfolk Southern Corporation</t>
  </si>
  <si>
    <t>NSC</t>
  </si>
  <si>
    <t>38527501,2</t>
  </si>
  <si>
    <t>42192443,8</t>
  </si>
  <si>
    <t>37682564,4</t>
  </si>
  <si>
    <t>36384694,5</t>
  </si>
  <si>
    <t>33846894,9</t>
  </si>
  <si>
    <t>33793185,3</t>
  </si>
  <si>
    <t>31651142,6</t>
  </si>
  <si>
    <t>29740120,8</t>
  </si>
  <si>
    <t>33053191,6</t>
  </si>
  <si>
    <t>31433484,25</t>
  </si>
  <si>
    <t>Northern Trust Corp.</t>
  </si>
  <si>
    <t>NTRS</t>
  </si>
  <si>
    <t>150863920,59</t>
  </si>
  <si>
    <t>150205563,56</t>
  </si>
  <si>
    <t>136413470,57</t>
  </si>
  <si>
    <t>145067840,19</t>
  </si>
  <si>
    <t>161694301,14</t>
  </si>
  <si>
    <t>138978188,25</t>
  </si>
  <si>
    <t>121927787,24</t>
  </si>
  <si>
    <t>115474397,5</t>
  </si>
  <si>
    <t>115418168,4</t>
  </si>
  <si>
    <t>117395952,37</t>
  </si>
  <si>
    <t>107497194,2</t>
  </si>
  <si>
    <t>Northrop Grumman Corp.</t>
  </si>
  <si>
    <t>NOC</t>
  </si>
  <si>
    <t>43757790,9</t>
  </si>
  <si>
    <t>47675858,1</t>
  </si>
  <si>
    <t>42108356,8</t>
  </si>
  <si>
    <t>40941553,5</t>
  </si>
  <si>
    <t>37439714,7</t>
  </si>
  <si>
    <t>36353407,5</t>
  </si>
  <si>
    <t>36614407,9</t>
  </si>
  <si>
    <t>32886130,2</t>
  </si>
  <si>
    <t>29254598,4</t>
  </si>
  <si>
    <t>24264142,2</t>
  </si>
  <si>
    <t>Norwegian Cruise Line Hldgs Lt</t>
  </si>
  <si>
    <t>NCLH</t>
  </si>
  <si>
    <t>NRG Energy Inc.</t>
  </si>
  <si>
    <t>NRG</t>
  </si>
  <si>
    <t>23202849,8</t>
  </si>
  <si>
    <t>23556578,6</t>
  </si>
  <si>
    <t>27271912,2</t>
  </si>
  <si>
    <t>20383932,6</t>
  </si>
  <si>
    <t>11166374,1</t>
  </si>
  <si>
    <t>9282495,2</t>
  </si>
  <si>
    <t>29065058,6</t>
  </si>
  <si>
    <t>30276101,5</t>
  </si>
  <si>
    <t>Nucor Corp.</t>
  </si>
  <si>
    <t>NUE</t>
  </si>
  <si>
    <t>Steel</t>
  </si>
  <si>
    <t>29898076,8</t>
  </si>
  <si>
    <t>NVIDIA Corp.</t>
  </si>
  <si>
    <t>NVDA</t>
  </si>
  <si>
    <t>106143711,1</t>
  </si>
  <si>
    <t>60496051,2</t>
  </si>
  <si>
    <t>37936858,4</t>
  </si>
  <si>
    <t>39587133,3</t>
  </si>
  <si>
    <t>23718025,8</t>
  </si>
  <si>
    <t>15702973,5</t>
  </si>
  <si>
    <t>9046756,8</t>
  </si>
  <si>
    <t>9203303,2</t>
  </si>
  <si>
    <t>6810985,5</t>
  </si>
  <si>
    <t>6384046,55</t>
  </si>
  <si>
    <t>NVR Inc.</t>
  </si>
  <si>
    <t>NVR</t>
  </si>
  <si>
    <t>NXP Semiconductors N.V.</t>
  </si>
  <si>
    <t>NXPI</t>
  </si>
  <si>
    <t>23553471,5</t>
  </si>
  <si>
    <t>22032159,1</t>
  </si>
  <si>
    <t>21741925,2</t>
  </si>
  <si>
    <t>18345715,2</t>
  </si>
  <si>
    <t>16224922,5</t>
  </si>
  <si>
    <t>17836257,6</t>
  </si>
  <si>
    <t>20028007,2</t>
  </si>
  <si>
    <t>23585875,4</t>
  </si>
  <si>
    <t>24265445,5</t>
  </si>
  <si>
    <t>O'Reilly Automotive Inc.</t>
  </si>
  <si>
    <t>ORLY</t>
  </si>
  <si>
    <t>Occidental Petroleum Corp.</t>
  </si>
  <si>
    <t>OXY</t>
  </si>
  <si>
    <t>71701216,2</t>
  </si>
  <si>
    <t>82531325,5</t>
  </si>
  <si>
    <t>66955037,6</t>
  </si>
  <si>
    <t>67940241,3</t>
  </si>
  <si>
    <t>65979154,8</t>
  </si>
  <si>
    <t>38302083,6</t>
  </si>
  <si>
    <t>34999252,8</t>
  </si>
  <si>
    <t>40837155,7</t>
  </si>
  <si>
    <t>39968836,75</t>
  </si>
  <si>
    <t>Old Dominion Freight Line Inc.</t>
  </si>
  <si>
    <t>ODFL</t>
  </si>
  <si>
    <t>Omnicom Group Inc.</t>
  </si>
  <si>
    <t>OMC</t>
  </si>
  <si>
    <t>Advertising</t>
  </si>
  <si>
    <t>46345511,01</t>
  </si>
  <si>
    <t>28610634,13</t>
  </si>
  <si>
    <t>25371949,62</t>
  </si>
  <si>
    <t>25266239,25</t>
  </si>
  <si>
    <t>24991288,74</t>
  </si>
  <si>
    <t>23866687,74</t>
  </si>
  <si>
    <t>21500487,8</t>
  </si>
  <si>
    <t>20762703,36</t>
  </si>
  <si>
    <t>21944583,42</t>
  </si>
  <si>
    <t>ON Semiconductor Corp.</t>
  </si>
  <si>
    <t>ON</t>
  </si>
  <si>
    <t>10666775,97</t>
  </si>
  <si>
    <t>13609337,82</t>
  </si>
  <si>
    <t>11955791,44</t>
  </si>
  <si>
    <t>11208282,45</t>
  </si>
  <si>
    <t>8464141,8</t>
  </si>
  <si>
    <t>7507963,05</t>
  </si>
  <si>
    <t>6627009,84</t>
  </si>
  <si>
    <t>5992079,28</t>
  </si>
  <si>
    <t>6559484,12</t>
  </si>
  <si>
    <t>3562934,2</t>
  </si>
  <si>
    <t>ONEOK Inc.</t>
  </si>
  <si>
    <t>OKE</t>
  </si>
  <si>
    <t>56758139,7</t>
  </si>
  <si>
    <t>61884247,1</t>
  </si>
  <si>
    <t>40047450,2</t>
  </si>
  <si>
    <t>22811430,3</t>
  </si>
  <si>
    <t>Oracle Corporation</t>
  </si>
  <si>
    <t>ORCL</t>
  </si>
  <si>
    <t>148376549,3</t>
  </si>
  <si>
    <t>129993969,6</t>
  </si>
  <si>
    <t>126092507,2</t>
  </si>
  <si>
    <t>101875733,7</t>
  </si>
  <si>
    <t>107232415,3</t>
  </si>
  <si>
    <t>97522843,9</t>
  </si>
  <si>
    <t>118234802,7</t>
  </si>
  <si>
    <t>101049268,45</t>
  </si>
  <si>
    <t>PACCAR Inc</t>
  </si>
  <si>
    <t>PCAR</t>
  </si>
  <si>
    <t>37761141,54</t>
  </si>
  <si>
    <t>41938315,51</t>
  </si>
  <si>
    <t>36932929,98</t>
  </si>
  <si>
    <t>31135885,35</t>
  </si>
  <si>
    <t>25947615,42</t>
  </si>
  <si>
    <t>25272576,21</t>
  </si>
  <si>
    <t>22256328,16</t>
  </si>
  <si>
    <t>19520998,56</t>
  </si>
  <si>
    <t>19551229,97</t>
  </si>
  <si>
    <t>19436848,35</t>
  </si>
  <si>
    <t>Packaging Corp. America</t>
  </si>
  <si>
    <t>PKG</t>
  </si>
  <si>
    <t>9134908,35</t>
  </si>
  <si>
    <t>8531987,88</t>
  </si>
  <si>
    <t>7853791,17</t>
  </si>
  <si>
    <t>7489155,66</t>
  </si>
  <si>
    <t>6890898,24</t>
  </si>
  <si>
    <t>6447821,38</t>
  </si>
  <si>
    <t>5737975,98</t>
  </si>
  <si>
    <t>5472552,1</t>
  </si>
  <si>
    <t>Palo Alto Networks Inc.</t>
  </si>
  <si>
    <t>PANW</t>
  </si>
  <si>
    <t>20610314,04</t>
  </si>
  <si>
    <t>18471591,6</t>
  </si>
  <si>
    <t>13158298,14</t>
  </si>
  <si>
    <t>12013429,44</t>
  </si>
  <si>
    <t>8633668,8</t>
  </si>
  <si>
    <t>7662982,62</t>
  </si>
  <si>
    <t>5923091,7</t>
  </si>
  <si>
    <t>5083335,05</t>
  </si>
  <si>
    <t>2917397,55</t>
  </si>
  <si>
    <t>2557946,09</t>
  </si>
  <si>
    <t>1778800,78</t>
  </si>
  <si>
    <t>Paramount Skydance Corp.</t>
  </si>
  <si>
    <t>PSKY</t>
  </si>
  <si>
    <t>Broadcasting</t>
  </si>
  <si>
    <t>36914381,4</t>
  </si>
  <si>
    <t>44597534,8</t>
  </si>
  <si>
    <t>48440352,1</t>
  </si>
  <si>
    <t>54638330,1</t>
  </si>
  <si>
    <t>43052002,5</t>
  </si>
  <si>
    <t>44185193,5</t>
  </si>
  <si>
    <t>38863679,8</t>
  </si>
  <si>
    <t>17358050,4</t>
  </si>
  <si>
    <t>22960657,4</t>
  </si>
  <si>
    <t>21881623,75</t>
  </si>
  <si>
    <t>Parker-Hannifin Corp.</t>
  </si>
  <si>
    <t>PH</t>
  </si>
  <si>
    <t>27343823,4</t>
  </si>
  <si>
    <t>17155768,08</t>
  </si>
  <si>
    <t>Paychex Inc.</t>
  </si>
  <si>
    <t>PAYX</t>
  </si>
  <si>
    <t>14597941,33</t>
  </si>
  <si>
    <t>9574256,51</t>
  </si>
  <si>
    <t>9895687,12</t>
  </si>
  <si>
    <t>8980969,92</t>
  </si>
  <si>
    <t>7546926,88</t>
  </si>
  <si>
    <t>7691354,65</t>
  </si>
  <si>
    <t>7783239,6</t>
  </si>
  <si>
    <t>6789038,58</t>
  </si>
  <si>
    <t>5787380,84</t>
  </si>
  <si>
    <t>PayPal Holdings Inc.</t>
  </si>
  <si>
    <t>PYPL</t>
  </si>
  <si>
    <t>68283344,1</t>
  </si>
  <si>
    <t>76040477,5</t>
  </si>
  <si>
    <t>74335580,2</t>
  </si>
  <si>
    <t>73568476,8</t>
  </si>
  <si>
    <t>66653577,9</t>
  </si>
  <si>
    <t>57534832,5</t>
  </si>
  <si>
    <t>45742836,3</t>
  </si>
  <si>
    <t>37846168,8</t>
  </si>
  <si>
    <t>33956587,2</t>
  </si>
  <si>
    <t>31358471,9</t>
  </si>
  <si>
    <t>26592180,75</t>
  </si>
  <si>
    <t>Pentair plc</t>
  </si>
  <si>
    <t>PNR</t>
  </si>
  <si>
    <t>5850156,96</t>
  </si>
  <si>
    <t>6226674,35</t>
  </si>
  <si>
    <t>5937817,51</t>
  </si>
  <si>
    <t>6032925,75</t>
  </si>
  <si>
    <t>4179840,48</t>
  </si>
  <si>
    <t>3688708,45</t>
  </si>
  <si>
    <t>3324597,1</t>
  </si>
  <si>
    <t>7190145,36</t>
  </si>
  <si>
    <t>10926916,04</t>
  </si>
  <si>
    <t>PepsiCo Inc.</t>
  </si>
  <si>
    <t>PEP</t>
  </si>
  <si>
    <t>95378906,3</t>
  </si>
  <si>
    <t>90917826,5</t>
  </si>
  <si>
    <t>86259375,9</t>
  </si>
  <si>
    <t>81670505,7</t>
  </si>
  <si>
    <t>76248510,8</t>
  </si>
  <si>
    <t>70291710,3</t>
  </si>
  <si>
    <t>67833292,8</t>
  </si>
  <si>
    <t>66460771,2</t>
  </si>
  <si>
    <t>63623387,75</t>
  </si>
  <si>
    <t>Pfizer Inc.</t>
  </si>
  <si>
    <t>PFE</t>
  </si>
  <si>
    <t>206119196,4</t>
  </si>
  <si>
    <t>204915454,7</t>
  </si>
  <si>
    <t>184524718,5</t>
  </si>
  <si>
    <t>159571846,8</t>
  </si>
  <si>
    <t>126082207,5</t>
  </si>
  <si>
    <t>149343013,4</t>
  </si>
  <si>
    <t>139239174,8</t>
  </si>
  <si>
    <t>143072541,6</t>
  </si>
  <si>
    <t>162570889,5</t>
  </si>
  <si>
    <t>154116055,75</t>
  </si>
  <si>
    <t>PG&amp;E Corp.</t>
  </si>
  <si>
    <t>PCG</t>
  </si>
  <si>
    <t>120610088,7</t>
  </si>
  <si>
    <t>113718980,6</t>
  </si>
  <si>
    <t>111015190,8</t>
  </si>
  <si>
    <t>90855431,1</t>
  </si>
  <si>
    <t>75918155,6</t>
  </si>
  <si>
    <t>56640393,6</t>
  </si>
  <si>
    <t>64982885,4</t>
  </si>
  <si>
    <t>58222705,5</t>
  </si>
  <si>
    <t>Philip Morris Intl Inc</t>
  </si>
  <si>
    <t>PM</t>
  </si>
  <si>
    <t>58924864,5</t>
  </si>
  <si>
    <t>59677165,6</t>
  </si>
  <si>
    <t>59080528,8</t>
  </si>
  <si>
    <t>57714911,7</t>
  </si>
  <si>
    <t>36636262,5</t>
  </si>
  <si>
    <t>38205912,5</t>
  </si>
  <si>
    <t>34762193,4</t>
  </si>
  <si>
    <t>35783750,4</t>
  </si>
  <si>
    <t>34908952,3</t>
  </si>
  <si>
    <t>Phillips 66</t>
  </si>
  <si>
    <t>PSX</t>
  </si>
  <si>
    <t>70106953,8</t>
  </si>
  <si>
    <t>68305754,7</t>
  </si>
  <si>
    <t>71526779,4</t>
  </si>
  <si>
    <t>48883804,2</t>
  </si>
  <si>
    <t>44734417,5</t>
  </si>
  <si>
    <t>47427366,8</t>
  </si>
  <si>
    <t>45280168,8</t>
  </si>
  <si>
    <t>48930886,9</t>
  </si>
  <si>
    <t>Pinnacle West Capital Corp.</t>
  </si>
  <si>
    <t>PNW</t>
  </si>
  <si>
    <t>Pool Corp.</t>
  </si>
  <si>
    <t>POOL</t>
  </si>
  <si>
    <t>PPG Industries Inc.</t>
  </si>
  <si>
    <t>PPG</t>
  </si>
  <si>
    <t>18820866,6</t>
  </si>
  <si>
    <t>18770334,7</t>
  </si>
  <si>
    <t>19584040,9</t>
  </si>
  <si>
    <t>19410160,8</t>
  </si>
  <si>
    <t>18773934,3</t>
  </si>
  <si>
    <t>15779598,8</t>
  </si>
  <si>
    <t>13772846,4</t>
  </si>
  <si>
    <t>14939868,3</t>
  </si>
  <si>
    <t>PPL Corp.</t>
  </si>
  <si>
    <t>PPL</t>
  </si>
  <si>
    <t>38534314,8</t>
  </si>
  <si>
    <t>39668547,1</t>
  </si>
  <si>
    <t>35496809,2</t>
  </si>
  <si>
    <t>35404080,9</t>
  </si>
  <si>
    <t>29212983,9</t>
  </si>
  <si>
    <t>37902066,4</t>
  </si>
  <si>
    <t>34543711,2</t>
  </si>
  <si>
    <t>36295799,5</t>
  </si>
  <si>
    <t>36186395,75</t>
  </si>
  <si>
    <t>Principal Financial Group Inc.</t>
  </si>
  <si>
    <t>PFG</t>
  </si>
  <si>
    <t>290750365,05</t>
  </si>
  <si>
    <t>302967671,24</t>
  </si>
  <si>
    <t>275975749,49</t>
  </si>
  <si>
    <t>272164251,9</t>
  </si>
  <si>
    <t>267885075,96</t>
  </si>
  <si>
    <t>242493144,75</t>
  </si>
  <si>
    <t>246021838,58</t>
  </si>
  <si>
    <t>212267729,74</t>
  </si>
  <si>
    <t>211482231,36</t>
  </si>
  <si>
    <t>215997946,39</t>
  </si>
  <si>
    <t>Prologis Inc.</t>
  </si>
  <si>
    <t>PLD</t>
  </si>
  <si>
    <t>Industrial REIT</t>
  </si>
  <si>
    <t>24551839,26</t>
  </si>
  <si>
    <t>Prudential Financial Inc.</t>
  </si>
  <si>
    <t>PRU</t>
  </si>
  <si>
    <t>710503483,3</t>
  </si>
  <si>
    <t>652480496,4</t>
  </si>
  <si>
    <t>644724435,3</t>
  </si>
  <si>
    <t>824415852,6</t>
  </si>
  <si>
    <t>798917487,2</t>
  </si>
  <si>
    <t>711889125,2</t>
  </si>
  <si>
    <t>693002860,8</t>
  </si>
  <si>
    <t>742647202,6</t>
  </si>
  <si>
    <t>697242541,25</t>
  </si>
  <si>
    <t>PTC Inc.</t>
  </si>
  <si>
    <t>PTC</t>
  </si>
  <si>
    <t>Public Svc Entpr Group Inc.</t>
  </si>
  <si>
    <t>PEG</t>
  </si>
  <si>
    <t>49037479,2</t>
  </si>
  <si>
    <t>45905382,7</t>
  </si>
  <si>
    <t>45585432,6</t>
  </si>
  <si>
    <t>43084820,7</t>
  </si>
  <si>
    <t>39587728,4</t>
  </si>
  <si>
    <t>35573884,8</t>
  </si>
  <si>
    <t>34560351,25</t>
  </si>
  <si>
    <t>Public Storage</t>
  </si>
  <si>
    <t>PSA</t>
  </si>
  <si>
    <t>PulteGroup Inc.</t>
  </si>
  <si>
    <t>PHM</t>
  </si>
  <si>
    <t>9641808,86</t>
  </si>
  <si>
    <t>QUALCOMM Inc.</t>
  </si>
  <si>
    <t>QCOM</t>
  </si>
  <si>
    <t>42882293,6</t>
  </si>
  <si>
    <t>49401437,8</t>
  </si>
  <si>
    <t>30635755,8</t>
  </si>
  <si>
    <t>30102923,8</t>
  </si>
  <si>
    <t>28160382,6</t>
  </si>
  <si>
    <t>54720101,6</t>
  </si>
  <si>
    <t>46649251,05</t>
  </si>
  <si>
    <t>45332890,2</t>
  </si>
  <si>
    <t>Quanta Services Inc.</t>
  </si>
  <si>
    <t>PWR</t>
  </si>
  <si>
    <t>6865587,36</t>
  </si>
  <si>
    <t>Quest Diagnostics Inc.</t>
  </si>
  <si>
    <t>DGX</t>
  </si>
  <si>
    <t>13818832,5</t>
  </si>
  <si>
    <t>15602182,7</t>
  </si>
  <si>
    <t>12685703,4</t>
  </si>
  <si>
    <t>12011580,9</t>
  </si>
  <si>
    <t>11968152,3</t>
  </si>
  <si>
    <t>11444397,3</t>
  </si>
  <si>
    <t>9610020,2</t>
  </si>
  <si>
    <t>8746898,4</t>
  </si>
  <si>
    <t>9172511,5</t>
  </si>
  <si>
    <t>Ralph Lauren Corp.</t>
  </si>
  <si>
    <t>RL</t>
  </si>
  <si>
    <t>6506067,36</t>
  </si>
  <si>
    <t>6119949,94</t>
  </si>
  <si>
    <t>6249055,8</t>
  </si>
  <si>
    <t>6998578,2</t>
  </si>
  <si>
    <t>6687811,25</t>
  </si>
  <si>
    <t>6565741,81</t>
  </si>
  <si>
    <t>5295034,8</t>
  </si>
  <si>
    <t>4986516,61</t>
  </si>
  <si>
    <t>5285750,4</t>
  </si>
  <si>
    <t>5600117,9</t>
  </si>
  <si>
    <t>Raymond James Financial Inc.</t>
  </si>
  <si>
    <t>RJF</t>
  </si>
  <si>
    <t>74410627,2</t>
  </si>
  <si>
    <t>82553829,8</t>
  </si>
  <si>
    <t>53399554,8</t>
  </si>
  <si>
    <t>40435671,2</t>
  </si>
  <si>
    <t>32201369,1</t>
  </si>
  <si>
    <t>Realty Income Corp.</t>
  </si>
  <si>
    <t>O</t>
  </si>
  <si>
    <t>Regency Centers Corp.</t>
  </si>
  <si>
    <t>REG</t>
  </si>
  <si>
    <t>8940919,02</t>
  </si>
  <si>
    <t>Regeneron Pharmaceuticals Inc.</t>
  </si>
  <si>
    <t>REGN</t>
  </si>
  <si>
    <t>34543844,79</t>
  </si>
  <si>
    <t>36471804,46</t>
  </si>
  <si>
    <t>29927656,94</t>
  </si>
  <si>
    <t>27336007,65</t>
  </si>
  <si>
    <t>22364819,64</t>
  </si>
  <si>
    <t>14030997,75</t>
  </si>
  <si>
    <t>13192913,72</t>
  </si>
  <si>
    <t>10248912,3</t>
  </si>
  <si>
    <t>7298909,04</t>
  </si>
  <si>
    <t>Regions Financial Corp.</t>
  </si>
  <si>
    <t>RF</t>
  </si>
  <si>
    <t>135261883,8</t>
  </si>
  <si>
    <t>151938001,8</t>
  </si>
  <si>
    <t>137689911,8</t>
  </si>
  <si>
    <t>143271383,4</t>
  </si>
  <si>
    <t>120490507,5</t>
  </si>
  <si>
    <t>109775899,2</t>
  </si>
  <si>
    <t>103512043,2</t>
  </si>
  <si>
    <t>119329486,4</t>
  </si>
  <si>
    <t>116060537,5</t>
  </si>
  <si>
    <t>Repub Services Inc.</t>
  </si>
  <si>
    <t>RSG</t>
  </si>
  <si>
    <t>Environmental and Facilities Services</t>
  </si>
  <si>
    <t>29269522,2</t>
  </si>
  <si>
    <t>31297091,8</t>
  </si>
  <si>
    <t>27184798,53</t>
  </si>
  <si>
    <t>21942931,5</t>
  </si>
  <si>
    <t>20213534,18</t>
  </si>
  <si>
    <t>18880287,8</t>
  </si>
  <si>
    <t>17611221,6</t>
  </si>
  <si>
    <t>19542420,08</t>
  </si>
  <si>
    <t>ResMed Inc.</t>
  </si>
  <si>
    <t>RMD</t>
  </si>
  <si>
    <t>Revvity Inc.</t>
  </si>
  <si>
    <t>RVTY</t>
  </si>
  <si>
    <t>10343149,35</t>
  </si>
  <si>
    <t>Rockwell Automation Inc.</t>
  </si>
  <si>
    <t>ROK</t>
  </si>
  <si>
    <t>9561953,7</t>
  </si>
  <si>
    <t>10070611,2</t>
  </si>
  <si>
    <t>10680019,2</t>
  </si>
  <si>
    <t>10971722,26</t>
  </si>
  <si>
    <t>9233340,48</t>
  </si>
  <si>
    <t>6186618,52</t>
  </si>
  <si>
    <t>5606232,3</t>
  </si>
  <si>
    <t>5389703,4</t>
  </si>
  <si>
    <t>6059514,37</t>
  </si>
  <si>
    <t>6317582,58</t>
  </si>
  <si>
    <t>Rollins Inc.</t>
  </si>
  <si>
    <t>ROL</t>
  </si>
  <si>
    <t>1509023,25</t>
  </si>
  <si>
    <t>Roper Technologies Inc.</t>
  </si>
  <si>
    <t>ROP</t>
  </si>
  <si>
    <t>29449230,9</t>
  </si>
  <si>
    <t>30266186,73</t>
  </si>
  <si>
    <t>25483137,25</t>
  </si>
  <si>
    <t>25245934,56</t>
  </si>
  <si>
    <t>20851632,27</t>
  </si>
  <si>
    <t>16136840,79</t>
  </si>
  <si>
    <t>13318913,3</t>
  </si>
  <si>
    <t>11922697,92</t>
  </si>
  <si>
    <t>Ross Stores Inc.</t>
  </si>
  <si>
    <t>ROST</t>
  </si>
  <si>
    <t>Apparel Retail</t>
  </si>
  <si>
    <t>Royal Caribbean Cruises Ltd.</t>
  </si>
  <si>
    <t>RCL</t>
  </si>
  <si>
    <t>35446902,3</t>
  </si>
  <si>
    <t>31783015,7</t>
  </si>
  <si>
    <t>31604203,2</t>
  </si>
  <si>
    <t>RTX Corp.</t>
  </si>
  <si>
    <t>RTX</t>
  </si>
  <si>
    <t>145707984,3</t>
  </si>
  <si>
    <t>157307439,9</t>
  </si>
  <si>
    <t>146442884,3</t>
  </si>
  <si>
    <t>148649044,8</t>
  </si>
  <si>
    <t>141922537,2</t>
  </si>
  <si>
    <t>132560077,5</t>
  </si>
  <si>
    <t>124410926,5</t>
  </si>
  <si>
    <t>117219887,4</t>
  </si>
  <si>
    <t>84978493,8</t>
  </si>
  <si>
    <t>S&amp;P Global Inc.</t>
  </si>
  <si>
    <t>SPGI</t>
  </si>
  <si>
    <t>58167463,9</t>
  </si>
  <si>
    <t>54814868,3</t>
  </si>
  <si>
    <t>57811288,8</t>
  </si>
  <si>
    <t>13212361,8</t>
  </si>
  <si>
    <t>10248997,5</t>
  </si>
  <si>
    <t>10112202,8</t>
  </si>
  <si>
    <t>8245769,4</t>
  </si>
  <si>
    <t>8212143,7</t>
  </si>
  <si>
    <t>7534497,25</t>
  </si>
  <si>
    <t>Salesforce Inc.</t>
  </si>
  <si>
    <t>CRM</t>
  </si>
  <si>
    <t>99027028,8</t>
  </si>
  <si>
    <t>92006859,1</t>
  </si>
  <si>
    <t>91010274,3</t>
  </si>
  <si>
    <t>85002595,2</t>
  </si>
  <si>
    <t>54618763,8</t>
  </si>
  <si>
    <t>17672937,6</t>
  </si>
  <si>
    <t>SBA Communications Corp</t>
  </si>
  <si>
    <t>SBAC</t>
  </si>
  <si>
    <t>Seagate Technology Hldgs plc</t>
  </si>
  <si>
    <t>STX</t>
  </si>
  <si>
    <t>6847630,5</t>
  </si>
  <si>
    <t>7222808,7</t>
  </si>
  <si>
    <t>8598761,6</t>
  </si>
  <si>
    <t>7369935,55</t>
  </si>
  <si>
    <t>8868868,25</t>
  </si>
  <si>
    <t>Sempra</t>
  </si>
  <si>
    <t>SRE</t>
  </si>
  <si>
    <t>94434792,6</t>
  </si>
  <si>
    <t>92876114,5</t>
  </si>
  <si>
    <t>78872650,7</t>
  </si>
  <si>
    <t>73521691,8</t>
  </si>
  <si>
    <t>63349168,5</t>
  </si>
  <si>
    <t>54464302,5</t>
  </si>
  <si>
    <t>58514081,5</t>
  </si>
  <si>
    <t>52961229,2</t>
  </si>
  <si>
    <t>42018091,2</t>
  </si>
  <si>
    <t>45267677,8</t>
  </si>
  <si>
    <t>37888862,5</t>
  </si>
  <si>
    <t>ServiceNow Inc.</t>
  </si>
  <si>
    <t>NOW</t>
  </si>
  <si>
    <t>22176564,6</t>
  </si>
  <si>
    <t>19687939,7</t>
  </si>
  <si>
    <t>15730018,9</t>
  </si>
  <si>
    <t>12443874,3</t>
  </si>
  <si>
    <t>9494681,4</t>
  </si>
  <si>
    <t>7124512,5</t>
  </si>
  <si>
    <t>Simon Property Group</t>
  </si>
  <si>
    <t>SPG</t>
  </si>
  <si>
    <t>Skyworks Solutions Inc.</t>
  </si>
  <si>
    <t>SWKS</t>
  </si>
  <si>
    <t>6741325,5</t>
  </si>
  <si>
    <t>7419351,81</t>
  </si>
  <si>
    <t>7961546,16</t>
  </si>
  <si>
    <t>9049501,24</t>
  </si>
  <si>
    <t>7410337,82</t>
  </si>
  <si>
    <t>4359589,79</t>
  </si>
  <si>
    <t>4420490,64</t>
  </si>
  <si>
    <t>4156234,23</t>
  </si>
  <si>
    <t>3869722,96</t>
  </si>
  <si>
    <t>3429956,61</t>
  </si>
  <si>
    <t>3299293,77</t>
  </si>
  <si>
    <t>SLB N.V.</t>
  </si>
  <si>
    <t>SLB</t>
  </si>
  <si>
    <t>46731075,6</t>
  </si>
  <si>
    <t>47266316,5</t>
  </si>
  <si>
    <t>43386697,9</t>
  </si>
  <si>
    <t>40361419,5</t>
  </si>
  <si>
    <t>36500622,3</t>
  </si>
  <si>
    <t>50179623,2</t>
  </si>
  <si>
    <t>61580813,8</t>
  </si>
  <si>
    <t>59950773,6</t>
  </si>
  <si>
    <t>73847718,8</t>
  </si>
  <si>
    <t>62615603,75</t>
  </si>
  <si>
    <t>Smurfit Westrock Plc</t>
  </si>
  <si>
    <t>SW</t>
  </si>
  <si>
    <t>38460216,9</t>
  </si>
  <si>
    <t>42266818,1</t>
  </si>
  <si>
    <t>12711939,7</t>
  </si>
  <si>
    <t>12484109,4</t>
  </si>
  <si>
    <t>Snap-on Inc.</t>
  </si>
  <si>
    <t>SNA</t>
  </si>
  <si>
    <t>7162232,22</t>
  </si>
  <si>
    <t>7572241,52</t>
  </si>
  <si>
    <t>6825871,03</t>
  </si>
  <si>
    <t>6524448,96</t>
  </si>
  <si>
    <t>5943804,21</t>
  </si>
  <si>
    <t>5367805,78</t>
  </si>
  <si>
    <t>5095113,15</t>
  </si>
  <si>
    <t>4693940,16</t>
  </si>
  <si>
    <t>4371450,48</t>
  </si>
  <si>
    <t>4474287,36</t>
  </si>
  <si>
    <t>Southwest Airlines Co.</t>
  </si>
  <si>
    <t>LUV</t>
  </si>
  <si>
    <t>24751253,7</t>
  </si>
  <si>
    <t>33009788,9</t>
  </si>
  <si>
    <t>33094773,3</t>
  </si>
  <si>
    <t>23075034,5</t>
  </si>
  <si>
    <t>22920636,2</t>
  </si>
  <si>
    <t>22058827,8</t>
  </si>
  <si>
    <t>Stanley Black &amp; Decker Inc.</t>
  </si>
  <si>
    <t>SWK</t>
  </si>
  <si>
    <t>18086886,18</t>
  </si>
  <si>
    <t>20950910,21</t>
  </si>
  <si>
    <t>21408639,86</t>
  </si>
  <si>
    <t>23358159,81</t>
  </si>
  <si>
    <t>19291373,18</t>
  </si>
  <si>
    <t>18431897,34</t>
  </si>
  <si>
    <t>16954828,8</t>
  </si>
  <si>
    <t>15904564,56</t>
  </si>
  <si>
    <t>14810940,77</t>
  </si>
  <si>
    <t>13925896,29</t>
  </si>
  <si>
    <t>Starbucks Corp.</t>
  </si>
  <si>
    <t>SBUX</t>
  </si>
  <si>
    <t>27383247,44</t>
  </si>
  <si>
    <t>28070611,01</t>
  </si>
  <si>
    <t>27820108,4</t>
  </si>
  <si>
    <t>28532372,32</t>
  </si>
  <si>
    <t>27079256,76</t>
  </si>
  <si>
    <t>25282632,15</t>
  </si>
  <si>
    <t>17555182,64</t>
  </si>
  <si>
    <t>20791413,48</t>
  </si>
  <si>
    <t>12154734,16</t>
  </si>
  <si>
    <t>State Street Corp.</t>
  </si>
  <si>
    <t>STT</t>
  </si>
  <si>
    <t>311762229,9</t>
  </si>
  <si>
    <t>268929312,6</t>
  </si>
  <si>
    <t>276648883,2</t>
  </si>
  <si>
    <t>213630146,4</t>
  </si>
  <si>
    <t>229907815,4</t>
  </si>
  <si>
    <t>225726466,25</t>
  </si>
  <si>
    <t>Steel Dynamics Inc.</t>
  </si>
  <si>
    <t>STLD</t>
  </si>
  <si>
    <t>STERIS plc</t>
  </si>
  <si>
    <t>STE</t>
  </si>
  <si>
    <t>4951188,97</t>
  </si>
  <si>
    <t>Stryker Corp.</t>
  </si>
  <si>
    <t>SYK</t>
  </si>
  <si>
    <t>40748734,8</t>
  </si>
  <si>
    <t>41505688,9</t>
  </si>
  <si>
    <t>36108386,4</t>
  </si>
  <si>
    <t>34512358,8</t>
  </si>
  <si>
    <t>30451038,3</t>
  </si>
  <si>
    <t>26881813,7</t>
  </si>
  <si>
    <t>23781808,6</t>
  </si>
  <si>
    <t>18485661,6</t>
  </si>
  <si>
    <t>19358075,5</t>
  </si>
  <si>
    <t>14937327,25</t>
  </si>
  <si>
    <t>Super Micro Computer Inc.</t>
  </si>
  <si>
    <t>SMCI</t>
  </si>
  <si>
    <t>Synchrony Financial</t>
  </si>
  <si>
    <t>SYF</t>
  </si>
  <si>
    <t>101433211,5</t>
  </si>
  <si>
    <t>115389311,7</t>
  </si>
  <si>
    <t>106283251,3</t>
  </si>
  <si>
    <t>97840534,8</t>
  </si>
  <si>
    <t>84191216,4</t>
  </si>
  <si>
    <t>93410448,6</t>
  </si>
  <si>
    <t>93272132,8</t>
  </si>
  <si>
    <t>79788902,4</t>
  </si>
  <si>
    <t>85453091,1</t>
  </si>
  <si>
    <t>77333792,5</t>
  </si>
  <si>
    <t>Synopsys Inc.</t>
  </si>
  <si>
    <t>SNPS</t>
  </si>
  <si>
    <t>Sysco Corp.</t>
  </si>
  <si>
    <t>SYY</t>
  </si>
  <si>
    <t>Food Distributors</t>
  </si>
  <si>
    <t>23255036,1</t>
  </si>
  <si>
    <t>T-Mobile US Inc.</t>
  </si>
  <si>
    <t>TMUS</t>
  </si>
  <si>
    <t>Wireless Telecommunication Services</t>
  </si>
  <si>
    <t>186724152,9</t>
  </si>
  <si>
    <t>200941006,5</t>
  </si>
  <si>
    <t>187889905,4</t>
  </si>
  <si>
    <t>197748966,6</t>
  </si>
  <si>
    <t>181630845,9</t>
  </si>
  <si>
    <t>77455303,1</t>
  </si>
  <si>
    <t>63293551,2</t>
  </si>
  <si>
    <t>58764866,4</t>
  </si>
  <si>
    <t>62418544,3</t>
  </si>
  <si>
    <t>57466769,75</t>
  </si>
  <si>
    <t>T. Rowe Price Group Inc.</t>
  </si>
  <si>
    <t>TROW</t>
  </si>
  <si>
    <t>12214911,06</t>
  </si>
  <si>
    <t>13012604,8</t>
  </si>
  <si>
    <t>11108630,36</t>
  </si>
  <si>
    <t>10894635,81</t>
  </si>
  <si>
    <t>10999163,7</t>
  </si>
  <si>
    <t>8713732,5</t>
  </si>
  <si>
    <t>8314319,44</t>
  </si>
  <si>
    <t>6715834,62</t>
  </si>
  <si>
    <t>6275481,12</t>
  </si>
  <si>
    <t>5896942,5</t>
  </si>
  <si>
    <t>Take-Two Interactive Software</t>
  </si>
  <si>
    <t>TTWO</t>
  </si>
  <si>
    <t>8493983,64</t>
  </si>
  <si>
    <t>11323844,61</t>
  </si>
  <si>
    <t>14599476,84</t>
  </si>
  <si>
    <t>5892979,26</t>
  </si>
  <si>
    <t>4503437,12</t>
  </si>
  <si>
    <t>Tapestry Inc.</t>
  </si>
  <si>
    <t>TPR</t>
  </si>
  <si>
    <t>5616456,75</t>
  </si>
  <si>
    <t>12502766,79</t>
  </si>
  <si>
    <t>6518988,8</t>
  </si>
  <si>
    <t>6984859,42</t>
  </si>
  <si>
    <t>7078098,56</t>
  </si>
  <si>
    <t>7069178,82</t>
  </si>
  <si>
    <t>6043771,24</t>
  </si>
  <si>
    <t>5723970,93</t>
  </si>
  <si>
    <t>5111397,4</t>
  </si>
  <si>
    <t>Targa Resources Corp.</t>
  </si>
  <si>
    <t>TRGP</t>
  </si>
  <si>
    <t>21478511,28</t>
  </si>
  <si>
    <t>21958867,19</t>
  </si>
  <si>
    <t>18701777,46</t>
  </si>
  <si>
    <t>13372570,26</t>
  </si>
  <si>
    <t>12978384,75</t>
  </si>
  <si>
    <t>16766135,61</t>
  </si>
  <si>
    <t>14793823,88</t>
  </si>
  <si>
    <t>11982826,08</t>
  </si>
  <si>
    <t>12192887,76</t>
  </si>
  <si>
    <t>12164028,25</t>
  </si>
  <si>
    <t>Target Corp.</t>
  </si>
  <si>
    <t>TGT</t>
  </si>
  <si>
    <t>55579554,9</t>
  </si>
  <si>
    <t>51298405,2</t>
  </si>
  <si>
    <t>48209274,9</t>
  </si>
  <si>
    <t>42218102,4</t>
  </si>
  <si>
    <t>32395551,4</t>
  </si>
  <si>
    <t>35005471,2</t>
  </si>
  <si>
    <t>37208127,3</t>
  </si>
  <si>
    <t>TE Connectivity plc</t>
  </si>
  <si>
    <t>TEL</t>
  </si>
  <si>
    <t>21449271,2</t>
  </si>
  <si>
    <t>20470327,8</t>
  </si>
  <si>
    <t>20513497,6</t>
  </si>
  <si>
    <t>21193483,6</t>
  </si>
  <si>
    <t>16561589,4</t>
  </si>
  <si>
    <t>17988499,6</t>
  </si>
  <si>
    <t>17546230,2</t>
  </si>
  <si>
    <t>16416878,3</t>
  </si>
  <si>
    <t>15664957,2</t>
  </si>
  <si>
    <t>18374653,05</t>
  </si>
  <si>
    <t>Teledyne Technologies Inc.</t>
  </si>
  <si>
    <t>TDY</t>
  </si>
  <si>
    <t>13616859,45</t>
  </si>
  <si>
    <t>13143391,13</t>
  </si>
  <si>
    <t>13431037,8</t>
  </si>
  <si>
    <t>12688562,79</t>
  </si>
  <si>
    <t>4162417,28</t>
  </si>
  <si>
    <t>4098463,02</t>
  </si>
  <si>
    <t>3327804,48</t>
  </si>
  <si>
    <t>3203281,92</t>
  </si>
  <si>
    <t>2628189,12</t>
  </si>
  <si>
    <t>Teradyne Inc.</t>
  </si>
  <si>
    <t>TER</t>
  </si>
  <si>
    <t>Tesla Inc.</t>
  </si>
  <si>
    <t>TSLA</t>
  </si>
  <si>
    <t>117369370,2</t>
  </si>
  <si>
    <t>96457304,6</t>
  </si>
  <si>
    <t>77043666,6</t>
  </si>
  <si>
    <t>54631788,3</t>
  </si>
  <si>
    <t>30572749,9</t>
  </si>
  <si>
    <t>Texas Instruments Inc.</t>
  </si>
  <si>
    <t>TXN</t>
  </si>
  <si>
    <t>29456044,5</t>
  </si>
  <si>
    <t>34298143,1</t>
  </si>
  <si>
    <t>29265235,6</t>
  </si>
  <si>
    <t>25457589,9</t>
  </si>
  <si>
    <t>21697606,8</t>
  </si>
  <si>
    <t>15819442,5</t>
  </si>
  <si>
    <t>16055839,8</t>
  </si>
  <si>
    <t>14967455,8</t>
  </si>
  <si>
    <t>14692257,6</t>
  </si>
  <si>
    <t>15565086,3</t>
  </si>
  <si>
    <t>14943772,5</t>
  </si>
  <si>
    <t>Texas Pacific Land Corp.</t>
  </si>
  <si>
    <t>TPL</t>
  </si>
  <si>
    <t>Textron Inc.</t>
  </si>
  <si>
    <t>TXT</t>
  </si>
  <si>
    <t>15435030,6</t>
  </si>
  <si>
    <t>16145958,2</t>
  </si>
  <si>
    <t>15249623,2</t>
  </si>
  <si>
    <t>15245360,1</t>
  </si>
  <si>
    <t>13916681,1</t>
  </si>
  <si>
    <t>12641639,8</t>
  </si>
  <si>
    <t>12461030,4</t>
  </si>
  <si>
    <t>14548633,4</t>
  </si>
  <si>
    <t>13539449,4</t>
  </si>
  <si>
    <t>The AES Corp.</t>
  </si>
  <si>
    <t>AES</t>
  </si>
  <si>
    <t>Independent Power Producers and Energy Traders</t>
  </si>
  <si>
    <t>44090805,6</t>
  </si>
  <si>
    <t>45789455,4</t>
  </si>
  <si>
    <t>40529655,3</t>
  </si>
  <si>
    <t>35896259,1</t>
  </si>
  <si>
    <t>28984365,9</t>
  </si>
  <si>
    <t>28287952,5</t>
  </si>
  <si>
    <t>29983732,8</t>
  </si>
  <si>
    <t>28403841,4</t>
  </si>
  <si>
    <t>27575673,6</t>
  </si>
  <si>
    <t>34220265,2</t>
  </si>
  <si>
    <t>33579752,5</t>
  </si>
  <si>
    <t>The Allstate Corp.</t>
  </si>
  <si>
    <t>ALL</t>
  </si>
  <si>
    <t>101997888,6</t>
  </si>
  <si>
    <t>107810860,3</t>
  </si>
  <si>
    <t>93511601,4</t>
  </si>
  <si>
    <t>91688307,3</t>
  </si>
  <si>
    <t>102994372,5</t>
  </si>
  <si>
    <t>98038276,6</t>
  </si>
  <si>
    <t>93625041,6</t>
  </si>
  <si>
    <t>The Bank New York Mellon</t>
  </si>
  <si>
    <t>BK</t>
  </si>
  <si>
    <t>401876217,6</t>
  </si>
  <si>
    <t>370815721,9</t>
  </si>
  <si>
    <t>379691153,1</t>
  </si>
  <si>
    <t>390794333,4</t>
  </si>
  <si>
    <t>383924977,5</t>
  </si>
  <si>
    <t>339961778,8</t>
  </si>
  <si>
    <t>316933278,2</t>
  </si>
  <si>
    <t>309600062,4</t>
  </si>
  <si>
    <t>315895183,7</t>
  </si>
  <si>
    <t>The Boeing Co.</t>
  </si>
  <si>
    <t>BA</t>
  </si>
  <si>
    <t>143285749,5</t>
  </si>
  <si>
    <t>151031021,7</t>
  </si>
  <si>
    <t>123954756,4</t>
  </si>
  <si>
    <t>121828773,6</t>
  </si>
  <si>
    <t>119073237,5</t>
  </si>
  <si>
    <t>102501350,6</t>
  </si>
  <si>
    <t>93575073,6</t>
  </si>
  <si>
    <t>85254158,1</t>
  </si>
  <si>
    <t>The Campbell's Co.</t>
  </si>
  <si>
    <t>CPB</t>
  </si>
  <si>
    <t>12901425,6</t>
  </si>
  <si>
    <t>14032958,5</t>
  </si>
  <si>
    <t>10935400,2</t>
  </si>
  <si>
    <t>11658916,8</t>
  </si>
  <si>
    <t>10458051,6</t>
  </si>
  <si>
    <t>11823996,4</t>
  </si>
  <si>
    <t>12468787,8</t>
  </si>
  <si>
    <t>6572508,2</t>
  </si>
  <si>
    <t>7013723,15</t>
  </si>
  <si>
    <t>7310896,55</t>
  </si>
  <si>
    <t>The Charles Schwab Corp.</t>
  </si>
  <si>
    <t>SCHW</t>
  </si>
  <si>
    <t>418180441,5</t>
  </si>
  <si>
    <t>463480353,7</t>
  </si>
  <si>
    <t>446178136,6</t>
  </si>
  <si>
    <t>516293060,4</t>
  </si>
  <si>
    <t>448814857,5</t>
  </si>
  <si>
    <t>261987855,5</t>
  </si>
  <si>
    <t>258947378,8</t>
  </si>
  <si>
    <t>202598587,2</t>
  </si>
  <si>
    <t>211610715,9</t>
  </si>
  <si>
    <t>169146378,75</t>
  </si>
  <si>
    <t>The Cigna Group</t>
  </si>
  <si>
    <t>CI</t>
  </si>
  <si>
    <t>134499612,3</t>
  </si>
  <si>
    <t>150565457,9</t>
  </si>
  <si>
    <t>138202876,7</t>
  </si>
  <si>
    <t>134633194,5</t>
  </si>
  <si>
    <t>136193897,7</t>
  </si>
  <si>
    <t>127081192,5</t>
  </si>
  <si>
    <t>138810211,4</t>
  </si>
  <si>
    <t>133827588,4</t>
  </si>
  <si>
    <t>51432895,2</t>
  </si>
  <si>
    <t>The Clorox Co.</t>
  </si>
  <si>
    <t>CLX</t>
  </si>
  <si>
    <t>4735191,5</t>
  </si>
  <si>
    <t>5367408,3</t>
  </si>
  <si>
    <t>5890742,8</t>
  </si>
  <si>
    <t>5342095,6</t>
  </si>
  <si>
    <t>5520871,8</t>
  </si>
  <si>
    <t>4495940,8</t>
  </si>
  <si>
    <t>4008234,5</t>
  </si>
  <si>
    <t>4061029,5</t>
  </si>
  <si>
    <t>The Coca-Cola Co.</t>
  </si>
  <si>
    <t>KO</t>
  </si>
  <si>
    <t>89271787,2</t>
  </si>
  <si>
    <t>97120279,1</t>
  </si>
  <si>
    <t>88391904,1</t>
  </si>
  <si>
    <t>86798339,1</t>
  </si>
  <si>
    <t>82965472,2</t>
  </si>
  <si>
    <t>76974109,1</t>
  </si>
  <si>
    <t>72680854,4</t>
  </si>
  <si>
    <t>73199788,8</t>
  </si>
  <si>
    <t>The Cooper Companies Inc.</t>
  </si>
  <si>
    <t>COO</t>
  </si>
  <si>
    <t>10746291,6</t>
  </si>
  <si>
    <t>11342299,2</t>
  </si>
  <si>
    <t>11035148,85</t>
  </si>
  <si>
    <t>11622162,99</t>
  </si>
  <si>
    <t>8307441,76</t>
  </si>
  <si>
    <t>5781448,75</t>
  </si>
  <si>
    <t>5628853,95</t>
  </si>
  <si>
    <t>5400658,8</t>
  </si>
  <si>
    <t>4173623,3</t>
  </si>
  <si>
    <t>4086274,64</t>
  </si>
  <si>
    <t>The Estée Lauder Cos Inc</t>
  </si>
  <si>
    <t>EL</t>
  </si>
  <si>
    <t>Personal Care and Beauty Products: Producers</t>
  </si>
  <si>
    <t>20231144,1</t>
  </si>
  <si>
    <t>18530341,4</t>
  </si>
  <si>
    <t>15800196,6</t>
  </si>
  <si>
    <t>11561492,8</t>
  </si>
  <si>
    <t>10771175,7</t>
  </si>
  <si>
    <t>8304850,35</t>
  </si>
  <si>
    <t>The Goldman Sachs Group</t>
  </si>
  <si>
    <t>GS</t>
  </si>
  <si>
    <t>1618821354,8</t>
  </si>
  <si>
    <t>1485150091,8</t>
  </si>
  <si>
    <t>1349091324,3</t>
  </si>
  <si>
    <t>1287284648,4</t>
  </si>
  <si>
    <t>884833784,8</t>
  </si>
  <si>
    <t>813830626,4</t>
  </si>
  <si>
    <t>763491052,8</t>
  </si>
  <si>
    <t>814834304,5</t>
  </si>
  <si>
    <t>793129446,25</t>
  </si>
  <si>
    <t>The Hartford Insurance Group</t>
  </si>
  <si>
    <t>HIG</t>
  </si>
  <si>
    <t>73243644,9</t>
  </si>
  <si>
    <t>78157730,3</t>
  </si>
  <si>
    <t>68313585,6</t>
  </si>
  <si>
    <t>67335035,4</t>
  </si>
  <si>
    <t>60585742,5</t>
  </si>
  <si>
    <t>63105028,7</t>
  </si>
  <si>
    <t>54418933,8</t>
  </si>
  <si>
    <t>212740844,8</t>
  </si>
  <si>
    <t>The Hershey Co.</t>
  </si>
  <si>
    <t>HSY</t>
  </si>
  <si>
    <t>The Home Depot Inc.</t>
  </si>
  <si>
    <t>HD</t>
  </si>
  <si>
    <t>92476089,9</t>
  </si>
  <si>
    <t>64393708,4</t>
  </si>
  <si>
    <t>58144627,8</t>
  </si>
  <si>
    <t>38322212,7</t>
  </si>
  <si>
    <t>35836939,2</t>
  </si>
  <si>
    <t>40181803,2</t>
  </si>
  <si>
    <t>38789347,95</t>
  </si>
  <si>
    <t>35382169,5</t>
  </si>
  <si>
    <t>The J. M. Smucker Co.</t>
  </si>
  <si>
    <t>SJM</t>
  </si>
  <si>
    <t>15480292,62</t>
  </si>
  <si>
    <t>18959964,24</t>
  </si>
  <si>
    <t>13583707,54</t>
  </si>
  <si>
    <t>15234589,5</t>
  </si>
  <si>
    <t>13537055,46</t>
  </si>
  <si>
    <t>15512642,64</t>
  </si>
  <si>
    <t>14914835,25</t>
  </si>
  <si>
    <t>12672453,84</t>
  </si>
  <si>
    <t>14354116,66</t>
  </si>
  <si>
    <t>The Kraft Heinz Co.</t>
  </si>
  <si>
    <t>KHC</t>
  </si>
  <si>
    <t>84658404,3</t>
  </si>
  <si>
    <t>81729693,3</t>
  </si>
  <si>
    <t>84693014,1</t>
  </si>
  <si>
    <t>82569635,4</t>
  </si>
  <si>
    <t>90383529,6</t>
  </si>
  <si>
    <t>100012617,6</t>
  </si>
  <si>
    <t>113202795,15</t>
  </si>
  <si>
    <t>The Kroger Co.</t>
  </si>
  <si>
    <t>KR</t>
  </si>
  <si>
    <t>Food Retail</t>
  </si>
  <si>
    <t>50621853,6</t>
  </si>
  <si>
    <t>46802983,5</t>
  </si>
  <si>
    <t>45712707,6</t>
  </si>
  <si>
    <t>43976147,4</t>
  </si>
  <si>
    <t>40087755,6</t>
  </si>
  <si>
    <t>33196966,2</t>
  </si>
  <si>
    <t>29898948,6</t>
  </si>
  <si>
    <t>31325912,55</t>
  </si>
  <si>
    <t>27012717,75</t>
  </si>
  <si>
    <t>The Mosaic Co.</t>
  </si>
  <si>
    <t>MOS</t>
  </si>
  <si>
    <t>20849701,17</t>
  </si>
  <si>
    <t>22142291,6</t>
  </si>
  <si>
    <t>20837774,16</t>
  </si>
  <si>
    <t>21882280,2</t>
  </si>
  <si>
    <t>19376606,52</t>
  </si>
  <si>
    <t>16178161,5</t>
  </si>
  <si>
    <t>17196893,35</t>
  </si>
  <si>
    <t>17572109,28</t>
  </si>
  <si>
    <t>15517895,52</t>
  </si>
  <si>
    <t>15953195,11</t>
  </si>
  <si>
    <t>The PNC Finl Svcs Grp</t>
  </si>
  <si>
    <t>PNC</t>
  </si>
  <si>
    <t>488511272,4</t>
  </si>
  <si>
    <t>540940704,2</t>
  </si>
  <si>
    <t>521430989,1</t>
  </si>
  <si>
    <t>489938046,3</t>
  </si>
  <si>
    <t>381510082,5</t>
  </si>
  <si>
    <t>365613874,5</t>
  </si>
  <si>
    <t>317103590,4</t>
  </si>
  <si>
    <t>330082429,75</t>
  </si>
  <si>
    <t>The Procter &amp; Gamble Co.</t>
  </si>
  <si>
    <t>PG</t>
  </si>
  <si>
    <t>106634196,5</t>
  </si>
  <si>
    <t>112121172,8</t>
  </si>
  <si>
    <t>100623523,8</t>
  </si>
  <si>
    <t>114479611,2</t>
  </si>
  <si>
    <t>116254136,25</t>
  </si>
  <si>
    <t>The Progressive Corp.</t>
  </si>
  <si>
    <t>PGR</t>
  </si>
  <si>
    <t>104792316,3</t>
  </si>
  <si>
    <t>102139095,5</t>
  </si>
  <si>
    <t>80238747,7</t>
  </si>
  <si>
    <t>70612600,5</t>
  </si>
  <si>
    <t>62546631,39</t>
  </si>
  <si>
    <t>52400360,25</t>
  </si>
  <si>
    <t>48930746,55</t>
  </si>
  <si>
    <t>32230359,36</t>
  </si>
  <si>
    <t>31665870,75</t>
  </si>
  <si>
    <t>The Sherwin-Williams Co.</t>
  </si>
  <si>
    <t>SHW</t>
  </si>
  <si>
    <t>22060477,89</t>
  </si>
  <si>
    <t>22826728,34</t>
  </si>
  <si>
    <t>20766845,68</t>
  </si>
  <si>
    <t>21141205,8</t>
  </si>
  <si>
    <t>18172229,31</t>
  </si>
  <si>
    <t>18264163,82</t>
  </si>
  <si>
    <t>16711897,62</t>
  </si>
  <si>
    <t>16572303,6</t>
  </si>
  <si>
    <t>The Southern Co.</t>
  </si>
  <si>
    <t>SO</t>
  </si>
  <si>
    <t>126052755,7</t>
  </si>
  <si>
    <t>126217508,7</t>
  </si>
  <si>
    <t>112140646,2</t>
  </si>
  <si>
    <t>100499362,5</t>
  </si>
  <si>
    <t>102112687,6</t>
  </si>
  <si>
    <t>103915968,1</t>
  </si>
  <si>
    <t>72111298,5</t>
  </si>
  <si>
    <t>The TJX Companies Inc.</t>
  </si>
  <si>
    <t>TJX</t>
  </si>
  <si>
    <t>30545712,9</t>
  </si>
  <si>
    <t>27566544,9</t>
  </si>
  <si>
    <t>26115098,8</t>
  </si>
  <si>
    <t>25498209,9</t>
  </si>
  <si>
    <t>The Trade Desk Inc.</t>
  </si>
  <si>
    <t>TTD</t>
  </si>
  <si>
    <t>The Travelers Companies Inc.</t>
  </si>
  <si>
    <t>TRV</t>
  </si>
  <si>
    <t>122396103,6</t>
  </si>
  <si>
    <t>128647255,1</t>
  </si>
  <si>
    <t>113972296,6</t>
  </si>
  <si>
    <t>108276396,9</t>
  </si>
  <si>
    <t>105925753,8</t>
  </si>
  <si>
    <t>98129714,2</t>
  </si>
  <si>
    <t>91037102,2</t>
  </si>
  <si>
    <t>86180642,4</t>
  </si>
  <si>
    <t>94962088,5</t>
  </si>
  <si>
    <t>The Walt Disney Co.</t>
  </si>
  <si>
    <t>DIS</t>
  </si>
  <si>
    <t>168913972,8</t>
  </si>
  <si>
    <t>175753358,3</t>
  </si>
  <si>
    <t>194231039,2</t>
  </si>
  <si>
    <t>207662893,8</t>
  </si>
  <si>
    <t>175633123,4</t>
  </si>
  <si>
    <t>172062381,3</t>
  </si>
  <si>
    <t>177184985,6</t>
  </si>
  <si>
    <t>84863298,6</t>
  </si>
  <si>
    <t>81047072,9</t>
  </si>
  <si>
    <t>81877158,45</t>
  </si>
  <si>
    <t>78221843,1</t>
  </si>
  <si>
    <t>The Williams Companies Inc.</t>
  </si>
  <si>
    <t>WMB</t>
  </si>
  <si>
    <t>49886624,1</t>
  </si>
  <si>
    <t>52672458,8</t>
  </si>
  <si>
    <t>47611646,9</t>
  </si>
  <si>
    <t>45318758,1</t>
  </si>
  <si>
    <t>41865231,6</t>
  </si>
  <si>
    <t>36104887,5</t>
  </si>
  <si>
    <t>39566766,8</t>
  </si>
  <si>
    <t>38601945,6</t>
  </si>
  <si>
    <t>44366795,5</t>
  </si>
  <si>
    <t>Thermo Fisher Scientific Inc.</t>
  </si>
  <si>
    <t>TMO</t>
  </si>
  <si>
    <t>93979133,1</t>
  </si>
  <si>
    <t>94002353,9</t>
  </si>
  <si>
    <t>89317412,2</t>
  </si>
  <si>
    <t>90906997,8</t>
  </si>
  <si>
    <t>83641653,9</t>
  </si>
  <si>
    <t>52023309,1</t>
  </si>
  <si>
    <t>49113028,8</t>
  </si>
  <si>
    <t>47193943,2</t>
  </si>
  <si>
    <t>43488648,4</t>
  </si>
  <si>
    <t>Tractor Supply Co.</t>
  </si>
  <si>
    <t>TSCO</t>
  </si>
  <si>
    <t>Other Specialty Retail</t>
  </si>
  <si>
    <t>9293627,15</t>
  </si>
  <si>
    <t>Trane Technologies plc</t>
  </si>
  <si>
    <t>TT</t>
  </si>
  <si>
    <t>18244010,19</t>
  </si>
  <si>
    <t>19459697,53</t>
  </si>
  <si>
    <t>17543851,93</t>
  </si>
  <si>
    <t>16918953,12</t>
  </si>
  <si>
    <t>15879982,14</t>
  </si>
  <si>
    <t>14843102,25</t>
  </si>
  <si>
    <t>18260688,53</t>
  </si>
  <si>
    <t>15646873,66</t>
  </si>
  <si>
    <t>15134724,24</t>
  </si>
  <si>
    <t>16480557,02</t>
  </si>
  <si>
    <t>15392730,2</t>
  </si>
  <si>
    <t>TransDigm Group Inc</t>
  </si>
  <si>
    <t>TDG</t>
  </si>
  <si>
    <t>19525340,7</t>
  </si>
  <si>
    <t>22940407,6</t>
  </si>
  <si>
    <t>18465518,6</t>
  </si>
  <si>
    <t>14907460,5</t>
  </si>
  <si>
    <t>Trimble Inc.</t>
  </si>
  <si>
    <t>TRMB</t>
  </si>
  <si>
    <t>7928236,8</t>
  </si>
  <si>
    <t>9218832,28</t>
  </si>
  <si>
    <t>8630204,71</t>
  </si>
  <si>
    <t>6801603,3</t>
  </si>
  <si>
    <t>6242678,28</t>
  </si>
  <si>
    <t>5629430,34</t>
  </si>
  <si>
    <t>5943426,5</t>
  </si>
  <si>
    <t>5046263,04</t>
  </si>
  <si>
    <t>3594614,64</t>
  </si>
  <si>
    <t>3480190,74</t>
  </si>
  <si>
    <t>Truist Financial Corp.</t>
  </si>
  <si>
    <t>TFC</t>
  </si>
  <si>
    <t>466338114,6</t>
  </si>
  <si>
    <t>513062898,4</t>
  </si>
  <si>
    <t>484330240,3</t>
  </si>
  <si>
    <t>519552103,5</t>
  </si>
  <si>
    <t>475913211,3</t>
  </si>
  <si>
    <t>421559805,8</t>
  </si>
  <si>
    <t>197123759,8</t>
  </si>
  <si>
    <t>184583457,6</t>
  </si>
  <si>
    <t>207720154,8</t>
  </si>
  <si>
    <t>193308700,25</t>
  </si>
  <si>
    <t>Tyler Technologies Inc.</t>
  </si>
  <si>
    <t>TYL</t>
  </si>
  <si>
    <t>Tyson Foods Inc.</t>
  </si>
  <si>
    <t>TSN</t>
  </si>
  <si>
    <t>31349921,6</t>
  </si>
  <si>
    <t>34249944,8</t>
  </si>
  <si>
    <t>37550055,8</t>
  </si>
  <si>
    <t>31320143,4</t>
  </si>
  <si>
    <t>29415087,2</t>
  </si>
  <si>
    <t>30067301,2</t>
  </si>
  <si>
    <t>25054116,3</t>
  </si>
  <si>
    <t>23746642,6</t>
  </si>
  <si>
    <t>19904139,45</t>
  </si>
  <si>
    <t>20374651,45</t>
  </si>
  <si>
    <t>U.S. Bancorp</t>
  </si>
  <si>
    <t>USB</t>
  </si>
  <si>
    <t>589670236,5</t>
  </si>
  <si>
    <t>655187356,2</t>
  </si>
  <si>
    <t>600260307,7</t>
  </si>
  <si>
    <t>631415038,5</t>
  </si>
  <si>
    <t>504088621,2</t>
  </si>
  <si>
    <t>452817337,5</t>
  </si>
  <si>
    <t>441474108,6</t>
  </si>
  <si>
    <t>408204451,6</t>
  </si>
  <si>
    <t>422461697,2</t>
  </si>
  <si>
    <t>388421149,75</t>
  </si>
  <si>
    <t>UDR Inc.</t>
  </si>
  <si>
    <t>UDR</t>
  </si>
  <si>
    <t>Ulta Beauty Inc.</t>
  </si>
  <si>
    <t>ULTA</t>
  </si>
  <si>
    <t>Union Pacific Corp.</t>
  </si>
  <si>
    <t>UNP</t>
  </si>
  <si>
    <t>59361786,6</t>
  </si>
  <si>
    <t>65405918,5</t>
  </si>
  <si>
    <t>60734320,4</t>
  </si>
  <si>
    <t>61240629,3</t>
  </si>
  <si>
    <t>55857532,5</t>
  </si>
  <si>
    <t>54956810,3</t>
  </si>
  <si>
    <t>51658989,8</t>
  </si>
  <si>
    <t>48140836,8</t>
  </si>
  <si>
    <t>52781661,4</t>
  </si>
  <si>
    <t>United Airlines Holdings Inc.</t>
  </si>
  <si>
    <t>UAL</t>
  </si>
  <si>
    <t>65110761,6</t>
  </si>
  <si>
    <t>71556769,7</t>
  </si>
  <si>
    <t>64327788,8</t>
  </si>
  <si>
    <t>63026880,6</t>
  </si>
  <si>
    <t>59946277,5</t>
  </si>
  <si>
    <t>46881662,1</t>
  </si>
  <si>
    <t>42817561,6</t>
  </si>
  <si>
    <t>35265748,8</t>
  </si>
  <si>
    <t>37622765,75</t>
  </si>
  <si>
    <t>United Parcel Service Inc.</t>
  </si>
  <si>
    <t>UPS</t>
  </si>
  <si>
    <t>64104327,9</t>
  </si>
  <si>
    <t>66550726,8</t>
  </si>
  <si>
    <t>61027816,5</t>
  </si>
  <si>
    <t>51556372,7</t>
  </si>
  <si>
    <t>43683974,4</t>
  </si>
  <si>
    <t>37954027,2</t>
  </si>
  <si>
    <t>38249132,1</t>
  </si>
  <si>
    <t>35274853,25</t>
  </si>
  <si>
    <t>United Rentals Inc.</t>
  </si>
  <si>
    <t>URI</t>
  </si>
  <si>
    <t>25436872,2</t>
  </si>
  <si>
    <t>27202641,7</t>
  </si>
  <si>
    <t>23150368,3</t>
  </si>
  <si>
    <t>22628033,1</t>
  </si>
  <si>
    <t>17842755,6</t>
  </si>
  <si>
    <t>15837362,2</t>
  </si>
  <si>
    <t>11356232,4</t>
  </si>
  <si>
    <t>11125422,25</t>
  </si>
  <si>
    <t>UnitedHealth Group Inc.</t>
  </si>
  <si>
    <t>UNH</t>
  </si>
  <si>
    <t>263670137,7</t>
  </si>
  <si>
    <t>288106720,2</t>
  </si>
  <si>
    <t>229906168,5</t>
  </si>
  <si>
    <t>186592735,8</t>
  </si>
  <si>
    <t>161283757,5</t>
  </si>
  <si>
    <t>154952487,9</t>
  </si>
  <si>
    <t>132949821,4</t>
  </si>
  <si>
    <t>115807502,4</t>
  </si>
  <si>
    <t>102437120,5</t>
  </si>
  <si>
    <t>Universal Health Services Inc.</t>
  </si>
  <si>
    <t>UHS</t>
  </si>
  <si>
    <t>Valero Energy Corp.</t>
  </si>
  <si>
    <t>VLO</t>
  </si>
  <si>
    <t>49388379,6</t>
  </si>
  <si>
    <t>58092123,7</t>
  </si>
  <si>
    <t>57046763,2</t>
  </si>
  <si>
    <t>57060857,4</t>
  </si>
  <si>
    <t>50900918,4</t>
  </si>
  <si>
    <t>47998210,4</t>
  </si>
  <si>
    <t>41771582,4</t>
  </si>
  <si>
    <t>43739682,9</t>
  </si>
  <si>
    <t>40722010,25</t>
  </si>
  <si>
    <t>Ventas Inc.</t>
  </si>
  <si>
    <t>VTR</t>
  </si>
  <si>
    <t>19562287,77</t>
  </si>
  <si>
    <t>21945720,18</t>
  </si>
  <si>
    <t>VeriSign Inc.</t>
  </si>
  <si>
    <t>VRSN</t>
  </si>
  <si>
    <t>1129269,03</t>
  </si>
  <si>
    <t>1358538,35</t>
  </si>
  <si>
    <t>1582320,3</t>
  </si>
  <si>
    <t>1621942,38</t>
  </si>
  <si>
    <t>1744355,34</t>
  </si>
  <si>
    <t>Verisk Analytics Inc.</t>
  </si>
  <si>
    <t>VRSK</t>
  </si>
  <si>
    <t>5276707,35</t>
  </si>
  <si>
    <t>4119273,73</t>
  </si>
  <si>
    <t>3950010,67</t>
  </si>
  <si>
    <t>6513501,27</t>
  </si>
  <si>
    <t>6865662,33</t>
  </si>
  <si>
    <t>6181771,5</t>
  </si>
  <si>
    <t>6286888,72</t>
  </si>
  <si>
    <t>5153322,02</t>
  </si>
  <si>
    <t>5013705,84</t>
  </si>
  <si>
    <t>4387135,76</t>
  </si>
  <si>
    <t>Verizon Communications Inc.</t>
  </si>
  <si>
    <t>VZ</t>
  </si>
  <si>
    <t>344306538,6</t>
  </si>
  <si>
    <t>371592354,9</t>
  </si>
  <si>
    <t>344016698,5</t>
  </si>
  <si>
    <t>322347862,8</t>
  </si>
  <si>
    <t>258723217,5</t>
  </si>
  <si>
    <t>259957929,7</t>
  </si>
  <si>
    <t>231301648,6</t>
  </si>
  <si>
    <t>214148690,4</t>
  </si>
  <si>
    <t>224824131,25</t>
  </si>
  <si>
    <t>Vertex Pharmaceuticals Inc.</t>
  </si>
  <si>
    <t>VRTX</t>
  </si>
  <si>
    <t>21840143,1</t>
  </si>
  <si>
    <t>21764817,88</t>
  </si>
  <si>
    <t>20564011,94</t>
  </si>
  <si>
    <t>16983797,13</t>
  </si>
  <si>
    <t>11811197,25</t>
  </si>
  <si>
    <t>9607096,5</t>
  </si>
  <si>
    <t>Viatris Inc.</t>
  </si>
  <si>
    <t>VTRS</t>
  </si>
  <si>
    <t>31677363,27</t>
  </si>
  <si>
    <t>40085719,31</t>
  </si>
  <si>
    <t>43141071,85</t>
  </si>
  <si>
    <t>46805772,54</t>
  </si>
  <si>
    <t>48223274,04</t>
  </si>
  <si>
    <t>50319577,5</t>
  </si>
  <si>
    <t>27851776,05</t>
  </si>
  <si>
    <t>28590661,66</t>
  </si>
  <si>
    <t>29819486,64</t>
  </si>
  <si>
    <t>32896129,26</t>
  </si>
  <si>
    <t>VICI Properties Inc.</t>
  </si>
  <si>
    <t>VICI</t>
  </si>
  <si>
    <t>Visa Inc.</t>
  </si>
  <si>
    <t>V</t>
  </si>
  <si>
    <t>84912092,1</t>
  </si>
  <si>
    <t>84738562,6</t>
  </si>
  <si>
    <t>85503455,2</t>
  </si>
  <si>
    <t>87193919,8</t>
  </si>
  <si>
    <t>71522668,8</t>
  </si>
  <si>
    <t>68910620,4</t>
  </si>
  <si>
    <t>66557615,4</t>
  </si>
  <si>
    <t>59581957,5</t>
  </si>
  <si>
    <t>57515339,7</t>
  </si>
  <si>
    <t>56968737,75</t>
  </si>
  <si>
    <t>35274800,35</t>
  </si>
  <si>
    <t>Vistra Corp.</t>
  </si>
  <si>
    <t>VST</t>
  </si>
  <si>
    <t>29824340,2</t>
  </si>
  <si>
    <t>30678795,9</t>
  </si>
  <si>
    <t>26100261,9</t>
  </si>
  <si>
    <t>23717517,6</t>
  </si>
  <si>
    <t>22729361,6</t>
  </si>
  <si>
    <t>14367699,1</t>
  </si>
  <si>
    <t>14417103,5</t>
  </si>
  <si>
    <t>Vulcan Materials Co.</t>
  </si>
  <si>
    <t>VMC</t>
  </si>
  <si>
    <t>14223730,68</t>
  </si>
  <si>
    <t>16521526,32</t>
  </si>
  <si>
    <t>13159494,79</t>
  </si>
  <si>
    <t>13319315,22</t>
  </si>
  <si>
    <t>12031110,18</t>
  </si>
  <si>
    <t>9554040,75</t>
  </si>
  <si>
    <t>W. R. Berkley Corp.</t>
  </si>
  <si>
    <t>WRB</t>
  </si>
  <si>
    <t>W.W. Grainger Inc.</t>
  </si>
  <si>
    <t>GWW</t>
  </si>
  <si>
    <t>7632935,4</t>
  </si>
  <si>
    <t>8527931,1</t>
  </si>
  <si>
    <t>7370590,9</t>
  </si>
  <si>
    <t>7100091,6</t>
  </si>
  <si>
    <t>5796345,6</t>
  </si>
  <si>
    <t>5146162,5</t>
  </si>
  <si>
    <t>5351055,5</t>
  </si>
  <si>
    <t>5129478,2</t>
  </si>
  <si>
    <t>4833571,2</t>
  </si>
  <si>
    <t>Walmart Inc.</t>
  </si>
  <si>
    <t>WMT</t>
  </si>
  <si>
    <t>250937808,3</t>
  </si>
  <si>
    <t>232636158,3</t>
  </si>
  <si>
    <t>223911477,9</t>
  </si>
  <si>
    <t>208006204,8</t>
  </si>
  <si>
    <t>164415235,8</t>
  </si>
  <si>
    <t>184251127,5</t>
  </si>
  <si>
    <t>184442781,15</t>
  </si>
  <si>
    <t>180241267,5</t>
  </si>
  <si>
    <t>Warner Bros. Discovery Inc.</t>
  </si>
  <si>
    <t>WBD</t>
  </si>
  <si>
    <t>85242394,5</t>
  </si>
  <si>
    <t>111058257,9</t>
  </si>
  <si>
    <t>125384735,7</t>
  </si>
  <si>
    <t>30271661,1</t>
  </si>
  <si>
    <t>27866122,5</t>
  </si>
  <si>
    <t>30061258,5</t>
  </si>
  <si>
    <t>14846085,6</t>
  </si>
  <si>
    <t>Waste Mgmt Inc.</t>
  </si>
  <si>
    <t>WM</t>
  </si>
  <si>
    <t>39037669,5</t>
  </si>
  <si>
    <t>43047265,3</t>
  </si>
  <si>
    <t>29694968,1</t>
  </si>
  <si>
    <t>29350101,9</t>
  </si>
  <si>
    <t>25584992,1</t>
  </si>
  <si>
    <t>23989537,5</t>
  </si>
  <si>
    <t>24721787,3</t>
  </si>
  <si>
    <t>18179191,2</t>
  </si>
  <si>
    <t>19759730,7</t>
  </si>
  <si>
    <t>18752915,25</t>
  </si>
  <si>
    <t>Waters Corp.</t>
  </si>
  <si>
    <t>WAT</t>
  </si>
  <si>
    <t>2321634,6</t>
  </si>
  <si>
    <t>WEC Energy Group Inc.</t>
  </si>
  <si>
    <t>WEC</t>
  </si>
  <si>
    <t>43878136,11</t>
  </si>
  <si>
    <t>45748114,88</t>
  </si>
  <si>
    <t>39752246,59</t>
  </si>
  <si>
    <t>39179723,97</t>
  </si>
  <si>
    <t>34282588,05</t>
  </si>
  <si>
    <t>30270471,75</t>
  </si>
  <si>
    <t>31145548,98</t>
  </si>
  <si>
    <t>29237763,72</t>
  </si>
  <si>
    <t>26308568,4</t>
  </si>
  <si>
    <t>28535707,36</t>
  </si>
  <si>
    <t>27028800,4</t>
  </si>
  <si>
    <t>Wells Fargo &amp; Co.</t>
  </si>
  <si>
    <t>WFC</t>
  </si>
  <si>
    <t>1829989022,7</t>
  </si>
  <si>
    <t>1864037285,5</t>
  </si>
  <si>
    <t>1748303799,6</t>
  </si>
  <si>
    <t>1712936192,4</t>
  </si>
  <si>
    <t>1596504742,5</t>
  </si>
  <si>
    <t>1717644260,5</t>
  </si>
  <si>
    <t>1655864212,2</t>
  </si>
  <si>
    <t>1625423229,6</t>
  </si>
  <si>
    <t>1828397939,5</t>
  </si>
  <si>
    <t>Welltower Inc.</t>
  </si>
  <si>
    <t>WELL</t>
  </si>
  <si>
    <t>W Pharmaceutical Svcs Inc</t>
  </si>
  <si>
    <t>WST</t>
  </si>
  <si>
    <t>3519160,06</t>
  </si>
  <si>
    <t>3464548,65</t>
  </si>
  <si>
    <t>3384239,76</t>
  </si>
  <si>
    <t>2913824,34</t>
  </si>
  <si>
    <t>2283931,5</t>
  </si>
  <si>
    <t>2086421,54</t>
  </si>
  <si>
    <t>1728371,26</t>
  </si>
  <si>
    <t>1551339,84</t>
  </si>
  <si>
    <t>1626229,91</t>
  </si>
  <si>
    <t>Western Digital Corp.</t>
  </si>
  <si>
    <t>WDC</t>
  </si>
  <si>
    <t>22574660,4</t>
  </si>
  <si>
    <t>25245402,6</t>
  </si>
  <si>
    <t>22065860,8</t>
  </si>
  <si>
    <t>25057318,5</t>
  </si>
  <si>
    <t>29488715,7</t>
  </si>
  <si>
    <t>13665894,5</t>
  </si>
  <si>
    <t>Westinghouse Air Brake Technol</t>
  </si>
  <si>
    <t>WAB</t>
  </si>
  <si>
    <t>18796167,3</t>
  </si>
  <si>
    <t>18064261,8</t>
  </si>
  <si>
    <t>17178443,6</t>
  </si>
  <si>
    <t>17325421,2</t>
  </si>
  <si>
    <t>16226602,2</t>
  </si>
  <si>
    <t>16881176,62</t>
  </si>
  <si>
    <t>7554211,28</t>
  </si>
  <si>
    <t>Weyerhaeuser Co.</t>
  </si>
  <si>
    <t>WY</t>
  </si>
  <si>
    <t>Timber REIT</t>
  </si>
  <si>
    <t>14149292,1</t>
  </si>
  <si>
    <t>15972122,4</t>
  </si>
  <si>
    <t>15364520,1</t>
  </si>
  <si>
    <t>15521403,6</t>
  </si>
  <si>
    <t>13334242,5</t>
  </si>
  <si>
    <t>14619386,6</t>
  </si>
  <si>
    <t>15065276,6</t>
  </si>
  <si>
    <t>15039535,2</t>
  </si>
  <si>
    <t>18228893,9</t>
  </si>
  <si>
    <t>Williams-Sonoma Inc.</t>
  </si>
  <si>
    <t>WSM</t>
  </si>
  <si>
    <t>Homefurnishing Retail</t>
  </si>
  <si>
    <t>Willis Towers Watson Plc</t>
  </si>
  <si>
    <t>WTW</t>
  </si>
  <si>
    <t>26737077,9</t>
  </si>
  <si>
    <t>29726253,3</t>
  </si>
  <si>
    <t>31499092,5</t>
  </si>
  <si>
    <t>31568108,6</t>
  </si>
  <si>
    <t>27031022,4</t>
  </si>
  <si>
    <t>28658666,9</t>
  </si>
  <si>
    <t>17364424,25</t>
  </si>
  <si>
    <t>Workday Inc.</t>
  </si>
  <si>
    <t>WDAY</t>
  </si>
  <si>
    <t>17295671,7</t>
  </si>
  <si>
    <t>15163808,4</t>
  </si>
  <si>
    <t>12416560,2</t>
  </si>
  <si>
    <t>6148361,23</t>
  </si>
  <si>
    <t>Wynn Resorts Ltd.</t>
  </si>
  <si>
    <t>WYNN</t>
  </si>
  <si>
    <t>12552509,07</t>
  </si>
  <si>
    <t>Xcel Energy Inc.</t>
  </si>
  <si>
    <t>XEL</t>
  </si>
  <si>
    <t>69303680,7</t>
  </si>
  <si>
    <t>67646806,5</t>
  </si>
  <si>
    <t>57972271,3</t>
  </si>
  <si>
    <t>57253611,6</t>
  </si>
  <si>
    <t>50868384,3</t>
  </si>
  <si>
    <t>44109847,5</t>
  </si>
  <si>
    <t>44954212,8</t>
  </si>
  <si>
    <t>40165045,8</t>
  </si>
  <si>
    <t>38986131,5</t>
  </si>
  <si>
    <t>Xylem Inc.</t>
  </si>
  <si>
    <t>XYL</t>
  </si>
  <si>
    <t>15018877,8</t>
  </si>
  <si>
    <t>15930588,7</t>
  </si>
  <si>
    <t>14576526,4</t>
  </si>
  <si>
    <t>7440686,4</t>
  </si>
  <si>
    <t>7277086,8</t>
  </si>
  <si>
    <t>6307694,8</t>
  </si>
  <si>
    <t>6132820,2</t>
  </si>
  <si>
    <t>4287932,75</t>
  </si>
  <si>
    <t>Yum! Brands Inc.</t>
  </si>
  <si>
    <t>YUM</t>
  </si>
  <si>
    <t>6981384,9</t>
  </si>
  <si>
    <t>6497609,3</t>
  </si>
  <si>
    <t>5637185,7</t>
  </si>
  <si>
    <t>5470102,2</t>
  </si>
  <si>
    <t>5245903,8</t>
  </si>
  <si>
    <t>4661344,1</t>
  </si>
  <si>
    <t>4423000,8</t>
  </si>
  <si>
    <t>5165626,9</t>
  </si>
  <si>
    <t>7422165,75</t>
  </si>
  <si>
    <t>Zebra Technologies Corp.</t>
  </si>
  <si>
    <t>ZBRA</t>
  </si>
  <si>
    <t>7241153,4</t>
  </si>
  <si>
    <t>7696291,2</t>
  </si>
  <si>
    <t>6609738,2</t>
  </si>
  <si>
    <t>7044885,3</t>
  </si>
  <si>
    <t>5464849,5</t>
  </si>
  <si>
    <t>4394062,5</t>
  </si>
  <si>
    <t>4197972,1</t>
  </si>
  <si>
    <t>3789682,6</t>
  </si>
  <si>
    <t>4387893,6</t>
  </si>
  <si>
    <t>Zimmer Biomet Holdings Inc.</t>
  </si>
  <si>
    <t>ZBH</t>
  </si>
  <si>
    <t>19667200,89</t>
  </si>
  <si>
    <t>20636743,27</t>
  </si>
  <si>
    <t>19448245,43</t>
  </si>
  <si>
    <t>19711456,2</t>
  </si>
  <si>
    <t>20625212,52</t>
  </si>
  <si>
    <t>19961469,75</t>
  </si>
  <si>
    <t>21955545,57</t>
  </si>
  <si>
    <t>21072347,12</t>
  </si>
  <si>
    <t>21664459,2</t>
  </si>
  <si>
    <t>25278132,12</t>
  </si>
  <si>
    <t>25008122,45</t>
  </si>
  <si>
    <t>Zoetis Inc.</t>
  </si>
  <si>
    <t>ZTS</t>
  </si>
  <si>
    <t>13173243,9</t>
  </si>
  <si>
    <t>13751518,3</t>
  </si>
  <si>
    <t>12924544,2</t>
  </si>
  <si>
    <t>13965322,5</t>
  </si>
  <si>
    <t>11125357,5</t>
  </si>
  <si>
    <t>10287749,5</t>
  </si>
  <si>
    <t>9412631,8</t>
  </si>
  <si>
    <t>7150420,8</t>
  </si>
  <si>
    <t>7245897,7</t>
  </si>
  <si>
    <t>7285894,75</t>
  </si>
  <si>
    <t>允䅁䉁䅷䅁煁䅁䅁睕兂䙁䄸睑偂䕁䄰䅕䉂䕁䄴兗時䕁䄴兑乂䕁䅕睘䉂䕁䅉村卂䅁䅁䅁䅁䑁䅙䅁乂䕁䅫睘䩂䕁䄴䅒噂䙁䅍䅖卂䙁䅫睘䑂䕁䅷兑呂䙁䅍兓䝂䕁䅫睑䉂䙁䅑兓偂䕁䄴䅁䝁䅁䅁杁䅁䅁䅁允䅁䅁䄴䅁䝂䙁䅫杍睁䑁䅅睎䅁䉁䅑䅁䵃䅁䅁睔睂䡁䅑兡療䝁䄴督㙁䕁䅍兤祂䡁䅉児䙂䙁䅕杕獁䕁䄰兙湂䑁䄰睕あ䝁䅅杢歂䝁䅅杣歂䍁䅷睑療䝁䄴杤乂䝁䅕䅤潂䝁䄸䅚㥁䙁䅉䅌䝂䝁䅫䅢灂䝁䄴睚坂䝁䅕杣㥁䕁䅍兤祂䡁䅉党畂䡁䅑睌卂䝁䅕督あ䝁䅅䅤求䝁䅑䅁䍁䅁䅁䅎䅁䕁䅍睢瑂䡁䅁兙畂䡁䅫䅉佂䝁䅅兢求䍁䅷䅉䉂䝁䅉杙祂䝁䅕杤灂䝁䅅䅤求䝁䅑䅁䑁䅁䅁䅆䅁䙁䅍䅕時䙁䅑兓䑂䕁䅳兒卂䅁䅁䅂䅁䅁䄴䅁䝂䙁䅫杍睁䑁䅅李䅁䉁䅕䅁佁䅁䅁䅖灂䝁䅍睡求䡁䅉䅁䙁䅁䅁杄䅁䕁䅙兗祁䑁䅁杍穁䅁䅁杄䅁䑁䅁䅁䩂䝁䄴䅚ㅂ䡁䅍䅤祂䡁䅫䅉䑂䝁䅷兙穂䡁䅍兡浂䝁䅫睙桂䡁䅑兡療䝁䄴䅁䡁䅁䅁䅉䅁䕁䅫兕時䙁䅑睔啂䕁䅅䅔時䕁䅅睕呂䕁䅕䅖呂䅁䅁䅃䅁䅁䄴䅁䝂䙁䅫杍睁䑁䅉兎䅁䅁䅫䅁允䅁䅁睑ㅂ䡁䅉杣求䝁䄴䅤䅁䅁䅯䅁奁䅁䅁兒畂䡁䅑兡あ䡁䅫䅉佂䝁䅅兢求䅁䅁睇䅁䍁䅧䅁啂䝁䄸䅤桂䝁䅷䅉䉂䡁䅍督求䡁䅑督杁䍁䅧䍲睁䑁䅁䅍灁䅁䅁睃䅁䉁䅑䅁㡁䑁䄴睑ㅂ䡁䅉杣求䝁䄴䅤䅁䉁䅣䅁佁䅁䅁杒婂䑁䅉䅍祁䑁䅑䅁䵁䅁䅁杄䅁䕁䅙兗祁䑁䅁杍睁䅁䅁兄䅁䅁䄴䅁䝂䙁䅫杍睁䑁䅉杍䅁䅁䄸䅁佁䅁䅁杒婂䑁䅉䅍祁䑁䅅䅁允䅁䅁杄䅁䕁䅙兗祁䑁䅁免㕁䅁䅁充䅁䅁䄴䅁穁䑁䅉兏祁䑁䅫䅏䅁䉁䅉䅁佁䅁䅁杒婂䑁䅉䅍硁䑁䅧䅁呁䅁䅁杄䅁䕁䅙兗祁䑁䅁免ㅁ䅁䅁杆䅁䉁䅯䅁呂䙁䅁睘䙂䕁䄴䅖䩂䙁䅑兗時䕁䅫䅒䅁䉁䅧䅁啁䅁䅁兒畂䡁䅑兡あ䡁䅫䅉䩂䕁䅑䅁婁䅁䅁杈䅁䙁䅍䅕時䕁䅕杔啂䕁䅫䅖婂䙁䄸杔䉂䕁䄰兒䅁䉁䅯䅁十䅁䅁䍄䉁䅁䅁杂䅁䅁䅍睄䅁䅁䅕䅁䅁䑁䝒䕅䭅䅁䅁䅁䭁䅁䅅䅁䭁䅁䅅䅁䭁䅁䅉䅁䉁䅁䅁允䅁䅁䅯睁䅁䅁杷允䅁䅁䅙䅁䑁䅁䄸䅁䙁䅁䅁䅁ぁ桒䉂权䥁䅁䅁权乁䅁䅁权䭁䅁䅁权䍁䅁䅁允䅁䅁䅅䅁䭁䅁䅳䅁䵁䅉䅅䅁䝁䅁䅁睁偁䅁䅁兂䅁䅁䅁䕎兙兑䅯䅂䅁䅁䅯允䅁䅁䅯允䅁䅁䅯杁䅁䅁䅅䅁䉁䅁䅁权䙁䅁䅁䍄䉁䅁䅁杂䅁䅁䅍睄䅁䅁䅕䅁䅁䑁䝒䕅䭅䅁䅧䅁䭁䅁䅫䅁䭁䅁䅯䅁䭁䅁䅉䅁䉁䅁䅁允䅁䅁䅯睃䅁䅁杷允䅁䅁䅙䅁䑁䅁䄸䅁䙁䅁䅁䅁ぁ桒䉂权䝁䅁䅁权䉁䅁䅁权䉁䅁䅁权䍁䅁䅁允䅁䅁䅅䅁䭁䅁䅣䅁䵁䅉䅅䅁䝁䅁䅁睁偁䅁䅁兂䅁䅁䅁䕎兙兑䅯䅃䅁䅁䅯杄䅁䅁䅯权䅁䅁䅯杁䅁䅁䅅䅁䉁䅁䅁权䱁䅁䅁䍄䉁䅁䅁杂䅁䅁䅍睄䅁䅁䅕䅁䅁䑁䝒䕅䭅䅁䅧䅁䭁䅁䅷䅁䭁䅁䅯䅁䭁䅁䅉䅁䉁䅁䅁允䅁䅁䅯睃䅁䅁杷允䅁䅁䅙䅁䑁䅁䄸䅁䙁䅁䅁䅁ぁ桒䉂权䥁䅁䅁权偁䅁䅁权䭁䅁䅁权䍁䅁䅁允䅁䅁䅅䅁䭁䅁䅳䅁䵁䅉䅅䅁䝁䅁䅁睁偁䅁䅁兂䅁䅁䅁䕎兙兑䅯䅃䅁䅁䅯䅅䅁䅁䅯权䅁䅁䅯杁䅁䅁䅅䅁䉁䅁䅁权䱁䅁䅁䍄䉁䅁䅁杂䅁䅁䅍睄䅁䅁䅕䅁䅁䑁䝒䕅䭅䅁䅧䅁䭁䉁䅅䅁䭁䅁䅯䅁䭁䅁䅉䅁䉁䅁䅁允䅁䅁䅯睃䅁䅁杷允䅁䅁䅙䅁䑁䅁䄸䅁䙁䅁䅁䅁ぁ桒䉂权十䅁䅁权呁䅁䅁权䭁䅁䅁权䍁䅁䅁允䅁䅁䅅䅁䭁䅁䅳䅁䵁䅉䅅䅁䝁䅁䅁睁偁䅁䅁兂䅁䅁䅁䕎兙兑䅯杅䅁䅁䅯䅆䅁䅁䅯权䅁䅁䅯杁䅁䅁䅅䅁䉁䅁䅁权䱁䅁䅁䍄䉁䅁䅁杂䅁䅁䅍睄䅁䅁䅕䅁䅁䑁䝒䕅䭅䉁䅉䅁䭁䉁䅕䅁䭁䅁䅯䅁䭁䅁䅉䅁䉁䅁䅁允䅁䅁䅯睃䅁䅁杷允䅁䅁䅙䅁䑁䅁䄸䅁䙁䅁䅁䅁ぁ桒䉂权十䅁䅁权坁䅁䅁权䭁䅁䅁权䍁䅁䅁允䅁䅁䅅䅁䭁䅁䅳䅁䵁䅉䅅䅁䙁䅁䅁睁偁䅁䅁兂䅁䅁䅁䕎兙兑䅯䅃䅁䅁䅯䅂䍁䅧䅯睆䅁䅁䅅䅁䉁䅁䅁权䭁䅁䅁䍄䉁䅁䅁兂䅁䅁䅍睄䅁䅁䅕䅁䅁䑁䝒䕅䭅䉁䅉䅁䭁䅁䅑潁䭁䉁䅣䅁䉁䅁䅁允䅁䅁䅯权䅁䅁杷允䅁䅁䅙䅁䑁䅁䄸䅁䙁䅁䅁䅁ぁ桒䉂权奁䅁䅁权䉁䅁䅁权䉁䅁䅁权䍁䅁䅁允䅁䅁䅅䅁䭁䉁䅫䅁䵁䅉䅅䅁䝁䅁䅁睁偁䅁䅁兂䅁䅁䅁䕎兙兑䅯杇䅁䅁䅯允䅁䅁䅯允䅁䅁䅯杁䅁䅁䅅䅁䉁䅁䅁权扁䅁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</si>
</sst>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 fontId="0" fillId="0" borderId="0" xfId="0" applyNumberFormat="1" applyAlignment="1">
      <alignment horizontal="left"/>
    </xf>
    <xf numFmtId="1" fontId="0" fillId="0" borderId="0" xfId="0" applyNumberFormat="1" applyAlignment="1">
      <alignment horizontal="right"/>
    </xf>
    <xf numFmtId="0" fontId="0" fillId="0" borderId="0" xfId="0" applyNumberFormat="1" applyAlignment="1">
      <alignment horizontal="left"/>
    </xf>
    <xf numFmtId="0" fontId="0" fillId="0" borderId="0" xfId="0" applyNumberFormat="1" applyAlignment="1">
      <alignment horizontal="right"/>
    </xf>
    <xf numFmtId="3" fontId="0" fillId="0" borderId="0" xfId="0" applyNumberForma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B4440-BF04-43FE-A9E4-D9075B171003}">
  <dimension ref="A1"/>
  <sheetViews>
    <sheetView workbookViewId="0"/>
  </sheetViews>
  <sheetFormatPr baseColWidth="10" defaultRowHeight="14.25" x14ac:dyDescent="0.45"/>
  <sheetData>
    <row r="1" spans="1:1" x14ac:dyDescent="0.45">
      <c r="A1" t="s">
        <v>4649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68D2C-EE94-4923-8D68-30DA1D404D39}">
  <dimension ref="A1:P480"/>
  <sheetViews>
    <sheetView tabSelected="1" workbookViewId="0">
      <selection activeCell="E7" sqref="E7"/>
    </sheetView>
  </sheetViews>
  <sheetFormatPr baseColWidth="10" defaultRowHeight="14.25" x14ac:dyDescent="0.45"/>
  <sheetData>
    <row r="1" spans="1:16" x14ac:dyDescent="0.45">
      <c r="A1" t="str">
        <f>_xll.SNL.Clients.Office.Excel.Functions.SPGTable($B$6:$B$480,$C$3:$P$3,,"Options:Curr=EUR,Mag=Standard,ConvMethod=R,FilingVer=Current/Restated")</f>
        <v>SPGTable</v>
      </c>
    </row>
    <row r="2" spans="1:16" x14ac:dyDescent="0.45">
      <c r="A2" s="3" t="str">
        <f>_xll.SNL.Clients.Office.Excel.Functions.SPGLabel(266637,"SP_ENTITY_NAME","","","Options:Curr=EUR,Mag=Standard,ConvMethod=R,FilingVer=Current/Restated")</f>
        <v>Entity Name</v>
      </c>
      <c r="B2" s="3" t="str">
        <f>_xll.SNL.Clients.Office.Excel.Functions.SPGLabel(266637,"SP_ENTITY_ID","","","Options:Curr=EUR,Mag=Standard,ConvMethod=R,FilingVer=Current/Restated")</f>
        <v>Entity ID</v>
      </c>
      <c r="C2" s="3" t="str">
        <f>_xll.SNL.Clients.Office.Excel.Functions.SPGLabel(266637,"SP_COMPANY_NAME_ABBR","","","Options:Curr=EUR,Mag=Standard,ConvMethod=R,FilingVer=Current/Restated")</f>
        <v>Company Name, Abbreviated</v>
      </c>
      <c r="D2" s="3" t="str">
        <f>_xll.SNL.Clients.Office.Excel.Functions.SPGLabel(266637,"SP_TICKER","","","Options:Curr=EUR,Mag=Standard,ConvMethod=R,FilingVer=Current/Restated")</f>
        <v>Ticker</v>
      </c>
      <c r="E2" s="3" t="str">
        <f>_xll.SNL.Clients.Office.Excel.Functions.SPGLabel(266637,"MI_INDUSTRY_CLASSIFICATION","","","Options:Curr=EUR,Mag=Standard,ConvMethod=R,FilingVer=Current/Restated")</f>
        <v>Industry Classification</v>
      </c>
      <c r="F2" s="3" t="str">
        <f>_xll.SNL.Clients.Office.Excel.Functions.SPGLabel(266637,"IQ_TOTAL_ASSETS","FY2025","Current","Options:Curr=EUR,Mag=Standard,ConvMethod=R,FilingVer=Current/Restated")</f>
        <v>Total Assets (€000)</v>
      </c>
      <c r="G2" s="3" t="str">
        <f>_xll.SNL.Clients.Office.Excel.Functions.SPGLabel(266637,"IQ_TOTAL_ASSETS","FY2024","Current","Options:Curr=EUR,Mag=Standard,ConvMethod=R,FilingVer=Current/Restated")</f>
        <v>Total Assets (€000)</v>
      </c>
      <c r="H2" s="3" t="str">
        <f>_xll.SNL.Clients.Office.Excel.Functions.SPGLabel(266637,"IQ_TOTAL_ASSETS","FY2023","Current","Options:Curr=EUR,Mag=Standard,ConvMethod=R,FilingVer=Current/Restated")</f>
        <v>Total Assets (€000)</v>
      </c>
      <c r="I2" s="3" t="str">
        <f>_xll.SNL.Clients.Office.Excel.Functions.SPGLabel(266637,"IQ_TOTAL_ASSETS","FY2022","Current","Options:Curr=EUR,Mag=Standard,ConvMethod=R,FilingVer=Current/Restated")</f>
        <v>Total Assets (€000)</v>
      </c>
      <c r="J2" s="3" t="str">
        <f>_xll.SNL.Clients.Office.Excel.Functions.SPGLabel(266637,"IQ_TOTAL_ASSETS","FY2021","Current","Options:Curr=EUR,Mag=Standard,ConvMethod=R,FilingVer=Current/Restated")</f>
        <v>Total Assets (€000)</v>
      </c>
      <c r="K2" s="3" t="str">
        <f>_xll.SNL.Clients.Office.Excel.Functions.SPGLabel(266637,"IQ_TOTAL_ASSETS","FY2020","Current","Options:Curr=EUR,Mag=Standard,ConvMethod=R,FilingVer=Current/Restated")</f>
        <v>Total Assets (€000)</v>
      </c>
      <c r="L2" s="3" t="str">
        <f>_xll.SNL.Clients.Office.Excel.Functions.SPGLabel(266637,"IQ_TOTAL_ASSETS","FY2019","Current","Options:Curr=EUR,Mag=Standard,ConvMethod=R,FilingVer=Current/Restated")</f>
        <v>Total Assets (€000)</v>
      </c>
      <c r="M2" s="3" t="str">
        <f>_xll.SNL.Clients.Office.Excel.Functions.SPGLabel(266637,"329298","FY2018","Current","Options:Curr=EUR,Mag=Standard,ConvMethod=R,FilingVer=Current/Restated")</f>
        <v>Total Assets (€000)</v>
      </c>
      <c r="N2" s="3" t="str">
        <f>_xll.SNL.Clients.Office.Excel.Functions.SPGLabel(266637,"329298","FY2017","Current","Options:Curr=EUR,Mag=Standard,ConvMethod=R,FilingVer=Current/Restated")</f>
        <v>Total Assets (€000)</v>
      </c>
      <c r="O2" s="3" t="str">
        <f>_xll.SNL.Clients.Office.Excel.Functions.SPGLabel(266637,"329298","FY2016","Current","Options:Curr=EUR,Mag=Standard,ConvMethod=R,FilingVer=Current/Restated")</f>
        <v>Total Assets (€000)</v>
      </c>
      <c r="P2" s="3" t="str">
        <f>_xll.SNL.Clients.Office.Excel.Functions.SPGLabel(266637,"329298","FY2015","Current","Options:Curr=EUR,Mag=Standard,ConvMethod=R,FilingVer=Current/Restated")</f>
        <v>Total Assets (€000)</v>
      </c>
    </row>
    <row r="3" spans="1:16" x14ac:dyDescent="0.45">
      <c r="A3" s="2" t="s">
        <v>490</v>
      </c>
      <c r="B3" s="2" t="s">
        <v>491</v>
      </c>
      <c r="C3" s="2" t="s">
        <v>486</v>
      </c>
      <c r="D3" s="2" t="s">
        <v>487</v>
      </c>
      <c r="E3" s="2" t="s">
        <v>488</v>
      </c>
      <c r="F3" s="2" t="s">
        <v>489</v>
      </c>
      <c r="G3" s="2" t="s">
        <v>489</v>
      </c>
      <c r="H3" s="2" t="s">
        <v>489</v>
      </c>
      <c r="I3" s="2" t="s">
        <v>489</v>
      </c>
      <c r="J3" s="2" t="s">
        <v>489</v>
      </c>
      <c r="K3" s="2" t="s">
        <v>489</v>
      </c>
      <c r="L3" s="2" t="s">
        <v>489</v>
      </c>
      <c r="M3" s="2">
        <v>329298</v>
      </c>
      <c r="N3" s="2">
        <v>329298</v>
      </c>
      <c r="O3" s="2">
        <v>329298</v>
      </c>
      <c r="P3" s="2">
        <v>329298</v>
      </c>
    </row>
    <row r="4" spans="1:16" x14ac:dyDescent="0.45">
      <c r="A4" s="4"/>
      <c r="B4" s="4"/>
      <c r="C4" s="4"/>
      <c r="D4" s="4"/>
      <c r="E4" s="4"/>
      <c r="F4" s="4" t="s">
        <v>475</v>
      </c>
      <c r="G4" s="4" t="s">
        <v>476</v>
      </c>
      <c r="H4" s="4" t="s">
        <v>477</v>
      </c>
      <c r="I4" s="4" t="s">
        <v>478</v>
      </c>
      <c r="J4" s="4" t="s">
        <v>479</v>
      </c>
      <c r="K4" s="4" t="s">
        <v>480</v>
      </c>
      <c r="L4" s="4" t="s">
        <v>481</v>
      </c>
      <c r="M4" s="4" t="s">
        <v>482</v>
      </c>
      <c r="N4" s="4" t="s">
        <v>483</v>
      </c>
      <c r="O4" s="4" t="s">
        <v>484</v>
      </c>
      <c r="P4" s="4" t="s">
        <v>485</v>
      </c>
    </row>
    <row r="5" spans="1:16" x14ac:dyDescent="0.45">
      <c r="A5" s="4"/>
      <c r="B5" s="4"/>
      <c r="C5" s="4"/>
      <c r="D5" s="4"/>
      <c r="E5" s="4"/>
      <c r="F5" s="4" t="str">
        <f>_xll.SNL.Clients.Office.Excel.Functions.SPGLabel(266637,"IQ_TOTAL_ASSETS",,"&lt;&gt;Current")</f>
        <v>Current</v>
      </c>
      <c r="G5" s="4" t="str">
        <f>_xll.SNL.Clients.Office.Excel.Functions.SPGLabel(266637,"IQ_TOTAL_ASSETS",,"&lt;&gt;Current")</f>
        <v>Current</v>
      </c>
      <c r="H5" s="4" t="str">
        <f>_xll.SNL.Clients.Office.Excel.Functions.SPGLabel(266637,"IQ_TOTAL_ASSETS",,"&lt;&gt;Current")</f>
        <v>Current</v>
      </c>
      <c r="I5" s="4" t="str">
        <f>_xll.SNL.Clients.Office.Excel.Functions.SPGLabel(266637,"IQ_TOTAL_ASSETS",,"&lt;&gt;Current")</f>
        <v>Current</v>
      </c>
      <c r="J5" s="4" t="str">
        <f>_xll.SNL.Clients.Office.Excel.Functions.SPGLabel(266637,"IQ_TOTAL_ASSETS",,"&lt;&gt;Current")</f>
        <v>Current</v>
      </c>
      <c r="K5" s="4" t="str">
        <f>_xll.SNL.Clients.Office.Excel.Functions.SPGLabel(266637,"IQ_TOTAL_ASSETS",,"&lt;&gt;Current")</f>
        <v>Current</v>
      </c>
      <c r="L5" s="4" t="str">
        <f>_xll.SNL.Clients.Office.Excel.Functions.SPGLabel(266637,"IQ_TOTAL_ASSETS",,"&lt;&gt;Current")</f>
        <v>Current</v>
      </c>
      <c r="M5" s="4" t="str">
        <f>_xll.SNL.Clients.Office.Excel.Functions.SPGLabel(266637,"329298",,"&lt;&gt;Current")</f>
        <v>Current</v>
      </c>
      <c r="N5" s="4" t="str">
        <f>_xll.SNL.Clients.Office.Excel.Functions.SPGLabel(266637,"329298",,"&lt;&gt;Current")</f>
        <v>Current</v>
      </c>
      <c r="O5" s="4" t="str">
        <f>_xll.SNL.Clients.Office.Excel.Functions.SPGLabel(266637,"329298",,"&lt;&gt;Current")</f>
        <v>Current</v>
      </c>
      <c r="P5" s="4" t="str">
        <f>_xll.SNL.Clients.Office.Excel.Functions.SPGLabel(266637,"329298",,"&lt;&gt;Current")</f>
        <v>Current</v>
      </c>
    </row>
    <row r="6" spans="1:16" x14ac:dyDescent="0.45">
      <c r="A6" s="1" t="s">
        <v>0</v>
      </c>
      <c r="B6" s="2">
        <v>105135</v>
      </c>
      <c r="C6" s="3" t="s">
        <v>492</v>
      </c>
      <c r="D6" s="3" t="s">
        <v>493</v>
      </c>
      <c r="E6" s="3" t="s">
        <v>494</v>
      </c>
      <c r="F6" s="5" t="s">
        <v>495</v>
      </c>
      <c r="G6" s="5" t="s">
        <v>496</v>
      </c>
      <c r="H6" s="5">
        <v>45759726</v>
      </c>
      <c r="I6" s="5" t="s">
        <v>497</v>
      </c>
      <c r="J6" s="5" t="s">
        <v>498</v>
      </c>
      <c r="K6" s="5">
        <v>38703720</v>
      </c>
      <c r="L6" s="5" t="s">
        <v>499</v>
      </c>
      <c r="M6" s="5">
        <v>31879100</v>
      </c>
      <c r="N6" s="5" t="s">
        <v>500</v>
      </c>
      <c r="O6" s="5" t="s">
        <v>501</v>
      </c>
      <c r="P6" s="5" t="s">
        <v>502</v>
      </c>
    </row>
    <row r="7" spans="1:16" x14ac:dyDescent="0.45">
      <c r="A7" s="1" t="s">
        <v>1</v>
      </c>
      <c r="B7" s="2">
        <v>4020605</v>
      </c>
      <c r="C7" s="3" t="s">
        <v>503</v>
      </c>
      <c r="D7" s="3" t="s">
        <v>504</v>
      </c>
      <c r="E7" s="3" t="s">
        <v>505</v>
      </c>
      <c r="F7" s="5" t="s">
        <v>506</v>
      </c>
      <c r="G7" s="5">
        <v>3129516</v>
      </c>
      <c r="H7" s="5" t="s">
        <v>507</v>
      </c>
      <c r="I7" s="5" t="s">
        <v>508</v>
      </c>
      <c r="J7" s="5" t="s">
        <v>509</v>
      </c>
      <c r="K7" s="5" t="s">
        <v>510</v>
      </c>
      <c r="L7" s="5" t="s">
        <v>511</v>
      </c>
      <c r="M7" s="5" t="s">
        <v>512</v>
      </c>
      <c r="N7" s="5" t="s">
        <v>513</v>
      </c>
      <c r="O7" s="5" t="s">
        <v>514</v>
      </c>
      <c r="P7" s="5" t="s">
        <v>515</v>
      </c>
    </row>
    <row r="8" spans="1:16" x14ac:dyDescent="0.45">
      <c r="A8" s="1" t="s">
        <v>2</v>
      </c>
      <c r="B8" s="2">
        <v>4004092</v>
      </c>
      <c r="C8" s="3" t="s">
        <v>516</v>
      </c>
      <c r="D8" s="3" t="s">
        <v>517</v>
      </c>
      <c r="E8" s="3" t="s">
        <v>518</v>
      </c>
      <c r="F8" s="5" t="s">
        <v>519</v>
      </c>
      <c r="G8" s="5" t="s">
        <v>520</v>
      </c>
      <c r="H8" s="5" t="s">
        <v>521</v>
      </c>
      <c r="I8" s="5" t="s">
        <v>522</v>
      </c>
      <c r="J8" s="5" t="s">
        <v>523</v>
      </c>
      <c r="K8" s="5">
        <v>59307990</v>
      </c>
      <c r="L8" s="5" t="s">
        <v>524</v>
      </c>
      <c r="M8" s="5" t="s">
        <v>525</v>
      </c>
      <c r="N8" s="5">
        <v>63501000</v>
      </c>
      <c r="O8" s="5" t="s">
        <v>526</v>
      </c>
      <c r="P8" s="5" t="s">
        <v>527</v>
      </c>
    </row>
    <row r="9" spans="1:16" x14ac:dyDescent="0.45">
      <c r="A9" s="1" t="s">
        <v>3</v>
      </c>
      <c r="B9" s="2">
        <v>4558282</v>
      </c>
      <c r="C9" s="3" t="s">
        <v>528</v>
      </c>
      <c r="D9" s="3" t="s">
        <v>529</v>
      </c>
      <c r="E9" s="3" t="s">
        <v>530</v>
      </c>
      <c r="F9" s="5">
        <v>114093732</v>
      </c>
      <c r="G9" s="5" t="s">
        <v>531</v>
      </c>
      <c r="H9" s="5" t="s">
        <v>532</v>
      </c>
      <c r="I9" s="5" t="s">
        <v>533</v>
      </c>
      <c r="J9" s="5" t="s">
        <v>534</v>
      </c>
      <c r="K9" s="5" t="s">
        <v>535</v>
      </c>
      <c r="L9" s="5" t="s">
        <v>536</v>
      </c>
      <c r="M9" s="5" t="s">
        <v>537</v>
      </c>
      <c r="N9" s="5" t="s">
        <v>538</v>
      </c>
      <c r="O9" s="5" t="s">
        <v>539</v>
      </c>
      <c r="P9" s="5" t="s">
        <v>540</v>
      </c>
    </row>
    <row r="10" spans="1:16" x14ac:dyDescent="0.45">
      <c r="A10" s="1" t="s">
        <v>4</v>
      </c>
      <c r="B10" s="2">
        <v>4142760</v>
      </c>
      <c r="C10" s="3" t="s">
        <v>541</v>
      </c>
      <c r="D10" s="3" t="s">
        <v>542</v>
      </c>
      <c r="E10" s="3" t="s">
        <v>543</v>
      </c>
      <c r="F10" s="5">
        <v>559060974453</v>
      </c>
      <c r="G10" s="5">
        <v>505684493883</v>
      </c>
      <c r="H10" s="5" t="s">
        <v>544</v>
      </c>
      <c r="I10" s="5">
        <v>46927819931</v>
      </c>
      <c r="J10" s="5">
        <v>365785741896</v>
      </c>
      <c r="K10" s="5">
        <v>310162430445</v>
      </c>
      <c r="L10" s="5">
        <v>27084958896</v>
      </c>
      <c r="M10" s="5">
        <v>210628850045</v>
      </c>
      <c r="N10" s="5">
        <v>19107156369</v>
      </c>
      <c r="O10" s="5">
        <v>184873070382</v>
      </c>
      <c r="P10" s="5">
        <v>1625041310925</v>
      </c>
    </row>
    <row r="11" spans="1:16" x14ac:dyDescent="0.45">
      <c r="A11" s="1" t="s">
        <v>5</v>
      </c>
      <c r="B11" s="2">
        <v>4047847</v>
      </c>
      <c r="C11" s="3" t="s">
        <v>545</v>
      </c>
      <c r="D11" s="3" t="s">
        <v>546</v>
      </c>
      <c r="E11" s="3" t="s">
        <v>547</v>
      </c>
      <c r="F11" s="5" t="s">
        <v>548</v>
      </c>
      <c r="G11" s="5">
        <v>28651994</v>
      </c>
      <c r="H11" s="5" t="s">
        <v>549</v>
      </c>
      <c r="I11" s="5" t="s">
        <v>550</v>
      </c>
      <c r="J11" s="5" t="s">
        <v>551</v>
      </c>
      <c r="K11" s="5" t="s">
        <v>552</v>
      </c>
      <c r="L11" s="5" t="s">
        <v>553</v>
      </c>
      <c r="M11" s="5">
        <v>165764999424</v>
      </c>
      <c r="N11" s="5">
        <v>121822494836</v>
      </c>
      <c r="O11" s="5">
        <v>11897319502</v>
      </c>
      <c r="P11" s="5">
        <v>110692032444</v>
      </c>
    </row>
    <row r="12" spans="1:16" x14ac:dyDescent="0.45">
      <c r="A12" s="1" t="s">
        <v>6</v>
      </c>
      <c r="B12" s="2">
        <v>4066743</v>
      </c>
      <c r="C12" s="3" t="s">
        <v>554</v>
      </c>
      <c r="D12" s="3" t="s">
        <v>555</v>
      </c>
      <c r="E12" s="3" t="s">
        <v>556</v>
      </c>
      <c r="F12" s="5">
        <v>65387100</v>
      </c>
      <c r="G12" s="5" t="s">
        <v>557</v>
      </c>
      <c r="H12" s="5" t="s">
        <v>558</v>
      </c>
      <c r="I12" s="5">
        <v>63234606</v>
      </c>
      <c r="J12" s="5" t="s">
        <v>559</v>
      </c>
      <c r="K12" s="5" t="s">
        <v>560</v>
      </c>
      <c r="L12" s="5" t="s">
        <v>561</v>
      </c>
      <c r="M12" s="5" t="s">
        <v>562</v>
      </c>
      <c r="N12" s="5" t="s">
        <v>563</v>
      </c>
      <c r="O12" s="5" t="s">
        <v>564</v>
      </c>
      <c r="P12" s="5">
        <v>2816463</v>
      </c>
    </row>
    <row r="13" spans="1:16" x14ac:dyDescent="0.45">
      <c r="A13" s="1" t="s">
        <v>7</v>
      </c>
      <c r="B13" s="2">
        <v>103316</v>
      </c>
      <c r="C13" s="3" t="s">
        <v>565</v>
      </c>
      <c r="D13" s="3" t="s">
        <v>566</v>
      </c>
      <c r="E13" s="3" t="s">
        <v>567</v>
      </c>
      <c r="F13" s="5">
        <v>99197499</v>
      </c>
      <c r="G13" s="5" t="s">
        <v>568</v>
      </c>
      <c r="H13" s="5" t="s">
        <v>569</v>
      </c>
      <c r="I13" s="5" t="s">
        <v>570</v>
      </c>
      <c r="J13" s="5" t="s">
        <v>571</v>
      </c>
      <c r="K13" s="5">
        <v>134957805</v>
      </c>
      <c r="L13" s="5" t="s">
        <v>572</v>
      </c>
      <c r="M13" s="5" t="s">
        <v>573</v>
      </c>
      <c r="N13" s="5" t="s">
        <v>574</v>
      </c>
      <c r="O13" s="5" t="s">
        <v>575</v>
      </c>
      <c r="P13" s="5">
        <v>108884212</v>
      </c>
    </row>
    <row r="14" spans="1:16" x14ac:dyDescent="0.45">
      <c r="A14" s="1" t="s">
        <v>8</v>
      </c>
      <c r="B14" s="2">
        <v>4075849</v>
      </c>
      <c r="C14" s="3" t="s">
        <v>576</v>
      </c>
      <c r="D14" s="3" t="s">
        <v>577</v>
      </c>
      <c r="E14" s="3" t="s">
        <v>578</v>
      </c>
      <c r="F14" s="5">
        <v>11034309</v>
      </c>
      <c r="G14" s="5">
        <v>10910166</v>
      </c>
      <c r="H14" s="5" t="s">
        <v>579</v>
      </c>
      <c r="I14" s="5" t="s">
        <v>580</v>
      </c>
      <c r="J14" s="5">
        <v>9257684</v>
      </c>
      <c r="K14" s="5" t="s">
        <v>581</v>
      </c>
      <c r="L14" s="5" t="s">
        <v>582</v>
      </c>
      <c r="M14" s="5" t="s">
        <v>583</v>
      </c>
      <c r="N14" s="5">
        <v>7237934</v>
      </c>
      <c r="O14" s="5" t="s">
        <v>584</v>
      </c>
      <c r="P14" s="5" t="s">
        <v>585</v>
      </c>
    </row>
    <row r="15" spans="1:16" x14ac:dyDescent="0.45">
      <c r="A15" s="1" t="s">
        <v>9</v>
      </c>
      <c r="B15" s="2">
        <v>4014726</v>
      </c>
      <c r="C15" s="3" t="s">
        <v>586</v>
      </c>
      <c r="D15" s="3" t="s">
        <v>587</v>
      </c>
      <c r="E15" s="3" t="s">
        <v>588</v>
      </c>
      <c r="F15" s="5" t="s">
        <v>589</v>
      </c>
      <c r="G15" s="5" t="s">
        <v>590</v>
      </c>
      <c r="H15" s="5">
        <v>30235962</v>
      </c>
      <c r="I15" s="5" t="s">
        <v>591</v>
      </c>
      <c r="J15" s="5" t="s">
        <v>592</v>
      </c>
      <c r="K15" s="5" t="s">
        <v>593</v>
      </c>
      <c r="L15" s="5" t="s">
        <v>594</v>
      </c>
      <c r="M15" s="5" t="s">
        <v>595</v>
      </c>
      <c r="N15" s="5" t="s">
        <v>596</v>
      </c>
      <c r="O15" s="5" t="s">
        <v>597</v>
      </c>
      <c r="P15" s="5">
        <v>15532578725</v>
      </c>
    </row>
    <row r="16" spans="1:16" x14ac:dyDescent="0.45">
      <c r="A16" s="1" t="s">
        <v>10</v>
      </c>
      <c r="B16" s="2">
        <v>4186103</v>
      </c>
      <c r="C16" s="3" t="s">
        <v>598</v>
      </c>
      <c r="D16" s="3" t="s">
        <v>599</v>
      </c>
      <c r="E16" s="3" t="s">
        <v>600</v>
      </c>
      <c r="F16" s="5">
        <v>97772119431</v>
      </c>
      <c r="G16" s="5">
        <v>100152094315</v>
      </c>
      <c r="H16" s="5">
        <v>89565634739</v>
      </c>
      <c r="I16" s="5" t="s">
        <v>601</v>
      </c>
      <c r="J16" s="5">
        <v>71563351689</v>
      </c>
      <c r="K16" s="5">
        <v>6347176275</v>
      </c>
      <c r="L16" s="5">
        <v>62438361146</v>
      </c>
      <c r="M16" s="5">
        <v>4770309918</v>
      </c>
      <c r="N16" s="5">
        <v>38716172448</v>
      </c>
      <c r="O16" s="5">
        <v>41426812058</v>
      </c>
      <c r="P16" s="5">
        <v>3850285543</v>
      </c>
    </row>
    <row r="17" spans="1:16" x14ac:dyDescent="0.45">
      <c r="A17" s="1" t="s">
        <v>11</v>
      </c>
      <c r="B17" s="2">
        <v>4121019</v>
      </c>
      <c r="C17" s="3" t="s">
        <v>602</v>
      </c>
      <c r="D17" s="3" t="s">
        <v>603</v>
      </c>
      <c r="E17" s="3" t="s">
        <v>604</v>
      </c>
      <c r="F17" s="5">
        <v>139459155087</v>
      </c>
      <c r="G17" s="5">
        <v>160432599691</v>
      </c>
      <c r="H17" s="5">
        <v>165294588644</v>
      </c>
      <c r="I17" s="5">
        <v>144626676354</v>
      </c>
      <c r="J17" s="5">
        <v>96495419574</v>
      </c>
      <c r="K17" s="5">
        <v>8543648355</v>
      </c>
      <c r="L17" s="5">
        <v>87870150193</v>
      </c>
      <c r="M17" s="5">
        <v>66218340716</v>
      </c>
      <c r="N17" s="5">
        <v>64548429216</v>
      </c>
      <c r="O17" s="5">
        <v>77311113911</v>
      </c>
      <c r="P17" s="5">
        <v>88373161455</v>
      </c>
    </row>
    <row r="18" spans="1:16" x14ac:dyDescent="0.45">
      <c r="A18" s="1" t="s">
        <v>12</v>
      </c>
      <c r="B18" s="2">
        <v>111908</v>
      </c>
      <c r="C18" s="3" t="s">
        <v>605</v>
      </c>
      <c r="D18" s="3" t="s">
        <v>606</v>
      </c>
      <c r="E18" s="3" t="s">
        <v>607</v>
      </c>
      <c r="F18" s="5">
        <v>290274988695</v>
      </c>
      <c r="G18" s="5">
        <v>362477629891</v>
      </c>
      <c r="H18" s="5">
        <v>332670873894</v>
      </c>
      <c r="I18" s="5">
        <v>332392444443</v>
      </c>
      <c r="J18" s="5">
        <v>265718946789</v>
      </c>
      <c r="K18" s="5">
        <v>18661790265</v>
      </c>
      <c r="L18" s="5">
        <v>163877772233</v>
      </c>
      <c r="M18" s="5">
        <v>126336925704</v>
      </c>
      <c r="N18" s="5">
        <v>100801720584</v>
      </c>
      <c r="O18" s="5">
        <v>98091854024</v>
      </c>
      <c r="P18" s="5">
        <v>817719640275</v>
      </c>
    </row>
    <row r="19" spans="1:16" x14ac:dyDescent="0.45">
      <c r="A19" s="1" t="s">
        <v>13</v>
      </c>
      <c r="B19" s="2">
        <v>4811737</v>
      </c>
      <c r="C19" s="3" t="s">
        <v>608</v>
      </c>
      <c r="D19" s="3" t="s">
        <v>609</v>
      </c>
      <c r="E19" s="3" t="s">
        <v>610</v>
      </c>
      <c r="F19" s="5">
        <v>53092363281</v>
      </c>
      <c r="G19" s="5" t="s">
        <v>611</v>
      </c>
      <c r="H19" s="5">
        <v>55040835219</v>
      </c>
      <c r="I19" s="5">
        <v>55654940079</v>
      </c>
      <c r="J19" s="5">
        <v>5224897323</v>
      </c>
      <c r="K19" s="5">
        <v>39482658525</v>
      </c>
      <c r="L19" s="5">
        <v>22283755522</v>
      </c>
      <c r="M19" s="5">
        <v>17926168172</v>
      </c>
      <c r="N19" s="5">
        <v>14857226952</v>
      </c>
      <c r="O19" s="5">
        <v>13225738423</v>
      </c>
      <c r="P19" s="5">
        <v>106681133475</v>
      </c>
    </row>
    <row r="20" spans="1:16" x14ac:dyDescent="0.45">
      <c r="A20" s="1" t="s">
        <v>14</v>
      </c>
      <c r="B20" s="2">
        <v>4987299</v>
      </c>
      <c r="C20" s="3" t="s">
        <v>612</v>
      </c>
      <c r="D20" s="3" t="s">
        <v>613</v>
      </c>
      <c r="E20" s="3" t="s">
        <v>505</v>
      </c>
      <c r="F20" s="5" t="s">
        <v>614</v>
      </c>
      <c r="G20" s="5" t="s">
        <v>615</v>
      </c>
      <c r="H20" s="5" t="s">
        <v>616</v>
      </c>
      <c r="I20" s="5" t="s">
        <v>617</v>
      </c>
      <c r="J20" s="5" t="s">
        <v>618</v>
      </c>
      <c r="K20" s="5" t="s">
        <v>619</v>
      </c>
      <c r="L20" s="5" t="s">
        <v>620</v>
      </c>
      <c r="M20" s="5" t="s">
        <v>621</v>
      </c>
      <c r="N20" s="5" t="s">
        <v>622</v>
      </c>
      <c r="O20" s="5" t="s">
        <v>623</v>
      </c>
      <c r="P20" s="5" t="s">
        <v>624</v>
      </c>
    </row>
    <row r="21" spans="1:16" x14ac:dyDescent="0.45">
      <c r="A21" s="1" t="s">
        <v>15</v>
      </c>
      <c r="B21" s="2">
        <v>4057038</v>
      </c>
      <c r="C21" s="3" t="s">
        <v>625</v>
      </c>
      <c r="D21" s="3" t="s">
        <v>626</v>
      </c>
      <c r="E21" s="3" t="s">
        <v>627</v>
      </c>
      <c r="F21" s="5" t="s">
        <v>628</v>
      </c>
      <c r="G21" s="5" t="s">
        <v>629</v>
      </c>
      <c r="H21" s="5" t="s">
        <v>630</v>
      </c>
      <c r="I21" s="5" t="s">
        <v>631</v>
      </c>
      <c r="J21" s="5" t="s">
        <v>632</v>
      </c>
      <c r="K21" s="5">
        <v>14477925</v>
      </c>
      <c r="L21" s="5" t="s">
        <v>633</v>
      </c>
      <c r="M21" s="5" t="s">
        <v>634</v>
      </c>
      <c r="N21" s="5" t="s">
        <v>635</v>
      </c>
      <c r="O21" s="5" t="s">
        <v>636</v>
      </c>
      <c r="P21" s="5" t="s">
        <v>637</v>
      </c>
    </row>
    <row r="22" spans="1:16" x14ac:dyDescent="0.45">
      <c r="A22" s="1" t="s">
        <v>16</v>
      </c>
      <c r="B22" s="2">
        <v>4633618</v>
      </c>
      <c r="C22" s="3" t="s">
        <v>638</v>
      </c>
      <c r="D22" s="3" t="s">
        <v>639</v>
      </c>
      <c r="E22" s="3" t="s">
        <v>640</v>
      </c>
      <c r="F22" s="5" t="s">
        <v>641</v>
      </c>
      <c r="G22" s="5" t="s">
        <v>642</v>
      </c>
      <c r="H22" s="5" t="s">
        <v>643</v>
      </c>
      <c r="I22" s="5" t="s">
        <v>644</v>
      </c>
      <c r="J22" s="5" t="s">
        <v>645</v>
      </c>
      <c r="K22" s="5">
        <v>261286080</v>
      </c>
      <c r="L22" s="5" t="s">
        <v>646</v>
      </c>
      <c r="M22" s="5" t="s">
        <v>647</v>
      </c>
      <c r="N22" s="5">
        <v>164307276</v>
      </c>
      <c r="O22" s="5" t="s">
        <v>648</v>
      </c>
      <c r="P22" s="5" t="s">
        <v>649</v>
      </c>
    </row>
    <row r="23" spans="1:16" x14ac:dyDescent="0.45">
      <c r="A23" s="1" t="s">
        <v>17</v>
      </c>
      <c r="B23" s="2">
        <v>4087349</v>
      </c>
      <c r="C23" s="3" t="s">
        <v>650</v>
      </c>
      <c r="D23" s="3" t="s">
        <v>651</v>
      </c>
      <c r="E23" s="3" t="s">
        <v>652</v>
      </c>
      <c r="F23" s="5" t="s">
        <v>653</v>
      </c>
      <c r="G23" s="5" t="s">
        <v>654</v>
      </c>
      <c r="H23" s="5">
        <v>34894279</v>
      </c>
      <c r="I23" s="5" t="s">
        <v>655</v>
      </c>
      <c r="J23" s="5" t="s">
        <v>656</v>
      </c>
      <c r="K23" s="5">
        <v>38760945</v>
      </c>
      <c r="L23" s="5" t="s">
        <v>657</v>
      </c>
      <c r="M23" s="5" t="s">
        <v>658</v>
      </c>
      <c r="N23" s="5" t="s">
        <v>659</v>
      </c>
      <c r="O23" s="5" t="s">
        <v>660</v>
      </c>
      <c r="P23" s="5" t="s">
        <v>661</v>
      </c>
    </row>
    <row r="24" spans="1:16" x14ac:dyDescent="0.45">
      <c r="A24" s="1" t="s">
        <v>18</v>
      </c>
      <c r="B24" s="2">
        <v>3001792</v>
      </c>
      <c r="C24" s="3" t="s">
        <v>662</v>
      </c>
      <c r="D24" s="3" t="s">
        <v>663</v>
      </c>
      <c r="E24" s="3" t="s">
        <v>664</v>
      </c>
      <c r="F24" s="5" t="s">
        <v>665</v>
      </c>
      <c r="G24" s="5" t="s">
        <v>666</v>
      </c>
      <c r="H24" s="5" t="s">
        <v>667</v>
      </c>
      <c r="I24" s="5" t="s">
        <v>668</v>
      </c>
      <c r="J24" s="5" t="s">
        <v>669</v>
      </c>
      <c r="K24" s="5" t="s">
        <v>670</v>
      </c>
      <c r="L24" s="5" t="s">
        <v>671</v>
      </c>
      <c r="M24" s="5" t="s">
        <v>672</v>
      </c>
      <c r="N24" s="5">
        <v>109354968</v>
      </c>
      <c r="O24" s="5" t="s">
        <v>673</v>
      </c>
      <c r="P24" s="5" t="s">
        <v>674</v>
      </c>
    </row>
    <row r="25" spans="1:16" x14ac:dyDescent="0.45">
      <c r="A25" s="1" t="s">
        <v>19</v>
      </c>
      <c r="B25" s="2">
        <v>4160328</v>
      </c>
      <c r="C25" s="3" t="s">
        <v>675</v>
      </c>
      <c r="D25" s="3" t="s">
        <v>676</v>
      </c>
      <c r="E25" s="3" t="s">
        <v>677</v>
      </c>
      <c r="F25" s="5">
        <v>31561699</v>
      </c>
      <c r="G25" s="5" t="s">
        <v>678</v>
      </c>
      <c r="H25" s="5">
        <v>15574748</v>
      </c>
      <c r="I25" s="5" t="s">
        <v>679</v>
      </c>
      <c r="J25" s="5" t="s">
        <v>680</v>
      </c>
      <c r="K25" s="5" t="s">
        <v>681</v>
      </c>
      <c r="L25" s="5">
        <v>15084602</v>
      </c>
      <c r="M25" s="5" t="s">
        <v>682</v>
      </c>
      <c r="N25" s="5" t="s">
        <v>683</v>
      </c>
      <c r="O25" s="5">
        <v>7817796945</v>
      </c>
      <c r="P25" s="5">
        <v>7673159025</v>
      </c>
    </row>
    <row r="26" spans="1:16" x14ac:dyDescent="0.45">
      <c r="A26" s="1" t="s">
        <v>20</v>
      </c>
      <c r="B26" s="2">
        <v>4007308</v>
      </c>
      <c r="C26" s="3" t="s">
        <v>684</v>
      </c>
      <c r="D26" s="3" t="s">
        <v>685</v>
      </c>
      <c r="E26" s="3" t="s">
        <v>686</v>
      </c>
      <c r="F26" s="5" t="s">
        <v>687</v>
      </c>
      <c r="G26" s="5" t="s">
        <v>688</v>
      </c>
      <c r="H26" s="5">
        <v>36938901</v>
      </c>
      <c r="I26" s="5" t="s">
        <v>689</v>
      </c>
      <c r="J26" s="5" t="s">
        <v>690</v>
      </c>
      <c r="K26" s="5">
        <v>26184525</v>
      </c>
      <c r="L26" s="5" t="s">
        <v>691</v>
      </c>
      <c r="M26" s="5">
        <v>23769581</v>
      </c>
      <c r="N26" s="5">
        <v>21606996</v>
      </c>
      <c r="O26" s="5" t="s">
        <v>692</v>
      </c>
      <c r="P26" s="5">
        <v>21766530</v>
      </c>
    </row>
    <row r="27" spans="1:16" x14ac:dyDescent="0.45">
      <c r="A27" s="1" t="s">
        <v>21</v>
      </c>
      <c r="B27" s="2">
        <v>4006321</v>
      </c>
      <c r="C27" s="3" t="s">
        <v>693</v>
      </c>
      <c r="D27" s="3" t="s">
        <v>694</v>
      </c>
      <c r="E27" s="3" t="s">
        <v>627</v>
      </c>
      <c r="F27" s="5">
        <v>97485582</v>
      </c>
      <c r="G27" s="5" t="s">
        <v>695</v>
      </c>
      <c r="H27" s="5" t="s">
        <v>696</v>
      </c>
      <c r="I27" s="5" t="s">
        <v>697</v>
      </c>
      <c r="J27" s="5" t="s">
        <v>698</v>
      </c>
      <c r="K27" s="5">
        <v>66019011</v>
      </c>
      <c r="L27" s="5" t="s">
        <v>699</v>
      </c>
      <c r="M27" s="5" t="s">
        <v>700</v>
      </c>
      <c r="N27" s="5" t="s">
        <v>701</v>
      </c>
      <c r="O27" s="5" t="s">
        <v>702</v>
      </c>
      <c r="P27" s="5">
        <v>56794714325</v>
      </c>
    </row>
    <row r="28" spans="1:16" x14ac:dyDescent="0.45">
      <c r="A28" s="1" t="s">
        <v>22</v>
      </c>
      <c r="B28" s="2">
        <v>102700</v>
      </c>
      <c r="C28" s="3" t="s">
        <v>703</v>
      </c>
      <c r="D28" s="3" t="s">
        <v>704</v>
      </c>
      <c r="E28" s="3" t="s">
        <v>705</v>
      </c>
      <c r="F28" s="5" t="s">
        <v>706</v>
      </c>
      <c r="G28" s="5" t="s">
        <v>707</v>
      </c>
      <c r="H28" s="5" t="s">
        <v>708</v>
      </c>
      <c r="I28" s="5" t="s">
        <v>709</v>
      </c>
      <c r="J28" s="5" t="s">
        <v>710</v>
      </c>
      <c r="K28" s="5" t="s">
        <v>711</v>
      </c>
      <c r="L28" s="5" t="s">
        <v>712</v>
      </c>
      <c r="M28" s="5" t="s">
        <v>713</v>
      </c>
      <c r="N28" s="5" t="s">
        <v>714</v>
      </c>
      <c r="O28" s="5" t="s">
        <v>715</v>
      </c>
      <c r="P28" s="5">
        <v>148410168</v>
      </c>
    </row>
    <row r="29" spans="1:16" x14ac:dyDescent="0.45">
      <c r="A29" s="1" t="s">
        <v>23</v>
      </c>
      <c r="B29" s="2">
        <v>103330</v>
      </c>
      <c r="C29" s="3" t="s">
        <v>716</v>
      </c>
      <c r="D29" s="3" t="s">
        <v>717</v>
      </c>
      <c r="E29" s="3" t="s">
        <v>718</v>
      </c>
      <c r="F29" s="5" t="s">
        <v>719</v>
      </c>
      <c r="G29" s="5" t="s">
        <v>720</v>
      </c>
      <c r="H29" s="5" t="s">
        <v>721</v>
      </c>
      <c r="I29" s="5" t="s">
        <v>722</v>
      </c>
      <c r="J29" s="5" t="s">
        <v>723</v>
      </c>
      <c r="K29" s="5" t="s">
        <v>724</v>
      </c>
      <c r="L29" s="5" t="s">
        <v>725</v>
      </c>
      <c r="M29" s="5" t="s">
        <v>726</v>
      </c>
      <c r="N29" s="5" t="s">
        <v>727</v>
      </c>
      <c r="O29" s="5" t="s">
        <v>728</v>
      </c>
      <c r="P29" s="5" t="s">
        <v>729</v>
      </c>
    </row>
    <row r="30" spans="1:16" x14ac:dyDescent="0.45">
      <c r="A30" s="1" t="s">
        <v>24</v>
      </c>
      <c r="B30" s="2">
        <v>4290489</v>
      </c>
      <c r="C30" s="3" t="s">
        <v>730</v>
      </c>
      <c r="D30" s="3" t="s">
        <v>731</v>
      </c>
      <c r="E30" s="3" t="s">
        <v>732</v>
      </c>
      <c r="F30" s="5" t="s">
        <v>733</v>
      </c>
      <c r="G30" s="5" t="s">
        <v>734</v>
      </c>
      <c r="H30" s="5" t="s">
        <v>735</v>
      </c>
      <c r="I30" s="5" t="s">
        <v>736</v>
      </c>
      <c r="J30" s="5" t="s">
        <v>737</v>
      </c>
      <c r="K30" s="5" t="s">
        <v>738</v>
      </c>
      <c r="L30" s="5" t="s">
        <v>739</v>
      </c>
      <c r="M30" s="5" t="s">
        <v>740</v>
      </c>
      <c r="N30" s="5" t="s">
        <v>741</v>
      </c>
      <c r="O30" s="5" t="s">
        <v>742</v>
      </c>
      <c r="P30" s="5">
        <v>24772108444</v>
      </c>
    </row>
    <row r="31" spans="1:16" x14ac:dyDescent="0.45">
      <c r="A31" s="1" t="s">
        <v>25</v>
      </c>
      <c r="B31" s="2">
        <v>4004387</v>
      </c>
      <c r="C31" s="3" t="s">
        <v>743</v>
      </c>
      <c r="D31" s="3" t="s">
        <v>744</v>
      </c>
      <c r="E31" s="3" t="s">
        <v>745</v>
      </c>
      <c r="F31" s="5" t="s">
        <v>746</v>
      </c>
      <c r="G31" s="5">
        <v>31710497</v>
      </c>
      <c r="H31" s="5" t="s">
        <v>747</v>
      </c>
      <c r="I31" s="5" t="s">
        <v>748</v>
      </c>
      <c r="J31" s="5" t="s">
        <v>749</v>
      </c>
      <c r="K31" s="5">
        <v>20246205</v>
      </c>
      <c r="L31" s="5" t="s">
        <v>750</v>
      </c>
      <c r="M31" s="5" t="s">
        <v>751</v>
      </c>
      <c r="N31" s="5" t="s">
        <v>752</v>
      </c>
      <c r="O31" s="5" t="s">
        <v>753</v>
      </c>
      <c r="P31" s="5" t="s">
        <v>754</v>
      </c>
    </row>
    <row r="32" spans="1:16" x14ac:dyDescent="0.45">
      <c r="A32" s="1" t="s">
        <v>26</v>
      </c>
      <c r="B32" s="2">
        <v>113901</v>
      </c>
      <c r="C32" s="3" t="s">
        <v>755</v>
      </c>
      <c r="D32" s="3" t="s">
        <v>756</v>
      </c>
      <c r="E32" s="3" t="s">
        <v>757</v>
      </c>
      <c r="F32" s="5" t="s">
        <v>758</v>
      </c>
      <c r="G32" s="5" t="s">
        <v>759</v>
      </c>
      <c r="H32" s="5" t="s">
        <v>760</v>
      </c>
      <c r="I32" s="5" t="s">
        <v>761</v>
      </c>
      <c r="J32" s="5">
        <v>154677663</v>
      </c>
      <c r="K32" s="5" t="s">
        <v>762</v>
      </c>
      <c r="L32" s="5" t="s">
        <v>763</v>
      </c>
      <c r="M32" s="5" t="s">
        <v>764</v>
      </c>
      <c r="N32" s="5">
        <v>122821344</v>
      </c>
      <c r="O32" s="5" t="s">
        <v>765</v>
      </c>
      <c r="P32" s="5" t="s">
        <v>766</v>
      </c>
    </row>
    <row r="33" spans="1:16" x14ac:dyDescent="0.45">
      <c r="A33" s="1" t="s">
        <v>27</v>
      </c>
      <c r="B33" s="2">
        <v>4107063</v>
      </c>
      <c r="C33" s="3" t="s">
        <v>767</v>
      </c>
      <c r="D33" s="3" t="s">
        <v>768</v>
      </c>
      <c r="E33" s="3" t="s">
        <v>769</v>
      </c>
      <c r="F33" s="5">
        <v>136847263731</v>
      </c>
      <c r="G33" s="5">
        <v>141322461371</v>
      </c>
      <c r="H33" s="5">
        <v>135917903051</v>
      </c>
      <c r="I33" s="5">
        <v>11631798984</v>
      </c>
      <c r="J33" s="5">
        <v>104620758291</v>
      </c>
      <c r="K33" s="5">
        <v>84672423525</v>
      </c>
      <c r="L33" s="5">
        <v>87724865249</v>
      </c>
      <c r="M33" s="5">
        <v>75656423392</v>
      </c>
      <c r="N33" s="5">
        <v>64925620992</v>
      </c>
      <c r="O33" s="5">
        <v>67264684802</v>
      </c>
      <c r="P33" s="5">
        <v>61326093375</v>
      </c>
    </row>
    <row r="34" spans="1:16" x14ac:dyDescent="0.45">
      <c r="A34" s="1" t="s">
        <v>28</v>
      </c>
      <c r="B34" s="2">
        <v>4092820</v>
      </c>
      <c r="C34" s="3" t="s">
        <v>770</v>
      </c>
      <c r="D34" s="3" t="s">
        <v>771</v>
      </c>
      <c r="E34" s="3" t="s">
        <v>530</v>
      </c>
      <c r="F34" s="5" t="s">
        <v>772</v>
      </c>
      <c r="G34" s="5" t="s">
        <v>773</v>
      </c>
      <c r="H34" s="5" t="s">
        <v>774</v>
      </c>
      <c r="I34" s="5" t="s">
        <v>775</v>
      </c>
      <c r="J34" s="5" t="s">
        <v>776</v>
      </c>
      <c r="K34" s="5">
        <v>51459990</v>
      </c>
      <c r="L34" s="5" t="s">
        <v>777</v>
      </c>
      <c r="M34" s="5" t="s">
        <v>778</v>
      </c>
      <c r="N34" s="5" t="s">
        <v>779</v>
      </c>
      <c r="O34" s="5" t="s">
        <v>780</v>
      </c>
      <c r="P34" s="5" t="s">
        <v>781</v>
      </c>
    </row>
    <row r="35" spans="1:16" x14ac:dyDescent="0.45">
      <c r="A35" s="1" t="s">
        <v>29</v>
      </c>
      <c r="B35" s="2">
        <v>4122605</v>
      </c>
      <c r="C35" s="3" t="s">
        <v>782</v>
      </c>
      <c r="D35" s="3" t="s">
        <v>783</v>
      </c>
      <c r="E35" s="3" t="s">
        <v>784</v>
      </c>
      <c r="F35" s="5" t="s">
        <v>785</v>
      </c>
      <c r="G35" s="5" t="s">
        <v>786</v>
      </c>
      <c r="H35" s="5" t="s">
        <v>787</v>
      </c>
      <c r="I35" s="5" t="s">
        <v>788</v>
      </c>
      <c r="J35" s="5" t="s">
        <v>789</v>
      </c>
      <c r="K35" s="5" t="s">
        <v>790</v>
      </c>
      <c r="L35" s="5" t="s">
        <v>791</v>
      </c>
      <c r="M35" s="5" t="s">
        <v>792</v>
      </c>
      <c r="N35" s="5" t="s">
        <v>793</v>
      </c>
      <c r="O35" s="5" t="s">
        <v>794</v>
      </c>
      <c r="P35" s="5" t="s">
        <v>795</v>
      </c>
    </row>
    <row r="36" spans="1:16" x14ac:dyDescent="0.45">
      <c r="A36" s="1" t="s">
        <v>30</v>
      </c>
      <c r="B36" s="2">
        <v>4113211</v>
      </c>
      <c r="C36" s="3" t="s">
        <v>796</v>
      </c>
      <c r="D36" s="3" t="s">
        <v>797</v>
      </c>
      <c r="E36" s="3" t="s">
        <v>556</v>
      </c>
      <c r="F36" s="5">
        <v>41609681304</v>
      </c>
      <c r="G36" s="5">
        <v>444568257386</v>
      </c>
      <c r="H36" s="5">
        <v>460668666798</v>
      </c>
      <c r="I36" s="5">
        <v>50589073395</v>
      </c>
      <c r="J36" s="5">
        <v>452481270008</v>
      </c>
      <c r="K36" s="5">
        <v>184222082343</v>
      </c>
      <c r="L36" s="5">
        <v>191592492796</v>
      </c>
      <c r="M36" s="5">
        <v>179530606944</v>
      </c>
      <c r="N36" s="5">
        <v>182533932396</v>
      </c>
      <c r="O36" s="5">
        <v>72904132866</v>
      </c>
      <c r="P36" s="5">
        <v>640125192245</v>
      </c>
    </row>
    <row r="37" spans="1:16" x14ac:dyDescent="0.45">
      <c r="A37" s="1" t="s">
        <v>31</v>
      </c>
      <c r="B37" s="2">
        <v>103317</v>
      </c>
      <c r="C37" s="3" t="s">
        <v>798</v>
      </c>
      <c r="D37" s="3" t="s">
        <v>799</v>
      </c>
      <c r="E37" s="3" t="s">
        <v>800</v>
      </c>
      <c r="F37" s="5" t="s">
        <v>801</v>
      </c>
      <c r="G37" s="5" t="s">
        <v>802</v>
      </c>
      <c r="H37" s="5" t="s">
        <v>803</v>
      </c>
      <c r="I37" s="5" t="s">
        <v>804</v>
      </c>
      <c r="J37" s="5" t="s">
        <v>805</v>
      </c>
      <c r="K37" s="5">
        <v>26253195</v>
      </c>
      <c r="L37" s="5" t="s">
        <v>806</v>
      </c>
      <c r="M37" s="5" t="s">
        <v>807</v>
      </c>
      <c r="N37" s="5" t="s">
        <v>808</v>
      </c>
      <c r="O37" s="5" t="s">
        <v>809</v>
      </c>
      <c r="P37" s="5" t="s">
        <v>810</v>
      </c>
    </row>
    <row r="38" spans="1:16" x14ac:dyDescent="0.45">
      <c r="A38" s="1" t="s">
        <v>32</v>
      </c>
      <c r="B38" s="2">
        <v>4010203</v>
      </c>
      <c r="C38" s="3" t="s">
        <v>811</v>
      </c>
      <c r="D38" s="3" t="s">
        <v>812</v>
      </c>
      <c r="E38" s="3" t="s">
        <v>813</v>
      </c>
      <c r="F38" s="5" t="s">
        <v>814</v>
      </c>
      <c r="G38" s="5">
        <v>18728801</v>
      </c>
      <c r="H38" s="5" t="s">
        <v>815</v>
      </c>
      <c r="I38" s="5" t="s">
        <v>816</v>
      </c>
      <c r="J38" s="5" t="s">
        <v>817</v>
      </c>
      <c r="K38" s="5">
        <v>10419855</v>
      </c>
      <c r="L38" s="5" t="s">
        <v>818</v>
      </c>
      <c r="M38" s="5" t="s">
        <v>819</v>
      </c>
      <c r="N38" s="5" t="s">
        <v>820</v>
      </c>
      <c r="O38" s="5" t="s">
        <v>821</v>
      </c>
      <c r="P38" s="5">
        <v>23479125</v>
      </c>
    </row>
    <row r="39" spans="1:16" x14ac:dyDescent="0.45">
      <c r="A39" s="1" t="s">
        <v>33</v>
      </c>
      <c r="B39" s="2">
        <v>4204256</v>
      </c>
      <c r="C39" s="3" t="s">
        <v>822</v>
      </c>
      <c r="D39" s="3" t="s">
        <v>823</v>
      </c>
      <c r="E39" s="3" t="s">
        <v>757</v>
      </c>
      <c r="F39" s="5" t="s">
        <v>824</v>
      </c>
      <c r="G39" s="5" t="s">
        <v>825</v>
      </c>
      <c r="H39" s="5" t="s">
        <v>826</v>
      </c>
      <c r="I39" s="5" t="s">
        <v>827</v>
      </c>
      <c r="J39" s="5" t="s">
        <v>828</v>
      </c>
      <c r="K39" s="5" t="s">
        <v>829</v>
      </c>
      <c r="L39" s="5">
        <v>76118804587</v>
      </c>
      <c r="M39" s="5">
        <v>52331106036</v>
      </c>
      <c r="N39" s="5">
        <v>5822163096</v>
      </c>
      <c r="O39" s="5">
        <v>53328755569</v>
      </c>
      <c r="P39" s="5">
        <v>4198443216</v>
      </c>
    </row>
    <row r="40" spans="1:16" x14ac:dyDescent="0.45">
      <c r="A40" s="1" t="s">
        <v>34</v>
      </c>
      <c r="B40" s="2">
        <v>4004205</v>
      </c>
      <c r="C40" s="3" t="s">
        <v>830</v>
      </c>
      <c r="D40" s="3" t="s">
        <v>831</v>
      </c>
      <c r="E40" s="3" t="s">
        <v>832</v>
      </c>
      <c r="F40" s="5" t="s">
        <v>833</v>
      </c>
      <c r="G40" s="5">
        <v>326912586</v>
      </c>
      <c r="H40" s="5" t="s">
        <v>834</v>
      </c>
      <c r="I40" s="5" t="s">
        <v>835</v>
      </c>
      <c r="J40" s="5">
        <v>299755708</v>
      </c>
      <c r="K40" s="5" t="s">
        <v>836</v>
      </c>
      <c r="L40" s="5" t="s">
        <v>837</v>
      </c>
      <c r="M40" s="5" t="s">
        <v>838</v>
      </c>
      <c r="N40" s="5" t="s">
        <v>839</v>
      </c>
      <c r="O40" s="5" t="s">
        <v>840</v>
      </c>
      <c r="P40" s="5" t="s">
        <v>841</v>
      </c>
    </row>
    <row r="41" spans="1:16" x14ac:dyDescent="0.45">
      <c r="A41" s="1" t="s">
        <v>35</v>
      </c>
      <c r="B41" s="2">
        <v>4073928</v>
      </c>
      <c r="C41" s="3" t="s">
        <v>842</v>
      </c>
      <c r="D41" s="3" t="s">
        <v>843</v>
      </c>
      <c r="E41" s="3" t="s">
        <v>844</v>
      </c>
      <c r="F41" s="5" t="s">
        <v>845</v>
      </c>
      <c r="G41" s="5">
        <v>31793916</v>
      </c>
      <c r="H41" s="5" t="s">
        <v>846</v>
      </c>
      <c r="I41" s="5" t="s">
        <v>847</v>
      </c>
      <c r="J41" s="5">
        <v>22333460</v>
      </c>
      <c r="K41" s="5" t="s">
        <v>848</v>
      </c>
      <c r="L41" s="5" t="s">
        <v>849</v>
      </c>
      <c r="M41" s="5" t="s">
        <v>850</v>
      </c>
      <c r="N41" s="5" t="s">
        <v>851</v>
      </c>
      <c r="O41" s="5">
        <v>13327179</v>
      </c>
      <c r="P41" s="5" t="s">
        <v>852</v>
      </c>
    </row>
    <row r="42" spans="1:16" x14ac:dyDescent="0.45">
      <c r="A42" s="1" t="s">
        <v>36</v>
      </c>
      <c r="B42" s="2">
        <v>4306801</v>
      </c>
      <c r="C42" s="3" t="s">
        <v>853</v>
      </c>
      <c r="D42" s="3" t="s">
        <v>854</v>
      </c>
      <c r="E42" s="3" t="s">
        <v>855</v>
      </c>
      <c r="F42" s="5" t="s">
        <v>856</v>
      </c>
      <c r="G42" s="5" t="s">
        <v>857</v>
      </c>
      <c r="H42" s="5" t="s">
        <v>858</v>
      </c>
      <c r="I42" s="5" t="s">
        <v>859</v>
      </c>
      <c r="J42" s="5" t="s">
        <v>860</v>
      </c>
      <c r="K42" s="5">
        <v>14324235</v>
      </c>
      <c r="L42" s="5" t="s">
        <v>861</v>
      </c>
      <c r="M42" s="5">
        <v>10900032</v>
      </c>
      <c r="N42" s="5" t="s">
        <v>862</v>
      </c>
      <c r="O42" s="5" t="s">
        <v>863</v>
      </c>
      <c r="P42" s="5" t="s">
        <v>864</v>
      </c>
    </row>
    <row r="43" spans="1:16" x14ac:dyDescent="0.45">
      <c r="A43" s="1" t="s">
        <v>37</v>
      </c>
      <c r="B43" s="2">
        <v>103577</v>
      </c>
      <c r="C43" s="3" t="s">
        <v>865</v>
      </c>
      <c r="D43" s="3" t="s">
        <v>866</v>
      </c>
      <c r="E43" s="3" t="s">
        <v>718</v>
      </c>
      <c r="F43" s="5" t="s">
        <v>867</v>
      </c>
      <c r="G43" s="5" t="s">
        <v>868</v>
      </c>
      <c r="H43" s="5" t="s">
        <v>869</v>
      </c>
      <c r="I43" s="5">
        <v>44904243</v>
      </c>
      <c r="J43" s="5">
        <v>396572609385</v>
      </c>
      <c r="K43" s="5">
        <v>353832777975</v>
      </c>
      <c r="L43" s="5">
        <v>337596451871</v>
      </c>
      <c r="M43" s="5">
        <v>281394885486</v>
      </c>
      <c r="N43" s="5">
        <v>266926207824</v>
      </c>
      <c r="O43" s="5">
        <v>278241988557</v>
      </c>
      <c r="P43" s="5">
        <v>2130517071825</v>
      </c>
    </row>
    <row r="44" spans="1:16" x14ac:dyDescent="0.45">
      <c r="A44" s="1" t="s">
        <v>38</v>
      </c>
      <c r="B44" s="2">
        <v>4044801</v>
      </c>
      <c r="C44" s="3" t="s">
        <v>870</v>
      </c>
      <c r="D44" s="3" t="s">
        <v>871</v>
      </c>
      <c r="E44" s="3" t="s">
        <v>872</v>
      </c>
      <c r="F44" s="5" t="s">
        <v>873</v>
      </c>
      <c r="G44" s="5" t="s">
        <v>874</v>
      </c>
      <c r="H44" s="5" t="s">
        <v>875</v>
      </c>
      <c r="I44" s="5" t="s">
        <v>876</v>
      </c>
      <c r="J44" s="5" t="s">
        <v>877</v>
      </c>
      <c r="K44" s="5" t="s">
        <v>878</v>
      </c>
      <c r="L44" s="5" t="s">
        <v>879</v>
      </c>
      <c r="M44" s="5" t="s">
        <v>880</v>
      </c>
      <c r="N44" s="5" t="s">
        <v>881</v>
      </c>
      <c r="O44" s="5" t="s">
        <v>882</v>
      </c>
      <c r="P44" s="5" t="s">
        <v>883</v>
      </c>
    </row>
    <row r="45" spans="1:16" x14ac:dyDescent="0.45">
      <c r="A45" s="1" t="s">
        <v>39</v>
      </c>
      <c r="B45" s="2">
        <v>4438507</v>
      </c>
      <c r="C45" s="3" t="s">
        <v>884</v>
      </c>
      <c r="D45" s="3" t="s">
        <v>885</v>
      </c>
      <c r="E45" s="3" t="s">
        <v>757</v>
      </c>
      <c r="F45" s="5">
        <v>243870403773</v>
      </c>
      <c r="G45" s="5">
        <v>240357530972</v>
      </c>
      <c r="H45" s="5" t="s">
        <v>886</v>
      </c>
      <c r="I45" s="5">
        <v>205880564523</v>
      </c>
      <c r="J45" s="5">
        <v>189974207052</v>
      </c>
      <c r="K45" s="5" t="s">
        <v>887</v>
      </c>
      <c r="L45" s="5">
        <v>107058500556</v>
      </c>
      <c r="M45" s="5">
        <v>88691079928</v>
      </c>
      <c r="N45" s="5">
        <v>71317011216</v>
      </c>
      <c r="O45" s="5">
        <v>55224861776</v>
      </c>
      <c r="P45" s="5">
        <v>3978936416</v>
      </c>
    </row>
    <row r="46" spans="1:16" x14ac:dyDescent="0.45">
      <c r="A46" s="1" t="s">
        <v>40</v>
      </c>
      <c r="B46" s="2">
        <v>4970981</v>
      </c>
      <c r="C46" s="3" t="s">
        <v>888</v>
      </c>
      <c r="D46" s="3" t="s">
        <v>889</v>
      </c>
      <c r="E46" s="3" t="s">
        <v>890</v>
      </c>
      <c r="F46" s="5" t="s">
        <v>891</v>
      </c>
      <c r="G46" s="5" t="s">
        <v>892</v>
      </c>
      <c r="H46" s="5">
        <v>90077676845</v>
      </c>
      <c r="I46" s="5">
        <v>6339751137</v>
      </c>
      <c r="J46" s="5">
        <v>50422834197</v>
      </c>
      <c r="K46" s="5">
        <v>38740662825</v>
      </c>
      <c r="L46" s="5">
        <v>3729511919</v>
      </c>
      <c r="M46" s="5">
        <v>26918039522</v>
      </c>
      <c r="N46" s="5">
        <v>2049404208</v>
      </c>
      <c r="O46" s="5">
        <v>16378883311</v>
      </c>
      <c r="P46" s="5">
        <v>10679687175</v>
      </c>
    </row>
    <row r="47" spans="1:16" x14ac:dyDescent="0.45">
      <c r="A47" s="1" t="s">
        <v>41</v>
      </c>
      <c r="B47" s="2">
        <v>103437</v>
      </c>
      <c r="C47" s="3" t="s">
        <v>893</v>
      </c>
      <c r="D47" s="3" t="s">
        <v>894</v>
      </c>
      <c r="E47" s="3" t="s">
        <v>800</v>
      </c>
      <c r="F47" s="5" t="s">
        <v>895</v>
      </c>
      <c r="G47" s="5" t="s">
        <v>896</v>
      </c>
      <c r="H47" s="5" t="s">
        <v>897</v>
      </c>
      <c r="I47" s="5" t="s">
        <v>898</v>
      </c>
      <c r="J47" s="5" t="s">
        <v>899</v>
      </c>
      <c r="K47" s="5" t="s">
        <v>900</v>
      </c>
      <c r="L47" s="5" t="s">
        <v>901</v>
      </c>
      <c r="M47" s="5" t="s">
        <v>902</v>
      </c>
      <c r="N47" s="5" t="s">
        <v>903</v>
      </c>
      <c r="O47" s="5" t="s">
        <v>904</v>
      </c>
      <c r="P47" s="5">
        <v>10045842875</v>
      </c>
    </row>
    <row r="48" spans="1:16" x14ac:dyDescent="0.45">
      <c r="A48" s="1" t="s">
        <v>42</v>
      </c>
      <c r="B48" s="2">
        <v>4090153</v>
      </c>
      <c r="C48" s="3" t="s">
        <v>905</v>
      </c>
      <c r="D48" s="3" t="s">
        <v>906</v>
      </c>
      <c r="E48" s="3" t="s">
        <v>718</v>
      </c>
      <c r="F48" s="5" t="s">
        <v>907</v>
      </c>
      <c r="G48" s="5" t="s">
        <v>908</v>
      </c>
      <c r="H48" s="5" t="s">
        <v>909</v>
      </c>
      <c r="I48" s="5" t="s">
        <v>910</v>
      </c>
      <c r="J48" s="5" t="s">
        <v>911</v>
      </c>
      <c r="K48" s="5" t="s">
        <v>912</v>
      </c>
      <c r="L48" s="5" t="s">
        <v>913</v>
      </c>
      <c r="M48" s="5" t="s">
        <v>914</v>
      </c>
      <c r="N48" s="5" t="s">
        <v>915</v>
      </c>
      <c r="O48" s="5" t="s">
        <v>916</v>
      </c>
      <c r="P48" s="5">
        <v>276560171415</v>
      </c>
    </row>
    <row r="49" spans="1:16" x14ac:dyDescent="0.45">
      <c r="A49" s="1" t="s">
        <v>43</v>
      </c>
      <c r="B49" s="2">
        <v>4024242</v>
      </c>
      <c r="C49" s="3" t="s">
        <v>917</v>
      </c>
      <c r="D49" s="3" t="s">
        <v>918</v>
      </c>
      <c r="E49" s="3" t="s">
        <v>919</v>
      </c>
      <c r="F49" s="5" t="s">
        <v>920</v>
      </c>
      <c r="G49" s="5" t="s">
        <v>921</v>
      </c>
      <c r="H49" s="5">
        <v>368267182</v>
      </c>
      <c r="I49" s="5" t="s">
        <v>922</v>
      </c>
      <c r="J49" s="5" t="s">
        <v>923</v>
      </c>
      <c r="K49" s="5" t="s">
        <v>924</v>
      </c>
      <c r="L49" s="5" t="s">
        <v>925</v>
      </c>
      <c r="M49" s="5" t="s">
        <v>926</v>
      </c>
      <c r="N49" s="5" t="s">
        <v>927</v>
      </c>
      <c r="O49" s="5" t="s">
        <v>928</v>
      </c>
      <c r="P49" s="5">
        <v>370760244</v>
      </c>
    </row>
    <row r="50" spans="1:16" x14ac:dyDescent="0.45">
      <c r="A50" s="1" t="s">
        <v>44</v>
      </c>
      <c r="B50" s="2">
        <v>4057157</v>
      </c>
      <c r="C50" s="3" t="s">
        <v>929</v>
      </c>
      <c r="D50" s="3" t="s">
        <v>930</v>
      </c>
      <c r="E50" s="3" t="s">
        <v>931</v>
      </c>
      <c r="F50" s="5">
        <v>240770676006</v>
      </c>
      <c r="G50" s="5">
        <v>22589357319</v>
      </c>
      <c r="H50" s="5">
        <v>212740313664</v>
      </c>
      <c r="I50" s="5">
        <v>226324101822</v>
      </c>
      <c r="J50" s="5">
        <v>169183535736</v>
      </c>
      <c r="K50" s="5">
        <v>130797516512</v>
      </c>
      <c r="L50" s="5">
        <v>122594433849</v>
      </c>
      <c r="M50" s="5">
        <v>102203279259</v>
      </c>
      <c r="N50" s="5">
        <v>90952331756</v>
      </c>
      <c r="O50" s="5">
        <v>890618739885</v>
      </c>
      <c r="P50" s="5">
        <v>81317182656</v>
      </c>
    </row>
    <row r="51" spans="1:16" x14ac:dyDescent="0.45">
      <c r="A51" s="1" t="s">
        <v>45</v>
      </c>
      <c r="B51" s="2">
        <v>4208149</v>
      </c>
      <c r="C51" s="3" t="s">
        <v>932</v>
      </c>
      <c r="D51" s="3" t="s">
        <v>933</v>
      </c>
      <c r="E51" s="3" t="s">
        <v>547</v>
      </c>
      <c r="F51" s="5" t="s">
        <v>934</v>
      </c>
      <c r="G51" s="5" t="s">
        <v>935</v>
      </c>
      <c r="H51" s="5" t="s">
        <v>936</v>
      </c>
      <c r="I51" s="5" t="s">
        <v>937</v>
      </c>
      <c r="J51" s="5" t="s">
        <v>938</v>
      </c>
      <c r="K51" s="5" t="s">
        <v>939</v>
      </c>
      <c r="L51" s="5" t="s">
        <v>940</v>
      </c>
      <c r="M51" s="5" t="s">
        <v>941</v>
      </c>
      <c r="N51" s="5" t="s">
        <v>942</v>
      </c>
      <c r="O51" s="5">
        <v>5096964495</v>
      </c>
      <c r="P51" s="5">
        <v>4348766775</v>
      </c>
    </row>
    <row r="52" spans="1:16" x14ac:dyDescent="0.45">
      <c r="A52" s="1" t="s">
        <v>46</v>
      </c>
      <c r="B52" s="2">
        <v>1031164</v>
      </c>
      <c r="C52" s="3" t="s">
        <v>943</v>
      </c>
      <c r="D52" s="3" t="s">
        <v>944</v>
      </c>
      <c r="E52" s="3" t="s">
        <v>945</v>
      </c>
      <c r="F52" s="5" t="s">
        <v>946</v>
      </c>
      <c r="G52" s="5" t="s">
        <v>947</v>
      </c>
      <c r="H52" s="5">
        <v>46689436</v>
      </c>
      <c r="I52" s="5" t="s">
        <v>948</v>
      </c>
      <c r="J52" s="5" t="s">
        <v>949</v>
      </c>
      <c r="K52" s="5" t="s">
        <v>950</v>
      </c>
      <c r="L52" s="5" t="s">
        <v>951</v>
      </c>
      <c r="M52" s="5" t="s">
        <v>952</v>
      </c>
      <c r="N52" s="5">
        <v>32588270</v>
      </c>
      <c r="O52" s="5" t="s">
        <v>953</v>
      </c>
      <c r="P52" s="5">
        <v>29724951375</v>
      </c>
    </row>
    <row r="53" spans="1:16" x14ac:dyDescent="0.45">
      <c r="A53" s="1" t="s">
        <v>47</v>
      </c>
      <c r="B53" s="2">
        <v>4344582</v>
      </c>
      <c r="C53" s="3" t="s">
        <v>954</v>
      </c>
      <c r="D53" s="3" t="s">
        <v>955</v>
      </c>
      <c r="E53" s="3" t="s">
        <v>956</v>
      </c>
      <c r="F53" s="5">
        <v>165468664876</v>
      </c>
      <c r="G53" s="5">
        <v>155293080058</v>
      </c>
      <c r="H53" s="5">
        <v>148380919596</v>
      </c>
      <c r="I53" s="5">
        <v>152826805215</v>
      </c>
      <c r="J53" s="5">
        <v>123111883719</v>
      </c>
      <c r="K53" s="5">
        <v>121261491904</v>
      </c>
      <c r="L53" s="5">
        <v>89973640996</v>
      </c>
      <c r="M53" s="5" t="s">
        <v>957</v>
      </c>
      <c r="N53" s="5">
        <v>7796735602</v>
      </c>
      <c r="O53" s="5">
        <v>763962078145</v>
      </c>
      <c r="P53" s="5">
        <v>721473666705</v>
      </c>
    </row>
    <row r="54" spans="1:16" x14ac:dyDescent="0.45">
      <c r="A54" s="1" t="s">
        <v>48</v>
      </c>
      <c r="B54" s="2">
        <v>103145</v>
      </c>
      <c r="C54" s="3" t="s">
        <v>958</v>
      </c>
      <c r="D54" s="3" t="s">
        <v>959</v>
      </c>
      <c r="E54" s="3" t="s">
        <v>960</v>
      </c>
      <c r="F54" s="5">
        <v>189010430829</v>
      </c>
      <c r="G54" s="5">
        <v>202846118683</v>
      </c>
      <c r="H54" s="5">
        <v>187075802058</v>
      </c>
      <c r="I54" s="5">
        <v>191423297748</v>
      </c>
      <c r="J54" s="5">
        <v>174998426688</v>
      </c>
      <c r="K54" s="5" t="s">
        <v>961</v>
      </c>
      <c r="L54" s="5">
        <v>170387685461</v>
      </c>
      <c r="M54" s="5" t="s">
        <v>962</v>
      </c>
      <c r="N54" s="5">
        <v>153358629288</v>
      </c>
      <c r="O54" s="5">
        <v>169256658183</v>
      </c>
      <c r="P54" s="5">
        <v>1558949907875</v>
      </c>
    </row>
    <row r="55" spans="1:16" x14ac:dyDescent="0.45">
      <c r="A55" s="1" t="s">
        <v>49</v>
      </c>
      <c r="B55" s="2">
        <v>3001622</v>
      </c>
      <c r="C55" s="3" t="s">
        <v>963</v>
      </c>
      <c r="D55" s="3" t="s">
        <v>964</v>
      </c>
      <c r="E55" s="3" t="s">
        <v>677</v>
      </c>
      <c r="F55" s="5" t="s">
        <v>965</v>
      </c>
      <c r="G55" s="5" t="s">
        <v>966</v>
      </c>
      <c r="H55" s="5" t="s">
        <v>967</v>
      </c>
      <c r="I55" s="5" t="s">
        <v>968</v>
      </c>
      <c r="J55" s="5" t="s">
        <v>969</v>
      </c>
      <c r="K55" s="5" t="s">
        <v>970</v>
      </c>
      <c r="L55" s="5" t="s">
        <v>971</v>
      </c>
      <c r="M55" s="5">
        <v>4523064</v>
      </c>
      <c r="N55" s="5" t="s">
        <v>972</v>
      </c>
      <c r="O55" s="5" t="s">
        <v>973</v>
      </c>
      <c r="P55" s="5">
        <v>3805277535</v>
      </c>
    </row>
    <row r="56" spans="1:16" x14ac:dyDescent="0.45">
      <c r="A56" s="1" t="s">
        <v>50</v>
      </c>
      <c r="B56" s="2">
        <v>4142027</v>
      </c>
      <c r="C56" s="3" t="s">
        <v>974</v>
      </c>
      <c r="D56" s="3" t="s">
        <v>975</v>
      </c>
      <c r="E56" s="3" t="s">
        <v>976</v>
      </c>
      <c r="F56" s="5">
        <v>59621665821</v>
      </c>
      <c r="G56" s="5">
        <v>43220045492</v>
      </c>
      <c r="H56" s="5">
        <v>30842797178</v>
      </c>
      <c r="I56" s="5">
        <v>26685172158</v>
      </c>
      <c r="J56" s="5">
        <v>1484443053</v>
      </c>
      <c r="K56" s="5">
        <v>11289863025</v>
      </c>
      <c r="L56" s="5">
        <v>7535489129</v>
      </c>
      <c r="M56" s="5">
        <v>628446236</v>
      </c>
      <c r="N56" s="5">
        <v>2815796736</v>
      </c>
      <c r="O56" s="5">
        <v>2635038099</v>
      </c>
      <c r="P56" s="5">
        <v>21166293075</v>
      </c>
    </row>
    <row r="57" spans="1:16" x14ac:dyDescent="0.45">
      <c r="A57" s="1" t="s">
        <v>51</v>
      </c>
      <c r="B57" s="2">
        <v>6893503</v>
      </c>
      <c r="C57" s="3" t="s">
        <v>977</v>
      </c>
      <c r="D57" s="3" t="s">
        <v>978</v>
      </c>
      <c r="E57" s="3" t="s">
        <v>979</v>
      </c>
      <c r="F57" s="5" t="s">
        <v>980</v>
      </c>
      <c r="G57" s="5" t="s">
        <v>981</v>
      </c>
      <c r="H57" s="5" t="s">
        <v>982</v>
      </c>
      <c r="I57" s="5" t="s">
        <v>983</v>
      </c>
      <c r="J57" s="5" t="s">
        <v>984</v>
      </c>
      <c r="K57" s="5" t="s">
        <v>985</v>
      </c>
      <c r="L57" s="5" t="s">
        <v>986</v>
      </c>
      <c r="M57" s="5" t="s">
        <v>987</v>
      </c>
      <c r="N57" s="5">
        <v>47053200</v>
      </c>
      <c r="O57" s="5" t="s">
        <v>988</v>
      </c>
      <c r="P57" s="5" t="s">
        <v>989</v>
      </c>
    </row>
    <row r="58" spans="1:16" x14ac:dyDescent="0.45">
      <c r="A58" s="1" t="s">
        <v>52</v>
      </c>
      <c r="B58" s="2">
        <v>4014079</v>
      </c>
      <c r="C58" s="3" t="s">
        <v>990</v>
      </c>
      <c r="D58" s="3" t="s">
        <v>991</v>
      </c>
      <c r="E58" s="3" t="s">
        <v>992</v>
      </c>
      <c r="F58" s="5" t="s">
        <v>993</v>
      </c>
      <c r="G58" s="5" t="s">
        <v>994</v>
      </c>
      <c r="H58" s="5" t="s">
        <v>995</v>
      </c>
      <c r="I58" s="5" t="s">
        <v>996</v>
      </c>
      <c r="J58" s="5" t="s">
        <v>997</v>
      </c>
      <c r="K58" s="5">
        <v>14921010</v>
      </c>
      <c r="L58" s="5">
        <v>15469496</v>
      </c>
      <c r="M58" s="5" t="s">
        <v>998</v>
      </c>
      <c r="N58" s="5" t="s">
        <v>999</v>
      </c>
      <c r="O58" s="5" t="s">
        <v>1000</v>
      </c>
      <c r="P58" s="5" t="s">
        <v>1001</v>
      </c>
    </row>
    <row r="59" spans="1:16" x14ac:dyDescent="0.45">
      <c r="A59" s="1" t="s">
        <v>53</v>
      </c>
      <c r="B59" s="2">
        <v>100369</v>
      </c>
      <c r="C59" s="3" t="s">
        <v>1002</v>
      </c>
      <c r="D59" s="3" t="s">
        <v>1003</v>
      </c>
      <c r="E59" s="3" t="s">
        <v>1004</v>
      </c>
      <c r="F59" s="5" t="s">
        <v>1005</v>
      </c>
      <c r="G59" s="5" t="s">
        <v>1006</v>
      </c>
      <c r="H59" s="5" t="s">
        <v>1007</v>
      </c>
      <c r="I59" s="5" t="s">
        <v>1008</v>
      </c>
      <c r="J59" s="5" t="s">
        <v>1009</v>
      </c>
      <c r="K59" s="5" t="s">
        <v>1010</v>
      </c>
      <c r="L59" s="5" t="s">
        <v>1011</v>
      </c>
      <c r="M59" s="5" t="s">
        <v>1012</v>
      </c>
      <c r="N59" s="5" t="s">
        <v>1013</v>
      </c>
      <c r="O59" s="5" t="s">
        <v>1014</v>
      </c>
      <c r="P59" s="5" t="s">
        <v>1015</v>
      </c>
    </row>
    <row r="60" spans="1:16" x14ac:dyDescent="0.45">
      <c r="A60" s="1" t="s">
        <v>54</v>
      </c>
      <c r="B60" s="2">
        <v>4081442</v>
      </c>
      <c r="C60" s="3" t="s">
        <v>1016</v>
      </c>
      <c r="D60" s="3" t="s">
        <v>1017</v>
      </c>
      <c r="E60" s="3" t="s">
        <v>518</v>
      </c>
      <c r="F60" s="5" t="s">
        <v>1018</v>
      </c>
      <c r="G60" s="5" t="s">
        <v>1019</v>
      </c>
      <c r="H60" s="5" t="s">
        <v>1020</v>
      </c>
      <c r="I60" s="5" t="s">
        <v>1021</v>
      </c>
      <c r="J60" s="5" t="s">
        <v>1022</v>
      </c>
      <c r="K60" s="5" t="s">
        <v>1023</v>
      </c>
      <c r="L60" s="5" t="s">
        <v>1024</v>
      </c>
      <c r="M60" s="5">
        <v>13729848</v>
      </c>
      <c r="N60" s="5" t="s">
        <v>1025</v>
      </c>
      <c r="O60" s="5" t="s">
        <v>1026</v>
      </c>
      <c r="P60" s="5" t="s">
        <v>1027</v>
      </c>
    </row>
    <row r="61" spans="1:16" x14ac:dyDescent="0.45">
      <c r="A61" s="1" t="s">
        <v>55</v>
      </c>
      <c r="B61" s="2">
        <v>4133271</v>
      </c>
      <c r="C61" s="3" t="s">
        <v>1028</v>
      </c>
      <c r="D61" s="3" t="s">
        <v>1029</v>
      </c>
      <c r="E61" s="3" t="s">
        <v>518</v>
      </c>
      <c r="F61" s="5" t="s">
        <v>1030</v>
      </c>
      <c r="G61" s="5" t="s">
        <v>1031</v>
      </c>
      <c r="H61" s="5">
        <v>49866544</v>
      </c>
      <c r="I61" s="5" t="s">
        <v>1032</v>
      </c>
      <c r="J61" s="5" t="s">
        <v>1033</v>
      </c>
      <c r="K61" s="5" t="s">
        <v>1034</v>
      </c>
      <c r="L61" s="5" t="s">
        <v>1035</v>
      </c>
      <c r="M61" s="5" t="s">
        <v>1036</v>
      </c>
      <c r="N61" s="5" t="s">
        <v>1037</v>
      </c>
      <c r="O61" s="5" t="s">
        <v>1038</v>
      </c>
      <c r="P61" s="5" t="s">
        <v>1039</v>
      </c>
    </row>
    <row r="62" spans="1:16" x14ac:dyDescent="0.45">
      <c r="A62" s="1" t="s">
        <v>56</v>
      </c>
      <c r="B62" s="2">
        <v>103462</v>
      </c>
      <c r="C62" s="3" t="s">
        <v>1040</v>
      </c>
      <c r="D62" s="3" t="s">
        <v>1041</v>
      </c>
      <c r="E62" s="3" t="s">
        <v>1042</v>
      </c>
      <c r="F62" s="5" t="s">
        <v>1043</v>
      </c>
      <c r="G62" s="5" t="s">
        <v>1044</v>
      </c>
      <c r="H62" s="5" t="s">
        <v>1045</v>
      </c>
      <c r="I62" s="5" t="s">
        <v>1046</v>
      </c>
      <c r="J62" s="5" t="s">
        <v>1047</v>
      </c>
      <c r="K62" s="5" t="s">
        <v>1048</v>
      </c>
      <c r="L62" s="5" t="s">
        <v>1049</v>
      </c>
      <c r="M62" s="5" t="s">
        <v>1050</v>
      </c>
      <c r="N62" s="5">
        <v>584704716</v>
      </c>
      <c r="O62" s="5" t="s">
        <v>1051</v>
      </c>
      <c r="P62" s="5" t="s">
        <v>1052</v>
      </c>
    </row>
    <row r="63" spans="1:16" x14ac:dyDescent="0.45">
      <c r="A63" s="1" t="s">
        <v>57</v>
      </c>
      <c r="B63" s="2">
        <v>4095864</v>
      </c>
      <c r="C63" s="3" t="s">
        <v>1053</v>
      </c>
      <c r="D63" s="3" t="s">
        <v>1054</v>
      </c>
      <c r="E63" s="3" t="s">
        <v>1055</v>
      </c>
      <c r="F63" s="5" t="s">
        <v>1056</v>
      </c>
      <c r="G63" s="5" t="s">
        <v>1057</v>
      </c>
      <c r="H63" s="5" t="s">
        <v>1058</v>
      </c>
      <c r="I63" s="5" t="s">
        <v>1059</v>
      </c>
      <c r="J63" s="5" t="s">
        <v>1060</v>
      </c>
      <c r="K63" s="5">
        <v>14063082</v>
      </c>
      <c r="L63" s="5" t="s">
        <v>1061</v>
      </c>
      <c r="M63" s="5" t="s">
        <v>1062</v>
      </c>
      <c r="N63" s="5" t="s">
        <v>1063</v>
      </c>
      <c r="O63" s="5" t="s">
        <v>1064</v>
      </c>
      <c r="P63" s="5" t="s">
        <v>1065</v>
      </c>
    </row>
    <row r="64" spans="1:16" x14ac:dyDescent="0.45">
      <c r="A64" s="1" t="s">
        <v>58</v>
      </c>
      <c r="B64" s="2">
        <v>4810610</v>
      </c>
      <c r="C64" s="3" t="s">
        <v>1066</v>
      </c>
      <c r="D64" s="3" t="s">
        <v>1067</v>
      </c>
      <c r="E64" s="3" t="s">
        <v>578</v>
      </c>
      <c r="F64" s="5">
        <v>2178024602</v>
      </c>
      <c r="G64" s="5">
        <v>25235190711</v>
      </c>
      <c r="H64" s="5">
        <v>2417041872</v>
      </c>
      <c r="I64" s="5">
        <v>2195210463</v>
      </c>
      <c r="J64" s="5">
        <v>19085779338</v>
      </c>
      <c r="K64" s="5">
        <v>18017155854</v>
      </c>
      <c r="L64" s="5">
        <v>1656019508</v>
      </c>
      <c r="M64" s="5">
        <v>13655334342</v>
      </c>
      <c r="N64" s="5">
        <v>13657789535</v>
      </c>
      <c r="O64" s="5">
        <v>101713121145</v>
      </c>
      <c r="P64" s="5" t="s">
        <v>1068</v>
      </c>
    </row>
    <row r="65" spans="1:16" x14ac:dyDescent="0.45">
      <c r="A65" s="1" t="s">
        <v>59</v>
      </c>
      <c r="B65" s="2">
        <v>4152157</v>
      </c>
      <c r="C65" s="3" t="s">
        <v>1069</v>
      </c>
      <c r="D65" s="3" t="s">
        <v>1070</v>
      </c>
      <c r="E65" s="3" t="s">
        <v>530</v>
      </c>
      <c r="F65" s="5" t="s">
        <v>1071</v>
      </c>
      <c r="G65" s="5" t="s">
        <v>1072</v>
      </c>
      <c r="H65" s="5" t="s">
        <v>1073</v>
      </c>
      <c r="I65" s="5" t="s">
        <v>1074</v>
      </c>
      <c r="J65" s="5" t="s">
        <v>1075</v>
      </c>
      <c r="K65" s="5" t="s">
        <v>1076</v>
      </c>
      <c r="L65" s="5" t="s">
        <v>1077</v>
      </c>
      <c r="M65" s="5" t="s">
        <v>1078</v>
      </c>
      <c r="N65" s="5" t="s">
        <v>1079</v>
      </c>
      <c r="O65" s="5" t="s">
        <v>1080</v>
      </c>
      <c r="P65" s="5" t="s">
        <v>1081</v>
      </c>
    </row>
    <row r="66" spans="1:16" x14ac:dyDescent="0.45">
      <c r="A66" s="1" t="s">
        <v>60</v>
      </c>
      <c r="B66" s="2">
        <v>4048287</v>
      </c>
      <c r="C66" s="3" t="s">
        <v>1082</v>
      </c>
      <c r="D66" s="3" t="s">
        <v>1083</v>
      </c>
      <c r="E66" s="3" t="s">
        <v>757</v>
      </c>
      <c r="F66" s="5" t="s">
        <v>1084</v>
      </c>
      <c r="G66" s="5" t="s">
        <v>1085</v>
      </c>
      <c r="H66" s="5" t="s">
        <v>1086</v>
      </c>
      <c r="I66" s="5" t="s">
        <v>1087</v>
      </c>
      <c r="J66" s="5" t="s">
        <v>1088</v>
      </c>
      <c r="K66" s="5">
        <v>144682785</v>
      </c>
      <c r="L66" s="5" t="s">
        <v>1089</v>
      </c>
      <c r="M66" s="5" t="s">
        <v>1090</v>
      </c>
      <c r="N66" s="5" t="s">
        <v>1091</v>
      </c>
      <c r="O66" s="5" t="s">
        <v>1092</v>
      </c>
      <c r="P66" s="5" t="s">
        <v>1093</v>
      </c>
    </row>
    <row r="67" spans="1:16" x14ac:dyDescent="0.45">
      <c r="A67" s="1" t="s">
        <v>61</v>
      </c>
      <c r="B67" s="2">
        <v>4157397</v>
      </c>
      <c r="C67" s="3" t="s">
        <v>1094</v>
      </c>
      <c r="D67" s="3" t="s">
        <v>1095</v>
      </c>
      <c r="E67" s="3" t="s">
        <v>757</v>
      </c>
      <c r="F67" s="5">
        <v>406337340075</v>
      </c>
      <c r="G67" s="5">
        <v>419875522625</v>
      </c>
      <c r="H67" s="5">
        <v>36448128391</v>
      </c>
      <c r="I67" s="5">
        <v>397899192039</v>
      </c>
      <c r="J67" s="5">
        <v>362240015544</v>
      </c>
      <c r="K67" s="5" t="s">
        <v>1096</v>
      </c>
      <c r="L67" s="5">
        <v>290369443966</v>
      </c>
      <c r="M67" s="5" t="s">
        <v>1097</v>
      </c>
      <c r="N67" s="5">
        <v>286615773432</v>
      </c>
      <c r="O67" s="5">
        <v>250118811401</v>
      </c>
      <c r="P67" s="5" t="s">
        <v>1098</v>
      </c>
    </row>
    <row r="68" spans="1:16" x14ac:dyDescent="0.45">
      <c r="A68" s="1" t="s">
        <v>62</v>
      </c>
      <c r="B68" s="2">
        <v>4340737</v>
      </c>
      <c r="C68" s="3" t="s">
        <v>1099</v>
      </c>
      <c r="D68" s="3" t="s">
        <v>1100</v>
      </c>
      <c r="E68" s="3" t="s">
        <v>705</v>
      </c>
      <c r="F68" s="5">
        <v>336846387579</v>
      </c>
      <c r="G68" s="5">
        <v>355234790105</v>
      </c>
      <c r="H68" s="5">
        <v>298834243476</v>
      </c>
      <c r="I68" s="5">
        <v>29347612938</v>
      </c>
      <c r="J68" s="5">
        <v>13212678348</v>
      </c>
      <c r="K68" s="5">
        <v>8068357125</v>
      </c>
      <c r="L68" s="5">
        <v>40556260038</v>
      </c>
      <c r="M68" s="5">
        <v>28656454882</v>
      </c>
      <c r="N68" s="5">
        <v>1821558456</v>
      </c>
      <c r="O68" s="5">
        <v>11475232226</v>
      </c>
      <c r="P68" s="5">
        <v>823861319</v>
      </c>
    </row>
    <row r="69" spans="1:16" x14ac:dyDescent="0.45">
      <c r="A69" s="1" t="s">
        <v>63</v>
      </c>
      <c r="B69" s="2">
        <v>4122589</v>
      </c>
      <c r="C69" s="3" t="s">
        <v>1101</v>
      </c>
      <c r="D69" s="3" t="s">
        <v>1102</v>
      </c>
      <c r="E69" s="3" t="s">
        <v>1103</v>
      </c>
      <c r="F69" s="5" t="s">
        <v>1104</v>
      </c>
      <c r="G69" s="5" t="s">
        <v>1105</v>
      </c>
      <c r="H69" s="5" t="s">
        <v>1106</v>
      </c>
      <c r="I69" s="5" t="s">
        <v>1107</v>
      </c>
      <c r="J69" s="5" t="s">
        <v>1108</v>
      </c>
      <c r="K69" s="5">
        <v>17881995</v>
      </c>
      <c r="L69" s="5" t="s">
        <v>1109</v>
      </c>
      <c r="M69" s="5" t="s">
        <v>1110</v>
      </c>
      <c r="N69" s="5" t="s">
        <v>1111</v>
      </c>
      <c r="O69" s="5">
        <v>187934591229</v>
      </c>
      <c r="P69" s="5">
        <v>1603999443125</v>
      </c>
    </row>
    <row r="70" spans="1:16" x14ac:dyDescent="0.45">
      <c r="A70" s="1" t="s">
        <v>64</v>
      </c>
      <c r="B70" s="2">
        <v>4810597</v>
      </c>
      <c r="C70" s="3" t="s">
        <v>1112</v>
      </c>
      <c r="D70" s="3" t="s">
        <v>1113</v>
      </c>
      <c r="E70" s="3" t="s">
        <v>518</v>
      </c>
      <c r="F70" s="5" t="s">
        <v>1114</v>
      </c>
      <c r="G70" s="5" t="s">
        <v>1115</v>
      </c>
      <c r="H70" s="5" t="s">
        <v>1116</v>
      </c>
      <c r="I70" s="5" t="s">
        <v>1117</v>
      </c>
      <c r="J70" s="5" t="s">
        <v>1118</v>
      </c>
      <c r="K70" s="5" t="s">
        <v>1119</v>
      </c>
      <c r="L70" s="5" t="s">
        <v>1120</v>
      </c>
      <c r="M70" s="5" t="s">
        <v>1121</v>
      </c>
      <c r="N70" s="5" t="s">
        <v>1122</v>
      </c>
      <c r="O70" s="5" t="s">
        <v>1123</v>
      </c>
      <c r="P70" s="5" t="s">
        <v>1124</v>
      </c>
    </row>
    <row r="71" spans="1:16" x14ac:dyDescent="0.45">
      <c r="A71" s="1" t="s">
        <v>65</v>
      </c>
      <c r="B71" s="2">
        <v>4623856</v>
      </c>
      <c r="C71" s="3" t="s">
        <v>1125</v>
      </c>
      <c r="D71" s="3" t="s">
        <v>1126</v>
      </c>
      <c r="E71" s="3" t="s">
        <v>1127</v>
      </c>
      <c r="F71" s="5" t="s">
        <v>1128</v>
      </c>
      <c r="G71" s="5" t="s">
        <v>1129</v>
      </c>
      <c r="H71" s="5" t="s">
        <v>1130</v>
      </c>
      <c r="I71" s="5">
        <v>90594474</v>
      </c>
      <c r="J71" s="5" t="s">
        <v>1131</v>
      </c>
      <c r="K71" s="5" t="s">
        <v>1132</v>
      </c>
      <c r="L71" s="5" t="s">
        <v>1133</v>
      </c>
      <c r="M71" s="5" t="s">
        <v>1134</v>
      </c>
      <c r="N71" s="5" t="s">
        <v>1135</v>
      </c>
      <c r="O71" s="5" t="s">
        <v>1136</v>
      </c>
      <c r="P71" s="5">
        <v>29231971</v>
      </c>
    </row>
    <row r="72" spans="1:16" x14ac:dyDescent="0.45">
      <c r="A72" s="1" t="s">
        <v>66</v>
      </c>
      <c r="B72" s="2">
        <v>4970473</v>
      </c>
      <c r="C72" s="3" t="s">
        <v>1137</v>
      </c>
      <c r="D72" s="3" t="s">
        <v>1138</v>
      </c>
      <c r="E72" s="3" t="s">
        <v>556</v>
      </c>
      <c r="F72" s="5">
        <v>148336764</v>
      </c>
      <c r="G72" s="5">
        <v>152691561</v>
      </c>
      <c r="H72" s="5" t="s">
        <v>1139</v>
      </c>
      <c r="I72" s="5" t="s">
        <v>1140</v>
      </c>
      <c r="J72" s="5">
        <v>65352936</v>
      </c>
      <c r="K72" s="5" t="s">
        <v>1141</v>
      </c>
      <c r="L72" s="5" t="s">
        <v>1142</v>
      </c>
      <c r="M72" s="5" t="s">
        <v>1143</v>
      </c>
      <c r="N72" s="5" t="s">
        <v>1144</v>
      </c>
      <c r="O72" s="5" t="s">
        <v>1145</v>
      </c>
      <c r="P72" s="5" t="s">
        <v>1146</v>
      </c>
    </row>
    <row r="73" spans="1:16" x14ac:dyDescent="0.45">
      <c r="A73" s="1" t="s">
        <v>67</v>
      </c>
      <c r="B73" s="2">
        <v>4157226</v>
      </c>
      <c r="C73" s="3" t="s">
        <v>1147</v>
      </c>
      <c r="D73" s="3" t="s">
        <v>1148</v>
      </c>
      <c r="E73" s="3" t="s">
        <v>1149</v>
      </c>
      <c r="F73" s="5" t="s">
        <v>1150</v>
      </c>
      <c r="G73" s="5" t="s">
        <v>1151</v>
      </c>
      <c r="H73" s="5" t="s">
        <v>1152</v>
      </c>
      <c r="I73" s="5" t="s">
        <v>1153</v>
      </c>
      <c r="J73" s="5" t="s">
        <v>1154</v>
      </c>
      <c r="K73" s="5" t="s">
        <v>1155</v>
      </c>
      <c r="L73" s="5" t="s">
        <v>1156</v>
      </c>
      <c r="M73" s="5" t="s">
        <v>1157</v>
      </c>
      <c r="N73" s="5" t="s">
        <v>1158</v>
      </c>
      <c r="O73" s="5">
        <v>2586722715</v>
      </c>
      <c r="P73" s="5">
        <v>2125961775</v>
      </c>
    </row>
    <row r="74" spans="1:16" x14ac:dyDescent="0.45">
      <c r="A74" s="1" t="s">
        <v>68</v>
      </c>
      <c r="B74" s="2">
        <v>103448</v>
      </c>
      <c r="C74" s="3" t="s">
        <v>1159</v>
      </c>
      <c r="D74" s="3" t="s">
        <v>1160</v>
      </c>
      <c r="E74" s="3" t="s">
        <v>800</v>
      </c>
      <c r="F74" s="5" t="s">
        <v>1161</v>
      </c>
      <c r="G74" s="5" t="s">
        <v>1162</v>
      </c>
      <c r="H74" s="5" t="s">
        <v>1163</v>
      </c>
      <c r="I74" s="5" t="s">
        <v>1164</v>
      </c>
      <c r="J74" s="5" t="s">
        <v>1165</v>
      </c>
      <c r="K74" s="5" t="s">
        <v>1166</v>
      </c>
      <c r="L74" s="5">
        <v>67926957931</v>
      </c>
      <c r="M74" s="5">
        <v>58418826312</v>
      </c>
      <c r="N74" s="5" t="s">
        <v>1167</v>
      </c>
      <c r="O74" s="5">
        <v>49853879182</v>
      </c>
      <c r="P74" s="5">
        <v>460787403925</v>
      </c>
    </row>
    <row r="75" spans="1:16" x14ac:dyDescent="0.45">
      <c r="A75" s="1" t="s">
        <v>69</v>
      </c>
      <c r="B75" s="2">
        <v>4086734</v>
      </c>
      <c r="C75" s="3" t="s">
        <v>1168</v>
      </c>
      <c r="D75" s="3" t="s">
        <v>1169</v>
      </c>
      <c r="E75" s="3" t="s">
        <v>1170</v>
      </c>
      <c r="F75" s="5" t="s">
        <v>1171</v>
      </c>
      <c r="G75" s="5" t="s">
        <v>1172</v>
      </c>
      <c r="H75" s="5" t="s">
        <v>1173</v>
      </c>
      <c r="I75" s="5" t="s">
        <v>1174</v>
      </c>
      <c r="J75" s="5" t="s">
        <v>1175</v>
      </c>
      <c r="K75" s="5" t="s">
        <v>1176</v>
      </c>
      <c r="L75" s="5" t="s">
        <v>1177</v>
      </c>
      <c r="M75" s="5" t="s">
        <v>1178</v>
      </c>
      <c r="N75" s="5">
        <v>4244825</v>
      </c>
      <c r="O75" s="5" t="s">
        <v>1179</v>
      </c>
      <c r="P75" s="5">
        <v>3740931</v>
      </c>
    </row>
    <row r="76" spans="1:16" x14ac:dyDescent="0.45">
      <c r="A76" s="1" t="s">
        <v>70</v>
      </c>
      <c r="B76" s="2">
        <v>4073448</v>
      </c>
      <c r="C76" s="3" t="s">
        <v>1180</v>
      </c>
      <c r="D76" s="3" t="s">
        <v>1181</v>
      </c>
      <c r="E76" s="3" t="s">
        <v>505</v>
      </c>
      <c r="F76" s="5">
        <v>9571004301</v>
      </c>
      <c r="G76" s="5">
        <v>102222027674</v>
      </c>
      <c r="H76" s="5">
        <v>94988542244</v>
      </c>
      <c r="I76" s="5">
        <v>9913891212</v>
      </c>
      <c r="J76" s="5">
        <v>94211217999</v>
      </c>
      <c r="K76" s="5">
        <v>34119760425</v>
      </c>
      <c r="L76" s="5">
        <v>2895620539</v>
      </c>
      <c r="M76" s="5">
        <v>25610786806</v>
      </c>
      <c r="N76" s="5">
        <v>25035000672</v>
      </c>
      <c r="O76" s="5">
        <v>27565359551</v>
      </c>
      <c r="P76" s="5">
        <v>26536364885</v>
      </c>
    </row>
    <row r="77" spans="1:16" x14ac:dyDescent="0.45">
      <c r="A77" s="1" t="s">
        <v>71</v>
      </c>
      <c r="B77" s="2">
        <v>4500439</v>
      </c>
      <c r="C77" s="3" t="s">
        <v>1182</v>
      </c>
      <c r="D77" s="3" t="s">
        <v>1183</v>
      </c>
      <c r="E77" s="3" t="s">
        <v>872</v>
      </c>
      <c r="F77" s="5" t="s">
        <v>1184</v>
      </c>
      <c r="G77" s="5" t="s">
        <v>1185</v>
      </c>
      <c r="H77" s="5" t="s">
        <v>1186</v>
      </c>
      <c r="I77" s="5">
        <v>22999506</v>
      </c>
      <c r="J77" s="5" t="s">
        <v>1187</v>
      </c>
      <c r="K77" s="5" t="s">
        <v>1188</v>
      </c>
      <c r="L77" s="5" t="s">
        <v>1189</v>
      </c>
      <c r="M77" s="5">
        <v>16965795</v>
      </c>
      <c r="N77" s="5" t="s">
        <v>1190</v>
      </c>
      <c r="O77" s="5" t="s">
        <v>1191</v>
      </c>
      <c r="P77" s="5" t="s">
        <v>1192</v>
      </c>
    </row>
    <row r="78" spans="1:16" x14ac:dyDescent="0.45">
      <c r="A78" s="1" t="s">
        <v>72</v>
      </c>
      <c r="B78" s="2">
        <v>112885</v>
      </c>
      <c r="C78" s="3" t="s">
        <v>1193</v>
      </c>
      <c r="D78" s="3" t="s">
        <v>1194</v>
      </c>
      <c r="E78" s="3" t="s">
        <v>1195</v>
      </c>
      <c r="F78" s="5">
        <v>222857218788</v>
      </c>
      <c r="G78" s="5">
        <v>25195482182</v>
      </c>
      <c r="H78" s="5">
        <v>235458570003</v>
      </c>
      <c r="I78" s="5">
        <v>226511158833</v>
      </c>
      <c r="J78" s="5">
        <v>196657713594</v>
      </c>
      <c r="K78" s="5">
        <v>18686570325</v>
      </c>
      <c r="L78" s="5">
        <v>189669788455</v>
      </c>
      <c r="M78" s="5">
        <v>176920070118</v>
      </c>
      <c r="N78" s="5">
        <v>161331956424</v>
      </c>
      <c r="O78" s="5">
        <v>178581614139</v>
      </c>
      <c r="P78" s="5">
        <v>168971307345</v>
      </c>
    </row>
    <row r="79" spans="1:16" x14ac:dyDescent="0.45">
      <c r="A79" s="1" t="s">
        <v>73</v>
      </c>
      <c r="B79" s="2">
        <v>4095936</v>
      </c>
      <c r="C79" s="3" t="s">
        <v>1196</v>
      </c>
      <c r="D79" s="3" t="s">
        <v>1197</v>
      </c>
      <c r="E79" s="3" t="s">
        <v>1198</v>
      </c>
      <c r="F79" s="5">
        <v>43082230977</v>
      </c>
      <c r="G79" s="5">
        <v>51172667234</v>
      </c>
      <c r="H79" s="5">
        <v>4727310816</v>
      </c>
      <c r="I79" s="5">
        <v>55716855348</v>
      </c>
      <c r="J79" s="5">
        <v>61798188816</v>
      </c>
      <c r="K79" s="5">
        <v>4205430915</v>
      </c>
      <c r="L79" s="5">
        <v>4135648566</v>
      </c>
      <c r="M79" s="5">
        <v>38669016408</v>
      </c>
      <c r="N79" s="5">
        <v>35276025552</v>
      </c>
      <c r="O79" s="5">
        <v>34934131534</v>
      </c>
      <c r="P79" s="5">
        <v>29319976285</v>
      </c>
    </row>
    <row r="80" spans="1:16" x14ac:dyDescent="0.45">
      <c r="A80" s="1" t="s">
        <v>74</v>
      </c>
      <c r="B80" s="2">
        <v>4963284</v>
      </c>
      <c r="C80" s="3" t="s">
        <v>1199</v>
      </c>
      <c r="D80" s="3" t="s">
        <v>1200</v>
      </c>
      <c r="E80" s="3" t="s">
        <v>547</v>
      </c>
      <c r="F80" s="5">
        <v>86474361516</v>
      </c>
      <c r="G80" s="5">
        <v>86684521638</v>
      </c>
      <c r="H80" s="5">
        <v>51291885077</v>
      </c>
      <c r="I80" s="5">
        <v>48067573347</v>
      </c>
      <c r="J80" s="5">
        <v>38568727107</v>
      </c>
      <c r="K80" s="5">
        <v>3234112601</v>
      </c>
      <c r="L80" s="5">
        <v>30043806525</v>
      </c>
      <c r="M80" s="5">
        <v>21566161344</v>
      </c>
      <c r="N80" s="5">
        <v>20143050192</v>
      </c>
      <c r="O80" s="5">
        <v>19864009484</v>
      </c>
      <c r="P80" s="5">
        <v>215916383325</v>
      </c>
    </row>
    <row r="81" spans="1:16" x14ac:dyDescent="0.45">
      <c r="A81" s="1" t="s">
        <v>75</v>
      </c>
      <c r="B81" s="2">
        <v>103094</v>
      </c>
      <c r="C81" s="3" t="s">
        <v>1201</v>
      </c>
      <c r="D81" s="3" t="s">
        <v>1202</v>
      </c>
      <c r="E81" s="3" t="s">
        <v>960</v>
      </c>
      <c r="F81" s="5">
        <v>77019137313</v>
      </c>
      <c r="G81" s="5">
        <v>85502858896</v>
      </c>
      <c r="H81" s="5">
        <v>84894668639</v>
      </c>
      <c r="I81" s="5">
        <v>87281487795</v>
      </c>
      <c r="J81" s="5">
        <v>70139861712</v>
      </c>
      <c r="K81" s="5" t="s">
        <v>1203</v>
      </c>
      <c r="L81" s="5">
        <v>60135919144</v>
      </c>
      <c r="M81" s="5">
        <v>54321864124</v>
      </c>
      <c r="N81" s="5">
        <v>51414973344</v>
      </c>
      <c r="O81" s="5">
        <v>57104683896</v>
      </c>
      <c r="P81" s="5">
        <v>5559131249</v>
      </c>
    </row>
    <row r="82" spans="1:16" x14ac:dyDescent="0.45">
      <c r="A82" s="1" t="s">
        <v>76</v>
      </c>
      <c r="B82" s="2">
        <v>103239</v>
      </c>
      <c r="C82" s="3" t="s">
        <v>1204</v>
      </c>
      <c r="D82" s="3" t="s">
        <v>1205</v>
      </c>
      <c r="E82" s="3" t="s">
        <v>1206</v>
      </c>
      <c r="F82" s="5" t="s">
        <v>1207</v>
      </c>
      <c r="G82" s="5" t="s">
        <v>1208</v>
      </c>
      <c r="H82" s="5" t="s">
        <v>1209</v>
      </c>
      <c r="I82" s="5" t="s">
        <v>1210</v>
      </c>
      <c r="J82" s="5" t="s">
        <v>1211</v>
      </c>
      <c r="K82" s="5">
        <v>344659635</v>
      </c>
      <c r="L82" s="5" t="s">
        <v>1212</v>
      </c>
      <c r="M82" s="5" t="s">
        <v>1213</v>
      </c>
      <c r="N82" s="5" t="s">
        <v>1214</v>
      </c>
      <c r="O82" s="5" t="s">
        <v>1215</v>
      </c>
      <c r="P82" s="5">
        <v>307574696</v>
      </c>
    </row>
    <row r="83" spans="1:16" x14ac:dyDescent="0.45">
      <c r="A83" s="1" t="s">
        <v>77</v>
      </c>
      <c r="B83" s="2">
        <v>4073203</v>
      </c>
      <c r="C83" s="3" t="s">
        <v>1216</v>
      </c>
      <c r="D83" s="3" t="s">
        <v>1217</v>
      </c>
      <c r="E83" s="3" t="s">
        <v>1218</v>
      </c>
      <c r="F83" s="5">
        <v>45233383</v>
      </c>
      <c r="G83" s="5" t="s">
        <v>1219</v>
      </c>
      <c r="H83" s="5">
        <v>39707684</v>
      </c>
      <c r="I83" s="5" t="s">
        <v>1220</v>
      </c>
      <c r="J83" s="5" t="s">
        <v>1221</v>
      </c>
      <c r="K83" s="5" t="s">
        <v>1222</v>
      </c>
      <c r="L83" s="5" t="s">
        <v>1223</v>
      </c>
      <c r="M83" s="5" t="s">
        <v>1224</v>
      </c>
      <c r="N83" s="5">
        <v>35158168</v>
      </c>
      <c r="O83" s="5" t="s">
        <v>1225</v>
      </c>
      <c r="P83" s="5" t="s">
        <v>1226</v>
      </c>
    </row>
    <row r="84" spans="1:16" x14ac:dyDescent="0.45">
      <c r="A84" s="1" t="s">
        <v>78</v>
      </c>
      <c r="B84" s="2">
        <v>4980730</v>
      </c>
      <c r="C84" s="3" t="s">
        <v>1227</v>
      </c>
      <c r="D84" s="3" t="s">
        <v>1228</v>
      </c>
      <c r="E84" s="3" t="s">
        <v>1103</v>
      </c>
      <c r="F84" s="5" t="s">
        <v>1229</v>
      </c>
      <c r="G84" s="5" t="s">
        <v>1230</v>
      </c>
      <c r="H84" s="5">
        <v>45038128</v>
      </c>
      <c r="I84" s="5" t="s">
        <v>1231</v>
      </c>
      <c r="J84" s="5" t="s">
        <v>1232</v>
      </c>
      <c r="K84" s="5" t="s">
        <v>1233</v>
      </c>
      <c r="L84" s="5" t="s">
        <v>1234</v>
      </c>
      <c r="M84" s="5" t="s">
        <v>1235</v>
      </c>
      <c r="N84" s="5" t="s">
        <v>1236</v>
      </c>
      <c r="O84" s="5">
        <v>36781426</v>
      </c>
      <c r="P84" s="5" t="s">
        <v>1237</v>
      </c>
    </row>
    <row r="85" spans="1:16" x14ac:dyDescent="0.45">
      <c r="A85" s="1" t="s">
        <v>79</v>
      </c>
      <c r="B85" s="2">
        <v>6676338</v>
      </c>
      <c r="C85" s="3" t="s">
        <v>1238</v>
      </c>
      <c r="D85" s="3" t="s">
        <v>1239</v>
      </c>
      <c r="E85" s="3" t="s">
        <v>956</v>
      </c>
      <c r="F85" s="5" t="s">
        <v>1240</v>
      </c>
      <c r="G85" s="5" t="s">
        <v>1241</v>
      </c>
      <c r="H85" s="5" t="s">
        <v>1242</v>
      </c>
      <c r="I85" s="5" t="s">
        <v>1243</v>
      </c>
      <c r="J85" s="5" t="s">
        <v>1244</v>
      </c>
      <c r="K85" s="5" t="s">
        <v>1245</v>
      </c>
      <c r="L85" s="5">
        <v>18336592428</v>
      </c>
      <c r="M85" s="5">
        <v>8655507542</v>
      </c>
      <c r="N85" s="5">
        <v>5339388936</v>
      </c>
      <c r="O85" s="5">
        <v>3181346009</v>
      </c>
      <c r="P85" s="5">
        <v>125233049</v>
      </c>
    </row>
    <row r="86" spans="1:16" x14ac:dyDescent="0.45">
      <c r="A86" s="1" t="s">
        <v>80</v>
      </c>
      <c r="B86" s="2">
        <v>114523</v>
      </c>
      <c r="C86" s="3" t="s">
        <v>1246</v>
      </c>
      <c r="D86" s="3" t="s">
        <v>1247</v>
      </c>
      <c r="E86" s="3" t="s">
        <v>1248</v>
      </c>
      <c r="F86" s="5" t="s">
        <v>1249</v>
      </c>
      <c r="G86" s="5" t="s">
        <v>1250</v>
      </c>
      <c r="H86" s="5" t="s">
        <v>1251</v>
      </c>
      <c r="I86" s="5" t="s">
        <v>1252</v>
      </c>
      <c r="J86" s="5" t="s">
        <v>1253</v>
      </c>
      <c r="K86" s="5">
        <v>64029870</v>
      </c>
      <c r="L86" s="5" t="s">
        <v>1254</v>
      </c>
      <c r="M86" s="5" t="s">
        <v>1255</v>
      </c>
      <c r="N86" s="5" t="s">
        <v>1256</v>
      </c>
      <c r="O86" s="5" t="s">
        <v>1257</v>
      </c>
      <c r="P86" s="5" t="s">
        <v>1258</v>
      </c>
    </row>
    <row r="87" spans="1:16" x14ac:dyDescent="0.45">
      <c r="A87" s="1" t="s">
        <v>81</v>
      </c>
      <c r="B87" s="2">
        <v>4253262</v>
      </c>
      <c r="C87" s="3" t="s">
        <v>1259</v>
      </c>
      <c r="D87" s="3" t="s">
        <v>1260</v>
      </c>
      <c r="E87" s="3" t="s">
        <v>1261</v>
      </c>
      <c r="F87" s="5" t="s">
        <v>1262</v>
      </c>
      <c r="G87" s="5" t="s">
        <v>1263</v>
      </c>
      <c r="H87" s="5" t="s">
        <v>1264</v>
      </c>
      <c r="I87" s="5" t="s">
        <v>1265</v>
      </c>
      <c r="J87" s="5" t="s">
        <v>1266</v>
      </c>
      <c r="K87" s="5" t="s">
        <v>1267</v>
      </c>
      <c r="L87" s="5" t="s">
        <v>1268</v>
      </c>
      <c r="M87" s="5" t="s">
        <v>1269</v>
      </c>
      <c r="N87" s="5" t="s">
        <v>1270</v>
      </c>
      <c r="O87" s="5" t="s">
        <v>1271</v>
      </c>
      <c r="P87" s="5">
        <v>354293551</v>
      </c>
    </row>
    <row r="88" spans="1:16" x14ac:dyDescent="0.45">
      <c r="A88" s="1" t="s">
        <v>82</v>
      </c>
      <c r="B88" s="2">
        <v>4025774</v>
      </c>
      <c r="C88" s="3" t="s">
        <v>1272</v>
      </c>
      <c r="D88" s="3" t="s">
        <v>1273</v>
      </c>
      <c r="E88" s="3" t="s">
        <v>1274</v>
      </c>
      <c r="F88" s="5" t="s">
        <v>1275</v>
      </c>
      <c r="G88" s="5" t="s">
        <v>1276</v>
      </c>
      <c r="H88" s="5" t="s">
        <v>1277</v>
      </c>
      <c r="I88" s="5" t="s">
        <v>1278</v>
      </c>
      <c r="J88" s="5">
        <v>194092206363</v>
      </c>
      <c r="K88" s="5">
        <v>147469994025</v>
      </c>
      <c r="L88" s="5">
        <v>144333213556</v>
      </c>
      <c r="M88" s="5">
        <v>117531630062</v>
      </c>
      <c r="N88" s="5">
        <v>97590801888</v>
      </c>
      <c r="O88" s="5">
        <v>102115027651</v>
      </c>
      <c r="P88" s="5">
        <v>1014477101725</v>
      </c>
    </row>
    <row r="89" spans="1:16" x14ac:dyDescent="0.45">
      <c r="A89" s="1" t="s">
        <v>83</v>
      </c>
      <c r="B89" s="2">
        <v>4114659</v>
      </c>
      <c r="C89" s="3" t="s">
        <v>1279</v>
      </c>
      <c r="D89" s="3" t="s">
        <v>1280</v>
      </c>
      <c r="E89" s="3" t="s">
        <v>1281</v>
      </c>
      <c r="F89" s="5" t="s">
        <v>1282</v>
      </c>
      <c r="G89" s="5" t="s">
        <v>1283</v>
      </c>
      <c r="H89" s="5" t="s">
        <v>1284</v>
      </c>
      <c r="I89" s="5" t="s">
        <v>1285</v>
      </c>
      <c r="J89" s="5" t="s">
        <v>1286</v>
      </c>
      <c r="K89" s="5" t="s">
        <v>1287</v>
      </c>
      <c r="L89" s="5" t="s">
        <v>1288</v>
      </c>
      <c r="M89" s="5" t="s">
        <v>1289</v>
      </c>
      <c r="N89" s="5" t="s">
        <v>1290</v>
      </c>
      <c r="O89" s="5" t="s">
        <v>1291</v>
      </c>
      <c r="P89" s="5">
        <v>6219942475</v>
      </c>
    </row>
    <row r="90" spans="1:16" x14ac:dyDescent="0.45">
      <c r="A90" s="1" t="s">
        <v>84</v>
      </c>
      <c r="B90" s="2">
        <v>4022647</v>
      </c>
      <c r="C90" s="3" t="s">
        <v>1292</v>
      </c>
      <c r="D90" s="3" t="s">
        <v>1293</v>
      </c>
      <c r="E90" s="3" t="s">
        <v>1218</v>
      </c>
      <c r="F90" s="5">
        <v>652777524576</v>
      </c>
      <c r="G90" s="5">
        <v>601633546322</v>
      </c>
      <c r="H90" s="5">
        <v>591055032208</v>
      </c>
      <c r="I90" s="5">
        <v>576805161968</v>
      </c>
      <c r="J90" s="5">
        <v>49471058154</v>
      </c>
      <c r="K90" s="5">
        <v>37704445228</v>
      </c>
      <c r="L90" s="5">
        <v>35924622858</v>
      </c>
      <c r="M90" s="5">
        <v>324224295666</v>
      </c>
      <c r="N90" s="5">
        <v>29881265267</v>
      </c>
      <c r="O90" s="5">
        <v>2992560276465</v>
      </c>
      <c r="P90" s="5">
        <v>250562300211</v>
      </c>
    </row>
    <row r="91" spans="1:16" x14ac:dyDescent="0.45">
      <c r="A91" s="1" t="s">
        <v>85</v>
      </c>
      <c r="B91" s="2">
        <v>4022661</v>
      </c>
      <c r="C91" s="3" t="s">
        <v>1294</v>
      </c>
      <c r="D91" s="3" t="s">
        <v>1295</v>
      </c>
      <c r="E91" s="3" t="s">
        <v>1296</v>
      </c>
      <c r="F91" s="5" t="s">
        <v>1297</v>
      </c>
      <c r="G91" s="5" t="s">
        <v>1298</v>
      </c>
      <c r="H91" s="5" t="s">
        <v>1299</v>
      </c>
      <c r="I91" s="5">
        <v>71927259</v>
      </c>
      <c r="J91" s="5" t="s">
        <v>1300</v>
      </c>
      <c r="K91" s="5" t="s">
        <v>1301</v>
      </c>
      <c r="L91" s="5" t="s">
        <v>1302</v>
      </c>
      <c r="M91" s="5" t="s">
        <v>1303</v>
      </c>
      <c r="N91" s="5">
        <v>18200844</v>
      </c>
      <c r="O91" s="5" t="s">
        <v>1304</v>
      </c>
      <c r="P91" s="5" t="s">
        <v>1305</v>
      </c>
    </row>
    <row r="92" spans="1:16" x14ac:dyDescent="0.45">
      <c r="A92" s="1" t="s">
        <v>86</v>
      </c>
      <c r="B92" s="2">
        <v>4074390</v>
      </c>
      <c r="C92" s="3" t="s">
        <v>1306</v>
      </c>
      <c r="D92" s="3" t="s">
        <v>1307</v>
      </c>
      <c r="E92" s="3" t="s">
        <v>686</v>
      </c>
      <c r="F92" s="5" t="s">
        <v>1308</v>
      </c>
      <c r="G92" s="5" t="s">
        <v>1309</v>
      </c>
      <c r="H92" s="5" t="s">
        <v>1310</v>
      </c>
      <c r="I92" s="5" t="s">
        <v>1311</v>
      </c>
      <c r="J92" s="5" t="s">
        <v>1312</v>
      </c>
      <c r="K92" s="5" t="s">
        <v>1313</v>
      </c>
      <c r="L92" s="5" t="s">
        <v>1314</v>
      </c>
      <c r="M92" s="5" t="s">
        <v>1315</v>
      </c>
      <c r="N92" s="5" t="s">
        <v>1316</v>
      </c>
      <c r="O92" s="5" t="s">
        <v>1317</v>
      </c>
      <c r="P92" s="5" t="s">
        <v>1318</v>
      </c>
    </row>
    <row r="93" spans="1:16" x14ac:dyDescent="0.45">
      <c r="A93" s="1" t="s">
        <v>87</v>
      </c>
      <c r="B93" s="2">
        <v>4533245</v>
      </c>
      <c r="C93" s="3" t="s">
        <v>1319</v>
      </c>
      <c r="D93" s="3" t="s">
        <v>1320</v>
      </c>
      <c r="E93" s="3" t="s">
        <v>1321</v>
      </c>
      <c r="F93" s="5" t="s">
        <v>1322</v>
      </c>
      <c r="G93" s="5" t="s">
        <v>1323</v>
      </c>
      <c r="H93" s="5" t="s">
        <v>1324</v>
      </c>
      <c r="I93" s="5" t="s">
        <v>1325</v>
      </c>
      <c r="J93" s="5" t="s">
        <v>1326</v>
      </c>
      <c r="K93" s="5" t="s">
        <v>1327</v>
      </c>
      <c r="L93" s="5" t="s">
        <v>1328</v>
      </c>
      <c r="M93" s="5" t="s">
        <v>1329</v>
      </c>
      <c r="N93" s="5" t="s">
        <v>1330</v>
      </c>
      <c r="O93" s="5" t="s">
        <v>1331</v>
      </c>
      <c r="P93" s="5" t="s">
        <v>1332</v>
      </c>
    </row>
    <row r="94" spans="1:16" x14ac:dyDescent="0.45">
      <c r="A94" s="1" t="s">
        <v>88</v>
      </c>
      <c r="B94" s="2">
        <v>4388431</v>
      </c>
      <c r="C94" s="3" t="s">
        <v>1333</v>
      </c>
      <c r="D94" s="3" t="s">
        <v>1334</v>
      </c>
      <c r="E94" s="3" t="s">
        <v>578</v>
      </c>
      <c r="F94" s="5" t="s">
        <v>1335</v>
      </c>
      <c r="G94" s="5">
        <v>72189300205</v>
      </c>
      <c r="H94" s="5">
        <v>74140174047</v>
      </c>
      <c r="I94" s="5">
        <v>7113911889</v>
      </c>
      <c r="J94" s="5">
        <v>62101765572</v>
      </c>
      <c r="K94" s="5">
        <v>45057759186</v>
      </c>
      <c r="L94" s="5">
        <v>4199577771</v>
      </c>
      <c r="M94" s="5">
        <v>33684958944</v>
      </c>
      <c r="N94" s="5">
        <v>24400390416</v>
      </c>
      <c r="O94" s="5" t="s">
        <v>1336</v>
      </c>
      <c r="P94" s="5">
        <v>188905488525</v>
      </c>
    </row>
    <row r="95" spans="1:16" x14ac:dyDescent="0.45">
      <c r="A95" s="1" t="s">
        <v>89</v>
      </c>
      <c r="B95" s="2">
        <v>4121481</v>
      </c>
      <c r="C95" s="3" t="s">
        <v>1337</v>
      </c>
      <c r="D95" s="3" t="s">
        <v>1338</v>
      </c>
      <c r="E95" s="3" t="s">
        <v>1339</v>
      </c>
      <c r="F95" s="5" t="s">
        <v>1340</v>
      </c>
      <c r="G95" s="5">
        <v>144904318</v>
      </c>
      <c r="H95" s="5" t="s">
        <v>1341</v>
      </c>
      <c r="I95" s="5" t="s">
        <v>1342</v>
      </c>
      <c r="J95" s="5" t="s">
        <v>1343</v>
      </c>
      <c r="K95" s="5">
        <v>117888405</v>
      </c>
      <c r="L95" s="5" t="s">
        <v>1344</v>
      </c>
      <c r="M95" s="5">
        <v>127629942</v>
      </c>
      <c r="N95" s="5" t="s">
        <v>1345</v>
      </c>
      <c r="O95" s="5" t="s">
        <v>1346</v>
      </c>
      <c r="P95" s="5">
        <v>36200207</v>
      </c>
    </row>
    <row r="96" spans="1:16" x14ac:dyDescent="0.45">
      <c r="A96" s="1" t="s">
        <v>90</v>
      </c>
      <c r="B96" s="2">
        <v>4004170</v>
      </c>
      <c r="C96" s="3" t="s">
        <v>1347</v>
      </c>
      <c r="D96" s="3" t="s">
        <v>1348</v>
      </c>
      <c r="E96" s="3" t="s">
        <v>1349</v>
      </c>
      <c r="F96" s="5" t="s">
        <v>1350</v>
      </c>
      <c r="G96" s="5" t="s">
        <v>1351</v>
      </c>
      <c r="H96" s="5" t="s">
        <v>1352</v>
      </c>
      <c r="I96" s="5" t="s">
        <v>1353</v>
      </c>
      <c r="J96" s="5" t="s">
        <v>1354</v>
      </c>
      <c r="K96" s="5">
        <v>196028325</v>
      </c>
      <c r="L96" s="5" t="s">
        <v>1355</v>
      </c>
      <c r="M96" s="5" t="s">
        <v>1356</v>
      </c>
      <c r="N96" s="5" t="s">
        <v>1357</v>
      </c>
      <c r="O96" s="5" t="s">
        <v>1358</v>
      </c>
      <c r="P96" s="5">
        <v>243575205</v>
      </c>
    </row>
    <row r="97" spans="1:16" x14ac:dyDescent="0.45">
      <c r="A97" s="1" t="s">
        <v>91</v>
      </c>
      <c r="B97" s="2">
        <v>4225889</v>
      </c>
      <c r="C97" s="3" t="s">
        <v>1359</v>
      </c>
      <c r="D97" s="3" t="s">
        <v>1360</v>
      </c>
      <c r="E97" s="3" t="s">
        <v>1361</v>
      </c>
      <c r="F97" s="5">
        <v>76606420527</v>
      </c>
      <c r="G97" s="5">
        <v>88905048466</v>
      </c>
      <c r="H97" s="5">
        <v>72777343014</v>
      </c>
      <c r="I97" s="5">
        <v>64820654928</v>
      </c>
      <c r="J97" s="5">
        <v>58499459694</v>
      </c>
      <c r="K97" s="5" t="s">
        <v>1362</v>
      </c>
      <c r="L97" s="5">
        <v>45487126244</v>
      </c>
      <c r="M97" s="5">
        <v>19787034212</v>
      </c>
      <c r="N97" s="5">
        <v>17036522976</v>
      </c>
      <c r="O97" s="5">
        <v>19193273719</v>
      </c>
      <c r="P97" s="5">
        <v>25091045195</v>
      </c>
    </row>
    <row r="98" spans="1:16" x14ac:dyDescent="0.45">
      <c r="A98" s="1" t="s">
        <v>92</v>
      </c>
      <c r="B98" s="2">
        <v>103417</v>
      </c>
      <c r="C98" s="3" t="s">
        <v>1363</v>
      </c>
      <c r="D98" s="3" t="s">
        <v>1364</v>
      </c>
      <c r="E98" s="3" t="s">
        <v>718</v>
      </c>
      <c r="F98" s="5" t="s">
        <v>1365</v>
      </c>
      <c r="G98" s="5" t="s">
        <v>1366</v>
      </c>
      <c r="H98" s="5" t="s">
        <v>1367</v>
      </c>
      <c r="I98" s="5" t="s">
        <v>1368</v>
      </c>
      <c r="J98" s="5" t="s">
        <v>1369</v>
      </c>
      <c r="K98" s="5">
        <v>155957745</v>
      </c>
      <c r="L98" s="5" t="s">
        <v>1370</v>
      </c>
      <c r="M98" s="5" t="s">
        <v>1371</v>
      </c>
      <c r="N98" s="5" t="s">
        <v>1372</v>
      </c>
      <c r="O98" s="5" t="s">
        <v>1373</v>
      </c>
      <c r="P98" s="5" t="s">
        <v>1374</v>
      </c>
    </row>
    <row r="99" spans="1:16" x14ac:dyDescent="0.45">
      <c r="A99" s="1" t="s">
        <v>93</v>
      </c>
      <c r="B99" s="2">
        <v>4438978</v>
      </c>
      <c r="C99" s="3" t="s">
        <v>1375</v>
      </c>
      <c r="D99" s="3" t="s">
        <v>1376</v>
      </c>
      <c r="E99" s="3" t="s">
        <v>1377</v>
      </c>
      <c r="F99" s="5" t="s">
        <v>1378</v>
      </c>
      <c r="G99" s="5" t="s">
        <v>1379</v>
      </c>
      <c r="H99" s="5" t="s">
        <v>1380</v>
      </c>
      <c r="I99" s="5" t="s">
        <v>1381</v>
      </c>
      <c r="J99" s="5" t="s">
        <v>1382</v>
      </c>
      <c r="K99" s="5" t="s">
        <v>1383</v>
      </c>
      <c r="L99" s="5" t="s">
        <v>1384</v>
      </c>
      <c r="M99" s="5" t="s">
        <v>1385</v>
      </c>
      <c r="N99" s="5" t="s">
        <v>1386</v>
      </c>
      <c r="O99" s="5" t="s">
        <v>1387</v>
      </c>
      <c r="P99" s="5">
        <v>3919540675</v>
      </c>
    </row>
    <row r="100" spans="1:16" x14ac:dyDescent="0.45">
      <c r="A100" s="1" t="s">
        <v>94</v>
      </c>
      <c r="B100" s="2">
        <v>4067589</v>
      </c>
      <c r="C100" s="3" t="s">
        <v>1388</v>
      </c>
      <c r="D100" s="3" t="s">
        <v>1389</v>
      </c>
      <c r="E100" s="3" t="s">
        <v>890</v>
      </c>
      <c r="F100" s="5">
        <v>5084666289</v>
      </c>
      <c r="G100" s="5">
        <v>52001844466</v>
      </c>
      <c r="H100" s="5">
        <v>52883714295</v>
      </c>
      <c r="I100" s="5">
        <v>50985289024</v>
      </c>
      <c r="J100" s="5">
        <v>42074483096</v>
      </c>
      <c r="K100" s="5">
        <v>35876448777</v>
      </c>
      <c r="L100" s="5">
        <v>34868806776</v>
      </c>
      <c r="M100" s="5">
        <v>32997298032</v>
      </c>
      <c r="N100" s="5">
        <v>34119072774</v>
      </c>
      <c r="O100" s="5" t="s">
        <v>1390</v>
      </c>
      <c r="P100" s="5">
        <v>244400699935</v>
      </c>
    </row>
    <row r="101" spans="1:16" x14ac:dyDescent="0.45">
      <c r="A101" s="1" t="s">
        <v>95</v>
      </c>
      <c r="B101" s="2">
        <v>103262</v>
      </c>
      <c r="C101" s="3" t="s">
        <v>1391</v>
      </c>
      <c r="D101" s="3" t="s">
        <v>1392</v>
      </c>
      <c r="E101" s="3" t="s">
        <v>718</v>
      </c>
      <c r="F101" s="5" t="s">
        <v>1393</v>
      </c>
      <c r="G101" s="5" t="s">
        <v>1394</v>
      </c>
      <c r="H101" s="5" t="s">
        <v>1395</v>
      </c>
      <c r="I101" s="5" t="s">
        <v>1396</v>
      </c>
      <c r="J101" s="5" t="s">
        <v>1397</v>
      </c>
      <c r="K101" s="5">
        <v>22515585</v>
      </c>
      <c r="L101" s="5" t="s">
        <v>1398</v>
      </c>
      <c r="M101" s="5">
        <v>19158029</v>
      </c>
      <c r="N101" s="5" t="s">
        <v>1399</v>
      </c>
      <c r="O101" s="5" t="s">
        <v>1400</v>
      </c>
      <c r="P101" s="5">
        <v>17391126</v>
      </c>
    </row>
    <row r="102" spans="1:16" x14ac:dyDescent="0.45">
      <c r="A102" s="1" t="s">
        <v>96</v>
      </c>
      <c r="B102" s="2">
        <v>4008247</v>
      </c>
      <c r="C102" s="3" t="s">
        <v>1401</v>
      </c>
      <c r="D102" s="3" t="s">
        <v>1402</v>
      </c>
      <c r="E102" s="3" t="s">
        <v>1403</v>
      </c>
      <c r="F102" s="5">
        <v>86589848933</v>
      </c>
      <c r="G102" s="5">
        <v>84545661557</v>
      </c>
      <c r="H102" s="5">
        <v>80190458348</v>
      </c>
      <c r="I102" s="5">
        <v>75940573176</v>
      </c>
      <c r="J102" s="5">
        <v>67368975317</v>
      </c>
      <c r="K102" s="5">
        <v>68990615575</v>
      </c>
      <c r="L102" s="5">
        <v>66714294802</v>
      </c>
      <c r="M102" s="5">
        <v>59680601478</v>
      </c>
      <c r="N102" s="5" t="s">
        <v>1404</v>
      </c>
      <c r="O102" s="5">
        <v>368299021825</v>
      </c>
      <c r="P102" s="5">
        <v>3819959929</v>
      </c>
    </row>
    <row r="103" spans="1:16" x14ac:dyDescent="0.45">
      <c r="A103" s="1" t="s">
        <v>97</v>
      </c>
      <c r="B103" s="2">
        <v>4047857</v>
      </c>
      <c r="C103" s="3" t="s">
        <v>1405</v>
      </c>
      <c r="D103" s="3" t="s">
        <v>1406</v>
      </c>
      <c r="E103" s="3" t="s">
        <v>890</v>
      </c>
      <c r="F103" s="5">
        <v>104191932</v>
      </c>
      <c r="G103" s="5" t="s">
        <v>1407</v>
      </c>
      <c r="H103" s="5" t="s">
        <v>1408</v>
      </c>
      <c r="I103" s="5" t="s">
        <v>1409</v>
      </c>
      <c r="J103" s="5">
        <v>82189971</v>
      </c>
      <c r="K103" s="5" t="s">
        <v>1410</v>
      </c>
      <c r="L103" s="5" t="s">
        <v>1411</v>
      </c>
      <c r="M103" s="5" t="s">
        <v>1412</v>
      </c>
      <c r="N103" s="5" t="s">
        <v>1413</v>
      </c>
      <c r="O103" s="5" t="s">
        <v>1414</v>
      </c>
      <c r="P103" s="5" t="s">
        <v>1415</v>
      </c>
    </row>
    <row r="104" spans="1:16" x14ac:dyDescent="0.45">
      <c r="A104" s="1" t="s">
        <v>98</v>
      </c>
      <c r="B104" s="2">
        <v>4041896</v>
      </c>
      <c r="C104" s="3" t="s">
        <v>1416</v>
      </c>
      <c r="D104" s="3" t="s">
        <v>1417</v>
      </c>
      <c r="E104" s="3" t="s">
        <v>1004</v>
      </c>
      <c r="F104" s="5" t="s">
        <v>1418</v>
      </c>
      <c r="G104" s="5" t="s">
        <v>1419</v>
      </c>
      <c r="H104" s="5" t="s">
        <v>1420</v>
      </c>
      <c r="I104" s="5" t="s">
        <v>1421</v>
      </c>
      <c r="J104" s="5" t="s">
        <v>1422</v>
      </c>
      <c r="K104" s="5">
        <v>1847623575</v>
      </c>
      <c r="L104" s="5" t="s">
        <v>1423</v>
      </c>
      <c r="M104" s="5" t="s">
        <v>1424</v>
      </c>
      <c r="N104" s="5">
        <v>1534404852</v>
      </c>
      <c r="O104" s="5" t="s">
        <v>1425</v>
      </c>
      <c r="P104" s="5" t="s">
        <v>1426</v>
      </c>
    </row>
    <row r="105" spans="1:16" x14ac:dyDescent="0.45">
      <c r="A105" s="1" t="s">
        <v>99</v>
      </c>
      <c r="B105" s="2">
        <v>1019881</v>
      </c>
      <c r="C105" s="3" t="s">
        <v>1427</v>
      </c>
      <c r="D105" s="3" t="s">
        <v>1428</v>
      </c>
      <c r="E105" s="3" t="s">
        <v>1004</v>
      </c>
      <c r="F105" s="5" t="s">
        <v>1429</v>
      </c>
      <c r="G105" s="5" t="s">
        <v>1430</v>
      </c>
      <c r="H105" s="5" t="s">
        <v>1431</v>
      </c>
      <c r="I105" s="5" t="s">
        <v>1432</v>
      </c>
      <c r="J105" s="5" t="s">
        <v>1433</v>
      </c>
      <c r="K105" s="5" t="s">
        <v>1434</v>
      </c>
      <c r="L105" s="5" t="s">
        <v>1435</v>
      </c>
      <c r="M105" s="5" t="s">
        <v>1436</v>
      </c>
      <c r="N105" s="5" t="s">
        <v>1437</v>
      </c>
      <c r="O105" s="5">
        <v>141640296</v>
      </c>
      <c r="P105" s="5">
        <v>127255016</v>
      </c>
    </row>
    <row r="106" spans="1:16" x14ac:dyDescent="0.45">
      <c r="A106" s="1" t="s">
        <v>100</v>
      </c>
      <c r="B106" s="2">
        <v>4054016</v>
      </c>
      <c r="C106" s="3" t="s">
        <v>1438</v>
      </c>
      <c r="D106" s="3" t="s">
        <v>1439</v>
      </c>
      <c r="E106" s="3" t="s">
        <v>1261</v>
      </c>
      <c r="F106" s="5" t="s">
        <v>1440</v>
      </c>
      <c r="G106" s="5" t="s">
        <v>1441</v>
      </c>
      <c r="H106" s="5" t="s">
        <v>1442</v>
      </c>
      <c r="I106" s="5" t="s">
        <v>1443</v>
      </c>
      <c r="J106" s="5" t="s">
        <v>1444</v>
      </c>
      <c r="K106" s="5">
        <v>101909223</v>
      </c>
      <c r="L106" s="5" t="s">
        <v>1445</v>
      </c>
      <c r="M106" s="5" t="s">
        <v>1446</v>
      </c>
      <c r="N106" s="5" t="s">
        <v>1447</v>
      </c>
      <c r="O106" s="5" t="s">
        <v>1448</v>
      </c>
      <c r="P106" s="5" t="s">
        <v>1449</v>
      </c>
    </row>
    <row r="107" spans="1:16" x14ac:dyDescent="0.45">
      <c r="A107" s="1" t="s">
        <v>101</v>
      </c>
      <c r="B107" s="2">
        <v>4004172</v>
      </c>
      <c r="C107" s="3" t="s">
        <v>1450</v>
      </c>
      <c r="D107" s="3" t="s">
        <v>1451</v>
      </c>
      <c r="E107" s="3" t="s">
        <v>686</v>
      </c>
      <c r="F107" s="5" t="s">
        <v>1452</v>
      </c>
      <c r="G107" s="5">
        <v>34695128</v>
      </c>
      <c r="H107" s="5" t="s">
        <v>1453</v>
      </c>
      <c r="I107" s="5" t="s">
        <v>1454</v>
      </c>
      <c r="J107" s="5" t="s">
        <v>1455</v>
      </c>
      <c r="K107" s="5">
        <v>24251955</v>
      </c>
      <c r="L107" s="5" t="s">
        <v>1456</v>
      </c>
      <c r="M107" s="5" t="s">
        <v>1457</v>
      </c>
      <c r="N107" s="5">
        <v>19196040</v>
      </c>
      <c r="O107" s="5" t="s">
        <v>1458</v>
      </c>
      <c r="P107" s="5" t="s">
        <v>1459</v>
      </c>
    </row>
    <row r="108" spans="1:16" x14ac:dyDescent="0.45">
      <c r="A108" s="1" t="s">
        <v>102</v>
      </c>
      <c r="B108" s="2">
        <v>4222286</v>
      </c>
      <c r="C108" s="3" t="s">
        <v>1460</v>
      </c>
      <c r="D108" s="3" t="s">
        <v>1461</v>
      </c>
      <c r="E108" s="3" t="s">
        <v>543</v>
      </c>
      <c r="F108" s="5" t="s">
        <v>1462</v>
      </c>
      <c r="G108" s="5" t="s">
        <v>1463</v>
      </c>
      <c r="H108" s="5" t="s">
        <v>1464</v>
      </c>
      <c r="I108" s="5" t="s">
        <v>1465</v>
      </c>
      <c r="J108" s="5" t="s">
        <v>1466</v>
      </c>
      <c r="K108" s="5" t="s">
        <v>1467</v>
      </c>
      <c r="L108" s="5" t="s">
        <v>1468</v>
      </c>
      <c r="M108" s="5" t="s">
        <v>1469</v>
      </c>
      <c r="N108" s="5" t="s">
        <v>1470</v>
      </c>
      <c r="O108" s="5" t="s">
        <v>1471</v>
      </c>
      <c r="P108" s="5" t="s">
        <v>1472</v>
      </c>
    </row>
    <row r="109" spans="1:16" x14ac:dyDescent="0.45">
      <c r="A109" s="1" t="s">
        <v>103</v>
      </c>
      <c r="B109" s="2">
        <v>4964205</v>
      </c>
      <c r="C109" s="3" t="s">
        <v>1473</v>
      </c>
      <c r="D109" s="3" t="s">
        <v>1474</v>
      </c>
      <c r="E109" s="3" t="s">
        <v>784</v>
      </c>
      <c r="F109" s="5">
        <v>12696662004</v>
      </c>
      <c r="G109" s="5">
        <v>135222421122</v>
      </c>
      <c r="H109" s="5">
        <v>12559397828</v>
      </c>
      <c r="I109" s="5">
        <v>75043796836</v>
      </c>
      <c r="J109" s="5" t="s">
        <v>1475</v>
      </c>
      <c r="K109" s="5">
        <v>46515668604</v>
      </c>
      <c r="L109" s="5">
        <v>17169757124</v>
      </c>
      <c r="M109" s="5">
        <v>15099196431</v>
      </c>
      <c r="N109" s="5">
        <v>12948508205</v>
      </c>
      <c r="O109" s="5">
        <v>109132829145</v>
      </c>
      <c r="P109" s="5">
        <v>949966731</v>
      </c>
    </row>
    <row r="110" spans="1:16" x14ac:dyDescent="0.45">
      <c r="A110" s="1" t="s">
        <v>104</v>
      </c>
      <c r="B110" s="2">
        <v>4004173</v>
      </c>
      <c r="C110" s="3" t="s">
        <v>1476</v>
      </c>
      <c r="D110" s="3" t="s">
        <v>1477</v>
      </c>
      <c r="E110" s="3" t="s">
        <v>1377</v>
      </c>
      <c r="F110" s="5">
        <v>13908261</v>
      </c>
      <c r="G110" s="5" t="s">
        <v>1478</v>
      </c>
      <c r="H110" s="5" t="s">
        <v>1479</v>
      </c>
      <c r="I110" s="5" t="s">
        <v>1480</v>
      </c>
      <c r="J110" s="5">
        <v>13224672</v>
      </c>
      <c r="K110" s="5">
        <v>13014600</v>
      </c>
      <c r="L110" s="5" t="s">
        <v>1481</v>
      </c>
      <c r="M110" s="5" t="s">
        <v>1482</v>
      </c>
      <c r="N110" s="5" t="s">
        <v>1483</v>
      </c>
      <c r="O110" s="5" t="s">
        <v>1484</v>
      </c>
      <c r="P110" s="5" t="s">
        <v>1485</v>
      </c>
    </row>
    <row r="111" spans="1:16" x14ac:dyDescent="0.45">
      <c r="A111" s="1" t="s">
        <v>105</v>
      </c>
      <c r="B111" s="2">
        <v>4057180</v>
      </c>
      <c r="C111" s="3" t="s">
        <v>1486</v>
      </c>
      <c r="D111" s="3" t="s">
        <v>1487</v>
      </c>
      <c r="E111" s="3" t="s">
        <v>919</v>
      </c>
      <c r="F111" s="5" t="s">
        <v>1488</v>
      </c>
      <c r="G111" s="5" t="s">
        <v>1489</v>
      </c>
      <c r="H111" s="5" t="s">
        <v>1490</v>
      </c>
      <c r="I111" s="5" t="s">
        <v>1491</v>
      </c>
      <c r="J111" s="5" t="s">
        <v>1492</v>
      </c>
      <c r="K111" s="5" t="s">
        <v>1493</v>
      </c>
      <c r="L111" s="5" t="s">
        <v>1494</v>
      </c>
      <c r="M111" s="5" t="s">
        <v>1495</v>
      </c>
      <c r="N111" s="5" t="s">
        <v>1496</v>
      </c>
      <c r="O111" s="5">
        <v>170987650</v>
      </c>
      <c r="P111" s="5" t="s">
        <v>1497</v>
      </c>
    </row>
    <row r="112" spans="1:16" x14ac:dyDescent="0.45">
      <c r="A112" s="1" t="s">
        <v>106</v>
      </c>
      <c r="B112" s="2">
        <v>4990366</v>
      </c>
      <c r="C112" s="3" t="s">
        <v>1498</v>
      </c>
      <c r="D112" s="3" t="s">
        <v>1499</v>
      </c>
      <c r="E112" s="3" t="s">
        <v>1500</v>
      </c>
      <c r="F112" s="5">
        <v>54859436373</v>
      </c>
      <c r="G112" s="5">
        <v>45504398992</v>
      </c>
      <c r="H112" s="5">
        <v>29905573213</v>
      </c>
      <c r="I112" s="5">
        <v>24304601646</v>
      </c>
      <c r="J112" s="5">
        <v>19424739402</v>
      </c>
      <c r="K112" s="5">
        <v>14366377125</v>
      </c>
      <c r="L112" s="5">
        <v>13411161932</v>
      </c>
      <c r="M112" s="5">
        <v>9280433976</v>
      </c>
      <c r="N112" s="5">
        <v>733796736</v>
      </c>
      <c r="O112" s="5">
        <v>6715438119</v>
      </c>
      <c r="P112" s="5">
        <v>6367851755</v>
      </c>
    </row>
    <row r="113" spans="1:16" x14ac:dyDescent="0.45">
      <c r="A113" s="1" t="s">
        <v>107</v>
      </c>
      <c r="B113" s="2">
        <v>4101861</v>
      </c>
      <c r="C113" s="3" t="s">
        <v>1501</v>
      </c>
      <c r="D113" s="3" t="s">
        <v>1502</v>
      </c>
      <c r="E113" s="3" t="s">
        <v>1503</v>
      </c>
      <c r="F113" s="5" t="s">
        <v>1504</v>
      </c>
      <c r="G113" s="5" t="s">
        <v>1505</v>
      </c>
      <c r="H113" s="5" t="s">
        <v>1506</v>
      </c>
      <c r="I113" s="5" t="s">
        <v>1507</v>
      </c>
      <c r="J113" s="5" t="s">
        <v>1508</v>
      </c>
      <c r="K113" s="5">
        <v>20062448</v>
      </c>
      <c r="L113" s="5" t="s">
        <v>1509</v>
      </c>
      <c r="M113" s="5" t="s">
        <v>1510</v>
      </c>
      <c r="N113" s="5" t="s">
        <v>1511</v>
      </c>
      <c r="O113" s="5" t="s">
        <v>1512</v>
      </c>
      <c r="P113" s="5" t="s">
        <v>1513</v>
      </c>
    </row>
    <row r="114" spans="1:16" x14ac:dyDescent="0.45">
      <c r="A114" s="1" t="s">
        <v>108</v>
      </c>
      <c r="B114" s="2">
        <v>4980342</v>
      </c>
      <c r="C114" s="3" t="s">
        <v>1514</v>
      </c>
      <c r="D114" s="3" t="s">
        <v>1515</v>
      </c>
      <c r="E114" s="3" t="s">
        <v>813</v>
      </c>
      <c r="F114" s="5" t="s">
        <v>1516</v>
      </c>
      <c r="G114" s="5">
        <v>118593202</v>
      </c>
      <c r="H114" s="5" t="s">
        <v>1517</v>
      </c>
      <c r="I114" s="5" t="s">
        <v>1518</v>
      </c>
      <c r="J114" s="5" t="s">
        <v>1519</v>
      </c>
      <c r="K114" s="5">
        <v>51190215</v>
      </c>
      <c r="L114" s="5" t="s">
        <v>1520</v>
      </c>
      <c r="M114" s="5">
        <v>61120532</v>
      </c>
      <c r="N114" s="5" t="s">
        <v>1521</v>
      </c>
      <c r="O114" s="5" t="s">
        <v>1522</v>
      </c>
      <c r="P114" s="5">
        <v>89758393</v>
      </c>
    </row>
    <row r="115" spans="1:16" x14ac:dyDescent="0.45">
      <c r="A115" s="1" t="s">
        <v>109</v>
      </c>
      <c r="B115" s="2">
        <v>4057041</v>
      </c>
      <c r="C115" s="3" t="s">
        <v>1523</v>
      </c>
      <c r="D115" s="3" t="s">
        <v>1524</v>
      </c>
      <c r="E115" s="3" t="s">
        <v>686</v>
      </c>
      <c r="F115" s="5" t="s">
        <v>1525</v>
      </c>
      <c r="G115" s="5" t="s">
        <v>1526</v>
      </c>
      <c r="H115" s="5" t="s">
        <v>1527</v>
      </c>
      <c r="I115" s="5" t="s">
        <v>1528</v>
      </c>
      <c r="J115" s="5" t="s">
        <v>1529</v>
      </c>
      <c r="K115" s="5" t="s">
        <v>1530</v>
      </c>
      <c r="L115" s="5" t="s">
        <v>1531</v>
      </c>
      <c r="M115" s="5">
        <v>47093728</v>
      </c>
      <c r="N115" s="5" t="s">
        <v>1532</v>
      </c>
      <c r="O115" s="5" t="s">
        <v>1533</v>
      </c>
      <c r="P115" s="5" t="s">
        <v>1534</v>
      </c>
    </row>
    <row r="116" spans="1:16" x14ac:dyDescent="0.45">
      <c r="A116" s="1" t="s">
        <v>110</v>
      </c>
      <c r="B116" s="2">
        <v>4276708</v>
      </c>
      <c r="C116" s="3" t="s">
        <v>1535</v>
      </c>
      <c r="D116" s="3" t="s">
        <v>1536</v>
      </c>
      <c r="E116" s="3" t="s">
        <v>1170</v>
      </c>
      <c r="F116" s="5" t="s">
        <v>1537</v>
      </c>
      <c r="G116" s="5" t="s">
        <v>1538</v>
      </c>
      <c r="H116" s="5" t="s">
        <v>1539</v>
      </c>
      <c r="I116" s="5" t="s">
        <v>1540</v>
      </c>
      <c r="J116" s="5" t="s">
        <v>1541</v>
      </c>
      <c r="K116" s="5" t="s">
        <v>1542</v>
      </c>
      <c r="L116" s="5" t="s">
        <v>1543</v>
      </c>
      <c r="M116" s="5" t="s">
        <v>1544</v>
      </c>
      <c r="N116" s="5" t="s">
        <v>1545</v>
      </c>
      <c r="O116" s="5" t="s">
        <v>1546</v>
      </c>
      <c r="P116" s="5" t="s">
        <v>1547</v>
      </c>
    </row>
    <row r="117" spans="1:16" x14ac:dyDescent="0.45">
      <c r="A117" s="1" t="s">
        <v>111</v>
      </c>
      <c r="B117" s="2">
        <v>4072145</v>
      </c>
      <c r="C117" s="3" t="s">
        <v>1548</v>
      </c>
      <c r="D117" s="3" t="s">
        <v>1549</v>
      </c>
      <c r="E117" s="3" t="s">
        <v>627</v>
      </c>
      <c r="F117" s="5" t="s">
        <v>1550</v>
      </c>
      <c r="G117" s="5" t="s">
        <v>1551</v>
      </c>
      <c r="H117" s="5" t="s">
        <v>1552</v>
      </c>
      <c r="I117" s="5" t="s">
        <v>1553</v>
      </c>
      <c r="J117" s="5" t="s">
        <v>1554</v>
      </c>
      <c r="K117" s="5">
        <v>39316845</v>
      </c>
      <c r="L117" s="5" t="s">
        <v>1555</v>
      </c>
      <c r="M117" s="5" t="s">
        <v>1556</v>
      </c>
      <c r="N117" s="5" t="s">
        <v>1557</v>
      </c>
      <c r="O117" s="5" t="s">
        <v>1558</v>
      </c>
      <c r="P117" s="5" t="s">
        <v>1559</v>
      </c>
    </row>
    <row r="118" spans="1:16" x14ac:dyDescent="0.45">
      <c r="A118" s="1" t="s">
        <v>112</v>
      </c>
      <c r="B118" s="2">
        <v>4988311</v>
      </c>
      <c r="C118" s="3" t="s">
        <v>1560</v>
      </c>
      <c r="D118" s="3" t="s">
        <v>1561</v>
      </c>
      <c r="E118" s="3" t="s">
        <v>1403</v>
      </c>
      <c r="F118" s="5">
        <v>88214665284</v>
      </c>
      <c r="G118" s="5">
        <v>7787253936</v>
      </c>
      <c r="H118" s="5">
        <v>61139514046</v>
      </c>
      <c r="I118" s="5">
        <v>52048102656</v>
      </c>
      <c r="J118" s="5">
        <v>3845886549</v>
      </c>
      <c r="K118" s="5">
        <v>29207321233</v>
      </c>
      <c r="L118" s="5">
        <v>22890338745</v>
      </c>
      <c r="M118" s="5">
        <v>1971927941</v>
      </c>
      <c r="N118" s="5">
        <v>16821520985</v>
      </c>
      <c r="O118" s="5">
        <v>1476506409</v>
      </c>
      <c r="P118" s="5">
        <v>1628057099</v>
      </c>
    </row>
    <row r="119" spans="1:16" x14ac:dyDescent="0.45">
      <c r="A119" s="1" t="s">
        <v>113</v>
      </c>
      <c r="B119" s="2">
        <v>4004201</v>
      </c>
      <c r="C119" s="3" t="s">
        <v>1562</v>
      </c>
      <c r="D119" s="3" t="s">
        <v>1563</v>
      </c>
      <c r="E119" s="3" t="s">
        <v>784</v>
      </c>
      <c r="F119" s="5" t="s">
        <v>1564</v>
      </c>
      <c r="G119" s="5" t="s">
        <v>1565</v>
      </c>
      <c r="H119" s="5">
        <v>25783950</v>
      </c>
      <c r="I119" s="5" t="s">
        <v>1566</v>
      </c>
      <c r="J119" s="5" t="s">
        <v>1567</v>
      </c>
      <c r="K119" s="5" t="s">
        <v>1568</v>
      </c>
      <c r="L119" s="5" t="s">
        <v>1569</v>
      </c>
      <c r="M119" s="5">
        <v>24022867</v>
      </c>
      <c r="N119" s="5" t="s">
        <v>1570</v>
      </c>
      <c r="O119" s="5" t="s">
        <v>1571</v>
      </c>
      <c r="P119" s="5" t="s">
        <v>1572</v>
      </c>
    </row>
    <row r="120" spans="1:16" x14ac:dyDescent="0.45">
      <c r="A120" s="1" t="s">
        <v>114</v>
      </c>
      <c r="B120" s="2">
        <v>4256640</v>
      </c>
      <c r="C120" s="3" t="s">
        <v>1573</v>
      </c>
      <c r="D120" s="3" t="s">
        <v>1574</v>
      </c>
      <c r="E120" s="3" t="s">
        <v>705</v>
      </c>
      <c r="F120" s="5">
        <v>224918085795</v>
      </c>
      <c r="G120" s="5">
        <v>173446962429</v>
      </c>
      <c r="H120" s="5">
        <v>140013651844</v>
      </c>
      <c r="I120" s="5">
        <v>13183320582</v>
      </c>
      <c r="J120" s="5">
        <v>117867113829</v>
      </c>
      <c r="K120" s="5">
        <v>91515683325</v>
      </c>
      <c r="L120" s="5">
        <v>109146748851</v>
      </c>
      <c r="M120" s="5">
        <v>97842434118</v>
      </c>
      <c r="N120" s="5">
        <v>94259293752</v>
      </c>
      <c r="O120" s="5">
        <v>91194032236</v>
      </c>
      <c r="P120" s="5">
        <v>72645388745</v>
      </c>
    </row>
    <row r="121" spans="1:16" x14ac:dyDescent="0.45">
      <c r="A121" s="1" t="s">
        <v>115</v>
      </c>
      <c r="B121" s="2">
        <v>4094053</v>
      </c>
      <c r="C121" s="3" t="s">
        <v>1575</v>
      </c>
      <c r="D121" s="3" t="s">
        <v>1576</v>
      </c>
      <c r="E121" s="3" t="s">
        <v>1274</v>
      </c>
      <c r="F121" s="5" t="s">
        <v>1577</v>
      </c>
      <c r="G121" s="5" t="s">
        <v>1578</v>
      </c>
      <c r="H121" s="5" t="s">
        <v>1579</v>
      </c>
      <c r="I121" s="5" t="s">
        <v>1580</v>
      </c>
      <c r="J121" s="5">
        <v>63809666703</v>
      </c>
      <c r="K121" s="5" t="s">
        <v>1581</v>
      </c>
      <c r="L121" s="5">
        <v>34342869246</v>
      </c>
      <c r="M121" s="5">
        <v>28935366438</v>
      </c>
      <c r="N121" s="5">
        <v>23930016648</v>
      </c>
      <c r="O121" s="5">
        <v>20699101799</v>
      </c>
      <c r="P121" s="5">
        <v>191476499825</v>
      </c>
    </row>
    <row r="122" spans="1:16" x14ac:dyDescent="0.45">
      <c r="A122" s="1" t="s">
        <v>116</v>
      </c>
      <c r="B122" s="2">
        <v>4126080</v>
      </c>
      <c r="C122" s="3" t="s">
        <v>1582</v>
      </c>
      <c r="D122" s="3" t="s">
        <v>1583</v>
      </c>
      <c r="E122" s="3" t="s">
        <v>1584</v>
      </c>
      <c r="F122" s="5" t="s">
        <v>1585</v>
      </c>
      <c r="G122" s="5" t="s">
        <v>1586</v>
      </c>
      <c r="H122" s="5" t="s">
        <v>1587</v>
      </c>
      <c r="I122" s="5">
        <v>64198083</v>
      </c>
      <c r="J122" s="5" t="s">
        <v>1588</v>
      </c>
      <c r="K122" s="5" t="s">
        <v>1589</v>
      </c>
      <c r="L122" s="5">
        <v>41277680</v>
      </c>
      <c r="M122" s="5">
        <v>35175045</v>
      </c>
      <c r="N122" s="5" t="s">
        <v>1590</v>
      </c>
      <c r="O122" s="5" t="s">
        <v>1591</v>
      </c>
      <c r="P122" s="5" t="s">
        <v>1592</v>
      </c>
    </row>
    <row r="123" spans="1:16" x14ac:dyDescent="0.45">
      <c r="A123" s="1" t="s">
        <v>117</v>
      </c>
      <c r="B123" s="2">
        <v>4010469</v>
      </c>
      <c r="C123" s="3" t="s">
        <v>1593</v>
      </c>
      <c r="D123" s="3" t="s">
        <v>1594</v>
      </c>
      <c r="E123" s="3" t="s">
        <v>813</v>
      </c>
      <c r="F123" s="5" t="s">
        <v>1595</v>
      </c>
      <c r="G123" s="5" t="s">
        <v>1596</v>
      </c>
      <c r="H123" s="5" t="s">
        <v>1597</v>
      </c>
      <c r="I123" s="5" t="s">
        <v>1598</v>
      </c>
      <c r="J123" s="5">
        <v>17498070</v>
      </c>
      <c r="K123" s="5">
        <v>3698370</v>
      </c>
      <c r="L123" s="5">
        <v>39985840195</v>
      </c>
      <c r="M123" s="5">
        <v>36672572486</v>
      </c>
      <c r="N123" s="5">
        <v>39369320832</v>
      </c>
      <c r="O123" s="5">
        <v>48526096137</v>
      </c>
      <c r="P123" s="5">
        <v>48367347385</v>
      </c>
    </row>
    <row r="124" spans="1:16" x14ac:dyDescent="0.45">
      <c r="A124" s="1" t="s">
        <v>118</v>
      </c>
      <c r="B124" s="2">
        <v>4213375</v>
      </c>
      <c r="C124" s="3" t="s">
        <v>1599</v>
      </c>
      <c r="D124" s="3" t="s">
        <v>1600</v>
      </c>
      <c r="E124" s="3" t="s">
        <v>1601</v>
      </c>
      <c r="F124" s="5" t="s">
        <v>1602</v>
      </c>
      <c r="G124" s="5" t="s">
        <v>1603</v>
      </c>
      <c r="H124" s="5" t="s">
        <v>1604</v>
      </c>
      <c r="I124" s="5" t="s">
        <v>1605</v>
      </c>
      <c r="J124" s="5">
        <v>39278331</v>
      </c>
      <c r="K124" s="5">
        <v>36741720</v>
      </c>
      <c r="L124" s="5" t="s">
        <v>1606</v>
      </c>
      <c r="M124" s="5" t="s">
        <v>1607</v>
      </c>
      <c r="N124" s="5">
        <v>31633000</v>
      </c>
      <c r="O124" s="5">
        <v>31594000</v>
      </c>
      <c r="P124" s="5">
        <v>32007000</v>
      </c>
    </row>
    <row r="125" spans="1:16" x14ac:dyDescent="0.45">
      <c r="A125" s="1" t="s">
        <v>119</v>
      </c>
      <c r="B125" s="2">
        <v>4417219</v>
      </c>
      <c r="C125" s="3" t="s">
        <v>1608</v>
      </c>
      <c r="D125" s="3" t="s">
        <v>1609</v>
      </c>
      <c r="E125" s="3" t="s">
        <v>732</v>
      </c>
      <c r="F125" s="5" t="s">
        <v>1610</v>
      </c>
      <c r="G125" s="5" t="s">
        <v>1611</v>
      </c>
      <c r="H125" s="5" t="s">
        <v>1612</v>
      </c>
      <c r="I125" s="5" t="s">
        <v>1613</v>
      </c>
      <c r="J125" s="5">
        <v>34327872</v>
      </c>
      <c r="K125" s="5">
        <v>31692840</v>
      </c>
      <c r="L125" s="5" t="s">
        <v>1614</v>
      </c>
      <c r="M125" s="5" t="s">
        <v>1615</v>
      </c>
      <c r="N125" s="5" t="s">
        <v>1616</v>
      </c>
      <c r="O125" s="5">
        <v>214801146516</v>
      </c>
      <c r="P125" s="5">
        <v>201984614445</v>
      </c>
    </row>
    <row r="126" spans="1:16" x14ac:dyDescent="0.45">
      <c r="A126" s="1" t="s">
        <v>120</v>
      </c>
      <c r="B126" s="2">
        <v>4004350</v>
      </c>
      <c r="C126" s="3" t="s">
        <v>1617</v>
      </c>
      <c r="D126" s="3" t="s">
        <v>1618</v>
      </c>
      <c r="E126" s="3" t="s">
        <v>1619</v>
      </c>
      <c r="F126" s="5" t="s">
        <v>1620</v>
      </c>
      <c r="G126" s="5" t="s">
        <v>1621</v>
      </c>
      <c r="H126" s="5" t="s">
        <v>1622</v>
      </c>
      <c r="I126" s="5" t="s">
        <v>1623</v>
      </c>
      <c r="J126" s="5" t="s">
        <v>1624</v>
      </c>
      <c r="K126" s="5" t="s">
        <v>1625</v>
      </c>
      <c r="L126" s="5" t="s">
        <v>1626</v>
      </c>
      <c r="M126" s="5" t="s">
        <v>1627</v>
      </c>
      <c r="N126" s="5" t="s">
        <v>1628</v>
      </c>
      <c r="O126" s="5" t="s">
        <v>1629</v>
      </c>
      <c r="P126" s="5" t="s">
        <v>1630</v>
      </c>
    </row>
    <row r="127" spans="1:16" x14ac:dyDescent="0.45">
      <c r="A127" s="1" t="s">
        <v>121</v>
      </c>
      <c r="B127" s="2">
        <v>4074303</v>
      </c>
      <c r="C127" s="3" t="s">
        <v>1631</v>
      </c>
      <c r="D127" s="3" t="s">
        <v>1632</v>
      </c>
      <c r="E127" s="3" t="s">
        <v>1248</v>
      </c>
      <c r="F127" s="5" t="s">
        <v>1633</v>
      </c>
      <c r="G127" s="5">
        <v>30464486</v>
      </c>
      <c r="H127" s="5" t="s">
        <v>1634</v>
      </c>
      <c r="I127" s="5" t="s">
        <v>1635</v>
      </c>
      <c r="J127" s="5">
        <v>20848203</v>
      </c>
      <c r="K127" s="5">
        <v>18495120</v>
      </c>
      <c r="L127" s="5" t="s">
        <v>1636</v>
      </c>
      <c r="M127" s="5" t="s">
        <v>1637</v>
      </c>
      <c r="N127" s="5">
        <v>15052860</v>
      </c>
      <c r="O127" s="5" t="s">
        <v>1638</v>
      </c>
      <c r="P127" s="5" t="s">
        <v>1639</v>
      </c>
    </row>
    <row r="128" spans="1:16" x14ac:dyDescent="0.45">
      <c r="A128" s="1" t="s">
        <v>122</v>
      </c>
      <c r="B128" s="2">
        <v>4206348</v>
      </c>
      <c r="C128" s="3" t="s">
        <v>1640</v>
      </c>
      <c r="D128" s="3" t="s">
        <v>1641</v>
      </c>
      <c r="E128" s="3" t="s">
        <v>1642</v>
      </c>
      <c r="F128" s="5" t="s">
        <v>1643</v>
      </c>
      <c r="G128" s="5" t="s">
        <v>1644</v>
      </c>
      <c r="H128" s="5" t="s">
        <v>1645</v>
      </c>
      <c r="I128" s="5" t="s">
        <v>1646</v>
      </c>
      <c r="J128" s="5" t="s">
        <v>1647</v>
      </c>
      <c r="K128" s="5" t="s">
        <v>1648</v>
      </c>
      <c r="L128" s="5" t="s">
        <v>1649</v>
      </c>
      <c r="M128" s="5" t="s">
        <v>1650</v>
      </c>
      <c r="N128" s="5" t="s">
        <v>1651</v>
      </c>
      <c r="O128" s="5" t="s">
        <v>1652</v>
      </c>
      <c r="P128" s="5" t="s">
        <v>1653</v>
      </c>
    </row>
    <row r="129" spans="1:16" x14ac:dyDescent="0.45">
      <c r="A129" s="1" t="s">
        <v>123</v>
      </c>
      <c r="B129" s="2">
        <v>4049266</v>
      </c>
      <c r="C129" s="3" t="s">
        <v>1654</v>
      </c>
      <c r="D129" s="3" t="s">
        <v>1655</v>
      </c>
      <c r="E129" s="3" t="s">
        <v>1656</v>
      </c>
      <c r="F129" s="5" t="s">
        <v>1657</v>
      </c>
      <c r="G129" s="5" t="s">
        <v>1658</v>
      </c>
      <c r="H129" s="5" t="s">
        <v>1659</v>
      </c>
      <c r="I129" s="5" t="s">
        <v>1660</v>
      </c>
      <c r="J129" s="5" t="s">
        <v>1661</v>
      </c>
      <c r="K129" s="5" t="s">
        <v>1662</v>
      </c>
      <c r="L129" s="5" t="s">
        <v>1663</v>
      </c>
      <c r="M129" s="5" t="s">
        <v>1664</v>
      </c>
      <c r="N129" s="5" t="s">
        <v>1665</v>
      </c>
      <c r="O129" s="5">
        <v>10283375385</v>
      </c>
      <c r="P129" s="5" t="s">
        <v>1666</v>
      </c>
    </row>
    <row r="130" spans="1:16" x14ac:dyDescent="0.45">
      <c r="A130" s="1" t="s">
        <v>124</v>
      </c>
      <c r="B130" s="2">
        <v>4810677</v>
      </c>
      <c r="C130" s="3" t="s">
        <v>1667</v>
      </c>
      <c r="D130" s="3" t="s">
        <v>1668</v>
      </c>
      <c r="E130" s="3" t="s">
        <v>578</v>
      </c>
      <c r="F130" s="5" t="s">
        <v>1669</v>
      </c>
      <c r="G130" s="5" t="s">
        <v>1670</v>
      </c>
      <c r="H130" s="5" t="s">
        <v>1671</v>
      </c>
      <c r="I130" s="5">
        <v>78926295</v>
      </c>
      <c r="J130" s="5" t="s">
        <v>1672</v>
      </c>
      <c r="K130" s="5" t="s">
        <v>1673</v>
      </c>
      <c r="L130" s="5" t="s">
        <v>1674</v>
      </c>
      <c r="M130" s="5" t="s">
        <v>1675</v>
      </c>
      <c r="N130" s="5" t="s">
        <v>1676</v>
      </c>
      <c r="O130" s="5" t="s">
        <v>1677</v>
      </c>
      <c r="P130" s="5" t="s">
        <v>1678</v>
      </c>
    </row>
    <row r="131" spans="1:16" x14ac:dyDescent="0.45">
      <c r="A131" s="1" t="s">
        <v>125</v>
      </c>
      <c r="B131" s="2">
        <v>4297825</v>
      </c>
      <c r="C131" s="3" t="s">
        <v>1679</v>
      </c>
      <c r="D131" s="3" t="s">
        <v>1680</v>
      </c>
      <c r="E131" s="3" t="s">
        <v>1361</v>
      </c>
      <c r="F131" s="5" t="s">
        <v>1681</v>
      </c>
      <c r="G131" s="5" t="s">
        <v>1682</v>
      </c>
      <c r="H131" s="5" t="s">
        <v>1683</v>
      </c>
      <c r="I131" s="5" t="s">
        <v>1684</v>
      </c>
      <c r="J131" s="5" t="s">
        <v>1685</v>
      </c>
      <c r="K131" s="5" t="s">
        <v>1686</v>
      </c>
      <c r="L131" s="5" t="s">
        <v>1687</v>
      </c>
      <c r="M131" s="5" t="s">
        <v>1688</v>
      </c>
      <c r="N131" s="5" t="s">
        <v>1689</v>
      </c>
      <c r="O131" s="5" t="s">
        <v>1690</v>
      </c>
      <c r="P131" s="5">
        <v>5462070905</v>
      </c>
    </row>
    <row r="132" spans="1:16" x14ac:dyDescent="0.45">
      <c r="A132" s="1" t="s">
        <v>126</v>
      </c>
      <c r="B132" s="2">
        <v>4189919</v>
      </c>
      <c r="C132" s="3" t="s">
        <v>1691</v>
      </c>
      <c r="D132" s="3" t="s">
        <v>1692</v>
      </c>
      <c r="E132" s="3" t="s">
        <v>1642</v>
      </c>
      <c r="F132" s="5">
        <v>148878037251</v>
      </c>
      <c r="G132" s="5">
        <v>166958403612</v>
      </c>
      <c r="H132" s="5">
        <v>152836200166</v>
      </c>
      <c r="I132" s="5">
        <v>158397653964</v>
      </c>
      <c r="J132" s="5">
        <v>150549243984</v>
      </c>
      <c r="K132" s="5" t="s">
        <v>1693</v>
      </c>
      <c r="L132" s="5">
        <v>154261831934</v>
      </c>
      <c r="M132" s="5">
        <v>166908940968</v>
      </c>
      <c r="N132" s="5">
        <v>158019935808</v>
      </c>
      <c r="O132" s="5">
        <v>177673466048</v>
      </c>
      <c r="P132" s="5">
        <v>1704757115625</v>
      </c>
    </row>
    <row r="133" spans="1:16" x14ac:dyDescent="0.45">
      <c r="A133" s="1" t="s">
        <v>127</v>
      </c>
      <c r="B133" s="2">
        <v>4391531</v>
      </c>
      <c r="C133" s="3" t="s">
        <v>1694</v>
      </c>
      <c r="D133" s="3" t="s">
        <v>1695</v>
      </c>
      <c r="E133" s="3" t="s">
        <v>1696</v>
      </c>
      <c r="F133" s="5">
        <v>33031971504</v>
      </c>
      <c r="G133" s="5">
        <v>29063681751</v>
      </c>
      <c r="H133" s="5">
        <v>23527292412</v>
      </c>
      <c r="I133" s="5" t="s">
        <v>1697</v>
      </c>
      <c r="J133" s="5" t="s">
        <v>1698</v>
      </c>
      <c r="K133" s="5" t="s">
        <v>1699</v>
      </c>
      <c r="L133" s="5">
        <v>1271640546</v>
      </c>
      <c r="M133" s="5">
        <v>10262964343</v>
      </c>
      <c r="N133" s="5">
        <v>1114552656</v>
      </c>
      <c r="O133" s="5">
        <v>11222076074</v>
      </c>
      <c r="P133" s="5">
        <v>108903213305</v>
      </c>
    </row>
    <row r="134" spans="1:16" x14ac:dyDescent="0.45">
      <c r="A134" s="1" t="s">
        <v>128</v>
      </c>
      <c r="B134" s="2">
        <v>114526</v>
      </c>
      <c r="C134" s="3" t="s">
        <v>1700</v>
      </c>
      <c r="D134" s="3" t="s">
        <v>1701</v>
      </c>
      <c r="E134" s="3" t="s">
        <v>1702</v>
      </c>
      <c r="F134" s="5">
        <v>91898532</v>
      </c>
      <c r="G134" s="5">
        <v>99163680</v>
      </c>
      <c r="H134" s="5" t="s">
        <v>1703</v>
      </c>
      <c r="I134" s="5">
        <v>90543171</v>
      </c>
      <c r="J134" s="5" t="s">
        <v>1704</v>
      </c>
      <c r="K134" s="5" t="s">
        <v>1705</v>
      </c>
      <c r="L134" s="5" t="s">
        <v>1706</v>
      </c>
      <c r="M134" s="5">
        <v>61589878</v>
      </c>
      <c r="N134" s="5" t="s">
        <v>1707</v>
      </c>
      <c r="O134" s="5" t="s">
        <v>1708</v>
      </c>
      <c r="P134" s="5" t="s">
        <v>1709</v>
      </c>
    </row>
    <row r="135" spans="1:16" x14ac:dyDescent="0.45">
      <c r="A135" s="1" t="s">
        <v>129</v>
      </c>
      <c r="B135" s="2">
        <v>4625099</v>
      </c>
      <c r="C135" s="3" t="s">
        <v>1710</v>
      </c>
      <c r="D135" s="3" t="s">
        <v>1711</v>
      </c>
      <c r="E135" s="3" t="s">
        <v>832</v>
      </c>
      <c r="F135" s="5" t="s">
        <v>1712</v>
      </c>
      <c r="G135" s="5" t="s">
        <v>1713</v>
      </c>
      <c r="H135" s="5" t="s">
        <v>1714</v>
      </c>
      <c r="I135" s="5" t="s">
        <v>1715</v>
      </c>
      <c r="J135" s="5">
        <v>101669277</v>
      </c>
      <c r="K135" s="5">
        <v>107212622</v>
      </c>
      <c r="L135" s="5">
        <v>97384038</v>
      </c>
      <c r="M135" s="5" t="s">
        <v>1716</v>
      </c>
      <c r="N135" s="5" t="s">
        <v>1717</v>
      </c>
      <c r="O135" s="5" t="s">
        <v>1718</v>
      </c>
      <c r="P135" s="5">
        <v>42686064</v>
      </c>
    </row>
    <row r="136" spans="1:16" x14ac:dyDescent="0.45">
      <c r="A136" s="1" t="s">
        <v>130</v>
      </c>
      <c r="B136" s="2">
        <v>4004278</v>
      </c>
      <c r="C136" s="3" t="s">
        <v>1719</v>
      </c>
      <c r="D136" s="3" t="s">
        <v>1720</v>
      </c>
      <c r="E136" s="3" t="s">
        <v>1721</v>
      </c>
      <c r="F136" s="5" t="s">
        <v>1722</v>
      </c>
      <c r="G136" s="5" t="s">
        <v>1723</v>
      </c>
      <c r="H136" s="5" t="s">
        <v>1724</v>
      </c>
      <c r="I136" s="5" t="s">
        <v>1725</v>
      </c>
      <c r="J136" s="5" t="s">
        <v>1726</v>
      </c>
      <c r="K136" s="5">
        <v>58856730</v>
      </c>
      <c r="L136" s="5" t="s">
        <v>1727</v>
      </c>
      <c r="M136" s="5" t="s">
        <v>1728</v>
      </c>
      <c r="N136" s="5" t="s">
        <v>1729</v>
      </c>
      <c r="O136" s="5" t="s">
        <v>1730</v>
      </c>
      <c r="P136" s="5" t="s">
        <v>1731</v>
      </c>
    </row>
    <row r="137" spans="1:16" x14ac:dyDescent="0.45">
      <c r="A137" s="1" t="s">
        <v>131</v>
      </c>
      <c r="B137" s="2">
        <v>4010561</v>
      </c>
      <c r="C137" s="3" t="s">
        <v>1732</v>
      </c>
      <c r="D137" s="3" t="s">
        <v>1733</v>
      </c>
      <c r="E137" s="3" t="s">
        <v>813</v>
      </c>
      <c r="F137" s="5" t="s">
        <v>1734</v>
      </c>
      <c r="G137" s="5" t="s">
        <v>1735</v>
      </c>
      <c r="H137" s="5">
        <v>22156103</v>
      </c>
      <c r="I137" s="5" t="s">
        <v>1736</v>
      </c>
      <c r="J137" s="5" t="s">
        <v>1737</v>
      </c>
      <c r="K137" s="5">
        <v>8103060</v>
      </c>
      <c r="L137" s="5" t="s">
        <v>1738</v>
      </c>
      <c r="M137" s="5" t="s">
        <v>1739</v>
      </c>
      <c r="N137" s="5" t="s">
        <v>1740</v>
      </c>
      <c r="O137" s="5" t="s">
        <v>1741</v>
      </c>
      <c r="P137" s="5" t="s">
        <v>1742</v>
      </c>
    </row>
    <row r="138" spans="1:16" x14ac:dyDescent="0.45">
      <c r="A138" s="1" t="s">
        <v>132</v>
      </c>
      <c r="B138" s="2">
        <v>4270258</v>
      </c>
      <c r="C138" s="3" t="s">
        <v>1743</v>
      </c>
      <c r="D138" s="3" t="s">
        <v>1744</v>
      </c>
      <c r="E138" s="3" t="s">
        <v>518</v>
      </c>
      <c r="F138" s="5" t="s">
        <v>1745</v>
      </c>
      <c r="G138" s="5" t="s">
        <v>1746</v>
      </c>
      <c r="H138" s="5" t="s">
        <v>1747</v>
      </c>
      <c r="I138" s="5" t="s">
        <v>1748</v>
      </c>
      <c r="J138" s="5" t="s">
        <v>1749</v>
      </c>
      <c r="K138" s="5" t="s">
        <v>1750</v>
      </c>
      <c r="L138" s="5" t="s">
        <v>1751</v>
      </c>
      <c r="M138" s="5" t="s">
        <v>1752</v>
      </c>
      <c r="N138" s="5" t="s">
        <v>1753</v>
      </c>
      <c r="O138" s="5" t="s">
        <v>1754</v>
      </c>
      <c r="P138" s="5">
        <v>268859</v>
      </c>
    </row>
    <row r="139" spans="1:16" x14ac:dyDescent="0.45">
      <c r="A139" s="1" t="s">
        <v>133</v>
      </c>
      <c r="B139" s="2">
        <v>4337452</v>
      </c>
      <c r="C139" s="3" t="s">
        <v>1755</v>
      </c>
      <c r="D139" s="3" t="s">
        <v>1756</v>
      </c>
      <c r="E139" s="3" t="s">
        <v>813</v>
      </c>
      <c r="F139" s="5" t="s">
        <v>1757</v>
      </c>
      <c r="G139" s="5" t="s">
        <v>1758</v>
      </c>
      <c r="H139" s="5" t="s">
        <v>1759</v>
      </c>
      <c r="I139" s="5" t="s">
        <v>1760</v>
      </c>
      <c r="J139" s="5" t="s">
        <v>1761</v>
      </c>
      <c r="K139" s="5" t="s">
        <v>1762</v>
      </c>
      <c r="L139" s="5" t="s">
        <v>1763</v>
      </c>
      <c r="M139" s="5" t="s">
        <v>1764</v>
      </c>
      <c r="N139" s="5">
        <v>6471676308</v>
      </c>
      <c r="O139" s="5">
        <v>5067751864</v>
      </c>
      <c r="P139" s="5">
        <v>253272451925</v>
      </c>
    </row>
    <row r="140" spans="1:16" x14ac:dyDescent="0.45">
      <c r="A140" s="1" t="s">
        <v>134</v>
      </c>
      <c r="B140" s="2">
        <v>4094311</v>
      </c>
      <c r="C140" s="3" t="s">
        <v>1765</v>
      </c>
      <c r="D140" s="3" t="s">
        <v>1766</v>
      </c>
      <c r="E140" s="3" t="s">
        <v>1767</v>
      </c>
      <c r="F140" s="5">
        <v>420828955956</v>
      </c>
      <c r="G140" s="5">
        <v>437394446944</v>
      </c>
      <c r="H140" s="5">
        <v>399092645126</v>
      </c>
      <c r="I140" s="5">
        <v>388175126286</v>
      </c>
      <c r="J140" s="5">
        <v>31979754108</v>
      </c>
      <c r="K140" s="5">
        <v>294923678925</v>
      </c>
      <c r="L140" s="5">
        <v>205560115341</v>
      </c>
      <c r="M140" s="5">
        <v>20757831413</v>
      </c>
      <c r="N140" s="5">
        <v>17825538516</v>
      </c>
      <c r="O140" s="5">
        <v>115500357705</v>
      </c>
      <c r="P140" s="5">
        <v>1051134000725</v>
      </c>
    </row>
    <row r="141" spans="1:16" x14ac:dyDescent="0.45">
      <c r="A141" s="1" t="s">
        <v>135</v>
      </c>
      <c r="B141" s="2">
        <v>4022058</v>
      </c>
      <c r="C141" s="3" t="s">
        <v>1768</v>
      </c>
      <c r="D141" s="3" t="s">
        <v>1769</v>
      </c>
      <c r="E141" s="3" t="s">
        <v>1584</v>
      </c>
      <c r="F141" s="5">
        <v>299528024193</v>
      </c>
      <c r="G141" s="5">
        <v>285382741797</v>
      </c>
      <c r="H141" s="5">
        <v>268003226905</v>
      </c>
      <c r="I141" s="5">
        <v>235866916789</v>
      </c>
      <c r="J141" s="5">
        <v>213056296512</v>
      </c>
      <c r="K141" s="5">
        <v>20588225768</v>
      </c>
      <c r="L141" s="5">
        <v>114993966942</v>
      </c>
      <c r="M141" s="5">
        <v>100610930618</v>
      </c>
      <c r="N141" s="5">
        <v>108283908546</v>
      </c>
      <c r="O141" s="5">
        <v>1040397442275</v>
      </c>
      <c r="P141" s="5">
        <v>99280546515</v>
      </c>
    </row>
    <row r="142" spans="1:16" x14ac:dyDescent="0.45">
      <c r="A142" s="1" t="s">
        <v>136</v>
      </c>
      <c r="B142" s="2">
        <v>4911259</v>
      </c>
      <c r="C142" s="3" t="s">
        <v>1770</v>
      </c>
      <c r="D142" s="3" t="s">
        <v>1771</v>
      </c>
      <c r="E142" s="3" t="s">
        <v>1584</v>
      </c>
      <c r="F142" s="5" t="s">
        <v>1772</v>
      </c>
      <c r="G142" s="5" t="s">
        <v>1773</v>
      </c>
      <c r="H142" s="5" t="s">
        <v>1774</v>
      </c>
      <c r="I142" s="5" t="s">
        <v>1775</v>
      </c>
      <c r="J142" s="5" t="s">
        <v>1776</v>
      </c>
      <c r="K142" s="5" t="s">
        <v>1777</v>
      </c>
      <c r="L142" s="5" t="s">
        <v>1778</v>
      </c>
      <c r="M142" s="5" t="s">
        <v>1779</v>
      </c>
      <c r="N142" s="5" t="s">
        <v>1780</v>
      </c>
      <c r="O142" s="5" t="s">
        <v>1781</v>
      </c>
      <c r="P142" s="5">
        <v>3093659025</v>
      </c>
    </row>
    <row r="143" spans="1:16" x14ac:dyDescent="0.45">
      <c r="A143" s="1" t="s">
        <v>137</v>
      </c>
      <c r="B143" s="2">
        <v>4001616</v>
      </c>
      <c r="C143" s="3" t="s">
        <v>1782</v>
      </c>
      <c r="D143" s="3" t="s">
        <v>1783</v>
      </c>
      <c r="E143" s="3" t="s">
        <v>686</v>
      </c>
      <c r="F143" s="5" t="s">
        <v>1784</v>
      </c>
      <c r="G143" s="5" t="s">
        <v>1785</v>
      </c>
      <c r="H143" s="5">
        <v>98684676</v>
      </c>
      <c r="I143" s="5" t="s">
        <v>1786</v>
      </c>
      <c r="J143" s="5">
        <v>87569487</v>
      </c>
      <c r="K143" s="5" t="s">
        <v>1787</v>
      </c>
      <c r="L143" s="5" t="s">
        <v>1788</v>
      </c>
      <c r="M143" s="5" t="s">
        <v>1789</v>
      </c>
      <c r="N143" s="5">
        <v>63779988</v>
      </c>
      <c r="O143" s="5">
        <v>67836153</v>
      </c>
      <c r="P143" s="5">
        <v>54000146</v>
      </c>
    </row>
    <row r="144" spans="1:16" x14ac:dyDescent="0.45">
      <c r="A144" s="1" t="s">
        <v>138</v>
      </c>
      <c r="B144" s="2">
        <v>4206221</v>
      </c>
      <c r="C144" s="3" t="s">
        <v>1790</v>
      </c>
      <c r="D144" s="3" t="s">
        <v>1791</v>
      </c>
      <c r="E144" s="3" t="s">
        <v>1361</v>
      </c>
      <c r="F144" s="5" t="s">
        <v>1792</v>
      </c>
      <c r="G144" s="5">
        <v>16656217657</v>
      </c>
      <c r="H144" s="5">
        <v>15152811253</v>
      </c>
      <c r="I144" s="5">
        <v>14991981897</v>
      </c>
      <c r="J144" s="5">
        <v>14700278088</v>
      </c>
      <c r="K144" s="5">
        <v>12828837248</v>
      </c>
      <c r="L144" s="5">
        <v>12368341308</v>
      </c>
      <c r="M144" s="5">
        <v>792691536</v>
      </c>
      <c r="N144" s="5">
        <v>6968478984</v>
      </c>
      <c r="O144" s="5">
        <v>6785462535</v>
      </c>
      <c r="P144" s="5">
        <v>73629731475</v>
      </c>
    </row>
    <row r="145" spans="1:16" x14ac:dyDescent="0.45">
      <c r="A145" s="1" t="s">
        <v>139</v>
      </c>
      <c r="B145" s="2">
        <v>4068060</v>
      </c>
      <c r="C145" s="3" t="s">
        <v>1793</v>
      </c>
      <c r="D145" s="3" t="s">
        <v>1794</v>
      </c>
      <c r="E145" s="3" t="s">
        <v>1795</v>
      </c>
      <c r="F145" s="5">
        <v>114318776691</v>
      </c>
      <c r="G145" s="5">
        <v>12082597644</v>
      </c>
      <c r="H145" s="5">
        <v>102669997111</v>
      </c>
      <c r="I145" s="5">
        <v>101958728283</v>
      </c>
      <c r="J145" s="5">
        <v>91479092211</v>
      </c>
      <c r="K145" s="5">
        <v>7481820495</v>
      </c>
      <c r="L145" s="5">
        <v>77253709547</v>
      </c>
      <c r="M145" s="5">
        <v>73066643914</v>
      </c>
      <c r="N145" s="5">
        <v>88762813752</v>
      </c>
      <c r="O145" s="5">
        <v>95828782743</v>
      </c>
      <c r="P145" s="5">
        <v>7924044477</v>
      </c>
    </row>
    <row r="146" spans="1:16" x14ac:dyDescent="0.45">
      <c r="A146" s="1" t="s">
        <v>140</v>
      </c>
      <c r="B146" s="2">
        <v>4057044</v>
      </c>
      <c r="C146" s="3" t="s">
        <v>1796</v>
      </c>
      <c r="D146" s="3" t="s">
        <v>1797</v>
      </c>
      <c r="E146" s="3" t="s">
        <v>686</v>
      </c>
      <c r="F146" s="5" t="s">
        <v>1798</v>
      </c>
      <c r="G146" s="5" t="s">
        <v>1799</v>
      </c>
      <c r="H146" s="5" t="s">
        <v>1800</v>
      </c>
      <c r="I146" s="5" t="s">
        <v>1801</v>
      </c>
      <c r="J146" s="5" t="s">
        <v>1802</v>
      </c>
      <c r="K146" s="5">
        <v>37192980</v>
      </c>
      <c r="L146" s="5" t="s">
        <v>1803</v>
      </c>
      <c r="M146" s="5" t="s">
        <v>1804</v>
      </c>
      <c r="N146" s="5" t="s">
        <v>1805</v>
      </c>
      <c r="O146" s="5" t="s">
        <v>1806</v>
      </c>
      <c r="P146" s="5" t="s">
        <v>1807</v>
      </c>
    </row>
    <row r="147" spans="1:16" x14ac:dyDescent="0.45">
      <c r="A147" s="1" t="s">
        <v>141</v>
      </c>
      <c r="B147" s="2">
        <v>4121470</v>
      </c>
      <c r="C147" s="3" t="s">
        <v>1808</v>
      </c>
      <c r="D147" s="3" t="s">
        <v>1809</v>
      </c>
      <c r="E147" s="3" t="s">
        <v>627</v>
      </c>
      <c r="F147" s="5" t="s">
        <v>1810</v>
      </c>
      <c r="G147" s="5" t="s">
        <v>1811</v>
      </c>
      <c r="H147" s="5" t="s">
        <v>1812</v>
      </c>
      <c r="I147" s="5" t="s">
        <v>1813</v>
      </c>
      <c r="J147" s="5" t="s">
        <v>1814</v>
      </c>
      <c r="K147" s="5">
        <v>132752190</v>
      </c>
      <c r="L147" s="5" t="s">
        <v>1815</v>
      </c>
      <c r="M147" s="5" t="s">
        <v>1816</v>
      </c>
      <c r="N147" s="5" t="s">
        <v>1817</v>
      </c>
      <c r="O147" s="5" t="s">
        <v>1818</v>
      </c>
      <c r="P147" s="5">
        <v>111554387</v>
      </c>
    </row>
    <row r="148" spans="1:16" x14ac:dyDescent="0.45">
      <c r="A148" s="1" t="s">
        <v>142</v>
      </c>
      <c r="B148" s="2">
        <v>4873611</v>
      </c>
      <c r="C148" s="3" t="s">
        <v>1819</v>
      </c>
      <c r="D148" s="3" t="s">
        <v>1820</v>
      </c>
      <c r="E148" s="3" t="s">
        <v>604</v>
      </c>
      <c r="F148" s="5" t="s">
        <v>1821</v>
      </c>
      <c r="G148" s="5" t="s">
        <v>1822</v>
      </c>
      <c r="H148" s="5" t="s">
        <v>1823</v>
      </c>
      <c r="I148" s="5" t="s">
        <v>1824</v>
      </c>
      <c r="J148" s="5" t="s">
        <v>1825</v>
      </c>
      <c r="K148" s="5">
        <v>57964020</v>
      </c>
      <c r="L148" s="5" t="s">
        <v>1826</v>
      </c>
      <c r="M148" s="5">
        <v>164072557</v>
      </c>
      <c r="N148" s="5" t="s">
        <v>1827</v>
      </c>
      <c r="O148" s="5" t="s">
        <v>1828</v>
      </c>
      <c r="P148" s="5" t="s">
        <v>1829</v>
      </c>
    </row>
    <row r="149" spans="1:16" x14ac:dyDescent="0.45">
      <c r="A149" s="1" t="s">
        <v>143</v>
      </c>
      <c r="B149" s="2">
        <v>4991395</v>
      </c>
      <c r="C149" s="3" t="s">
        <v>1830</v>
      </c>
      <c r="D149" s="3" t="s">
        <v>1831</v>
      </c>
      <c r="E149" s="3" t="s">
        <v>769</v>
      </c>
      <c r="F149" s="5" t="s">
        <v>1832</v>
      </c>
      <c r="G149" s="5" t="s">
        <v>1833</v>
      </c>
      <c r="H149" s="5" t="s">
        <v>1834</v>
      </c>
      <c r="I149" s="5" t="s">
        <v>1835</v>
      </c>
      <c r="J149" s="5" t="s">
        <v>1836</v>
      </c>
      <c r="K149" s="5">
        <v>26016120</v>
      </c>
      <c r="L149" s="5" t="s">
        <v>1837</v>
      </c>
      <c r="M149" s="5" t="s">
        <v>1838</v>
      </c>
      <c r="N149" s="5" t="s">
        <v>1839</v>
      </c>
      <c r="O149" s="5" t="s">
        <v>1840</v>
      </c>
      <c r="P149" s="5">
        <v>28539567</v>
      </c>
    </row>
    <row r="150" spans="1:16" x14ac:dyDescent="0.45">
      <c r="A150" s="1" t="s">
        <v>144</v>
      </c>
      <c r="B150" s="2">
        <v>4081627</v>
      </c>
      <c r="C150" s="3" t="s">
        <v>1841</v>
      </c>
      <c r="D150" s="3" t="s">
        <v>1842</v>
      </c>
      <c r="E150" s="3" t="s">
        <v>664</v>
      </c>
      <c r="F150" s="5">
        <v>14998437</v>
      </c>
      <c r="G150" s="5" t="s">
        <v>1843</v>
      </c>
      <c r="H150" s="5">
        <v>19559614</v>
      </c>
      <c r="I150" s="5">
        <v>19509345</v>
      </c>
      <c r="J150" s="5" t="s">
        <v>1844</v>
      </c>
      <c r="K150" s="5">
        <v>15785925</v>
      </c>
      <c r="L150" s="5" t="s">
        <v>1845</v>
      </c>
      <c r="M150" s="5" t="s">
        <v>1846</v>
      </c>
      <c r="N150" s="5" t="s">
        <v>1847</v>
      </c>
      <c r="O150" s="5" t="s">
        <v>1848</v>
      </c>
      <c r="P150" s="5" t="s">
        <v>1849</v>
      </c>
    </row>
    <row r="151" spans="1:16" x14ac:dyDescent="0.45">
      <c r="A151" s="1" t="s">
        <v>145</v>
      </c>
      <c r="B151" s="2">
        <v>4190757</v>
      </c>
      <c r="C151" s="3" t="s">
        <v>1850</v>
      </c>
      <c r="D151" s="3" t="s">
        <v>1851</v>
      </c>
      <c r="E151" s="3" t="s">
        <v>1339</v>
      </c>
      <c r="F151" s="5">
        <v>366370295535</v>
      </c>
      <c r="G151" s="5">
        <v>588606777733</v>
      </c>
      <c r="H151" s="5">
        <v>516664164018</v>
      </c>
      <c r="I151" s="5">
        <v>549707665317</v>
      </c>
      <c r="J151" s="5">
        <v>53155478772</v>
      </c>
      <c r="K151" s="5" t="s">
        <v>1852</v>
      </c>
      <c r="L151" s="5">
        <v>63751949478</v>
      </c>
      <c r="M151" s="5">
        <v>75647741796</v>
      </c>
      <c r="N151" s="5">
        <v>72870116592</v>
      </c>
      <c r="O151" s="5">
        <v>85340921307</v>
      </c>
      <c r="P151" s="5">
        <v>66381342345</v>
      </c>
    </row>
    <row r="152" spans="1:16" x14ac:dyDescent="0.45">
      <c r="A152" s="1" t="s">
        <v>146</v>
      </c>
      <c r="B152" s="2">
        <v>4051243</v>
      </c>
      <c r="C152" s="3" t="s">
        <v>1853</v>
      </c>
      <c r="D152" s="3" t="s">
        <v>1854</v>
      </c>
      <c r="E152" s="3" t="s">
        <v>604</v>
      </c>
      <c r="F152" s="5" t="s">
        <v>1855</v>
      </c>
      <c r="G152" s="5" t="s">
        <v>1856</v>
      </c>
      <c r="H152" s="5" t="s">
        <v>1857</v>
      </c>
      <c r="I152" s="5" t="s">
        <v>1858</v>
      </c>
      <c r="J152" s="5" t="s">
        <v>1859</v>
      </c>
      <c r="K152" s="5">
        <v>14818005</v>
      </c>
      <c r="L152" s="5" t="s">
        <v>1860</v>
      </c>
      <c r="M152" s="5" t="s">
        <v>1861</v>
      </c>
      <c r="N152" s="5" t="s">
        <v>1862</v>
      </c>
      <c r="O152" s="5" t="s">
        <v>1863</v>
      </c>
      <c r="P152" s="5">
        <v>17164345275</v>
      </c>
    </row>
    <row r="153" spans="1:16" x14ac:dyDescent="0.45">
      <c r="A153" s="1" t="s">
        <v>147</v>
      </c>
      <c r="B153" s="2">
        <v>4056943</v>
      </c>
      <c r="C153" s="3" t="s">
        <v>1864</v>
      </c>
      <c r="D153" s="3" t="s">
        <v>1865</v>
      </c>
      <c r="E153" s="3" t="s">
        <v>627</v>
      </c>
      <c r="F153" s="5" t="s">
        <v>1866</v>
      </c>
      <c r="G153" s="5" t="s">
        <v>1867</v>
      </c>
      <c r="H153" s="5" t="s">
        <v>1868</v>
      </c>
      <c r="I153" s="5" t="s">
        <v>1869</v>
      </c>
      <c r="J153" s="5" t="s">
        <v>1870</v>
      </c>
      <c r="K153" s="5">
        <v>56711610</v>
      </c>
      <c r="L153" s="5" t="s">
        <v>1871</v>
      </c>
      <c r="M153" s="5">
        <v>49534881</v>
      </c>
      <c r="N153" s="5">
        <v>43788624</v>
      </c>
      <c r="O153" s="5" t="s">
        <v>1872</v>
      </c>
      <c r="P153" s="5" t="s">
        <v>1873</v>
      </c>
    </row>
    <row r="154" spans="1:16" x14ac:dyDescent="0.45">
      <c r="A154" s="1" t="s">
        <v>148</v>
      </c>
      <c r="B154" s="2">
        <v>4812781</v>
      </c>
      <c r="C154" s="3" t="s">
        <v>1874</v>
      </c>
      <c r="D154" s="3" t="s">
        <v>1875</v>
      </c>
      <c r="E154" s="3" t="s">
        <v>518</v>
      </c>
      <c r="F154" s="5" t="s">
        <v>1876</v>
      </c>
      <c r="G154" s="5" t="s">
        <v>1877</v>
      </c>
      <c r="H154" s="5" t="s">
        <v>1878</v>
      </c>
      <c r="I154" s="5" t="s">
        <v>1879</v>
      </c>
      <c r="J154" s="5" t="s">
        <v>1880</v>
      </c>
      <c r="K154" s="5" t="s">
        <v>1881</v>
      </c>
      <c r="L154" s="5" t="s">
        <v>1882</v>
      </c>
      <c r="M154" s="5" t="s">
        <v>1883</v>
      </c>
      <c r="N154" s="5" t="s">
        <v>1884</v>
      </c>
      <c r="O154" s="5">
        <v>4272323</v>
      </c>
      <c r="P154" s="5">
        <v>3734838225</v>
      </c>
    </row>
    <row r="155" spans="1:16" x14ac:dyDescent="0.45">
      <c r="A155" s="1" t="s">
        <v>149</v>
      </c>
      <c r="B155" s="2">
        <v>4100183</v>
      </c>
      <c r="C155" s="3" t="s">
        <v>1885</v>
      </c>
      <c r="D155" s="3" t="s">
        <v>1886</v>
      </c>
      <c r="E155" s="3" t="s">
        <v>1887</v>
      </c>
      <c r="F155" s="5" t="s">
        <v>1888</v>
      </c>
      <c r="G155" s="5">
        <v>12438998</v>
      </c>
      <c r="H155" s="5" t="s">
        <v>1889</v>
      </c>
      <c r="I155" s="5">
        <v>12422760</v>
      </c>
      <c r="J155" s="5">
        <v>11321376</v>
      </c>
      <c r="K155" s="5">
        <v>10111920</v>
      </c>
      <c r="L155" s="5">
        <v>7980687</v>
      </c>
      <c r="M155" s="5" t="s">
        <v>1890</v>
      </c>
      <c r="N155" s="5" t="s">
        <v>1891</v>
      </c>
      <c r="O155" s="5" t="s">
        <v>1892</v>
      </c>
      <c r="P155" s="5" t="s">
        <v>1893</v>
      </c>
    </row>
    <row r="156" spans="1:16" x14ac:dyDescent="0.45">
      <c r="A156" s="1" t="s">
        <v>150</v>
      </c>
      <c r="B156" s="2">
        <v>4072364</v>
      </c>
      <c r="C156" s="3" t="s">
        <v>1894</v>
      </c>
      <c r="D156" s="3" t="s">
        <v>1895</v>
      </c>
      <c r="E156" s="3" t="s">
        <v>1296</v>
      </c>
      <c r="F156" s="5" t="s">
        <v>1896</v>
      </c>
      <c r="G156" s="5" t="s">
        <v>1897</v>
      </c>
      <c r="H156" s="5" t="s">
        <v>1898</v>
      </c>
      <c r="I156" s="5" t="s">
        <v>1899</v>
      </c>
      <c r="J156" s="5">
        <v>85696578</v>
      </c>
      <c r="K156" s="5" t="s">
        <v>1900</v>
      </c>
      <c r="L156" s="5" t="s">
        <v>1901</v>
      </c>
      <c r="M156" s="5" t="s">
        <v>1902</v>
      </c>
      <c r="N156" s="5">
        <v>58745712</v>
      </c>
      <c r="O156" s="5" t="s">
        <v>1903</v>
      </c>
      <c r="P156" s="5" t="s">
        <v>1904</v>
      </c>
    </row>
    <row r="157" spans="1:16" x14ac:dyDescent="0.45">
      <c r="A157" s="1" t="s">
        <v>151</v>
      </c>
      <c r="B157" s="2">
        <v>4059821</v>
      </c>
      <c r="C157" s="3" t="s">
        <v>1905</v>
      </c>
      <c r="D157" s="3" t="s">
        <v>1906</v>
      </c>
      <c r="E157" s="3" t="s">
        <v>1127</v>
      </c>
      <c r="F157" s="5" t="s">
        <v>1907</v>
      </c>
      <c r="G157" s="5" t="s">
        <v>1908</v>
      </c>
      <c r="H157" s="5" t="s">
        <v>1909</v>
      </c>
      <c r="I157" s="5" t="s">
        <v>1910</v>
      </c>
      <c r="J157" s="5" t="s">
        <v>1911</v>
      </c>
      <c r="K157" s="5" t="s">
        <v>1912</v>
      </c>
      <c r="L157" s="5" t="s">
        <v>1913</v>
      </c>
      <c r="M157" s="5" t="s">
        <v>1914</v>
      </c>
      <c r="N157" s="5" t="s">
        <v>1915</v>
      </c>
      <c r="O157" s="5" t="s">
        <v>1916</v>
      </c>
      <c r="P157" s="5">
        <v>32750064675</v>
      </c>
    </row>
    <row r="158" spans="1:16" x14ac:dyDescent="0.45">
      <c r="A158" s="1" t="s">
        <v>152</v>
      </c>
      <c r="B158" s="2">
        <v>4279452</v>
      </c>
      <c r="C158" s="3" t="s">
        <v>1917</v>
      </c>
      <c r="D158" s="3" t="s">
        <v>1918</v>
      </c>
      <c r="E158" s="3" t="s">
        <v>1500</v>
      </c>
      <c r="F158" s="5">
        <v>79134845283</v>
      </c>
      <c r="G158" s="5">
        <v>74533412707</v>
      </c>
      <c r="H158" s="5">
        <v>59798145887</v>
      </c>
      <c r="I158" s="5">
        <v>51693747699</v>
      </c>
      <c r="J158" s="5">
        <v>47846634678</v>
      </c>
      <c r="K158" s="5" t="s">
        <v>1919</v>
      </c>
      <c r="L158" s="5">
        <v>43043320138</v>
      </c>
      <c r="M158" s="5">
        <v>35711640338</v>
      </c>
      <c r="N158" s="5">
        <v>33028048512</v>
      </c>
      <c r="O158" s="5">
        <v>36494145174</v>
      </c>
      <c r="P158" s="5">
        <v>326190143275</v>
      </c>
    </row>
    <row r="159" spans="1:16" x14ac:dyDescent="0.45">
      <c r="A159" s="1" t="s">
        <v>153</v>
      </c>
      <c r="B159" s="2">
        <v>4136907</v>
      </c>
      <c r="C159" s="3" t="s">
        <v>1920</v>
      </c>
      <c r="D159" s="3" t="s">
        <v>1921</v>
      </c>
      <c r="E159" s="3" t="s">
        <v>769</v>
      </c>
      <c r="F159" s="5" t="s">
        <v>1922</v>
      </c>
      <c r="G159" s="5" t="s">
        <v>1923</v>
      </c>
      <c r="H159" s="5" t="s">
        <v>1924</v>
      </c>
      <c r="I159" s="5" t="s">
        <v>1925</v>
      </c>
      <c r="J159" s="5">
        <v>21324102</v>
      </c>
      <c r="K159" s="5" t="s">
        <v>1926</v>
      </c>
      <c r="L159" s="5" t="s">
        <v>1927</v>
      </c>
      <c r="M159" s="5">
        <v>17549673</v>
      </c>
      <c r="N159" s="5" t="s">
        <v>1928</v>
      </c>
      <c r="O159" s="5" t="s">
        <v>1929</v>
      </c>
      <c r="P159" s="5" t="s">
        <v>1930</v>
      </c>
    </row>
    <row r="160" spans="1:16" x14ac:dyDescent="0.45">
      <c r="A160" s="1" t="s">
        <v>154</v>
      </c>
      <c r="B160" s="2">
        <v>4007889</v>
      </c>
      <c r="C160" s="3" t="s">
        <v>1931</v>
      </c>
      <c r="D160" s="3" t="s">
        <v>1932</v>
      </c>
      <c r="E160" s="3" t="s">
        <v>627</v>
      </c>
      <c r="F160" s="5">
        <v>61229334741</v>
      </c>
      <c r="G160" s="5">
        <v>625806919088</v>
      </c>
      <c r="H160" s="5">
        <v>540136623612</v>
      </c>
      <c r="I160" s="5">
        <v>548275202187</v>
      </c>
      <c r="J160" s="5">
        <v>522781149906</v>
      </c>
      <c r="K160" s="5" t="s">
        <v>1933</v>
      </c>
      <c r="L160" s="5">
        <v>460911779832</v>
      </c>
      <c r="M160" s="5">
        <v>421634426444</v>
      </c>
      <c r="N160" s="5">
        <v>388977136872</v>
      </c>
      <c r="O160" s="5">
        <v>434852703282</v>
      </c>
      <c r="P160" s="5">
        <v>4110935228075</v>
      </c>
    </row>
    <row r="161" spans="1:16" x14ac:dyDescent="0.45">
      <c r="A161" s="1" t="s">
        <v>155</v>
      </c>
      <c r="B161" s="2">
        <v>4075407</v>
      </c>
      <c r="C161" s="3" t="s">
        <v>1934</v>
      </c>
      <c r="D161" s="3" t="s">
        <v>1935</v>
      </c>
      <c r="E161" s="3" t="s">
        <v>813</v>
      </c>
      <c r="F161" s="5" t="s">
        <v>1936</v>
      </c>
      <c r="G161" s="5" t="s">
        <v>1937</v>
      </c>
      <c r="H161" s="5" t="s">
        <v>1938</v>
      </c>
      <c r="I161" s="5" t="s">
        <v>1939</v>
      </c>
      <c r="J161" s="5" t="s">
        <v>1940</v>
      </c>
      <c r="K161" s="5" t="s">
        <v>1941</v>
      </c>
      <c r="L161" s="5">
        <v>330817381888</v>
      </c>
      <c r="M161" s="5">
        <v>296383695916</v>
      </c>
      <c r="N161" s="5">
        <v>248449873584</v>
      </c>
      <c r="O161" s="5">
        <v>277551331073</v>
      </c>
      <c r="P161" s="5">
        <v>248330602525</v>
      </c>
    </row>
    <row r="162" spans="1:16" x14ac:dyDescent="0.45">
      <c r="A162" s="1" t="s">
        <v>156</v>
      </c>
      <c r="B162" s="2">
        <v>4309704</v>
      </c>
      <c r="C162" s="3" t="s">
        <v>1942</v>
      </c>
      <c r="D162" s="3" t="s">
        <v>1943</v>
      </c>
      <c r="E162" s="3" t="s">
        <v>543</v>
      </c>
      <c r="F162" s="5">
        <v>41751492312</v>
      </c>
      <c r="G162" s="5">
        <v>45884818707</v>
      </c>
      <c r="H162" s="5">
        <v>39375846155</v>
      </c>
      <c r="I162" s="5">
        <v>37513625907</v>
      </c>
      <c r="J162" s="5">
        <v>30979735011</v>
      </c>
      <c r="K162" s="5" t="s">
        <v>1944</v>
      </c>
      <c r="L162" s="5">
        <v>19998137488</v>
      </c>
      <c r="M162" s="5">
        <v>14077478668</v>
      </c>
      <c r="N162" s="5">
        <v>10412131968</v>
      </c>
      <c r="O162" s="5">
        <v>8770207603</v>
      </c>
      <c r="P162" s="5">
        <v>716837022</v>
      </c>
    </row>
    <row r="163" spans="1:16" x14ac:dyDescent="0.45">
      <c r="A163" s="1" t="s">
        <v>157</v>
      </c>
      <c r="B163" s="2">
        <v>4004341</v>
      </c>
      <c r="C163" s="3" t="s">
        <v>1945</v>
      </c>
      <c r="D163" s="3" t="s">
        <v>1946</v>
      </c>
      <c r="E163" s="3" t="s">
        <v>813</v>
      </c>
      <c r="F163" s="5">
        <v>355949907858</v>
      </c>
      <c r="G163" s="5">
        <v>384720433045</v>
      </c>
      <c r="H163" s="5">
        <v>228754281606</v>
      </c>
      <c r="I163" s="5">
        <v>212122497582</v>
      </c>
      <c r="J163" s="5">
        <v>189993762684</v>
      </c>
      <c r="K163" s="5">
        <v>148077609075</v>
      </c>
      <c r="L163" s="5">
        <v>167609021797</v>
      </c>
      <c r="M163" s="5">
        <v>180980218496</v>
      </c>
      <c r="N163" s="5">
        <v>245864246112</v>
      </c>
      <c r="O163" s="5">
        <v>146574990106</v>
      </c>
      <c r="P163" s="5">
        <v>12868560369</v>
      </c>
    </row>
    <row r="164" spans="1:16" x14ac:dyDescent="0.45">
      <c r="A164" s="1" t="s">
        <v>158</v>
      </c>
      <c r="B164" s="2">
        <v>4040823</v>
      </c>
      <c r="C164" s="3" t="s">
        <v>1947</v>
      </c>
      <c r="D164" s="3" t="s">
        <v>1948</v>
      </c>
      <c r="E164" s="3" t="s">
        <v>1949</v>
      </c>
      <c r="F164" s="5" t="s">
        <v>1950</v>
      </c>
      <c r="G164" s="5" t="s">
        <v>1951</v>
      </c>
      <c r="H164" s="5">
        <v>11109716</v>
      </c>
      <c r="I164" s="5" t="s">
        <v>1952</v>
      </c>
      <c r="J164" s="5" t="s">
        <v>1953</v>
      </c>
      <c r="K164" s="5" t="s">
        <v>1954</v>
      </c>
      <c r="L164" s="5" t="s">
        <v>1955</v>
      </c>
      <c r="M164" s="5" t="s">
        <v>1956</v>
      </c>
      <c r="N164" s="5" t="s">
        <v>1957</v>
      </c>
      <c r="O164" s="5" t="s">
        <v>1958</v>
      </c>
      <c r="P164" s="5">
        <v>4144756125</v>
      </c>
    </row>
    <row r="165" spans="1:16" x14ac:dyDescent="0.45">
      <c r="A165" s="1" t="s">
        <v>159</v>
      </c>
      <c r="B165" s="2">
        <v>4570011</v>
      </c>
      <c r="C165" s="3" t="s">
        <v>1959</v>
      </c>
      <c r="D165" s="3" t="s">
        <v>1960</v>
      </c>
      <c r="E165" s="3" t="s">
        <v>1767</v>
      </c>
      <c r="F165" s="5" t="s">
        <v>1961</v>
      </c>
      <c r="G165" s="5" t="s">
        <v>1962</v>
      </c>
      <c r="H165" s="5" t="s">
        <v>1963</v>
      </c>
      <c r="I165" s="5">
        <v>283617612894</v>
      </c>
      <c r="J165" s="5">
        <v>245489111514</v>
      </c>
      <c r="K165" s="5">
        <v>220780925175</v>
      </c>
      <c r="L165" s="5">
        <v>213557595265</v>
      </c>
      <c r="M165" s="5">
        <v>176816668292</v>
      </c>
      <c r="N165" s="5">
        <v>155662453896</v>
      </c>
      <c r="O165" s="5">
        <v>119439098483</v>
      </c>
      <c r="P165" s="5">
        <v>953592692125</v>
      </c>
    </row>
    <row r="166" spans="1:16" x14ac:dyDescent="0.45">
      <c r="A166" s="1" t="s">
        <v>160</v>
      </c>
      <c r="B166" s="2">
        <v>103054</v>
      </c>
      <c r="C166" s="3" t="s">
        <v>1964</v>
      </c>
      <c r="D166" s="3" t="s">
        <v>1965</v>
      </c>
      <c r="E166" s="3" t="s">
        <v>960</v>
      </c>
      <c r="F166" s="5">
        <v>176693877891</v>
      </c>
      <c r="G166" s="5">
        <v>201237305984</v>
      </c>
      <c r="H166" s="5">
        <v>181252700508</v>
      </c>
      <c r="I166" s="5">
        <v>189182277534</v>
      </c>
      <c r="J166" s="5">
        <v>186141136113</v>
      </c>
      <c r="K166" s="5">
        <v>165845333925</v>
      </c>
      <c r="L166" s="5">
        <v>188670544559</v>
      </c>
      <c r="M166" s="5">
        <v>178123021406</v>
      </c>
      <c r="N166" s="5">
        <v>171311948472</v>
      </c>
      <c r="O166" s="5">
        <v>196130394004</v>
      </c>
      <c r="P166" s="5">
        <v>21278712967</v>
      </c>
    </row>
    <row r="167" spans="1:16" x14ac:dyDescent="0.45">
      <c r="A167" s="1" t="s">
        <v>161</v>
      </c>
      <c r="B167" s="2">
        <v>103619</v>
      </c>
      <c r="C167" s="3" t="s">
        <v>1966</v>
      </c>
      <c r="D167" s="3" t="s">
        <v>1967</v>
      </c>
      <c r="E167" s="3" t="s">
        <v>718</v>
      </c>
      <c r="F167" s="5">
        <v>28578631677</v>
      </c>
      <c r="G167" s="5">
        <v>27901122626</v>
      </c>
      <c r="H167" s="5">
        <v>22363858308</v>
      </c>
      <c r="I167" s="5">
        <v>20954589792</v>
      </c>
      <c r="J167" s="5">
        <v>19714407201</v>
      </c>
      <c r="K167" s="5">
        <v>1730747235</v>
      </c>
      <c r="L167" s="5">
        <v>1796671464</v>
      </c>
      <c r="M167" s="5">
        <v>15531908018</v>
      </c>
      <c r="N167" s="5">
        <v>13873273752</v>
      </c>
      <c r="O167" s="5">
        <v>14673250715</v>
      </c>
      <c r="P167" s="5">
        <v>1295767792</v>
      </c>
    </row>
    <row r="168" spans="1:16" x14ac:dyDescent="0.45">
      <c r="A168" s="1" t="s">
        <v>162</v>
      </c>
      <c r="B168" s="2">
        <v>103163</v>
      </c>
      <c r="C168" s="3" t="s">
        <v>1968</v>
      </c>
      <c r="D168" s="3" t="s">
        <v>1969</v>
      </c>
      <c r="E168" s="3" t="s">
        <v>960</v>
      </c>
      <c r="F168" s="5">
        <v>112075279653</v>
      </c>
      <c r="G168" s="5">
        <v>124865360581</v>
      </c>
      <c r="H168" s="5">
        <v>111833830069</v>
      </c>
      <c r="I168" s="5">
        <v>115773272085</v>
      </c>
      <c r="J168" s="5">
        <v>114290297289</v>
      </c>
      <c r="K168" s="5">
        <v>105753246975</v>
      </c>
      <c r="L168" s="5">
        <v>113217863955</v>
      </c>
      <c r="M168" s="5">
        <v>108158327464</v>
      </c>
      <c r="N168" s="5">
        <v>104064239568</v>
      </c>
      <c r="O168" s="5">
        <v>115735505984</v>
      </c>
      <c r="P168" s="5">
        <v>11056719568</v>
      </c>
    </row>
    <row r="169" spans="1:16" x14ac:dyDescent="0.45">
      <c r="A169" s="1" t="s">
        <v>163</v>
      </c>
      <c r="B169" s="2">
        <v>4050636</v>
      </c>
      <c r="C169" s="3" t="s">
        <v>1970</v>
      </c>
      <c r="D169" s="3" t="s">
        <v>1971</v>
      </c>
      <c r="E169" s="3" t="s">
        <v>1972</v>
      </c>
      <c r="F169" s="5" t="s">
        <v>1973</v>
      </c>
      <c r="G169" s="5" t="s">
        <v>1974</v>
      </c>
      <c r="H169" s="5" t="s">
        <v>1975</v>
      </c>
      <c r="I169" s="5" t="s">
        <v>1976</v>
      </c>
      <c r="J169" s="5" t="s">
        <v>1977</v>
      </c>
      <c r="K169" s="5">
        <v>267416537025</v>
      </c>
      <c r="L169" s="5">
        <v>243484618461</v>
      </c>
      <c r="M169" s="5">
        <v>216175164128</v>
      </c>
      <c r="N169" s="5">
        <v>196472443776</v>
      </c>
      <c r="O169" s="5">
        <v>201978607392</v>
      </c>
      <c r="P169" s="5">
        <v>189171936235</v>
      </c>
    </row>
    <row r="170" spans="1:16" x14ac:dyDescent="0.45">
      <c r="A170" s="1" t="s">
        <v>164</v>
      </c>
      <c r="B170" s="2">
        <v>8603803</v>
      </c>
      <c r="C170" s="3" t="s">
        <v>1978</v>
      </c>
      <c r="D170" s="3" t="s">
        <v>1979</v>
      </c>
      <c r="E170" s="3" t="s">
        <v>627</v>
      </c>
      <c r="F170" s="5" t="s">
        <v>1980</v>
      </c>
      <c r="G170" s="5" t="s">
        <v>1981</v>
      </c>
      <c r="H170" s="5" t="s">
        <v>1982</v>
      </c>
      <c r="I170" s="5" t="s">
        <v>1983</v>
      </c>
      <c r="J170" s="5" t="s">
        <v>1984</v>
      </c>
      <c r="K170" s="5">
        <v>22166349</v>
      </c>
      <c r="L170" s="5" t="s">
        <v>1985</v>
      </c>
      <c r="M170" s="5" t="s">
        <v>1986</v>
      </c>
      <c r="N170" s="5" t="s">
        <v>1987</v>
      </c>
      <c r="O170" s="5">
        <v>108817052002</v>
      </c>
      <c r="P170" s="5">
        <v>98572419695</v>
      </c>
    </row>
    <row r="171" spans="1:16" x14ac:dyDescent="0.45">
      <c r="A171" s="1" t="s">
        <v>165</v>
      </c>
      <c r="B171" s="2">
        <v>4057052</v>
      </c>
      <c r="C171" s="3" t="s">
        <v>1988</v>
      </c>
      <c r="D171" s="3" t="s">
        <v>1989</v>
      </c>
      <c r="E171" s="3" t="s">
        <v>627</v>
      </c>
      <c r="F171" s="5">
        <v>543271417587</v>
      </c>
      <c r="G171" s="5">
        <v>575623555611</v>
      </c>
      <c r="H171" s="5">
        <v>503123980515</v>
      </c>
      <c r="I171" s="5" t="s">
        <v>1990</v>
      </c>
      <c r="J171" s="5">
        <v>426391422192</v>
      </c>
      <c r="K171" s="5">
        <v>37686421365</v>
      </c>
      <c r="L171" s="5">
        <v>366455206565</v>
      </c>
      <c r="M171" s="5">
        <v>333999129904</v>
      </c>
      <c r="N171" s="5">
        <v>301643374608</v>
      </c>
      <c r="O171" s="5">
        <v>303639707829</v>
      </c>
      <c r="P171" s="5">
        <v>2815681951175</v>
      </c>
    </row>
    <row r="172" spans="1:16" x14ac:dyDescent="0.45">
      <c r="A172" s="1" t="s">
        <v>166</v>
      </c>
      <c r="B172" s="2">
        <v>4057056</v>
      </c>
      <c r="C172" s="3" t="s">
        <v>1991</v>
      </c>
      <c r="D172" s="3" t="s">
        <v>1992</v>
      </c>
      <c r="E172" s="3" t="s">
        <v>627</v>
      </c>
      <c r="F172" s="5">
        <v>99282669</v>
      </c>
      <c r="G172" s="5" t="s">
        <v>1993</v>
      </c>
      <c r="H172" s="5" t="s">
        <v>1994</v>
      </c>
      <c r="I172" s="5" t="s">
        <v>1995</v>
      </c>
      <c r="J172" s="5" t="s">
        <v>1996</v>
      </c>
      <c r="K172" s="5" t="s">
        <v>1997</v>
      </c>
      <c r="L172" s="5" t="s">
        <v>1998</v>
      </c>
      <c r="M172" s="5" t="s">
        <v>1999</v>
      </c>
      <c r="N172" s="5">
        <v>97246056</v>
      </c>
      <c r="O172" s="5" t="s">
        <v>2000</v>
      </c>
      <c r="P172" s="5">
        <v>87824818</v>
      </c>
    </row>
    <row r="173" spans="1:16" x14ac:dyDescent="0.45">
      <c r="A173" s="1" t="s">
        <v>167</v>
      </c>
      <c r="B173" s="2">
        <v>4010492</v>
      </c>
      <c r="C173" s="3" t="s">
        <v>2001</v>
      </c>
      <c r="D173" s="3" t="s">
        <v>2002</v>
      </c>
      <c r="E173" s="3" t="s">
        <v>813</v>
      </c>
      <c r="F173" s="5" t="s">
        <v>2003</v>
      </c>
      <c r="G173" s="5" t="s">
        <v>2004</v>
      </c>
      <c r="H173" s="5" t="s">
        <v>1324</v>
      </c>
      <c r="I173" s="5" t="s">
        <v>2005</v>
      </c>
      <c r="J173" s="5" t="s">
        <v>2006</v>
      </c>
      <c r="K173" s="5">
        <v>5382420</v>
      </c>
      <c r="L173" s="5" t="s">
        <v>2007</v>
      </c>
      <c r="M173" s="5">
        <v>11122749</v>
      </c>
      <c r="N173" s="5">
        <v>10347540</v>
      </c>
      <c r="O173" s="5" t="s">
        <v>2008</v>
      </c>
      <c r="P173" s="5" t="s">
        <v>2009</v>
      </c>
    </row>
    <row r="174" spans="1:16" x14ac:dyDescent="0.45">
      <c r="A174" s="1" t="s">
        <v>168</v>
      </c>
      <c r="B174" s="2">
        <v>4122573</v>
      </c>
      <c r="C174" s="3" t="s">
        <v>2010</v>
      </c>
      <c r="D174" s="3" t="s">
        <v>2011</v>
      </c>
      <c r="E174" s="3" t="s">
        <v>1103</v>
      </c>
      <c r="F174" s="5" t="s">
        <v>2012</v>
      </c>
      <c r="G174" s="5" t="s">
        <v>2013</v>
      </c>
      <c r="H174" s="5" t="s">
        <v>2014</v>
      </c>
      <c r="I174" s="5" t="s">
        <v>2015</v>
      </c>
      <c r="J174" s="5" t="s">
        <v>2016</v>
      </c>
      <c r="K174" s="5">
        <v>15279075</v>
      </c>
      <c r="L174" s="5" t="s">
        <v>2017</v>
      </c>
      <c r="M174" s="5" t="s">
        <v>2018</v>
      </c>
      <c r="N174" s="5" t="s">
        <v>2019</v>
      </c>
      <c r="O174" s="5">
        <v>149460693258</v>
      </c>
      <c r="P174" s="5">
        <v>1425843525625</v>
      </c>
    </row>
    <row r="175" spans="1:16" x14ac:dyDescent="0.45">
      <c r="A175" s="1" t="s">
        <v>169</v>
      </c>
      <c r="B175" s="2">
        <v>4077460</v>
      </c>
      <c r="C175" s="3" t="s">
        <v>2020</v>
      </c>
      <c r="D175" s="3" t="s">
        <v>2021</v>
      </c>
      <c r="E175" s="3" t="s">
        <v>1198</v>
      </c>
      <c r="F175" s="5">
        <v>41679114846</v>
      </c>
      <c r="G175" s="5">
        <v>45923309822</v>
      </c>
      <c r="H175" s="5">
        <v>40926900023</v>
      </c>
      <c r="I175" s="5">
        <v>52309690938</v>
      </c>
      <c r="J175" s="5">
        <v>66914105697</v>
      </c>
      <c r="K175" s="5">
        <v>40282337025</v>
      </c>
      <c r="L175" s="5">
        <v>32898378324</v>
      </c>
      <c r="M175" s="5">
        <v>28949358306</v>
      </c>
      <c r="N175" s="5">
        <v>25958442624</v>
      </c>
      <c r="O175" s="5">
        <v>26437920983</v>
      </c>
      <c r="P175" s="5">
        <v>236225502275</v>
      </c>
    </row>
    <row r="176" spans="1:16" x14ac:dyDescent="0.45">
      <c r="A176" s="1" t="s">
        <v>170</v>
      </c>
      <c r="B176" s="2">
        <v>4092889</v>
      </c>
      <c r="C176" s="3" t="s">
        <v>2022</v>
      </c>
      <c r="D176" s="3" t="s">
        <v>2023</v>
      </c>
      <c r="E176" s="3" t="s">
        <v>2024</v>
      </c>
      <c r="F176" s="5">
        <v>249241879782</v>
      </c>
      <c r="G176" s="5">
        <v>278642117234</v>
      </c>
      <c r="H176" s="5">
        <v>248396802314</v>
      </c>
      <c r="I176" s="5">
        <v>113850904506</v>
      </c>
      <c r="J176" s="5">
        <v>92102076261</v>
      </c>
      <c r="K176" s="5" t="s">
        <v>2025</v>
      </c>
      <c r="L176" s="5">
        <v>76032011447</v>
      </c>
      <c r="M176" s="5">
        <v>68544239852</v>
      </c>
      <c r="N176" s="5">
        <v>62134816584</v>
      </c>
      <c r="O176" s="5">
        <v>67177267958</v>
      </c>
      <c r="P176" s="5">
        <v>559024799525</v>
      </c>
    </row>
    <row r="177" spans="1:16" x14ac:dyDescent="0.45">
      <c r="A177" s="1" t="s">
        <v>171</v>
      </c>
      <c r="B177" s="2">
        <v>3007562</v>
      </c>
      <c r="C177" s="3" t="s">
        <v>2026</v>
      </c>
      <c r="D177" s="3" t="s">
        <v>2027</v>
      </c>
      <c r="E177" s="3" t="s">
        <v>1349</v>
      </c>
      <c r="F177" s="5">
        <v>382396266</v>
      </c>
      <c r="G177" s="5" t="s">
        <v>2028</v>
      </c>
      <c r="H177" s="5" t="s">
        <v>2029</v>
      </c>
      <c r="I177" s="5" t="s">
        <v>2030</v>
      </c>
      <c r="J177" s="5" t="s">
        <v>2031</v>
      </c>
      <c r="K177" s="5">
        <v>272023125</v>
      </c>
      <c r="L177" s="5" t="s">
        <v>2032</v>
      </c>
      <c r="M177" s="5" t="s">
        <v>2033</v>
      </c>
      <c r="N177" s="5" t="s">
        <v>2034</v>
      </c>
      <c r="O177" s="5" t="s">
        <v>2035</v>
      </c>
      <c r="P177" s="5" t="s">
        <v>2036</v>
      </c>
    </row>
    <row r="178" spans="1:16" x14ac:dyDescent="0.45">
      <c r="A178" s="1" t="s">
        <v>172</v>
      </c>
      <c r="B178" s="2">
        <v>4135450</v>
      </c>
      <c r="C178" s="3" t="s">
        <v>2037</v>
      </c>
      <c r="D178" s="3" t="s">
        <v>2038</v>
      </c>
      <c r="E178" s="3" t="s">
        <v>890</v>
      </c>
      <c r="F178" s="5">
        <v>53861030316</v>
      </c>
      <c r="G178" s="5">
        <v>50326193864</v>
      </c>
      <c r="H178" s="5">
        <v>49586250184</v>
      </c>
      <c r="I178" s="5">
        <v>53806626412</v>
      </c>
      <c r="J178" s="5">
        <v>4311653184</v>
      </c>
      <c r="K178" s="5">
        <v>3983716672</v>
      </c>
      <c r="L178" s="5">
        <v>31092212025</v>
      </c>
      <c r="M178" s="5">
        <v>22425331932</v>
      </c>
      <c r="N178" s="5">
        <v>20953573429</v>
      </c>
      <c r="O178" s="5">
        <v>205182025695</v>
      </c>
      <c r="P178" s="5">
        <v>20719274545</v>
      </c>
    </row>
    <row r="179" spans="1:16" x14ac:dyDescent="0.45">
      <c r="A179" s="1" t="s">
        <v>173</v>
      </c>
      <c r="B179" s="2">
        <v>4047873</v>
      </c>
      <c r="C179" s="3" t="s">
        <v>2039</v>
      </c>
      <c r="D179" s="3" t="s">
        <v>2040</v>
      </c>
      <c r="E179" s="3" t="s">
        <v>2041</v>
      </c>
      <c r="F179" s="5">
        <v>36797221328</v>
      </c>
      <c r="G179" s="5">
        <v>3666161664</v>
      </c>
      <c r="H179" s="5">
        <v>3653814084</v>
      </c>
      <c r="I179" s="5">
        <v>39858034345</v>
      </c>
      <c r="J179" s="5">
        <v>1884969168</v>
      </c>
      <c r="K179" s="5">
        <v>1742754062</v>
      </c>
      <c r="L179" s="5">
        <v>1418470196</v>
      </c>
      <c r="M179" s="5">
        <v>12228535905</v>
      </c>
      <c r="N179" s="5">
        <v>11901525615</v>
      </c>
      <c r="O179" s="5">
        <v>91423837505</v>
      </c>
      <c r="P179" s="5">
        <v>65766303525</v>
      </c>
    </row>
    <row r="180" spans="1:16" x14ac:dyDescent="0.45">
      <c r="A180" s="1" t="s">
        <v>174</v>
      </c>
      <c r="B180" s="2">
        <v>108391</v>
      </c>
      <c r="C180" s="3" t="s">
        <v>2042</v>
      </c>
      <c r="D180" s="3" t="s">
        <v>2043</v>
      </c>
      <c r="E180" s="3" t="s">
        <v>547</v>
      </c>
      <c r="F180" s="5">
        <v>15922097559</v>
      </c>
      <c r="G180" s="5">
        <v>15402547944</v>
      </c>
      <c r="H180" s="5">
        <v>14883254888</v>
      </c>
      <c r="I180" s="5">
        <v>14705862732</v>
      </c>
      <c r="J180" s="5">
        <v>13526771328</v>
      </c>
      <c r="K180" s="5">
        <v>1367873984</v>
      </c>
      <c r="L180" s="5">
        <v>13146151608</v>
      </c>
      <c r="M180" s="5">
        <v>11451329469</v>
      </c>
      <c r="N180" s="5">
        <v>1062380082</v>
      </c>
      <c r="O180" s="5">
        <v>10859744034</v>
      </c>
      <c r="P180" s="5">
        <v>110228755615</v>
      </c>
    </row>
    <row r="181" spans="1:16" x14ac:dyDescent="0.45">
      <c r="A181" s="1" t="s">
        <v>175</v>
      </c>
      <c r="B181" s="2">
        <v>4101711</v>
      </c>
      <c r="C181" s="3" t="s">
        <v>2044</v>
      </c>
      <c r="D181" s="3" t="s">
        <v>2045</v>
      </c>
      <c r="E181" s="3" t="s">
        <v>2046</v>
      </c>
      <c r="F181" s="5" t="s">
        <v>2047</v>
      </c>
      <c r="G181" s="5" t="s">
        <v>2048</v>
      </c>
      <c r="H181" s="5" t="s">
        <v>2049</v>
      </c>
      <c r="I181" s="5" t="s">
        <v>2050</v>
      </c>
      <c r="J181" s="5" t="s">
        <v>2051</v>
      </c>
      <c r="K181" s="5" t="s">
        <v>2052</v>
      </c>
      <c r="L181" s="5" t="s">
        <v>2053</v>
      </c>
      <c r="M181" s="5" t="s">
        <v>2054</v>
      </c>
      <c r="N181" s="5" t="s">
        <v>2055</v>
      </c>
      <c r="O181" s="5" t="s">
        <v>2056</v>
      </c>
      <c r="P181" s="5">
        <v>23317643865</v>
      </c>
    </row>
    <row r="182" spans="1:16" x14ac:dyDescent="0.45">
      <c r="A182" s="1" t="s">
        <v>176</v>
      </c>
      <c r="B182" s="2">
        <v>102950</v>
      </c>
      <c r="C182" s="3" t="s">
        <v>2057</v>
      </c>
      <c r="D182" s="3" t="s">
        <v>2058</v>
      </c>
      <c r="E182" s="3" t="s">
        <v>2059</v>
      </c>
      <c r="F182" s="5">
        <v>7776412782</v>
      </c>
      <c r="G182" s="5">
        <v>82340627863</v>
      </c>
      <c r="H182" s="5">
        <v>76325124064</v>
      </c>
      <c r="I182" s="5">
        <v>77045453787</v>
      </c>
      <c r="J182" s="5">
        <v>6702305976</v>
      </c>
      <c r="K182" s="5" t="s">
        <v>2060</v>
      </c>
      <c r="L182" s="5">
        <v>60550173712</v>
      </c>
      <c r="M182" s="5">
        <v>54933750696</v>
      </c>
      <c r="N182" s="5">
        <v>5226448764</v>
      </c>
      <c r="O182" s="5">
        <v>51374721967</v>
      </c>
      <c r="P182" s="5">
        <v>450850669925</v>
      </c>
    </row>
    <row r="183" spans="1:16" x14ac:dyDescent="0.45">
      <c r="A183" s="1" t="s">
        <v>177</v>
      </c>
      <c r="B183" s="2">
        <v>4379438</v>
      </c>
      <c r="C183" s="3" t="s">
        <v>2061</v>
      </c>
      <c r="D183" s="3" t="s">
        <v>2062</v>
      </c>
      <c r="E183" s="3" t="s">
        <v>1198</v>
      </c>
      <c r="F183" s="5" t="s">
        <v>2063</v>
      </c>
      <c r="G183" s="5" t="s">
        <v>2064</v>
      </c>
      <c r="H183" s="5" t="s">
        <v>2065</v>
      </c>
      <c r="I183" s="5" t="s">
        <v>2066</v>
      </c>
      <c r="J183" s="5" t="s">
        <v>2067</v>
      </c>
      <c r="K183" s="5" t="s">
        <v>2068</v>
      </c>
      <c r="L183" s="5" t="s">
        <v>2069</v>
      </c>
      <c r="M183" s="5">
        <v>44883441</v>
      </c>
      <c r="N183" s="5">
        <v>43211280</v>
      </c>
      <c r="O183" s="5" t="s">
        <v>2070</v>
      </c>
      <c r="P183" s="5" t="s">
        <v>2071</v>
      </c>
    </row>
    <row r="184" spans="1:16" x14ac:dyDescent="0.45">
      <c r="A184" s="1" t="s">
        <v>178</v>
      </c>
      <c r="B184" s="2">
        <v>4093074</v>
      </c>
      <c r="C184" s="3" t="s">
        <v>2072</v>
      </c>
      <c r="D184" s="3" t="s">
        <v>2073</v>
      </c>
      <c r="E184" s="3" t="s">
        <v>705</v>
      </c>
      <c r="F184" s="5" t="s">
        <v>2074</v>
      </c>
      <c r="G184" s="5" t="s">
        <v>2075</v>
      </c>
      <c r="H184" s="5" t="s">
        <v>2076</v>
      </c>
      <c r="I184" s="5" t="s">
        <v>2077</v>
      </c>
      <c r="J184" s="5" t="s">
        <v>2078</v>
      </c>
      <c r="K184" s="5">
        <v>68540835</v>
      </c>
      <c r="L184" s="5" t="s">
        <v>2079</v>
      </c>
      <c r="M184" s="5">
        <v>20760718</v>
      </c>
      <c r="N184" s="5" t="s">
        <v>2080</v>
      </c>
      <c r="O184" s="5" t="s">
        <v>2081</v>
      </c>
      <c r="P184" s="5">
        <v>24123650</v>
      </c>
    </row>
    <row r="185" spans="1:16" x14ac:dyDescent="0.45">
      <c r="A185" s="1" t="s">
        <v>179</v>
      </c>
      <c r="B185" s="2">
        <v>100260</v>
      </c>
      <c r="C185" s="3" t="s">
        <v>2082</v>
      </c>
      <c r="D185" s="3" t="s">
        <v>2083</v>
      </c>
      <c r="E185" s="3" t="s">
        <v>1004</v>
      </c>
      <c r="F185" s="5" t="s">
        <v>2084</v>
      </c>
      <c r="G185" s="5" t="s">
        <v>2085</v>
      </c>
      <c r="H185" s="5" t="s">
        <v>2086</v>
      </c>
      <c r="I185" s="5" t="s">
        <v>2087</v>
      </c>
      <c r="J185" s="5" t="s">
        <v>2088</v>
      </c>
      <c r="K185" s="5">
        <v>167325900</v>
      </c>
      <c r="L185" s="5" t="s">
        <v>2089</v>
      </c>
      <c r="M185" s="5" t="s">
        <v>2090</v>
      </c>
      <c r="N185" s="5" t="s">
        <v>2091</v>
      </c>
      <c r="O185" s="5" t="s">
        <v>2092</v>
      </c>
      <c r="P185" s="5">
        <v>129869946</v>
      </c>
    </row>
    <row r="186" spans="1:16" x14ac:dyDescent="0.45">
      <c r="A186" s="1" t="s">
        <v>180</v>
      </c>
      <c r="B186" s="2">
        <v>4211343</v>
      </c>
      <c r="C186" s="3" t="s">
        <v>2093</v>
      </c>
      <c r="D186" s="3" t="s">
        <v>2094</v>
      </c>
      <c r="E186" s="3" t="s">
        <v>556</v>
      </c>
      <c r="F186" s="5">
        <v>11345759727</v>
      </c>
      <c r="G186" s="5">
        <v>117109202899</v>
      </c>
      <c r="H186" s="5">
        <v>93773349204</v>
      </c>
      <c r="I186" s="5">
        <v>77206740396</v>
      </c>
      <c r="J186" s="5">
        <v>65189068578</v>
      </c>
      <c r="K186" s="5">
        <v>58115510925</v>
      </c>
      <c r="L186" s="5">
        <v>66972304679</v>
      </c>
      <c r="M186" s="5">
        <v>62197975708</v>
      </c>
      <c r="N186" s="5">
        <v>57167564328</v>
      </c>
      <c r="O186" s="5">
        <v>64647238064</v>
      </c>
      <c r="P186" s="5">
        <v>673651176825</v>
      </c>
    </row>
    <row r="187" spans="1:16" x14ac:dyDescent="0.45">
      <c r="A187" s="1" t="s">
        <v>181</v>
      </c>
      <c r="B187" s="2">
        <v>4056944</v>
      </c>
      <c r="C187" s="3" t="s">
        <v>2095</v>
      </c>
      <c r="D187" s="3" t="s">
        <v>2096</v>
      </c>
      <c r="E187" s="3" t="s">
        <v>627</v>
      </c>
      <c r="F187" s="5" t="s">
        <v>2097</v>
      </c>
      <c r="G187" s="5" t="s">
        <v>2098</v>
      </c>
      <c r="H187" s="5" t="s">
        <v>2099</v>
      </c>
      <c r="I187" s="5" t="s">
        <v>2100</v>
      </c>
      <c r="J187" s="5" t="s">
        <v>2101</v>
      </c>
      <c r="K187" s="5">
        <v>36349320</v>
      </c>
      <c r="L187" s="5" t="s">
        <v>2102</v>
      </c>
      <c r="M187" s="5" t="s">
        <v>2103</v>
      </c>
      <c r="N187" s="5" t="s">
        <v>2104</v>
      </c>
      <c r="O187" s="5" t="s">
        <v>2105</v>
      </c>
      <c r="P187" s="5" t="s">
        <v>2106</v>
      </c>
    </row>
    <row r="188" spans="1:16" x14ac:dyDescent="0.45">
      <c r="A188" s="1" t="s">
        <v>182</v>
      </c>
      <c r="B188" s="2">
        <v>113881</v>
      </c>
      <c r="C188" s="3" t="s">
        <v>2107</v>
      </c>
      <c r="D188" s="3" t="s">
        <v>2108</v>
      </c>
      <c r="E188" s="3" t="s">
        <v>2109</v>
      </c>
      <c r="F188" s="5" t="s">
        <v>2110</v>
      </c>
      <c r="G188" s="5" t="s">
        <v>2111</v>
      </c>
      <c r="H188" s="5">
        <v>82228183</v>
      </c>
      <c r="I188" s="5" t="s">
        <v>2112</v>
      </c>
      <c r="J188" s="5" t="s">
        <v>2113</v>
      </c>
      <c r="K188" s="5" t="s">
        <v>2114</v>
      </c>
      <c r="L188" s="5" t="s">
        <v>2115</v>
      </c>
      <c r="M188" s="5" t="s">
        <v>2116</v>
      </c>
      <c r="N188" s="5" t="s">
        <v>2117</v>
      </c>
      <c r="O188" s="5" t="s">
        <v>2118</v>
      </c>
      <c r="P188" s="5">
        <v>8599805</v>
      </c>
    </row>
    <row r="189" spans="1:16" x14ac:dyDescent="0.45">
      <c r="A189" s="1" t="s">
        <v>183</v>
      </c>
      <c r="B189" s="2">
        <v>113873</v>
      </c>
      <c r="C189" s="3" t="s">
        <v>2119</v>
      </c>
      <c r="D189" s="3" t="s">
        <v>2120</v>
      </c>
      <c r="E189" s="3" t="s">
        <v>2121</v>
      </c>
      <c r="F189" s="5">
        <v>246277572</v>
      </c>
      <c r="G189" s="5" t="s">
        <v>2122</v>
      </c>
      <c r="H189" s="5">
        <v>247263557</v>
      </c>
      <c r="I189" s="5" t="s">
        <v>2123</v>
      </c>
      <c r="J189" s="5" t="s">
        <v>2124</v>
      </c>
      <c r="K189" s="5" t="s">
        <v>2125</v>
      </c>
      <c r="L189" s="5" t="s">
        <v>2126</v>
      </c>
      <c r="M189" s="5">
        <v>224062036</v>
      </c>
      <c r="N189" s="5" t="s">
        <v>2127</v>
      </c>
      <c r="O189" s="5" t="s">
        <v>2128</v>
      </c>
      <c r="P189" s="5" t="s">
        <v>2129</v>
      </c>
    </row>
    <row r="190" spans="1:16" x14ac:dyDescent="0.45">
      <c r="A190" s="1" t="s">
        <v>184</v>
      </c>
      <c r="B190" s="2">
        <v>4868602</v>
      </c>
      <c r="C190" s="3" t="s">
        <v>2130</v>
      </c>
      <c r="D190" s="3" t="s">
        <v>2131</v>
      </c>
      <c r="E190" s="3" t="s">
        <v>2132</v>
      </c>
      <c r="F190" s="5" t="s">
        <v>2133</v>
      </c>
      <c r="G190" s="5" t="s">
        <v>2134</v>
      </c>
      <c r="H190" s="5" t="s">
        <v>2135</v>
      </c>
      <c r="I190" s="5" t="s">
        <v>2136</v>
      </c>
      <c r="J190" s="5" t="s">
        <v>2137</v>
      </c>
      <c r="K190" s="5" t="s">
        <v>2138</v>
      </c>
      <c r="L190" s="5" t="s">
        <v>2139</v>
      </c>
      <c r="M190" s="5" t="s">
        <v>2140</v>
      </c>
      <c r="N190" s="5" t="s">
        <v>2141</v>
      </c>
      <c r="O190" s="5">
        <v>20271661093</v>
      </c>
      <c r="P190" s="5">
        <v>16486120825</v>
      </c>
    </row>
    <row r="191" spans="1:16" x14ac:dyDescent="0.45">
      <c r="A191" s="1" t="s">
        <v>185</v>
      </c>
      <c r="B191" s="2">
        <v>4992262</v>
      </c>
      <c r="C191" s="3" t="s">
        <v>2142</v>
      </c>
      <c r="D191" s="3" t="s">
        <v>2143</v>
      </c>
      <c r="E191" s="3" t="s">
        <v>1795</v>
      </c>
      <c r="F191" s="5" t="s">
        <v>2144</v>
      </c>
      <c r="G191" s="5" t="s">
        <v>2145</v>
      </c>
      <c r="H191" s="5" t="s">
        <v>2146</v>
      </c>
      <c r="I191" s="5" t="s">
        <v>2147</v>
      </c>
      <c r="J191" s="5" t="s">
        <v>2148</v>
      </c>
      <c r="K191" s="5" t="s">
        <v>2149</v>
      </c>
      <c r="L191" s="5" t="s">
        <v>2150</v>
      </c>
      <c r="M191" s="5" t="s">
        <v>2151</v>
      </c>
      <c r="N191" s="5" t="s">
        <v>2152</v>
      </c>
      <c r="O191" s="5" t="s">
        <v>2153</v>
      </c>
      <c r="P191" s="5" t="s">
        <v>2154</v>
      </c>
    </row>
    <row r="192" spans="1:16" x14ac:dyDescent="0.45">
      <c r="A192" s="1" t="s">
        <v>186</v>
      </c>
      <c r="B192" s="2">
        <v>102719</v>
      </c>
      <c r="C192" s="3" t="s">
        <v>2155</v>
      </c>
      <c r="D192" s="3" t="s">
        <v>2156</v>
      </c>
      <c r="E192" s="3" t="s">
        <v>757</v>
      </c>
      <c r="F192" s="5" t="s">
        <v>2157</v>
      </c>
      <c r="G192" s="5" t="s">
        <v>2158</v>
      </c>
      <c r="H192" s="5" t="s">
        <v>2159</v>
      </c>
      <c r="I192" s="5" t="s">
        <v>2160</v>
      </c>
      <c r="J192" s="5" t="s">
        <v>2161</v>
      </c>
      <c r="K192" s="5" t="s">
        <v>2162</v>
      </c>
      <c r="L192" s="5" t="s">
        <v>2163</v>
      </c>
      <c r="M192" s="5" t="s">
        <v>2164</v>
      </c>
      <c r="N192" s="5" t="s">
        <v>2165</v>
      </c>
      <c r="O192" s="5" t="s">
        <v>2166</v>
      </c>
      <c r="P192" s="5">
        <v>14637603985</v>
      </c>
    </row>
    <row r="193" spans="1:16" x14ac:dyDescent="0.45">
      <c r="A193" s="1" t="s">
        <v>187</v>
      </c>
      <c r="B193" s="2">
        <v>4004107</v>
      </c>
      <c r="C193" s="3" t="s">
        <v>2167</v>
      </c>
      <c r="D193" s="3" t="s">
        <v>2168</v>
      </c>
      <c r="E193" s="3" t="s">
        <v>2169</v>
      </c>
      <c r="F193" s="5" t="s">
        <v>2170</v>
      </c>
      <c r="G193" s="5" t="s">
        <v>2171</v>
      </c>
      <c r="H193" s="5" t="s">
        <v>2172</v>
      </c>
      <c r="I193" s="5" t="s">
        <v>2173</v>
      </c>
      <c r="J193" s="5" t="s">
        <v>2174</v>
      </c>
      <c r="K193" s="5">
        <v>34452720</v>
      </c>
      <c r="L193" s="5" t="s">
        <v>2175</v>
      </c>
      <c r="M193" s="5" t="s">
        <v>2176</v>
      </c>
      <c r="N193" s="5" t="s">
        <v>2177</v>
      </c>
      <c r="O193" s="5" t="s">
        <v>2178</v>
      </c>
      <c r="P193" s="5" t="s">
        <v>2179</v>
      </c>
    </row>
    <row r="194" spans="1:16" x14ac:dyDescent="0.45">
      <c r="A194" s="1" t="s">
        <v>188</v>
      </c>
      <c r="B194" s="2">
        <v>4156047</v>
      </c>
      <c r="C194" s="3" t="s">
        <v>2180</v>
      </c>
      <c r="D194" s="3" t="s">
        <v>2181</v>
      </c>
      <c r="E194" s="3" t="s">
        <v>2182</v>
      </c>
      <c r="F194" s="5" t="s">
        <v>2183</v>
      </c>
      <c r="G194" s="5">
        <v>92347123403</v>
      </c>
      <c r="H194" s="5">
        <v>77836488743</v>
      </c>
      <c r="I194" s="5">
        <v>7234055769</v>
      </c>
      <c r="J194" s="5">
        <v>69440989107</v>
      </c>
      <c r="K194" s="5">
        <v>57699446838</v>
      </c>
      <c r="L194" s="5">
        <v>55186684251</v>
      </c>
      <c r="M194" s="5">
        <v>47024647488</v>
      </c>
      <c r="N194" s="5">
        <v>41209350792</v>
      </c>
      <c r="O194" s="5">
        <v>42866584909</v>
      </c>
      <c r="P194" s="5">
        <v>410906883075</v>
      </c>
    </row>
    <row r="195" spans="1:16" x14ac:dyDescent="0.45">
      <c r="A195" s="1" t="s">
        <v>189</v>
      </c>
      <c r="B195" s="2">
        <v>4094069</v>
      </c>
      <c r="C195" s="3" t="s">
        <v>2184</v>
      </c>
      <c r="D195" s="3" t="s">
        <v>2185</v>
      </c>
      <c r="E195" s="3" t="s">
        <v>543</v>
      </c>
      <c r="F195" s="5" t="s">
        <v>2186</v>
      </c>
      <c r="G195" s="5">
        <v>82436387189</v>
      </c>
      <c r="H195" s="5">
        <v>70891559193</v>
      </c>
      <c r="I195" s="5">
        <v>68303629752</v>
      </c>
      <c r="J195" s="5">
        <v>65211736932</v>
      </c>
      <c r="K195" s="5">
        <v>59808030225</v>
      </c>
      <c r="L195" s="5">
        <v>63725180834</v>
      </c>
      <c r="M195" s="5">
        <v>54163673916</v>
      </c>
      <c r="N195" s="5">
        <v>60654264744</v>
      </c>
      <c r="O195" s="5">
        <v>22425764455</v>
      </c>
      <c r="P195" s="5">
        <v>199666202775</v>
      </c>
    </row>
    <row r="196" spans="1:16" x14ac:dyDescent="0.45">
      <c r="A196" s="1" t="s">
        <v>190</v>
      </c>
      <c r="B196" s="2">
        <v>4048156</v>
      </c>
      <c r="C196" s="3" t="s">
        <v>2187</v>
      </c>
      <c r="D196" s="3" t="s">
        <v>2188</v>
      </c>
      <c r="E196" s="3" t="s">
        <v>2132</v>
      </c>
      <c r="F196" s="5">
        <v>14304984</v>
      </c>
      <c r="G196" s="5" t="s">
        <v>2189</v>
      </c>
      <c r="H196" s="5" t="s">
        <v>2190</v>
      </c>
      <c r="I196" s="5">
        <v>6290358</v>
      </c>
      <c r="J196" s="5" t="s">
        <v>2191</v>
      </c>
      <c r="K196" s="5" t="s">
        <v>2192</v>
      </c>
      <c r="L196" s="5">
        <v>14200758</v>
      </c>
      <c r="M196" s="5" t="s">
        <v>2193</v>
      </c>
      <c r="N196" s="5" t="s">
        <v>2194</v>
      </c>
      <c r="O196" s="5" t="s">
        <v>2195</v>
      </c>
      <c r="P196" s="5" t="s">
        <v>2196</v>
      </c>
    </row>
    <row r="197" spans="1:16" x14ac:dyDescent="0.45">
      <c r="A197" s="1" t="s">
        <v>191</v>
      </c>
      <c r="B197" s="2">
        <v>4991196</v>
      </c>
      <c r="C197" s="3" t="s">
        <v>2197</v>
      </c>
      <c r="D197" s="3" t="s">
        <v>2198</v>
      </c>
      <c r="E197" s="3" t="s">
        <v>769</v>
      </c>
      <c r="F197" s="5">
        <v>47471024043</v>
      </c>
      <c r="G197" s="5">
        <v>49351028129</v>
      </c>
      <c r="H197" s="5">
        <v>46079193664</v>
      </c>
      <c r="I197" s="5">
        <v>48370655934</v>
      </c>
      <c r="J197" s="5">
        <v>4289031954</v>
      </c>
      <c r="K197" s="5">
        <v>26449583025</v>
      </c>
      <c r="L197" s="5">
        <v>23753776459</v>
      </c>
      <c r="M197" s="5">
        <v>21191426476</v>
      </c>
      <c r="N197" s="5">
        <v>1687223652</v>
      </c>
      <c r="O197" s="5">
        <v>17635732532</v>
      </c>
      <c r="P197" s="5">
        <v>163767817625</v>
      </c>
    </row>
    <row r="198" spans="1:16" x14ac:dyDescent="0.45">
      <c r="A198" s="1" t="s">
        <v>192</v>
      </c>
      <c r="B198" s="2">
        <v>4040505</v>
      </c>
      <c r="C198" s="3" t="s">
        <v>2199</v>
      </c>
      <c r="D198" s="3" t="s">
        <v>2200</v>
      </c>
      <c r="E198" s="3" t="s">
        <v>976</v>
      </c>
      <c r="F198" s="5" t="s">
        <v>1550</v>
      </c>
      <c r="G198" s="5">
        <v>53974492</v>
      </c>
      <c r="H198" s="5">
        <v>49586607</v>
      </c>
      <c r="I198" s="5" t="s">
        <v>2201</v>
      </c>
      <c r="J198" s="5" t="s">
        <v>2202</v>
      </c>
      <c r="K198" s="5">
        <v>41944290</v>
      </c>
      <c r="L198" s="5" t="s">
        <v>2203</v>
      </c>
      <c r="M198" s="5" t="s">
        <v>2204</v>
      </c>
      <c r="N198" s="5" t="s">
        <v>2205</v>
      </c>
      <c r="O198" s="5" t="s">
        <v>2206</v>
      </c>
      <c r="P198" s="5" t="s">
        <v>2207</v>
      </c>
    </row>
    <row r="199" spans="1:16" x14ac:dyDescent="0.45">
      <c r="A199" s="1" t="s">
        <v>193</v>
      </c>
      <c r="B199" s="2">
        <v>114527</v>
      </c>
      <c r="C199" s="3" t="s">
        <v>2208</v>
      </c>
      <c r="D199" s="3" t="s">
        <v>2209</v>
      </c>
      <c r="E199" s="3" t="s">
        <v>976</v>
      </c>
      <c r="F199" s="5" t="s">
        <v>2210</v>
      </c>
      <c r="G199" s="5">
        <v>118940926</v>
      </c>
      <c r="H199" s="5">
        <v>156784510</v>
      </c>
      <c r="I199" s="5" t="s">
        <v>2211</v>
      </c>
      <c r="J199" s="5" t="s">
        <v>2212</v>
      </c>
      <c r="K199" s="5" t="s">
        <v>2213</v>
      </c>
      <c r="L199" s="5" t="s">
        <v>2214</v>
      </c>
      <c r="M199" s="5" t="s">
        <v>2215</v>
      </c>
      <c r="N199" s="5">
        <v>307507236</v>
      </c>
      <c r="O199" s="5" t="s">
        <v>2216</v>
      </c>
      <c r="P199" s="5" t="s">
        <v>2217</v>
      </c>
    </row>
    <row r="200" spans="1:16" x14ac:dyDescent="0.45">
      <c r="A200" s="1" t="s">
        <v>194</v>
      </c>
      <c r="B200" s="2">
        <v>4096376</v>
      </c>
      <c r="C200" s="3" t="s">
        <v>2218</v>
      </c>
      <c r="D200" s="3" t="s">
        <v>2219</v>
      </c>
      <c r="E200" s="3" t="s">
        <v>1503</v>
      </c>
      <c r="F200" s="5" t="s">
        <v>2220</v>
      </c>
      <c r="G200" s="5" t="s">
        <v>2221</v>
      </c>
      <c r="H200" s="5" t="s">
        <v>2222</v>
      </c>
      <c r="I200" s="5" t="s">
        <v>2223</v>
      </c>
      <c r="J200" s="5" t="s">
        <v>2224</v>
      </c>
      <c r="K200" s="5" t="s">
        <v>2225</v>
      </c>
      <c r="L200" s="5" t="s">
        <v>2226</v>
      </c>
      <c r="M200" s="5" t="s">
        <v>2227</v>
      </c>
      <c r="N200" s="5" t="s">
        <v>2228</v>
      </c>
      <c r="O200" s="5">
        <v>19503073475</v>
      </c>
      <c r="P200" s="5" t="s">
        <v>2229</v>
      </c>
    </row>
    <row r="201" spans="1:16" x14ac:dyDescent="0.45">
      <c r="A201" s="1" t="s">
        <v>195</v>
      </c>
      <c r="B201" s="2">
        <v>4272273</v>
      </c>
      <c r="C201" s="3" t="s">
        <v>2230</v>
      </c>
      <c r="D201" s="3" t="s">
        <v>2231</v>
      </c>
      <c r="E201" s="3" t="s">
        <v>2121</v>
      </c>
      <c r="F201" s="5" t="s">
        <v>2232</v>
      </c>
      <c r="G201" s="5" t="s">
        <v>2233</v>
      </c>
      <c r="H201" s="5" t="s">
        <v>2234</v>
      </c>
      <c r="I201" s="5" t="s">
        <v>2235</v>
      </c>
      <c r="J201" s="5" t="s">
        <v>2236</v>
      </c>
      <c r="K201" s="5">
        <v>192271095</v>
      </c>
      <c r="L201" s="5" t="s">
        <v>2237</v>
      </c>
      <c r="M201" s="5" t="s">
        <v>2238</v>
      </c>
      <c r="N201" s="5" t="s">
        <v>2239</v>
      </c>
      <c r="O201" s="5">
        <v>210006937</v>
      </c>
      <c r="P201" s="5" t="s">
        <v>2240</v>
      </c>
    </row>
    <row r="202" spans="1:16" x14ac:dyDescent="0.45">
      <c r="A202" s="1" t="s">
        <v>196</v>
      </c>
      <c r="B202" s="2">
        <v>4004397</v>
      </c>
      <c r="C202" s="3" t="s">
        <v>2241</v>
      </c>
      <c r="D202" s="3" t="s">
        <v>2242</v>
      </c>
      <c r="E202" s="3" t="s">
        <v>2243</v>
      </c>
      <c r="F202" s="5">
        <v>17711561418</v>
      </c>
      <c r="G202" s="5">
        <v>186251647595</v>
      </c>
      <c r="H202" s="5">
        <v>162560603338</v>
      </c>
      <c r="I202" s="5">
        <v>154347261303</v>
      </c>
      <c r="J202" s="5">
        <v>126198032886</v>
      </c>
      <c r="K202" s="5">
        <v>109873757625</v>
      </c>
      <c r="L202" s="5">
        <v>130507200019</v>
      </c>
      <c r="M202" s="5">
        <v>11077367136</v>
      </c>
      <c r="N202" s="5">
        <v>103370308968</v>
      </c>
      <c r="O202" s="5" t="s">
        <v>2244</v>
      </c>
      <c r="P202" s="5">
        <v>749929789825</v>
      </c>
    </row>
    <row r="203" spans="1:16" x14ac:dyDescent="0.45">
      <c r="A203" s="1" t="s">
        <v>197</v>
      </c>
      <c r="B203" s="2">
        <v>4135343</v>
      </c>
      <c r="C203" s="3" t="s">
        <v>2245</v>
      </c>
      <c r="D203" s="3" t="s">
        <v>2246</v>
      </c>
      <c r="E203" s="3" t="s">
        <v>530</v>
      </c>
      <c r="F203" s="5" t="s">
        <v>2247</v>
      </c>
      <c r="G203" s="5" t="s">
        <v>2248</v>
      </c>
      <c r="H203" s="5" t="s">
        <v>2249</v>
      </c>
      <c r="I203" s="5" t="s">
        <v>2250</v>
      </c>
      <c r="J203" s="5" t="s">
        <v>2251</v>
      </c>
      <c r="K203" s="5" t="s">
        <v>2252</v>
      </c>
      <c r="L203" s="5" t="s">
        <v>2253</v>
      </c>
      <c r="M203" s="5">
        <v>55613745</v>
      </c>
      <c r="N203" s="5" t="s">
        <v>2254</v>
      </c>
      <c r="O203" s="5" t="s">
        <v>2255</v>
      </c>
      <c r="P203" s="5">
        <v>47617507</v>
      </c>
    </row>
    <row r="204" spans="1:16" x14ac:dyDescent="0.45">
      <c r="A204" s="1" t="s">
        <v>198</v>
      </c>
      <c r="B204" s="2">
        <v>4090258</v>
      </c>
      <c r="C204" s="3" t="s">
        <v>2256</v>
      </c>
      <c r="D204" s="3" t="s">
        <v>2257</v>
      </c>
      <c r="E204" s="3" t="s">
        <v>705</v>
      </c>
      <c r="F204" s="5">
        <v>454283868228</v>
      </c>
      <c r="G204" s="5">
        <v>452912973045</v>
      </c>
      <c r="H204" s="5">
        <v>457508472742</v>
      </c>
      <c r="I204" s="5">
        <v>419277943998</v>
      </c>
      <c r="J204" s="5">
        <v>398144516409</v>
      </c>
      <c r="K204" s="5">
        <v>361347630375</v>
      </c>
      <c r="L204" s="5">
        <v>396362723582</v>
      </c>
      <c r="M204" s="5">
        <v>115557580116</v>
      </c>
      <c r="N204" s="5">
        <v>108247918632</v>
      </c>
      <c r="O204" s="5">
        <v>10102338755</v>
      </c>
      <c r="P204" s="5">
        <v>526581010615</v>
      </c>
    </row>
    <row r="205" spans="1:16" x14ac:dyDescent="0.45">
      <c r="A205" s="1" t="s">
        <v>199</v>
      </c>
      <c r="B205" s="2">
        <v>103323</v>
      </c>
      <c r="C205" s="3" t="s">
        <v>2258</v>
      </c>
      <c r="D205" s="3" t="s">
        <v>2259</v>
      </c>
      <c r="E205" s="3" t="s">
        <v>567</v>
      </c>
      <c r="F205" s="5">
        <v>262440214764</v>
      </c>
      <c r="G205" s="5">
        <v>280846832279</v>
      </c>
      <c r="H205" s="5">
        <v>253781911453</v>
      </c>
      <c r="I205" s="5">
        <v>243158459529</v>
      </c>
      <c r="J205" s="5">
        <v>261750446064</v>
      </c>
      <c r="K205" s="5">
        <v>237457025925</v>
      </c>
      <c r="L205" s="5">
        <v>23148514606</v>
      </c>
      <c r="M205" s="5">
        <v>201718035948</v>
      </c>
      <c r="N205" s="5">
        <v>19549967508</v>
      </c>
      <c r="O205" s="5">
        <v>203064052151</v>
      </c>
      <c r="P205" s="5">
        <v>1827984586975</v>
      </c>
    </row>
    <row r="206" spans="1:16" x14ac:dyDescent="0.45">
      <c r="A206" s="1" t="s">
        <v>200</v>
      </c>
      <c r="B206" s="2">
        <v>4972972</v>
      </c>
      <c r="C206" s="3" t="s">
        <v>2260</v>
      </c>
      <c r="D206" s="3" t="s">
        <v>2261</v>
      </c>
      <c r="E206" s="3" t="s">
        <v>600</v>
      </c>
      <c r="F206" s="5" t="s">
        <v>2262</v>
      </c>
      <c r="G206" s="5" t="s">
        <v>2263</v>
      </c>
      <c r="H206" s="5" t="s">
        <v>2264</v>
      </c>
      <c r="I206" s="5" t="s">
        <v>2265</v>
      </c>
      <c r="J206" s="5" t="s">
        <v>2266</v>
      </c>
      <c r="K206" s="5" t="s">
        <v>2267</v>
      </c>
      <c r="L206" s="5" t="s">
        <v>2268</v>
      </c>
      <c r="M206" s="5" t="s">
        <v>2269</v>
      </c>
      <c r="N206" s="5" t="s">
        <v>2270</v>
      </c>
      <c r="O206" s="5" t="s">
        <v>2271</v>
      </c>
      <c r="P206" s="5" t="s">
        <v>2272</v>
      </c>
    </row>
    <row r="207" spans="1:16" x14ac:dyDescent="0.45">
      <c r="A207" s="1" t="s">
        <v>201</v>
      </c>
      <c r="B207" s="2">
        <v>4010641</v>
      </c>
      <c r="C207" s="3" t="s">
        <v>2273</v>
      </c>
      <c r="D207" s="3" t="s">
        <v>2274</v>
      </c>
      <c r="E207" s="3" t="s">
        <v>979</v>
      </c>
      <c r="F207" s="5">
        <v>21301017</v>
      </c>
      <c r="G207" s="5" t="s">
        <v>2275</v>
      </c>
      <c r="H207" s="5" t="s">
        <v>2276</v>
      </c>
      <c r="I207" s="5" t="s">
        <v>2277</v>
      </c>
      <c r="J207" s="5" t="s">
        <v>2278</v>
      </c>
      <c r="K207" s="5">
        <v>16905900</v>
      </c>
      <c r="L207" s="5" t="s">
        <v>2279</v>
      </c>
      <c r="M207" s="5" t="s">
        <v>2280</v>
      </c>
      <c r="N207" s="5">
        <v>20890788</v>
      </c>
      <c r="O207" s="5">
        <v>25577100</v>
      </c>
      <c r="P207" s="5" t="s">
        <v>2281</v>
      </c>
    </row>
    <row r="208" spans="1:16" x14ac:dyDescent="0.45">
      <c r="A208" s="1" t="s">
        <v>202</v>
      </c>
      <c r="B208" s="2">
        <v>4095387</v>
      </c>
      <c r="C208" s="3" t="s">
        <v>2282</v>
      </c>
      <c r="D208" s="3" t="s">
        <v>2283</v>
      </c>
      <c r="E208" s="3" t="s">
        <v>2284</v>
      </c>
      <c r="F208" s="5">
        <v>4719200</v>
      </c>
      <c r="G208" s="5" t="s">
        <v>2285</v>
      </c>
      <c r="H208" s="5" t="s">
        <v>2286</v>
      </c>
      <c r="I208" s="5" t="s">
        <v>2287</v>
      </c>
      <c r="J208" s="5" t="s">
        <v>2288</v>
      </c>
      <c r="K208" s="5" t="s">
        <v>2289</v>
      </c>
      <c r="L208" s="5">
        <v>79249014972</v>
      </c>
      <c r="M208" s="5">
        <v>45977463168</v>
      </c>
      <c r="N208" s="5">
        <v>44054978424</v>
      </c>
      <c r="O208" s="5">
        <v>4872437262</v>
      </c>
      <c r="P208" s="5">
        <v>431119480025</v>
      </c>
    </row>
    <row r="209" spans="1:16" x14ac:dyDescent="0.45">
      <c r="A209" s="1" t="s">
        <v>203</v>
      </c>
      <c r="B209" s="2">
        <v>4283738</v>
      </c>
      <c r="C209" s="3" t="s">
        <v>2290</v>
      </c>
      <c r="D209" s="3" t="s">
        <v>2291</v>
      </c>
      <c r="E209" s="3" t="s">
        <v>2292</v>
      </c>
      <c r="F209" s="5">
        <v>51715224</v>
      </c>
      <c r="G209" s="5" t="s">
        <v>2293</v>
      </c>
      <c r="H209" s="5" t="s">
        <v>2294</v>
      </c>
      <c r="I209" s="5" t="s">
        <v>2295</v>
      </c>
      <c r="J209" s="5" t="s">
        <v>2296</v>
      </c>
      <c r="K209" s="5">
        <v>38823075</v>
      </c>
      <c r="L209" s="5" t="s">
        <v>2297</v>
      </c>
      <c r="M209" s="5" t="s">
        <v>2298</v>
      </c>
      <c r="N209" s="5" t="s">
        <v>2299</v>
      </c>
      <c r="O209" s="5" t="s">
        <v>2300</v>
      </c>
      <c r="P209" s="5">
        <v>30149038</v>
      </c>
    </row>
    <row r="210" spans="1:16" x14ac:dyDescent="0.45">
      <c r="A210" s="1" t="s">
        <v>204</v>
      </c>
      <c r="B210" s="2">
        <v>102953</v>
      </c>
      <c r="C210" s="3" t="s">
        <v>2301</v>
      </c>
      <c r="D210" s="3" t="s">
        <v>2302</v>
      </c>
      <c r="E210" s="3" t="s">
        <v>607</v>
      </c>
      <c r="F210" s="5">
        <v>173201865306</v>
      </c>
      <c r="G210" s="5">
        <v>192583605045</v>
      </c>
      <c r="H210" s="5">
        <v>14202749595</v>
      </c>
      <c r="I210" s="5">
        <v>147571389753</v>
      </c>
      <c r="J210" s="5">
        <v>134159364567</v>
      </c>
      <c r="K210" s="5">
        <v>130146727575</v>
      </c>
      <c r="L210" s="5">
        <v>125047091701</v>
      </c>
      <c r="M210" s="5">
        <v>111083841902</v>
      </c>
      <c r="N210" s="5">
        <v>117328703208</v>
      </c>
      <c r="O210" s="5">
        <v>149287517345</v>
      </c>
      <c r="P210" s="5">
        <v>1974994846675</v>
      </c>
    </row>
    <row r="211" spans="1:16" x14ac:dyDescent="0.45">
      <c r="A211" s="1" t="s">
        <v>205</v>
      </c>
      <c r="B211" s="2">
        <v>4811795</v>
      </c>
      <c r="C211" s="3" t="s">
        <v>2303</v>
      </c>
      <c r="D211" s="3" t="s">
        <v>2304</v>
      </c>
      <c r="E211" s="3" t="s">
        <v>1218</v>
      </c>
      <c r="F211" s="5">
        <v>9532750</v>
      </c>
      <c r="G211" s="5" t="s">
        <v>2305</v>
      </c>
      <c r="H211" s="5" t="s">
        <v>2306</v>
      </c>
      <c r="I211" s="5" t="s">
        <v>2307</v>
      </c>
      <c r="J211" s="5" t="s">
        <v>2308</v>
      </c>
      <c r="K211" s="5">
        <v>63781397592</v>
      </c>
      <c r="L211" s="5">
        <v>63995202849</v>
      </c>
      <c r="M211" s="5">
        <v>74260603872</v>
      </c>
      <c r="N211" s="5">
        <v>6549135036</v>
      </c>
      <c r="O211" s="5">
        <v>64041231308</v>
      </c>
      <c r="P211" s="5">
        <v>5940453805</v>
      </c>
    </row>
    <row r="212" spans="1:16" x14ac:dyDescent="0.45">
      <c r="A212" s="1" t="s">
        <v>206</v>
      </c>
      <c r="B212" s="2">
        <v>4641383</v>
      </c>
      <c r="C212" s="3" t="s">
        <v>2309</v>
      </c>
      <c r="D212" s="3" t="s">
        <v>2310</v>
      </c>
      <c r="E212" s="3" t="s">
        <v>832</v>
      </c>
      <c r="F212" s="5">
        <v>65810502</v>
      </c>
      <c r="G212" s="5">
        <v>65632302</v>
      </c>
      <c r="H212" s="5" t="s">
        <v>2311</v>
      </c>
      <c r="I212" s="5" t="s">
        <v>2312</v>
      </c>
      <c r="J212" s="5" t="s">
        <v>2313</v>
      </c>
      <c r="K212" s="5" t="s">
        <v>2314</v>
      </c>
      <c r="L212" s="5" t="s">
        <v>2315</v>
      </c>
      <c r="M212" s="5" t="s">
        <v>2316</v>
      </c>
      <c r="N212" s="5">
        <v>52747754</v>
      </c>
      <c r="O212" s="5" t="s">
        <v>2317</v>
      </c>
      <c r="P212" s="5" t="s">
        <v>2318</v>
      </c>
    </row>
    <row r="213" spans="1:16" x14ac:dyDescent="0.45">
      <c r="A213" s="1" t="s">
        <v>207</v>
      </c>
      <c r="B213" s="2">
        <v>4019144</v>
      </c>
      <c r="C213" s="3" t="s">
        <v>2319</v>
      </c>
      <c r="D213" s="3" t="s">
        <v>2320</v>
      </c>
      <c r="E213" s="3" t="s">
        <v>1103</v>
      </c>
      <c r="F213" s="5" t="s">
        <v>2321</v>
      </c>
      <c r="G213" s="5" t="s">
        <v>2322</v>
      </c>
      <c r="H213" s="5" t="s">
        <v>2323</v>
      </c>
      <c r="I213" s="5" t="s">
        <v>2324</v>
      </c>
      <c r="J213" s="5" t="s">
        <v>2325</v>
      </c>
      <c r="K213" s="5" t="s">
        <v>2326</v>
      </c>
      <c r="L213" s="5" t="s">
        <v>2327</v>
      </c>
      <c r="M213" s="5">
        <v>12223233</v>
      </c>
      <c r="N213" s="5" t="s">
        <v>2328</v>
      </c>
      <c r="O213" s="5" t="s">
        <v>2329</v>
      </c>
      <c r="P213" s="5" t="s">
        <v>2330</v>
      </c>
    </row>
    <row r="214" spans="1:16" x14ac:dyDescent="0.45">
      <c r="A214" s="1" t="s">
        <v>208</v>
      </c>
      <c r="B214" s="2">
        <v>4121346</v>
      </c>
      <c r="C214" s="3" t="s">
        <v>2331</v>
      </c>
      <c r="D214" s="3" t="s">
        <v>2332</v>
      </c>
      <c r="E214" s="3" t="s">
        <v>494</v>
      </c>
      <c r="F214" s="5" t="s">
        <v>2333</v>
      </c>
      <c r="G214" s="5" t="s">
        <v>2334</v>
      </c>
      <c r="H214" s="5" t="s">
        <v>2335</v>
      </c>
      <c r="I214" s="5" t="s">
        <v>2336</v>
      </c>
      <c r="J214" s="5">
        <v>56688471</v>
      </c>
      <c r="K214" s="5">
        <v>52799055</v>
      </c>
      <c r="L214" s="5" t="s">
        <v>2337</v>
      </c>
      <c r="M214" s="5" t="s">
        <v>2338</v>
      </c>
      <c r="N214" s="5">
        <v>49526616</v>
      </c>
      <c r="O214" s="5" t="s">
        <v>2339</v>
      </c>
      <c r="P214" s="5">
        <v>45407707</v>
      </c>
    </row>
    <row r="215" spans="1:16" x14ac:dyDescent="0.45">
      <c r="A215" s="1" t="s">
        <v>209</v>
      </c>
      <c r="B215" s="2">
        <v>4068867</v>
      </c>
      <c r="C215" s="3" t="s">
        <v>2340</v>
      </c>
      <c r="D215" s="3" t="s">
        <v>2341</v>
      </c>
      <c r="E215" s="3" t="s">
        <v>1503</v>
      </c>
      <c r="F215" s="5">
        <v>115140644043</v>
      </c>
      <c r="G215" s="5">
        <v>12413689596</v>
      </c>
      <c r="H215" s="5">
        <v>126969856452</v>
      </c>
      <c r="I215" s="5">
        <v>133827684383</v>
      </c>
      <c r="J215" s="5">
        <v>109797853192</v>
      </c>
      <c r="K215" s="5">
        <v>83705166336</v>
      </c>
      <c r="L215" s="5">
        <v>73126998072</v>
      </c>
      <c r="M215" s="5">
        <v>7153003522</v>
      </c>
      <c r="N215" s="5">
        <v>60229989672</v>
      </c>
      <c r="O215" s="5">
        <v>58267002849</v>
      </c>
      <c r="P215" s="5">
        <v>557465955645</v>
      </c>
    </row>
    <row r="216" spans="1:16" x14ac:dyDescent="0.45">
      <c r="A216" s="1" t="s">
        <v>210</v>
      </c>
      <c r="B216" s="2">
        <v>4041118</v>
      </c>
      <c r="C216" s="3" t="s">
        <v>2342</v>
      </c>
      <c r="D216" s="3" t="s">
        <v>2343</v>
      </c>
      <c r="E216" s="3" t="s">
        <v>2344</v>
      </c>
      <c r="F216" s="5" t="s">
        <v>2345</v>
      </c>
      <c r="G216" s="5" t="s">
        <v>2346</v>
      </c>
      <c r="H216" s="5" t="s">
        <v>2347</v>
      </c>
      <c r="I216" s="5" t="s">
        <v>2348</v>
      </c>
      <c r="J216" s="5" t="s">
        <v>2349</v>
      </c>
      <c r="K216" s="5">
        <v>10537575</v>
      </c>
      <c r="L216" s="5" t="s">
        <v>2350</v>
      </c>
      <c r="M216" s="5">
        <v>10559406</v>
      </c>
      <c r="N216" s="5" t="s">
        <v>2351</v>
      </c>
      <c r="O216" s="5" t="s">
        <v>2352</v>
      </c>
      <c r="P216" s="5">
        <v>10732262</v>
      </c>
    </row>
    <row r="217" spans="1:16" x14ac:dyDescent="0.45">
      <c r="A217" s="1" t="s">
        <v>211</v>
      </c>
      <c r="B217" s="2">
        <v>6661591</v>
      </c>
      <c r="C217" s="3" t="s">
        <v>2353</v>
      </c>
      <c r="D217" s="3" t="s">
        <v>2354</v>
      </c>
      <c r="E217" s="3" t="s">
        <v>976</v>
      </c>
      <c r="F217" s="5" t="s">
        <v>2355</v>
      </c>
      <c r="G217" s="5" t="s">
        <v>2356</v>
      </c>
      <c r="H217" s="5" t="s">
        <v>2357</v>
      </c>
      <c r="I217" s="5" t="s">
        <v>2358</v>
      </c>
      <c r="J217" s="5" t="s">
        <v>2359</v>
      </c>
      <c r="K217" s="5" t="s">
        <v>2360</v>
      </c>
      <c r="L217" s="5" t="s">
        <v>2361</v>
      </c>
      <c r="M217" s="5" t="s">
        <v>2362</v>
      </c>
      <c r="N217" s="5" t="s">
        <v>2363</v>
      </c>
      <c r="O217" s="5" t="s">
        <v>2364</v>
      </c>
      <c r="P217" s="5" t="s">
        <v>2365</v>
      </c>
    </row>
    <row r="218" spans="1:16" x14ac:dyDescent="0.45">
      <c r="A218" s="1" t="s">
        <v>212</v>
      </c>
      <c r="B218" s="2">
        <v>105223</v>
      </c>
      <c r="C218" s="3" t="s">
        <v>2366</v>
      </c>
      <c r="D218" s="3" t="s">
        <v>2367</v>
      </c>
      <c r="E218" s="3" t="s">
        <v>832</v>
      </c>
      <c r="F218" s="5">
        <v>36213723</v>
      </c>
      <c r="G218" s="5">
        <v>36756189</v>
      </c>
      <c r="H218" s="5">
        <v>35024286</v>
      </c>
      <c r="I218" s="5" t="s">
        <v>2368</v>
      </c>
      <c r="J218" s="5">
        <v>33389928</v>
      </c>
      <c r="K218" s="5" t="s">
        <v>2369</v>
      </c>
      <c r="L218" s="5" t="s">
        <v>2370</v>
      </c>
      <c r="M218" s="5">
        <v>30588537</v>
      </c>
      <c r="N218" s="5">
        <v>28272267</v>
      </c>
      <c r="O218" s="5" t="s">
        <v>2371</v>
      </c>
      <c r="P218" s="5" t="s">
        <v>2372</v>
      </c>
    </row>
    <row r="219" spans="1:16" x14ac:dyDescent="0.45">
      <c r="A219" s="1" t="s">
        <v>213</v>
      </c>
      <c r="B219" s="2">
        <v>4992018</v>
      </c>
      <c r="C219" s="3" t="s">
        <v>2373</v>
      </c>
      <c r="D219" s="3" t="s">
        <v>2374</v>
      </c>
      <c r="E219" s="3" t="s">
        <v>769</v>
      </c>
      <c r="F219" s="5" t="s">
        <v>2375</v>
      </c>
      <c r="G219" s="5" t="s">
        <v>2376</v>
      </c>
      <c r="H219" s="5" t="s">
        <v>2377</v>
      </c>
      <c r="I219" s="5" t="s">
        <v>2378</v>
      </c>
      <c r="J219" s="5" t="s">
        <v>2379</v>
      </c>
      <c r="K219" s="5" t="s">
        <v>2380</v>
      </c>
      <c r="L219" s="5" t="s">
        <v>2381</v>
      </c>
      <c r="M219" s="5" t="s">
        <v>2382</v>
      </c>
      <c r="N219" s="5" t="s">
        <v>2383</v>
      </c>
      <c r="O219" s="5" t="s">
        <v>2384</v>
      </c>
      <c r="P219" s="5">
        <v>2954410525</v>
      </c>
    </row>
    <row r="220" spans="1:16" x14ac:dyDescent="0.45">
      <c r="A220" s="1" t="s">
        <v>214</v>
      </c>
      <c r="B220" s="2">
        <v>111564</v>
      </c>
      <c r="C220" s="3" t="s">
        <v>2385</v>
      </c>
      <c r="D220" s="3" t="s">
        <v>2386</v>
      </c>
      <c r="E220" s="3" t="s">
        <v>1296</v>
      </c>
      <c r="F220" s="5" t="s">
        <v>2387</v>
      </c>
      <c r="G220" s="5" t="s">
        <v>2388</v>
      </c>
      <c r="H220" s="5" t="s">
        <v>2389</v>
      </c>
      <c r="I220" s="5" t="s">
        <v>2390</v>
      </c>
      <c r="J220" s="5" t="s">
        <v>2391</v>
      </c>
      <c r="K220" s="5" t="s">
        <v>2392</v>
      </c>
      <c r="L220" s="5" t="s">
        <v>2393</v>
      </c>
      <c r="M220" s="5" t="s">
        <v>2394</v>
      </c>
      <c r="N220" s="5" t="s">
        <v>2395</v>
      </c>
      <c r="O220" s="5" t="s">
        <v>2396</v>
      </c>
      <c r="P220" s="5" t="s">
        <v>2397</v>
      </c>
    </row>
    <row r="221" spans="1:16" x14ac:dyDescent="0.45">
      <c r="A221" s="1" t="s">
        <v>215</v>
      </c>
      <c r="B221" s="2">
        <v>100307</v>
      </c>
      <c r="C221" s="3" t="s">
        <v>2398</v>
      </c>
      <c r="D221" s="3" t="s">
        <v>2399</v>
      </c>
      <c r="E221" s="3" t="s">
        <v>1004</v>
      </c>
      <c r="F221" s="5" t="s">
        <v>2400</v>
      </c>
      <c r="G221" s="5">
        <v>197265757</v>
      </c>
      <c r="H221" s="5" t="s">
        <v>2401</v>
      </c>
      <c r="I221" s="5" t="s">
        <v>2402</v>
      </c>
      <c r="J221" s="5" t="s">
        <v>2403</v>
      </c>
      <c r="K221" s="5">
        <v>100583565</v>
      </c>
      <c r="L221" s="5" t="s">
        <v>2404</v>
      </c>
      <c r="M221" s="5" t="s">
        <v>2405</v>
      </c>
      <c r="N221" s="5">
        <v>86765268</v>
      </c>
      <c r="O221" s="5" t="s">
        <v>2406</v>
      </c>
      <c r="P221" s="5">
        <v>6539010064575</v>
      </c>
    </row>
    <row r="222" spans="1:16" x14ac:dyDescent="0.45">
      <c r="A222" s="1" t="s">
        <v>216</v>
      </c>
      <c r="B222" s="2">
        <v>4436418</v>
      </c>
      <c r="C222" s="3" t="s">
        <v>2407</v>
      </c>
      <c r="D222" s="3" t="s">
        <v>2408</v>
      </c>
      <c r="E222" s="3" t="s">
        <v>976</v>
      </c>
      <c r="F222" s="5" t="s">
        <v>2409</v>
      </c>
      <c r="G222" s="5" t="s">
        <v>2410</v>
      </c>
      <c r="H222" s="5" t="s">
        <v>2411</v>
      </c>
      <c r="I222" s="5" t="s">
        <v>2412</v>
      </c>
      <c r="J222" s="5" t="s">
        <v>2413</v>
      </c>
      <c r="K222" s="5" t="s">
        <v>2414</v>
      </c>
      <c r="L222" s="5" t="s">
        <v>2415</v>
      </c>
      <c r="M222" s="5" t="s">
        <v>2416</v>
      </c>
      <c r="N222" s="5" t="s">
        <v>2417</v>
      </c>
      <c r="O222" s="5" t="s">
        <v>2418</v>
      </c>
      <c r="P222" s="5">
        <v>5546598</v>
      </c>
    </row>
    <row r="223" spans="1:16" x14ac:dyDescent="0.45">
      <c r="A223" s="1" t="s">
        <v>217</v>
      </c>
      <c r="B223" s="2">
        <v>4992897</v>
      </c>
      <c r="C223" s="3" t="s">
        <v>2419</v>
      </c>
      <c r="D223" s="3" t="s">
        <v>2420</v>
      </c>
      <c r="E223" s="3" t="s">
        <v>1795</v>
      </c>
      <c r="F223" s="5" t="s">
        <v>2421</v>
      </c>
      <c r="G223" s="5" t="s">
        <v>2422</v>
      </c>
      <c r="H223" s="5" t="s">
        <v>2423</v>
      </c>
      <c r="I223" s="5" t="s">
        <v>2424</v>
      </c>
      <c r="J223" s="5" t="s">
        <v>2425</v>
      </c>
      <c r="K223" s="5">
        <v>3608772</v>
      </c>
      <c r="L223" s="5">
        <v>33985769832</v>
      </c>
      <c r="M223" s="5">
        <v>30340667038</v>
      </c>
      <c r="N223" s="5">
        <v>28312101984</v>
      </c>
      <c r="O223" s="5">
        <v>29886784512</v>
      </c>
      <c r="P223" s="5">
        <v>258311164225</v>
      </c>
    </row>
    <row r="224" spans="1:16" x14ac:dyDescent="0.45">
      <c r="A224" s="1" t="s">
        <v>218</v>
      </c>
      <c r="B224" s="2">
        <v>4811348</v>
      </c>
      <c r="C224" s="3" t="s">
        <v>2426</v>
      </c>
      <c r="D224" s="3" t="s">
        <v>2427</v>
      </c>
      <c r="E224" s="3" t="s">
        <v>518</v>
      </c>
      <c r="F224" s="5">
        <v>28538414403</v>
      </c>
      <c r="G224" s="5">
        <v>31811365937</v>
      </c>
      <c r="H224" s="5">
        <v>29492541475</v>
      </c>
      <c r="I224" s="5">
        <v>25701480105</v>
      </c>
      <c r="J224" s="5">
        <v>21430325979</v>
      </c>
      <c r="K224" s="5">
        <v>18758036175</v>
      </c>
      <c r="L224" s="5">
        <v>16329184725</v>
      </c>
      <c r="M224" s="5">
        <v>13427206166</v>
      </c>
      <c r="N224" s="5">
        <v>14269328448</v>
      </c>
      <c r="O224" s="5">
        <v>14500358992</v>
      </c>
      <c r="P224" s="5">
        <v>135809980475</v>
      </c>
    </row>
    <row r="225" spans="1:16" x14ac:dyDescent="0.45">
      <c r="A225" s="1" t="s">
        <v>219</v>
      </c>
      <c r="B225" s="2">
        <v>4992234</v>
      </c>
      <c r="C225" s="3" t="s">
        <v>2428</v>
      </c>
      <c r="D225" s="3" t="s">
        <v>2429</v>
      </c>
      <c r="E225" s="3" t="s">
        <v>1795</v>
      </c>
      <c r="F225" s="5" t="s">
        <v>2430</v>
      </c>
      <c r="G225" s="5" t="s">
        <v>2431</v>
      </c>
      <c r="H225" s="5" t="s">
        <v>2432</v>
      </c>
      <c r="I225" s="5" t="s">
        <v>2433</v>
      </c>
      <c r="J225" s="5" t="s">
        <v>2434</v>
      </c>
      <c r="K225" s="5">
        <v>12762810</v>
      </c>
      <c r="L225" s="5" t="s">
        <v>2435</v>
      </c>
      <c r="M225" s="5">
        <v>12987458</v>
      </c>
      <c r="N225" s="5">
        <v>13974384</v>
      </c>
      <c r="O225" s="5" t="s">
        <v>2436</v>
      </c>
      <c r="P225" s="5" t="s">
        <v>2437</v>
      </c>
    </row>
    <row r="226" spans="1:16" x14ac:dyDescent="0.45">
      <c r="A226" s="1" t="s">
        <v>220</v>
      </c>
      <c r="B226" s="2">
        <v>4810794</v>
      </c>
      <c r="C226" s="3" t="s">
        <v>2438</v>
      </c>
      <c r="D226" s="3" t="s">
        <v>2439</v>
      </c>
      <c r="E226" s="3" t="s">
        <v>530</v>
      </c>
      <c r="F226" s="5">
        <v>59261056041</v>
      </c>
      <c r="G226" s="5">
        <v>52586706198</v>
      </c>
      <c r="H226" s="5">
        <v>61357722029</v>
      </c>
      <c r="I226" s="5">
        <v>54654087288</v>
      </c>
      <c r="J226" s="5">
        <v>43378964136</v>
      </c>
      <c r="K226" s="5">
        <v>2911050465</v>
      </c>
      <c r="L226" s="5">
        <v>3053576925</v>
      </c>
      <c r="M226" s="5">
        <v>23108085308</v>
      </c>
      <c r="N226" s="5">
        <v>19175902896</v>
      </c>
      <c r="O226" s="5">
        <v>15522429381</v>
      </c>
      <c r="P226" s="5" t="s">
        <v>2440</v>
      </c>
    </row>
    <row r="227" spans="1:16" x14ac:dyDescent="0.45">
      <c r="A227" s="1" t="s">
        <v>221</v>
      </c>
      <c r="B227" s="2">
        <v>4380458</v>
      </c>
      <c r="C227" s="3" t="s">
        <v>2441</v>
      </c>
      <c r="D227" s="3" t="s">
        <v>2442</v>
      </c>
      <c r="E227" s="3" t="s">
        <v>1795</v>
      </c>
      <c r="F227" s="5" t="s">
        <v>2443</v>
      </c>
      <c r="G227" s="5" t="s">
        <v>2444</v>
      </c>
      <c r="H227" s="5" t="s">
        <v>2445</v>
      </c>
      <c r="I227" s="5" t="s">
        <v>2446</v>
      </c>
      <c r="J227" s="5" t="s">
        <v>2447</v>
      </c>
      <c r="K227" s="5" t="s">
        <v>2448</v>
      </c>
      <c r="L227" s="5" t="s">
        <v>2449</v>
      </c>
      <c r="M227" s="5" t="s">
        <v>2450</v>
      </c>
      <c r="N227" s="5" t="s">
        <v>2451</v>
      </c>
      <c r="O227" s="5" t="s">
        <v>2452</v>
      </c>
      <c r="P227" s="5">
        <v>41084288545</v>
      </c>
    </row>
    <row r="228" spans="1:16" x14ac:dyDescent="0.45">
      <c r="A228" s="1" t="s">
        <v>222</v>
      </c>
      <c r="B228" s="2">
        <v>4811052</v>
      </c>
      <c r="C228" s="3" t="s">
        <v>2453</v>
      </c>
      <c r="D228" s="3" t="s">
        <v>2454</v>
      </c>
      <c r="E228" s="3" t="s">
        <v>518</v>
      </c>
      <c r="F228" s="5" t="s">
        <v>2455</v>
      </c>
      <c r="G228" s="5" t="s">
        <v>2456</v>
      </c>
      <c r="H228" s="5" t="s">
        <v>2457</v>
      </c>
      <c r="I228" s="5" t="s">
        <v>2458</v>
      </c>
      <c r="J228" s="5" t="s">
        <v>2459</v>
      </c>
      <c r="K228" s="5" t="s">
        <v>2460</v>
      </c>
      <c r="L228" s="5" t="s">
        <v>2461</v>
      </c>
      <c r="M228" s="5" t="s">
        <v>2462</v>
      </c>
      <c r="N228" s="5">
        <v>6801844032</v>
      </c>
      <c r="O228" s="5">
        <v>4325817031</v>
      </c>
      <c r="P228" s="5">
        <v>2533222645</v>
      </c>
    </row>
    <row r="229" spans="1:16" x14ac:dyDescent="0.45">
      <c r="A229" s="1" t="s">
        <v>223</v>
      </c>
      <c r="B229" s="2">
        <v>4025746</v>
      </c>
      <c r="C229" s="3" t="s">
        <v>2463</v>
      </c>
      <c r="D229" s="3" t="s">
        <v>2464</v>
      </c>
      <c r="E229" s="3" t="s">
        <v>556</v>
      </c>
      <c r="F229" s="5">
        <v>179714650</v>
      </c>
      <c r="G229" s="5" t="s">
        <v>2465</v>
      </c>
      <c r="H229" s="5" t="s">
        <v>2466</v>
      </c>
      <c r="I229" s="5" t="s">
        <v>2467</v>
      </c>
      <c r="J229" s="5" t="s">
        <v>2468</v>
      </c>
      <c r="K229" s="5" t="s">
        <v>2469</v>
      </c>
      <c r="L229" s="5" t="s">
        <v>2470</v>
      </c>
      <c r="M229" s="5" t="s">
        <v>2471</v>
      </c>
      <c r="N229" s="5" t="s">
        <v>2472</v>
      </c>
      <c r="O229" s="5" t="s">
        <v>2473</v>
      </c>
      <c r="P229" s="5" t="s">
        <v>2474</v>
      </c>
    </row>
    <row r="230" spans="1:16" x14ac:dyDescent="0.45">
      <c r="A230" s="1" t="s">
        <v>224</v>
      </c>
      <c r="B230" s="2">
        <v>4153870</v>
      </c>
      <c r="C230" s="3" t="s">
        <v>2475</v>
      </c>
      <c r="D230" s="3" t="s">
        <v>2476</v>
      </c>
      <c r="E230" s="3" t="s">
        <v>2477</v>
      </c>
      <c r="F230" s="5">
        <v>173099508</v>
      </c>
      <c r="G230" s="5" t="s">
        <v>2478</v>
      </c>
      <c r="H230" s="5" t="s">
        <v>2479</v>
      </c>
      <c r="I230" s="5" t="s">
        <v>2480</v>
      </c>
      <c r="J230" s="5" t="s">
        <v>2481</v>
      </c>
      <c r="K230" s="5" t="s">
        <v>2482</v>
      </c>
      <c r="L230" s="5" t="s">
        <v>2483</v>
      </c>
      <c r="M230" s="5" t="s">
        <v>2484</v>
      </c>
      <c r="N230" s="5" t="s">
        <v>2485</v>
      </c>
      <c r="O230" s="5" t="s">
        <v>2486</v>
      </c>
      <c r="P230" s="5" t="s">
        <v>2487</v>
      </c>
    </row>
    <row r="231" spans="1:16" x14ac:dyDescent="0.45">
      <c r="A231" s="1" t="s">
        <v>225</v>
      </c>
      <c r="B231" s="2">
        <v>4099823</v>
      </c>
      <c r="C231" s="3" t="s">
        <v>2488</v>
      </c>
      <c r="D231" s="3" t="s">
        <v>2489</v>
      </c>
      <c r="E231" s="3" t="s">
        <v>1261</v>
      </c>
      <c r="F231" s="5" t="s">
        <v>2490</v>
      </c>
      <c r="G231" s="5" t="s">
        <v>2491</v>
      </c>
      <c r="H231" s="5" t="s">
        <v>2492</v>
      </c>
      <c r="I231" s="5" t="s">
        <v>2493</v>
      </c>
      <c r="J231" s="5" t="s">
        <v>2494</v>
      </c>
      <c r="K231" s="5">
        <v>103168500</v>
      </c>
      <c r="L231" s="5" t="s">
        <v>2495</v>
      </c>
      <c r="M231" s="5" t="s">
        <v>2496</v>
      </c>
      <c r="N231" s="5" t="s">
        <v>2497</v>
      </c>
      <c r="O231" s="5" t="s">
        <v>2498</v>
      </c>
      <c r="P231" s="5" t="s">
        <v>2499</v>
      </c>
    </row>
    <row r="232" spans="1:16" x14ac:dyDescent="0.45">
      <c r="A232" s="1" t="s">
        <v>226</v>
      </c>
      <c r="B232" s="2">
        <v>4000193</v>
      </c>
      <c r="C232" s="3" t="s">
        <v>2500</v>
      </c>
      <c r="D232" s="3" t="s">
        <v>2501</v>
      </c>
      <c r="E232" s="3" t="s">
        <v>543</v>
      </c>
      <c r="F232" s="5">
        <v>129356196</v>
      </c>
      <c r="G232" s="5" t="s">
        <v>2502</v>
      </c>
      <c r="H232" s="5" t="s">
        <v>2503</v>
      </c>
      <c r="I232" s="5" t="s">
        <v>2504</v>
      </c>
      <c r="J232" s="5" t="s">
        <v>2505</v>
      </c>
      <c r="K232" s="5" t="s">
        <v>2506</v>
      </c>
      <c r="L232" s="5" t="s">
        <v>2507</v>
      </c>
      <c r="M232" s="5" t="s">
        <v>2508</v>
      </c>
      <c r="N232" s="5" t="s">
        <v>2509</v>
      </c>
      <c r="O232" s="5">
        <v>111279331</v>
      </c>
      <c r="P232" s="5" t="s">
        <v>2510</v>
      </c>
    </row>
    <row r="233" spans="1:16" x14ac:dyDescent="0.45">
      <c r="A233" s="1" t="s">
        <v>227</v>
      </c>
      <c r="B233" s="2">
        <v>4985791</v>
      </c>
      <c r="C233" s="3" t="s">
        <v>2511</v>
      </c>
      <c r="D233" s="3" t="s">
        <v>2512</v>
      </c>
      <c r="E233" s="3" t="s">
        <v>604</v>
      </c>
      <c r="F233" s="5" t="s">
        <v>2513</v>
      </c>
      <c r="G233" s="5" t="s">
        <v>2514</v>
      </c>
      <c r="H233" s="5" t="s">
        <v>2515</v>
      </c>
      <c r="I233" s="5" t="s">
        <v>2516</v>
      </c>
      <c r="J233" s="5" t="s">
        <v>2517</v>
      </c>
      <c r="K233" s="5" t="s">
        <v>2518</v>
      </c>
      <c r="L233" s="5">
        <v>118404119421</v>
      </c>
      <c r="M233" s="5">
        <v>11257597593</v>
      </c>
      <c r="N233" s="5">
        <v>38299855728</v>
      </c>
      <c r="O233" s="5">
        <v>38052889432</v>
      </c>
      <c r="P233" s="5">
        <v>34086257075</v>
      </c>
    </row>
    <row r="234" spans="1:16" x14ac:dyDescent="0.45">
      <c r="A234" s="1" t="s">
        <v>228</v>
      </c>
      <c r="B234" s="2">
        <v>4060689</v>
      </c>
      <c r="C234" s="3" t="s">
        <v>2519</v>
      </c>
      <c r="D234" s="3" t="s">
        <v>2520</v>
      </c>
      <c r="E234" s="3" t="s">
        <v>677</v>
      </c>
      <c r="F234" s="5" t="s">
        <v>2521</v>
      </c>
      <c r="G234" s="5">
        <v>22022520</v>
      </c>
      <c r="H234" s="5" t="s">
        <v>2522</v>
      </c>
      <c r="I234" s="5">
        <v>22400658</v>
      </c>
      <c r="J234" s="5" t="s">
        <v>2523</v>
      </c>
      <c r="K234" s="5">
        <v>25929465</v>
      </c>
      <c r="L234" s="5" t="s">
        <v>2524</v>
      </c>
      <c r="M234" s="5" t="s">
        <v>2525</v>
      </c>
      <c r="N234" s="5" t="s">
        <v>2526</v>
      </c>
      <c r="O234" s="5" t="s">
        <v>2527</v>
      </c>
      <c r="P234" s="5" t="s">
        <v>2528</v>
      </c>
    </row>
    <row r="235" spans="1:16" x14ac:dyDescent="0.45">
      <c r="A235" s="1" t="s">
        <v>229</v>
      </c>
      <c r="B235" s="2">
        <v>4048157</v>
      </c>
      <c r="C235" s="3" t="s">
        <v>2529</v>
      </c>
      <c r="D235" s="3" t="s">
        <v>2530</v>
      </c>
      <c r="E235" s="3" t="s">
        <v>2109</v>
      </c>
      <c r="F235" s="5" t="s">
        <v>2531</v>
      </c>
      <c r="G235" s="5">
        <v>29689968</v>
      </c>
      <c r="H235" s="5">
        <v>25207572</v>
      </c>
      <c r="I235" s="5" t="s">
        <v>2532</v>
      </c>
      <c r="J235" s="5">
        <v>13079988</v>
      </c>
      <c r="K235" s="5" t="s">
        <v>2533</v>
      </c>
      <c r="L235" s="5" t="s">
        <v>2534</v>
      </c>
      <c r="M235" s="5">
        <v>4387003</v>
      </c>
      <c r="N235" s="5">
        <v>3451698</v>
      </c>
      <c r="O235" s="5" t="s">
        <v>2535</v>
      </c>
      <c r="P235" s="5" t="s">
        <v>2536</v>
      </c>
    </row>
    <row r="236" spans="1:16" x14ac:dyDescent="0.45">
      <c r="A236" s="1" t="s">
        <v>230</v>
      </c>
      <c r="B236" s="2">
        <v>4410647</v>
      </c>
      <c r="C236" s="3" t="s">
        <v>2537</v>
      </c>
      <c r="D236" s="3" t="s">
        <v>2538</v>
      </c>
      <c r="E236" s="3" t="s">
        <v>518</v>
      </c>
      <c r="F236" s="5" t="s">
        <v>2539</v>
      </c>
      <c r="G236" s="5" t="s">
        <v>2540</v>
      </c>
      <c r="H236" s="5" t="s">
        <v>2541</v>
      </c>
      <c r="I236" s="5" t="s">
        <v>2542</v>
      </c>
      <c r="J236" s="5" t="s">
        <v>2543</v>
      </c>
      <c r="K236" s="5" t="s">
        <v>2544</v>
      </c>
      <c r="L236" s="5" t="s">
        <v>2545</v>
      </c>
      <c r="M236" s="5" t="s">
        <v>2546</v>
      </c>
      <c r="N236" s="5" t="s">
        <v>2547</v>
      </c>
      <c r="O236" s="5" t="s">
        <v>2548</v>
      </c>
      <c r="P236" s="5">
        <v>4518396475</v>
      </c>
    </row>
    <row r="237" spans="1:16" x14ac:dyDescent="0.45">
      <c r="A237" s="1" t="s">
        <v>231</v>
      </c>
      <c r="B237" s="2">
        <v>103661</v>
      </c>
      <c r="C237" s="3" t="s">
        <v>2549</v>
      </c>
      <c r="D237" s="3" t="s">
        <v>2550</v>
      </c>
      <c r="E237" s="3" t="s">
        <v>757</v>
      </c>
      <c r="F237" s="5" t="s">
        <v>2551</v>
      </c>
      <c r="G237" s="5" t="s">
        <v>2552</v>
      </c>
      <c r="H237" s="5" t="s">
        <v>2553</v>
      </c>
      <c r="I237" s="5" t="s">
        <v>2554</v>
      </c>
      <c r="J237" s="5" t="s">
        <v>2555</v>
      </c>
      <c r="K237" s="5" t="s">
        <v>2556</v>
      </c>
      <c r="L237" s="5" t="s">
        <v>2557</v>
      </c>
      <c r="M237" s="5" t="s">
        <v>2558</v>
      </c>
      <c r="N237" s="5" t="s">
        <v>2559</v>
      </c>
      <c r="O237" s="5" t="s">
        <v>2560</v>
      </c>
      <c r="P237" s="5" t="s">
        <v>2561</v>
      </c>
    </row>
    <row r="238" spans="1:16" x14ac:dyDescent="0.45">
      <c r="A238" s="1" t="s">
        <v>232</v>
      </c>
      <c r="B238" s="2">
        <v>4426247</v>
      </c>
      <c r="C238" s="3" t="s">
        <v>2562</v>
      </c>
      <c r="D238" s="3" t="s">
        <v>2563</v>
      </c>
      <c r="E238" s="3" t="s">
        <v>2564</v>
      </c>
      <c r="F238" s="5">
        <v>15910002993</v>
      </c>
      <c r="G238" s="5">
        <v>180632485709</v>
      </c>
      <c r="H238" s="5">
        <v>173892088449</v>
      </c>
      <c r="I238" s="5">
        <v>173447976756</v>
      </c>
      <c r="J238" s="5">
        <v>163003279878</v>
      </c>
      <c r="K238" s="5">
        <v>14311336485</v>
      </c>
      <c r="L238" s="5">
        <v>15498822101</v>
      </c>
      <c r="M238" s="5">
        <v>157765980152</v>
      </c>
      <c r="N238" s="5">
        <v>155597337264</v>
      </c>
      <c r="O238" s="5">
        <v>92194561023</v>
      </c>
      <c r="P238" s="5">
        <v>90205674935</v>
      </c>
    </row>
    <row r="239" spans="1:16" x14ac:dyDescent="0.45">
      <c r="A239" s="1" t="s">
        <v>233</v>
      </c>
      <c r="B239" s="2">
        <v>4326091</v>
      </c>
      <c r="C239" s="3" t="s">
        <v>2565</v>
      </c>
      <c r="D239" s="3" t="s">
        <v>2566</v>
      </c>
      <c r="E239" s="3" t="s">
        <v>578</v>
      </c>
      <c r="F239" s="5" t="s">
        <v>2567</v>
      </c>
      <c r="G239" s="5" t="s">
        <v>2568</v>
      </c>
      <c r="H239" s="5" t="s">
        <v>2569</v>
      </c>
      <c r="I239" s="5" t="s">
        <v>2570</v>
      </c>
      <c r="J239" s="5" t="s">
        <v>2571</v>
      </c>
      <c r="K239" s="5">
        <v>20081070</v>
      </c>
      <c r="L239" s="5" t="s">
        <v>2572</v>
      </c>
      <c r="M239" s="5" t="s">
        <v>2573</v>
      </c>
      <c r="N239" s="5" t="s">
        <v>2574</v>
      </c>
      <c r="O239" s="5" t="s">
        <v>2575</v>
      </c>
      <c r="P239" s="5" t="s">
        <v>2576</v>
      </c>
    </row>
    <row r="240" spans="1:16" x14ac:dyDescent="0.45">
      <c r="A240" s="1" t="s">
        <v>234</v>
      </c>
      <c r="B240" s="2">
        <v>4094831</v>
      </c>
      <c r="C240" s="3" t="s">
        <v>2577</v>
      </c>
      <c r="D240" s="3" t="s">
        <v>2578</v>
      </c>
      <c r="E240" s="3" t="s">
        <v>2579</v>
      </c>
      <c r="F240" s="5">
        <v>179921786823</v>
      </c>
      <c r="G240" s="5">
        <v>180788613785</v>
      </c>
      <c r="H240" s="5">
        <v>158085486694</v>
      </c>
      <c r="I240" s="5">
        <v>151026789498</v>
      </c>
      <c r="J240" s="5">
        <v>127059122583</v>
      </c>
      <c r="K240" s="5">
        <v>115670257725</v>
      </c>
      <c r="L240" s="5">
        <v>123121647376</v>
      </c>
      <c r="M240" s="5">
        <v>103560942012</v>
      </c>
      <c r="N240" s="5">
        <v>91378163856</v>
      </c>
      <c r="O240" s="5" t="s">
        <v>2580</v>
      </c>
      <c r="P240" s="5">
        <v>584730298025</v>
      </c>
    </row>
    <row r="241" spans="1:16" x14ac:dyDescent="0.45">
      <c r="A241" s="1" t="s">
        <v>235</v>
      </c>
      <c r="B241" s="2">
        <v>4994170</v>
      </c>
      <c r="C241" s="3" t="s">
        <v>2581</v>
      </c>
      <c r="D241" s="3" t="s">
        <v>2582</v>
      </c>
      <c r="E241" s="3" t="s">
        <v>2583</v>
      </c>
      <c r="F241" s="5">
        <v>67515579135</v>
      </c>
      <c r="G241" s="5">
        <v>8028821593</v>
      </c>
      <c r="H241" s="5">
        <v>77696974956</v>
      </c>
      <c r="I241" s="5">
        <v>72859047774</v>
      </c>
      <c r="J241" s="5">
        <v>59742701964</v>
      </c>
      <c r="K241" s="5" t="s">
        <v>2584</v>
      </c>
      <c r="L241" s="5">
        <v>48750779994</v>
      </c>
      <c r="M241" s="5">
        <v>44470444898</v>
      </c>
      <c r="N241" s="5">
        <v>37187426472</v>
      </c>
      <c r="O241" s="5">
        <v>37425236871</v>
      </c>
      <c r="P241" s="5">
        <v>3341902638</v>
      </c>
    </row>
    <row r="242" spans="1:16" x14ac:dyDescent="0.45">
      <c r="A242" s="1" t="s">
        <v>236</v>
      </c>
      <c r="B242" s="2">
        <v>4069059</v>
      </c>
      <c r="C242" s="3" t="s">
        <v>2585</v>
      </c>
      <c r="D242" s="3" t="s">
        <v>2586</v>
      </c>
      <c r="E242" s="3" t="s">
        <v>2587</v>
      </c>
      <c r="F242" s="5" t="s">
        <v>2588</v>
      </c>
      <c r="G242" s="5" t="s">
        <v>2589</v>
      </c>
      <c r="H242" s="5">
        <v>17908928</v>
      </c>
      <c r="I242" s="5" t="s">
        <v>2590</v>
      </c>
      <c r="J242" s="5" t="s">
        <v>2591</v>
      </c>
      <c r="K242" s="5" t="s">
        <v>2592</v>
      </c>
      <c r="L242" s="5" t="s">
        <v>2593</v>
      </c>
      <c r="M242" s="5">
        <v>103773197215</v>
      </c>
      <c r="N242" s="5">
        <v>93439373895</v>
      </c>
      <c r="O242" s="5">
        <v>925995740285</v>
      </c>
      <c r="P242" s="5" t="s">
        <v>2594</v>
      </c>
    </row>
    <row r="243" spans="1:16" x14ac:dyDescent="0.45">
      <c r="A243" s="1" t="s">
        <v>237</v>
      </c>
      <c r="B243" s="2">
        <v>3008229</v>
      </c>
      <c r="C243" s="3" t="s">
        <v>2595</v>
      </c>
      <c r="D243" s="3" t="s">
        <v>2596</v>
      </c>
      <c r="E243" s="3" t="s">
        <v>705</v>
      </c>
      <c r="F243" s="5">
        <v>2591940455</v>
      </c>
      <c r="G243" s="5">
        <v>27294181173</v>
      </c>
      <c r="H243" s="5">
        <v>2540824616</v>
      </c>
      <c r="I243" s="5">
        <v>23489925224</v>
      </c>
      <c r="J243" s="5">
        <v>19703139704</v>
      </c>
      <c r="K243" s="5">
        <v>21579419964</v>
      </c>
      <c r="L243" s="5">
        <v>19200277252</v>
      </c>
      <c r="M243" s="5">
        <v>17425340118</v>
      </c>
      <c r="N243" s="5">
        <v>16731902925</v>
      </c>
      <c r="O243" s="5">
        <v>16347777804</v>
      </c>
      <c r="P243" s="5">
        <v>164901862125</v>
      </c>
    </row>
    <row r="244" spans="1:16" x14ac:dyDescent="0.45">
      <c r="A244" s="1" t="s">
        <v>238</v>
      </c>
      <c r="B244" s="2">
        <v>4004212</v>
      </c>
      <c r="C244" s="3" t="s">
        <v>2597</v>
      </c>
      <c r="D244" s="3" t="s">
        <v>2598</v>
      </c>
      <c r="E244" s="3" t="s">
        <v>1949</v>
      </c>
      <c r="F244" s="5">
        <v>9623167932</v>
      </c>
      <c r="G244" s="5">
        <v>105325407785</v>
      </c>
      <c r="H244" s="5">
        <v>138102445832</v>
      </c>
      <c r="I244" s="5">
        <v>149506952962</v>
      </c>
      <c r="J244" s="5">
        <v>126220885234</v>
      </c>
      <c r="K244" s="5">
        <v>105469111561</v>
      </c>
      <c r="L244" s="5">
        <v>104700402274</v>
      </c>
      <c r="M244" s="5">
        <v>108842357565</v>
      </c>
      <c r="N244" s="5">
        <v>62449447999</v>
      </c>
      <c r="O244" s="5">
        <v>65478435723</v>
      </c>
      <c r="P244" s="5">
        <v>69065056583</v>
      </c>
    </row>
    <row r="245" spans="1:16" x14ac:dyDescent="0.45">
      <c r="A245" s="1" t="s">
        <v>239</v>
      </c>
      <c r="B245" s="2">
        <v>4044333</v>
      </c>
      <c r="C245" s="3" t="s">
        <v>2599</v>
      </c>
      <c r="D245" s="3" t="s">
        <v>2600</v>
      </c>
      <c r="E245" s="3" t="s">
        <v>1127</v>
      </c>
      <c r="F245" s="5">
        <v>169328500</v>
      </c>
      <c r="G245" s="5" t="s">
        <v>2601</v>
      </c>
      <c r="H245" s="5" t="s">
        <v>2602</v>
      </c>
      <c r="I245" s="5" t="s">
        <v>2603</v>
      </c>
      <c r="J245" s="5" t="s">
        <v>2604</v>
      </c>
      <c r="K245" s="5" t="s">
        <v>2605</v>
      </c>
      <c r="L245" s="5" t="s">
        <v>2606</v>
      </c>
      <c r="M245" s="5" t="s">
        <v>2607</v>
      </c>
      <c r="N245" s="5" t="s">
        <v>2608</v>
      </c>
      <c r="O245" s="5" t="s">
        <v>2609</v>
      </c>
      <c r="P245" s="5" t="s">
        <v>2610</v>
      </c>
    </row>
    <row r="246" spans="1:16" x14ac:dyDescent="0.45">
      <c r="A246" s="1" t="s">
        <v>240</v>
      </c>
      <c r="B246" s="2">
        <v>5234450</v>
      </c>
      <c r="C246" s="3" t="s">
        <v>2611</v>
      </c>
      <c r="D246" s="3" t="s">
        <v>2612</v>
      </c>
      <c r="E246" s="3" t="s">
        <v>505</v>
      </c>
      <c r="F246" s="5" t="s">
        <v>2613</v>
      </c>
      <c r="G246" s="5">
        <v>38280337</v>
      </c>
      <c r="H246" s="5" t="s">
        <v>2614</v>
      </c>
      <c r="I246" s="5" t="s">
        <v>2615</v>
      </c>
      <c r="J246" s="5">
        <v>36142692</v>
      </c>
      <c r="K246" s="5">
        <v>34758054</v>
      </c>
      <c r="L246" s="5" t="s">
        <v>2616</v>
      </c>
      <c r="M246" s="5" t="s">
        <v>2617</v>
      </c>
      <c r="N246" s="5" t="s">
        <v>2618</v>
      </c>
      <c r="O246" s="5" t="s">
        <v>2619</v>
      </c>
      <c r="P246" s="5" t="s">
        <v>2620</v>
      </c>
    </row>
    <row r="247" spans="1:16" x14ac:dyDescent="0.45">
      <c r="A247" s="1" t="s">
        <v>241</v>
      </c>
      <c r="B247" s="2">
        <v>100201</v>
      </c>
      <c r="C247" s="3" t="s">
        <v>2621</v>
      </c>
      <c r="D247" s="3" t="s">
        <v>2622</v>
      </c>
      <c r="E247" s="3" t="s">
        <v>1004</v>
      </c>
      <c r="F247" s="5">
        <v>3768687330</v>
      </c>
      <c r="G247" s="5" t="s">
        <v>2623</v>
      </c>
      <c r="H247" s="5" t="s">
        <v>2624</v>
      </c>
      <c r="I247" s="5" t="s">
        <v>2625</v>
      </c>
      <c r="J247" s="5" t="s">
        <v>2626</v>
      </c>
      <c r="K247" s="5" t="s">
        <v>2627</v>
      </c>
      <c r="L247" s="5" t="s">
        <v>2628</v>
      </c>
      <c r="M247" s="5" t="s">
        <v>2629</v>
      </c>
      <c r="N247" s="5">
        <v>2109982080</v>
      </c>
      <c r="O247" s="5" t="s">
        <v>2630</v>
      </c>
      <c r="P247" s="5" t="s">
        <v>2631</v>
      </c>
    </row>
    <row r="248" spans="1:16" x14ac:dyDescent="0.45">
      <c r="A248" s="1" t="s">
        <v>242</v>
      </c>
      <c r="B248" s="2">
        <v>4547508</v>
      </c>
      <c r="C248" s="3" t="s">
        <v>2632</v>
      </c>
      <c r="D248" s="3" t="s">
        <v>2633</v>
      </c>
      <c r="E248" s="3" t="s">
        <v>2634</v>
      </c>
      <c r="F248" s="5" t="s">
        <v>2635</v>
      </c>
      <c r="G248" s="5">
        <v>51608037</v>
      </c>
      <c r="H248" s="5">
        <v>47162011</v>
      </c>
      <c r="I248" s="5" t="s">
        <v>2636</v>
      </c>
      <c r="J248" s="5" t="s">
        <v>2637</v>
      </c>
      <c r="K248" s="5" t="s">
        <v>2638</v>
      </c>
      <c r="L248" s="5" t="s">
        <v>2639</v>
      </c>
      <c r="M248" s="5" t="s">
        <v>2640</v>
      </c>
      <c r="N248" s="5" t="s">
        <v>2641</v>
      </c>
      <c r="O248" s="5">
        <v>1479820996935</v>
      </c>
      <c r="P248" s="5">
        <v>357120739365</v>
      </c>
    </row>
    <row r="249" spans="1:16" x14ac:dyDescent="0.45">
      <c r="A249" s="1" t="s">
        <v>243</v>
      </c>
      <c r="B249" s="2">
        <v>100334</v>
      </c>
      <c r="C249" s="3" t="s">
        <v>2642</v>
      </c>
      <c r="D249" s="3" t="s">
        <v>2643</v>
      </c>
      <c r="E249" s="3" t="s">
        <v>1004</v>
      </c>
      <c r="F249" s="5" t="s">
        <v>2644</v>
      </c>
      <c r="G249" s="5" t="s">
        <v>2645</v>
      </c>
      <c r="H249" s="5" t="s">
        <v>2646</v>
      </c>
      <c r="I249" s="5" t="s">
        <v>2647</v>
      </c>
      <c r="J249" s="5" t="s">
        <v>2648</v>
      </c>
      <c r="K249" s="5">
        <v>139249680</v>
      </c>
      <c r="L249" s="5" t="s">
        <v>2649</v>
      </c>
      <c r="M249" s="5" t="s">
        <v>2650</v>
      </c>
      <c r="N249" s="5" t="s">
        <v>2651</v>
      </c>
      <c r="O249" s="5" t="s">
        <v>2652</v>
      </c>
      <c r="P249" s="5" t="s">
        <v>2653</v>
      </c>
    </row>
    <row r="250" spans="1:16" x14ac:dyDescent="0.45">
      <c r="A250" s="1" t="s">
        <v>244</v>
      </c>
      <c r="B250" s="2">
        <v>4972803</v>
      </c>
      <c r="C250" s="3" t="s">
        <v>2654</v>
      </c>
      <c r="D250" s="3" t="s">
        <v>2655</v>
      </c>
      <c r="E250" s="3" t="s">
        <v>2656</v>
      </c>
      <c r="F250" s="5">
        <v>9797967</v>
      </c>
      <c r="G250" s="5">
        <v>8536749</v>
      </c>
      <c r="H250" s="5" t="s">
        <v>2657</v>
      </c>
      <c r="I250" s="5" t="s">
        <v>2658</v>
      </c>
      <c r="J250" s="5" t="s">
        <v>2659</v>
      </c>
      <c r="K250" s="5" t="s">
        <v>2660</v>
      </c>
      <c r="L250" s="5" t="s">
        <v>2661</v>
      </c>
      <c r="M250" s="5">
        <v>5145504</v>
      </c>
      <c r="N250" s="5">
        <v>5096447</v>
      </c>
      <c r="O250" s="5" t="s">
        <v>2662</v>
      </c>
      <c r="P250" s="5" t="s">
        <v>2663</v>
      </c>
    </row>
    <row r="251" spans="1:16" x14ac:dyDescent="0.45">
      <c r="A251" s="1" t="s">
        <v>245</v>
      </c>
      <c r="B251" s="2">
        <v>4060881</v>
      </c>
      <c r="C251" s="3" t="s">
        <v>2664</v>
      </c>
      <c r="D251" s="3" t="s">
        <v>2665</v>
      </c>
      <c r="E251" s="3" t="s">
        <v>1377</v>
      </c>
      <c r="F251" s="5" t="s">
        <v>2666</v>
      </c>
      <c r="G251" s="5" t="s">
        <v>2667</v>
      </c>
      <c r="H251" s="5" t="s">
        <v>2668</v>
      </c>
      <c r="I251" s="5">
        <v>16814529</v>
      </c>
      <c r="J251" s="5" t="s">
        <v>2669</v>
      </c>
      <c r="K251" s="5" t="s">
        <v>2670</v>
      </c>
      <c r="L251" s="5" t="s">
        <v>2671</v>
      </c>
      <c r="M251" s="5" t="s">
        <v>2672</v>
      </c>
      <c r="N251" s="5" t="s">
        <v>2673</v>
      </c>
      <c r="O251" s="5" t="s">
        <v>2674</v>
      </c>
      <c r="P251" s="5" t="s">
        <v>2675</v>
      </c>
    </row>
    <row r="252" spans="1:16" x14ac:dyDescent="0.45">
      <c r="A252" s="1" t="s">
        <v>246</v>
      </c>
      <c r="B252" s="2">
        <v>102965</v>
      </c>
      <c r="C252" s="3" t="s">
        <v>2676</v>
      </c>
      <c r="D252" s="3" t="s">
        <v>2677</v>
      </c>
      <c r="E252" s="3" t="s">
        <v>2059</v>
      </c>
      <c r="F252" s="5">
        <v>16768482525</v>
      </c>
      <c r="G252" s="5">
        <v>196173285464</v>
      </c>
      <c r="H252" s="5">
        <v>165325077034</v>
      </c>
      <c r="I252" s="5">
        <v>166799023554</v>
      </c>
      <c r="J252" s="5">
        <v>162311736807</v>
      </c>
      <c r="K252" s="5">
        <v>9494852115</v>
      </c>
      <c r="L252" s="5">
        <v>98001992837</v>
      </c>
      <c r="M252" s="5" t="s">
        <v>2678</v>
      </c>
      <c r="N252" s="5">
        <v>97968310128</v>
      </c>
      <c r="O252" s="5" t="s">
        <v>2679</v>
      </c>
      <c r="P252" s="5">
        <v>1044514544825</v>
      </c>
    </row>
    <row r="253" spans="1:16" x14ac:dyDescent="0.45">
      <c r="A253" s="1" t="s">
        <v>247</v>
      </c>
      <c r="B253" s="2">
        <v>4275772</v>
      </c>
      <c r="C253" s="3" t="s">
        <v>2680</v>
      </c>
      <c r="D253" s="3" t="s">
        <v>2681</v>
      </c>
      <c r="E253" s="3" t="s">
        <v>2682</v>
      </c>
      <c r="F253" s="5" t="s">
        <v>2683</v>
      </c>
      <c r="G253" s="5" t="s">
        <v>2684</v>
      </c>
      <c r="H253" s="5">
        <v>64251794</v>
      </c>
      <c r="I253" s="5" t="s">
        <v>2685</v>
      </c>
      <c r="J253" s="5" t="s">
        <v>2686</v>
      </c>
      <c r="K253" s="5" t="s">
        <v>2687</v>
      </c>
      <c r="L253" s="5" t="s">
        <v>2688</v>
      </c>
      <c r="M253" s="5" t="s">
        <v>2689</v>
      </c>
      <c r="N253" s="5">
        <v>65837004</v>
      </c>
      <c r="O253" s="5" t="s">
        <v>2690</v>
      </c>
      <c r="P253" s="5">
        <v>77438758</v>
      </c>
    </row>
    <row r="254" spans="1:16" x14ac:dyDescent="0.45">
      <c r="A254" s="1" t="s">
        <v>248</v>
      </c>
      <c r="B254" s="2">
        <v>4165107</v>
      </c>
      <c r="C254" s="3" t="s">
        <v>2691</v>
      </c>
      <c r="D254" s="3" t="s">
        <v>2692</v>
      </c>
      <c r="E254" s="3" t="s">
        <v>757</v>
      </c>
      <c r="F254" s="5">
        <v>3493197061224</v>
      </c>
      <c r="G254" s="5">
        <v>3478200210849</v>
      </c>
      <c r="H254" s="5">
        <v>2870560573118</v>
      </c>
      <c r="I254" s="5">
        <v>2576418473052</v>
      </c>
      <c r="J254" s="5">
        <v>232386187392</v>
      </c>
      <c r="K254" s="5">
        <v>65241815385</v>
      </c>
      <c r="L254" s="5">
        <v>542673831609</v>
      </c>
      <c r="M254" s="5">
        <v>44319263725</v>
      </c>
      <c r="N254" s="5">
        <v>381711539832</v>
      </c>
      <c r="O254" s="5">
        <v>369474443281</v>
      </c>
      <c r="P254" s="5">
        <v>6541223363425</v>
      </c>
    </row>
    <row r="255" spans="1:16" x14ac:dyDescent="0.45">
      <c r="A255" s="1" t="s">
        <v>249</v>
      </c>
      <c r="B255" s="2">
        <v>4069171</v>
      </c>
      <c r="C255" s="3" t="s">
        <v>2693</v>
      </c>
      <c r="D255" s="3" t="s">
        <v>2694</v>
      </c>
      <c r="E255" s="3" t="s">
        <v>844</v>
      </c>
      <c r="F255" s="5">
        <v>13681838989</v>
      </c>
      <c r="G255" s="5">
        <v>144041471478</v>
      </c>
      <c r="H255" s="5">
        <v>12890279012</v>
      </c>
      <c r="I255" s="5">
        <v>120503743808</v>
      </c>
      <c r="J255" s="5">
        <v>86626659816</v>
      </c>
      <c r="K255" s="5">
        <v>8246172456</v>
      </c>
      <c r="L255" s="5">
        <v>79166838608</v>
      </c>
      <c r="M255" s="5">
        <v>48328603449</v>
      </c>
      <c r="N255" s="5">
        <v>48489496345</v>
      </c>
      <c r="O255" s="5">
        <v>44684218944</v>
      </c>
      <c r="P255" s="5">
        <v>4332552273</v>
      </c>
    </row>
    <row r="256" spans="1:16" x14ac:dyDescent="0.45">
      <c r="A256" s="1" t="s">
        <v>250</v>
      </c>
      <c r="B256" s="2">
        <v>4104164</v>
      </c>
      <c r="C256" s="3" t="s">
        <v>2695</v>
      </c>
      <c r="D256" s="3" t="s">
        <v>2696</v>
      </c>
      <c r="E256" s="3" t="s">
        <v>976</v>
      </c>
      <c r="F256" s="5">
        <v>35073423</v>
      </c>
      <c r="G256" s="5" t="s">
        <v>2697</v>
      </c>
      <c r="H256" s="5" t="s">
        <v>2698</v>
      </c>
      <c r="I256" s="5" t="s">
        <v>2699</v>
      </c>
      <c r="J256" s="5" t="s">
        <v>2700</v>
      </c>
      <c r="K256" s="5">
        <v>30255456</v>
      </c>
      <c r="L256" s="5">
        <v>34310720</v>
      </c>
      <c r="M256" s="5" t="s">
        <v>2701</v>
      </c>
      <c r="N256" s="5">
        <v>8843885</v>
      </c>
      <c r="O256" s="5" t="s">
        <v>2702</v>
      </c>
      <c r="P256" s="5" t="s">
        <v>2703</v>
      </c>
    </row>
    <row r="257" spans="1:16" x14ac:dyDescent="0.45">
      <c r="A257" s="1" t="s">
        <v>251</v>
      </c>
      <c r="B257" s="2">
        <v>4069312</v>
      </c>
      <c r="C257" s="3" t="s">
        <v>2704</v>
      </c>
      <c r="D257" s="3" t="s">
        <v>2705</v>
      </c>
      <c r="E257" s="3" t="s">
        <v>1642</v>
      </c>
      <c r="F257" s="5" t="s">
        <v>2706</v>
      </c>
      <c r="G257" s="5" t="s">
        <v>2707</v>
      </c>
      <c r="H257" s="5" t="s">
        <v>2708</v>
      </c>
      <c r="I257" s="5" t="s">
        <v>2709</v>
      </c>
      <c r="J257" s="5" t="s">
        <v>2710</v>
      </c>
      <c r="K257" s="5" t="s">
        <v>2711</v>
      </c>
      <c r="L257" s="5" t="s">
        <v>2712</v>
      </c>
      <c r="M257" s="5" t="s">
        <v>2713</v>
      </c>
      <c r="N257" s="5" t="s">
        <v>2714</v>
      </c>
      <c r="O257" s="5" t="s">
        <v>2715</v>
      </c>
      <c r="P257" s="5">
        <v>12986902525</v>
      </c>
    </row>
    <row r="258" spans="1:16" x14ac:dyDescent="0.45">
      <c r="A258" s="1" t="s">
        <v>252</v>
      </c>
      <c r="B258" s="2">
        <v>4069378</v>
      </c>
      <c r="C258" s="3" t="s">
        <v>2716</v>
      </c>
      <c r="D258" s="3" t="s">
        <v>2717</v>
      </c>
      <c r="E258" s="3" t="s">
        <v>844</v>
      </c>
      <c r="F258" s="5" t="s">
        <v>2718</v>
      </c>
      <c r="G258" s="5">
        <v>174944546424</v>
      </c>
      <c r="H258" s="5">
        <v>172584517527</v>
      </c>
      <c r="I258" s="5">
        <v>16301459136</v>
      </c>
      <c r="J258" s="5">
        <v>133064988696</v>
      </c>
      <c r="K258" s="5">
        <v>129881258287</v>
      </c>
      <c r="L258" s="5">
        <v>105467714404</v>
      </c>
      <c r="M258" s="5">
        <v>10726111341</v>
      </c>
      <c r="N258" s="5">
        <v>108244168685</v>
      </c>
      <c r="O258" s="5">
        <v>1102991169525</v>
      </c>
      <c r="P258" s="5">
        <v>83949386996</v>
      </c>
    </row>
    <row r="259" spans="1:16" x14ac:dyDescent="0.45">
      <c r="A259" s="1" t="s">
        <v>253</v>
      </c>
      <c r="B259" s="2">
        <v>4107929</v>
      </c>
      <c r="C259" s="3" t="s">
        <v>2719</v>
      </c>
      <c r="D259" s="3" t="s">
        <v>2720</v>
      </c>
      <c r="E259" s="3" t="s">
        <v>2721</v>
      </c>
      <c r="F259" s="5">
        <v>18669264</v>
      </c>
      <c r="G259" s="5" t="s">
        <v>2722</v>
      </c>
      <c r="H259" s="5" t="s">
        <v>2723</v>
      </c>
      <c r="I259" s="5" t="s">
        <v>2724</v>
      </c>
      <c r="J259" s="5" t="s">
        <v>2725</v>
      </c>
      <c r="K259" s="5" t="s">
        <v>2726</v>
      </c>
      <c r="L259" s="5" t="s">
        <v>2727</v>
      </c>
      <c r="M259" s="5" t="s">
        <v>2728</v>
      </c>
      <c r="N259" s="5" t="s">
        <v>2729</v>
      </c>
      <c r="O259" s="5" t="s">
        <v>2730</v>
      </c>
      <c r="P259" s="5" t="s">
        <v>2731</v>
      </c>
    </row>
    <row r="260" spans="1:16" x14ac:dyDescent="0.45">
      <c r="A260" s="1" t="s">
        <v>254</v>
      </c>
      <c r="B260" s="2">
        <v>4276840</v>
      </c>
      <c r="C260" s="3" t="s">
        <v>2732</v>
      </c>
      <c r="D260" s="3" t="s">
        <v>2733</v>
      </c>
      <c r="E260" s="3" t="s">
        <v>1949</v>
      </c>
      <c r="F260" s="5" t="s">
        <v>2734</v>
      </c>
      <c r="G260" s="5">
        <v>12640516</v>
      </c>
      <c r="H260" s="5" t="s">
        <v>2735</v>
      </c>
      <c r="I260" s="5" t="s">
        <v>2736</v>
      </c>
      <c r="J260" s="5" t="s">
        <v>2737</v>
      </c>
      <c r="K260" s="5" t="s">
        <v>2738</v>
      </c>
      <c r="L260" s="5">
        <v>8383465</v>
      </c>
      <c r="M260" s="5">
        <v>7661472</v>
      </c>
      <c r="N260" s="5">
        <v>7486872</v>
      </c>
      <c r="O260" s="5" t="s">
        <v>2739</v>
      </c>
      <c r="P260" s="5" t="s">
        <v>2740</v>
      </c>
    </row>
    <row r="261" spans="1:16" x14ac:dyDescent="0.45">
      <c r="A261" s="1" t="s">
        <v>255</v>
      </c>
      <c r="B261" s="2">
        <v>4054537</v>
      </c>
      <c r="C261" s="3" t="s">
        <v>2741</v>
      </c>
      <c r="D261" s="3" t="s">
        <v>2742</v>
      </c>
      <c r="E261" s="3" t="s">
        <v>1656</v>
      </c>
      <c r="F261" s="5">
        <v>296928088688</v>
      </c>
      <c r="G261" s="5">
        <v>391562538318</v>
      </c>
      <c r="H261" s="5">
        <v>359739324207</v>
      </c>
      <c r="I261" s="5">
        <v>368333708615</v>
      </c>
      <c r="J261" s="5">
        <v>294619406416</v>
      </c>
      <c r="K261" s="5">
        <v>250467625959</v>
      </c>
      <c r="L261" s="5">
        <v>266466921836</v>
      </c>
      <c r="M261" s="5">
        <v>252296510592</v>
      </c>
      <c r="N261" s="5">
        <v>157402050498</v>
      </c>
      <c r="O261" s="5">
        <v>14532244826</v>
      </c>
      <c r="P261" s="5">
        <v>1364878624395</v>
      </c>
    </row>
    <row r="262" spans="1:16" x14ac:dyDescent="0.45">
      <c r="A262" s="1" t="s">
        <v>256</v>
      </c>
      <c r="B262" s="2">
        <v>4021939</v>
      </c>
      <c r="C262" s="3" t="s">
        <v>2743</v>
      </c>
      <c r="D262" s="3" t="s">
        <v>2744</v>
      </c>
      <c r="E262" s="3" t="s">
        <v>505</v>
      </c>
      <c r="F262" s="5" t="s">
        <v>2745</v>
      </c>
      <c r="G262" s="5">
        <v>3496558</v>
      </c>
      <c r="H262" s="5" t="s">
        <v>2746</v>
      </c>
      <c r="I262" s="5" t="s">
        <v>2747</v>
      </c>
      <c r="J262" s="5" t="s">
        <v>2748</v>
      </c>
      <c r="K262" s="5" t="s">
        <v>2749</v>
      </c>
      <c r="L262" s="5" t="s">
        <v>2750</v>
      </c>
      <c r="M262" s="5" t="s">
        <v>2751</v>
      </c>
      <c r="N262" s="5" t="s">
        <v>2752</v>
      </c>
      <c r="O262" s="5" t="s">
        <v>2753</v>
      </c>
      <c r="P262" s="5" t="s">
        <v>2754</v>
      </c>
    </row>
    <row r="263" spans="1:16" x14ac:dyDescent="0.45">
      <c r="A263" s="1" t="s">
        <v>257</v>
      </c>
      <c r="B263" s="2">
        <v>4062407</v>
      </c>
      <c r="C263" s="3" t="s">
        <v>2755</v>
      </c>
      <c r="D263" s="3" t="s">
        <v>2756</v>
      </c>
      <c r="E263" s="3" t="s">
        <v>588</v>
      </c>
      <c r="F263" s="5" t="s">
        <v>2757</v>
      </c>
      <c r="G263" s="5" t="s">
        <v>2758</v>
      </c>
      <c r="H263" s="5" t="s">
        <v>2759</v>
      </c>
      <c r="I263" s="5" t="s">
        <v>2760</v>
      </c>
      <c r="J263" s="5" t="s">
        <v>2761</v>
      </c>
      <c r="K263" s="5" t="s">
        <v>2762</v>
      </c>
      <c r="L263" s="5" t="s">
        <v>2763</v>
      </c>
      <c r="M263" s="5" t="s">
        <v>2764</v>
      </c>
      <c r="N263" s="5" t="s">
        <v>2765</v>
      </c>
      <c r="O263" s="5" t="s">
        <v>2766</v>
      </c>
      <c r="P263" s="5" t="s">
        <v>2767</v>
      </c>
    </row>
    <row r="264" spans="1:16" x14ac:dyDescent="0.45">
      <c r="A264" s="1" t="s">
        <v>258</v>
      </c>
      <c r="B264" s="2">
        <v>4121693</v>
      </c>
      <c r="C264" s="3" t="s">
        <v>2768</v>
      </c>
      <c r="D264" s="3" t="s">
        <v>2769</v>
      </c>
      <c r="E264" s="3" t="s">
        <v>2770</v>
      </c>
      <c r="F264" s="5">
        <v>195146043561</v>
      </c>
      <c r="G264" s="5">
        <v>189690889089</v>
      </c>
      <c r="H264" s="5">
        <v>17216115308</v>
      </c>
      <c r="I264" s="5">
        <v>154024089237</v>
      </c>
      <c r="J264" s="5">
        <v>126639582174</v>
      </c>
      <c r="K264" s="5">
        <v>86567552025</v>
      </c>
      <c r="L264" s="5">
        <v>97803705265</v>
      </c>
      <c r="M264" s="5">
        <v>74211802324</v>
      </c>
      <c r="N264" s="5">
        <v>62495502264</v>
      </c>
      <c r="O264" s="5">
        <v>64077891818</v>
      </c>
      <c r="P264" s="5">
        <v>566835890075</v>
      </c>
    </row>
    <row r="265" spans="1:16" x14ac:dyDescent="0.45">
      <c r="A265" s="1" t="s">
        <v>259</v>
      </c>
      <c r="B265" s="2">
        <v>4004271</v>
      </c>
      <c r="C265" s="3" t="s">
        <v>2771</v>
      </c>
      <c r="D265" s="3" t="s">
        <v>2772</v>
      </c>
      <c r="E265" s="3" t="s">
        <v>976</v>
      </c>
      <c r="F265" s="5">
        <v>50965728</v>
      </c>
      <c r="G265" s="5" t="s">
        <v>2773</v>
      </c>
      <c r="H265" s="5" t="s">
        <v>2774</v>
      </c>
      <c r="I265" s="5">
        <v>49479816</v>
      </c>
      <c r="J265" s="5" t="s">
        <v>2775</v>
      </c>
      <c r="K265" s="5">
        <v>41455425</v>
      </c>
      <c r="L265" s="5" t="s">
        <v>2776</v>
      </c>
      <c r="M265" s="5" t="s">
        <v>2777</v>
      </c>
      <c r="N265" s="5">
        <v>38825136</v>
      </c>
      <c r="O265" s="5" t="s">
        <v>2778</v>
      </c>
      <c r="P265" s="5">
        <v>45396658</v>
      </c>
    </row>
    <row r="266" spans="1:16" x14ac:dyDescent="0.45">
      <c r="A266" s="1" t="s">
        <v>260</v>
      </c>
      <c r="B266" s="2">
        <v>103455</v>
      </c>
      <c r="C266" s="3" t="s">
        <v>2779</v>
      </c>
      <c r="D266" s="3" t="s">
        <v>2780</v>
      </c>
      <c r="E266" s="3" t="s">
        <v>718</v>
      </c>
      <c r="F266" s="5" t="s">
        <v>2781</v>
      </c>
      <c r="G266" s="5" t="s">
        <v>2782</v>
      </c>
      <c r="H266" s="5" t="s">
        <v>2783</v>
      </c>
      <c r="I266" s="5" t="s">
        <v>2784</v>
      </c>
      <c r="J266" s="5" t="s">
        <v>2785</v>
      </c>
      <c r="K266" s="5">
        <v>65592930</v>
      </c>
      <c r="L266" s="5" t="s">
        <v>2786</v>
      </c>
      <c r="M266" s="5" t="s">
        <v>2787</v>
      </c>
      <c r="N266" s="5" t="s">
        <v>2788</v>
      </c>
      <c r="O266" s="5" t="s">
        <v>2789</v>
      </c>
      <c r="P266" s="5" t="s">
        <v>2790</v>
      </c>
    </row>
    <row r="267" spans="1:16" x14ac:dyDescent="0.45">
      <c r="A267" s="1" t="s">
        <v>261</v>
      </c>
      <c r="B267" s="2">
        <v>4004318</v>
      </c>
      <c r="C267" s="3" t="s">
        <v>2791</v>
      </c>
      <c r="D267" s="3" t="s">
        <v>2792</v>
      </c>
      <c r="E267" s="3" t="s">
        <v>2793</v>
      </c>
      <c r="F267" s="5" t="s">
        <v>2794</v>
      </c>
      <c r="G267" s="5" t="s">
        <v>2795</v>
      </c>
      <c r="H267" s="5">
        <v>40276922</v>
      </c>
      <c r="I267" s="5">
        <v>39992976</v>
      </c>
      <c r="J267" s="5">
        <v>38500293</v>
      </c>
      <c r="K267" s="5">
        <v>35602842</v>
      </c>
      <c r="L267" s="5" t="s">
        <v>2796</v>
      </c>
      <c r="M267" s="5" t="s">
        <v>2797</v>
      </c>
      <c r="N267" s="5" t="s">
        <v>2798</v>
      </c>
      <c r="O267" s="5" t="s">
        <v>2799</v>
      </c>
      <c r="P267" s="5" t="s">
        <v>2800</v>
      </c>
    </row>
    <row r="268" spans="1:16" x14ac:dyDescent="0.45">
      <c r="A268" s="1" t="s">
        <v>262</v>
      </c>
      <c r="B268" s="2">
        <v>4218591</v>
      </c>
      <c r="C268" s="3" t="s">
        <v>2801</v>
      </c>
      <c r="D268" s="3" t="s">
        <v>2802</v>
      </c>
      <c r="E268" s="3" t="s">
        <v>2803</v>
      </c>
      <c r="F268" s="5">
        <v>73151272332</v>
      </c>
      <c r="G268" s="5">
        <v>65274224964</v>
      </c>
      <c r="H268" s="5">
        <v>51652034056</v>
      </c>
      <c r="I268" s="5">
        <v>44279660402</v>
      </c>
      <c r="J268" s="5">
        <v>3447780117</v>
      </c>
      <c r="K268" s="5">
        <v>2959781308</v>
      </c>
      <c r="L268" s="5">
        <v>18155748099</v>
      </c>
      <c r="M268" s="5">
        <v>16083791184</v>
      </c>
      <c r="N268" s="5">
        <v>15501323432</v>
      </c>
      <c r="O268" s="5">
        <v>121440425955</v>
      </c>
      <c r="P268" s="5">
        <v>114812066475</v>
      </c>
    </row>
    <row r="269" spans="1:16" x14ac:dyDescent="0.45">
      <c r="A269" s="1" t="s">
        <v>263</v>
      </c>
      <c r="B269" s="2">
        <v>4973038</v>
      </c>
      <c r="C269" s="3" t="s">
        <v>2804</v>
      </c>
      <c r="D269" s="3" t="s">
        <v>2805</v>
      </c>
      <c r="E269" s="3" t="s">
        <v>890</v>
      </c>
      <c r="F269" s="5" t="s">
        <v>2806</v>
      </c>
      <c r="G269" s="5" t="s">
        <v>2807</v>
      </c>
      <c r="H269" s="5" t="s">
        <v>2808</v>
      </c>
      <c r="I269" s="5" t="s">
        <v>2809</v>
      </c>
      <c r="J269" s="5" t="s">
        <v>2810</v>
      </c>
      <c r="K269" s="5" t="s">
        <v>2811</v>
      </c>
      <c r="L269" s="5" t="s">
        <v>2812</v>
      </c>
      <c r="M269" s="5" t="s">
        <v>2813</v>
      </c>
      <c r="N269" s="5" t="s">
        <v>2814</v>
      </c>
      <c r="O269" s="5">
        <v>651745305</v>
      </c>
      <c r="P269" s="5" t="s">
        <v>2815</v>
      </c>
    </row>
    <row r="270" spans="1:16" x14ac:dyDescent="0.45">
      <c r="A270" s="1" t="s">
        <v>264</v>
      </c>
      <c r="B270" s="2">
        <v>4986300</v>
      </c>
      <c r="C270" s="3" t="s">
        <v>2816</v>
      </c>
      <c r="D270" s="3" t="s">
        <v>2817</v>
      </c>
      <c r="E270" s="3" t="s">
        <v>2818</v>
      </c>
      <c r="F270" s="5" t="s">
        <v>2819</v>
      </c>
      <c r="G270" s="5" t="s">
        <v>2820</v>
      </c>
      <c r="H270" s="5">
        <v>33473900</v>
      </c>
      <c r="I270" s="5" t="s">
        <v>2821</v>
      </c>
      <c r="J270" s="5" t="s">
        <v>2822</v>
      </c>
      <c r="K270" s="5" t="s">
        <v>2823</v>
      </c>
      <c r="L270" s="5" t="s">
        <v>2824</v>
      </c>
      <c r="M270" s="5" t="s">
        <v>2825</v>
      </c>
      <c r="N270" s="5" t="s">
        <v>2826</v>
      </c>
      <c r="O270" s="5" t="s">
        <v>2827</v>
      </c>
      <c r="P270" s="5" t="s">
        <v>2828</v>
      </c>
    </row>
    <row r="271" spans="1:16" x14ac:dyDescent="0.45">
      <c r="A271" s="1" t="s">
        <v>265</v>
      </c>
      <c r="B271" s="2">
        <v>100253</v>
      </c>
      <c r="C271" s="3" t="s">
        <v>2829</v>
      </c>
      <c r="D271" s="3" t="s">
        <v>2830</v>
      </c>
      <c r="E271" s="3" t="s">
        <v>1004</v>
      </c>
      <c r="F271" s="5">
        <v>181846467</v>
      </c>
      <c r="G271" s="5" t="s">
        <v>2831</v>
      </c>
      <c r="H271" s="5" t="s">
        <v>2832</v>
      </c>
      <c r="I271" s="5">
        <v>187823061</v>
      </c>
      <c r="J271" s="5">
        <v>136385725788</v>
      </c>
      <c r="K271" s="5">
        <v>1165764033375</v>
      </c>
      <c r="L271" s="5">
        <v>1068186137627</v>
      </c>
      <c r="M271" s="5">
        <v>1048930717802</v>
      </c>
      <c r="N271" s="5">
        <v>987646559736</v>
      </c>
      <c r="O271" s="5">
        <v>1169434328438</v>
      </c>
      <c r="P271" s="5">
        <v>113056944193</v>
      </c>
    </row>
    <row r="272" spans="1:16" x14ac:dyDescent="0.45">
      <c r="A272" s="1" t="s">
        <v>266</v>
      </c>
      <c r="B272" s="2">
        <v>4136924</v>
      </c>
      <c r="C272" s="3" t="s">
        <v>2833</v>
      </c>
      <c r="D272" s="3" t="s">
        <v>2834</v>
      </c>
      <c r="E272" s="3" t="s">
        <v>2835</v>
      </c>
      <c r="F272" s="5" t="s">
        <v>2836</v>
      </c>
      <c r="G272" s="5" t="s">
        <v>2837</v>
      </c>
      <c r="H272" s="5" t="s">
        <v>2838</v>
      </c>
      <c r="I272" s="5" t="s">
        <v>2839</v>
      </c>
      <c r="J272" s="5" t="s">
        <v>2840</v>
      </c>
      <c r="K272" s="5">
        <v>69616665</v>
      </c>
      <c r="L272" s="5" t="s">
        <v>2841</v>
      </c>
      <c r="M272" s="5">
        <v>81173796</v>
      </c>
      <c r="N272" s="5" t="s">
        <v>2842</v>
      </c>
      <c r="O272" s="5" t="s">
        <v>2843</v>
      </c>
      <c r="P272" s="5" t="s">
        <v>2844</v>
      </c>
    </row>
    <row r="273" spans="1:16" x14ac:dyDescent="0.45">
      <c r="A273" s="1" t="s">
        <v>267</v>
      </c>
      <c r="B273" s="2">
        <v>4046286</v>
      </c>
      <c r="C273" s="3" t="s">
        <v>2845</v>
      </c>
      <c r="D273" s="3" t="s">
        <v>2846</v>
      </c>
      <c r="E273" s="3" t="s">
        <v>1103</v>
      </c>
      <c r="F273" s="5">
        <v>23455818</v>
      </c>
      <c r="G273" s="5" t="s">
        <v>2847</v>
      </c>
      <c r="H273" s="5" t="s">
        <v>2848</v>
      </c>
      <c r="I273" s="5" t="s">
        <v>2849</v>
      </c>
      <c r="J273" s="5" t="s">
        <v>2850</v>
      </c>
      <c r="K273" s="5" t="s">
        <v>2851</v>
      </c>
      <c r="L273" s="5" t="s">
        <v>2852</v>
      </c>
      <c r="M273" s="5" t="s">
        <v>2853</v>
      </c>
      <c r="N273" s="5" t="s">
        <v>2854</v>
      </c>
      <c r="O273" s="5">
        <v>22867822</v>
      </c>
      <c r="P273" s="5" t="s">
        <v>2855</v>
      </c>
    </row>
    <row r="274" spans="1:16" x14ac:dyDescent="0.45">
      <c r="A274" s="1" t="s">
        <v>268</v>
      </c>
      <c r="B274" s="2">
        <v>103442</v>
      </c>
      <c r="C274" s="3" t="s">
        <v>2856</v>
      </c>
      <c r="D274" s="3" t="s">
        <v>2857</v>
      </c>
      <c r="E274" s="3" t="s">
        <v>800</v>
      </c>
      <c r="F274" s="5">
        <v>50003307</v>
      </c>
      <c r="G274" s="5" t="s">
        <v>2858</v>
      </c>
      <c r="H274" s="5">
        <v>43452741</v>
      </c>
      <c r="I274" s="5" t="s">
        <v>2859</v>
      </c>
      <c r="J274" s="5" t="s">
        <v>2860</v>
      </c>
      <c r="K274" s="5" t="s">
        <v>2861</v>
      </c>
      <c r="L274" s="5" t="s">
        <v>2862</v>
      </c>
      <c r="M274" s="5" t="s">
        <v>2863</v>
      </c>
      <c r="N274" s="5" t="s">
        <v>2864</v>
      </c>
      <c r="O274" s="5">
        <v>17231387</v>
      </c>
      <c r="P274" s="5">
        <v>16772382</v>
      </c>
    </row>
    <row r="275" spans="1:16" x14ac:dyDescent="0.45">
      <c r="A275" s="1" t="s">
        <v>269</v>
      </c>
      <c r="B275" s="2">
        <v>4095241</v>
      </c>
      <c r="C275" s="3" t="s">
        <v>2865</v>
      </c>
      <c r="D275" s="3" t="s">
        <v>2866</v>
      </c>
      <c r="E275" s="3" t="s">
        <v>1601</v>
      </c>
      <c r="F275" s="5" t="s">
        <v>2867</v>
      </c>
      <c r="G275" s="5">
        <v>17550403</v>
      </c>
      <c r="H275" s="5" t="s">
        <v>2868</v>
      </c>
      <c r="I275" s="5" t="s">
        <v>2869</v>
      </c>
      <c r="J275" s="5" t="s">
        <v>2870</v>
      </c>
      <c r="K275" s="5">
        <v>8649804</v>
      </c>
      <c r="L275" s="5" t="s">
        <v>2871</v>
      </c>
      <c r="M275" s="5" t="s">
        <v>2872</v>
      </c>
      <c r="N275" s="5">
        <v>74889631608</v>
      </c>
      <c r="O275" s="5">
        <v>69161473065</v>
      </c>
      <c r="P275" s="5">
        <v>640622032825</v>
      </c>
    </row>
    <row r="276" spans="1:16" x14ac:dyDescent="0.45">
      <c r="A276" s="1" t="s">
        <v>270</v>
      </c>
      <c r="B276" s="2">
        <v>6331137</v>
      </c>
      <c r="C276" s="3" t="s">
        <v>2873</v>
      </c>
      <c r="D276" s="3" t="s">
        <v>2874</v>
      </c>
      <c r="E276" s="3" t="s">
        <v>505</v>
      </c>
      <c r="F276" s="5" t="s">
        <v>2875</v>
      </c>
      <c r="G276" s="5" t="s">
        <v>2876</v>
      </c>
      <c r="H276" s="5" t="s">
        <v>2877</v>
      </c>
      <c r="I276" s="5" t="s">
        <v>2878</v>
      </c>
      <c r="J276" s="5" t="s">
        <v>2879</v>
      </c>
      <c r="K276" s="5" t="s">
        <v>2880</v>
      </c>
      <c r="L276" s="5" t="s">
        <v>2881</v>
      </c>
      <c r="M276" s="5" t="s">
        <v>2882</v>
      </c>
      <c r="N276" s="5" t="s">
        <v>2883</v>
      </c>
      <c r="O276" s="5" t="s">
        <v>2884</v>
      </c>
      <c r="P276" s="5">
        <v>5215128</v>
      </c>
    </row>
    <row r="277" spans="1:16" x14ac:dyDescent="0.45">
      <c r="A277" s="1" t="s">
        <v>271</v>
      </c>
      <c r="B277" s="2">
        <v>4073702</v>
      </c>
      <c r="C277" s="3" t="s">
        <v>2885</v>
      </c>
      <c r="D277" s="3" t="s">
        <v>2886</v>
      </c>
      <c r="E277" s="3" t="s">
        <v>705</v>
      </c>
      <c r="F277" s="5" t="s">
        <v>2887</v>
      </c>
      <c r="G277" s="5" t="s">
        <v>2888</v>
      </c>
      <c r="H277" s="5" t="s">
        <v>2889</v>
      </c>
      <c r="I277" s="5" t="s">
        <v>2890</v>
      </c>
      <c r="J277" s="5" t="s">
        <v>2891</v>
      </c>
      <c r="K277" s="5">
        <v>27454920</v>
      </c>
      <c r="L277" s="5" t="s">
        <v>2892</v>
      </c>
      <c r="M277" s="5">
        <v>21712724</v>
      </c>
      <c r="N277" s="5" t="s">
        <v>2893</v>
      </c>
      <c r="O277" s="5" t="s">
        <v>2894</v>
      </c>
      <c r="P277" s="5" t="s">
        <v>2895</v>
      </c>
    </row>
    <row r="278" spans="1:16" x14ac:dyDescent="0.45">
      <c r="A278" s="1" t="s">
        <v>272</v>
      </c>
      <c r="B278" s="2">
        <v>4219024</v>
      </c>
      <c r="C278" s="3" t="s">
        <v>2896</v>
      </c>
      <c r="D278" s="3" t="s">
        <v>2897</v>
      </c>
      <c r="E278" s="3" t="s">
        <v>1503</v>
      </c>
      <c r="F278" s="5" t="s">
        <v>2898</v>
      </c>
      <c r="G278" s="5" t="s">
        <v>2899</v>
      </c>
      <c r="H278" s="5" t="s">
        <v>2900</v>
      </c>
      <c r="I278" s="5" t="s">
        <v>2901</v>
      </c>
      <c r="J278" s="5" t="s">
        <v>2902</v>
      </c>
      <c r="K278" s="5" t="s">
        <v>2903</v>
      </c>
      <c r="L278" s="5" t="s">
        <v>2904</v>
      </c>
      <c r="M278" s="5" t="s">
        <v>2905</v>
      </c>
      <c r="N278" s="5" t="s">
        <v>2906</v>
      </c>
      <c r="O278" s="5" t="s">
        <v>2907</v>
      </c>
      <c r="P278" s="5" t="s">
        <v>2908</v>
      </c>
    </row>
    <row r="279" spans="1:16" x14ac:dyDescent="0.45">
      <c r="A279" s="1" t="s">
        <v>273</v>
      </c>
      <c r="B279" s="2">
        <v>4095638</v>
      </c>
      <c r="C279" s="3" t="s">
        <v>2909</v>
      </c>
      <c r="D279" s="3" t="s">
        <v>2910</v>
      </c>
      <c r="E279" s="3" t="s">
        <v>1361</v>
      </c>
      <c r="F279" s="5" t="s">
        <v>2911</v>
      </c>
      <c r="G279" s="5" t="s">
        <v>2912</v>
      </c>
      <c r="H279" s="5" t="s">
        <v>2913</v>
      </c>
      <c r="I279" s="5" t="s">
        <v>2914</v>
      </c>
      <c r="J279" s="5" t="s">
        <v>2915</v>
      </c>
      <c r="K279" s="5">
        <v>43022409</v>
      </c>
      <c r="L279" s="5" t="s">
        <v>2916</v>
      </c>
      <c r="M279" s="5" t="s">
        <v>2917</v>
      </c>
      <c r="N279" s="5" t="s">
        <v>2918</v>
      </c>
      <c r="O279" s="5" t="s">
        <v>2919</v>
      </c>
      <c r="P279" s="5">
        <v>34932058025</v>
      </c>
    </row>
    <row r="280" spans="1:16" x14ac:dyDescent="0.45">
      <c r="A280" s="1" t="s">
        <v>274</v>
      </c>
      <c r="B280" s="2">
        <v>4069640</v>
      </c>
      <c r="C280" s="3" t="s">
        <v>2920</v>
      </c>
      <c r="D280" s="3" t="s">
        <v>2921</v>
      </c>
      <c r="E280" s="3" t="s">
        <v>1218</v>
      </c>
      <c r="F280" s="5">
        <v>69519528</v>
      </c>
      <c r="G280" s="5" t="s">
        <v>2922</v>
      </c>
      <c r="H280" s="5">
        <v>57359328</v>
      </c>
      <c r="I280" s="5" t="s">
        <v>2923</v>
      </c>
      <c r="J280" s="5">
        <v>55392780</v>
      </c>
      <c r="K280" s="5">
        <v>55734770</v>
      </c>
      <c r="L280" s="5">
        <v>53167752</v>
      </c>
      <c r="M280" s="5" t="s">
        <v>2924</v>
      </c>
      <c r="N280" s="5" t="s">
        <v>2925</v>
      </c>
      <c r="O280" s="5" t="s">
        <v>2926</v>
      </c>
      <c r="P280" s="5" t="s">
        <v>2927</v>
      </c>
    </row>
    <row r="281" spans="1:16" x14ac:dyDescent="0.45">
      <c r="A281" s="1" t="s">
        <v>275</v>
      </c>
      <c r="B281" s="2">
        <v>4806212</v>
      </c>
      <c r="C281" s="3" t="s">
        <v>2928</v>
      </c>
      <c r="D281" s="3" t="s">
        <v>2929</v>
      </c>
      <c r="E281" s="3" t="s">
        <v>518</v>
      </c>
      <c r="F281" s="5">
        <v>80678400</v>
      </c>
      <c r="G281" s="5" t="s">
        <v>2930</v>
      </c>
      <c r="H281" s="5" t="s">
        <v>2931</v>
      </c>
      <c r="I281" s="5" t="s">
        <v>2932</v>
      </c>
      <c r="J281" s="5" t="s">
        <v>2933</v>
      </c>
      <c r="K281" s="5" t="s">
        <v>2934</v>
      </c>
      <c r="L281" s="5" t="s">
        <v>2935</v>
      </c>
      <c r="M281" s="5" t="s">
        <v>2936</v>
      </c>
      <c r="N281" s="5" t="s">
        <v>2937</v>
      </c>
      <c r="O281" s="5" t="s">
        <v>2938</v>
      </c>
      <c r="P281" s="5" t="s">
        <v>2939</v>
      </c>
    </row>
    <row r="282" spans="1:16" x14ac:dyDescent="0.45">
      <c r="A282" s="1" t="s">
        <v>276</v>
      </c>
      <c r="B282" s="2">
        <v>4004265</v>
      </c>
      <c r="C282" s="3" t="s">
        <v>2940</v>
      </c>
      <c r="D282" s="3" t="s">
        <v>2941</v>
      </c>
      <c r="E282" s="3" t="s">
        <v>1127</v>
      </c>
      <c r="F282" s="5" t="s">
        <v>2942</v>
      </c>
      <c r="G282" s="5" t="s">
        <v>2943</v>
      </c>
      <c r="H282" s="5" t="s">
        <v>2944</v>
      </c>
      <c r="I282" s="5">
        <v>102141012</v>
      </c>
      <c r="J282" s="5" t="s">
        <v>2945</v>
      </c>
      <c r="K282" s="5">
        <v>74873190</v>
      </c>
      <c r="L282" s="5" t="s">
        <v>2946</v>
      </c>
      <c r="M282" s="5" t="s">
        <v>2947</v>
      </c>
      <c r="N282" s="5" t="s">
        <v>2948</v>
      </c>
      <c r="O282" s="5" t="s">
        <v>2949</v>
      </c>
      <c r="P282" s="5" t="s">
        <v>2950</v>
      </c>
    </row>
    <row r="283" spans="1:16" x14ac:dyDescent="0.45">
      <c r="A283" s="1" t="s">
        <v>277</v>
      </c>
      <c r="B283" s="2">
        <v>4144156</v>
      </c>
      <c r="C283" s="3" t="s">
        <v>2951</v>
      </c>
      <c r="D283" s="3" t="s">
        <v>2952</v>
      </c>
      <c r="E283" s="3" t="s">
        <v>640</v>
      </c>
      <c r="F283" s="5" t="s">
        <v>2953</v>
      </c>
      <c r="G283" s="5" t="s">
        <v>2954</v>
      </c>
      <c r="H283" s="5" t="s">
        <v>2955</v>
      </c>
      <c r="I283" s="5" t="s">
        <v>2956</v>
      </c>
      <c r="J283" s="5" t="s">
        <v>2957</v>
      </c>
      <c r="K283" s="5">
        <v>130240830</v>
      </c>
      <c r="L283" s="5" t="s">
        <v>2958</v>
      </c>
      <c r="M283" s="5" t="s">
        <v>2959</v>
      </c>
      <c r="N283" s="5" t="s">
        <v>2960</v>
      </c>
      <c r="O283" s="5" t="s">
        <v>2961</v>
      </c>
      <c r="P283" s="5" t="s">
        <v>2962</v>
      </c>
    </row>
    <row r="284" spans="1:16" x14ac:dyDescent="0.45">
      <c r="A284" s="1" t="s">
        <v>278</v>
      </c>
      <c r="B284" s="2">
        <v>4051708</v>
      </c>
      <c r="C284" s="3" t="s">
        <v>2963</v>
      </c>
      <c r="D284" s="3" t="s">
        <v>2964</v>
      </c>
      <c r="E284" s="3" t="s">
        <v>567</v>
      </c>
      <c r="F284" s="5" t="s">
        <v>2965</v>
      </c>
      <c r="G284" s="5" t="s">
        <v>2966</v>
      </c>
      <c r="H284" s="5" t="s">
        <v>2967</v>
      </c>
      <c r="I284" s="5" t="s">
        <v>2968</v>
      </c>
      <c r="J284" s="5" t="s">
        <v>2969</v>
      </c>
      <c r="K284" s="5">
        <v>650031855</v>
      </c>
      <c r="L284" s="5" t="s">
        <v>2970</v>
      </c>
      <c r="M284" s="5" t="s">
        <v>2971</v>
      </c>
      <c r="N284" s="5" t="s">
        <v>2972</v>
      </c>
      <c r="O284" s="5" t="s">
        <v>2973</v>
      </c>
      <c r="P284" s="5" t="s">
        <v>2974</v>
      </c>
    </row>
    <row r="285" spans="1:16" x14ac:dyDescent="0.45">
      <c r="A285" s="1" t="s">
        <v>279</v>
      </c>
      <c r="B285" s="2">
        <v>4811730</v>
      </c>
      <c r="C285" s="3" t="s">
        <v>2975</v>
      </c>
      <c r="D285" s="3" t="s">
        <v>2976</v>
      </c>
      <c r="E285" s="3" t="s">
        <v>578</v>
      </c>
      <c r="F285" s="5">
        <v>31620605982</v>
      </c>
      <c r="G285" s="5">
        <v>31295150341</v>
      </c>
      <c r="H285" s="5">
        <v>30357706085</v>
      </c>
      <c r="I285" s="5">
        <v>32678340015</v>
      </c>
      <c r="J285" s="5">
        <v>29252534814</v>
      </c>
      <c r="K285" s="5">
        <v>23008938075</v>
      </c>
      <c r="L285" s="5">
        <v>24855639431</v>
      </c>
      <c r="M285" s="5">
        <v>22873009698</v>
      </c>
      <c r="N285" s="5">
        <v>2123477604</v>
      </c>
      <c r="O285" s="5">
        <v>20525878521</v>
      </c>
      <c r="P285" s="5">
        <v>180405770125</v>
      </c>
    </row>
    <row r="286" spans="1:16" x14ac:dyDescent="0.45">
      <c r="A286" s="1" t="s">
        <v>280</v>
      </c>
      <c r="B286" s="2">
        <v>4094582</v>
      </c>
      <c r="C286" s="3" t="s">
        <v>2977</v>
      </c>
      <c r="D286" s="3" t="s">
        <v>2978</v>
      </c>
      <c r="E286" s="3" t="s">
        <v>2721</v>
      </c>
      <c r="F286" s="5">
        <v>352380535362</v>
      </c>
      <c r="G286" s="5">
        <v>407915285193</v>
      </c>
      <c r="H286" s="5">
        <v>383308253756</v>
      </c>
      <c r="I286" s="5">
        <v>427541971542</v>
      </c>
      <c r="J286" s="5">
        <v>359625926988</v>
      </c>
      <c r="K286" s="5">
        <v>29834608545</v>
      </c>
      <c r="L286" s="5">
        <v>301872208316</v>
      </c>
      <c r="M286" s="5">
        <v>263860306204</v>
      </c>
      <c r="N286" s="5">
        <v>242844829776</v>
      </c>
      <c r="O286" s="5">
        <v>266885680373</v>
      </c>
      <c r="P286" s="5">
        <v>232168751435</v>
      </c>
    </row>
    <row r="287" spans="1:16" x14ac:dyDescent="0.45">
      <c r="A287" s="1" t="s">
        <v>281</v>
      </c>
      <c r="B287" s="2">
        <v>4133448</v>
      </c>
      <c r="C287" s="3" t="s">
        <v>2979</v>
      </c>
      <c r="D287" s="3" t="s">
        <v>2980</v>
      </c>
      <c r="E287" s="3" t="s">
        <v>556</v>
      </c>
      <c r="F287" s="5" t="s">
        <v>2981</v>
      </c>
      <c r="G287" s="5" t="s">
        <v>2982</v>
      </c>
      <c r="H287" s="5" t="s">
        <v>2983</v>
      </c>
      <c r="I287" s="5" t="s">
        <v>2984</v>
      </c>
      <c r="J287" s="5" t="s">
        <v>2985</v>
      </c>
      <c r="K287" s="5">
        <v>15857751</v>
      </c>
      <c r="L287" s="5">
        <v>16349850</v>
      </c>
      <c r="M287" s="5" t="s">
        <v>2986</v>
      </c>
      <c r="N287" s="5" t="s">
        <v>2987</v>
      </c>
      <c r="O287" s="5">
        <v>486253816815</v>
      </c>
      <c r="P287" s="5">
        <v>445012669605</v>
      </c>
    </row>
    <row r="288" spans="1:16" x14ac:dyDescent="0.45">
      <c r="A288" s="1" t="s">
        <v>282</v>
      </c>
      <c r="B288" s="2">
        <v>4133530</v>
      </c>
      <c r="C288" s="3" t="s">
        <v>2988</v>
      </c>
      <c r="D288" s="3" t="s">
        <v>2989</v>
      </c>
      <c r="E288" s="3" t="s">
        <v>556</v>
      </c>
      <c r="F288" s="5">
        <v>70999285</v>
      </c>
      <c r="G288" s="5" t="s">
        <v>2990</v>
      </c>
      <c r="H288" s="5">
        <v>59242188</v>
      </c>
      <c r="I288" s="5" t="s">
        <v>2991</v>
      </c>
      <c r="J288" s="5">
        <v>49609707</v>
      </c>
      <c r="K288" s="5" t="s">
        <v>2992</v>
      </c>
      <c r="L288" s="5" t="s">
        <v>2993</v>
      </c>
      <c r="M288" s="5" t="s">
        <v>2994</v>
      </c>
      <c r="N288" s="5" t="s">
        <v>2995</v>
      </c>
      <c r="O288" s="5">
        <v>24605613</v>
      </c>
      <c r="P288" s="5" t="s">
        <v>2996</v>
      </c>
    </row>
    <row r="289" spans="1:16" x14ac:dyDescent="0.45">
      <c r="A289" s="1" t="s">
        <v>283</v>
      </c>
      <c r="B289" s="2">
        <v>4004214</v>
      </c>
      <c r="C289" s="3" t="s">
        <v>2997</v>
      </c>
      <c r="D289" s="3" t="s">
        <v>2998</v>
      </c>
      <c r="E289" s="3" t="s">
        <v>2132</v>
      </c>
      <c r="F289" s="5" t="s">
        <v>2999</v>
      </c>
      <c r="G289" s="5" t="s">
        <v>3000</v>
      </c>
      <c r="H289" s="5">
        <v>377370016</v>
      </c>
      <c r="I289" s="5">
        <v>349005944</v>
      </c>
      <c r="J289" s="5" t="s">
        <v>3001</v>
      </c>
      <c r="K289" s="5" t="s">
        <v>3002</v>
      </c>
      <c r="L289" s="5" t="s">
        <v>3003</v>
      </c>
      <c r="M289" s="5" t="s">
        <v>3004</v>
      </c>
      <c r="N289" s="5">
        <v>219398468</v>
      </c>
      <c r="O289" s="5" t="s">
        <v>3005</v>
      </c>
      <c r="P289" s="5">
        <v>156632238</v>
      </c>
    </row>
    <row r="290" spans="1:16" x14ac:dyDescent="0.45">
      <c r="A290" s="1" t="s">
        <v>284</v>
      </c>
      <c r="B290" s="2">
        <v>103123</v>
      </c>
      <c r="C290" s="3" t="s">
        <v>3006</v>
      </c>
      <c r="D290" s="3" t="s">
        <v>3006</v>
      </c>
      <c r="E290" s="3" t="s">
        <v>960</v>
      </c>
      <c r="F290" s="5">
        <v>101994337011</v>
      </c>
      <c r="G290" s="5">
        <v>114095672171</v>
      </c>
      <c r="H290" s="5">
        <v>103900298641</v>
      </c>
      <c r="I290" s="5">
        <v>105183580905</v>
      </c>
      <c r="J290" s="5">
        <v>99230605326</v>
      </c>
      <c r="K290" s="5">
        <v>91517416425</v>
      </c>
      <c r="L290" s="5">
        <v>10007453995</v>
      </c>
      <c r="M290" s="5">
        <v>98901903254</v>
      </c>
      <c r="N290" s="5">
        <v>95704701432</v>
      </c>
      <c r="O290" s="5">
        <v>109929343243</v>
      </c>
      <c r="P290" s="5">
        <v>630509435575</v>
      </c>
    </row>
    <row r="291" spans="1:16" x14ac:dyDescent="0.45">
      <c r="A291" s="1" t="s">
        <v>285</v>
      </c>
      <c r="B291" s="2">
        <v>4209632</v>
      </c>
      <c r="C291" s="3" t="s">
        <v>3007</v>
      </c>
      <c r="D291" s="3" t="s">
        <v>3008</v>
      </c>
      <c r="E291" s="3" t="s">
        <v>3009</v>
      </c>
      <c r="F291" s="5" t="s">
        <v>3010</v>
      </c>
      <c r="G291" s="5" t="s">
        <v>3011</v>
      </c>
      <c r="H291" s="5" t="s">
        <v>3012</v>
      </c>
      <c r="I291" s="5" t="s">
        <v>3013</v>
      </c>
      <c r="J291" s="5" t="s">
        <v>3014</v>
      </c>
      <c r="K291" s="5" t="s">
        <v>3015</v>
      </c>
      <c r="L291" s="5" t="s">
        <v>3016</v>
      </c>
      <c r="M291" s="5" t="s">
        <v>3017</v>
      </c>
      <c r="N291" s="5" t="s">
        <v>3018</v>
      </c>
      <c r="O291" s="5" t="s">
        <v>3019</v>
      </c>
      <c r="P291" s="5">
        <v>11303403225</v>
      </c>
    </row>
    <row r="292" spans="1:16" x14ac:dyDescent="0.45">
      <c r="A292" s="1" t="s">
        <v>286</v>
      </c>
      <c r="B292" s="2">
        <v>4060931</v>
      </c>
      <c r="C292" s="3" t="s">
        <v>3020</v>
      </c>
      <c r="D292" s="3" t="s">
        <v>3021</v>
      </c>
      <c r="E292" s="3" t="s">
        <v>1503</v>
      </c>
      <c r="F292" s="5" t="s">
        <v>3022</v>
      </c>
      <c r="G292" s="5" t="s">
        <v>3023</v>
      </c>
      <c r="H292" s="5" t="s">
        <v>3024</v>
      </c>
      <c r="I292" s="5" t="s">
        <v>3025</v>
      </c>
      <c r="J292" s="5" t="s">
        <v>3026</v>
      </c>
      <c r="K292" s="5">
        <v>55434675</v>
      </c>
      <c r="L292" s="5" t="s">
        <v>3027</v>
      </c>
      <c r="M292" s="5" t="s">
        <v>3028</v>
      </c>
      <c r="N292" s="5" t="s">
        <v>3029</v>
      </c>
      <c r="O292" s="5" t="s">
        <v>3030</v>
      </c>
      <c r="P292" s="5" t="s">
        <v>3031</v>
      </c>
    </row>
    <row r="293" spans="1:16" x14ac:dyDescent="0.45">
      <c r="A293" s="1" t="s">
        <v>287</v>
      </c>
      <c r="B293" s="2">
        <v>4967353</v>
      </c>
      <c r="C293" s="3" t="s">
        <v>3032</v>
      </c>
      <c r="D293" s="3" t="s">
        <v>3033</v>
      </c>
      <c r="E293" s="3" t="s">
        <v>556</v>
      </c>
      <c r="F293" s="5">
        <v>35721992883</v>
      </c>
      <c r="G293" s="5">
        <v>33959324698</v>
      </c>
      <c r="H293" s="5">
        <v>22023591591</v>
      </c>
      <c r="I293" s="5">
        <v>19264986945</v>
      </c>
      <c r="J293" s="5">
        <v>13944159225</v>
      </c>
      <c r="K293" s="5">
        <v>9879413925</v>
      </c>
      <c r="L293" s="5">
        <v>8522257625</v>
      </c>
      <c r="M293" s="5">
        <v>6929835088</v>
      </c>
      <c r="N293" s="5">
        <v>5434594632</v>
      </c>
      <c r="O293" s="5">
        <v>4841896598</v>
      </c>
      <c r="P293" s="5">
        <v>39710566375</v>
      </c>
    </row>
    <row r="294" spans="1:16" x14ac:dyDescent="0.45">
      <c r="A294" s="1" t="s">
        <v>288</v>
      </c>
      <c r="B294" s="2">
        <v>4915639</v>
      </c>
      <c r="C294" s="3" t="s">
        <v>3034</v>
      </c>
      <c r="D294" s="3" t="s">
        <v>3035</v>
      </c>
      <c r="E294" s="3" t="s">
        <v>2634</v>
      </c>
      <c r="F294" s="5">
        <v>85075844565</v>
      </c>
      <c r="G294" s="5">
        <v>74558680651</v>
      </c>
      <c r="H294" s="5">
        <v>87633964534</v>
      </c>
      <c r="I294" s="5">
        <v>77598583485</v>
      </c>
      <c r="J294" s="5">
        <v>68627465712</v>
      </c>
      <c r="K294" s="5" t="s">
        <v>3036</v>
      </c>
      <c r="L294" s="5">
        <v>45894786672</v>
      </c>
      <c r="M294" s="5">
        <v>39537865994</v>
      </c>
      <c r="N294" s="5">
        <v>39899547936</v>
      </c>
      <c r="O294" s="5">
        <v>39345830783</v>
      </c>
      <c r="P294" s="5">
        <v>512975329775</v>
      </c>
    </row>
    <row r="295" spans="1:16" x14ac:dyDescent="0.45">
      <c r="A295" s="1" t="s">
        <v>289</v>
      </c>
      <c r="B295" s="2">
        <v>108462</v>
      </c>
      <c r="C295" s="3" t="s">
        <v>3037</v>
      </c>
      <c r="D295" s="3" t="s">
        <v>3038</v>
      </c>
      <c r="E295" s="3" t="s">
        <v>2041</v>
      </c>
      <c r="F295" s="5">
        <v>13482411</v>
      </c>
      <c r="G295" s="5" t="s">
        <v>3039</v>
      </c>
      <c r="H295" s="5" t="s">
        <v>3040</v>
      </c>
      <c r="I295" s="5" t="s">
        <v>3041</v>
      </c>
      <c r="J295" s="5">
        <v>12908124</v>
      </c>
      <c r="K295" s="5" t="s">
        <v>3042</v>
      </c>
      <c r="L295" s="5" t="s">
        <v>3043</v>
      </c>
      <c r="M295" s="5" t="s">
        <v>3044</v>
      </c>
      <c r="N295" s="5" t="s">
        <v>3045</v>
      </c>
      <c r="O295" s="5" t="s">
        <v>3046</v>
      </c>
      <c r="P295" s="5" t="s">
        <v>3047</v>
      </c>
    </row>
    <row r="296" spans="1:16" x14ac:dyDescent="0.45">
      <c r="A296" s="1" t="s">
        <v>290</v>
      </c>
      <c r="B296" s="2">
        <v>103042</v>
      </c>
      <c r="C296" s="3" t="s">
        <v>3048</v>
      </c>
      <c r="D296" s="3" t="s">
        <v>3049</v>
      </c>
      <c r="E296" s="3" t="s">
        <v>2477</v>
      </c>
      <c r="F296" s="5">
        <v>1209643959</v>
      </c>
      <c r="G296" s="5" t="s">
        <v>3050</v>
      </c>
      <c r="H296" s="5" t="s">
        <v>3051</v>
      </c>
      <c r="I296" s="5" t="s">
        <v>3052</v>
      </c>
      <c r="J296" s="5">
        <v>1044731502</v>
      </c>
      <c r="K296" s="5">
        <v>912217185</v>
      </c>
      <c r="L296" s="5" t="s">
        <v>3053</v>
      </c>
      <c r="M296" s="5" t="s">
        <v>3054</v>
      </c>
      <c r="N296" s="5" t="s">
        <v>3055</v>
      </c>
      <c r="O296" s="5" t="s">
        <v>3056</v>
      </c>
      <c r="P296" s="5" t="s">
        <v>3057</v>
      </c>
    </row>
    <row r="297" spans="1:16" x14ac:dyDescent="0.45">
      <c r="A297" s="1" t="s">
        <v>291</v>
      </c>
      <c r="B297" s="2">
        <v>4280272</v>
      </c>
      <c r="C297" s="3" t="s">
        <v>3058</v>
      </c>
      <c r="D297" s="3" t="s">
        <v>3059</v>
      </c>
      <c r="E297" s="3" t="s">
        <v>890</v>
      </c>
      <c r="F297" s="5" t="s">
        <v>3060</v>
      </c>
      <c r="G297" s="5" t="s">
        <v>3061</v>
      </c>
      <c r="H297" s="5" t="s">
        <v>3062</v>
      </c>
      <c r="I297" s="5" t="s">
        <v>3063</v>
      </c>
      <c r="J297" s="5" t="s">
        <v>3064</v>
      </c>
      <c r="K297" s="5">
        <v>8891130</v>
      </c>
      <c r="L297" s="5" t="s">
        <v>3065</v>
      </c>
      <c r="M297" s="5" t="s">
        <v>3066</v>
      </c>
      <c r="N297" s="5" t="s">
        <v>3067</v>
      </c>
      <c r="O297" s="5" t="s">
        <v>3068</v>
      </c>
      <c r="P297" s="5" t="s">
        <v>3069</v>
      </c>
    </row>
    <row r="298" spans="1:16" x14ac:dyDescent="0.45">
      <c r="A298" s="1" t="s">
        <v>292</v>
      </c>
      <c r="B298" s="2">
        <v>4167462</v>
      </c>
      <c r="C298" s="3" t="s">
        <v>3070</v>
      </c>
      <c r="D298" s="3" t="s">
        <v>3071</v>
      </c>
      <c r="E298" s="3" t="s">
        <v>2041</v>
      </c>
      <c r="F298" s="5">
        <v>48567843303</v>
      </c>
      <c r="G298" s="5">
        <v>52597495301</v>
      </c>
      <c r="H298" s="5">
        <v>49923327293</v>
      </c>
      <c r="I298" s="5">
        <v>46761934995</v>
      </c>
      <c r="J298" s="5">
        <v>48420439479</v>
      </c>
      <c r="K298" s="5">
        <v>34323939225</v>
      </c>
      <c r="L298" s="5">
        <v>37465755929</v>
      </c>
      <c r="M298" s="5">
        <v>29590372768</v>
      </c>
      <c r="N298" s="5">
        <v>27279763104</v>
      </c>
      <c r="O298" s="5">
        <v>29201261394</v>
      </c>
      <c r="P298" s="5">
        <v>289758828025</v>
      </c>
    </row>
    <row r="299" spans="1:16" x14ac:dyDescent="0.45">
      <c r="A299" s="1" t="s">
        <v>293</v>
      </c>
      <c r="B299" s="2">
        <v>4057757</v>
      </c>
      <c r="C299" s="3" t="s">
        <v>3072</v>
      </c>
      <c r="D299" s="3" t="s">
        <v>3073</v>
      </c>
      <c r="E299" s="3" t="s">
        <v>1261</v>
      </c>
      <c r="F299" s="5" t="s">
        <v>3074</v>
      </c>
      <c r="G299" s="5" t="s">
        <v>3075</v>
      </c>
      <c r="H299" s="5" t="s">
        <v>3076</v>
      </c>
      <c r="I299" s="5" t="s">
        <v>3077</v>
      </c>
      <c r="J299" s="5" t="s">
        <v>3078</v>
      </c>
      <c r="K299" s="5" t="s">
        <v>3079</v>
      </c>
      <c r="L299" s="5" t="s">
        <v>3080</v>
      </c>
      <c r="M299" s="5">
        <v>13712380</v>
      </c>
      <c r="N299" s="5" t="s">
        <v>3081</v>
      </c>
      <c r="O299" s="5">
        <v>13404295</v>
      </c>
      <c r="P299" s="5" t="s">
        <v>3082</v>
      </c>
    </row>
    <row r="300" spans="1:16" x14ac:dyDescent="0.45">
      <c r="A300" s="1" t="s">
        <v>294</v>
      </c>
      <c r="B300" s="2">
        <v>4305562</v>
      </c>
      <c r="C300" s="3" t="s">
        <v>3083</v>
      </c>
      <c r="D300" s="3" t="s">
        <v>3084</v>
      </c>
      <c r="E300" s="3" t="s">
        <v>832</v>
      </c>
      <c r="F300" s="5">
        <v>9524240</v>
      </c>
      <c r="G300" s="5" t="s">
        <v>3085</v>
      </c>
      <c r="H300" s="5" t="s">
        <v>3086</v>
      </c>
      <c r="I300" s="5" t="s">
        <v>3087</v>
      </c>
      <c r="J300" s="5">
        <v>7780968</v>
      </c>
      <c r="K300" s="5" t="s">
        <v>3088</v>
      </c>
      <c r="L300" s="5" t="s">
        <v>3089</v>
      </c>
      <c r="M300" s="5" t="s">
        <v>3090</v>
      </c>
      <c r="N300" s="5" t="s">
        <v>3091</v>
      </c>
      <c r="O300" s="5" t="s">
        <v>3092</v>
      </c>
      <c r="P300" s="5" t="s">
        <v>3093</v>
      </c>
    </row>
    <row r="301" spans="1:16" x14ac:dyDescent="0.45">
      <c r="A301" s="1" t="s">
        <v>295</v>
      </c>
      <c r="B301" s="2">
        <v>4104060</v>
      </c>
      <c r="C301" s="3" t="s">
        <v>3094</v>
      </c>
      <c r="D301" s="3" t="s">
        <v>3095</v>
      </c>
      <c r="E301" s="3" t="s">
        <v>2770</v>
      </c>
      <c r="F301" s="5">
        <v>473519589381</v>
      </c>
      <c r="G301" s="5">
        <v>518015782466</v>
      </c>
      <c r="H301" s="5">
        <v>440878331624</v>
      </c>
      <c r="I301" s="5">
        <v>454701244176</v>
      </c>
      <c r="J301" s="5">
        <v>392032941759</v>
      </c>
      <c r="K301" s="5">
        <v>321116934825</v>
      </c>
      <c r="L301" s="5">
        <v>302757569632</v>
      </c>
      <c r="M301" s="5" t="s">
        <v>3096</v>
      </c>
      <c r="N301" s="5">
        <v>158338115376</v>
      </c>
      <c r="O301" s="5">
        <v>12870595653</v>
      </c>
      <c r="P301" s="5">
        <v>939429347325</v>
      </c>
    </row>
    <row r="302" spans="1:16" x14ac:dyDescent="0.45">
      <c r="A302" s="1" t="s">
        <v>296</v>
      </c>
      <c r="B302" s="2">
        <v>4075105</v>
      </c>
      <c r="C302" s="3" t="s">
        <v>3097</v>
      </c>
      <c r="D302" s="3" t="s">
        <v>3098</v>
      </c>
      <c r="E302" s="3" t="s">
        <v>3099</v>
      </c>
      <c r="F302" s="5" t="s">
        <v>3100</v>
      </c>
      <c r="G302" s="5" t="s">
        <v>3101</v>
      </c>
      <c r="H302" s="5" t="s">
        <v>3102</v>
      </c>
      <c r="I302" s="5" t="s">
        <v>3103</v>
      </c>
      <c r="J302" s="5" t="s">
        <v>3104</v>
      </c>
      <c r="K302" s="5" t="s">
        <v>3105</v>
      </c>
      <c r="L302" s="5" t="s">
        <v>3106</v>
      </c>
      <c r="M302" s="5">
        <v>18092481</v>
      </c>
      <c r="N302" s="5" t="s">
        <v>3107</v>
      </c>
      <c r="O302" s="5" t="s">
        <v>3108</v>
      </c>
      <c r="P302" s="5" t="s">
        <v>3109</v>
      </c>
    </row>
    <row r="303" spans="1:16" x14ac:dyDescent="0.45">
      <c r="A303" s="1" t="s">
        <v>297</v>
      </c>
      <c r="B303" s="2">
        <v>4382367</v>
      </c>
      <c r="C303" s="3" t="s">
        <v>3110</v>
      </c>
      <c r="D303" s="3" t="s">
        <v>3111</v>
      </c>
      <c r="E303" s="3" t="s">
        <v>3112</v>
      </c>
      <c r="F303" s="5">
        <v>13201656</v>
      </c>
      <c r="G303" s="5" t="s">
        <v>3113</v>
      </c>
      <c r="H303" s="5">
        <v>15499636</v>
      </c>
      <c r="I303" s="5" t="s">
        <v>3114</v>
      </c>
      <c r="J303" s="5" t="s">
        <v>3115</v>
      </c>
      <c r="K303" s="5" t="s">
        <v>3116</v>
      </c>
      <c r="L303" s="5" t="s">
        <v>3117</v>
      </c>
      <c r="M303" s="5" t="s">
        <v>3118</v>
      </c>
      <c r="N303" s="5">
        <v>12754828</v>
      </c>
      <c r="O303" s="5" t="s">
        <v>3119</v>
      </c>
      <c r="P303" s="5" t="s">
        <v>3120</v>
      </c>
    </row>
    <row r="304" spans="1:16" x14ac:dyDescent="0.45">
      <c r="A304" s="1" t="s">
        <v>298</v>
      </c>
      <c r="B304" s="2">
        <v>3010401</v>
      </c>
      <c r="C304" s="3" t="s">
        <v>3121</v>
      </c>
      <c r="D304" s="3" t="s">
        <v>3122</v>
      </c>
      <c r="E304" s="3" t="s">
        <v>627</v>
      </c>
      <c r="F304" s="5" t="s">
        <v>3123</v>
      </c>
      <c r="G304" s="5" t="s">
        <v>3124</v>
      </c>
      <c r="H304" s="5" t="s">
        <v>3125</v>
      </c>
      <c r="I304" s="5" t="s">
        <v>3126</v>
      </c>
      <c r="J304" s="5" t="s">
        <v>3127</v>
      </c>
      <c r="K304" s="5">
        <v>104381670</v>
      </c>
      <c r="L304" s="5" t="s">
        <v>3128</v>
      </c>
      <c r="M304" s="5" t="s">
        <v>3129</v>
      </c>
      <c r="N304" s="5" t="s">
        <v>3130</v>
      </c>
      <c r="O304" s="5" t="s">
        <v>3131</v>
      </c>
      <c r="P304" s="5" t="s">
        <v>3132</v>
      </c>
    </row>
    <row r="305" spans="1:16" x14ac:dyDescent="0.45">
      <c r="A305" s="1" t="s">
        <v>299</v>
      </c>
      <c r="B305" s="2">
        <v>4004236</v>
      </c>
      <c r="C305" s="3" t="s">
        <v>3133</v>
      </c>
      <c r="D305" s="3" t="s">
        <v>3134</v>
      </c>
      <c r="E305" s="3" t="s">
        <v>1696</v>
      </c>
      <c r="F305" s="5" t="s">
        <v>3135</v>
      </c>
      <c r="G305" s="5">
        <v>35141231</v>
      </c>
      <c r="H305" s="5" t="s">
        <v>3136</v>
      </c>
      <c r="I305" s="5" t="s">
        <v>3137</v>
      </c>
      <c r="J305" s="5">
        <v>30867546</v>
      </c>
      <c r="K305" s="5">
        <v>28192129</v>
      </c>
      <c r="L305" s="5" t="s">
        <v>3138</v>
      </c>
      <c r="M305" s="5" t="s">
        <v>3139</v>
      </c>
      <c r="N305" s="5">
        <v>20700510</v>
      </c>
      <c r="O305" s="5" t="s">
        <v>3140</v>
      </c>
      <c r="P305" s="5" t="s">
        <v>3141</v>
      </c>
    </row>
    <row r="306" spans="1:16" x14ac:dyDescent="0.45">
      <c r="A306" s="1" t="s">
        <v>300</v>
      </c>
      <c r="B306" s="2">
        <v>4057051</v>
      </c>
      <c r="C306" s="3" t="s">
        <v>3142</v>
      </c>
      <c r="D306" s="3" t="s">
        <v>3143</v>
      </c>
      <c r="E306" s="3" t="s">
        <v>686</v>
      </c>
      <c r="F306" s="5" t="s">
        <v>3144</v>
      </c>
      <c r="G306" s="5" t="s">
        <v>3145</v>
      </c>
      <c r="H306" s="5" t="s">
        <v>3146</v>
      </c>
      <c r="I306" s="5" t="s">
        <v>3147</v>
      </c>
      <c r="J306" s="5" t="s">
        <v>3148</v>
      </c>
      <c r="K306" s="5" t="s">
        <v>3149</v>
      </c>
      <c r="L306" s="5" t="s">
        <v>3150</v>
      </c>
      <c r="M306" s="5" t="s">
        <v>3151</v>
      </c>
      <c r="N306" s="5" t="s">
        <v>3152</v>
      </c>
      <c r="O306" s="5" t="s">
        <v>3153</v>
      </c>
      <c r="P306" s="5">
        <v>16106219375</v>
      </c>
    </row>
    <row r="307" spans="1:16" x14ac:dyDescent="0.45">
      <c r="A307" s="1" t="s">
        <v>301</v>
      </c>
      <c r="B307" s="2">
        <v>4298336</v>
      </c>
      <c r="C307" s="3" t="s">
        <v>3154</v>
      </c>
      <c r="D307" s="3" t="s">
        <v>3155</v>
      </c>
      <c r="E307" s="3" t="s">
        <v>1795</v>
      </c>
      <c r="F307" s="5">
        <v>5130629427</v>
      </c>
      <c r="G307" s="5">
        <v>5526889686</v>
      </c>
      <c r="H307" s="5">
        <v>4970800305</v>
      </c>
      <c r="I307" s="5">
        <v>38635452375</v>
      </c>
      <c r="J307" s="5">
        <v>32784230728</v>
      </c>
      <c r="K307" s="5">
        <v>31532223136</v>
      </c>
      <c r="L307" s="5">
        <v>31546046037</v>
      </c>
      <c r="M307" s="5">
        <v>3022464102</v>
      </c>
      <c r="N307" s="5">
        <v>2933089001</v>
      </c>
      <c r="O307" s="5">
        <v>22085399292</v>
      </c>
      <c r="P307" s="5">
        <v>21405686414</v>
      </c>
    </row>
    <row r="308" spans="1:16" x14ac:dyDescent="0.45">
      <c r="A308" s="1" t="s">
        <v>302</v>
      </c>
      <c r="B308" s="2">
        <v>4021829</v>
      </c>
      <c r="C308" s="3" t="s">
        <v>3156</v>
      </c>
      <c r="D308" s="3" t="s">
        <v>3157</v>
      </c>
      <c r="E308" s="3" t="s">
        <v>1619</v>
      </c>
      <c r="F308" s="5" t="s">
        <v>3158</v>
      </c>
      <c r="G308" s="5" t="s">
        <v>3159</v>
      </c>
      <c r="H308" s="5" t="s">
        <v>3160</v>
      </c>
      <c r="I308" s="5" t="s">
        <v>3161</v>
      </c>
      <c r="J308" s="5" t="s">
        <v>3162</v>
      </c>
      <c r="K308" s="5">
        <v>31033935</v>
      </c>
      <c r="L308" s="5" t="s">
        <v>3163</v>
      </c>
      <c r="M308" s="5" t="s">
        <v>3164</v>
      </c>
      <c r="N308" s="5" t="s">
        <v>3165</v>
      </c>
      <c r="O308" s="5" t="s">
        <v>3166</v>
      </c>
      <c r="P308" s="5" t="s">
        <v>3167</v>
      </c>
    </row>
    <row r="309" spans="1:16" x14ac:dyDescent="0.45">
      <c r="A309" s="1" t="s">
        <v>303</v>
      </c>
      <c r="B309" s="2">
        <v>100386</v>
      </c>
      <c r="C309" s="3" t="s">
        <v>3168</v>
      </c>
      <c r="D309" s="3" t="s">
        <v>3169</v>
      </c>
      <c r="E309" s="3" t="s">
        <v>757</v>
      </c>
      <c r="F309" s="5" t="s">
        <v>3170</v>
      </c>
      <c r="G309" s="5" t="s">
        <v>3171</v>
      </c>
      <c r="H309" s="5" t="s">
        <v>3172</v>
      </c>
      <c r="I309" s="5" t="s">
        <v>3173</v>
      </c>
      <c r="J309" s="5" t="s">
        <v>3174</v>
      </c>
      <c r="K309" s="5" t="s">
        <v>3175</v>
      </c>
      <c r="L309" s="5" t="s">
        <v>3176</v>
      </c>
      <c r="M309" s="5" t="s">
        <v>3177</v>
      </c>
      <c r="N309" s="5" t="s">
        <v>3178</v>
      </c>
      <c r="O309" s="5" t="s">
        <v>3179</v>
      </c>
      <c r="P309" s="5" t="s">
        <v>3180</v>
      </c>
    </row>
    <row r="310" spans="1:16" x14ac:dyDescent="0.45">
      <c r="A310" s="1" t="s">
        <v>304</v>
      </c>
      <c r="B310" s="2">
        <v>4069910</v>
      </c>
      <c r="C310" s="3" t="s">
        <v>3181</v>
      </c>
      <c r="D310" s="3" t="s">
        <v>3182</v>
      </c>
      <c r="E310" s="3" t="s">
        <v>976</v>
      </c>
      <c r="F310" s="5" t="s">
        <v>3183</v>
      </c>
      <c r="G310" s="5" t="s">
        <v>3184</v>
      </c>
      <c r="H310" s="5" t="s">
        <v>3185</v>
      </c>
      <c r="I310" s="5" t="s">
        <v>3186</v>
      </c>
      <c r="J310" s="5" t="s">
        <v>3187</v>
      </c>
      <c r="K310" s="5" t="s">
        <v>3188</v>
      </c>
      <c r="L310" s="5" t="s">
        <v>3189</v>
      </c>
      <c r="M310" s="5" t="s">
        <v>3190</v>
      </c>
      <c r="N310" s="5" t="s">
        <v>3191</v>
      </c>
      <c r="O310" s="5" t="s">
        <v>3192</v>
      </c>
      <c r="P310" s="5">
        <v>22488398</v>
      </c>
    </row>
    <row r="311" spans="1:16" x14ac:dyDescent="0.45">
      <c r="A311" s="1" t="s">
        <v>305</v>
      </c>
      <c r="B311" s="2">
        <v>4232236</v>
      </c>
      <c r="C311" s="3" t="s">
        <v>3193</v>
      </c>
      <c r="D311" s="3" t="s">
        <v>3194</v>
      </c>
      <c r="E311" s="3" t="s">
        <v>1103</v>
      </c>
      <c r="F311" s="5">
        <v>191985112317</v>
      </c>
      <c r="G311" s="5">
        <v>192888404449</v>
      </c>
      <c r="H311" s="5">
        <v>17635308053</v>
      </c>
      <c r="I311" s="5">
        <v>173644342758</v>
      </c>
      <c r="J311" s="5">
        <v>164691456741</v>
      </c>
      <c r="K311" s="5">
        <v>150414416475</v>
      </c>
      <c r="L311" s="5">
        <v>148676461689</v>
      </c>
      <c r="M311" s="5">
        <v>13280894198</v>
      </c>
      <c r="N311" s="5">
        <v>117382069032</v>
      </c>
      <c r="O311" s="5">
        <v>122901858903</v>
      </c>
      <c r="P311" s="5">
        <v>1129277500775</v>
      </c>
    </row>
    <row r="312" spans="1:16" x14ac:dyDescent="0.45">
      <c r="A312" s="1" t="s">
        <v>306</v>
      </c>
      <c r="B312" s="2">
        <v>4057436</v>
      </c>
      <c r="C312" s="3" t="s">
        <v>3195</v>
      </c>
      <c r="D312" s="3" t="s">
        <v>3196</v>
      </c>
      <c r="E312" s="3" t="s">
        <v>627</v>
      </c>
      <c r="F312" s="5">
        <v>24818538</v>
      </c>
      <c r="G312" s="5" t="s">
        <v>3197</v>
      </c>
      <c r="H312" s="5" t="s">
        <v>3198</v>
      </c>
      <c r="I312" s="5" t="s">
        <v>3199</v>
      </c>
      <c r="J312" s="5" t="s">
        <v>3200</v>
      </c>
      <c r="K312" s="5">
        <v>12182385</v>
      </c>
      <c r="L312" s="5" t="s">
        <v>3201</v>
      </c>
      <c r="M312" s="5" t="s">
        <v>3202</v>
      </c>
      <c r="N312" s="5">
        <v>19450044</v>
      </c>
      <c r="O312" s="5" t="s">
        <v>3203</v>
      </c>
      <c r="P312" s="5" t="s">
        <v>3204</v>
      </c>
    </row>
    <row r="313" spans="1:16" x14ac:dyDescent="0.45">
      <c r="A313" s="1" t="s">
        <v>307</v>
      </c>
      <c r="B313" s="2">
        <v>4121108</v>
      </c>
      <c r="C313" s="3" t="s">
        <v>3205</v>
      </c>
      <c r="D313" s="3" t="s">
        <v>3206</v>
      </c>
      <c r="E313" s="3" t="s">
        <v>3207</v>
      </c>
      <c r="F313" s="5" t="s">
        <v>3208</v>
      </c>
      <c r="G313" s="5">
        <v>32782646</v>
      </c>
      <c r="H313" s="5">
        <v>31972098</v>
      </c>
      <c r="I313" s="5">
        <v>30390796797</v>
      </c>
      <c r="J313" s="5">
        <v>227062272096</v>
      </c>
      <c r="K313" s="5">
        <v>16452509595</v>
      </c>
      <c r="L313" s="5">
        <v>163469318726</v>
      </c>
      <c r="M313" s="5">
        <v>156518415592</v>
      </c>
      <c r="N313" s="5">
        <v>131925996624</v>
      </c>
      <c r="O313" s="5">
        <v>144212386014</v>
      </c>
      <c r="P313" s="5">
        <v>1319155670675</v>
      </c>
    </row>
    <row r="314" spans="1:16" x14ac:dyDescent="0.45">
      <c r="A314" s="1" t="s">
        <v>308</v>
      </c>
      <c r="B314" s="2">
        <v>4094286</v>
      </c>
      <c r="C314" s="3" t="s">
        <v>3209</v>
      </c>
      <c r="D314" s="3" t="s">
        <v>3210</v>
      </c>
      <c r="E314" s="3" t="s">
        <v>556</v>
      </c>
      <c r="F314" s="5" t="s">
        <v>3211</v>
      </c>
      <c r="G314" s="5" t="s">
        <v>3212</v>
      </c>
      <c r="H314" s="5" t="s">
        <v>3213</v>
      </c>
      <c r="I314" s="5" t="s">
        <v>3214</v>
      </c>
      <c r="J314" s="5" t="s">
        <v>3215</v>
      </c>
      <c r="K314" s="5" t="s">
        <v>3216</v>
      </c>
      <c r="L314" s="5">
        <v>11650438</v>
      </c>
      <c r="M314" s="5" t="s">
        <v>3217</v>
      </c>
      <c r="N314" s="5" t="s">
        <v>3218</v>
      </c>
      <c r="O314" s="5" t="s">
        <v>3219</v>
      </c>
      <c r="P314" s="5" t="s">
        <v>3220</v>
      </c>
    </row>
    <row r="315" spans="1:16" x14ac:dyDescent="0.45">
      <c r="A315" s="1" t="s">
        <v>309</v>
      </c>
      <c r="B315" s="2">
        <v>4094401</v>
      </c>
      <c r="C315" s="3" t="s">
        <v>3221</v>
      </c>
      <c r="D315" s="3" t="s">
        <v>3222</v>
      </c>
      <c r="E315" s="3" t="s">
        <v>1656</v>
      </c>
      <c r="F315" s="5">
        <v>4988347281</v>
      </c>
      <c r="G315" s="5">
        <v>61633963092</v>
      </c>
      <c r="H315" s="5">
        <v>59726095579</v>
      </c>
      <c r="I315" s="5">
        <v>52969724361</v>
      </c>
      <c r="J315" s="5">
        <v>51302538675</v>
      </c>
      <c r="K315" s="5">
        <v>47228127675</v>
      </c>
      <c r="L315" s="5">
        <v>33949261465</v>
      </c>
      <c r="M315" s="5">
        <v>27651258822</v>
      </c>
      <c r="N315" s="5">
        <v>24894715512</v>
      </c>
      <c r="O315" s="5">
        <v>25046072039</v>
      </c>
      <c r="P315" s="5">
        <v>23126643485</v>
      </c>
    </row>
    <row r="316" spans="1:16" x14ac:dyDescent="0.45">
      <c r="A316" s="1" t="s">
        <v>310</v>
      </c>
      <c r="B316" s="2">
        <v>4203993</v>
      </c>
      <c r="C316" s="3" t="s">
        <v>3223</v>
      </c>
      <c r="D316" s="3" t="s">
        <v>3224</v>
      </c>
      <c r="E316" s="3" t="s">
        <v>556</v>
      </c>
      <c r="F316" s="5">
        <v>22621152</v>
      </c>
      <c r="G316" s="5" t="s">
        <v>3225</v>
      </c>
      <c r="H316" s="5" t="s">
        <v>3226</v>
      </c>
      <c r="I316" s="5" t="s">
        <v>3227</v>
      </c>
      <c r="J316" s="5" t="s">
        <v>3228</v>
      </c>
      <c r="K316" s="5" t="s">
        <v>3229</v>
      </c>
      <c r="L316" s="5" t="s">
        <v>3230</v>
      </c>
      <c r="M316" s="5">
        <v>18804302</v>
      </c>
      <c r="N316" s="5" t="s">
        <v>3231</v>
      </c>
      <c r="O316" s="5" t="s">
        <v>3232</v>
      </c>
      <c r="P316" s="5" t="s">
        <v>3233</v>
      </c>
    </row>
    <row r="317" spans="1:16" x14ac:dyDescent="0.45">
      <c r="A317" s="1" t="s">
        <v>311</v>
      </c>
      <c r="B317" s="2">
        <v>4930128</v>
      </c>
      <c r="C317" s="3" t="s">
        <v>3234</v>
      </c>
      <c r="D317" s="3" t="s">
        <v>3235</v>
      </c>
      <c r="E317" s="3" t="s">
        <v>956</v>
      </c>
      <c r="F317" s="5">
        <v>140856300801</v>
      </c>
      <c r="G317" s="5">
        <v>143858644319</v>
      </c>
      <c r="H317" s="5">
        <v>125508985765</v>
      </c>
      <c r="I317" s="5">
        <v>118159999503</v>
      </c>
      <c r="J317" s="5">
        <v>103042590651</v>
      </c>
      <c r="K317" s="5">
        <v>9480254835</v>
      </c>
      <c r="L317" s="5">
        <v>9550061276</v>
      </c>
      <c r="M317" s="5">
        <v>69704211126</v>
      </c>
      <c r="N317" s="5">
        <v>6305865828</v>
      </c>
      <c r="O317" s="5">
        <v>68245282397</v>
      </c>
      <c r="P317" s="5">
        <v>6147556793</v>
      </c>
    </row>
    <row r="318" spans="1:16" x14ac:dyDescent="0.45">
      <c r="A318" s="1" t="s">
        <v>312</v>
      </c>
      <c r="B318" s="2">
        <v>4010841</v>
      </c>
      <c r="C318" s="3" t="s">
        <v>3236</v>
      </c>
      <c r="D318" s="3" t="s">
        <v>3237</v>
      </c>
      <c r="E318" s="3" t="s">
        <v>1349</v>
      </c>
      <c r="F318" s="5" t="s">
        <v>3238</v>
      </c>
      <c r="G318" s="5" t="s">
        <v>3239</v>
      </c>
      <c r="H318" s="5" t="s">
        <v>3240</v>
      </c>
      <c r="I318" s="5" t="s">
        <v>3241</v>
      </c>
      <c r="J318" s="5" t="s">
        <v>3242</v>
      </c>
      <c r="K318" s="5">
        <v>65452320</v>
      </c>
      <c r="L318" s="5">
        <v>95517009</v>
      </c>
      <c r="M318" s="5" t="s">
        <v>3243</v>
      </c>
      <c r="N318" s="5" t="s">
        <v>3244</v>
      </c>
      <c r="O318" s="5" t="s">
        <v>3245</v>
      </c>
      <c r="P318" s="5" t="s">
        <v>3246</v>
      </c>
    </row>
    <row r="319" spans="1:16" x14ac:dyDescent="0.45">
      <c r="A319" s="1" t="s">
        <v>313</v>
      </c>
      <c r="B319" s="2">
        <v>4298644</v>
      </c>
      <c r="C319" s="3" t="s">
        <v>3247</v>
      </c>
      <c r="D319" s="3" t="s">
        <v>3248</v>
      </c>
      <c r="E319" s="3" t="s">
        <v>2583</v>
      </c>
      <c r="F319" s="5">
        <v>4658935272</v>
      </c>
      <c r="G319" s="5">
        <v>53041384305</v>
      </c>
      <c r="H319" s="5">
        <v>49870619471</v>
      </c>
      <c r="I319" s="5">
        <v>4527487377</v>
      </c>
      <c r="J319" s="5">
        <v>42395836392</v>
      </c>
      <c r="K319" s="5">
        <v>3571992675</v>
      </c>
      <c r="L319" s="5">
        <v>35604506448</v>
      </c>
      <c r="M319" s="5">
        <v>30964501722</v>
      </c>
      <c r="N319" s="5">
        <v>25553835072</v>
      </c>
      <c r="O319" s="5">
        <v>25541547831</v>
      </c>
      <c r="P319" s="5">
        <v>2271033558</v>
      </c>
    </row>
    <row r="320" spans="1:16" x14ac:dyDescent="0.45">
      <c r="A320" s="1" t="s">
        <v>314</v>
      </c>
      <c r="B320" s="2">
        <v>4070013</v>
      </c>
      <c r="C320" s="3" t="s">
        <v>3249</v>
      </c>
      <c r="D320" s="3" t="s">
        <v>3250</v>
      </c>
      <c r="E320" s="3" t="s">
        <v>3251</v>
      </c>
      <c r="F320" s="5" t="s">
        <v>3252</v>
      </c>
      <c r="G320" s="5" t="s">
        <v>3253</v>
      </c>
      <c r="H320" s="5" t="s">
        <v>3254</v>
      </c>
      <c r="I320" s="5" t="s">
        <v>3255</v>
      </c>
      <c r="J320" s="5" t="s">
        <v>3256</v>
      </c>
      <c r="K320" s="5">
        <v>22601586</v>
      </c>
      <c r="L320" s="5" t="s">
        <v>3257</v>
      </c>
      <c r="M320" s="5" t="s">
        <v>3258</v>
      </c>
      <c r="N320" s="5" t="s">
        <v>3259</v>
      </c>
      <c r="O320" s="5" t="s">
        <v>3260</v>
      </c>
      <c r="P320" s="5">
        <v>20358427025</v>
      </c>
    </row>
    <row r="321" spans="1:16" x14ac:dyDescent="0.45">
      <c r="A321" s="1" t="s">
        <v>315</v>
      </c>
      <c r="B321" s="2">
        <v>4133677</v>
      </c>
      <c r="C321" s="3" t="s">
        <v>3261</v>
      </c>
      <c r="D321" s="3" t="s">
        <v>3262</v>
      </c>
      <c r="E321" s="3" t="s">
        <v>556</v>
      </c>
      <c r="F321" s="5" t="s">
        <v>3263</v>
      </c>
      <c r="G321" s="5" t="s">
        <v>3264</v>
      </c>
      <c r="H321" s="5" t="s">
        <v>3265</v>
      </c>
      <c r="I321" s="5" t="s">
        <v>3266</v>
      </c>
      <c r="J321" s="5" t="s">
        <v>3267</v>
      </c>
      <c r="K321" s="5">
        <v>7086090</v>
      </c>
      <c r="L321" s="5" t="s">
        <v>3268</v>
      </c>
      <c r="M321" s="5" t="s">
        <v>3269</v>
      </c>
      <c r="N321" s="5" t="s">
        <v>3270</v>
      </c>
      <c r="O321" s="5" t="s">
        <v>3271</v>
      </c>
      <c r="P321" s="5" t="s">
        <v>3272</v>
      </c>
    </row>
    <row r="322" spans="1:16" x14ac:dyDescent="0.45">
      <c r="A322" s="1" t="s">
        <v>316</v>
      </c>
      <c r="B322" s="2">
        <v>4010846</v>
      </c>
      <c r="C322" s="3" t="s">
        <v>3273</v>
      </c>
      <c r="D322" s="3" t="s">
        <v>3274</v>
      </c>
      <c r="E322" s="3" t="s">
        <v>2682</v>
      </c>
      <c r="F322" s="5" t="s">
        <v>3275</v>
      </c>
      <c r="G322" s="5" t="s">
        <v>3276</v>
      </c>
      <c r="H322" s="5" t="s">
        <v>3277</v>
      </c>
      <c r="I322" s="5" t="s">
        <v>3278</v>
      </c>
      <c r="J322" s="5">
        <v>207704843109</v>
      </c>
      <c r="K322" s="5">
        <v>18866881395</v>
      </c>
      <c r="L322" s="5">
        <v>194367810231</v>
      </c>
      <c r="M322" s="5">
        <v>159235414514</v>
      </c>
      <c r="N322" s="5">
        <v>140292963336</v>
      </c>
      <c r="O322" s="5">
        <v>152882388223</v>
      </c>
      <c r="P322" s="5">
        <v>1422200670325</v>
      </c>
    </row>
    <row r="323" spans="1:16" x14ac:dyDescent="0.45">
      <c r="A323" s="1" t="s">
        <v>317</v>
      </c>
      <c r="B323" s="2">
        <v>4041363</v>
      </c>
      <c r="C323" s="3" t="s">
        <v>3279</v>
      </c>
      <c r="D323" s="3" t="s">
        <v>3280</v>
      </c>
      <c r="E323" s="3" t="s">
        <v>2132</v>
      </c>
      <c r="F323" s="5" t="s">
        <v>3281</v>
      </c>
      <c r="G323" s="5" t="s">
        <v>3282</v>
      </c>
      <c r="H323" s="5" t="s">
        <v>3283</v>
      </c>
      <c r="I323" s="5" t="s">
        <v>3284</v>
      </c>
      <c r="J323" s="5" t="s">
        <v>3285</v>
      </c>
      <c r="K323" s="5">
        <v>103836481</v>
      </c>
      <c r="L323" s="5" t="s">
        <v>3286</v>
      </c>
      <c r="M323" s="5" t="s">
        <v>3287</v>
      </c>
      <c r="N323" s="5">
        <v>120141990</v>
      </c>
      <c r="O323" s="5">
        <v>100799339</v>
      </c>
      <c r="P323" s="5" t="s">
        <v>3288</v>
      </c>
    </row>
    <row r="324" spans="1:16" x14ac:dyDescent="0.45">
      <c r="A324" s="1" t="s">
        <v>318</v>
      </c>
      <c r="B324" s="2">
        <v>4001586</v>
      </c>
      <c r="C324" s="3" t="s">
        <v>3289</v>
      </c>
      <c r="D324" s="3" t="s">
        <v>3290</v>
      </c>
      <c r="E324" s="3" t="s">
        <v>1248</v>
      </c>
      <c r="F324" s="5" t="s">
        <v>3291</v>
      </c>
      <c r="G324" s="5" t="s">
        <v>3292</v>
      </c>
      <c r="H324" s="5" t="s">
        <v>3293</v>
      </c>
      <c r="I324" s="5" t="s">
        <v>3294</v>
      </c>
      <c r="J324" s="5" t="s">
        <v>3295</v>
      </c>
      <c r="K324" s="5">
        <v>23102550</v>
      </c>
      <c r="L324" s="5" t="s">
        <v>3296</v>
      </c>
      <c r="M324" s="5" t="s">
        <v>3297</v>
      </c>
      <c r="N324" s="5" t="s">
        <v>3298</v>
      </c>
      <c r="O324" s="5" t="s">
        <v>3299</v>
      </c>
      <c r="P324" s="5" t="s">
        <v>3300</v>
      </c>
    </row>
    <row r="325" spans="1:16" x14ac:dyDescent="0.45">
      <c r="A325" s="1" t="s">
        <v>319</v>
      </c>
      <c r="B325" s="2">
        <v>4062146</v>
      </c>
      <c r="C325" s="3" t="s">
        <v>3301</v>
      </c>
      <c r="D325" s="3" t="s">
        <v>3302</v>
      </c>
      <c r="E325" s="3" t="s">
        <v>677</v>
      </c>
      <c r="F325" s="5" t="s">
        <v>3303</v>
      </c>
      <c r="G325" s="5" t="s">
        <v>3304</v>
      </c>
      <c r="H325" s="5" t="s">
        <v>3305</v>
      </c>
      <c r="I325" s="5" t="s">
        <v>3306</v>
      </c>
      <c r="J325" s="5" t="s">
        <v>3307</v>
      </c>
      <c r="K325" s="5">
        <v>6076641</v>
      </c>
      <c r="L325" s="5" t="s">
        <v>3308</v>
      </c>
      <c r="M325" s="5" t="s">
        <v>3309</v>
      </c>
      <c r="N325" s="5">
        <v>5161278</v>
      </c>
      <c r="O325" s="5" t="s">
        <v>3310</v>
      </c>
      <c r="P325" s="5">
        <v>4854470225</v>
      </c>
    </row>
    <row r="326" spans="1:16" x14ac:dyDescent="0.45">
      <c r="A326" s="1" t="s">
        <v>320</v>
      </c>
      <c r="B326" s="2">
        <v>4318651</v>
      </c>
      <c r="C326" s="3" t="s">
        <v>3311</v>
      </c>
      <c r="D326" s="3" t="s">
        <v>3312</v>
      </c>
      <c r="E326" s="3" t="s">
        <v>2132</v>
      </c>
      <c r="F326" s="5" t="s">
        <v>3313</v>
      </c>
      <c r="G326" s="5" t="s">
        <v>3314</v>
      </c>
      <c r="H326" s="5" t="s">
        <v>3315</v>
      </c>
      <c r="I326" s="5" t="s">
        <v>3316</v>
      </c>
      <c r="J326" s="5" t="s">
        <v>3317</v>
      </c>
      <c r="K326" s="5" t="s">
        <v>3318</v>
      </c>
      <c r="L326" s="5" t="s">
        <v>3319</v>
      </c>
      <c r="M326" s="5" t="s">
        <v>3320</v>
      </c>
      <c r="N326" s="5" t="s">
        <v>3321</v>
      </c>
      <c r="O326" s="5" t="s">
        <v>3322</v>
      </c>
      <c r="P326" s="5" t="s">
        <v>3323</v>
      </c>
    </row>
    <row r="327" spans="1:16" x14ac:dyDescent="0.45">
      <c r="A327" s="1" t="s">
        <v>321</v>
      </c>
      <c r="B327" s="2">
        <v>4074329</v>
      </c>
      <c r="C327" s="3" t="s">
        <v>3324</v>
      </c>
      <c r="D327" s="3" t="s">
        <v>3325</v>
      </c>
      <c r="E327" s="3" t="s">
        <v>3326</v>
      </c>
      <c r="F327" s="5" t="s">
        <v>3327</v>
      </c>
      <c r="G327" s="5" t="s">
        <v>3328</v>
      </c>
      <c r="H327" s="5" t="s">
        <v>3329</v>
      </c>
      <c r="I327" s="5" t="s">
        <v>3330</v>
      </c>
      <c r="J327" s="5">
        <v>51544566</v>
      </c>
      <c r="K327" s="5" t="s">
        <v>3331</v>
      </c>
      <c r="L327" s="5" t="s">
        <v>3332</v>
      </c>
      <c r="M327" s="5" t="s">
        <v>3333</v>
      </c>
      <c r="N327" s="5" t="s">
        <v>3334</v>
      </c>
      <c r="O327" s="5" t="s">
        <v>3335</v>
      </c>
      <c r="P327" s="5" t="s">
        <v>3336</v>
      </c>
    </row>
    <row r="328" spans="1:16" x14ac:dyDescent="0.45">
      <c r="A328" s="1" t="s">
        <v>322</v>
      </c>
      <c r="B328" s="2">
        <v>4004412</v>
      </c>
      <c r="C328" s="3" t="s">
        <v>3337</v>
      </c>
      <c r="D328" s="3" t="s">
        <v>3338</v>
      </c>
      <c r="E328" s="3" t="s">
        <v>1795</v>
      </c>
      <c r="F328" s="5">
        <v>25114141</v>
      </c>
      <c r="G328" s="5" t="s">
        <v>3339</v>
      </c>
      <c r="H328" s="5">
        <v>27447456352</v>
      </c>
      <c r="I328" s="5">
        <v>248179758738</v>
      </c>
      <c r="J328" s="5" t="s">
        <v>3340</v>
      </c>
      <c r="K328" s="5">
        <v>176722573158</v>
      </c>
      <c r="L328" s="5">
        <v>15446395172</v>
      </c>
      <c r="M328" s="5">
        <v>131308465677</v>
      </c>
      <c r="N328" s="5">
        <v>13576900856</v>
      </c>
      <c r="O328" s="5">
        <v>108361431639</v>
      </c>
      <c r="P328" s="5">
        <v>110237254155</v>
      </c>
    </row>
    <row r="329" spans="1:16" x14ac:dyDescent="0.45">
      <c r="A329" s="1" t="s">
        <v>323</v>
      </c>
      <c r="B329" s="2">
        <v>4070114</v>
      </c>
      <c r="C329" s="3" t="s">
        <v>3341</v>
      </c>
      <c r="D329" s="3" t="s">
        <v>3342</v>
      </c>
      <c r="E329" s="3" t="s">
        <v>945</v>
      </c>
      <c r="F329" s="5" t="s">
        <v>3343</v>
      </c>
      <c r="G329" s="5" t="s">
        <v>3344</v>
      </c>
      <c r="H329" s="5" t="s">
        <v>3345</v>
      </c>
      <c r="I329" s="5" t="s">
        <v>3346</v>
      </c>
      <c r="J329" s="5" t="s">
        <v>3347</v>
      </c>
      <c r="K329" s="5" t="s">
        <v>3348</v>
      </c>
      <c r="L329" s="5" t="s">
        <v>3349</v>
      </c>
      <c r="M329" s="5" t="s">
        <v>3350</v>
      </c>
      <c r="N329" s="5">
        <v>6081993</v>
      </c>
      <c r="O329" s="5" t="s">
        <v>3351</v>
      </c>
      <c r="P329" s="5">
        <v>5892862625</v>
      </c>
    </row>
    <row r="330" spans="1:16" x14ac:dyDescent="0.45">
      <c r="A330" s="1" t="s">
        <v>324</v>
      </c>
      <c r="B330" s="2">
        <v>4580296</v>
      </c>
      <c r="C330" s="3" t="s">
        <v>3352</v>
      </c>
      <c r="D330" s="3" t="s">
        <v>3353</v>
      </c>
      <c r="E330" s="3" t="s">
        <v>705</v>
      </c>
      <c r="F330" s="5" t="s">
        <v>3354</v>
      </c>
      <c r="G330" s="5" t="s">
        <v>3355</v>
      </c>
      <c r="H330" s="5" t="s">
        <v>3356</v>
      </c>
      <c r="I330" s="5" t="s">
        <v>3357</v>
      </c>
      <c r="J330" s="5" t="s">
        <v>3358</v>
      </c>
      <c r="K330" s="5" t="s">
        <v>3359</v>
      </c>
      <c r="L330" s="5" t="s">
        <v>3360</v>
      </c>
      <c r="M330" s="5" t="s">
        <v>3361</v>
      </c>
      <c r="N330" s="5" t="s">
        <v>3362</v>
      </c>
      <c r="O330" s="5" t="s">
        <v>3363</v>
      </c>
      <c r="P330" s="5" t="s">
        <v>3364</v>
      </c>
    </row>
    <row r="331" spans="1:16" x14ac:dyDescent="0.45">
      <c r="A331" s="1" t="s">
        <v>325</v>
      </c>
      <c r="B331" s="2">
        <v>4765589</v>
      </c>
      <c r="C331" s="3" t="s">
        <v>3365</v>
      </c>
      <c r="D331" s="3" t="s">
        <v>3366</v>
      </c>
      <c r="E331" s="3" t="s">
        <v>1795</v>
      </c>
      <c r="F331" s="5" t="s">
        <v>3367</v>
      </c>
      <c r="G331" s="5" t="s">
        <v>3368</v>
      </c>
      <c r="H331" s="5" t="s">
        <v>3369</v>
      </c>
      <c r="I331" s="5" t="s">
        <v>3370</v>
      </c>
      <c r="J331" s="5" t="s">
        <v>3371</v>
      </c>
      <c r="K331" s="5">
        <v>3431211</v>
      </c>
      <c r="L331" s="5" t="s">
        <v>3372</v>
      </c>
      <c r="M331" s="5" t="s">
        <v>3373</v>
      </c>
      <c r="N331" s="5" t="s">
        <v>3374</v>
      </c>
      <c r="O331" s="5" t="s">
        <v>3375</v>
      </c>
      <c r="P331" s="5">
        <v>10895695125</v>
      </c>
    </row>
    <row r="332" spans="1:16" x14ac:dyDescent="0.45">
      <c r="A332" s="1" t="s">
        <v>326</v>
      </c>
      <c r="B332" s="2">
        <v>4004166</v>
      </c>
      <c r="C332" s="3" t="s">
        <v>3376</v>
      </c>
      <c r="D332" s="3" t="s">
        <v>3377</v>
      </c>
      <c r="E332" s="3" t="s">
        <v>2634</v>
      </c>
      <c r="F332" s="5">
        <v>91289150</v>
      </c>
      <c r="G332" s="5" t="s">
        <v>3378</v>
      </c>
      <c r="H332" s="5" t="s">
        <v>3379</v>
      </c>
      <c r="I332" s="5" t="s">
        <v>3380</v>
      </c>
      <c r="J332" s="5" t="s">
        <v>3381</v>
      </c>
      <c r="K332" s="5" t="s">
        <v>3382</v>
      </c>
      <c r="L332" s="5" t="s">
        <v>3383</v>
      </c>
      <c r="M332" s="5" t="s">
        <v>3384</v>
      </c>
      <c r="N332" s="5" t="s">
        <v>3385</v>
      </c>
      <c r="O332" s="5">
        <v>69617077</v>
      </c>
      <c r="P332" s="5" t="s">
        <v>3386</v>
      </c>
    </row>
    <row r="333" spans="1:16" x14ac:dyDescent="0.45">
      <c r="A333" s="1" t="s">
        <v>327</v>
      </c>
      <c r="B333" s="2">
        <v>3009080</v>
      </c>
      <c r="C333" s="3" t="s">
        <v>3387</v>
      </c>
      <c r="D333" s="3" t="s">
        <v>3388</v>
      </c>
      <c r="E333" s="3" t="s">
        <v>1127</v>
      </c>
      <c r="F333" s="5">
        <v>177289872</v>
      </c>
      <c r="G333" s="5" t="s">
        <v>3389</v>
      </c>
      <c r="H333" s="5" t="s">
        <v>3390</v>
      </c>
      <c r="I333" s="5" t="s">
        <v>3391</v>
      </c>
      <c r="J333" s="5" t="s">
        <v>3392</v>
      </c>
      <c r="K333" s="5" t="s">
        <v>3393</v>
      </c>
      <c r="L333" s="5" t="s">
        <v>3394</v>
      </c>
      <c r="M333" s="5" t="s">
        <v>3395</v>
      </c>
      <c r="N333" s="5" t="s">
        <v>3396</v>
      </c>
      <c r="O333" s="5" t="s">
        <v>3397</v>
      </c>
      <c r="P333" s="5" t="s">
        <v>3398</v>
      </c>
    </row>
    <row r="334" spans="1:16" x14ac:dyDescent="0.45">
      <c r="A334" s="1" t="s">
        <v>328</v>
      </c>
      <c r="B334" s="2">
        <v>4057057</v>
      </c>
      <c r="C334" s="3" t="s">
        <v>3399</v>
      </c>
      <c r="D334" s="3" t="s">
        <v>3400</v>
      </c>
      <c r="E334" s="3" t="s">
        <v>627</v>
      </c>
      <c r="F334" s="5" t="s">
        <v>3401</v>
      </c>
      <c r="G334" s="5">
        <v>129102194</v>
      </c>
      <c r="H334" s="5" t="s">
        <v>3402</v>
      </c>
      <c r="I334" s="5" t="s">
        <v>3403</v>
      </c>
      <c r="J334" s="5" t="s">
        <v>3404</v>
      </c>
      <c r="K334" s="5">
        <v>79997280</v>
      </c>
      <c r="L334" s="5" t="s">
        <v>3405</v>
      </c>
      <c r="M334" s="5">
        <v>67247433</v>
      </c>
      <c r="N334" s="5" t="s">
        <v>3406</v>
      </c>
      <c r="O334" s="5" t="s">
        <v>3407</v>
      </c>
      <c r="P334" s="5" t="s">
        <v>3408</v>
      </c>
    </row>
    <row r="335" spans="1:16" x14ac:dyDescent="0.45">
      <c r="A335" s="1" t="s">
        <v>329</v>
      </c>
      <c r="B335" s="2">
        <v>4913068</v>
      </c>
      <c r="C335" s="3" t="s">
        <v>3409</v>
      </c>
      <c r="D335" s="3" t="s">
        <v>3410</v>
      </c>
      <c r="E335" s="3" t="s">
        <v>652</v>
      </c>
      <c r="F335" s="5" t="s">
        <v>3411</v>
      </c>
      <c r="G335" s="5" t="s">
        <v>3412</v>
      </c>
      <c r="H335" s="5" t="s">
        <v>3413</v>
      </c>
      <c r="I335" s="5" t="s">
        <v>3414</v>
      </c>
      <c r="J335" s="5">
        <v>36306297</v>
      </c>
      <c r="K335" s="5" t="s">
        <v>3415</v>
      </c>
      <c r="L335" s="5" t="s">
        <v>3416</v>
      </c>
      <c r="M335" s="5" t="s">
        <v>3417</v>
      </c>
      <c r="N335" s="5" t="s">
        <v>3418</v>
      </c>
      <c r="O335" s="5" t="s">
        <v>3419</v>
      </c>
      <c r="P335" s="5">
        <v>31264987</v>
      </c>
    </row>
    <row r="336" spans="1:16" x14ac:dyDescent="0.45">
      <c r="A336" s="1" t="s">
        <v>330</v>
      </c>
      <c r="B336" s="2">
        <v>4095021</v>
      </c>
      <c r="C336" s="3" t="s">
        <v>3420</v>
      </c>
      <c r="D336" s="3" t="s">
        <v>3421</v>
      </c>
      <c r="E336" s="3" t="s">
        <v>2835</v>
      </c>
      <c r="F336" s="5">
        <v>62753256</v>
      </c>
      <c r="G336" s="5" t="s">
        <v>3422</v>
      </c>
      <c r="H336" s="5" t="s">
        <v>3423</v>
      </c>
      <c r="I336" s="5" t="s">
        <v>3424</v>
      </c>
      <c r="J336" s="5" t="s">
        <v>3425</v>
      </c>
      <c r="K336" s="5" t="s">
        <v>3426</v>
      </c>
      <c r="L336" s="5">
        <v>52325392</v>
      </c>
      <c r="M336" s="5" t="s">
        <v>3427</v>
      </c>
      <c r="N336" s="5" t="s">
        <v>3428</v>
      </c>
      <c r="O336" s="5" t="s">
        <v>3429</v>
      </c>
      <c r="P336" s="5">
        <v>44730035</v>
      </c>
    </row>
    <row r="337" spans="1:16" x14ac:dyDescent="0.45">
      <c r="A337" s="1" t="s">
        <v>331</v>
      </c>
      <c r="B337" s="2">
        <v>4056951</v>
      </c>
      <c r="C337" s="3" t="s">
        <v>3430</v>
      </c>
      <c r="D337" s="3" t="s">
        <v>3431</v>
      </c>
      <c r="E337" s="3" t="s">
        <v>627</v>
      </c>
      <c r="F337" s="5">
        <v>255779128683</v>
      </c>
      <c r="G337" s="5">
        <v>25212655884</v>
      </c>
      <c r="H337" s="5">
        <v>223109451191</v>
      </c>
      <c r="I337" s="5">
        <v>212622900585</v>
      </c>
      <c r="J337" s="5">
        <v>193474331046</v>
      </c>
      <c r="K337" s="5">
        <v>163666941675</v>
      </c>
      <c r="L337" s="5">
        <v>164668570017</v>
      </c>
      <c r="M337" s="5">
        <v>154279140268</v>
      </c>
      <c r="N337" s="5">
        <v>141734914896</v>
      </c>
      <c r="O337" s="5">
        <v>151608288669</v>
      </c>
      <c r="P337" s="5">
        <v>138372685535</v>
      </c>
    </row>
    <row r="338" spans="1:16" x14ac:dyDescent="0.45">
      <c r="A338" s="1" t="s">
        <v>332</v>
      </c>
      <c r="B338" s="2">
        <v>4104752</v>
      </c>
      <c r="C338" s="3" t="s">
        <v>3432</v>
      </c>
      <c r="D338" s="3" t="s">
        <v>3433</v>
      </c>
      <c r="E338" s="3" t="s">
        <v>2243</v>
      </c>
      <c r="F338" s="5">
        <v>30883715142</v>
      </c>
      <c r="G338" s="5">
        <v>32533289256</v>
      </c>
      <c r="H338" s="5">
        <v>31013731196</v>
      </c>
      <c r="I338" s="5">
        <v>33361794009</v>
      </c>
      <c r="J338" s="5">
        <v>28402541883</v>
      </c>
      <c r="K338" s="5">
        <v>1422180225</v>
      </c>
      <c r="L338" s="5">
        <v>13217383326</v>
      </c>
      <c r="M338" s="5">
        <v>10837767314</v>
      </c>
      <c r="N338" s="5">
        <v>9169644336</v>
      </c>
      <c r="O338" s="5">
        <v>9417061935</v>
      </c>
      <c r="P338" s="5">
        <v>86031289075</v>
      </c>
    </row>
    <row r="339" spans="1:16" x14ac:dyDescent="0.45">
      <c r="A339" s="1" t="s">
        <v>333</v>
      </c>
      <c r="B339" s="2">
        <v>4062397</v>
      </c>
      <c r="C339" s="3" t="s">
        <v>3434</v>
      </c>
      <c r="D339" s="3" t="s">
        <v>3435</v>
      </c>
      <c r="E339" s="3" t="s">
        <v>604</v>
      </c>
      <c r="F339" s="5" t="s">
        <v>3436</v>
      </c>
      <c r="G339" s="5" t="s">
        <v>3437</v>
      </c>
      <c r="H339" s="5" t="s">
        <v>3438</v>
      </c>
      <c r="I339" s="5" t="s">
        <v>3439</v>
      </c>
      <c r="J339" s="5" t="s">
        <v>3440</v>
      </c>
      <c r="K339" s="5">
        <v>15987030</v>
      </c>
      <c r="L339" s="5" t="s">
        <v>3441</v>
      </c>
      <c r="M339" s="5">
        <v>13987501</v>
      </c>
      <c r="N339" s="5" t="s">
        <v>3442</v>
      </c>
      <c r="O339" s="5" t="s">
        <v>3443</v>
      </c>
      <c r="P339" s="5">
        <v>15722727</v>
      </c>
    </row>
    <row r="340" spans="1:16" x14ac:dyDescent="0.45">
      <c r="A340" s="1" t="s">
        <v>334</v>
      </c>
      <c r="B340" s="2">
        <v>4057058</v>
      </c>
      <c r="C340" s="3" t="s">
        <v>3444</v>
      </c>
      <c r="D340" s="3" t="s">
        <v>3445</v>
      </c>
      <c r="E340" s="3" t="s">
        <v>627</v>
      </c>
      <c r="F340" s="5" t="s">
        <v>3446</v>
      </c>
      <c r="G340" s="5" t="s">
        <v>3447</v>
      </c>
      <c r="H340" s="5" t="s">
        <v>3448</v>
      </c>
      <c r="I340" s="5" t="s">
        <v>3449</v>
      </c>
      <c r="J340" s="5" t="s">
        <v>3450</v>
      </c>
      <c r="K340" s="5">
        <v>39334830</v>
      </c>
      <c r="L340" s="5">
        <v>40705448</v>
      </c>
      <c r="M340" s="5" t="s">
        <v>3451</v>
      </c>
      <c r="N340" s="5" t="s">
        <v>3452</v>
      </c>
      <c r="O340" s="5" t="s">
        <v>3453</v>
      </c>
      <c r="P340" s="5" t="s">
        <v>3454</v>
      </c>
    </row>
    <row r="341" spans="1:16" x14ac:dyDescent="0.45">
      <c r="A341" s="1" t="s">
        <v>335</v>
      </c>
      <c r="B341" s="2">
        <v>110230</v>
      </c>
      <c r="C341" s="3" t="s">
        <v>3455</v>
      </c>
      <c r="D341" s="3" t="s">
        <v>3456</v>
      </c>
      <c r="E341" s="3" t="s">
        <v>567</v>
      </c>
      <c r="F341" s="5" t="s">
        <v>3457</v>
      </c>
      <c r="G341" s="5" t="s">
        <v>3458</v>
      </c>
      <c r="H341" s="5" t="s">
        <v>3459</v>
      </c>
      <c r="I341" s="5" t="s">
        <v>3460</v>
      </c>
      <c r="J341" s="5" t="s">
        <v>3461</v>
      </c>
      <c r="K341" s="5" t="s">
        <v>3462</v>
      </c>
      <c r="L341" s="5" t="s">
        <v>3463</v>
      </c>
      <c r="M341" s="5" t="s">
        <v>3464</v>
      </c>
      <c r="N341" s="5" t="s">
        <v>3465</v>
      </c>
      <c r="O341" s="5" t="s">
        <v>3466</v>
      </c>
      <c r="P341" s="5">
        <v>201331471225</v>
      </c>
    </row>
    <row r="342" spans="1:16" x14ac:dyDescent="0.45">
      <c r="A342" s="1" t="s">
        <v>336</v>
      </c>
      <c r="B342" s="2">
        <v>103146</v>
      </c>
      <c r="C342" s="3" t="s">
        <v>3467</v>
      </c>
      <c r="D342" s="3" t="s">
        <v>3468</v>
      </c>
      <c r="E342" s="3" t="s">
        <v>3469</v>
      </c>
      <c r="F342" s="5">
        <v>840834488352</v>
      </c>
      <c r="G342" s="5">
        <v>920781932031</v>
      </c>
      <c r="H342" s="5">
        <v>84155953948</v>
      </c>
      <c r="I342" s="5">
        <v>822456420936</v>
      </c>
      <c r="J342" s="5">
        <v>51426933246</v>
      </c>
      <c r="K342" s="5">
        <v>458331415875</v>
      </c>
      <c r="L342" s="5">
        <v>35672381535</v>
      </c>
      <c r="M342" s="5">
        <v>335539877376</v>
      </c>
      <c r="N342" s="5" t="s">
        <v>3470</v>
      </c>
      <c r="O342" s="5">
        <v>286557605836</v>
      </c>
      <c r="P342" s="5">
        <v>2890673171525</v>
      </c>
    </row>
    <row r="343" spans="1:16" x14ac:dyDescent="0.45">
      <c r="A343" s="1" t="s">
        <v>337</v>
      </c>
      <c r="B343" s="2">
        <v>4072932</v>
      </c>
      <c r="C343" s="3" t="s">
        <v>3471</v>
      </c>
      <c r="D343" s="3" t="s">
        <v>3472</v>
      </c>
      <c r="E343" s="3" t="s">
        <v>567</v>
      </c>
      <c r="F343" s="5">
        <v>658994358</v>
      </c>
      <c r="G343" s="5" t="s">
        <v>3473</v>
      </c>
      <c r="H343" s="5" t="s">
        <v>3474</v>
      </c>
      <c r="I343" s="5" t="s">
        <v>3475</v>
      </c>
      <c r="J343" s="5" t="s">
        <v>3476</v>
      </c>
      <c r="K343" s="5">
        <v>769040235</v>
      </c>
      <c r="L343" s="5" t="s">
        <v>3477</v>
      </c>
      <c r="M343" s="5" t="s">
        <v>3478</v>
      </c>
      <c r="N343" s="5" t="s">
        <v>3479</v>
      </c>
      <c r="O343" s="5" t="s">
        <v>3480</v>
      </c>
      <c r="P343" s="5" t="s">
        <v>3481</v>
      </c>
    </row>
    <row r="344" spans="1:16" x14ac:dyDescent="0.45">
      <c r="A344" s="1" t="s">
        <v>338</v>
      </c>
      <c r="B344" s="2">
        <v>4391244</v>
      </c>
      <c r="C344" s="3" t="s">
        <v>3482</v>
      </c>
      <c r="D344" s="3" t="s">
        <v>3483</v>
      </c>
      <c r="E344" s="3" t="s">
        <v>547</v>
      </c>
      <c r="F344" s="5">
        <v>56398156956</v>
      </c>
      <c r="G344" s="5">
        <v>57234837572</v>
      </c>
      <c r="H344" s="5">
        <v>59416979216</v>
      </c>
      <c r="I344" s="5">
        <v>47800759064</v>
      </c>
      <c r="J344" s="5">
        <v>3889122768</v>
      </c>
      <c r="K344" s="5">
        <v>28807396808</v>
      </c>
      <c r="L344" s="5">
        <v>24436936548</v>
      </c>
      <c r="M344" s="5">
        <v>20045892354</v>
      </c>
      <c r="N344" s="5">
        <v>19971209024</v>
      </c>
      <c r="O344" s="5">
        <v>208687780485</v>
      </c>
      <c r="P344" s="5">
        <v>198019254365</v>
      </c>
    </row>
    <row r="345" spans="1:16" x14ac:dyDescent="0.45">
      <c r="A345" s="1" t="s">
        <v>339</v>
      </c>
      <c r="B345" s="2">
        <v>4050911</v>
      </c>
      <c r="C345" s="3" t="s">
        <v>3484</v>
      </c>
      <c r="D345" s="3" t="s">
        <v>3485</v>
      </c>
      <c r="E345" s="3" t="s">
        <v>686</v>
      </c>
      <c r="F345" s="5" t="s">
        <v>3486</v>
      </c>
      <c r="G345" s="5">
        <v>52776776</v>
      </c>
      <c r="H345" s="5" t="s">
        <v>3487</v>
      </c>
      <c r="I345" s="5" t="s">
        <v>3488</v>
      </c>
      <c r="J345" s="5" t="s">
        <v>3489</v>
      </c>
      <c r="K345" s="5">
        <v>40915875</v>
      </c>
      <c r="L345" s="5">
        <v>42532203</v>
      </c>
      <c r="M345" s="5" t="s">
        <v>3490</v>
      </c>
      <c r="N345" s="5" t="s">
        <v>3491</v>
      </c>
      <c r="O345" s="5">
        <v>37958311</v>
      </c>
      <c r="P345" s="5" t="s">
        <v>3492</v>
      </c>
    </row>
    <row r="346" spans="1:16" x14ac:dyDescent="0.45">
      <c r="A346" s="1" t="s">
        <v>340</v>
      </c>
      <c r="B346" s="2">
        <v>103016</v>
      </c>
      <c r="C346" s="3" t="s">
        <v>3493</v>
      </c>
      <c r="D346" s="3" t="s">
        <v>3494</v>
      </c>
      <c r="E346" s="3" t="s">
        <v>2024</v>
      </c>
      <c r="F346" s="5">
        <v>172116680268</v>
      </c>
      <c r="G346" s="5">
        <v>190812907506</v>
      </c>
      <c r="H346" s="5">
        <v>179213977152</v>
      </c>
      <c r="I346" s="5">
        <v>164236936599</v>
      </c>
      <c r="J346" s="5">
        <v>152830324044</v>
      </c>
      <c r="K346" s="5">
        <v>9660026355</v>
      </c>
      <c r="L346" s="5">
        <v>101277471484</v>
      </c>
      <c r="M346" s="5">
        <v>9544751018</v>
      </c>
      <c r="N346" s="5">
        <v>89383524576</v>
      </c>
      <c r="O346" s="5">
        <v>95964691874</v>
      </c>
      <c r="P346" s="5">
        <v>9003307114</v>
      </c>
    </row>
    <row r="347" spans="1:16" x14ac:dyDescent="0.45">
      <c r="A347" s="1" t="s">
        <v>341</v>
      </c>
      <c r="B347" s="2">
        <v>4006246</v>
      </c>
      <c r="C347" s="3" t="s">
        <v>3495</v>
      </c>
      <c r="D347" s="3" t="s">
        <v>3496</v>
      </c>
      <c r="E347" s="3" t="s">
        <v>1656</v>
      </c>
      <c r="F347" s="5">
        <v>153718418691</v>
      </c>
      <c r="G347" s="5">
        <v>167716586817</v>
      </c>
      <c r="H347" s="5">
        <v>14553954135</v>
      </c>
      <c r="I347" s="5">
        <v>138450990855</v>
      </c>
      <c r="J347" s="5">
        <v>117409684383</v>
      </c>
      <c r="K347" s="5">
        <v>9977994615</v>
      </c>
      <c r="L347" s="5">
        <v>95486684867</v>
      </c>
      <c r="M347" s="5">
        <v>88850772384</v>
      </c>
      <c r="N347" s="5">
        <v>80670412872</v>
      </c>
      <c r="O347" s="5" t="s">
        <v>3497</v>
      </c>
      <c r="P347" s="5">
        <v>84611455745</v>
      </c>
    </row>
    <row r="348" spans="1:16" x14ac:dyDescent="0.45">
      <c r="A348" s="1" t="s">
        <v>342</v>
      </c>
      <c r="B348" s="2">
        <v>4062496</v>
      </c>
      <c r="C348" s="3" t="s">
        <v>3498</v>
      </c>
      <c r="D348" s="3" t="s">
        <v>3499</v>
      </c>
      <c r="E348" s="3" t="s">
        <v>556</v>
      </c>
      <c r="F348" s="5" t="s">
        <v>3500</v>
      </c>
      <c r="G348" s="5" t="s">
        <v>3501</v>
      </c>
      <c r="H348" s="5">
        <v>47895936</v>
      </c>
      <c r="I348" s="5">
        <v>50410899</v>
      </c>
      <c r="J348" s="5">
        <v>35218960</v>
      </c>
      <c r="K348" s="5" t="s">
        <v>3502</v>
      </c>
      <c r="L348" s="5" t="s">
        <v>3503</v>
      </c>
      <c r="M348" s="5" t="s">
        <v>3504</v>
      </c>
      <c r="N348" s="5" t="s">
        <v>3505</v>
      </c>
      <c r="O348" s="5" t="s">
        <v>3506</v>
      </c>
      <c r="P348" s="5" t="s">
        <v>3507</v>
      </c>
    </row>
    <row r="349" spans="1:16" x14ac:dyDescent="0.45">
      <c r="A349" s="1" t="s">
        <v>343</v>
      </c>
      <c r="B349" s="2">
        <v>4097102</v>
      </c>
      <c r="C349" s="3" t="s">
        <v>3508</v>
      </c>
      <c r="D349" s="3" t="s">
        <v>3509</v>
      </c>
      <c r="E349" s="3" t="s">
        <v>1500</v>
      </c>
      <c r="F349" s="5">
        <v>212302415817</v>
      </c>
      <c r="G349" s="5">
        <v>180467732146</v>
      </c>
      <c r="H349" s="5">
        <v>146898174575</v>
      </c>
      <c r="I349" s="5">
        <v>125985801309</v>
      </c>
      <c r="J349" s="5">
        <v>113035676877</v>
      </c>
      <c r="K349" s="5" t="s">
        <v>3510</v>
      </c>
      <c r="L349" s="5">
        <v>74243618302</v>
      </c>
      <c r="M349" s="5">
        <v>61799923658</v>
      </c>
      <c r="N349" s="5">
        <v>53966722512</v>
      </c>
      <c r="O349" s="5">
        <v>50719000907</v>
      </c>
      <c r="P349" s="5">
        <v>480036971725</v>
      </c>
    </row>
    <row r="350" spans="1:16" x14ac:dyDescent="0.45">
      <c r="A350" s="1" t="s">
        <v>344</v>
      </c>
      <c r="B350" s="2">
        <v>4070417</v>
      </c>
      <c r="C350" s="3" t="s">
        <v>3511</v>
      </c>
      <c r="D350" s="3" t="s">
        <v>3512</v>
      </c>
      <c r="E350" s="3" t="s">
        <v>1642</v>
      </c>
      <c r="F350" s="5" t="s">
        <v>3513</v>
      </c>
      <c r="G350" s="5" t="s">
        <v>3514</v>
      </c>
      <c r="H350" s="5" t="s">
        <v>3515</v>
      </c>
      <c r="I350" s="5" t="s">
        <v>3516</v>
      </c>
      <c r="J350" s="5" t="s">
        <v>3517</v>
      </c>
      <c r="K350" s="5">
        <v>11466255</v>
      </c>
      <c r="L350" s="5" t="s">
        <v>3518</v>
      </c>
      <c r="M350" s="5" t="s">
        <v>3519</v>
      </c>
      <c r="N350" s="5" t="s">
        <v>3520</v>
      </c>
      <c r="O350" s="5">
        <v>9567730</v>
      </c>
      <c r="P350" s="5" t="s">
        <v>3521</v>
      </c>
    </row>
    <row r="351" spans="1:16" x14ac:dyDescent="0.45">
      <c r="A351" s="1" t="s">
        <v>345</v>
      </c>
      <c r="B351" s="2">
        <v>4157135</v>
      </c>
      <c r="C351" s="3" t="s">
        <v>3522</v>
      </c>
      <c r="D351" s="3" t="s">
        <v>3523</v>
      </c>
      <c r="E351" s="3" t="s">
        <v>2803</v>
      </c>
      <c r="F351" s="5" t="s">
        <v>3524</v>
      </c>
      <c r="G351" s="5" t="s">
        <v>3525</v>
      </c>
      <c r="H351" s="5" t="s">
        <v>3526</v>
      </c>
      <c r="I351" s="5" t="s">
        <v>3527</v>
      </c>
      <c r="J351" s="5" t="s">
        <v>3528</v>
      </c>
      <c r="K351" s="5" t="s">
        <v>3529</v>
      </c>
      <c r="L351" s="5" t="s">
        <v>3530</v>
      </c>
      <c r="M351" s="5" t="s">
        <v>3531</v>
      </c>
      <c r="N351" s="5" t="s">
        <v>3532</v>
      </c>
      <c r="O351" s="5">
        <v>5467838655</v>
      </c>
      <c r="P351" s="5" t="s">
        <v>3533</v>
      </c>
    </row>
    <row r="352" spans="1:16" x14ac:dyDescent="0.45">
      <c r="A352" s="1" t="s">
        <v>346</v>
      </c>
      <c r="B352" s="2">
        <v>102771</v>
      </c>
      <c r="C352" s="3" t="s">
        <v>3534</v>
      </c>
      <c r="D352" s="3" t="s">
        <v>3535</v>
      </c>
      <c r="E352" s="3" t="s">
        <v>2477</v>
      </c>
      <c r="F352" s="5">
        <v>75198429</v>
      </c>
      <c r="G352" s="5" t="s">
        <v>3536</v>
      </c>
      <c r="H352" s="5">
        <v>74034528</v>
      </c>
      <c r="I352" s="5" t="s">
        <v>3537</v>
      </c>
      <c r="J352" s="5" t="s">
        <v>3538</v>
      </c>
      <c r="K352" s="5" t="s">
        <v>3539</v>
      </c>
      <c r="L352" s="5">
        <v>35610993</v>
      </c>
      <c r="M352" s="5" t="s">
        <v>3540</v>
      </c>
      <c r="N352" s="5">
        <v>295148921216</v>
      </c>
      <c r="O352" s="5">
        <v>280123881984</v>
      </c>
      <c r="P352" s="5">
        <v>237166800736</v>
      </c>
    </row>
    <row r="353" spans="1:16" x14ac:dyDescent="0.45">
      <c r="A353" s="1" t="s">
        <v>347</v>
      </c>
      <c r="B353" s="2">
        <v>103118</v>
      </c>
      <c r="C353" s="3" t="s">
        <v>3541</v>
      </c>
      <c r="D353" s="3" t="s">
        <v>3542</v>
      </c>
      <c r="E353" s="3" t="s">
        <v>2059</v>
      </c>
      <c r="F353" s="5">
        <v>620000227404</v>
      </c>
      <c r="G353" s="5">
        <v>664877641701</v>
      </c>
      <c r="H353" s="5">
        <v>522729842779</v>
      </c>
      <c r="I353" s="5">
        <v>464791121844</v>
      </c>
      <c r="J353" s="5">
        <v>379308055086</v>
      </c>
      <c r="K353" s="5">
        <v>169551829875</v>
      </c>
      <c r="L353" s="5">
        <v>165341787156</v>
      </c>
      <c r="M353" s="5">
        <v>133285058522</v>
      </c>
      <c r="N353" s="5">
        <v>117076406448</v>
      </c>
      <c r="O353" s="5">
        <v>124597146983</v>
      </c>
      <c r="P353" s="5">
        <v>1090663271425</v>
      </c>
    </row>
    <row r="354" spans="1:16" x14ac:dyDescent="0.45">
      <c r="A354" s="1" t="s">
        <v>348</v>
      </c>
      <c r="B354" s="2">
        <v>103091</v>
      </c>
      <c r="C354" s="3" t="s">
        <v>3543</v>
      </c>
      <c r="D354" s="3" t="s">
        <v>3544</v>
      </c>
      <c r="E354" s="3" t="s">
        <v>2059</v>
      </c>
      <c r="F354" s="5">
        <v>110731927311</v>
      </c>
      <c r="G354" s="5">
        <v>119693951299</v>
      </c>
      <c r="H354" s="5">
        <v>112426281911</v>
      </c>
      <c r="I354" s="5">
        <v>10161907854</v>
      </c>
      <c r="J354" s="5">
        <v>94899006459</v>
      </c>
      <c r="K354" s="5" t="s">
        <v>3545</v>
      </c>
      <c r="L354" s="5">
        <v>99199506483</v>
      </c>
      <c r="M354" s="5">
        <v>95590686642</v>
      </c>
      <c r="N354" s="5">
        <v>92821531176</v>
      </c>
      <c r="O354" s="5">
        <v>42523406538</v>
      </c>
      <c r="P354" s="5">
        <v>385138768075</v>
      </c>
    </row>
    <row r="355" spans="1:16" x14ac:dyDescent="0.45">
      <c r="A355" s="1" t="s">
        <v>349</v>
      </c>
      <c r="B355" s="2">
        <v>4094029</v>
      </c>
      <c r="C355" s="3" t="s">
        <v>3546</v>
      </c>
      <c r="D355" s="3" t="s">
        <v>3547</v>
      </c>
      <c r="E355" s="3" t="s">
        <v>530</v>
      </c>
      <c r="F355" s="5" t="s">
        <v>3548</v>
      </c>
      <c r="G355" s="5" t="s">
        <v>3549</v>
      </c>
      <c r="H355" s="5" t="s">
        <v>3550</v>
      </c>
      <c r="I355" s="5" t="s">
        <v>3551</v>
      </c>
      <c r="J355" s="5" t="s">
        <v>3552</v>
      </c>
      <c r="K355" s="5" t="s">
        <v>3553</v>
      </c>
      <c r="L355" s="5" t="s">
        <v>3554</v>
      </c>
      <c r="M355" s="5" t="s">
        <v>3555</v>
      </c>
      <c r="N355" s="5" t="s">
        <v>3556</v>
      </c>
      <c r="O355" s="5">
        <v>66059643418</v>
      </c>
      <c r="P355" s="5">
        <v>5164608289</v>
      </c>
    </row>
    <row r="356" spans="1:16" x14ac:dyDescent="0.45">
      <c r="A356" s="1" t="s">
        <v>350</v>
      </c>
      <c r="B356" s="2">
        <v>100233</v>
      </c>
      <c r="C356" s="3" t="s">
        <v>3557</v>
      </c>
      <c r="D356" s="3" t="s">
        <v>3558</v>
      </c>
      <c r="E356" s="3" t="s">
        <v>1004</v>
      </c>
      <c r="F356" s="5" t="s">
        <v>3559</v>
      </c>
      <c r="G356" s="5" t="s">
        <v>3560</v>
      </c>
      <c r="H356" s="5" t="s">
        <v>3561</v>
      </c>
      <c r="I356" s="5">
        <v>145239354</v>
      </c>
      <c r="J356" s="5" t="s">
        <v>3562</v>
      </c>
      <c r="K356" s="5" t="s">
        <v>3563</v>
      </c>
      <c r="L356" s="5">
        <v>112492464</v>
      </c>
      <c r="M356" s="5" t="s">
        <v>3564</v>
      </c>
      <c r="N356" s="5" t="s">
        <v>3565</v>
      </c>
      <c r="O356" s="5" t="s">
        <v>3566</v>
      </c>
      <c r="P356" s="5" t="s">
        <v>3567</v>
      </c>
    </row>
    <row r="357" spans="1:16" x14ac:dyDescent="0.45">
      <c r="A357" s="1" t="s">
        <v>351</v>
      </c>
      <c r="B357" s="2">
        <v>4102003</v>
      </c>
      <c r="C357" s="3" t="s">
        <v>3568</v>
      </c>
      <c r="D357" s="3" t="s">
        <v>3569</v>
      </c>
      <c r="E357" s="3" t="s">
        <v>3570</v>
      </c>
      <c r="F357" s="5" t="s">
        <v>3571</v>
      </c>
      <c r="G357" s="5" t="s">
        <v>3572</v>
      </c>
      <c r="H357" s="5">
        <v>28416627</v>
      </c>
      <c r="I357" s="5" t="s">
        <v>3573</v>
      </c>
      <c r="J357" s="5" t="s">
        <v>3574</v>
      </c>
      <c r="K357" s="5">
        <v>19157295</v>
      </c>
      <c r="L357" s="5" t="s">
        <v>3575</v>
      </c>
      <c r="M357" s="5" t="s">
        <v>3576</v>
      </c>
      <c r="N357" s="5" t="s">
        <v>3577</v>
      </c>
      <c r="O357" s="5" t="s">
        <v>3578</v>
      </c>
      <c r="P357" s="5">
        <v>18908429925</v>
      </c>
    </row>
    <row r="358" spans="1:16" x14ac:dyDescent="0.45">
      <c r="A358" s="1" t="s">
        <v>352</v>
      </c>
      <c r="B358" s="2">
        <v>4811222</v>
      </c>
      <c r="C358" s="3" t="s">
        <v>3579</v>
      </c>
      <c r="D358" s="3" t="s">
        <v>3580</v>
      </c>
      <c r="E358" s="3" t="s">
        <v>518</v>
      </c>
      <c r="F358" s="5">
        <v>69604939365</v>
      </c>
      <c r="G358" s="5">
        <v>64140053202</v>
      </c>
      <c r="H358" s="5">
        <v>6184564528</v>
      </c>
      <c r="I358" s="5">
        <v>48746929798</v>
      </c>
      <c r="J358" s="5">
        <v>3987700625</v>
      </c>
      <c r="K358" s="5">
        <v>40763423136</v>
      </c>
      <c r="L358" s="5">
        <v>36098309416</v>
      </c>
      <c r="M358" s="5">
        <v>26260884033</v>
      </c>
      <c r="N358" s="5">
        <v>30401288555</v>
      </c>
      <c r="O358" s="5">
        <v>293250001725</v>
      </c>
      <c r="P358" s="5">
        <v>19586876085</v>
      </c>
    </row>
    <row r="359" spans="1:16" x14ac:dyDescent="0.45">
      <c r="A359" s="1" t="s">
        <v>353</v>
      </c>
      <c r="B359" s="2">
        <v>4812263</v>
      </c>
      <c r="C359" s="3" t="s">
        <v>3581</v>
      </c>
      <c r="D359" s="3" t="s">
        <v>3582</v>
      </c>
      <c r="E359" s="3" t="s">
        <v>578</v>
      </c>
      <c r="F359" s="5" t="s">
        <v>3583</v>
      </c>
      <c r="G359" s="5">
        <v>118831471542</v>
      </c>
      <c r="H359" s="5">
        <v>122719524255</v>
      </c>
      <c r="I359" s="5">
        <v>132213053235</v>
      </c>
      <c r="J359" s="5">
        <v>131899871322</v>
      </c>
      <c r="K359" s="5">
        <v>6516313859</v>
      </c>
      <c r="L359" s="5">
        <v>58513609236</v>
      </c>
      <c r="M359" s="5">
        <v>52202160192</v>
      </c>
      <c r="N359" s="5">
        <v>50729703864</v>
      </c>
      <c r="O359" s="5">
        <v>40513018059</v>
      </c>
      <c r="P359" s="5">
        <v>383528286225</v>
      </c>
    </row>
    <row r="360" spans="1:16" x14ac:dyDescent="0.45">
      <c r="A360" s="1" t="s">
        <v>354</v>
      </c>
      <c r="B360" s="2">
        <v>4095448</v>
      </c>
      <c r="C360" s="3" t="s">
        <v>3584</v>
      </c>
      <c r="D360" s="3" t="s">
        <v>3585</v>
      </c>
      <c r="E360" s="3" t="s">
        <v>769</v>
      </c>
      <c r="F360" s="5" t="s">
        <v>3586</v>
      </c>
      <c r="G360" s="5" t="s">
        <v>3587</v>
      </c>
      <c r="H360" s="5" t="s">
        <v>3588</v>
      </c>
      <c r="I360" s="5" t="s">
        <v>3589</v>
      </c>
      <c r="J360" s="5" t="s">
        <v>3590</v>
      </c>
      <c r="K360" s="5" t="s">
        <v>3591</v>
      </c>
      <c r="L360" s="5" t="s">
        <v>3592</v>
      </c>
      <c r="M360" s="5" t="s">
        <v>3593</v>
      </c>
      <c r="N360" s="5" t="s">
        <v>3594</v>
      </c>
      <c r="O360" s="5" t="s">
        <v>3595</v>
      </c>
      <c r="P360" s="5">
        <v>5738931435</v>
      </c>
    </row>
    <row r="361" spans="1:16" x14ac:dyDescent="0.45">
      <c r="A361" s="1" t="s">
        <v>355</v>
      </c>
      <c r="B361" s="2">
        <v>4004396</v>
      </c>
      <c r="C361" s="3" t="s">
        <v>3596</v>
      </c>
      <c r="D361" s="3" t="s">
        <v>3597</v>
      </c>
      <c r="E361" s="3" t="s">
        <v>3570</v>
      </c>
      <c r="F361" s="5">
        <v>26747834391</v>
      </c>
      <c r="G361" s="5">
        <v>27235434005</v>
      </c>
      <c r="H361" s="5">
        <v>2348112662</v>
      </c>
      <c r="I361" s="5">
        <v>19855815996</v>
      </c>
      <c r="J361" s="5">
        <v>1777540122</v>
      </c>
      <c r="K361" s="5" t="s">
        <v>3598</v>
      </c>
      <c r="L361" s="5">
        <v>15544134536</v>
      </c>
      <c r="M361" s="5">
        <v>9556079016</v>
      </c>
      <c r="N361" s="5">
        <v>8608345464</v>
      </c>
      <c r="O361" s="5">
        <v>8682364474</v>
      </c>
      <c r="P361" s="5">
        <v>78139540825</v>
      </c>
    </row>
    <row r="362" spans="1:16" x14ac:dyDescent="0.45">
      <c r="A362" s="1" t="s">
        <v>356</v>
      </c>
      <c r="B362" s="2">
        <v>4677071</v>
      </c>
      <c r="C362" s="3" t="s">
        <v>3599</v>
      </c>
      <c r="D362" s="3" t="s">
        <v>3600</v>
      </c>
      <c r="E362" s="3" t="s">
        <v>547</v>
      </c>
      <c r="F362" s="5" t="s">
        <v>3601</v>
      </c>
      <c r="G362" s="5" t="s">
        <v>3602</v>
      </c>
      <c r="H362" s="5" t="s">
        <v>3603</v>
      </c>
      <c r="I362" s="5" t="s">
        <v>3604</v>
      </c>
      <c r="J362" s="5" t="s">
        <v>3605</v>
      </c>
      <c r="K362" s="5">
        <v>19640274</v>
      </c>
      <c r="L362" s="5" t="s">
        <v>3606</v>
      </c>
      <c r="M362" s="5" t="s">
        <v>3607</v>
      </c>
      <c r="N362" s="5" t="s">
        <v>3608</v>
      </c>
      <c r="O362" s="5">
        <v>135700033471</v>
      </c>
      <c r="P362" s="5">
        <v>936252207375</v>
      </c>
    </row>
    <row r="363" spans="1:16" x14ac:dyDescent="0.45">
      <c r="A363" s="1" t="s">
        <v>357</v>
      </c>
      <c r="B363" s="2">
        <v>4070608</v>
      </c>
      <c r="C363" s="3" t="s">
        <v>3609</v>
      </c>
      <c r="D363" s="3" t="s">
        <v>3610</v>
      </c>
      <c r="E363" s="3" t="s">
        <v>3611</v>
      </c>
      <c r="F363" s="5">
        <v>143404199172</v>
      </c>
      <c r="G363" s="5">
        <v>132519110103</v>
      </c>
      <c r="H363" s="5">
        <v>123592457156</v>
      </c>
      <c r="I363" s="5">
        <v>122203053504</v>
      </c>
      <c r="J363" s="5">
        <v>104769788346</v>
      </c>
      <c r="K363" s="5">
        <v>8432227034</v>
      </c>
      <c r="L363" s="5">
        <v>52895774919</v>
      </c>
      <c r="M363" s="5">
        <v>45993845938</v>
      </c>
      <c r="N363" s="5">
        <v>49653050552</v>
      </c>
      <c r="O363" s="5">
        <v>449979632385</v>
      </c>
      <c r="P363" s="5">
        <v>41518379775</v>
      </c>
    </row>
    <row r="364" spans="1:16" x14ac:dyDescent="0.45">
      <c r="A364" s="1" t="s">
        <v>358</v>
      </c>
      <c r="B364" s="2">
        <v>4980858</v>
      </c>
      <c r="C364" s="3" t="s">
        <v>3612</v>
      </c>
      <c r="D364" s="3" t="s">
        <v>3613</v>
      </c>
      <c r="E364" s="3" t="s">
        <v>1103</v>
      </c>
      <c r="F364" s="5" t="s">
        <v>3614</v>
      </c>
      <c r="G364" s="5">
        <v>35805913</v>
      </c>
      <c r="H364" s="5" t="s">
        <v>3615</v>
      </c>
      <c r="I364" s="5" t="s">
        <v>3616</v>
      </c>
      <c r="J364" s="5">
        <v>283647715515</v>
      </c>
      <c r="K364" s="5">
        <v>265402903725</v>
      </c>
      <c r="L364" s="5">
        <v>270184050724</v>
      </c>
      <c r="M364" s="5">
        <v>24191669018</v>
      </c>
      <c r="N364" s="5">
        <v>186221791728</v>
      </c>
      <c r="O364" s="5">
        <v>211345699252</v>
      </c>
      <c r="P364" s="5">
        <v>1913506609225</v>
      </c>
    </row>
    <row r="365" spans="1:16" x14ac:dyDescent="0.45">
      <c r="A365" s="1" t="s">
        <v>359</v>
      </c>
      <c r="B365" s="2">
        <v>4001600</v>
      </c>
      <c r="C365" s="3" t="s">
        <v>3617</v>
      </c>
      <c r="D365" s="3" t="s">
        <v>3618</v>
      </c>
      <c r="E365" s="3" t="s">
        <v>976</v>
      </c>
      <c r="F365" s="5" t="s">
        <v>3619</v>
      </c>
      <c r="G365" s="5" t="s">
        <v>3620</v>
      </c>
      <c r="H365" s="5" t="s">
        <v>3621</v>
      </c>
      <c r="I365" s="5" t="s">
        <v>3622</v>
      </c>
      <c r="J365" s="5" t="s">
        <v>3623</v>
      </c>
      <c r="K365" s="5" t="s">
        <v>3624</v>
      </c>
      <c r="L365" s="5" t="s">
        <v>3625</v>
      </c>
      <c r="M365" s="5" t="s">
        <v>3626</v>
      </c>
      <c r="N365" s="5">
        <v>80714976</v>
      </c>
      <c r="O365" s="5" t="s">
        <v>3627</v>
      </c>
      <c r="P365" s="5">
        <v>80550893</v>
      </c>
    </row>
    <row r="366" spans="1:16" x14ac:dyDescent="0.45">
      <c r="A366" s="1" t="s">
        <v>360</v>
      </c>
      <c r="B366" s="2">
        <v>4023623</v>
      </c>
      <c r="C366" s="3" t="s">
        <v>3628</v>
      </c>
      <c r="D366" s="3" t="s">
        <v>3629</v>
      </c>
      <c r="E366" s="3" t="s">
        <v>2041</v>
      </c>
      <c r="F366" s="5">
        <v>52124040</v>
      </c>
      <c r="G366" s="5" t="s">
        <v>3630</v>
      </c>
      <c r="H366" s="5" t="s">
        <v>3631</v>
      </c>
      <c r="I366" s="5" t="s">
        <v>3632</v>
      </c>
      <c r="J366" s="5" t="s">
        <v>3633</v>
      </c>
      <c r="K366" s="5" t="s">
        <v>3634</v>
      </c>
      <c r="L366" s="5" t="s">
        <v>3635</v>
      </c>
      <c r="M366" s="5" t="s">
        <v>3636</v>
      </c>
      <c r="N366" s="5">
        <v>7849140</v>
      </c>
      <c r="O366" s="5" t="s">
        <v>3637</v>
      </c>
      <c r="P366" s="5" t="s">
        <v>3638</v>
      </c>
    </row>
    <row r="367" spans="1:16" x14ac:dyDescent="0.45">
      <c r="A367" s="1" t="s">
        <v>361</v>
      </c>
      <c r="B367" s="2">
        <v>4205848</v>
      </c>
      <c r="C367" s="3" t="s">
        <v>3639</v>
      </c>
      <c r="D367" s="3" t="s">
        <v>3640</v>
      </c>
      <c r="E367" s="3" t="s">
        <v>547</v>
      </c>
      <c r="F367" s="5" t="s">
        <v>3641</v>
      </c>
      <c r="G367" s="5" t="s">
        <v>3642</v>
      </c>
      <c r="H367" s="5" t="s">
        <v>3643</v>
      </c>
      <c r="I367" s="5" t="s">
        <v>3644</v>
      </c>
      <c r="J367" s="5" t="s">
        <v>3645</v>
      </c>
      <c r="K367" s="5">
        <v>49723652</v>
      </c>
      <c r="L367" s="5">
        <v>26833401</v>
      </c>
      <c r="M367" s="5" t="s">
        <v>3646</v>
      </c>
      <c r="N367" s="5">
        <v>162959481441</v>
      </c>
      <c r="O367" s="5">
        <v>11794852518</v>
      </c>
      <c r="P367" s="5">
        <v>944663624025</v>
      </c>
    </row>
    <row r="368" spans="1:16" x14ac:dyDescent="0.45">
      <c r="A368" s="1" t="s">
        <v>362</v>
      </c>
      <c r="B368" s="2">
        <v>4829067</v>
      </c>
      <c r="C368" s="3" t="s">
        <v>3647</v>
      </c>
      <c r="D368" s="3" t="s">
        <v>3648</v>
      </c>
      <c r="E368" s="3" t="s">
        <v>732</v>
      </c>
      <c r="F368" s="5">
        <v>98584377204</v>
      </c>
      <c r="G368" s="5">
        <v>110280048424</v>
      </c>
      <c r="H368" s="5">
        <v>92084355727</v>
      </c>
      <c r="I368" s="5">
        <v>99044228637</v>
      </c>
      <c r="J368" s="5">
        <v>86186339307</v>
      </c>
      <c r="K368" s="5">
        <v>7486679715</v>
      </c>
      <c r="L368" s="5">
        <v>86970834251</v>
      </c>
      <c r="M368" s="5">
        <v>63004516938</v>
      </c>
      <c r="N368" s="5">
        <v>6096266724</v>
      </c>
      <c r="O368" s="5">
        <v>69730231985</v>
      </c>
      <c r="P368" s="5">
        <v>6733426335</v>
      </c>
    </row>
    <row r="369" spans="1:16" x14ac:dyDescent="0.45">
      <c r="A369" s="1" t="s">
        <v>363</v>
      </c>
      <c r="B369" s="2">
        <v>4794937</v>
      </c>
      <c r="C369" s="3" t="s">
        <v>3649</v>
      </c>
      <c r="D369" s="3" t="s">
        <v>3650</v>
      </c>
      <c r="E369" s="3" t="s">
        <v>832</v>
      </c>
      <c r="F369" s="5" t="s">
        <v>3651</v>
      </c>
      <c r="G369" s="5" t="s">
        <v>3652</v>
      </c>
      <c r="H369" s="5">
        <v>6921296</v>
      </c>
      <c r="I369" s="5" t="s">
        <v>3653</v>
      </c>
      <c r="J369" s="5">
        <v>7325170</v>
      </c>
      <c r="K369" s="5">
        <v>7943235</v>
      </c>
      <c r="L369" s="5">
        <v>7808138</v>
      </c>
      <c r="M369" s="5">
        <v>8065311</v>
      </c>
      <c r="N369" s="5">
        <v>8123402</v>
      </c>
      <c r="O369" s="5" t="s">
        <v>3654</v>
      </c>
      <c r="P369" s="5" t="s">
        <v>3655</v>
      </c>
    </row>
    <row r="370" spans="1:16" x14ac:dyDescent="0.45">
      <c r="A370" s="1" t="s">
        <v>364</v>
      </c>
      <c r="B370" s="2">
        <v>4057062</v>
      </c>
      <c r="C370" s="3" t="s">
        <v>3656</v>
      </c>
      <c r="D370" s="3" t="s">
        <v>3657</v>
      </c>
      <c r="E370" s="3" t="s">
        <v>686</v>
      </c>
      <c r="F370" s="5" t="s">
        <v>3658</v>
      </c>
      <c r="G370" s="5" t="s">
        <v>3659</v>
      </c>
      <c r="H370" s="5" t="s">
        <v>3660</v>
      </c>
      <c r="I370" s="5" t="s">
        <v>3661</v>
      </c>
      <c r="J370" s="5" t="s">
        <v>3662</v>
      </c>
      <c r="K370" s="5" t="s">
        <v>3663</v>
      </c>
      <c r="L370" s="5" t="s">
        <v>3664</v>
      </c>
      <c r="M370" s="5" t="s">
        <v>3665</v>
      </c>
      <c r="N370" s="5" t="s">
        <v>3666</v>
      </c>
      <c r="O370" s="5" t="s">
        <v>3667</v>
      </c>
      <c r="P370" s="5" t="s">
        <v>3668</v>
      </c>
    </row>
    <row r="371" spans="1:16" x14ac:dyDescent="0.45">
      <c r="A371" s="1" t="s">
        <v>365</v>
      </c>
      <c r="B371" s="2">
        <v>4587650</v>
      </c>
      <c r="C371" s="3" t="s">
        <v>3669</v>
      </c>
      <c r="D371" s="3" t="s">
        <v>3670</v>
      </c>
      <c r="E371" s="3" t="s">
        <v>2132</v>
      </c>
      <c r="F371" s="5" t="s">
        <v>3671</v>
      </c>
      <c r="G371" s="5" t="s">
        <v>3672</v>
      </c>
      <c r="H371" s="5" t="s">
        <v>3673</v>
      </c>
      <c r="I371" s="5" t="s">
        <v>3674</v>
      </c>
      <c r="J371" s="5" t="s">
        <v>3675</v>
      </c>
      <c r="K371" s="5" t="s">
        <v>3676</v>
      </c>
      <c r="L371" s="5">
        <v>5366587373</v>
      </c>
      <c r="M371" s="5">
        <v>3388040876</v>
      </c>
      <c r="N371" s="5">
        <v>2956644036</v>
      </c>
      <c r="O371" s="5">
        <v>19265874791</v>
      </c>
      <c r="P371" s="5">
        <v>1663843129</v>
      </c>
    </row>
    <row r="372" spans="1:16" x14ac:dyDescent="0.45">
      <c r="A372" s="1" t="s">
        <v>366</v>
      </c>
      <c r="B372" s="2">
        <v>103117</v>
      </c>
      <c r="C372" s="3" t="s">
        <v>3677</v>
      </c>
      <c r="D372" s="3" t="s">
        <v>3678</v>
      </c>
      <c r="E372" s="3" t="s">
        <v>2059</v>
      </c>
      <c r="F372" s="5">
        <v>345845270922</v>
      </c>
      <c r="G372" s="5">
        <v>313006569369</v>
      </c>
      <c r="H372" s="5">
        <v>310162779265</v>
      </c>
      <c r="I372" s="5">
        <v>308886490818</v>
      </c>
      <c r="J372" s="5">
        <v>297004493547</v>
      </c>
      <c r="K372" s="5">
        <v>28438246605</v>
      </c>
      <c r="L372" s="5">
        <v>27830505493</v>
      </c>
      <c r="M372" s="5">
        <v>268013471682</v>
      </c>
      <c r="N372" s="5">
        <v>268641609264</v>
      </c>
      <c r="O372" s="5">
        <v>294644194394</v>
      </c>
      <c r="P372" s="5">
        <v>281428913265</v>
      </c>
    </row>
    <row r="373" spans="1:16" x14ac:dyDescent="0.45">
      <c r="A373" s="1" t="s">
        <v>367</v>
      </c>
      <c r="B373" s="2">
        <v>4967090</v>
      </c>
      <c r="C373" s="3" t="s">
        <v>3679</v>
      </c>
      <c r="D373" s="3" t="s">
        <v>3680</v>
      </c>
      <c r="E373" s="3" t="s">
        <v>556</v>
      </c>
      <c r="F373" s="5" t="s">
        <v>3681</v>
      </c>
      <c r="G373" s="5" t="s">
        <v>3682</v>
      </c>
      <c r="H373" s="5" t="s">
        <v>3683</v>
      </c>
      <c r="I373" s="5" t="s">
        <v>3684</v>
      </c>
      <c r="J373" s="5" t="s">
        <v>3685</v>
      </c>
      <c r="K373" s="5" t="s">
        <v>3686</v>
      </c>
      <c r="L373" s="5" t="s">
        <v>3687</v>
      </c>
      <c r="M373" s="5" t="s">
        <v>3688</v>
      </c>
      <c r="N373" s="5" t="s">
        <v>3689</v>
      </c>
      <c r="O373" s="5" t="s">
        <v>3690</v>
      </c>
      <c r="P373" s="5" t="s">
        <v>3691</v>
      </c>
    </row>
    <row r="374" spans="1:16" x14ac:dyDescent="0.45">
      <c r="A374" s="1" t="s">
        <v>368</v>
      </c>
      <c r="B374" s="2">
        <v>4011047</v>
      </c>
      <c r="C374" s="3" t="s">
        <v>3692</v>
      </c>
      <c r="D374" s="3" t="s">
        <v>3693</v>
      </c>
      <c r="E374" s="3" t="s">
        <v>979</v>
      </c>
      <c r="F374" s="5" t="s">
        <v>3694</v>
      </c>
      <c r="G374" s="5" t="s">
        <v>3695</v>
      </c>
      <c r="H374" s="5" t="s">
        <v>3696</v>
      </c>
      <c r="I374" s="5" t="s">
        <v>3697</v>
      </c>
      <c r="J374" s="5" t="s">
        <v>3698</v>
      </c>
      <c r="K374" s="5">
        <v>34689795</v>
      </c>
      <c r="L374" s="5" t="s">
        <v>3699</v>
      </c>
      <c r="M374" s="5" t="s">
        <v>3700</v>
      </c>
      <c r="N374" s="5" t="s">
        <v>3701</v>
      </c>
      <c r="O374" s="5" t="s">
        <v>3702</v>
      </c>
      <c r="P374" s="5" t="s">
        <v>3703</v>
      </c>
    </row>
    <row r="375" spans="1:16" x14ac:dyDescent="0.45">
      <c r="A375" s="1" t="s">
        <v>369</v>
      </c>
      <c r="B375" s="2">
        <v>4217596</v>
      </c>
      <c r="C375" s="3" t="s">
        <v>3704</v>
      </c>
      <c r="D375" s="3" t="s">
        <v>3705</v>
      </c>
      <c r="E375" s="3" t="s">
        <v>677</v>
      </c>
      <c r="F375" s="5" t="s">
        <v>3706</v>
      </c>
      <c r="G375" s="5" t="s">
        <v>3707</v>
      </c>
      <c r="H375" s="5" t="s">
        <v>3708</v>
      </c>
      <c r="I375" s="5" t="s">
        <v>3709</v>
      </c>
      <c r="J375" s="5">
        <v>117069999995196</v>
      </c>
      <c r="K375" s="5">
        <v>10290000</v>
      </c>
      <c r="L375" s="5">
        <v>9925000</v>
      </c>
      <c r="M375" s="5">
        <v>9493000</v>
      </c>
      <c r="N375" s="5">
        <v>9005000</v>
      </c>
      <c r="O375" s="5">
        <v>8864000</v>
      </c>
      <c r="P375" s="5">
        <v>8512000</v>
      </c>
    </row>
    <row r="376" spans="1:16" x14ac:dyDescent="0.45">
      <c r="A376" s="1" t="s">
        <v>370</v>
      </c>
      <c r="B376" s="2">
        <v>4007403</v>
      </c>
      <c r="C376" s="3" t="s">
        <v>3710</v>
      </c>
      <c r="D376" s="3" t="s">
        <v>3711</v>
      </c>
      <c r="E376" s="3" t="s">
        <v>1795</v>
      </c>
      <c r="F376" s="5" t="s">
        <v>3712</v>
      </c>
      <c r="G376" s="5" t="s">
        <v>3713</v>
      </c>
      <c r="H376" s="5" t="s">
        <v>3714</v>
      </c>
      <c r="I376" s="5" t="s">
        <v>3715</v>
      </c>
      <c r="J376" s="5" t="s">
        <v>3716</v>
      </c>
      <c r="K376" s="5" t="s">
        <v>3717</v>
      </c>
      <c r="L376" s="5" t="s">
        <v>3718</v>
      </c>
      <c r="M376" s="5" t="s">
        <v>3719</v>
      </c>
      <c r="N376" s="5" t="s">
        <v>3720</v>
      </c>
      <c r="O376" s="5" t="s">
        <v>3721</v>
      </c>
      <c r="P376" s="5">
        <v>3986994105</v>
      </c>
    </row>
    <row r="377" spans="1:16" x14ac:dyDescent="0.45">
      <c r="A377" s="1" t="s">
        <v>371</v>
      </c>
      <c r="B377" s="2">
        <v>4121199</v>
      </c>
      <c r="C377" s="3" t="s">
        <v>3722</v>
      </c>
      <c r="D377" s="3" t="s">
        <v>3723</v>
      </c>
      <c r="E377" s="3" t="s">
        <v>1721</v>
      </c>
      <c r="F377" s="5" t="s">
        <v>3724</v>
      </c>
      <c r="G377" s="5">
        <v>32599125</v>
      </c>
      <c r="H377" s="5" t="s">
        <v>3725</v>
      </c>
      <c r="I377" s="5" t="s">
        <v>3726</v>
      </c>
      <c r="J377" s="5">
        <v>31936176</v>
      </c>
      <c r="K377" s="5">
        <v>28275690</v>
      </c>
      <c r="L377" s="5" t="s">
        <v>3727</v>
      </c>
      <c r="M377" s="5" t="s">
        <v>3728</v>
      </c>
      <c r="N377" s="5">
        <v>20911608</v>
      </c>
      <c r="O377" s="5" t="s">
        <v>3729</v>
      </c>
      <c r="P377" s="5">
        <v>19623024</v>
      </c>
    </row>
    <row r="378" spans="1:16" x14ac:dyDescent="0.45">
      <c r="A378" s="1" t="s">
        <v>372</v>
      </c>
      <c r="B378" s="2">
        <v>4102347</v>
      </c>
      <c r="C378" s="3" t="s">
        <v>3730</v>
      </c>
      <c r="D378" s="3" t="s">
        <v>3731</v>
      </c>
      <c r="E378" s="3" t="s">
        <v>1795</v>
      </c>
      <c r="F378" s="5" t="s">
        <v>3732</v>
      </c>
      <c r="G378" s="5" t="s">
        <v>3733</v>
      </c>
      <c r="H378" s="5" t="s">
        <v>3734</v>
      </c>
      <c r="I378" s="5" t="s">
        <v>3735</v>
      </c>
      <c r="J378" s="5">
        <v>24778674</v>
      </c>
      <c r="K378" s="5" t="s">
        <v>3736</v>
      </c>
      <c r="L378" s="5" t="s">
        <v>3737</v>
      </c>
      <c r="M378" s="5" t="s">
        <v>3738</v>
      </c>
      <c r="N378" s="5" t="s">
        <v>3739</v>
      </c>
      <c r="O378" s="5" t="s">
        <v>3740</v>
      </c>
      <c r="P378" s="5" t="s">
        <v>3741</v>
      </c>
    </row>
    <row r="379" spans="1:16" x14ac:dyDescent="0.45">
      <c r="A379" s="1" t="s">
        <v>373</v>
      </c>
      <c r="B379" s="2">
        <v>4071032</v>
      </c>
      <c r="C379" s="3" t="s">
        <v>3742</v>
      </c>
      <c r="D379" s="3" t="s">
        <v>3743</v>
      </c>
      <c r="E379" s="3" t="s">
        <v>1361</v>
      </c>
      <c r="F379" s="5" t="s">
        <v>3744</v>
      </c>
      <c r="G379" s="5" t="s">
        <v>3745</v>
      </c>
      <c r="H379" s="5" t="s">
        <v>3746</v>
      </c>
      <c r="I379" s="5" t="s">
        <v>3747</v>
      </c>
      <c r="J379" s="5" t="s">
        <v>3748</v>
      </c>
      <c r="K379" s="5" t="s">
        <v>3749</v>
      </c>
      <c r="L379" s="5" t="s">
        <v>3750</v>
      </c>
      <c r="M379" s="5" t="s">
        <v>3751</v>
      </c>
      <c r="N379" s="5" t="s">
        <v>3752</v>
      </c>
      <c r="O379" s="5">
        <v>12733115625</v>
      </c>
      <c r="P379" s="5">
        <v>11080926935</v>
      </c>
    </row>
    <row r="380" spans="1:16" x14ac:dyDescent="0.45">
      <c r="A380" s="1" t="s">
        <v>374</v>
      </c>
      <c r="B380" s="2">
        <v>100447</v>
      </c>
      <c r="C380" s="3" t="s">
        <v>3753</v>
      </c>
      <c r="D380" s="3" t="s">
        <v>3754</v>
      </c>
      <c r="E380" s="3" t="s">
        <v>757</v>
      </c>
      <c r="F380" s="5" t="s">
        <v>3755</v>
      </c>
      <c r="G380" s="5">
        <v>341194516</v>
      </c>
      <c r="H380" s="5" t="s">
        <v>3756</v>
      </c>
      <c r="I380" s="5">
        <v>282066765</v>
      </c>
      <c r="J380" s="5" t="s">
        <v>3757</v>
      </c>
      <c r="K380" s="5">
        <v>257272155</v>
      </c>
      <c r="L380" s="5">
        <v>218863071</v>
      </c>
      <c r="M380" s="5" t="s">
        <v>3758</v>
      </c>
      <c r="N380" s="5">
        <v>198560340</v>
      </c>
      <c r="O380" s="5" t="s">
        <v>3759</v>
      </c>
      <c r="P380" s="5" t="s">
        <v>3760</v>
      </c>
    </row>
    <row r="381" spans="1:16" x14ac:dyDescent="0.45">
      <c r="A381" s="1" t="s">
        <v>375</v>
      </c>
      <c r="B381" s="2">
        <v>4120616</v>
      </c>
      <c r="C381" s="3" t="s">
        <v>3761</v>
      </c>
      <c r="D381" s="3" t="s">
        <v>3762</v>
      </c>
      <c r="E381" s="3" t="s">
        <v>3207</v>
      </c>
      <c r="F381" s="5">
        <v>13984726626</v>
      </c>
      <c r="G381" s="5">
        <v>144259415547</v>
      </c>
      <c r="H381" s="5">
        <v>13487647574</v>
      </c>
      <c r="I381" s="5">
        <v>132494970288</v>
      </c>
      <c r="J381" s="5">
        <v>110187140562</v>
      </c>
      <c r="K381" s="5">
        <v>7574596935</v>
      </c>
      <c r="L381" s="5">
        <v>73745341915</v>
      </c>
      <c r="M381" s="5">
        <v>67282919242</v>
      </c>
      <c r="N381" s="5">
        <v>57094536096</v>
      </c>
      <c r="O381" s="5">
        <v>60852013236</v>
      </c>
      <c r="P381" s="5">
        <v>57105670015</v>
      </c>
    </row>
    <row r="382" spans="1:16" x14ac:dyDescent="0.45">
      <c r="A382" s="1" t="s">
        <v>376</v>
      </c>
      <c r="B382" s="2">
        <v>4810920</v>
      </c>
      <c r="C382" s="3" t="s">
        <v>3763</v>
      </c>
      <c r="D382" s="3" t="s">
        <v>3764</v>
      </c>
      <c r="E382" s="3" t="s">
        <v>518</v>
      </c>
      <c r="F382" s="5">
        <v>93878295372</v>
      </c>
      <c r="G382" s="5">
        <v>102549407493</v>
      </c>
      <c r="H382" s="5">
        <v>99604206156</v>
      </c>
      <c r="I382" s="5">
        <v>102835193188</v>
      </c>
      <c r="J382" s="5">
        <v>5601449292</v>
      </c>
      <c r="K382" s="5" t="s">
        <v>3765</v>
      </c>
      <c r="L382" s="5">
        <v>4520106261</v>
      </c>
      <c r="M382" s="5">
        <v>42211111078</v>
      </c>
      <c r="N382" s="5">
        <v>4605350316</v>
      </c>
      <c r="O382" s="5">
        <v>46944205688</v>
      </c>
      <c r="P382" s="5">
        <v>195226332735</v>
      </c>
    </row>
    <row r="383" spans="1:16" x14ac:dyDescent="0.45">
      <c r="A383" s="1" t="s">
        <v>377</v>
      </c>
      <c r="B383" s="2">
        <v>4321488</v>
      </c>
      <c r="C383" s="3" t="s">
        <v>3766</v>
      </c>
      <c r="D383" s="3" t="s">
        <v>3767</v>
      </c>
      <c r="E383" s="3" t="s">
        <v>518</v>
      </c>
      <c r="F383" s="5" t="s">
        <v>3768</v>
      </c>
      <c r="G383" s="5" t="s">
        <v>3769</v>
      </c>
      <c r="H383" s="5" t="s">
        <v>3770</v>
      </c>
      <c r="I383" s="5" t="s">
        <v>3771</v>
      </c>
      <c r="J383" s="5" t="s">
        <v>3772</v>
      </c>
      <c r="K383" s="5">
        <v>28064775</v>
      </c>
      <c r="L383" s="5" t="s">
        <v>3773</v>
      </c>
      <c r="M383" s="5" t="s">
        <v>3774</v>
      </c>
      <c r="N383" s="5" t="s">
        <v>3775</v>
      </c>
      <c r="O383" s="5" t="s">
        <v>3776</v>
      </c>
      <c r="P383" s="5" t="s">
        <v>3777</v>
      </c>
    </row>
    <row r="384" spans="1:16" x14ac:dyDescent="0.45">
      <c r="A384" s="1" t="s">
        <v>378</v>
      </c>
      <c r="B384" s="2">
        <v>4276821</v>
      </c>
      <c r="C384" s="3" t="s">
        <v>3778</v>
      </c>
      <c r="D384" s="3" t="s">
        <v>3779</v>
      </c>
      <c r="E384" s="3" t="s">
        <v>832</v>
      </c>
      <c r="F384" s="5">
        <v>119366922935</v>
      </c>
      <c r="G384" s="5">
        <v>91706916636</v>
      </c>
      <c r="H384" s="5">
        <v>3366051764</v>
      </c>
      <c r="I384" s="5">
        <v>30659766582</v>
      </c>
      <c r="J384" s="5">
        <v>18908724376</v>
      </c>
      <c r="K384" s="5">
        <v>17049088356</v>
      </c>
      <c r="L384" s="5">
        <v>14786636072</v>
      </c>
      <c r="M384" s="5">
        <v>15166427355</v>
      </c>
      <c r="N384" s="5">
        <v>1328011445</v>
      </c>
      <c r="O384" s="5">
        <v>107287086735</v>
      </c>
      <c r="P384" s="5">
        <v>97837602975</v>
      </c>
    </row>
    <row r="385" spans="1:16" x14ac:dyDescent="0.45">
      <c r="A385" s="1" t="s">
        <v>379</v>
      </c>
      <c r="B385" s="2">
        <v>4389036</v>
      </c>
      <c r="C385" s="3" t="s">
        <v>3780</v>
      </c>
      <c r="D385" s="3" t="s">
        <v>3781</v>
      </c>
      <c r="E385" s="3" t="s">
        <v>1206</v>
      </c>
      <c r="F385" s="5" t="s">
        <v>3782</v>
      </c>
      <c r="G385" s="5" t="s">
        <v>3783</v>
      </c>
      <c r="H385" s="5" t="s">
        <v>3784</v>
      </c>
      <c r="I385" s="5" t="s">
        <v>3785</v>
      </c>
      <c r="J385" s="5" t="s">
        <v>3786</v>
      </c>
      <c r="K385" s="5">
        <v>78437490</v>
      </c>
      <c r="L385" s="5" t="s">
        <v>3787</v>
      </c>
      <c r="M385" s="5" t="s">
        <v>3788</v>
      </c>
      <c r="N385" s="5" t="s">
        <v>3789</v>
      </c>
      <c r="O385" s="5" t="s">
        <v>3790</v>
      </c>
      <c r="P385" s="5" t="s">
        <v>3791</v>
      </c>
    </row>
    <row r="386" spans="1:16" x14ac:dyDescent="0.45">
      <c r="A386" s="1" t="s">
        <v>380</v>
      </c>
      <c r="B386" s="2">
        <v>4089979</v>
      </c>
      <c r="C386" s="3" t="s">
        <v>3792</v>
      </c>
      <c r="D386" s="3" t="s">
        <v>3793</v>
      </c>
      <c r="E386" s="3" t="s">
        <v>547</v>
      </c>
      <c r="F386" s="5">
        <v>41810607687</v>
      </c>
      <c r="G386" s="5">
        <v>12040749681</v>
      </c>
      <c r="H386" s="5">
        <v>97803084915</v>
      </c>
      <c r="I386" s="5">
        <v>95245113831</v>
      </c>
      <c r="J386" s="5">
        <v>7568954448</v>
      </c>
      <c r="K386" s="5">
        <v>68905962022</v>
      </c>
      <c r="L386" s="5">
        <v>5746069036</v>
      </c>
      <c r="M386" s="5">
        <v>5429968029</v>
      </c>
      <c r="N386" s="5">
        <v>4635519626</v>
      </c>
      <c r="O386" s="5">
        <v>4781309026</v>
      </c>
      <c r="P386" s="5">
        <v>457572841215</v>
      </c>
    </row>
    <row r="387" spans="1:16" x14ac:dyDescent="0.45">
      <c r="A387" s="1" t="s">
        <v>381</v>
      </c>
      <c r="B387" s="2">
        <v>4064204</v>
      </c>
      <c r="C387" s="3" t="s">
        <v>3794</v>
      </c>
      <c r="D387" s="3" t="s">
        <v>3795</v>
      </c>
      <c r="E387" s="3" t="s">
        <v>3796</v>
      </c>
      <c r="F387" s="5">
        <v>22851609</v>
      </c>
      <c r="G387" s="5" t="s">
        <v>3797</v>
      </c>
      <c r="H387" s="5">
        <v>20904036</v>
      </c>
      <c r="I387" s="5">
        <v>212331804432</v>
      </c>
      <c r="J387" s="5">
        <v>180815923316</v>
      </c>
      <c r="K387" s="5">
        <v>201866760986</v>
      </c>
      <c r="L387" s="5">
        <v>157889795336</v>
      </c>
      <c r="M387" s="5">
        <v>154881432684</v>
      </c>
      <c r="N387" s="5">
        <v>155637081075</v>
      </c>
      <c r="O387" s="5">
        <v>150053108194</v>
      </c>
      <c r="P387" s="5">
        <v>1612649095245</v>
      </c>
    </row>
    <row r="388" spans="1:16" x14ac:dyDescent="0.45">
      <c r="A388" s="1" t="s">
        <v>382</v>
      </c>
      <c r="B388" s="2">
        <v>4091145</v>
      </c>
      <c r="C388" s="3" t="s">
        <v>3798</v>
      </c>
      <c r="D388" s="3" t="s">
        <v>3799</v>
      </c>
      <c r="E388" s="3" t="s">
        <v>3800</v>
      </c>
      <c r="F388" s="5" t="s">
        <v>3801</v>
      </c>
      <c r="G388" s="5" t="s">
        <v>3802</v>
      </c>
      <c r="H388" s="5" t="s">
        <v>3803</v>
      </c>
      <c r="I388" s="5" t="s">
        <v>3804</v>
      </c>
      <c r="J388" s="5" t="s">
        <v>3805</v>
      </c>
      <c r="K388" s="5">
        <v>163632435</v>
      </c>
      <c r="L388" s="5" t="s">
        <v>3806</v>
      </c>
      <c r="M388" s="5" t="s">
        <v>3807</v>
      </c>
      <c r="N388" s="5" t="s">
        <v>3808</v>
      </c>
      <c r="O388" s="5" t="s">
        <v>3809</v>
      </c>
      <c r="P388" s="5" t="s">
        <v>3810</v>
      </c>
    </row>
    <row r="389" spans="1:16" x14ac:dyDescent="0.45">
      <c r="A389" s="1" t="s">
        <v>383</v>
      </c>
      <c r="B389" s="2">
        <v>4055767</v>
      </c>
      <c r="C389" s="3" t="s">
        <v>3811</v>
      </c>
      <c r="D389" s="3" t="s">
        <v>3812</v>
      </c>
      <c r="E389" s="3" t="s">
        <v>757</v>
      </c>
      <c r="F389" s="5" t="s">
        <v>3813</v>
      </c>
      <c r="G389" s="5" t="s">
        <v>3814</v>
      </c>
      <c r="H389" s="5" t="s">
        <v>3815</v>
      </c>
      <c r="I389" s="5" t="s">
        <v>3816</v>
      </c>
      <c r="J389" s="5" t="s">
        <v>3817</v>
      </c>
      <c r="K389" s="5" t="s">
        <v>3818</v>
      </c>
      <c r="L389" s="5" t="s">
        <v>3819</v>
      </c>
      <c r="M389" s="5" t="s">
        <v>3820</v>
      </c>
      <c r="N389" s="5" t="s">
        <v>3821</v>
      </c>
      <c r="O389" s="5" t="s">
        <v>3822</v>
      </c>
      <c r="P389" s="5">
        <v>4702178175</v>
      </c>
    </row>
    <row r="390" spans="1:16" x14ac:dyDescent="0.45">
      <c r="A390" s="1" t="s">
        <v>384</v>
      </c>
      <c r="B390" s="2">
        <v>4965854</v>
      </c>
      <c r="C390" s="3" t="s">
        <v>3823</v>
      </c>
      <c r="D390" s="3" t="s">
        <v>3824</v>
      </c>
      <c r="E390" s="3" t="s">
        <v>1887</v>
      </c>
      <c r="F390" s="5" t="s">
        <v>3825</v>
      </c>
      <c r="G390" s="5" t="s">
        <v>3826</v>
      </c>
      <c r="H390" s="5" t="s">
        <v>3827</v>
      </c>
      <c r="I390" s="5" t="s">
        <v>3828</v>
      </c>
      <c r="J390" s="5">
        <v>5136041736</v>
      </c>
      <c r="K390" s="5" t="s">
        <v>3829</v>
      </c>
      <c r="L390" s="5">
        <v>3780570915</v>
      </c>
      <c r="M390" s="5">
        <v>30340055397</v>
      </c>
      <c r="N390" s="5">
        <v>29450888208</v>
      </c>
      <c r="O390" s="5">
        <v>227439271985</v>
      </c>
      <c r="P390" s="5">
        <v>207400175205</v>
      </c>
    </row>
    <row r="391" spans="1:16" x14ac:dyDescent="0.45">
      <c r="A391" s="1" t="s">
        <v>385</v>
      </c>
      <c r="B391" s="2">
        <v>4112718</v>
      </c>
      <c r="C391" s="3" t="s">
        <v>3830</v>
      </c>
      <c r="D391" s="3" t="s">
        <v>3831</v>
      </c>
      <c r="E391" s="3" t="s">
        <v>2803</v>
      </c>
      <c r="F391" s="5" t="s">
        <v>3832</v>
      </c>
      <c r="G391" s="5" t="s">
        <v>3833</v>
      </c>
      <c r="H391" s="5" t="s">
        <v>3834</v>
      </c>
      <c r="I391" s="5" t="s">
        <v>3835</v>
      </c>
      <c r="J391" s="5" t="s">
        <v>3836</v>
      </c>
      <c r="K391" s="5" t="s">
        <v>3837</v>
      </c>
      <c r="L391" s="5" t="s">
        <v>3838</v>
      </c>
      <c r="M391" s="5" t="s">
        <v>3839</v>
      </c>
      <c r="N391" s="5" t="s">
        <v>3840</v>
      </c>
      <c r="O391" s="5">
        <v>4390464345</v>
      </c>
      <c r="P391" s="5">
        <v>4183642505</v>
      </c>
    </row>
    <row r="392" spans="1:16" x14ac:dyDescent="0.45">
      <c r="A392" s="1" t="s">
        <v>386</v>
      </c>
      <c r="B392" s="2">
        <v>4276678</v>
      </c>
      <c r="C392" s="3" t="s">
        <v>3841</v>
      </c>
      <c r="D392" s="3" t="s">
        <v>3842</v>
      </c>
      <c r="E392" s="3" t="s">
        <v>2682</v>
      </c>
      <c r="F392" s="5" t="s">
        <v>3843</v>
      </c>
      <c r="G392" s="5" t="s">
        <v>3844</v>
      </c>
      <c r="H392" s="5" t="s">
        <v>3845</v>
      </c>
      <c r="I392" s="5">
        <v>18302292</v>
      </c>
      <c r="J392" s="5" t="s">
        <v>3846</v>
      </c>
      <c r="K392" s="5" t="s">
        <v>3847</v>
      </c>
      <c r="L392" s="5" t="s">
        <v>3848</v>
      </c>
      <c r="M392" s="5" t="s">
        <v>3849</v>
      </c>
      <c r="N392" s="5" t="s">
        <v>3850</v>
      </c>
      <c r="O392" s="5" t="s">
        <v>3851</v>
      </c>
      <c r="P392" s="5" t="s">
        <v>3852</v>
      </c>
    </row>
    <row r="393" spans="1:16" x14ac:dyDescent="0.45">
      <c r="A393" s="1" t="s">
        <v>387</v>
      </c>
      <c r="B393" s="2">
        <v>4094305</v>
      </c>
      <c r="C393" s="3" t="s">
        <v>3853</v>
      </c>
      <c r="D393" s="3" t="s">
        <v>3854</v>
      </c>
      <c r="E393" s="3" t="s">
        <v>1584</v>
      </c>
      <c r="F393" s="5" t="s">
        <v>3855</v>
      </c>
      <c r="G393" s="5" t="s">
        <v>3856</v>
      </c>
      <c r="H393" s="5">
        <v>49132202</v>
      </c>
      <c r="I393" s="5" t="s">
        <v>3857</v>
      </c>
      <c r="J393" s="5" t="s">
        <v>3858</v>
      </c>
      <c r="K393" s="5">
        <v>38586658</v>
      </c>
      <c r="L393" s="5">
        <v>35959461</v>
      </c>
      <c r="M393" s="5" t="s">
        <v>3859</v>
      </c>
      <c r="N393" s="5" t="s">
        <v>3860</v>
      </c>
      <c r="O393" s="5" t="s">
        <v>3861</v>
      </c>
      <c r="P393" s="5">
        <v>36468099</v>
      </c>
    </row>
    <row r="394" spans="1:16" x14ac:dyDescent="0.45">
      <c r="A394" s="1" t="s">
        <v>388</v>
      </c>
      <c r="B394" s="2">
        <v>4558889</v>
      </c>
      <c r="C394" s="3" t="s">
        <v>3862</v>
      </c>
      <c r="D394" s="3" t="s">
        <v>3863</v>
      </c>
      <c r="E394" s="3" t="s">
        <v>2587</v>
      </c>
      <c r="F394" s="5" t="s">
        <v>3864</v>
      </c>
      <c r="G394" s="5" t="s">
        <v>3865</v>
      </c>
      <c r="H394" s="5" t="s">
        <v>3866</v>
      </c>
      <c r="I394" s="5" t="s">
        <v>3867</v>
      </c>
      <c r="J394" s="5">
        <v>18328548</v>
      </c>
      <c r="K394" s="5" t="s">
        <v>3868</v>
      </c>
      <c r="L394" s="5" t="s">
        <v>3869</v>
      </c>
      <c r="M394" s="5" t="s">
        <v>3870</v>
      </c>
      <c r="N394" s="5" t="s">
        <v>3871</v>
      </c>
      <c r="O394" s="5" t="s">
        <v>3872</v>
      </c>
      <c r="P394" s="5" t="s">
        <v>3873</v>
      </c>
    </row>
    <row r="395" spans="1:16" x14ac:dyDescent="0.45">
      <c r="A395" s="1" t="s">
        <v>389</v>
      </c>
      <c r="B395" s="2">
        <v>4987124</v>
      </c>
      <c r="C395" s="3" t="s">
        <v>3874</v>
      </c>
      <c r="D395" s="3" t="s">
        <v>3875</v>
      </c>
      <c r="E395" s="3" t="s">
        <v>2656</v>
      </c>
      <c r="F395" s="5">
        <v>12992505</v>
      </c>
      <c r="G395" s="5" t="s">
        <v>3876</v>
      </c>
      <c r="H395" s="5" t="s">
        <v>3877</v>
      </c>
      <c r="I395" s="5" t="s">
        <v>3878</v>
      </c>
      <c r="J395" s="5" t="s">
        <v>3879</v>
      </c>
      <c r="K395" s="5" t="s">
        <v>3880</v>
      </c>
      <c r="L395" s="5" t="s">
        <v>3881</v>
      </c>
      <c r="M395" s="5" t="s">
        <v>3882</v>
      </c>
      <c r="N395" s="5" t="s">
        <v>3883</v>
      </c>
      <c r="O395" s="5" t="s">
        <v>3884</v>
      </c>
      <c r="P395" s="5">
        <v>2501226405</v>
      </c>
    </row>
    <row r="396" spans="1:16" x14ac:dyDescent="0.45">
      <c r="A396" s="1" t="s">
        <v>390</v>
      </c>
      <c r="B396" s="2">
        <v>4071231</v>
      </c>
      <c r="C396" s="3" t="s">
        <v>3885</v>
      </c>
      <c r="D396" s="3" t="s">
        <v>3886</v>
      </c>
      <c r="E396" s="3" t="s">
        <v>844</v>
      </c>
      <c r="F396" s="5">
        <v>35631712683</v>
      </c>
      <c r="G396" s="5">
        <v>35822468526</v>
      </c>
      <c r="H396" s="5">
        <v>31545296728</v>
      </c>
      <c r="I396" s="5">
        <v>32761214964</v>
      </c>
      <c r="J396" s="5">
        <v>33496274025</v>
      </c>
      <c r="K396" s="5">
        <v>2985792855</v>
      </c>
      <c r="L396" s="5">
        <v>24835081754</v>
      </c>
      <c r="M396" s="5">
        <v>23639496804</v>
      </c>
      <c r="N396" s="5">
        <v>2589629076</v>
      </c>
      <c r="O396" s="5">
        <v>26169096189</v>
      </c>
      <c r="P396" s="5">
        <v>23466915855</v>
      </c>
    </row>
    <row r="397" spans="1:16" x14ac:dyDescent="0.45">
      <c r="A397" s="1" t="s">
        <v>391</v>
      </c>
      <c r="B397" s="2">
        <v>4574287</v>
      </c>
      <c r="C397" s="3" t="s">
        <v>3887</v>
      </c>
      <c r="D397" s="3" t="s">
        <v>3888</v>
      </c>
      <c r="E397" s="3" t="s">
        <v>2121</v>
      </c>
      <c r="F397" s="5" t="s">
        <v>3889</v>
      </c>
      <c r="G397" s="5">
        <v>117907413</v>
      </c>
      <c r="H397" s="5" t="s">
        <v>3890</v>
      </c>
      <c r="I397" s="5" t="s">
        <v>3891</v>
      </c>
      <c r="J397" s="5" t="s">
        <v>3892</v>
      </c>
      <c r="K397" s="5">
        <v>42630990</v>
      </c>
      <c r="L397" s="5" t="s">
        <v>3893</v>
      </c>
      <c r="M397" s="5">
        <v>25974916</v>
      </c>
      <c r="N397" s="5">
        <v>238641938016</v>
      </c>
      <c r="O397" s="5">
        <v>214696791948</v>
      </c>
      <c r="P397" s="5">
        <v>742855483425</v>
      </c>
    </row>
    <row r="398" spans="1:16" x14ac:dyDescent="0.45">
      <c r="A398" s="1" t="s">
        <v>392</v>
      </c>
      <c r="B398" s="2">
        <v>4112734</v>
      </c>
      <c r="C398" s="3" t="s">
        <v>3894</v>
      </c>
      <c r="D398" s="3" t="s">
        <v>3895</v>
      </c>
      <c r="E398" s="3" t="s">
        <v>556</v>
      </c>
      <c r="F398" s="5" t="s">
        <v>3896</v>
      </c>
      <c r="G398" s="5" t="s">
        <v>3897</v>
      </c>
      <c r="H398" s="5" t="s">
        <v>3898</v>
      </c>
      <c r="I398" s="5" t="s">
        <v>3899</v>
      </c>
      <c r="J398" s="5" t="s">
        <v>3900</v>
      </c>
      <c r="K398" s="5" t="s">
        <v>3901</v>
      </c>
      <c r="L398" s="5" t="s">
        <v>3902</v>
      </c>
      <c r="M398" s="5" t="s">
        <v>3903</v>
      </c>
      <c r="N398" s="5" t="s">
        <v>3904</v>
      </c>
      <c r="O398" s="5" t="s">
        <v>3905</v>
      </c>
      <c r="P398" s="5" t="s">
        <v>3906</v>
      </c>
    </row>
    <row r="399" spans="1:16" x14ac:dyDescent="0.45">
      <c r="A399" s="1" t="s">
        <v>393</v>
      </c>
      <c r="B399" s="2">
        <v>4783703</v>
      </c>
      <c r="C399" s="3" t="s">
        <v>3907</v>
      </c>
      <c r="D399" s="3" t="s">
        <v>3908</v>
      </c>
      <c r="E399" s="3" t="s">
        <v>813</v>
      </c>
      <c r="F399" s="5">
        <v>13825458726</v>
      </c>
      <c r="G399" s="5">
        <v>1205462518</v>
      </c>
      <c r="H399" s="5">
        <v>10461932706</v>
      </c>
      <c r="I399" s="5">
        <v>8210084439</v>
      </c>
      <c r="J399" s="5">
        <v>6718414752</v>
      </c>
      <c r="K399" s="5">
        <v>4673116125</v>
      </c>
      <c r="L399" s="5">
        <v>5330346336</v>
      </c>
      <c r="M399" s="5">
        <v>248984505</v>
      </c>
      <c r="N399" s="5">
        <v>99965148</v>
      </c>
      <c r="O399" s="5">
        <v>591626742</v>
      </c>
      <c r="P399" s="5">
        <v>4643852805875</v>
      </c>
    </row>
    <row r="400" spans="1:16" x14ac:dyDescent="0.45">
      <c r="A400" s="1" t="s">
        <v>394</v>
      </c>
      <c r="B400" s="2">
        <v>3002287</v>
      </c>
      <c r="C400" s="3" t="s">
        <v>3909</v>
      </c>
      <c r="D400" s="3" t="s">
        <v>3910</v>
      </c>
      <c r="E400" s="3" t="s">
        <v>976</v>
      </c>
      <c r="F400" s="5" t="s">
        <v>3911</v>
      </c>
      <c r="G400" s="5" t="s">
        <v>3912</v>
      </c>
      <c r="H400" s="5" t="s">
        <v>3913</v>
      </c>
      <c r="I400" s="5" t="s">
        <v>3914</v>
      </c>
      <c r="J400" s="5" t="s">
        <v>3915</v>
      </c>
      <c r="K400" s="5" t="s">
        <v>3916</v>
      </c>
      <c r="L400" s="5">
        <v>13441110</v>
      </c>
      <c r="M400" s="5" t="s">
        <v>3917</v>
      </c>
      <c r="N400" s="5">
        <v>12775152</v>
      </c>
      <c r="O400" s="5" t="s">
        <v>3918</v>
      </c>
      <c r="P400" s="5" t="s">
        <v>3919</v>
      </c>
    </row>
    <row r="401" spans="1:16" x14ac:dyDescent="0.45">
      <c r="A401" s="1" t="s">
        <v>395</v>
      </c>
      <c r="B401" s="2">
        <v>4055465</v>
      </c>
      <c r="C401" s="3" t="s">
        <v>3920</v>
      </c>
      <c r="D401" s="3" t="s">
        <v>3921</v>
      </c>
      <c r="E401" s="3" t="s">
        <v>3922</v>
      </c>
      <c r="F401" s="5" t="s">
        <v>3923</v>
      </c>
      <c r="G401" s="5" t="s">
        <v>3924</v>
      </c>
      <c r="H401" s="5" t="s">
        <v>3925</v>
      </c>
      <c r="I401" s="5" t="s">
        <v>3926</v>
      </c>
      <c r="J401" s="5" t="s">
        <v>3927</v>
      </c>
      <c r="K401" s="5" t="s">
        <v>3928</v>
      </c>
      <c r="L401" s="5" t="s">
        <v>3929</v>
      </c>
      <c r="M401" s="5" t="s">
        <v>3930</v>
      </c>
      <c r="N401" s="5" t="s">
        <v>3931</v>
      </c>
      <c r="O401" s="5" t="s">
        <v>3932</v>
      </c>
      <c r="P401" s="5" t="s">
        <v>3933</v>
      </c>
    </row>
    <row r="402" spans="1:16" x14ac:dyDescent="0.45">
      <c r="A402" s="1" t="s">
        <v>396</v>
      </c>
      <c r="B402" s="2">
        <v>103247</v>
      </c>
      <c r="C402" s="3" t="s">
        <v>3934</v>
      </c>
      <c r="D402" s="3" t="s">
        <v>3935</v>
      </c>
      <c r="E402" s="3" t="s">
        <v>718</v>
      </c>
      <c r="F402" s="5" t="s">
        <v>3936</v>
      </c>
      <c r="G402" s="5" t="s">
        <v>3937</v>
      </c>
      <c r="H402" s="5" t="s">
        <v>3938</v>
      </c>
      <c r="I402" s="5" t="s">
        <v>3939</v>
      </c>
      <c r="J402" s="5">
        <v>87437592</v>
      </c>
      <c r="K402" s="5" t="s">
        <v>3940</v>
      </c>
      <c r="L402" s="5">
        <v>106887445</v>
      </c>
      <c r="M402" s="5" t="s">
        <v>3941</v>
      </c>
      <c r="N402" s="5" t="s">
        <v>3942</v>
      </c>
      <c r="O402" s="5">
        <v>102886253</v>
      </c>
      <c r="P402" s="5">
        <v>96362012</v>
      </c>
    </row>
    <row r="403" spans="1:16" x14ac:dyDescent="0.45">
      <c r="A403" s="1" t="s">
        <v>397</v>
      </c>
      <c r="B403" s="2">
        <v>100144</v>
      </c>
      <c r="C403" s="3" t="s">
        <v>3943</v>
      </c>
      <c r="D403" s="3" t="s">
        <v>3944</v>
      </c>
      <c r="E403" s="3" t="s">
        <v>757</v>
      </c>
      <c r="F403" s="5">
        <v>402257910</v>
      </c>
      <c r="G403" s="5" t="s">
        <v>3945</v>
      </c>
      <c r="H403" s="5" t="s">
        <v>3946</v>
      </c>
      <c r="I403" s="5" t="s">
        <v>3947</v>
      </c>
      <c r="J403" s="5" t="s">
        <v>3948</v>
      </c>
      <c r="K403" s="5" t="s">
        <v>3949</v>
      </c>
      <c r="L403" s="5" t="s">
        <v>3950</v>
      </c>
      <c r="M403" s="5" t="s">
        <v>3951</v>
      </c>
      <c r="N403" s="5" t="s">
        <v>3952</v>
      </c>
      <c r="O403" s="5" t="s">
        <v>3953</v>
      </c>
      <c r="P403" s="5">
        <v>362572935</v>
      </c>
    </row>
    <row r="404" spans="1:16" x14ac:dyDescent="0.45">
      <c r="A404" s="1" t="s">
        <v>398</v>
      </c>
      <c r="B404" s="2">
        <v>4004086</v>
      </c>
      <c r="C404" s="3" t="s">
        <v>3954</v>
      </c>
      <c r="D404" s="3" t="s">
        <v>3955</v>
      </c>
      <c r="E404" s="3" t="s">
        <v>976</v>
      </c>
      <c r="F404" s="5" t="s">
        <v>3956</v>
      </c>
      <c r="G404" s="5" t="s">
        <v>3957</v>
      </c>
      <c r="H404" s="5" t="s">
        <v>3958</v>
      </c>
      <c r="I404" s="5">
        <v>128284470</v>
      </c>
      <c r="J404" s="5" t="s">
        <v>3959</v>
      </c>
      <c r="K404" s="5">
        <v>124371180</v>
      </c>
      <c r="L404" s="5" t="s">
        <v>3960</v>
      </c>
      <c r="M404" s="5" t="s">
        <v>3961</v>
      </c>
      <c r="N404" s="5" t="s">
        <v>3962</v>
      </c>
      <c r="O404" s="5" t="s">
        <v>3963</v>
      </c>
      <c r="P404" s="5">
        <v>86926166</v>
      </c>
    </row>
    <row r="405" spans="1:16" x14ac:dyDescent="0.45">
      <c r="A405" s="1" t="s">
        <v>399</v>
      </c>
      <c r="B405" s="2">
        <v>4133211</v>
      </c>
      <c r="C405" s="3" t="s">
        <v>3964</v>
      </c>
      <c r="D405" s="3" t="s">
        <v>3965</v>
      </c>
      <c r="E405" s="3" t="s">
        <v>1503</v>
      </c>
      <c r="F405" s="5" t="s">
        <v>3966</v>
      </c>
      <c r="G405" s="5" t="s">
        <v>3967</v>
      </c>
      <c r="H405" s="5" t="s">
        <v>3968</v>
      </c>
      <c r="I405" s="5" t="s">
        <v>3969</v>
      </c>
      <c r="J405" s="5">
        <v>9891762</v>
      </c>
      <c r="K405" s="5" t="s">
        <v>3970</v>
      </c>
      <c r="L405" s="5" t="s">
        <v>3971</v>
      </c>
      <c r="M405" s="5" t="s">
        <v>3972</v>
      </c>
      <c r="N405" s="5" t="s">
        <v>3973</v>
      </c>
      <c r="O405" s="5" t="s">
        <v>3974</v>
      </c>
      <c r="P405" s="5" t="s">
        <v>3975</v>
      </c>
    </row>
    <row r="406" spans="1:16" x14ac:dyDescent="0.45">
      <c r="A406" s="1" t="s">
        <v>400</v>
      </c>
      <c r="B406" s="2">
        <v>102775</v>
      </c>
      <c r="C406" s="3" t="s">
        <v>3976</v>
      </c>
      <c r="D406" s="3" t="s">
        <v>3977</v>
      </c>
      <c r="E406" s="3" t="s">
        <v>2477</v>
      </c>
      <c r="F406" s="5" t="s">
        <v>3978</v>
      </c>
      <c r="G406" s="5" t="s">
        <v>3979</v>
      </c>
      <c r="H406" s="5" t="s">
        <v>3980</v>
      </c>
      <c r="I406" s="5" t="s">
        <v>3981</v>
      </c>
      <c r="J406" s="5">
        <v>586730511</v>
      </c>
      <c r="K406" s="5" t="s">
        <v>3982</v>
      </c>
      <c r="L406" s="5" t="s">
        <v>3983</v>
      </c>
      <c r="M406" s="5" t="s">
        <v>3984</v>
      </c>
      <c r="N406" s="5" t="s">
        <v>3985</v>
      </c>
      <c r="O406" s="5" t="s">
        <v>3986</v>
      </c>
      <c r="P406" s="5" t="s">
        <v>3987</v>
      </c>
    </row>
    <row r="407" spans="1:16" x14ac:dyDescent="0.45">
      <c r="A407" s="1" t="s">
        <v>401</v>
      </c>
      <c r="B407" s="2">
        <v>103339</v>
      </c>
      <c r="C407" s="3" t="s">
        <v>3988</v>
      </c>
      <c r="D407" s="3" t="s">
        <v>3989</v>
      </c>
      <c r="E407" s="3" t="s">
        <v>1296</v>
      </c>
      <c r="F407" s="5" t="s">
        <v>3990</v>
      </c>
      <c r="G407" s="5" t="s">
        <v>3991</v>
      </c>
      <c r="H407" s="5" t="s">
        <v>3992</v>
      </c>
      <c r="I407" s="5" t="s">
        <v>3993</v>
      </c>
      <c r="J407" s="5" t="s">
        <v>3994</v>
      </c>
      <c r="K407" s="5" t="s">
        <v>3995</v>
      </c>
      <c r="L407" s="5" t="s">
        <v>3996</v>
      </c>
      <c r="M407" s="5" t="s">
        <v>3997</v>
      </c>
      <c r="N407" s="5" t="s">
        <v>3998</v>
      </c>
      <c r="O407" s="5">
        <v>56231728</v>
      </c>
      <c r="P407" s="5">
        <v>52563776</v>
      </c>
    </row>
    <row r="408" spans="1:16" x14ac:dyDescent="0.45">
      <c r="A408" s="1" t="s">
        <v>402</v>
      </c>
      <c r="B408" s="2">
        <v>4091914</v>
      </c>
      <c r="C408" s="3" t="s">
        <v>3999</v>
      </c>
      <c r="D408" s="3" t="s">
        <v>4000</v>
      </c>
      <c r="E408" s="3" t="s">
        <v>1377</v>
      </c>
      <c r="F408" s="5" t="s">
        <v>4001</v>
      </c>
      <c r="G408" s="5" t="s">
        <v>4002</v>
      </c>
      <c r="H408" s="5">
        <v>5445620</v>
      </c>
      <c r="I408" s="5" t="s">
        <v>4003</v>
      </c>
      <c r="J408" s="5" t="s">
        <v>4004</v>
      </c>
      <c r="K408" s="5" t="s">
        <v>4005</v>
      </c>
      <c r="L408" s="5" t="s">
        <v>4006</v>
      </c>
      <c r="M408" s="5">
        <v>4336926</v>
      </c>
      <c r="N408" s="5" t="s">
        <v>4007</v>
      </c>
      <c r="O408" s="5" t="s">
        <v>4008</v>
      </c>
      <c r="P408" s="5">
        <v>3738231</v>
      </c>
    </row>
    <row r="409" spans="1:16" x14ac:dyDescent="0.45">
      <c r="A409" s="1" t="s">
        <v>403</v>
      </c>
      <c r="B409" s="2">
        <v>4202062</v>
      </c>
      <c r="C409" s="3" t="s">
        <v>4009</v>
      </c>
      <c r="D409" s="3" t="s">
        <v>4010</v>
      </c>
      <c r="E409" s="3" t="s">
        <v>2634</v>
      </c>
      <c r="F409" s="5" t="s">
        <v>4011</v>
      </c>
      <c r="G409" s="5" t="s">
        <v>4012</v>
      </c>
      <c r="H409" s="5" t="s">
        <v>4013</v>
      </c>
      <c r="I409" s="5" t="s">
        <v>4014</v>
      </c>
      <c r="J409" s="5" t="s">
        <v>4015</v>
      </c>
      <c r="K409" s="5">
        <v>71364480</v>
      </c>
      <c r="L409" s="5" t="s">
        <v>4016</v>
      </c>
      <c r="M409" s="5" t="s">
        <v>4017</v>
      </c>
      <c r="N409" s="5" t="s">
        <v>4018</v>
      </c>
      <c r="O409" s="5">
        <v>82670871</v>
      </c>
      <c r="P409" s="5">
        <v>82863817</v>
      </c>
    </row>
    <row r="410" spans="1:16" x14ac:dyDescent="0.45">
      <c r="A410" s="1" t="s">
        <v>404</v>
      </c>
      <c r="B410" s="2">
        <v>4578418</v>
      </c>
      <c r="C410" s="3" t="s">
        <v>4019</v>
      </c>
      <c r="D410" s="3" t="s">
        <v>4020</v>
      </c>
      <c r="E410" s="3" t="s">
        <v>610</v>
      </c>
      <c r="F410" s="5" t="s">
        <v>4021</v>
      </c>
      <c r="G410" s="5" t="s">
        <v>4022</v>
      </c>
      <c r="H410" s="5" t="s">
        <v>4023</v>
      </c>
      <c r="I410" s="5" t="s">
        <v>4024</v>
      </c>
      <c r="J410" s="5" t="s">
        <v>4025</v>
      </c>
      <c r="K410" s="5" t="s">
        <v>4026</v>
      </c>
      <c r="L410" s="5" t="s">
        <v>4027</v>
      </c>
      <c r="M410" s="5" t="s">
        <v>4028</v>
      </c>
      <c r="N410" s="5" t="s">
        <v>4029</v>
      </c>
      <c r="O410" s="5" t="s">
        <v>4030</v>
      </c>
      <c r="P410" s="5">
        <v>40444276684</v>
      </c>
    </row>
    <row r="411" spans="1:16" x14ac:dyDescent="0.45">
      <c r="A411" s="1" t="s">
        <v>405</v>
      </c>
      <c r="B411" s="2">
        <v>4913043</v>
      </c>
      <c r="C411" s="3" t="s">
        <v>4031</v>
      </c>
      <c r="D411" s="3" t="s">
        <v>4032</v>
      </c>
      <c r="E411" s="3" t="s">
        <v>4033</v>
      </c>
      <c r="F411" s="5">
        <v>16938038</v>
      </c>
      <c r="G411" s="5" t="s">
        <v>4034</v>
      </c>
      <c r="H411" s="5">
        <v>21448140</v>
      </c>
      <c r="I411" s="5">
        <v>20002506</v>
      </c>
      <c r="J411" s="5" t="s">
        <v>4035</v>
      </c>
      <c r="K411" s="5" t="s">
        <v>4036</v>
      </c>
      <c r="L411" s="5" t="s">
        <v>4037</v>
      </c>
      <c r="M411" s="5" t="s">
        <v>4038</v>
      </c>
      <c r="N411" s="5">
        <v>10139352</v>
      </c>
      <c r="O411" s="5" t="s">
        <v>4039</v>
      </c>
      <c r="P411" s="5">
        <v>7385699475</v>
      </c>
    </row>
    <row r="412" spans="1:16" x14ac:dyDescent="0.45">
      <c r="A412" s="1" t="s">
        <v>406</v>
      </c>
      <c r="B412" s="2">
        <v>4039450</v>
      </c>
      <c r="C412" s="3" t="s">
        <v>4040</v>
      </c>
      <c r="D412" s="3" t="s">
        <v>4041</v>
      </c>
      <c r="E412" s="3" t="s">
        <v>2477</v>
      </c>
      <c r="F412" s="5">
        <v>1540997844</v>
      </c>
      <c r="G412" s="5" t="s">
        <v>4042</v>
      </c>
      <c r="H412" s="5" t="s">
        <v>4043</v>
      </c>
      <c r="I412" s="5" t="s">
        <v>4044</v>
      </c>
      <c r="J412" s="5" t="s">
        <v>4045</v>
      </c>
      <c r="K412" s="5">
        <v>950775390</v>
      </c>
      <c r="L412" s="5" t="s">
        <v>4046</v>
      </c>
      <c r="M412" s="5" t="s">
        <v>4047</v>
      </c>
      <c r="N412" s="5" t="s">
        <v>4048</v>
      </c>
      <c r="O412" s="5" t="s">
        <v>4049</v>
      </c>
      <c r="P412" s="5" t="s">
        <v>4050</v>
      </c>
    </row>
    <row r="413" spans="1:16" x14ac:dyDescent="0.45">
      <c r="A413" s="1" t="s">
        <v>407</v>
      </c>
      <c r="B413" s="2">
        <v>103647</v>
      </c>
      <c r="C413" s="3" t="s">
        <v>4051</v>
      </c>
      <c r="D413" s="3" t="s">
        <v>4052</v>
      </c>
      <c r="E413" s="3" t="s">
        <v>718</v>
      </c>
      <c r="F413" s="5" t="s">
        <v>4053</v>
      </c>
      <c r="G413" s="5" t="s">
        <v>4054</v>
      </c>
      <c r="H413" s="5">
        <v>69462866</v>
      </c>
      <c r="I413" s="5" t="s">
        <v>4055</v>
      </c>
      <c r="J413" s="5" t="s">
        <v>4056</v>
      </c>
      <c r="K413" s="5" t="s">
        <v>4057</v>
      </c>
      <c r="L413" s="5" t="s">
        <v>4058</v>
      </c>
      <c r="M413" s="5" t="s">
        <v>4059</v>
      </c>
      <c r="N413" s="5">
        <v>187596528</v>
      </c>
      <c r="O413" s="5" t="s">
        <v>4060</v>
      </c>
      <c r="P413" s="5">
        <v>210251421</v>
      </c>
    </row>
    <row r="414" spans="1:16" x14ac:dyDescent="0.45">
      <c r="A414" s="1" t="s">
        <v>408</v>
      </c>
      <c r="B414" s="2">
        <v>4914369</v>
      </c>
      <c r="C414" s="3" t="s">
        <v>4061</v>
      </c>
      <c r="D414" s="3" t="s">
        <v>4062</v>
      </c>
      <c r="E414" s="3" t="s">
        <v>1503</v>
      </c>
      <c r="F414" s="5">
        <v>117034626549</v>
      </c>
      <c r="G414" s="5">
        <v>125053730399</v>
      </c>
      <c r="H414" s="5">
        <v>107685907227</v>
      </c>
      <c r="I414" s="5">
        <v>10244810874</v>
      </c>
      <c r="J414" s="5">
        <v>91554747183</v>
      </c>
      <c r="K414" s="5">
        <v>74652832875</v>
      </c>
      <c r="L414" s="5">
        <v>72539059845</v>
      </c>
      <c r="M414" s="5">
        <v>6727817668</v>
      </c>
      <c r="N414" s="5">
        <v>46251430128</v>
      </c>
      <c r="O414" s="5">
        <v>52332006509</v>
      </c>
      <c r="P414" s="5">
        <v>492082959825</v>
      </c>
    </row>
    <row r="415" spans="1:16" x14ac:dyDescent="0.45">
      <c r="A415" s="1" t="s">
        <v>409</v>
      </c>
      <c r="B415" s="2">
        <v>4004135</v>
      </c>
      <c r="C415" s="3" t="s">
        <v>4063</v>
      </c>
      <c r="D415" s="3" t="s">
        <v>4064</v>
      </c>
      <c r="E415" s="3" t="s">
        <v>2793</v>
      </c>
      <c r="F415" s="5" t="s">
        <v>4065</v>
      </c>
      <c r="G415" s="5">
        <v>70438212</v>
      </c>
      <c r="H415" s="5">
        <v>70421134</v>
      </c>
      <c r="I415" s="5" t="s">
        <v>4066</v>
      </c>
      <c r="J415" s="5" t="s">
        <v>4067</v>
      </c>
      <c r="K415" s="5">
        <v>46214872</v>
      </c>
      <c r="L415" s="5" t="s">
        <v>4068</v>
      </c>
      <c r="M415" s="5" t="s">
        <v>4069</v>
      </c>
      <c r="N415" s="5" t="s">
        <v>4070</v>
      </c>
      <c r="O415" s="5" t="s">
        <v>4071</v>
      </c>
      <c r="P415" s="5" t="s">
        <v>4072</v>
      </c>
    </row>
    <row r="416" spans="1:16" x14ac:dyDescent="0.45">
      <c r="A416" s="1" t="s">
        <v>410</v>
      </c>
      <c r="B416" s="2">
        <v>4912995</v>
      </c>
      <c r="C416" s="3" t="s">
        <v>4073</v>
      </c>
      <c r="D416" s="3" t="s">
        <v>4074</v>
      </c>
      <c r="E416" s="3" t="s">
        <v>1503</v>
      </c>
      <c r="F416" s="5" t="s">
        <v>4075</v>
      </c>
      <c r="G416" s="5" t="s">
        <v>4076</v>
      </c>
      <c r="H416" s="5" t="s">
        <v>4077</v>
      </c>
      <c r="I416" s="5" t="s">
        <v>4078</v>
      </c>
      <c r="J416" s="5" t="s">
        <v>4079</v>
      </c>
      <c r="K416" s="5" t="s">
        <v>4080</v>
      </c>
      <c r="L416" s="5" t="s">
        <v>4081</v>
      </c>
      <c r="M416" s="5" t="s">
        <v>4082</v>
      </c>
      <c r="N416" s="5" t="s">
        <v>4083</v>
      </c>
      <c r="O416" s="5">
        <v>13956516915</v>
      </c>
      <c r="P416" s="5">
        <v>15012227475</v>
      </c>
    </row>
    <row r="417" spans="1:16" x14ac:dyDescent="0.45">
      <c r="A417" s="1" t="s">
        <v>411</v>
      </c>
      <c r="B417" s="2">
        <v>4384788</v>
      </c>
      <c r="C417" s="3" t="s">
        <v>4084</v>
      </c>
      <c r="D417" s="3" t="s">
        <v>4085</v>
      </c>
      <c r="E417" s="3" t="s">
        <v>1503</v>
      </c>
      <c r="F417" s="5">
        <v>69518100</v>
      </c>
      <c r="G417" s="5" t="s">
        <v>4086</v>
      </c>
      <c r="H417" s="5" t="s">
        <v>4087</v>
      </c>
      <c r="I417" s="5" t="s">
        <v>4088</v>
      </c>
      <c r="J417" s="5" t="s">
        <v>4089</v>
      </c>
      <c r="K417" s="5">
        <v>81920498</v>
      </c>
      <c r="L417" s="5">
        <v>90787605</v>
      </c>
      <c r="M417" s="5" t="s">
        <v>4090</v>
      </c>
      <c r="N417" s="5" t="s">
        <v>4091</v>
      </c>
      <c r="O417" s="5">
        <v>114130704</v>
      </c>
      <c r="P417" s="5" t="s">
        <v>4092</v>
      </c>
    </row>
    <row r="418" spans="1:16" x14ac:dyDescent="0.45">
      <c r="A418" s="1" t="s">
        <v>412</v>
      </c>
      <c r="B418" s="2">
        <v>4004136</v>
      </c>
      <c r="C418" s="3" t="s">
        <v>4093</v>
      </c>
      <c r="D418" s="3" t="s">
        <v>4094</v>
      </c>
      <c r="E418" s="3" t="s">
        <v>4095</v>
      </c>
      <c r="F418" s="5" t="s">
        <v>4096</v>
      </c>
      <c r="G418" s="5" t="s">
        <v>4097</v>
      </c>
      <c r="H418" s="5" t="s">
        <v>4098</v>
      </c>
      <c r="I418" s="5" t="s">
        <v>4099</v>
      </c>
      <c r="J418" s="5" t="s">
        <v>4100</v>
      </c>
      <c r="K418" s="5">
        <v>40820912</v>
      </c>
      <c r="L418" s="5" t="s">
        <v>4101</v>
      </c>
      <c r="M418" s="5" t="s">
        <v>4102</v>
      </c>
      <c r="N418" s="5">
        <v>34139476</v>
      </c>
      <c r="O418" s="5" t="s">
        <v>4103</v>
      </c>
      <c r="P418" s="5" t="s">
        <v>4104</v>
      </c>
    </row>
    <row r="419" spans="1:16" x14ac:dyDescent="0.45">
      <c r="A419" s="1" t="s">
        <v>413</v>
      </c>
      <c r="B419" s="2">
        <v>4097833</v>
      </c>
      <c r="C419" s="3" t="s">
        <v>4105</v>
      </c>
      <c r="D419" s="3" t="s">
        <v>4106</v>
      </c>
      <c r="E419" s="3" t="s">
        <v>1321</v>
      </c>
      <c r="F419" s="5" t="s">
        <v>4107</v>
      </c>
      <c r="G419" s="5" t="s">
        <v>4108</v>
      </c>
      <c r="H419" s="5" t="s">
        <v>4109</v>
      </c>
      <c r="I419" s="5" t="s">
        <v>4110</v>
      </c>
      <c r="J419" s="5" t="s">
        <v>4111</v>
      </c>
      <c r="K419" s="5" t="s">
        <v>4112</v>
      </c>
      <c r="L419" s="5" t="s">
        <v>4113</v>
      </c>
      <c r="M419" s="5" t="s">
        <v>4114</v>
      </c>
      <c r="N419" s="5" t="s">
        <v>4115</v>
      </c>
      <c r="O419" s="5" t="s">
        <v>4116</v>
      </c>
      <c r="P419" s="5">
        <v>16011382125</v>
      </c>
    </row>
    <row r="420" spans="1:16" x14ac:dyDescent="0.45">
      <c r="A420" s="1" t="s">
        <v>414</v>
      </c>
      <c r="B420" s="2">
        <v>100406</v>
      </c>
      <c r="C420" s="3" t="s">
        <v>4117</v>
      </c>
      <c r="D420" s="3" t="s">
        <v>4118</v>
      </c>
      <c r="E420" s="3" t="s">
        <v>1004</v>
      </c>
      <c r="F420" s="5" t="s">
        <v>4119</v>
      </c>
      <c r="G420" s="5" t="s">
        <v>4120</v>
      </c>
      <c r="H420" s="5">
        <v>508061426</v>
      </c>
      <c r="I420" s="5" t="s">
        <v>4121</v>
      </c>
      <c r="J420" s="5" t="s">
        <v>4122</v>
      </c>
      <c r="K420" s="5" t="s">
        <v>4123</v>
      </c>
      <c r="L420" s="5" t="s">
        <v>4124</v>
      </c>
      <c r="M420" s="5">
        <v>333913921</v>
      </c>
      <c r="N420" s="5" t="s">
        <v>4125</v>
      </c>
      <c r="O420" s="5">
        <v>347071774</v>
      </c>
      <c r="P420" s="5" t="s">
        <v>4126</v>
      </c>
    </row>
    <row r="421" spans="1:16" x14ac:dyDescent="0.45">
      <c r="A421" s="1" t="s">
        <v>415</v>
      </c>
      <c r="B421" s="2">
        <v>4004124</v>
      </c>
      <c r="C421" s="3" t="s">
        <v>4127</v>
      </c>
      <c r="D421" s="3" t="s">
        <v>4128</v>
      </c>
      <c r="E421" s="3" t="s">
        <v>1377</v>
      </c>
      <c r="F421" s="5" t="s">
        <v>4129</v>
      </c>
      <c r="G421" s="5">
        <v>114207921</v>
      </c>
      <c r="H421" s="5">
        <v>110679364</v>
      </c>
      <c r="I421" s="5" t="s">
        <v>4130</v>
      </c>
      <c r="J421" s="5" t="s">
        <v>4131</v>
      </c>
      <c r="K421" s="5">
        <v>107254020</v>
      </c>
      <c r="L421" s="5">
        <v>101145486</v>
      </c>
      <c r="M421" s="5">
        <v>101403501</v>
      </c>
      <c r="N421" s="5">
        <v>105535859</v>
      </c>
      <c r="O421" s="5" t="s">
        <v>4132</v>
      </c>
      <c r="P421" s="5" t="s">
        <v>4133</v>
      </c>
    </row>
    <row r="422" spans="1:16" x14ac:dyDescent="0.45">
      <c r="A422" s="1" t="s">
        <v>416</v>
      </c>
      <c r="B422" s="2">
        <v>103383</v>
      </c>
      <c r="C422" s="3" t="s">
        <v>4134</v>
      </c>
      <c r="D422" s="3" t="s">
        <v>4135</v>
      </c>
      <c r="E422" s="3" t="s">
        <v>718</v>
      </c>
      <c r="F422" s="5" t="s">
        <v>4136</v>
      </c>
      <c r="G422" s="5" t="s">
        <v>4137</v>
      </c>
      <c r="H422" s="5" t="s">
        <v>4138</v>
      </c>
      <c r="I422" s="5" t="s">
        <v>4139</v>
      </c>
      <c r="J422" s="5" t="s">
        <v>4140</v>
      </c>
      <c r="K422" s="5" t="s">
        <v>4141</v>
      </c>
      <c r="L422" s="5" t="s">
        <v>4142</v>
      </c>
      <c r="M422" s="5">
        <v>40678605</v>
      </c>
      <c r="N422" s="5" t="s">
        <v>4143</v>
      </c>
      <c r="O422" s="5" t="s">
        <v>4144</v>
      </c>
      <c r="P422" s="5">
        <v>27456120475</v>
      </c>
    </row>
    <row r="423" spans="1:16" x14ac:dyDescent="0.45">
      <c r="A423" s="1" t="s">
        <v>417</v>
      </c>
      <c r="B423" s="2">
        <v>4191577</v>
      </c>
      <c r="C423" s="3" t="s">
        <v>4145</v>
      </c>
      <c r="D423" s="3" t="s">
        <v>4146</v>
      </c>
      <c r="E423" s="3" t="s">
        <v>604</v>
      </c>
      <c r="F423" s="5" t="s">
        <v>4147</v>
      </c>
      <c r="G423" s="5" t="s">
        <v>4148</v>
      </c>
      <c r="H423" s="5" t="s">
        <v>4149</v>
      </c>
      <c r="I423" s="5" t="s">
        <v>4150</v>
      </c>
      <c r="J423" s="5" t="s">
        <v>4151</v>
      </c>
      <c r="K423" s="5">
        <v>16678308</v>
      </c>
      <c r="L423" s="5" t="s">
        <v>4152</v>
      </c>
      <c r="M423" s="5" t="s">
        <v>4153</v>
      </c>
      <c r="N423" s="5" t="s">
        <v>4154</v>
      </c>
      <c r="O423" s="5">
        <v>63966631433</v>
      </c>
      <c r="P423" s="5">
        <v>532095624275</v>
      </c>
    </row>
    <row r="424" spans="1:16" x14ac:dyDescent="0.45">
      <c r="A424" s="1" t="s">
        <v>418</v>
      </c>
      <c r="B424" s="2">
        <v>4004298</v>
      </c>
      <c r="C424" s="3" t="s">
        <v>4155</v>
      </c>
      <c r="D424" s="3" t="s">
        <v>4156</v>
      </c>
      <c r="E424" s="3" t="s">
        <v>627</v>
      </c>
      <c r="F424" s="5">
        <v>132626724</v>
      </c>
      <c r="G424" s="5">
        <v>140229362</v>
      </c>
      <c r="H424" s="5" t="s">
        <v>4157</v>
      </c>
      <c r="I424" s="5" t="s">
        <v>4158</v>
      </c>
      <c r="J424" s="5" t="s">
        <v>4159</v>
      </c>
      <c r="K424" s="5" t="s">
        <v>4160</v>
      </c>
      <c r="L424" s="5">
        <v>105773570</v>
      </c>
      <c r="M424" s="5" t="s">
        <v>4161</v>
      </c>
      <c r="N424" s="5">
        <v>92444964</v>
      </c>
      <c r="O424" s="5" t="s">
        <v>4162</v>
      </c>
      <c r="P424" s="5" t="s">
        <v>4163</v>
      </c>
    </row>
    <row r="425" spans="1:16" x14ac:dyDescent="0.45">
      <c r="A425" s="1" t="s">
        <v>419</v>
      </c>
      <c r="B425" s="2">
        <v>4074192</v>
      </c>
      <c r="C425" s="3" t="s">
        <v>4164</v>
      </c>
      <c r="D425" s="3" t="s">
        <v>4165</v>
      </c>
      <c r="E425" s="3" t="s">
        <v>3611</v>
      </c>
      <c r="F425" s="5" t="s">
        <v>4166</v>
      </c>
      <c r="G425" s="5" t="s">
        <v>4167</v>
      </c>
      <c r="H425" s="5" t="s">
        <v>4168</v>
      </c>
      <c r="I425" s="5" t="s">
        <v>4169</v>
      </c>
      <c r="J425" s="5">
        <v>25384206609</v>
      </c>
      <c r="K425" s="5">
        <v>21778792706</v>
      </c>
      <c r="L425" s="5">
        <v>124765386561</v>
      </c>
      <c r="M425" s="5">
        <v>11299832457</v>
      </c>
      <c r="N425" s="5">
        <v>120489372416</v>
      </c>
      <c r="O425" s="5">
        <v>1061888180865</v>
      </c>
      <c r="P425" s="5">
        <v>97332853125</v>
      </c>
    </row>
    <row r="426" spans="1:16" x14ac:dyDescent="0.45">
      <c r="A426" s="1" t="s">
        <v>420</v>
      </c>
      <c r="B426" s="2">
        <v>4844112</v>
      </c>
      <c r="C426" s="3" t="s">
        <v>4170</v>
      </c>
      <c r="D426" s="3" t="s">
        <v>4171</v>
      </c>
      <c r="E426" s="3" t="s">
        <v>3251</v>
      </c>
      <c r="F426" s="5">
        <v>5240697474</v>
      </c>
      <c r="G426" s="5">
        <v>59035334709</v>
      </c>
      <c r="H426" s="5">
        <v>44227951289</v>
      </c>
      <c r="I426" s="5">
        <v>40990013403</v>
      </c>
      <c r="J426" s="5">
        <v>3145555062</v>
      </c>
      <c r="K426" s="5">
        <v>22511047875</v>
      </c>
      <c r="L426" s="5">
        <v>15404989271</v>
      </c>
      <c r="M426" s="5">
        <v>9763494048</v>
      </c>
      <c r="N426" s="5">
        <v>6638781792</v>
      </c>
      <c r="O426" s="5">
        <v>5092646908</v>
      </c>
      <c r="P426" s="5">
        <v>19357019325</v>
      </c>
    </row>
    <row r="427" spans="1:16" x14ac:dyDescent="0.45">
      <c r="A427" s="1" t="s">
        <v>421</v>
      </c>
      <c r="B427" s="2">
        <v>4055530</v>
      </c>
      <c r="C427" s="3" t="s">
        <v>4172</v>
      </c>
      <c r="D427" s="3" t="s">
        <v>4173</v>
      </c>
      <c r="E427" s="3" t="s">
        <v>718</v>
      </c>
      <c r="F427" s="5" t="s">
        <v>4174</v>
      </c>
      <c r="G427" s="5" t="s">
        <v>4175</v>
      </c>
      <c r="H427" s="5" t="s">
        <v>4176</v>
      </c>
      <c r="I427" s="5" t="s">
        <v>4177</v>
      </c>
      <c r="J427" s="5" t="s">
        <v>4178</v>
      </c>
      <c r="K427" s="5">
        <v>95454570</v>
      </c>
      <c r="L427" s="5" t="s">
        <v>4179</v>
      </c>
      <c r="M427" s="5" t="s">
        <v>4180</v>
      </c>
      <c r="N427" s="5" t="s">
        <v>4181</v>
      </c>
      <c r="O427" s="5" t="s">
        <v>4182</v>
      </c>
      <c r="P427" s="5">
        <v>92244418</v>
      </c>
    </row>
    <row r="428" spans="1:16" x14ac:dyDescent="0.45">
      <c r="A428" s="1" t="s">
        <v>422</v>
      </c>
      <c r="B428" s="2">
        <v>4097175</v>
      </c>
      <c r="C428" s="3" t="s">
        <v>4183</v>
      </c>
      <c r="D428" s="3" t="s">
        <v>4184</v>
      </c>
      <c r="E428" s="3" t="s">
        <v>2770</v>
      </c>
      <c r="F428" s="5" t="s">
        <v>4185</v>
      </c>
      <c r="G428" s="5" t="s">
        <v>4186</v>
      </c>
      <c r="H428" s="5" t="s">
        <v>4187</v>
      </c>
      <c r="I428" s="5" t="s">
        <v>4188</v>
      </c>
      <c r="J428" s="5" t="s">
        <v>4189</v>
      </c>
      <c r="K428" s="5" t="s">
        <v>4190</v>
      </c>
      <c r="L428" s="5" t="s">
        <v>4191</v>
      </c>
      <c r="M428" s="5" t="s">
        <v>4192</v>
      </c>
      <c r="N428" s="5" t="s">
        <v>4193</v>
      </c>
      <c r="O428" s="5" t="s">
        <v>4194</v>
      </c>
      <c r="P428" s="5" t="s">
        <v>4195</v>
      </c>
    </row>
    <row r="429" spans="1:16" x14ac:dyDescent="0.45">
      <c r="A429" s="1" t="s">
        <v>423</v>
      </c>
      <c r="B429" s="2">
        <v>4011165</v>
      </c>
      <c r="C429" s="3" t="s">
        <v>4196</v>
      </c>
      <c r="D429" s="3" t="s">
        <v>4197</v>
      </c>
      <c r="E429" s="3" t="s">
        <v>2682</v>
      </c>
      <c r="F429" s="5" t="s">
        <v>4198</v>
      </c>
      <c r="G429" s="5" t="s">
        <v>4199</v>
      </c>
      <c r="H429" s="5" t="s">
        <v>4200</v>
      </c>
      <c r="I429" s="5" t="s">
        <v>4201</v>
      </c>
      <c r="J429" s="5" t="s">
        <v>4202</v>
      </c>
      <c r="K429" s="5" t="s">
        <v>4203</v>
      </c>
      <c r="L429" s="5">
        <v>41026244</v>
      </c>
      <c r="M429" s="5" t="s">
        <v>4204</v>
      </c>
      <c r="N429" s="5" t="s">
        <v>4205</v>
      </c>
      <c r="O429" s="5" t="s">
        <v>4206</v>
      </c>
      <c r="P429" s="5">
        <v>45135165</v>
      </c>
    </row>
    <row r="430" spans="1:16" x14ac:dyDescent="0.45">
      <c r="A430" s="1" t="s">
        <v>424</v>
      </c>
      <c r="B430" s="2">
        <v>4072879</v>
      </c>
      <c r="C430" s="3" t="s">
        <v>4207</v>
      </c>
      <c r="D430" s="3" t="s">
        <v>4208</v>
      </c>
      <c r="E430" s="3" t="s">
        <v>578</v>
      </c>
      <c r="F430" s="5" t="s">
        <v>4209</v>
      </c>
      <c r="G430" s="5" t="s">
        <v>4210</v>
      </c>
      <c r="H430" s="5" t="s">
        <v>4211</v>
      </c>
      <c r="I430" s="5" t="s">
        <v>4212</v>
      </c>
      <c r="J430" s="5" t="s">
        <v>4213</v>
      </c>
      <c r="K430" s="5">
        <v>56450010</v>
      </c>
      <c r="L430" s="5" t="s">
        <v>4214</v>
      </c>
      <c r="M430" s="5" t="s">
        <v>4215</v>
      </c>
      <c r="N430" s="5" t="s">
        <v>4216</v>
      </c>
      <c r="O430" s="5" t="s">
        <v>4217</v>
      </c>
      <c r="P430" s="5">
        <v>37598181725</v>
      </c>
    </row>
    <row r="431" spans="1:16" x14ac:dyDescent="0.45">
      <c r="A431" s="1" t="s">
        <v>425</v>
      </c>
      <c r="B431" s="2">
        <v>4071364</v>
      </c>
      <c r="C431" s="3" t="s">
        <v>4218</v>
      </c>
      <c r="D431" s="3" t="s">
        <v>4219</v>
      </c>
      <c r="E431" s="3" t="s">
        <v>4220</v>
      </c>
      <c r="F431" s="5" t="s">
        <v>4221</v>
      </c>
      <c r="G431" s="5">
        <v>94024795665</v>
      </c>
      <c r="H431" s="5">
        <v>83125202097</v>
      </c>
      <c r="I431" s="5">
        <v>7944083643</v>
      </c>
      <c r="J431" s="5">
        <v>68672175747</v>
      </c>
      <c r="K431" s="5">
        <v>57845045896</v>
      </c>
      <c r="L431" s="5">
        <v>47333659332</v>
      </c>
      <c r="M431" s="5">
        <v>26952848832</v>
      </c>
      <c r="N431" s="5">
        <v>23891108232</v>
      </c>
      <c r="O431" s="5">
        <v>25339725566</v>
      </c>
      <c r="P431" s="5">
        <v>21651568445</v>
      </c>
    </row>
    <row r="432" spans="1:16" x14ac:dyDescent="0.45">
      <c r="A432" s="1" t="s">
        <v>426</v>
      </c>
      <c r="B432" s="2">
        <v>4402486</v>
      </c>
      <c r="C432" s="3" t="s">
        <v>4222</v>
      </c>
      <c r="D432" s="3" t="s">
        <v>4223</v>
      </c>
      <c r="E432" s="3" t="s">
        <v>505</v>
      </c>
      <c r="F432" s="5" t="s">
        <v>4224</v>
      </c>
      <c r="G432" s="5" t="s">
        <v>4225</v>
      </c>
      <c r="H432" s="5" t="s">
        <v>4226</v>
      </c>
      <c r="I432" s="5" t="s">
        <v>4227</v>
      </c>
      <c r="J432" s="5" t="s">
        <v>4228</v>
      </c>
      <c r="K432" s="5" t="s">
        <v>4229</v>
      </c>
      <c r="L432" s="5" t="s">
        <v>4230</v>
      </c>
      <c r="M432" s="5" t="s">
        <v>4231</v>
      </c>
      <c r="N432" s="5" t="s">
        <v>4232</v>
      </c>
      <c r="O432" s="5" t="s">
        <v>4233</v>
      </c>
      <c r="P432" s="5" t="s">
        <v>4234</v>
      </c>
    </row>
    <row r="433" spans="1:16" x14ac:dyDescent="0.45">
      <c r="A433" s="1" t="s">
        <v>427</v>
      </c>
      <c r="B433" s="2">
        <v>4421633</v>
      </c>
      <c r="C433" s="3" t="s">
        <v>4235</v>
      </c>
      <c r="D433" s="3" t="s">
        <v>4236</v>
      </c>
      <c r="E433" s="3" t="s">
        <v>976</v>
      </c>
      <c r="F433" s="5" t="s">
        <v>4237</v>
      </c>
      <c r="G433" s="5" t="s">
        <v>4238</v>
      </c>
      <c r="H433" s="5">
        <v>18867656</v>
      </c>
      <c r="I433" s="5" t="s">
        <v>4239</v>
      </c>
      <c r="J433" s="5">
        <v>16664982</v>
      </c>
      <c r="K433" s="5">
        <v>15665182</v>
      </c>
      <c r="L433" s="5" t="s">
        <v>4240</v>
      </c>
      <c r="M433" s="5">
        <v>104983598469</v>
      </c>
      <c r="N433" s="5">
        <v>84404067721</v>
      </c>
      <c r="O433" s="5">
        <v>954263233305</v>
      </c>
      <c r="P433" s="5">
        <v>744074095675</v>
      </c>
    </row>
    <row r="434" spans="1:16" x14ac:dyDescent="0.45">
      <c r="A434" s="1" t="s">
        <v>428</v>
      </c>
      <c r="B434" s="2">
        <v>4104139</v>
      </c>
      <c r="C434" s="3" t="s">
        <v>4241</v>
      </c>
      <c r="D434" s="3" t="s">
        <v>4242</v>
      </c>
      <c r="E434" s="3" t="s">
        <v>547</v>
      </c>
      <c r="F434" s="5" t="s">
        <v>4243</v>
      </c>
      <c r="G434" s="5" t="s">
        <v>4244</v>
      </c>
      <c r="H434" s="5" t="s">
        <v>4245</v>
      </c>
      <c r="I434" s="5" t="s">
        <v>4246</v>
      </c>
      <c r="J434" s="5" t="s">
        <v>4247</v>
      </c>
      <c r="K434" s="5" t="s">
        <v>4248</v>
      </c>
      <c r="L434" s="5" t="s">
        <v>4249</v>
      </c>
      <c r="M434" s="5" t="s">
        <v>4250</v>
      </c>
      <c r="N434" s="5" t="s">
        <v>4251</v>
      </c>
      <c r="O434" s="5" t="s">
        <v>4252</v>
      </c>
      <c r="P434" s="5">
        <v>3388268385</v>
      </c>
    </row>
    <row r="435" spans="1:16" x14ac:dyDescent="0.45">
      <c r="A435" s="1" t="s">
        <v>429</v>
      </c>
      <c r="B435" s="2">
        <v>100438</v>
      </c>
      <c r="C435" s="3" t="s">
        <v>4253</v>
      </c>
      <c r="D435" s="3" t="s">
        <v>4254</v>
      </c>
      <c r="E435" s="3" t="s">
        <v>1004</v>
      </c>
      <c r="F435" s="5" t="s">
        <v>4255</v>
      </c>
      <c r="G435" s="5" t="s">
        <v>4256</v>
      </c>
      <c r="H435" s="5" t="s">
        <v>4257</v>
      </c>
      <c r="I435" s="5" t="s">
        <v>4258</v>
      </c>
      <c r="J435" s="5" t="s">
        <v>4259</v>
      </c>
      <c r="K435" s="5">
        <v>416293890</v>
      </c>
      <c r="L435" s="5" t="s">
        <v>4260</v>
      </c>
      <c r="M435" s="5" t="s">
        <v>4261</v>
      </c>
      <c r="N435" s="5" t="s">
        <v>4262</v>
      </c>
      <c r="O435" s="5" t="s">
        <v>4263</v>
      </c>
      <c r="P435" s="5" t="s">
        <v>4264</v>
      </c>
    </row>
    <row r="436" spans="1:16" x14ac:dyDescent="0.45">
      <c r="A436" s="1" t="s">
        <v>430</v>
      </c>
      <c r="B436" s="2">
        <v>4964207</v>
      </c>
      <c r="C436" s="3" t="s">
        <v>4265</v>
      </c>
      <c r="D436" s="3" t="s">
        <v>4266</v>
      </c>
      <c r="E436" s="3" t="s">
        <v>547</v>
      </c>
      <c r="F436" s="5">
        <v>48026579436</v>
      </c>
      <c r="G436" s="5">
        <v>50033764885</v>
      </c>
      <c r="H436" s="5">
        <v>42309770161</v>
      </c>
      <c r="I436" s="5">
        <v>43860160869</v>
      </c>
      <c r="J436" s="5">
        <v>41609891673</v>
      </c>
      <c r="K436" s="5">
        <v>2131446495</v>
      </c>
      <c r="L436" s="5">
        <v>19529472354</v>
      </c>
      <c r="M436" s="5">
        <v>15642270842</v>
      </c>
      <c r="N436" s="5">
        <v>13419331128</v>
      </c>
      <c r="O436" s="5">
        <v>12863812985</v>
      </c>
      <c r="P436" s="5">
        <v>12490618275</v>
      </c>
    </row>
    <row r="437" spans="1:16" x14ac:dyDescent="0.45">
      <c r="A437" s="1" t="s">
        <v>431</v>
      </c>
      <c r="B437" s="2">
        <v>3009699</v>
      </c>
      <c r="C437" s="3" t="s">
        <v>4267</v>
      </c>
      <c r="D437" s="3" t="s">
        <v>4268</v>
      </c>
      <c r="E437" s="3" t="s">
        <v>1503</v>
      </c>
      <c r="F437" s="5" t="s">
        <v>4269</v>
      </c>
      <c r="G437" s="5">
        <v>33230470</v>
      </c>
      <c r="H437" s="5" t="s">
        <v>4270</v>
      </c>
      <c r="I437" s="5" t="s">
        <v>4271</v>
      </c>
      <c r="J437" s="5" t="s">
        <v>4272</v>
      </c>
      <c r="K437" s="5" t="s">
        <v>4273</v>
      </c>
      <c r="L437" s="5" t="s">
        <v>4274</v>
      </c>
      <c r="M437" s="5" t="s">
        <v>4275</v>
      </c>
      <c r="N437" s="5" t="s">
        <v>4276</v>
      </c>
      <c r="O437" s="5" t="s">
        <v>4277</v>
      </c>
      <c r="P437" s="5" t="s">
        <v>4278</v>
      </c>
    </row>
    <row r="438" spans="1:16" x14ac:dyDescent="0.45">
      <c r="A438" s="1" t="s">
        <v>432</v>
      </c>
      <c r="B438" s="2">
        <v>4047176</v>
      </c>
      <c r="C438" s="3" t="s">
        <v>4279</v>
      </c>
      <c r="D438" s="3" t="s">
        <v>4280</v>
      </c>
      <c r="E438" s="3" t="s">
        <v>1004</v>
      </c>
      <c r="F438" s="5" t="s">
        <v>4281</v>
      </c>
      <c r="G438" s="5" t="s">
        <v>4282</v>
      </c>
      <c r="H438" s="5" t="s">
        <v>4283</v>
      </c>
      <c r="I438" s="5" t="s">
        <v>4284</v>
      </c>
      <c r="J438" s="5" t="s">
        <v>4285</v>
      </c>
      <c r="K438" s="5" t="s">
        <v>4286</v>
      </c>
      <c r="L438" s="5" t="s">
        <v>4287</v>
      </c>
      <c r="M438" s="5" t="s">
        <v>4288</v>
      </c>
      <c r="N438" s="5">
        <v>384786912</v>
      </c>
      <c r="O438" s="5" t="s">
        <v>4289</v>
      </c>
      <c r="P438" s="5" t="s">
        <v>4290</v>
      </c>
    </row>
    <row r="439" spans="1:16" x14ac:dyDescent="0.45">
      <c r="A439" s="1" t="s">
        <v>433</v>
      </c>
      <c r="B439" s="2">
        <v>103025</v>
      </c>
      <c r="C439" s="3" t="s">
        <v>4291</v>
      </c>
      <c r="D439" s="3" t="s">
        <v>4292</v>
      </c>
      <c r="E439" s="3" t="s">
        <v>960</v>
      </c>
      <c r="F439" s="5">
        <v>90328525458</v>
      </c>
      <c r="G439" s="5">
        <v>105259783174</v>
      </c>
      <c r="H439" s="5">
        <v>102893720374</v>
      </c>
      <c r="I439" s="5">
        <v>10328696379</v>
      </c>
      <c r="J439" s="5">
        <v>9474650946</v>
      </c>
      <c r="K439" s="5">
        <v>78786832275</v>
      </c>
      <c r="L439" s="5">
        <v>85870601992</v>
      </c>
      <c r="M439" s="5">
        <v>67354232352</v>
      </c>
      <c r="N439" s="5">
        <v>64402697544</v>
      </c>
      <c r="O439" s="5">
        <v>72748699232</v>
      </c>
      <c r="P439" s="5">
        <v>7056484363</v>
      </c>
    </row>
    <row r="440" spans="1:16" x14ac:dyDescent="0.45">
      <c r="A440" s="1" t="s">
        <v>434</v>
      </c>
      <c r="B440" s="2">
        <v>4107935</v>
      </c>
      <c r="C440" s="3" t="s">
        <v>4293</v>
      </c>
      <c r="D440" s="3" t="s">
        <v>4294</v>
      </c>
      <c r="E440" s="3" t="s">
        <v>4220</v>
      </c>
      <c r="F440" s="5">
        <v>57742288353</v>
      </c>
      <c r="G440" s="5">
        <v>52886870937</v>
      </c>
      <c r="H440" s="5">
        <v>49472226132</v>
      </c>
      <c r="I440" s="5">
        <v>42684071461</v>
      </c>
      <c r="J440" s="5">
        <v>41931164622</v>
      </c>
      <c r="K440" s="5">
        <v>4387212544</v>
      </c>
      <c r="L440" s="5">
        <v>27791916948</v>
      </c>
      <c r="M440" s="5">
        <v>23380026106</v>
      </c>
      <c r="N440" s="5">
        <v>23865163056</v>
      </c>
      <c r="O440" s="5">
        <v>20617028697</v>
      </c>
      <c r="P440" s="5">
        <v>17565928275</v>
      </c>
    </row>
    <row r="441" spans="1:16" x14ac:dyDescent="0.45">
      <c r="A441" s="1" t="s">
        <v>435</v>
      </c>
      <c r="B441" s="2">
        <v>4004099</v>
      </c>
      <c r="C441" s="3" t="s">
        <v>4295</v>
      </c>
      <c r="D441" s="3" t="s">
        <v>4296</v>
      </c>
      <c r="E441" s="3" t="s">
        <v>1619</v>
      </c>
      <c r="F441" s="5" t="s">
        <v>4297</v>
      </c>
      <c r="G441" s="5" t="s">
        <v>4298</v>
      </c>
      <c r="H441" s="5" t="s">
        <v>4299</v>
      </c>
      <c r="I441" s="5" t="s">
        <v>4300</v>
      </c>
      <c r="J441" s="5" t="s">
        <v>4301</v>
      </c>
      <c r="K441" s="5">
        <v>51010365</v>
      </c>
      <c r="L441" s="5" t="s">
        <v>4302</v>
      </c>
      <c r="M441" s="5" t="s">
        <v>4303</v>
      </c>
      <c r="N441" s="5" t="s">
        <v>4304</v>
      </c>
      <c r="O441" s="5" t="s">
        <v>4305</v>
      </c>
      <c r="P441" s="5">
        <v>50272950</v>
      </c>
    </row>
    <row r="442" spans="1:16" x14ac:dyDescent="0.45">
      <c r="A442" s="1" t="s">
        <v>436</v>
      </c>
      <c r="B442" s="2">
        <v>4994529</v>
      </c>
      <c r="C442" s="3" t="s">
        <v>4306</v>
      </c>
      <c r="D442" s="3" t="s">
        <v>4307</v>
      </c>
      <c r="E442" s="3" t="s">
        <v>1721</v>
      </c>
      <c r="F442" s="5" t="s">
        <v>4308</v>
      </c>
      <c r="G442" s="5" t="s">
        <v>4309</v>
      </c>
      <c r="H442" s="5" t="s">
        <v>4310</v>
      </c>
      <c r="I442" s="5" t="s">
        <v>4311</v>
      </c>
      <c r="J442" s="5" t="s">
        <v>4312</v>
      </c>
      <c r="K442" s="5">
        <v>48680490</v>
      </c>
      <c r="L442" s="5" t="s">
        <v>4313</v>
      </c>
      <c r="M442" s="5" t="s">
        <v>4314</v>
      </c>
      <c r="N442" s="5" t="s">
        <v>4315</v>
      </c>
      <c r="O442" s="5">
        <v>38024622</v>
      </c>
      <c r="P442" s="5" t="s">
        <v>4316</v>
      </c>
    </row>
    <row r="443" spans="1:16" x14ac:dyDescent="0.45">
      <c r="A443" s="1" t="s">
        <v>437</v>
      </c>
      <c r="B443" s="2">
        <v>4051574</v>
      </c>
      <c r="C443" s="3" t="s">
        <v>4317</v>
      </c>
      <c r="D443" s="3" t="s">
        <v>4318</v>
      </c>
      <c r="E443" s="3" t="s">
        <v>1198</v>
      </c>
      <c r="F443" s="5">
        <v>62250753</v>
      </c>
      <c r="G443" s="5">
        <v>67680613</v>
      </c>
      <c r="H443" s="5" t="s">
        <v>4319</v>
      </c>
      <c r="I443" s="5" t="s">
        <v>4320</v>
      </c>
      <c r="J443" s="5" t="s">
        <v>4321</v>
      </c>
      <c r="K443" s="5">
        <v>51018540</v>
      </c>
      <c r="L443" s="5" t="s">
        <v>4322</v>
      </c>
      <c r="M443" s="5" t="s">
        <v>4323</v>
      </c>
      <c r="N443" s="5" t="s">
        <v>4324</v>
      </c>
      <c r="O443" s="5" t="s">
        <v>4325</v>
      </c>
      <c r="P443" s="5" t="s">
        <v>4326</v>
      </c>
    </row>
    <row r="444" spans="1:16" x14ac:dyDescent="0.45">
      <c r="A444" s="1" t="s">
        <v>438</v>
      </c>
      <c r="B444" s="2">
        <v>4086110</v>
      </c>
      <c r="C444" s="3" t="s">
        <v>4327</v>
      </c>
      <c r="D444" s="3" t="s">
        <v>4328</v>
      </c>
      <c r="E444" s="3" t="s">
        <v>2046</v>
      </c>
      <c r="F444" s="5" t="s">
        <v>4329</v>
      </c>
      <c r="G444" s="5" t="s">
        <v>4330</v>
      </c>
      <c r="H444" s="5" t="s">
        <v>4331</v>
      </c>
      <c r="I444" s="5" t="s">
        <v>4332</v>
      </c>
      <c r="J444" s="5" t="s">
        <v>4333</v>
      </c>
      <c r="K444" s="5">
        <v>14607090</v>
      </c>
      <c r="L444" s="5">
        <v>16904167</v>
      </c>
      <c r="M444" s="5" t="s">
        <v>4334</v>
      </c>
      <c r="N444" s="5">
        <v>12516984</v>
      </c>
      <c r="O444" s="5" t="s">
        <v>4335</v>
      </c>
      <c r="P444" s="5" t="s">
        <v>4336</v>
      </c>
    </row>
    <row r="445" spans="1:16" x14ac:dyDescent="0.45">
      <c r="A445" s="1" t="s">
        <v>439</v>
      </c>
      <c r="B445" s="2">
        <v>111568</v>
      </c>
      <c r="C445" s="3" t="s">
        <v>4337</v>
      </c>
      <c r="D445" s="3" t="s">
        <v>4338</v>
      </c>
      <c r="E445" s="3" t="s">
        <v>1296</v>
      </c>
      <c r="F445" s="5" t="s">
        <v>4339</v>
      </c>
      <c r="G445" s="5" t="s">
        <v>4340</v>
      </c>
      <c r="H445" s="5">
        <v>247634484</v>
      </c>
      <c r="I445" s="5" t="s">
        <v>4341</v>
      </c>
      <c r="J445" s="5" t="s">
        <v>4342</v>
      </c>
      <c r="K445" s="5" t="s">
        <v>4343</v>
      </c>
      <c r="L445" s="5" t="s">
        <v>4344</v>
      </c>
      <c r="M445" s="5" t="s">
        <v>4345</v>
      </c>
      <c r="N445" s="5" t="s">
        <v>4346</v>
      </c>
      <c r="O445" s="5">
        <v>116337913</v>
      </c>
      <c r="P445" s="5" t="s">
        <v>4347</v>
      </c>
    </row>
    <row r="446" spans="1:16" x14ac:dyDescent="0.45">
      <c r="A446" s="1" t="s">
        <v>440</v>
      </c>
      <c r="B446" s="2">
        <v>4540311</v>
      </c>
      <c r="C446" s="3" t="s">
        <v>4348</v>
      </c>
      <c r="D446" s="3" t="s">
        <v>4349</v>
      </c>
      <c r="E446" s="3" t="s">
        <v>2292</v>
      </c>
      <c r="F446" s="5">
        <v>132248509581</v>
      </c>
      <c r="G446" s="5">
        <v>139763305591</v>
      </c>
      <c r="H446" s="5">
        <v>126364895294</v>
      </c>
      <c r="I446" s="5">
        <v>126265117116</v>
      </c>
      <c r="J446" s="5">
        <v>115131523599</v>
      </c>
      <c r="K446" s="5">
        <v>110173485825</v>
      </c>
      <c r="L446" s="5">
        <v>10397577575</v>
      </c>
      <c r="M446" s="5">
        <v>9839270232</v>
      </c>
      <c r="N446" s="5">
        <v>89624503584</v>
      </c>
      <c r="O446" s="5">
        <v>97740538346</v>
      </c>
      <c r="P446" s="5">
        <v>8853420063</v>
      </c>
    </row>
    <row r="447" spans="1:16" x14ac:dyDescent="0.45">
      <c r="A447" s="1" t="s">
        <v>441</v>
      </c>
      <c r="B447" s="2">
        <v>4011157</v>
      </c>
      <c r="C447" s="3" t="s">
        <v>4350</v>
      </c>
      <c r="D447" s="3" t="s">
        <v>4351</v>
      </c>
      <c r="E447" s="3" t="s">
        <v>2835</v>
      </c>
      <c r="F447" s="5" t="s">
        <v>4352</v>
      </c>
      <c r="G447" s="5" t="s">
        <v>4353</v>
      </c>
      <c r="H447" s="5" t="s">
        <v>4354</v>
      </c>
      <c r="I447" s="5" t="s">
        <v>4355</v>
      </c>
      <c r="J447" s="5" t="s">
        <v>4356</v>
      </c>
      <c r="K447" s="5">
        <v>42325245</v>
      </c>
      <c r="L447" s="5" t="s">
        <v>4357</v>
      </c>
      <c r="M447" s="5">
        <v>43805377</v>
      </c>
      <c r="N447" s="5" t="s">
        <v>4358</v>
      </c>
      <c r="O447" s="5" t="s">
        <v>4359</v>
      </c>
      <c r="P447" s="5" t="s">
        <v>4360</v>
      </c>
    </row>
    <row r="448" spans="1:16" x14ac:dyDescent="0.45">
      <c r="A448" s="1" t="s">
        <v>442</v>
      </c>
      <c r="B448" s="2">
        <v>4046115</v>
      </c>
      <c r="C448" s="3" t="s">
        <v>4361</v>
      </c>
      <c r="D448" s="3" t="s">
        <v>4362</v>
      </c>
      <c r="E448" s="3" t="s">
        <v>607</v>
      </c>
      <c r="F448" s="5">
        <v>235000595565</v>
      </c>
      <c r="G448" s="5">
        <v>252939325054</v>
      </c>
      <c r="H448" s="5">
        <v>223690992351</v>
      </c>
      <c r="I448" s="5">
        <v>22604490888</v>
      </c>
      <c r="J448" s="5">
        <v>217343492298</v>
      </c>
      <c r="K448" s="5" t="s">
        <v>4363</v>
      </c>
      <c r="L448" s="5">
        <v>220032265488</v>
      </c>
      <c r="M448" s="5">
        <v>19725350337</v>
      </c>
      <c r="N448" s="5">
        <v>199493417448</v>
      </c>
      <c r="O448" s="5" t="s">
        <v>4364</v>
      </c>
      <c r="P448" s="5">
        <v>204976609985</v>
      </c>
    </row>
    <row r="449" spans="1:16" x14ac:dyDescent="0.45">
      <c r="A449" s="1" t="s">
        <v>443</v>
      </c>
      <c r="B449" s="2">
        <v>4087927</v>
      </c>
      <c r="C449" s="3" t="s">
        <v>4365</v>
      </c>
      <c r="D449" s="3" t="s">
        <v>4366</v>
      </c>
      <c r="E449" s="3" t="s">
        <v>600</v>
      </c>
      <c r="F449" s="5" t="s">
        <v>4367</v>
      </c>
      <c r="G449" s="5" t="s">
        <v>4368</v>
      </c>
      <c r="H449" s="5" t="s">
        <v>4369</v>
      </c>
      <c r="I449" s="5" t="s">
        <v>4370</v>
      </c>
      <c r="J449" s="5" t="s">
        <v>4371</v>
      </c>
      <c r="K449" s="5">
        <v>1444448925</v>
      </c>
      <c r="L449" s="5">
        <v>16521074199</v>
      </c>
      <c r="M449" s="5">
        <v>16721277936</v>
      </c>
      <c r="N449" s="5">
        <v>24494213664</v>
      </c>
      <c r="O449" s="5">
        <v>22115400556</v>
      </c>
      <c r="P449" s="5">
        <v>217088634275</v>
      </c>
    </row>
    <row r="450" spans="1:16" x14ac:dyDescent="0.45">
      <c r="A450" s="1" t="s">
        <v>444</v>
      </c>
      <c r="B450" s="2">
        <v>4241337</v>
      </c>
      <c r="C450" s="3" t="s">
        <v>4372</v>
      </c>
      <c r="D450" s="3" t="s">
        <v>4373</v>
      </c>
      <c r="E450" s="3" t="s">
        <v>2041</v>
      </c>
      <c r="F450" s="5" t="s">
        <v>4374</v>
      </c>
      <c r="G450" s="5" t="s">
        <v>4375</v>
      </c>
      <c r="H450" s="5" t="s">
        <v>4376</v>
      </c>
      <c r="I450" s="5" t="s">
        <v>4377</v>
      </c>
      <c r="J450" s="5" t="s">
        <v>4378</v>
      </c>
      <c r="K450" s="5" t="s">
        <v>4379</v>
      </c>
      <c r="L450" s="5" t="s">
        <v>4380</v>
      </c>
      <c r="M450" s="5" t="s">
        <v>4381</v>
      </c>
      <c r="N450" s="5" t="s">
        <v>4382</v>
      </c>
      <c r="O450" s="5" t="s">
        <v>4383</v>
      </c>
      <c r="P450" s="5">
        <v>5150399275</v>
      </c>
    </row>
    <row r="451" spans="1:16" x14ac:dyDescent="0.45">
      <c r="A451" s="1" t="s">
        <v>445</v>
      </c>
      <c r="B451" s="2">
        <v>4057229</v>
      </c>
      <c r="C451" s="3" t="s">
        <v>4384</v>
      </c>
      <c r="D451" s="3" t="s">
        <v>4385</v>
      </c>
      <c r="E451" s="3" t="s">
        <v>919</v>
      </c>
      <c r="F451" s="5" t="s">
        <v>4386</v>
      </c>
      <c r="G451" s="5" t="s">
        <v>4387</v>
      </c>
      <c r="H451" s="5" t="s">
        <v>4388</v>
      </c>
      <c r="I451" s="5">
        <v>355266576</v>
      </c>
      <c r="J451" s="5" t="s">
        <v>4389</v>
      </c>
      <c r="K451" s="5" t="s">
        <v>4390</v>
      </c>
      <c r="L451" s="5" t="s">
        <v>4391</v>
      </c>
      <c r="M451" s="5" t="s">
        <v>4392</v>
      </c>
      <c r="N451" s="5" t="s">
        <v>4393</v>
      </c>
      <c r="O451" s="5">
        <v>231311714</v>
      </c>
      <c r="P451" s="5" t="s">
        <v>4394</v>
      </c>
    </row>
    <row r="452" spans="1:16" x14ac:dyDescent="0.45">
      <c r="A452" s="1" t="s">
        <v>446</v>
      </c>
      <c r="B452" s="2">
        <v>4159057</v>
      </c>
      <c r="C452" s="3" t="s">
        <v>4395</v>
      </c>
      <c r="D452" s="3" t="s">
        <v>4396</v>
      </c>
      <c r="E452" s="3" t="s">
        <v>530</v>
      </c>
      <c r="F452" s="5" t="s">
        <v>4397</v>
      </c>
      <c r="G452" s="5" t="s">
        <v>4398</v>
      </c>
      <c r="H452" s="5" t="s">
        <v>4399</v>
      </c>
      <c r="I452" s="5" t="s">
        <v>4400</v>
      </c>
      <c r="J452" s="5" t="s">
        <v>4401</v>
      </c>
      <c r="K452" s="5" t="s">
        <v>4402</v>
      </c>
      <c r="L452" s="5">
        <v>74125841615</v>
      </c>
      <c r="M452" s="5">
        <v>54551673132</v>
      </c>
      <c r="N452" s="5">
        <v>29531204592</v>
      </c>
      <c r="O452" s="5">
        <v>27441263251</v>
      </c>
      <c r="P452" s="5">
        <v>230057398025</v>
      </c>
    </row>
    <row r="453" spans="1:16" x14ac:dyDescent="0.45">
      <c r="A453" s="1" t="s">
        <v>447</v>
      </c>
      <c r="B453" s="2">
        <v>4761964</v>
      </c>
      <c r="C453" s="3" t="s">
        <v>4403</v>
      </c>
      <c r="D453" s="3" t="s">
        <v>4404</v>
      </c>
      <c r="E453" s="3" t="s">
        <v>1127</v>
      </c>
      <c r="F453" s="5" t="s">
        <v>4405</v>
      </c>
      <c r="G453" s="5" t="s">
        <v>4406</v>
      </c>
      <c r="H453" s="5" t="s">
        <v>4407</v>
      </c>
      <c r="I453" s="5" t="s">
        <v>4408</v>
      </c>
      <c r="J453" s="5" t="s">
        <v>4409</v>
      </c>
      <c r="K453" s="5" t="s">
        <v>4410</v>
      </c>
      <c r="L453" s="5" t="s">
        <v>4411</v>
      </c>
      <c r="M453" s="5" t="s">
        <v>4412</v>
      </c>
      <c r="N453" s="5" t="s">
        <v>4413</v>
      </c>
      <c r="O453" s="5" t="s">
        <v>4414</v>
      </c>
      <c r="P453" s="5">
        <v>20502984775</v>
      </c>
    </row>
    <row r="454" spans="1:16" x14ac:dyDescent="0.45">
      <c r="A454" s="1" t="s">
        <v>448</v>
      </c>
      <c r="B454" s="2">
        <v>6614190</v>
      </c>
      <c r="C454" s="3" t="s">
        <v>4415</v>
      </c>
      <c r="D454" s="3" t="s">
        <v>4416</v>
      </c>
      <c r="E454" s="3" t="s">
        <v>2579</v>
      </c>
      <c r="F454" s="5">
        <v>397949738856</v>
      </c>
      <c r="G454" s="5">
        <v>43821859146</v>
      </c>
      <c r="H454" s="5">
        <v>398609381527</v>
      </c>
      <c r="I454" s="5">
        <v>351597003882</v>
      </c>
      <c r="J454" s="5">
        <v>154733700789</v>
      </c>
      <c r="K454" s="5">
        <v>139495036275</v>
      </c>
      <c r="L454" s="5">
        <v>118209930909</v>
      </c>
      <c r="M454" s="5">
        <v>98985636112</v>
      </c>
      <c r="N454" s="5">
        <v>81112321536</v>
      </c>
      <c r="O454" s="5">
        <v>857069675</v>
      </c>
      <c r="P454" s="5">
        <v>847403055</v>
      </c>
    </row>
    <row r="455" spans="1:16" x14ac:dyDescent="0.45">
      <c r="A455" s="1" t="s">
        <v>449</v>
      </c>
      <c r="B455" s="2">
        <v>4163620</v>
      </c>
      <c r="C455" s="3" t="s">
        <v>4417</v>
      </c>
      <c r="D455" s="3" t="s">
        <v>4418</v>
      </c>
      <c r="E455" s="3" t="s">
        <v>705</v>
      </c>
      <c r="F455" s="5" t="s">
        <v>4419</v>
      </c>
      <c r="G455" s="5" t="s">
        <v>4420</v>
      </c>
      <c r="H455" s="5" t="s">
        <v>4421</v>
      </c>
      <c r="I455" s="5" t="s">
        <v>4422</v>
      </c>
      <c r="J455" s="5" t="s">
        <v>4423</v>
      </c>
      <c r="K455" s="5" t="s">
        <v>4424</v>
      </c>
      <c r="L455" s="5" t="s">
        <v>4425</v>
      </c>
      <c r="M455" s="5" t="s">
        <v>4426</v>
      </c>
      <c r="N455" s="5" t="s">
        <v>4427</v>
      </c>
      <c r="O455" s="5" t="s">
        <v>4428</v>
      </c>
      <c r="P455" s="5" t="s">
        <v>4429</v>
      </c>
    </row>
    <row r="456" spans="1:16" x14ac:dyDescent="0.45">
      <c r="A456" s="1" t="s">
        <v>450</v>
      </c>
      <c r="B456" s="2">
        <v>4085953</v>
      </c>
      <c r="C456" s="3" t="s">
        <v>4430</v>
      </c>
      <c r="D456" s="3" t="s">
        <v>4431</v>
      </c>
      <c r="E456" s="3" t="s">
        <v>3922</v>
      </c>
      <c r="F456" s="5">
        <v>35388135</v>
      </c>
      <c r="G456" s="5">
        <v>36482043</v>
      </c>
      <c r="H456" s="5" t="s">
        <v>4432</v>
      </c>
      <c r="I456" s="5" t="s">
        <v>4433</v>
      </c>
      <c r="J456" s="5" t="s">
        <v>4434</v>
      </c>
      <c r="K456" s="5">
        <v>20607540</v>
      </c>
      <c r="L456" s="5" t="s">
        <v>4435</v>
      </c>
      <c r="M456" s="5" t="s">
        <v>4436</v>
      </c>
      <c r="N456" s="5">
        <v>12158880</v>
      </c>
      <c r="O456" s="5" t="s">
        <v>4437</v>
      </c>
      <c r="P456" s="5" t="s">
        <v>4438</v>
      </c>
    </row>
    <row r="457" spans="1:16" x14ac:dyDescent="0.45">
      <c r="A457" s="1" t="s">
        <v>451</v>
      </c>
      <c r="B457" s="2">
        <v>4063773</v>
      </c>
      <c r="C457" s="3" t="s">
        <v>4439</v>
      </c>
      <c r="D457" s="3" t="s">
        <v>4440</v>
      </c>
      <c r="E457" s="3" t="s">
        <v>1601</v>
      </c>
      <c r="F457" s="5" t="s">
        <v>4441</v>
      </c>
      <c r="G457" s="5" t="s">
        <v>4442</v>
      </c>
      <c r="H457" s="5" t="s">
        <v>4443</v>
      </c>
      <c r="I457" s="5" t="s">
        <v>4444</v>
      </c>
      <c r="J457" s="5" t="s">
        <v>4445</v>
      </c>
      <c r="K457" s="5" t="s">
        <v>4446</v>
      </c>
      <c r="L457" s="5">
        <v>94891394423</v>
      </c>
      <c r="M457" s="5">
        <v>8587382342</v>
      </c>
      <c r="N457" s="5">
        <v>79156732248</v>
      </c>
      <c r="O457" s="5">
        <v>80250282675</v>
      </c>
      <c r="P457" s="5">
        <v>7643727664</v>
      </c>
    </row>
    <row r="458" spans="1:16" x14ac:dyDescent="0.45">
      <c r="A458" s="1" t="s">
        <v>452</v>
      </c>
      <c r="B458" s="2">
        <v>103336</v>
      </c>
      <c r="C458" s="3" t="s">
        <v>4447</v>
      </c>
      <c r="D458" s="3" t="s">
        <v>4448</v>
      </c>
      <c r="E458" s="3" t="s">
        <v>718</v>
      </c>
      <c r="F458" s="5">
        <v>375353311707</v>
      </c>
      <c r="G458" s="5">
        <v>391839241612</v>
      </c>
      <c r="H458" s="5">
        <v>336566629705</v>
      </c>
      <c r="I458" s="5">
        <v>316838303343</v>
      </c>
      <c r="J458" s="5">
        <v>282135838302</v>
      </c>
      <c r="K458" s="5">
        <v>233861513775</v>
      </c>
      <c r="L458" s="5">
        <v>237586365184</v>
      </c>
      <c r="M458" s="5">
        <v>217441463118</v>
      </c>
      <c r="N458" s="5">
        <v>202369708776</v>
      </c>
      <c r="O458" s="5">
        <v>221335167212</v>
      </c>
      <c r="P458" s="5">
        <v>2000878786525</v>
      </c>
    </row>
    <row r="459" spans="1:16" x14ac:dyDescent="0.45">
      <c r="A459" s="1" t="s">
        <v>453</v>
      </c>
      <c r="B459" s="2">
        <v>4071818</v>
      </c>
      <c r="C459" s="3" t="s">
        <v>4449</v>
      </c>
      <c r="D459" s="3" t="s">
        <v>4450</v>
      </c>
      <c r="E459" s="3" t="s">
        <v>2046</v>
      </c>
      <c r="F459" s="5" t="s">
        <v>4451</v>
      </c>
      <c r="G459" s="5" t="s">
        <v>4452</v>
      </c>
      <c r="H459" s="5" t="s">
        <v>4453</v>
      </c>
      <c r="I459" s="5" t="s">
        <v>4454</v>
      </c>
      <c r="J459" s="5" t="s">
        <v>4455</v>
      </c>
      <c r="K459" s="5" t="s">
        <v>4456</v>
      </c>
      <c r="L459" s="5" t="s">
        <v>4457</v>
      </c>
      <c r="M459" s="5" t="s">
        <v>4458</v>
      </c>
      <c r="N459" s="5" t="s">
        <v>4459</v>
      </c>
      <c r="O459" s="5">
        <v>53942170211</v>
      </c>
      <c r="P459" s="5">
        <v>539352791625</v>
      </c>
    </row>
    <row r="460" spans="1:16" x14ac:dyDescent="0.45">
      <c r="A460" s="1" t="s">
        <v>454</v>
      </c>
      <c r="B460" s="2">
        <v>3005566</v>
      </c>
      <c r="C460" s="3" t="s">
        <v>4460</v>
      </c>
      <c r="D460" s="3" t="s">
        <v>4461</v>
      </c>
      <c r="E460" s="3" t="s">
        <v>1584</v>
      </c>
      <c r="F460" s="5" t="s">
        <v>4462</v>
      </c>
      <c r="G460" s="5" t="s">
        <v>4463</v>
      </c>
      <c r="H460" s="5" t="s">
        <v>4464</v>
      </c>
      <c r="I460" s="5">
        <v>218611008</v>
      </c>
      <c r="J460" s="5" t="s">
        <v>4465</v>
      </c>
      <c r="K460" s="5">
        <v>213318490</v>
      </c>
      <c r="L460" s="5">
        <v>191444535</v>
      </c>
      <c r="M460" s="5" t="s">
        <v>4466</v>
      </c>
      <c r="N460" s="5" t="s">
        <v>4467</v>
      </c>
      <c r="O460" s="5" t="s">
        <v>4468</v>
      </c>
      <c r="P460" s="5" t="s">
        <v>4469</v>
      </c>
    </row>
    <row r="461" spans="1:16" x14ac:dyDescent="0.45">
      <c r="A461" s="1" t="s">
        <v>455</v>
      </c>
      <c r="B461" s="2">
        <v>4216584</v>
      </c>
      <c r="C461" s="3" t="s">
        <v>4470</v>
      </c>
      <c r="D461" s="3" t="s">
        <v>4471</v>
      </c>
      <c r="E461" s="3" t="s">
        <v>2770</v>
      </c>
      <c r="F461" s="5" t="s">
        <v>4472</v>
      </c>
      <c r="G461" s="5">
        <v>100994504</v>
      </c>
      <c r="H461" s="5" t="s">
        <v>4473</v>
      </c>
      <c r="I461" s="5" t="s">
        <v>4474</v>
      </c>
      <c r="J461" s="5" t="s">
        <v>4475</v>
      </c>
      <c r="K461" s="5" t="s">
        <v>4476</v>
      </c>
      <c r="L461" s="5" t="s">
        <v>4477</v>
      </c>
      <c r="M461" s="5">
        <v>28429170</v>
      </c>
      <c r="N461" s="5">
        <v>18783804</v>
      </c>
      <c r="O461" s="5" t="s">
        <v>4478</v>
      </c>
      <c r="P461" s="5">
        <v>14606778</v>
      </c>
    </row>
    <row r="462" spans="1:16" x14ac:dyDescent="0.45">
      <c r="A462" s="1" t="s">
        <v>456</v>
      </c>
      <c r="B462" s="2">
        <v>4063852</v>
      </c>
      <c r="C462" s="3" t="s">
        <v>4479</v>
      </c>
      <c r="D462" s="3" t="s">
        <v>4480</v>
      </c>
      <c r="E462" s="3" t="s">
        <v>3570</v>
      </c>
      <c r="F462" s="5" t="s">
        <v>4481</v>
      </c>
      <c r="G462" s="5" t="s">
        <v>4482</v>
      </c>
      <c r="H462" s="5" t="s">
        <v>4483</v>
      </c>
      <c r="I462" s="5" t="s">
        <v>4484</v>
      </c>
      <c r="J462" s="5" t="s">
        <v>4485</v>
      </c>
      <c r="K462" s="5" t="s">
        <v>4486</v>
      </c>
      <c r="L462" s="5" t="s">
        <v>4487</v>
      </c>
      <c r="M462" s="5">
        <v>19782510</v>
      </c>
      <c r="N462" s="5" t="s">
        <v>4488</v>
      </c>
      <c r="O462" s="5" t="s">
        <v>4489</v>
      </c>
      <c r="P462" s="5" t="s">
        <v>4490</v>
      </c>
    </row>
    <row r="463" spans="1:16" x14ac:dyDescent="0.45">
      <c r="A463" s="1" t="s">
        <v>457</v>
      </c>
      <c r="B463" s="2">
        <v>4337758</v>
      </c>
      <c r="C463" s="3" t="s">
        <v>4491</v>
      </c>
      <c r="D463" s="3" t="s">
        <v>4492</v>
      </c>
      <c r="E463" s="3" t="s">
        <v>578</v>
      </c>
      <c r="F463" s="5">
        <v>4323697635</v>
      </c>
      <c r="G463" s="5">
        <v>43985105905</v>
      </c>
      <c r="H463" s="5">
        <v>41859148138</v>
      </c>
      <c r="I463" s="5">
        <v>30704555721</v>
      </c>
      <c r="J463" s="5">
        <v>27213737076</v>
      </c>
      <c r="K463" s="5" t="s">
        <v>4493</v>
      </c>
      <c r="L463" s="5">
        <v>22785917105</v>
      </c>
      <c r="M463" s="5">
        <v>32555338684</v>
      </c>
      <c r="N463" s="5">
        <v>44341220112</v>
      </c>
      <c r="O463" s="5">
        <v>44163684907</v>
      </c>
      <c r="P463" s="5">
        <v>393038434775</v>
      </c>
    </row>
    <row r="464" spans="1:16" x14ac:dyDescent="0.45">
      <c r="A464" s="1" t="s">
        <v>458</v>
      </c>
      <c r="B464" s="2">
        <v>4009725</v>
      </c>
      <c r="C464" s="3" t="s">
        <v>4494</v>
      </c>
      <c r="D464" s="3" t="s">
        <v>4495</v>
      </c>
      <c r="E464" s="3" t="s">
        <v>686</v>
      </c>
      <c r="F464" s="5" t="s">
        <v>4496</v>
      </c>
      <c r="G464" s="5" t="s">
        <v>4497</v>
      </c>
      <c r="H464" s="5" t="s">
        <v>4498</v>
      </c>
      <c r="I464" s="5" t="s">
        <v>4499</v>
      </c>
      <c r="J464" s="5" t="s">
        <v>4500</v>
      </c>
      <c r="K464" s="5" t="s">
        <v>4501</v>
      </c>
      <c r="L464" s="5" t="s">
        <v>4502</v>
      </c>
      <c r="M464" s="5" t="s">
        <v>4503</v>
      </c>
      <c r="N464" s="5" t="s">
        <v>4504</v>
      </c>
      <c r="O464" s="5" t="s">
        <v>4505</v>
      </c>
      <c r="P464" s="5" t="s">
        <v>4506</v>
      </c>
    </row>
    <row r="465" spans="1:16" x14ac:dyDescent="0.45">
      <c r="A465" s="1" t="s">
        <v>459</v>
      </c>
      <c r="B465" s="2">
        <v>100382</v>
      </c>
      <c r="C465" s="3" t="s">
        <v>4507</v>
      </c>
      <c r="D465" s="3" t="s">
        <v>4508</v>
      </c>
      <c r="E465" s="3" t="s">
        <v>1004</v>
      </c>
      <c r="F465" s="5" t="s">
        <v>4509</v>
      </c>
      <c r="G465" s="5" t="s">
        <v>4510</v>
      </c>
      <c r="H465" s="5" t="s">
        <v>4511</v>
      </c>
      <c r="I465" s="5">
        <v>1760070414</v>
      </c>
      <c r="J465" s="5" t="s">
        <v>4512</v>
      </c>
      <c r="K465" s="5" t="s">
        <v>4513</v>
      </c>
      <c r="L465" s="5" t="s">
        <v>4514</v>
      </c>
      <c r="M465" s="5" t="s">
        <v>4515</v>
      </c>
      <c r="N465" s="5" t="s">
        <v>4516</v>
      </c>
      <c r="O465" s="5" t="s">
        <v>4517</v>
      </c>
      <c r="P465" s="5">
        <v>1645962164</v>
      </c>
    </row>
    <row r="466" spans="1:16" x14ac:dyDescent="0.45">
      <c r="A466" s="1" t="s">
        <v>460</v>
      </c>
      <c r="B466" s="2">
        <v>102952</v>
      </c>
      <c r="C466" s="3" t="s">
        <v>4518</v>
      </c>
      <c r="D466" s="3" t="s">
        <v>4519</v>
      </c>
      <c r="E466" s="3" t="s">
        <v>607</v>
      </c>
      <c r="F466" s="5">
        <v>573220051299</v>
      </c>
      <c r="G466" s="5">
        <v>493036970972</v>
      </c>
      <c r="H466" s="5">
        <v>398178065802</v>
      </c>
      <c r="I466" s="5">
        <v>354566981181</v>
      </c>
      <c r="J466" s="5">
        <v>306966487725</v>
      </c>
      <c r="K466" s="5">
        <v>26555377335</v>
      </c>
      <c r="L466" s="5">
        <v>297455872161</v>
      </c>
      <c r="M466" s="5">
        <v>265007656848</v>
      </c>
      <c r="N466" s="5">
        <v>23272133796</v>
      </c>
      <c r="O466" s="5">
        <v>273439888032</v>
      </c>
      <c r="P466" s="5">
        <v>2672370528375</v>
      </c>
    </row>
    <row r="467" spans="1:16" x14ac:dyDescent="0.45">
      <c r="A467" s="1" t="s">
        <v>461</v>
      </c>
      <c r="B467" s="2">
        <v>4102413</v>
      </c>
      <c r="C467" s="3" t="s">
        <v>4520</v>
      </c>
      <c r="D467" s="3" t="s">
        <v>4521</v>
      </c>
      <c r="E467" s="3" t="s">
        <v>610</v>
      </c>
      <c r="F467" s="5">
        <v>3636759</v>
      </c>
      <c r="G467" s="5" t="s">
        <v>4522</v>
      </c>
      <c r="H467" s="5" t="s">
        <v>4523</v>
      </c>
      <c r="I467" s="5" t="s">
        <v>4524</v>
      </c>
      <c r="J467" s="5" t="s">
        <v>4525</v>
      </c>
      <c r="K467" s="5" t="s">
        <v>4526</v>
      </c>
      <c r="L467" s="5" t="s">
        <v>4527</v>
      </c>
      <c r="M467" s="5" t="s">
        <v>4528</v>
      </c>
      <c r="N467" s="5" t="s">
        <v>4529</v>
      </c>
      <c r="O467" s="5" t="s">
        <v>4530</v>
      </c>
      <c r="P467" s="5">
        <v>1560763325</v>
      </c>
    </row>
    <row r="468" spans="1:16" x14ac:dyDescent="0.45">
      <c r="A468" s="1" t="s">
        <v>462</v>
      </c>
      <c r="B468" s="2">
        <v>4071659</v>
      </c>
      <c r="C468" s="3" t="s">
        <v>4531</v>
      </c>
      <c r="D468" s="3" t="s">
        <v>4532</v>
      </c>
      <c r="E468" s="3" t="s">
        <v>832</v>
      </c>
      <c r="F468" s="5">
        <v>11950707</v>
      </c>
      <c r="G468" s="5" t="s">
        <v>4533</v>
      </c>
      <c r="H468" s="5">
        <v>22484136</v>
      </c>
      <c r="I468" s="5" t="s">
        <v>4534</v>
      </c>
      <c r="J468" s="5" t="s">
        <v>4535</v>
      </c>
      <c r="K468" s="5">
        <v>22826349</v>
      </c>
      <c r="L468" s="5">
        <v>23173956</v>
      </c>
      <c r="M468" s="5" t="s">
        <v>4536</v>
      </c>
      <c r="N468" s="5">
        <v>26172290</v>
      </c>
      <c r="O468" s="5" t="s">
        <v>4537</v>
      </c>
      <c r="P468" s="5" t="s">
        <v>4538</v>
      </c>
    </row>
    <row r="469" spans="1:16" x14ac:dyDescent="0.45">
      <c r="A469" s="1" t="s">
        <v>463</v>
      </c>
      <c r="B469" s="2">
        <v>4994265</v>
      </c>
      <c r="C469" s="3" t="s">
        <v>4539</v>
      </c>
      <c r="D469" s="3" t="s">
        <v>4540</v>
      </c>
      <c r="E469" s="3" t="s">
        <v>1248</v>
      </c>
      <c r="F469" s="5" t="s">
        <v>4541</v>
      </c>
      <c r="G469" s="5" t="s">
        <v>4542</v>
      </c>
      <c r="H469" s="5" t="s">
        <v>4543</v>
      </c>
      <c r="I469" s="5" t="s">
        <v>4544</v>
      </c>
      <c r="J469" s="5" t="s">
        <v>4545</v>
      </c>
      <c r="K469" s="5">
        <v>15086145</v>
      </c>
      <c r="L469" s="5" t="s">
        <v>4546</v>
      </c>
      <c r="M469" s="5" t="s">
        <v>4547</v>
      </c>
      <c r="N469" s="5">
        <v>5479807344</v>
      </c>
      <c r="O469" s="5">
        <v>62341983514</v>
      </c>
      <c r="P469" s="5">
        <v>297357409475</v>
      </c>
    </row>
    <row r="470" spans="1:16" x14ac:dyDescent="0.45">
      <c r="A470" s="1" t="s">
        <v>464</v>
      </c>
      <c r="B470" s="2">
        <v>4006248</v>
      </c>
      <c r="C470" s="3" t="s">
        <v>4548</v>
      </c>
      <c r="D470" s="3" t="s">
        <v>4549</v>
      </c>
      <c r="E470" s="3" t="s">
        <v>4550</v>
      </c>
      <c r="F470" s="5" t="s">
        <v>4551</v>
      </c>
      <c r="G470" s="5" t="s">
        <v>4552</v>
      </c>
      <c r="H470" s="5" t="s">
        <v>4553</v>
      </c>
      <c r="I470" s="5">
        <v>16225038</v>
      </c>
      <c r="J470" s="5" t="s">
        <v>4554</v>
      </c>
      <c r="K470" s="5" t="s">
        <v>4555</v>
      </c>
      <c r="L470" s="5" t="s">
        <v>4556</v>
      </c>
      <c r="M470" s="5" t="s">
        <v>4557</v>
      </c>
      <c r="N470" s="5" t="s">
        <v>4558</v>
      </c>
      <c r="O470" s="5" t="s">
        <v>4559</v>
      </c>
      <c r="P470" s="5">
        <v>11711940</v>
      </c>
    </row>
    <row r="471" spans="1:16" x14ac:dyDescent="0.45">
      <c r="A471" s="1" t="s">
        <v>465</v>
      </c>
      <c r="B471" s="2">
        <v>4252151</v>
      </c>
      <c r="C471" s="3" t="s">
        <v>4560</v>
      </c>
      <c r="D471" s="3" t="s">
        <v>4561</v>
      </c>
      <c r="E471" s="3" t="s">
        <v>4562</v>
      </c>
      <c r="F471" s="5">
        <v>51006760947</v>
      </c>
      <c r="G471" s="5">
        <v>48537735792</v>
      </c>
      <c r="H471" s="5">
        <v>42955703392</v>
      </c>
      <c r="I471" s="5">
        <v>4144092958</v>
      </c>
      <c r="J471" s="5">
        <v>38400810912</v>
      </c>
      <c r="K471" s="5">
        <v>3656745884</v>
      </c>
      <c r="L471" s="5">
        <v>24497058396</v>
      </c>
      <c r="M471" s="5">
        <v>22419707952</v>
      </c>
      <c r="N471" s="5">
        <v>23163772408</v>
      </c>
      <c r="O471" s="5">
        <v>223406516205</v>
      </c>
      <c r="P471" s="5">
        <v>206404285275</v>
      </c>
    </row>
    <row r="472" spans="1:16" x14ac:dyDescent="0.45">
      <c r="A472" s="1" t="s">
        <v>466</v>
      </c>
      <c r="B472" s="2">
        <v>4248534</v>
      </c>
      <c r="C472" s="3" t="s">
        <v>4563</v>
      </c>
      <c r="D472" s="3" t="s">
        <v>4564</v>
      </c>
      <c r="E472" s="3" t="s">
        <v>800</v>
      </c>
      <c r="F472" s="5">
        <v>25150701</v>
      </c>
      <c r="G472" s="5" t="s">
        <v>4565</v>
      </c>
      <c r="H472" s="5">
        <v>26317723</v>
      </c>
      <c r="I472" s="5" t="s">
        <v>4566</v>
      </c>
      <c r="J472" s="5">
        <v>30749121</v>
      </c>
      <c r="K472" s="5" t="s">
        <v>4567</v>
      </c>
      <c r="L472" s="5" t="s">
        <v>4568</v>
      </c>
      <c r="M472" s="5">
        <v>28285059</v>
      </c>
      <c r="N472" s="5" t="s">
        <v>4569</v>
      </c>
      <c r="O472" s="5" t="s">
        <v>4570</v>
      </c>
      <c r="P472" s="5" t="s">
        <v>4571</v>
      </c>
    </row>
    <row r="473" spans="1:16" x14ac:dyDescent="0.45">
      <c r="A473" s="1" t="s">
        <v>467</v>
      </c>
      <c r="B473" s="2">
        <v>4334777</v>
      </c>
      <c r="C473" s="3" t="s">
        <v>4572</v>
      </c>
      <c r="D473" s="3" t="s">
        <v>4573</v>
      </c>
      <c r="E473" s="3" t="s">
        <v>547</v>
      </c>
      <c r="F473" s="5" t="s">
        <v>4574</v>
      </c>
      <c r="G473" s="5" t="s">
        <v>4575</v>
      </c>
      <c r="H473" s="5" t="s">
        <v>4576</v>
      </c>
      <c r="I473" s="5">
        <v>9373065264</v>
      </c>
      <c r="J473" s="5">
        <v>71822269818</v>
      </c>
      <c r="K473" s="5" t="s">
        <v>4577</v>
      </c>
      <c r="L473" s="5">
        <v>4819611258</v>
      </c>
      <c r="M473" s="5">
        <v>39772341536</v>
      </c>
      <c r="N473" s="5">
        <v>30287169294</v>
      </c>
      <c r="O473" s="5">
        <v>25230163701</v>
      </c>
      <c r="P473" s="5">
        <v>20815922175</v>
      </c>
    </row>
    <row r="474" spans="1:16" x14ac:dyDescent="0.45">
      <c r="A474" s="1" t="s">
        <v>468</v>
      </c>
      <c r="B474" s="2">
        <v>4107971</v>
      </c>
      <c r="C474" s="3" t="s">
        <v>4578</v>
      </c>
      <c r="D474" s="3" t="s">
        <v>4579</v>
      </c>
      <c r="E474" s="3" t="s">
        <v>2721</v>
      </c>
      <c r="F474" s="5">
        <v>111641832489</v>
      </c>
      <c r="G474" s="5">
        <v>125354144617</v>
      </c>
      <c r="H474" s="5">
        <v>126623829481</v>
      </c>
      <c r="I474" s="5" t="s">
        <v>4580</v>
      </c>
      <c r="J474" s="5">
        <v>110183553018</v>
      </c>
      <c r="K474" s="5">
        <v>113383546725</v>
      </c>
      <c r="L474" s="5">
        <v>123606984991</v>
      </c>
      <c r="M474" s="5">
        <v>115430893446</v>
      </c>
      <c r="N474" s="5">
        <v>105613522392</v>
      </c>
      <c r="O474" s="5">
        <v>113236045461</v>
      </c>
      <c r="P474" s="5">
        <v>963027064925</v>
      </c>
    </row>
    <row r="475" spans="1:16" x14ac:dyDescent="0.45">
      <c r="A475" s="1" t="s">
        <v>469</v>
      </c>
      <c r="B475" s="2">
        <v>4025308</v>
      </c>
      <c r="C475" s="3" t="s">
        <v>4581</v>
      </c>
      <c r="D475" s="3" t="s">
        <v>4582</v>
      </c>
      <c r="E475" s="3" t="s">
        <v>627</v>
      </c>
      <c r="F475" s="5" t="s">
        <v>4583</v>
      </c>
      <c r="G475" s="5" t="s">
        <v>4584</v>
      </c>
      <c r="H475" s="5" t="s">
        <v>4585</v>
      </c>
      <c r="I475" s="5" t="s">
        <v>4586</v>
      </c>
      <c r="J475" s="5" t="s">
        <v>4587</v>
      </c>
      <c r="K475" s="5" t="s">
        <v>4588</v>
      </c>
      <c r="L475" s="5" t="s">
        <v>4589</v>
      </c>
      <c r="M475" s="5" t="s">
        <v>4590</v>
      </c>
      <c r="N475" s="5">
        <v>35835384</v>
      </c>
      <c r="O475" s="5" t="s">
        <v>4591</v>
      </c>
      <c r="P475" s="5">
        <v>3574487494775</v>
      </c>
    </row>
    <row r="476" spans="1:16" x14ac:dyDescent="0.45">
      <c r="A476" s="1" t="s">
        <v>470</v>
      </c>
      <c r="B476" s="2">
        <v>4317520</v>
      </c>
      <c r="C476" s="3" t="s">
        <v>4592</v>
      </c>
      <c r="D476" s="3" t="s">
        <v>4593</v>
      </c>
      <c r="E476" s="3" t="s">
        <v>1795</v>
      </c>
      <c r="F476" s="5" t="s">
        <v>4594</v>
      </c>
      <c r="G476" s="5" t="s">
        <v>4595</v>
      </c>
      <c r="H476" s="5" t="s">
        <v>4596</v>
      </c>
      <c r="I476" s="5" t="s">
        <v>4597</v>
      </c>
      <c r="J476" s="5" t="s">
        <v>4598</v>
      </c>
      <c r="K476" s="5">
        <v>7153125</v>
      </c>
      <c r="L476" s="5">
        <v>6870381</v>
      </c>
      <c r="M476" s="5" t="s">
        <v>4599</v>
      </c>
      <c r="N476" s="5">
        <v>5713008</v>
      </c>
      <c r="O476" s="5" t="s">
        <v>4600</v>
      </c>
      <c r="P476" s="5" t="s">
        <v>4601</v>
      </c>
    </row>
    <row r="477" spans="1:16" x14ac:dyDescent="0.45">
      <c r="A477" s="1" t="s">
        <v>471</v>
      </c>
      <c r="B477" s="2">
        <v>4025819</v>
      </c>
      <c r="C477" s="3" t="s">
        <v>4602</v>
      </c>
      <c r="D477" s="3" t="s">
        <v>4603</v>
      </c>
      <c r="E477" s="3" t="s">
        <v>1361</v>
      </c>
      <c r="F477" s="5" t="s">
        <v>4604</v>
      </c>
      <c r="G477" s="5" t="s">
        <v>4605</v>
      </c>
      <c r="H477" s="5" t="s">
        <v>4606</v>
      </c>
      <c r="I477" s="5" t="s">
        <v>4607</v>
      </c>
      <c r="J477" s="5" t="s">
        <v>4608</v>
      </c>
      <c r="K477" s="5">
        <v>4784010</v>
      </c>
      <c r="L477" s="5" t="s">
        <v>4609</v>
      </c>
      <c r="M477" s="5">
        <v>3607142</v>
      </c>
      <c r="N477" s="5" t="s">
        <v>4610</v>
      </c>
      <c r="O477" s="5" t="s">
        <v>4611</v>
      </c>
      <c r="P477" s="5" t="s">
        <v>4612</v>
      </c>
    </row>
    <row r="478" spans="1:16" x14ac:dyDescent="0.45">
      <c r="A478" s="1" t="s">
        <v>472</v>
      </c>
      <c r="B478" s="2">
        <v>4376897</v>
      </c>
      <c r="C478" s="3" t="s">
        <v>4613</v>
      </c>
      <c r="D478" s="3" t="s">
        <v>4614</v>
      </c>
      <c r="E478" s="3" t="s">
        <v>2656</v>
      </c>
      <c r="F478" s="5" t="s">
        <v>4615</v>
      </c>
      <c r="G478" s="5" t="s">
        <v>4616</v>
      </c>
      <c r="H478" s="5" t="s">
        <v>4617</v>
      </c>
      <c r="I478" s="5" t="s">
        <v>4618</v>
      </c>
      <c r="J478" s="5" t="s">
        <v>4619</v>
      </c>
      <c r="K478" s="5" t="s">
        <v>4620</v>
      </c>
      <c r="L478" s="5" t="s">
        <v>4621</v>
      </c>
      <c r="M478" s="5" t="s">
        <v>4622</v>
      </c>
      <c r="N478" s="5">
        <v>3560220</v>
      </c>
      <c r="O478" s="5" t="s">
        <v>4623</v>
      </c>
      <c r="P478" s="5">
        <v>4640580</v>
      </c>
    </row>
    <row r="479" spans="1:16" x14ac:dyDescent="0.45">
      <c r="A479" s="1" t="s">
        <v>473</v>
      </c>
      <c r="B479" s="2">
        <v>4812735</v>
      </c>
      <c r="C479" s="3" t="s">
        <v>4624</v>
      </c>
      <c r="D479" s="3" t="s">
        <v>4625</v>
      </c>
      <c r="E479" s="3" t="s">
        <v>518</v>
      </c>
      <c r="F479" s="5" t="s">
        <v>4626</v>
      </c>
      <c r="G479" s="5" t="s">
        <v>4627</v>
      </c>
      <c r="H479" s="5" t="s">
        <v>4628</v>
      </c>
      <c r="I479" s="5" t="s">
        <v>4629</v>
      </c>
      <c r="J479" s="5" t="s">
        <v>4630</v>
      </c>
      <c r="K479" s="5" t="s">
        <v>4631</v>
      </c>
      <c r="L479" s="5" t="s">
        <v>4632</v>
      </c>
      <c r="M479" s="5" t="s">
        <v>4633</v>
      </c>
      <c r="N479" s="5" t="s">
        <v>4634</v>
      </c>
      <c r="O479" s="5" t="s">
        <v>4635</v>
      </c>
      <c r="P479" s="5" t="s">
        <v>4636</v>
      </c>
    </row>
    <row r="480" spans="1:16" x14ac:dyDescent="0.45">
      <c r="A480" s="1" t="s">
        <v>474</v>
      </c>
      <c r="B480" s="2">
        <v>4810470</v>
      </c>
      <c r="C480" s="3" t="s">
        <v>4637</v>
      </c>
      <c r="D480" s="3" t="s">
        <v>4638</v>
      </c>
      <c r="E480" s="3" t="s">
        <v>1127</v>
      </c>
      <c r="F480" s="5" t="s">
        <v>4639</v>
      </c>
      <c r="G480" s="5" t="s">
        <v>4640</v>
      </c>
      <c r="H480" s="5" t="s">
        <v>4641</v>
      </c>
      <c r="I480" s="5" t="s">
        <v>4642</v>
      </c>
      <c r="J480" s="5">
        <v>12222270</v>
      </c>
      <c r="K480" s="5" t="s">
        <v>4643</v>
      </c>
      <c r="L480" s="5" t="s">
        <v>4644</v>
      </c>
      <c r="M480" s="5" t="s">
        <v>4645</v>
      </c>
      <c r="N480" s="5" t="s">
        <v>4646</v>
      </c>
      <c r="O480" s="5" t="s">
        <v>4647</v>
      </c>
      <c r="P480" s="5" t="s">
        <v>4648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Antoine Dely</dc:creator>
  <cp:lastModifiedBy>Antoine Dely</cp:lastModifiedBy>
  <dcterms:created xsi:type="dcterms:W3CDTF">2026-04-07T15:02:52Z</dcterms:created>
  <dcterms:modified xsi:type="dcterms:W3CDTF">2026-04-07T15:23:50Z</dcterms:modified>
</cp:coreProperties>
</file>