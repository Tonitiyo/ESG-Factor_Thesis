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nton\OneDrive\Bureau\Edhec course\Master 2\Research Thesis\Data\"/>
    </mc:Choice>
  </mc:AlternateContent>
  <xr:revisionPtr revIDLastSave="0" documentId="13_ncr:1_{CCC5FBC7-3A14-494E-8C65-47E00016335C}" xr6:coauthVersionLast="47" xr6:coauthVersionMax="47" xr10:uidLastSave="{00000000-0000-0000-0000-000000000000}"/>
  <bookViews>
    <workbookView xWindow="-98" yWindow="-98" windowWidth="19396" windowHeight="11475" firstSheet="1" activeTab="1" xr2:uid="{117DD7DA-CC57-4F42-886D-36FF59676D16}"/>
  </bookViews>
  <sheets>
    <sheet name="__snloffice" sheetId="2" state="veryHidden" r:id="rId1"/>
    <sheet name="Feuil1" sheetId="1" r:id="rId2"/>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B2" i="1"/>
  <c r="D4" i="1"/>
  <c r="A1" i="1" s="1"/>
  <c r="C2" i="1"/>
  <c r="D2" i="1"/>
  <c r="E2" i="1"/>
</calcChain>
</file>

<file path=xl/sharedStrings.xml><?xml version="1.0" encoding="utf-8"?>
<sst xmlns="http://schemas.openxmlformats.org/spreadsheetml/2006/main" count="12798" uniqueCount="8922">
  <si>
    <t>Tyler Technologies, Inc. (NYSE:TYL)</t>
  </si>
  <si>
    <t>Lennox International Inc. (NYSE:LII)</t>
  </si>
  <si>
    <t>HCA Healthcare, Inc. (NYSE:HCA)</t>
  </si>
  <si>
    <t>Best Buy Co., Inc. (NYSE:BBY)</t>
  </si>
  <si>
    <t>Parker-Hannifin Corporation (NYSE:PH)</t>
  </si>
  <si>
    <t>Lam Research Corporation (NASDAQGS:LRCX)</t>
  </si>
  <si>
    <t>Global Payments Inc. (NYSE:GPN)</t>
  </si>
  <si>
    <t>LyondellBasell Industries N.V. (NYSE:LYB)</t>
  </si>
  <si>
    <t>AutoZone, Inc. (NYSE:AZO)</t>
  </si>
  <si>
    <t>Chevron Corporation (NYSE:CVX)</t>
  </si>
  <si>
    <t>CMS Energy Corporation (NYSE:CMS)</t>
  </si>
  <si>
    <t>Colgate-Palmolive Company (NYSE:CL)</t>
  </si>
  <si>
    <t>FactSet Research Systems Inc. (NYSE:FDS)</t>
  </si>
  <si>
    <t>Gen Digital Inc. (NASDAQGS:GEN)</t>
  </si>
  <si>
    <t>Intuit Inc. (NASDAQGS:INTU)</t>
  </si>
  <si>
    <t>Elevance Health, Inc. (NYSE:ELV)</t>
  </si>
  <si>
    <t>Northern Trust Corporation (NASDAQGS:NTRS)</t>
  </si>
  <si>
    <t>Zimmer Biomet Holdings, Inc. (NYSE:ZBH)</t>
  </si>
  <si>
    <t>Deere &amp; Company (NYSE:DE)</t>
  </si>
  <si>
    <t>Danaher Corporation (NYSE:DHR)</t>
  </si>
  <si>
    <t>Broadridge Financial Solutions, Inc. (NYSE:BR)</t>
  </si>
  <si>
    <t>J.B. Hunt Transport Services, Inc. (NASDAQGS:JBHT)</t>
  </si>
  <si>
    <t>Corpay, Inc. (NYSE:CPAY)</t>
  </si>
  <si>
    <t>Salesforce, Inc. (NYSE:CRM)</t>
  </si>
  <si>
    <t>PulteGroup, Inc. (NYSE:PHM)</t>
  </si>
  <si>
    <t>Ciena Corporation (NYSE:CIEN)</t>
  </si>
  <si>
    <t>Align Technology, Inc. (NASDAQGS:ALGN)</t>
  </si>
  <si>
    <t>Weyerhaeuser Company (NYSE:WY)</t>
  </si>
  <si>
    <t>Lockheed Martin Corporation (NYSE:LMT)</t>
  </si>
  <si>
    <t>Assurant, Inc. (NYSE:AIZ)</t>
  </si>
  <si>
    <t>Universal Health Services, Inc. (NYSE:UHS)</t>
  </si>
  <si>
    <t>Mettler-Toledo International Inc. (NYSE:MTD)</t>
  </si>
  <si>
    <t>Principal Financial Group, Inc. (NASDAQGS:PFG)</t>
  </si>
  <si>
    <t>Delta Air Lines, Inc. (NYSE:DAL)</t>
  </si>
  <si>
    <t>eBay Inc. (NASDAQGS:EBAY)</t>
  </si>
  <si>
    <t>Crown Castle Inc. (NYSE:CCI)</t>
  </si>
  <si>
    <t>Royal Caribbean Cruises Ltd. (NYSE:RCL)</t>
  </si>
  <si>
    <t>KLA Corporation (NASDAQGS:KLAC)</t>
  </si>
  <si>
    <t>CF Industries Holdings, Inc. (NYSE:CF)</t>
  </si>
  <si>
    <t>The Sherwin-Williams Company (NYSE:SHW)</t>
  </si>
  <si>
    <t>EOG Resources, Inc. (NYSE:EOG)</t>
  </si>
  <si>
    <t>CoStar Group, Inc. (NASDAQGS:CSGP)</t>
  </si>
  <si>
    <t>Prudential Financial, Inc. (NYSE:PRU)</t>
  </si>
  <si>
    <t>Cencora, Inc. (NYSE:COR)</t>
  </si>
  <si>
    <t>Aon plc (NYSE:AON)</t>
  </si>
  <si>
    <t>Republic Services, Inc. (NYSE:RSG)</t>
  </si>
  <si>
    <t>Arthur J. Gallagher &amp; Co. (NYSE:AJG)</t>
  </si>
  <si>
    <t>Chubb Limited (NYSE:CB)</t>
  </si>
  <si>
    <t>Westinghouse Air Brake Technologies Corporation (NYSE:WAB)</t>
  </si>
  <si>
    <t>Amphenol Corporation (NYSE:APH)</t>
  </si>
  <si>
    <t>Roper Technologies, Inc. (NASDAQGS:ROP)</t>
  </si>
  <si>
    <t>Akamai Technologies, Inc. (NASDAQGS:AKAM)</t>
  </si>
  <si>
    <t>MetLife, Inc. (NYSE:MET)</t>
  </si>
  <si>
    <t>Everest Group, Ltd. (NYSE:EG)</t>
  </si>
  <si>
    <t>Host Hotels &amp; Resorts, Inc. (NASDAQGS:HST)</t>
  </si>
  <si>
    <t>International Flavors &amp; Fragrances Inc. (NYSE:IFF)</t>
  </si>
  <si>
    <t>TE Connectivity plc (NYSE:TEL)</t>
  </si>
  <si>
    <t>Essex Property Trust, Inc. (NYSE:ESS)</t>
  </si>
  <si>
    <t>Mid-America Apartment Communities, Inc. (NYSE:MAA)</t>
  </si>
  <si>
    <t>Dollar General Corporation (NYSE:DG)</t>
  </si>
  <si>
    <t>General Electric Company (NYSE:GE)</t>
  </si>
  <si>
    <t>EMCOR Group, Inc. (NYSE:EME)</t>
  </si>
  <si>
    <t>FirstEnergy Corp. (NYSE:FE)</t>
  </si>
  <si>
    <t>The Cigna Group (NYSE:CI)</t>
  </si>
  <si>
    <t>Edison International (NYSE:EIX)</t>
  </si>
  <si>
    <t>Federal Realty Investment Trust (NYSE:FRT)</t>
  </si>
  <si>
    <t>NRG Energy, Inc. (NYSE:NRG)</t>
  </si>
  <si>
    <t>West Pharmaceutical Services, Inc. (NYSE:WST)</t>
  </si>
  <si>
    <t>Booking Holdings Inc. (NASDAQGS:BKNG)</t>
  </si>
  <si>
    <t>Northrop Grumman Corporation (NYSE:NOC)</t>
  </si>
  <si>
    <t>PTC Inc. (NASDAQGS:PTC)</t>
  </si>
  <si>
    <t>The Estée Lauder Companies Inc. (NYSE:EL)</t>
  </si>
  <si>
    <t>Micron Technology, Inc. (NASDAQGS:MU)</t>
  </si>
  <si>
    <t>Quanta Services, Inc. (NYSE:PWR)</t>
  </si>
  <si>
    <t>Ralph Lauren Corporation (NYSE:RL)</t>
  </si>
  <si>
    <t>Electronic Arts Inc. (NASDAQGS:EA)</t>
  </si>
  <si>
    <t>Axon Enterprise, Inc. (NASDAQGS:AXON)</t>
  </si>
  <si>
    <t>Williams-Sonoma, Inc. (NYSE:WSM)</t>
  </si>
  <si>
    <t>Regeneron Pharmaceuticals, Inc. (NASDAQGS:REGN)</t>
  </si>
  <si>
    <t>Intuitive Surgical, Inc. (NASDAQGS:ISRG)</t>
  </si>
  <si>
    <t>EQT Corporation (NYSE:EQT)</t>
  </si>
  <si>
    <t>W.W. Grainger, Inc. (NYSE:GWW)</t>
  </si>
  <si>
    <t>W. R. Berkley Corporation (NYSE:WRB)</t>
  </si>
  <si>
    <t>Aflac Incorporated (NYSE:AFL)</t>
  </si>
  <si>
    <t>The J. M. Smucker Company (NYSE:SJM)</t>
  </si>
  <si>
    <t>Comcast Corporation (NASDAQGS:CMCSA)</t>
  </si>
  <si>
    <t>Amgen Inc. (NASDAQGS:AMGN)</t>
  </si>
  <si>
    <t>Arista Networks, Inc. (NYSE:ANET)</t>
  </si>
  <si>
    <t>Tapestry, Inc. (NYSE:TPR)</t>
  </si>
  <si>
    <t>Deckers Outdoor Corporation (NYSE:DECK)</t>
  </si>
  <si>
    <t>Fastenal Company (NASDAQGS:FAST)</t>
  </si>
  <si>
    <t>Franklin Resources, Inc. (NYSE:BEN)</t>
  </si>
  <si>
    <t>Intercontinental Exchange, Inc. (NYSE:ICE)</t>
  </si>
  <si>
    <t>Amazon.com, Inc. (NASDAQGS:AMZN)</t>
  </si>
  <si>
    <t>D.R. Horton, Inc. (NYSE:DHI)</t>
  </si>
  <si>
    <t>Hasbro, Inc. (NASDAQGS:HAS)</t>
  </si>
  <si>
    <t>Duke Energy Corporation (NYSE:DUK)</t>
  </si>
  <si>
    <t>The AES Corporation (NYSE:AES)</t>
  </si>
  <si>
    <t>Ross Stores, Inc. (NASDAQGS:ROST)</t>
  </si>
  <si>
    <t>News Corporation (NASDAQGS:NWSA)</t>
  </si>
  <si>
    <t>Avery Dennison Corporation (NYSE:AVY)</t>
  </si>
  <si>
    <t>Tyson Foods, Inc. (NYSE:TSN)</t>
  </si>
  <si>
    <t>Monolithic Power Systems, Inc. (NASDAQGS:MPWR)</t>
  </si>
  <si>
    <t>Paramount Skydance Corporation (NASDAQGS:PSKY)</t>
  </si>
  <si>
    <t>Citigroup Inc. (NYSE:C)</t>
  </si>
  <si>
    <t>Citizens Financial Group, Inc. (NYSE:CFG)</t>
  </si>
  <si>
    <t>DaVita Inc. (NYSE:DVA)</t>
  </si>
  <si>
    <t>Alliant Energy Corporation (NASDAQGS:LNT)</t>
  </si>
  <si>
    <t>Centene Corporation (NYSE:CNC)</t>
  </si>
  <si>
    <t>Gilead Sciences, Inc. (NASDAQGS:GILD)</t>
  </si>
  <si>
    <t>International Paper Company (NYSE:IP)</t>
  </si>
  <si>
    <t>Halliburton Company (NYSE:HAL)</t>
  </si>
  <si>
    <t>Evergy, Inc. (NASDAQGS:EVRG)</t>
  </si>
  <si>
    <t>Equity Residential (NYSE:EQR)</t>
  </si>
  <si>
    <t>Norfolk Southern Corporation (NYSE:NSC)</t>
  </si>
  <si>
    <t>Fair Isaac Corporation (NYSE:FICO)</t>
  </si>
  <si>
    <t>Raymond James Financial, Inc. (NYSE:RJF)</t>
  </si>
  <si>
    <t>Molson Coors Beverage Company (NYSE:TAP)</t>
  </si>
  <si>
    <t>Comfort Systems USA, Inc. (NYSE:FIX)</t>
  </si>
  <si>
    <t>Newmont Corporation (NYSE:NEM)</t>
  </si>
  <si>
    <t>Linde plc (NASDAQGS:LIN)</t>
  </si>
  <si>
    <t>Alphabet Inc. (NASDAQGS:GOOGL)</t>
  </si>
  <si>
    <t>Camden Property Trust (NYSE:CPT)</t>
  </si>
  <si>
    <t>Palo Alto Networks, Inc. (NASDAQGS:PANW)</t>
  </si>
  <si>
    <t>Leidos Holdings, Inc. (NYSE:LDOS)</t>
  </si>
  <si>
    <t>Revvity, Inc. (NYSE:RVTY)</t>
  </si>
  <si>
    <t>Realty Income Corporation (NYSE:O)</t>
  </si>
  <si>
    <t>QUALCOMM Incorporated (NASDAQGS:QCOM)</t>
  </si>
  <si>
    <t>General Mills, Inc. (NYSE:GIS)</t>
  </si>
  <si>
    <t>BlackRock, Inc. (NYSE:BLK)</t>
  </si>
  <si>
    <t>Western Digital Corporation (NASDAQGS:WDC)</t>
  </si>
  <si>
    <t>BXP, Inc. (NYSE:BXP)</t>
  </si>
  <si>
    <t>VeriSign, Inc. (NASDAQGS:VRSN)</t>
  </si>
  <si>
    <t>McCormick &amp; Company, Incorporated (NYSE:MKC)</t>
  </si>
  <si>
    <t>McKesson Corporation (NYSE:MCK)</t>
  </si>
  <si>
    <t>Lennar Corporation (NYSE:LEN)</t>
  </si>
  <si>
    <t>American Tower Corporation (NYSE:AMT)</t>
  </si>
  <si>
    <t>Conagra Brands, Inc. (NYSE:CAG)</t>
  </si>
  <si>
    <t>NVIDIA Corporation (NASDAQGS:NVDA)</t>
  </si>
  <si>
    <t>Automatic Data Processing, Inc. (NASDAQGS:ADP)</t>
  </si>
  <si>
    <t>Occidental Petroleum Corporation (NYSE:OXY)</t>
  </si>
  <si>
    <t>Pentair plc (NYSE:PNR)</t>
  </si>
  <si>
    <t>ONEOK, Inc. (NYSE:OKE)</t>
  </si>
  <si>
    <t>United Parcel Service, Inc. (NYSE:UPS)</t>
  </si>
  <si>
    <t>PACCAR Inc (NASDAQGS:PCAR)</t>
  </si>
  <si>
    <t>Apollo Global Management, Inc. (NYSE:APO)</t>
  </si>
  <si>
    <t>Dominion Energy, Inc. (NYSE:D)</t>
  </si>
  <si>
    <t>Texas Instruments Incorporated (NASDAQGS:TXN)</t>
  </si>
  <si>
    <t>Exxon Mobil Corporation (NYSE:XOM)</t>
  </si>
  <si>
    <t>UDR, Inc. (NYSE:UDR)</t>
  </si>
  <si>
    <t>Microchip Technology Incorporated (NASDAQGS:MCHP)</t>
  </si>
  <si>
    <t>Xcel Energy Inc. (NASDAQGS:XEL)</t>
  </si>
  <si>
    <t>American Express Company (NYSE:AXP)</t>
  </si>
  <si>
    <t>The Cooper Companies, Inc. (NASDAQGS:COO)</t>
  </si>
  <si>
    <t>STERIS plc (NYSE:STE)</t>
  </si>
  <si>
    <t>Quest Diagnostics Incorporated (NYSE:DGX)</t>
  </si>
  <si>
    <t>MSCI Inc. (NYSE:MSCI)</t>
  </si>
  <si>
    <t>Morgan Stanley (NYSE:MS)</t>
  </si>
  <si>
    <t>Norwegian Cruise Line Holdings Ltd. (NYSE:NCLH)</t>
  </si>
  <si>
    <t>T. Rowe Price Group, Inc. (NASDAQGS:TROW)</t>
  </si>
  <si>
    <t>Honeywell International Inc. (NASDAQGS:HON)</t>
  </si>
  <si>
    <t>Dollar Tree, Inc. (NASDAQGS:DLTR)</t>
  </si>
  <si>
    <t>NXP Semiconductors N.V. (NASDAQGS:NXPI)</t>
  </si>
  <si>
    <t>CVS Health Corporation (NYSE:CVS)</t>
  </si>
  <si>
    <t>PPG Industries, Inc. (NYSE:PPG)</t>
  </si>
  <si>
    <t>The Hershey Company (NYSE:HSY)</t>
  </si>
  <si>
    <t>Jack Henry &amp; Associates, Inc. (NASDAQGS:JKHY)</t>
  </si>
  <si>
    <t>Motorola Solutions, Inc. (NYSE:MSI)</t>
  </si>
  <si>
    <t>Sysco Corporation (NYSE:SYY)</t>
  </si>
  <si>
    <t>Cummins Inc. (NYSE:CMI)</t>
  </si>
  <si>
    <t>Humana Inc. (NYSE:HUM)</t>
  </si>
  <si>
    <t>Equifax Inc. (NYSE:EFX)</t>
  </si>
  <si>
    <t>Marriott International, Inc. (NASDAQGS:MAR)</t>
  </si>
  <si>
    <t>Smurfit Westrock Plc (NYSE:SW)</t>
  </si>
  <si>
    <t>Pinnacle West Capital Corporation (NYSE:PNW)</t>
  </si>
  <si>
    <t>Becton, Dickinson and Company (NYSE:BDX)</t>
  </si>
  <si>
    <t>Tractor Supply Company (NASDAQGS:TSCO)</t>
  </si>
  <si>
    <t>Jabil Inc. (NYSE:JBL)</t>
  </si>
  <si>
    <t>ServiceNow, Inc. (NYSE:NOW)</t>
  </si>
  <si>
    <t>F5, Inc. (NASDAQGS:FFIV)</t>
  </si>
  <si>
    <t>IDEX Corporation (NYSE:IEX)</t>
  </si>
  <si>
    <t>Las Vegas Sands Corp. (NYSE:LVS)</t>
  </si>
  <si>
    <t>RTX Corporation (NYSE:RTX)</t>
  </si>
  <si>
    <t>Ameren Corporation (NYSE:AEE)</t>
  </si>
  <si>
    <t>Verisk Analytics, Inc. (NASDAQGS:VRSK)</t>
  </si>
  <si>
    <t>NVR, Inc. (NYSE:NVR)</t>
  </si>
  <si>
    <t>Biogen Inc. (NASDAQGS:BIIB)</t>
  </si>
  <si>
    <t>Super Micro Computer, Inc. (NASDAQGS:SMCI)</t>
  </si>
  <si>
    <t>CSX Corporation (NASDAQGS:CSX)</t>
  </si>
  <si>
    <t>General Dynamics Corporation (NYSE:GD)</t>
  </si>
  <si>
    <t>Netflix, Inc. (NASDAQGS:NFLX)</t>
  </si>
  <si>
    <t>Chipotle Mexican Grill, Inc. (NYSE:CMG)</t>
  </si>
  <si>
    <t>Willis Towers Watson Public Limited Company (NASDAQGS:WTW)</t>
  </si>
  <si>
    <t>ConocoPhillips (NYSE:COP)</t>
  </si>
  <si>
    <t>Emerson Electric Co. (NYSE:EMR)</t>
  </si>
  <si>
    <t>Snap-on Incorporated (NYSE:SNA)</t>
  </si>
  <si>
    <t>Mondelez International, Inc. (NASDAQGS:MDLZ)</t>
  </si>
  <si>
    <t>MGM Resorts International (NYSE:MGM)</t>
  </si>
  <si>
    <t>Meta Platforms, Inc. (NASDAQGS:META)</t>
  </si>
  <si>
    <t>Loews Corporation (NYSE:L)</t>
  </si>
  <si>
    <t>Target Corporation (NYSE:TGT)</t>
  </si>
  <si>
    <t>Cognizant Technology Solutions Corporation (NASDAQGS:CTSH)</t>
  </si>
  <si>
    <t>The Procter &amp; Gamble Company (NYSE:PG)</t>
  </si>
  <si>
    <t>American International Group, Inc. (NYSE:AIG)</t>
  </si>
  <si>
    <t>CBRE Group, Inc. (NYSE:CBRE)</t>
  </si>
  <si>
    <t>Omnicom Group Inc. (NYSE:OMC)</t>
  </si>
  <si>
    <t>Henry Schein, Inc. (NASDAQGS:HSIC)</t>
  </si>
  <si>
    <t>Insulet Corporation (NASDAQGS:PODD)</t>
  </si>
  <si>
    <t>L3Harris Technologies, Inc. (NYSE:LHX)</t>
  </si>
  <si>
    <t>Pfizer Inc. (NYSE:PFE)</t>
  </si>
  <si>
    <t>Johnson Controls International plc (NYSE:JCI)</t>
  </si>
  <si>
    <t>Constellation Brands, Inc. (NYSE:STZ)</t>
  </si>
  <si>
    <t>Cboe Global Markets, Inc. (BATS:CBOE)</t>
  </si>
  <si>
    <t>Wells Fargo &amp; Company (NYSE:WFC)</t>
  </si>
  <si>
    <t>Dover Corporation (NYSE:DOV)</t>
  </si>
  <si>
    <t>Truist Financial Corporation (NYSE:TFC)</t>
  </si>
  <si>
    <t>Domino's Pizza, Inc. (NASDAQGS:DPZ)</t>
  </si>
  <si>
    <t>Fifth Third Bancorp (NASDAQGS:FITB)</t>
  </si>
  <si>
    <t>Entergy Corporation (NYSE:ETR)</t>
  </si>
  <si>
    <t>Teradyne, Inc. (NASDAQGS:TER)</t>
  </si>
  <si>
    <t>Nordson Corporation (NASDAQGS:NDSN)</t>
  </si>
  <si>
    <t>Johnson &amp; Johnson (NYSE:JNJ)</t>
  </si>
  <si>
    <t>Ulta Beauty, Inc. (NASDAQGS:ULTA)</t>
  </si>
  <si>
    <t>Philip Morris International Inc. (NYSE:PM)</t>
  </si>
  <si>
    <t>Ares Management Corporation (NYSE:ARES)</t>
  </si>
  <si>
    <t>Thermo Fisher Scientific Inc. (NYSE:TMO)</t>
  </si>
  <si>
    <t>Fortinet, Inc. (NASDAQGS:FTNT)</t>
  </si>
  <si>
    <t>Yum! Brands, Inc. (NYSE:YUM)</t>
  </si>
  <si>
    <t>ON Semiconductor Corporation (NASDAQGS:ON)</t>
  </si>
  <si>
    <t>The Hartford Insurance Group, Inc. (NYSE:HIG)</t>
  </si>
  <si>
    <t>The Goldman Sachs Group, Inc. (NYSE:GS)</t>
  </si>
  <si>
    <t>Exelon Corporation (NASDAQGS:EXC)</t>
  </si>
  <si>
    <t>Cadence Design Systems, Inc. (NASDAQGS:CDNS)</t>
  </si>
  <si>
    <t>Berkshire Hathaway Inc. (NYSE:BRK.A)</t>
  </si>
  <si>
    <t>PG&amp;E Corporation (NYSE:PCG)</t>
  </si>
  <si>
    <t>S&amp;P Global Inc. (NYSE:SPGI)</t>
  </si>
  <si>
    <t>Marsh &amp; McLennan Companies, Inc. (NYSE:MRSH)</t>
  </si>
  <si>
    <t>The Boeing Company (NYSE:BA)</t>
  </si>
  <si>
    <t>NiSource Inc. (NYSE:NI)</t>
  </si>
  <si>
    <t>Eversource Energy (NYSE:ES)</t>
  </si>
  <si>
    <t>Arch Capital Group Ltd. (NASDAQGS:ACGL)</t>
  </si>
  <si>
    <t>Hologic, Inc. (NASDAQGS:HOLX)</t>
  </si>
  <si>
    <t>C.H. Robinson Worldwide, Inc. (NASDAQGS:CHRW)</t>
  </si>
  <si>
    <t>PPL Corporation (NYSE:PPL)</t>
  </si>
  <si>
    <t>Garmin Ltd. (NYSE:GRMN)</t>
  </si>
  <si>
    <t>The Home Depot, Inc. (NYSE:HD)</t>
  </si>
  <si>
    <t>The Kroger Co. (NYSE:KR)</t>
  </si>
  <si>
    <t>Globe Life Inc. (NYSE:GL)</t>
  </si>
  <si>
    <t>Builders FirstSource, Inc. (NYSE:BLDR)</t>
  </si>
  <si>
    <t>Trane Technologies plc (NYSE:TT)</t>
  </si>
  <si>
    <t>Starbucks Corporation (NASDAQGS:SBUX)</t>
  </si>
  <si>
    <t>Paychex, Inc. (NASDAQGS:PAYX)</t>
  </si>
  <si>
    <t>The Progressive Corporation (NYSE:PGR)</t>
  </si>
  <si>
    <t>Kimco Realty Corporation (NYSE:KIM)</t>
  </si>
  <si>
    <t>Nasdaq, Inc. (NASDAQGS:NDAQ)</t>
  </si>
  <si>
    <t>Hubbell Incorporated (NYSE:HUBB)</t>
  </si>
  <si>
    <t>FedEx Corporation (NYSE:FDX)</t>
  </si>
  <si>
    <t>NIKE, Inc. (NYSE:NKE)</t>
  </si>
  <si>
    <t>JPMorgan Chase &amp; Co. (NYSE:JPM)</t>
  </si>
  <si>
    <t>Targa Resources Corp. (NYSE:TRGP)</t>
  </si>
  <si>
    <t>Take-Two Interactive Software, Inc. (NASDAQGS:TTWO)</t>
  </si>
  <si>
    <t>T-Mobile US, Inc. (NASDAQGS:TMUS)</t>
  </si>
  <si>
    <t>Verizon Communications Inc. (NYSE:VZ)</t>
  </si>
  <si>
    <t>Aptiv PLC (NYSE:APTV)</t>
  </si>
  <si>
    <t>Carnival Corporation &amp; plc (NYSE:CCL)</t>
  </si>
  <si>
    <t>EchoStar Corporation (NASDAQGS:SATS)</t>
  </si>
  <si>
    <t>Oracle Corporation (NYSE:ORCL)</t>
  </si>
  <si>
    <t>CRH plc (NYSE:CRH)</t>
  </si>
  <si>
    <t>Tesla, Inc. (NASDAQGS:TSLA)</t>
  </si>
  <si>
    <t>APA Corporation (NASDAQGS:APA)</t>
  </si>
  <si>
    <t>Huntington Ingalls Industries, Inc. (NYSE:HII)</t>
  </si>
  <si>
    <t>Applied Materials, Inc. (NASDAQGS:AMAT)</t>
  </si>
  <si>
    <t>Air Products and Chemicals, Inc. (NYSE:APD)</t>
  </si>
  <si>
    <t>Gartner, Inc. (NYSE:IT)</t>
  </si>
  <si>
    <t>DTE Energy Company (NYSE:DTE)</t>
  </si>
  <si>
    <t>Marathon Petroleum Corporation (NYSE:MPC)</t>
  </si>
  <si>
    <t>CenterPoint Energy, Inc. (NYSE:CNP)</t>
  </si>
  <si>
    <t>Consolidated Edison, Inc. (NYSE:ED)</t>
  </si>
  <si>
    <t>The Williams Companies, Inc. (NYSE:WMB)</t>
  </si>
  <si>
    <t>Diamondback Energy, Inc. (NASDAQGS:FANG)</t>
  </si>
  <si>
    <t>Atmos Energy Corporation (NYSE:ATO)</t>
  </si>
  <si>
    <t>American Water Works Company, Inc. (NYSE:AWK)</t>
  </si>
  <si>
    <t>United Rentals, Inc. (NYSE:URI)</t>
  </si>
  <si>
    <t>The Allstate Corporation (NYSE:ALL)</t>
  </si>
  <si>
    <t>3M Company (NYSE:MMM)</t>
  </si>
  <si>
    <t>Moody's Corporation (NYSE:MCO)</t>
  </si>
  <si>
    <t>Freeport-McMoRan Inc. (NYSE:FCX)</t>
  </si>
  <si>
    <t>CDW Corporation (NASDAQGS:CDW)</t>
  </si>
  <si>
    <t>AMETEK, Inc. (NYSE:AME)</t>
  </si>
  <si>
    <t>A. O. Smith Corporation (NYSE:AOS)</t>
  </si>
  <si>
    <t>Brown &amp; Brown, Inc. (NYSE:BRO)</t>
  </si>
  <si>
    <t>Hilton Worldwide Holdings Inc. (NYSE:HLT)</t>
  </si>
  <si>
    <t>Simon Property Group, Inc. (NYSE:SPG)</t>
  </si>
  <si>
    <t>Caterpillar Inc. (NYSE:CAT)</t>
  </si>
  <si>
    <t>Edwards Lifesciences Corporation (NYSE:EW)</t>
  </si>
  <si>
    <t>Accenture plc (NYSE:ACN)</t>
  </si>
  <si>
    <t>Interactive Brokers Group, Inc. (NASDAQGS:IBKR)</t>
  </si>
  <si>
    <t>Kimberly-Clark Corporation (NASDAQGS:KMB)</t>
  </si>
  <si>
    <t>Ecolab Inc. (NYSE:ECL)</t>
  </si>
  <si>
    <t>Warner Bros. Discovery, Inc. (NASDAQGS:WBD)</t>
  </si>
  <si>
    <t>Corning Incorporated (NYSE:GLW)</t>
  </si>
  <si>
    <t>Visa Inc. (NYSE:V)</t>
  </si>
  <si>
    <t>Waters Corporation (NYSE:WAT)</t>
  </si>
  <si>
    <t>Apple Inc. (NASDAQGS:AAPL)</t>
  </si>
  <si>
    <t>Capital One Financial Corporation (NYSE:COF)</t>
  </si>
  <si>
    <t>lululemon athletica inc. (NASDAQGS:LULU)</t>
  </si>
  <si>
    <t>Bio-Techne Corporation (NASDAQGS:TECH)</t>
  </si>
  <si>
    <t>Healthpeak Properties, Inc. (NYSE:DOC)</t>
  </si>
  <si>
    <t>Martin Marietta Materials, Inc. (NYSE:MLM)</t>
  </si>
  <si>
    <t>Alexandria Real Estate Equities, Inc. (NYSE:ARE)</t>
  </si>
  <si>
    <t>EPAM Systems, Inc. (NYSE:EPAM)</t>
  </si>
  <si>
    <t>The TJX Companies, Inc. (NYSE:TJX)</t>
  </si>
  <si>
    <t>International Business Machines Corporation (NYSE:IBM)</t>
  </si>
  <si>
    <t>Ford Motor Company (NYSE:F)</t>
  </si>
  <si>
    <t>Masco Corporation (NYSE:MAS)</t>
  </si>
  <si>
    <t>Advanced Micro Devices, Inc. (NASDAQGS:AMD)</t>
  </si>
  <si>
    <t>Vulcan Materials Company (NYSE:VMC)</t>
  </si>
  <si>
    <t>Altria Group, Inc. (NYSE:MO)</t>
  </si>
  <si>
    <t>Nucor Corporation (NYSE:NUE)</t>
  </si>
  <si>
    <t>The Walt Disney Company (NYSE:DIS)</t>
  </si>
  <si>
    <t>Waste Management, Inc. (NYSE:WM)</t>
  </si>
  <si>
    <t>NextEra Energy, Inc. (NYSE:NEE)</t>
  </si>
  <si>
    <t>Walmart Inc. (NASDAQGS:WMT)</t>
  </si>
  <si>
    <t>Baxter International Inc. (NYSE:BAX)</t>
  </si>
  <si>
    <t>Fidelity National Information Services, Inc. (NYSE:FIS)</t>
  </si>
  <si>
    <t>SLB N.V. (NYSE:SLB)</t>
  </si>
  <si>
    <t>CME Group Inc. (NASDAQGS:CME)</t>
  </si>
  <si>
    <t>Valero Energy Corporation (NYSE:VLO)</t>
  </si>
  <si>
    <t>Charter Communications, Inc. (NASDAQGS:CHTR)</t>
  </si>
  <si>
    <t>Stanley Black &amp; Decker, Inc. (NYSE:SWK)</t>
  </si>
  <si>
    <t>The Campbell's Company (NASDAQGS:CPB)</t>
  </si>
  <si>
    <t>Rockwell Automation, Inc. (NYSE:ROK)</t>
  </si>
  <si>
    <t>Medtronic plc (NYSE:MDT)</t>
  </si>
  <si>
    <t>Prologis, Inc. (NYSE:PLD)</t>
  </si>
  <si>
    <t>Ventas, Inc. (NYSE:VTR)</t>
  </si>
  <si>
    <t>Hormel Foods Corporation (NYSE:HRL)</t>
  </si>
  <si>
    <t>Generac Holdings Inc. (NYSE:GNRC)</t>
  </si>
  <si>
    <t>Synchrony Financial (NYSE:SYF)</t>
  </si>
  <si>
    <t>Archer-Daniels-Midland Company (NYSE:ADM)</t>
  </si>
  <si>
    <t>Pool Corporation (NASDAQGS:POOL)</t>
  </si>
  <si>
    <t>The Bank of New York Mellon Corporation (NYSE:BK)</t>
  </si>
  <si>
    <t>Textron Inc. (NYSE:TXT)</t>
  </si>
  <si>
    <t>The Clorox Company (NYSE:CLX)</t>
  </si>
  <si>
    <t>Seagate Technology Holdings plc (NASDAQGS:STX)</t>
  </si>
  <si>
    <t>The Charles Schwab Corporation (NYSE:SCHW)</t>
  </si>
  <si>
    <t>DuPont de Nemours, Inc. (NYSE:DD)</t>
  </si>
  <si>
    <t>Viatris Inc. (NASDAQGS:VTRS)</t>
  </si>
  <si>
    <t>Ameriprise Financial, Inc. (NYSE:AMP)</t>
  </si>
  <si>
    <t>Welltower Inc. (NYSE:WELL)</t>
  </si>
  <si>
    <t>Darden Restaurants, Inc. (NYSE:DRI)</t>
  </si>
  <si>
    <t>Digital Realty Trust, Inc. (NYSE:DLR)</t>
  </si>
  <si>
    <t>KKR &amp; Co. Inc. (NYSE:KKR)</t>
  </si>
  <si>
    <t>Boston Scientific Corporation (NYSE:BSX)</t>
  </si>
  <si>
    <t>United Airlines Holdings, Inc. (NASDAQGS:UAL)</t>
  </si>
  <si>
    <t>The Travelers Companies, Inc. (NYSE:TRV)</t>
  </si>
  <si>
    <t>Monster Beverage Corporation (NASDAQGS:MNST)</t>
  </si>
  <si>
    <t>Broadcom Inc. (NASDAQGS:AVGO)</t>
  </si>
  <si>
    <t>Blackstone Inc. (NYSE:BX)</t>
  </si>
  <si>
    <t>Phillips 66 (NYSE:PSX)</t>
  </si>
  <si>
    <t>Kinder Morgan, Inc. (NYSE:KMI)</t>
  </si>
  <si>
    <t>NetApp, Inc. (NASDAQGS:NTAP)</t>
  </si>
  <si>
    <t>Synopsys, Inc. (NASDAQGS:SNPS)</t>
  </si>
  <si>
    <t>Eaton Corporation plc (NYSE:ETN)</t>
  </si>
  <si>
    <t>Eli Lilly and Company (NYSE:LLY)</t>
  </si>
  <si>
    <t>SBA Communications Corporation (NASDAQGS:SBAC)</t>
  </si>
  <si>
    <t>Bristol-Myers Squibb Company (NYSE:BMY)</t>
  </si>
  <si>
    <t>General Motors Company (NYSE:GM)</t>
  </si>
  <si>
    <t>Expedia Group, Inc. (NASDAQGS:EXPE)</t>
  </si>
  <si>
    <t>The Coca-Cola Company (NYSE:KO)</t>
  </si>
  <si>
    <t>AvalonBay Communities, Inc. (NYSE:AVB)</t>
  </si>
  <si>
    <t>Cincinnati Financial Corporation (NASDAQGS:CINF)</t>
  </si>
  <si>
    <t>Illinois Tool Works Inc. (NYSE:ITW)</t>
  </si>
  <si>
    <t>Church &amp; Dwight Co., Inc. (NYSE:CHD)</t>
  </si>
  <si>
    <t>U.S. Bancorp (NYSE:USB)</t>
  </si>
  <si>
    <t>Incyte Corporation (NASDAQGS:INCY)</t>
  </si>
  <si>
    <t>Bunge Global SA (NYSE:BG)</t>
  </si>
  <si>
    <t>Old Dominion Freight Line, Inc. (NASDAQGS:ODFL)</t>
  </si>
  <si>
    <t>Expeditors International of Washington, Inc. (NYSE:EXPD)</t>
  </si>
  <si>
    <t>Regency Centers Corporation (NASDAQGS:REG)</t>
  </si>
  <si>
    <t>Workday, Inc. (NASDAQGS:WDAY)</t>
  </si>
  <si>
    <t>Equinix, Inc. (NASDAQGS:EQIX)</t>
  </si>
  <si>
    <t>Abbott Laboratories (NYSE:ABT)</t>
  </si>
  <si>
    <t>Union Pacific Corporation (NYSE:UNP)</t>
  </si>
  <si>
    <t>Coterra Energy Inc. (NYSE:CTRA)</t>
  </si>
  <si>
    <t>Mastercard Incorporated (NYSE:MA)</t>
  </si>
  <si>
    <t>O'Reilly Automotive, Inc. (NASDAQGS:ORLY)</t>
  </si>
  <si>
    <t>Stryker Corporation (NYSE:SYK)</t>
  </si>
  <si>
    <t>Erie Indemnity Company (NASDAQGS:ERIE)</t>
  </si>
  <si>
    <t>Labcorp Holdings Inc. (NYSE:LH)</t>
  </si>
  <si>
    <t>Xylem Inc. (NYSE:XYL)</t>
  </si>
  <si>
    <t>Public Service Enterprise Group Incorporated (NYSE:PEG)</t>
  </si>
  <si>
    <t>Fiserv, Inc. (NASDAQGS:FISV)</t>
  </si>
  <si>
    <t>Teledyne Technologies Incorporated (NYSE:TDY)</t>
  </si>
  <si>
    <t>Cisco Systems, Inc. (NASDAQGS:CSCO)</t>
  </si>
  <si>
    <t>Skyworks Solutions, Inc. (NASDAQGS:SWKS)</t>
  </si>
  <si>
    <t>McDonald's Corporation (NYSE:MCD)</t>
  </si>
  <si>
    <t>Allegion plc (NYSE:ALLE)</t>
  </si>
  <si>
    <t>UnitedHealth Group Incorporated (NYSE:UNH)</t>
  </si>
  <si>
    <t>KeyCorp (NYSE:KEY)</t>
  </si>
  <si>
    <t>The PNC Financial Services Group, Inc. (NYSE:PNC)</t>
  </si>
  <si>
    <t>Cintas Corporation (NASDAQGS:CTAS)</t>
  </si>
  <si>
    <t>Cardinal Health, Inc. (NYSE:CAH)</t>
  </si>
  <si>
    <t>DexCom, Inc. (NASDAQGS:DXCM)</t>
  </si>
  <si>
    <t>Analog Devices, Inc. (NASDAQGS:ADI)</t>
  </si>
  <si>
    <t>Texas Pacific Land Corporation (NYSE:TPL)</t>
  </si>
  <si>
    <t>Agilent Technologies, Inc. (NYSE:A)</t>
  </si>
  <si>
    <t>The Southern Company (NYSE:SO)</t>
  </si>
  <si>
    <t>Steel Dynamics, Inc. (NASDAQGS:STLD)</t>
  </si>
  <si>
    <t>Public Storage (NYSE:PSA)</t>
  </si>
  <si>
    <t>The Mosaic Company (NYSE:MOS)</t>
  </si>
  <si>
    <t>Invesco Ltd. (NYSE:IVZ)</t>
  </si>
  <si>
    <t>Ball Corporation (NYSE:BALL)</t>
  </si>
  <si>
    <t>Devon Energy Corporation (NYSE:DVN)</t>
  </si>
  <si>
    <t>Rollins, Inc. (NYSE:ROL)</t>
  </si>
  <si>
    <t>Genuine Parts Company (NYSE:GPC)</t>
  </si>
  <si>
    <t>Southwest Airlines Co. (NYSE:LUV)</t>
  </si>
  <si>
    <t>IDEXX Laboratories, Inc. (NASDAQGS:IDXX)</t>
  </si>
  <si>
    <t>ResMed Inc. (NYSE:RMD)</t>
  </si>
  <si>
    <t>HP Inc. (NYSE:HPQ)</t>
  </si>
  <si>
    <t>Intel Corporation (NASDAQGS:INTC)</t>
  </si>
  <si>
    <t>AbbVie Inc. (NYSE:ABBV)</t>
  </si>
  <si>
    <t>WEC Energy Group, Inc. (NYSE:WEC)</t>
  </si>
  <si>
    <t>Trimble Inc. (NASDAQGS:TRMB)</t>
  </si>
  <si>
    <t>Adobe Inc. (NASDAQGS:ADBE)</t>
  </si>
  <si>
    <t>PepsiCo, Inc. (NASDAQGS:PEP)</t>
  </si>
  <si>
    <t>Live Nation Entertainment, Inc. (NYSE:LYV)</t>
  </si>
  <si>
    <t>Huntington Bancshares Incorporated (NASDAQGS:HBAN)</t>
  </si>
  <si>
    <t>Costco Wholesale Corporation (NASDAQGS:COST)</t>
  </si>
  <si>
    <t>Charles River Laboratories International, Inc. (NYSE:CRL)</t>
  </si>
  <si>
    <t>State Street Corporation (NYSE:STT)</t>
  </si>
  <si>
    <t>Packaging Corporation of America (NYSE:PKG)</t>
  </si>
  <si>
    <t>Jacobs Solutions Inc. (NYSE:J)</t>
  </si>
  <si>
    <t>M&amp;T Bank Corporation (NYSE:MTB)</t>
  </si>
  <si>
    <t>Keysight Technologies, Inc. (NYSE:KEYS)</t>
  </si>
  <si>
    <t>IQVIA Holdings Inc. (NYSE:IQV)</t>
  </si>
  <si>
    <t>Albemarle Corporation (NYSE:ALB)</t>
  </si>
  <si>
    <t>Microsoft Corporation (NASDAQGS:MSFT)</t>
  </si>
  <si>
    <t>Regions Financial Corporation (NYSE:RF)</t>
  </si>
  <si>
    <t>AT&amp;T Inc. (NYSE:T)</t>
  </si>
  <si>
    <t>First Solar, Inc. (NASDAQGS:FSLR)</t>
  </si>
  <si>
    <t>Brown-Forman Corporation (NYSE:BF.B)</t>
  </si>
  <si>
    <t>Extra Space Storage Inc. (NYSE:EXR)</t>
  </si>
  <si>
    <t>Autodesk, Inc. (NASDAQGS:ADSK)</t>
  </si>
  <si>
    <t>Merck &amp; Co., Inc. (NYSE:MRK)</t>
  </si>
  <si>
    <t>American Electric Power Company, Inc. (NASDAQGS:AEP)</t>
  </si>
  <si>
    <t>Bank of America Corporation (NYSE:BAC)</t>
  </si>
  <si>
    <t>Wynn Resorts, Limited (NASDAQGS:WYNN)</t>
  </si>
  <si>
    <t>Zoetis Inc. (NYSE:ZTS)</t>
  </si>
  <si>
    <t>TransDigm Group Incorporated (NYSE:TDG)</t>
  </si>
  <si>
    <t>Lowe's Companies, Inc. (NYSE:LOW)</t>
  </si>
  <si>
    <t>Vertex Pharmaceuticals Incorporated (NASDAQGS:VRTX)</t>
  </si>
  <si>
    <t>Copart, Inc. (NASDAQGS:CPRT)</t>
  </si>
  <si>
    <t>Sempra (NYSE:SRE)</t>
  </si>
  <si>
    <t>Iron Mountain Incorporated (NYSE:IRM)</t>
  </si>
  <si>
    <t>Zebra Technologies Corporation (NASDAQGS:ZBRA)</t>
  </si>
  <si>
    <t>Coherent Corp. (NYSE:COHR)</t>
  </si>
  <si>
    <t>Closing Price [Primary Listing|(12/30/2016)] (€)_x000D_
 (Primary Listing) [12/30/2016]</t>
  </si>
  <si>
    <t>Closing Price [Primary Listing|(11/30/2016)] (€)_x000D_
 (Primary Listing) [11/30/2016]</t>
  </si>
  <si>
    <t>Closing Price [Primary Listing|(10/31/2016)] (€)_x000D_
 (Primary Listing) [10/31/2016]</t>
  </si>
  <si>
    <t>Closing Price [Primary Listing|(9/30/2016)] (€)_x000D_
 (Primary Listing) [09/30/2016]</t>
  </si>
  <si>
    <t>Closing Price [Primary Listing|(8/31/2016)] (€)_x000D_
 (Primary Listing) [08/31/2016]</t>
  </si>
  <si>
    <t>Closing Price [Primary Listing|(7/29/2016)] (€)_x000D_
 (Primary Listing) [07/29/2016]</t>
  </si>
  <si>
    <t>Closing Price [Primary Listing|(6/30/2016)] (€)_x000D_
 (Primary Listing) [06/30/2016]</t>
  </si>
  <si>
    <t>Closing Price [Primary Listing|(5/31/2016)] (€)_x000D_
 (Primary Listing) [05/31/2016]</t>
  </si>
  <si>
    <t>Closing Price [Primary Listing|(4/29/2016)] (€)_x000D_
 (Primary Listing) [04/29/2016]</t>
  </si>
  <si>
    <t>Closing Price [Primary Listing|(3/31/2016)] (€)_x000D_
 (Primary Listing) [03/31/2016]</t>
  </si>
  <si>
    <t>Closing Price [Primary Listing|(2/29/2016)] (€)_x000D_
 (Primary Listing) [02/29/2016]</t>
  </si>
  <si>
    <t>Closing Price [Primary Listing|(1/29/2016)] (€)_x000D_
 (Primary Listing) [01/29/2016]</t>
  </si>
  <si>
    <t>Closing Price [Primary Listing|(12/31/2015)] (€)_x000D_
 (Primary Listing) [12/31/2015]</t>
  </si>
  <si>
    <t>Closing Price [Primary Listing|(11/30/2015)] (€)_x000D_
 (Primary Listing) [11/30/2015]</t>
  </si>
  <si>
    <t>Closing Price [Primary Listing|(10/30/2015)] (€)_x000D_
 (Primary Listing) [10/30/2015]</t>
  </si>
  <si>
    <t>Closing Price [Primary Listing|(9/30/2015)] (€)_x000D_
 (Primary Listing) [09/30/2015]</t>
  </si>
  <si>
    <t>Closing Price [Primary Listing|(8/31/2015)] (€)_x000D_
 (Primary Listing) [08/31/2015]</t>
  </si>
  <si>
    <t>Closing Price [Primary Listing|(7/31/2015)] (€)_x000D_
 (Primary Listing) [07/31/2015]</t>
  </si>
  <si>
    <t>Closing Price [Primary Listing|(6/30/2015)] (€)_x000D_
 (Primary Listing) [06/30/2015]</t>
  </si>
  <si>
    <t>Closing Price [Primary Listing|(5/29/2015)] (€)_x000D_
 (Primary Listing) [05/29/2015]</t>
  </si>
  <si>
    <t>Closing Price [Primary Listing|(4/30/2015)] (€)_x000D_
 (Primary Listing) [04/30/2015]</t>
  </si>
  <si>
    <t>Closing Price [Primary Listing|(3/31/2015)] (€)_x000D_
 (Primary Listing) [03/31/2015]</t>
  </si>
  <si>
    <t>Closing Price [Primary Listing|(2/27/2015)] (€)_x000D_
 (Primary Listing) [02/27/2015]</t>
  </si>
  <si>
    <t>Closing Price [Primary Listing|(1/30/2015)] (€)_x000D_
 (Primary Listing) [01/30/2015]</t>
  </si>
  <si>
    <t>SP_COMPANY_NAME_ABBR</t>
  </si>
  <si>
    <t>SP_TICKER</t>
  </si>
  <si>
    <t>MI_INDUSTRY_CLASSIFICATION</t>
  </si>
  <si>
    <t>SP_ENTITY_NAME</t>
  </si>
  <si>
    <t>SP_ENTITY_ID</t>
  </si>
  <si>
    <t>Tyler Technologies Inc.</t>
  </si>
  <si>
    <t>TYL</t>
  </si>
  <si>
    <t>Application Software</t>
  </si>
  <si>
    <t>135,25</t>
  </si>
  <si>
    <t>140,86</t>
  </si>
  <si>
    <t>146,35</t>
  </si>
  <si>
    <t>152,33</t>
  </si>
  <si>
    <t>147,07</t>
  </si>
  <si>
    <t>145,89</t>
  </si>
  <si>
    <t>150,11</t>
  </si>
  <si>
    <t>137,74</t>
  </si>
  <si>
    <t>127,84</t>
  </si>
  <si>
    <t>112,93</t>
  </si>
  <si>
    <t>110,76</t>
  </si>
  <si>
    <t>145,15</t>
  </si>
  <si>
    <t>160,51</t>
  </si>
  <si>
    <t>168,90</t>
  </si>
  <si>
    <t>154,49</t>
  </si>
  <si>
    <t>133,79</t>
  </si>
  <si>
    <t>123,24</t>
  </si>
  <si>
    <t>126,30</t>
  </si>
  <si>
    <t>116,15</t>
  </si>
  <si>
    <t>110,69</t>
  </si>
  <si>
    <t>108,93</t>
  </si>
  <si>
    <t>112,20</t>
  </si>
  <si>
    <t>106,46</t>
  </si>
  <si>
    <t>93,96</t>
  </si>
  <si>
    <t>Lennox International Inc.</t>
  </si>
  <si>
    <t>LII</t>
  </si>
  <si>
    <t>Building Products</t>
  </si>
  <si>
    <t>145,10</t>
  </si>
  <si>
    <t>140,64</t>
  </si>
  <si>
    <t>133,11</t>
  </si>
  <si>
    <t>139,70</t>
  </si>
  <si>
    <t>144,49</t>
  </si>
  <si>
    <t>140,33</t>
  </si>
  <si>
    <t>128,40</t>
  </si>
  <si>
    <t>123,42</t>
  </si>
  <si>
    <t>117,83</t>
  </si>
  <si>
    <t>118,70</t>
  </si>
  <si>
    <t>118,94</t>
  </si>
  <si>
    <t>110,73</t>
  </si>
  <si>
    <t>115,00</t>
  </si>
  <si>
    <t>128,66</t>
  </si>
  <si>
    <t>120,44</t>
  </si>
  <si>
    <t>101,55</t>
  </si>
  <si>
    <t>105,38</t>
  </si>
  <si>
    <t>106,87</t>
  </si>
  <si>
    <t>96,68</t>
  </si>
  <si>
    <t>102,60</t>
  </si>
  <si>
    <t>94,65</t>
  </si>
  <si>
    <t>103,97</t>
  </si>
  <si>
    <t>92,98</t>
  </si>
  <si>
    <t>87,08</t>
  </si>
  <si>
    <t>HCA Healthcare Inc.</t>
  </si>
  <si>
    <t>HCA</t>
  </si>
  <si>
    <t>Health Care Facilities</t>
  </si>
  <si>
    <t>70,12</t>
  </si>
  <si>
    <t>67,06</t>
  </si>
  <si>
    <t>69,83</t>
  </si>
  <si>
    <t>67,28</t>
  </si>
  <si>
    <t>67,77</t>
  </si>
  <si>
    <t>69,03</t>
  </si>
  <si>
    <t>69,34</t>
  </si>
  <si>
    <t>70,10</t>
  </si>
  <si>
    <t>70,39</t>
  </si>
  <si>
    <t>68,53</t>
  </si>
  <si>
    <t>63,71</t>
  </si>
  <si>
    <t>64,30</t>
  </si>
  <si>
    <t>62,27</t>
  </si>
  <si>
    <t>64,42</t>
  </si>
  <si>
    <t>62,38</t>
  </si>
  <si>
    <t>69,32</t>
  </si>
  <si>
    <t>77,33</t>
  </si>
  <si>
    <t>84,19</t>
  </si>
  <si>
    <t>81,44</t>
  </si>
  <si>
    <t>74,56</t>
  </si>
  <si>
    <t>66,11</t>
  </si>
  <si>
    <t>70,03</t>
  </si>
  <si>
    <t>63,80</t>
  </si>
  <si>
    <t>62,71</t>
  </si>
  <si>
    <t>Best Buy Co.</t>
  </si>
  <si>
    <t>BBY</t>
  </si>
  <si>
    <t>Computer and Electronics Retail</t>
  </si>
  <si>
    <t>40,42</t>
  </si>
  <si>
    <t>43,23</t>
  </si>
  <si>
    <t>35,50</t>
  </si>
  <si>
    <t>33,97</t>
  </si>
  <si>
    <t>34,52</t>
  </si>
  <si>
    <t>30,07</t>
  </si>
  <si>
    <t>27,55</t>
  </si>
  <si>
    <t>28,91</t>
  </si>
  <si>
    <t>28,01</t>
  </si>
  <si>
    <t>28,48</t>
  </si>
  <si>
    <t>29,82</t>
  </si>
  <si>
    <t>25,81</t>
  </si>
  <si>
    <t>28,04</t>
  </si>
  <si>
    <t>30,08</t>
  </si>
  <si>
    <t>31,77</t>
  </si>
  <si>
    <t>33,26</t>
  </si>
  <si>
    <t>32,80</t>
  </si>
  <si>
    <t>29,23</t>
  </si>
  <si>
    <t>29,28</t>
  </si>
  <si>
    <t>31,62</t>
  </si>
  <si>
    <t>30,95</t>
  </si>
  <si>
    <t>35,18</t>
  </si>
  <si>
    <t>33,98</t>
  </si>
  <si>
    <t>31,18</t>
  </si>
  <si>
    <t>Parker-Hannifin Corp.</t>
  </si>
  <si>
    <t>PH</t>
  </si>
  <si>
    <t>Machinery and Supplies and Components: Industrial</t>
  </si>
  <si>
    <t>132,62</t>
  </si>
  <si>
    <t>131,43</t>
  </si>
  <si>
    <t>112,00</t>
  </si>
  <si>
    <t>111,68</t>
  </si>
  <si>
    <t>109,92</t>
  </si>
  <si>
    <t>102,19</t>
  </si>
  <si>
    <t>97,29</t>
  </si>
  <si>
    <t>103,19</t>
  </si>
  <si>
    <t>101,30</t>
  </si>
  <si>
    <t>97,53</t>
  </si>
  <si>
    <t>93,16</t>
  </si>
  <si>
    <t>89,79</t>
  </si>
  <si>
    <t>89,29</t>
  </si>
  <si>
    <t>99,07</t>
  </si>
  <si>
    <t>94,95</t>
  </si>
  <si>
    <t>87,19</t>
  </si>
  <si>
    <t>96,11</t>
  </si>
  <si>
    <t>102,06</t>
  </si>
  <si>
    <t>104,44</t>
  </si>
  <si>
    <t>109,73</t>
  </si>
  <si>
    <t>106,62</t>
  </si>
  <si>
    <t>110,57</t>
  </si>
  <si>
    <t>109,42</t>
  </si>
  <si>
    <t>103,15</t>
  </si>
  <si>
    <t>Lam Research Corp.</t>
  </si>
  <si>
    <t>LRCX</t>
  </si>
  <si>
    <t>Semiconductor Materials and Equipment</t>
  </si>
  <si>
    <t>10,02</t>
  </si>
  <si>
    <t>10,03</t>
  </si>
  <si>
    <t>8,84</t>
  </si>
  <si>
    <t>8,43</t>
  </si>
  <si>
    <t>8,37</t>
  </si>
  <si>
    <t>8,03</t>
  </si>
  <si>
    <t>7,57</t>
  </si>
  <si>
    <t>7,44</t>
  </si>
  <si>
    <t>6,67</t>
  </si>
  <si>
    <t>7,25</t>
  </si>
  <si>
    <t>6,75</t>
  </si>
  <si>
    <t>6,63</t>
  </si>
  <si>
    <t>7,31</t>
  </si>
  <si>
    <t>7,40</t>
  </si>
  <si>
    <t>6,95</t>
  </si>
  <si>
    <t>5,85</t>
  </si>
  <si>
    <t>6,50</t>
  </si>
  <si>
    <t>6,96</t>
  </si>
  <si>
    <t>7,30</t>
  </si>
  <si>
    <t>7,49</t>
  </si>
  <si>
    <t>6,54</t>
  </si>
  <si>
    <t>7,35</t>
  </si>
  <si>
    <t>6,77</t>
  </si>
  <si>
    <t>Global Payments Inc.</t>
  </si>
  <si>
    <t>GPN</t>
  </si>
  <si>
    <t>Payment Processors</t>
  </si>
  <si>
    <t>65,75</t>
  </si>
  <si>
    <t>64,85</t>
  </si>
  <si>
    <t>66,17</t>
  </si>
  <si>
    <t>68,29</t>
  </si>
  <si>
    <t>68,13</t>
  </si>
  <si>
    <t>66,82</t>
  </si>
  <si>
    <t>64,27</t>
  </si>
  <si>
    <t>69,81</t>
  </si>
  <si>
    <t>63,02</t>
  </si>
  <si>
    <t>57,34</t>
  </si>
  <si>
    <t>56,11</t>
  </si>
  <si>
    <t>54,48</t>
  </si>
  <si>
    <t>59,40</t>
  </si>
  <si>
    <t>61,85</t>
  </si>
  <si>
    <t>51,40</t>
  </si>
  <si>
    <t>49,72</t>
  </si>
  <si>
    <t>50,73</t>
  </si>
  <si>
    <t>46,44</t>
  </si>
  <si>
    <t>47,55</t>
  </si>
  <si>
    <t>44,79</t>
  </si>
  <si>
    <t>42,67</t>
  </si>
  <si>
    <t>40,96</t>
  </si>
  <si>
    <t>38,67</t>
  </si>
  <si>
    <t>LyondellBasell Industries N.V.</t>
  </si>
  <si>
    <t>LYB</t>
  </si>
  <si>
    <t>Commodity Chemicals</t>
  </si>
  <si>
    <t>81,26</t>
  </si>
  <si>
    <t>85,44</t>
  </si>
  <si>
    <t>72,58</t>
  </si>
  <si>
    <t>71,76</t>
  </si>
  <si>
    <t>70,77</t>
  </si>
  <si>
    <t>67,35</t>
  </si>
  <si>
    <t>67,01</t>
  </si>
  <si>
    <t>73,11</t>
  </si>
  <si>
    <t>72,18</t>
  </si>
  <si>
    <t>75,14</t>
  </si>
  <si>
    <t>73,84</t>
  </si>
  <si>
    <t>72,06</t>
  </si>
  <si>
    <t>80,01</t>
  </si>
  <si>
    <t>90,70</t>
  </si>
  <si>
    <t>84,26</t>
  </si>
  <si>
    <t>74,69</t>
  </si>
  <si>
    <t>76,22</t>
  </si>
  <si>
    <t>84,93</t>
  </si>
  <si>
    <t>92,94</t>
  </si>
  <si>
    <t>92,12</t>
  </si>
  <si>
    <t>92,47</t>
  </si>
  <si>
    <t>81,73</t>
  </si>
  <si>
    <t>76,62</t>
  </si>
  <si>
    <t>70,05</t>
  </si>
  <si>
    <t>AutoZone Inc.</t>
  </si>
  <si>
    <t>AZO</t>
  </si>
  <si>
    <t>Automotive Retail</t>
  </si>
  <si>
    <t>748,17</t>
  </si>
  <si>
    <t>740,89</t>
  </si>
  <si>
    <t>677,15</t>
  </si>
  <si>
    <t>683,55</t>
  </si>
  <si>
    <t>665,43</t>
  </si>
  <si>
    <t>728,46</t>
  </si>
  <si>
    <t>714,81</t>
  </si>
  <si>
    <t>684,87</t>
  </si>
  <si>
    <t>668,16</t>
  </si>
  <si>
    <t>699,53</t>
  </si>
  <si>
    <t>713,03</t>
  </si>
  <si>
    <t>709,18</t>
  </si>
  <si>
    <t>683,11</t>
  </si>
  <si>
    <t>741,88</t>
  </si>
  <si>
    <t>711,34</t>
  </si>
  <si>
    <t>648,59</t>
  </si>
  <si>
    <t>639,20</t>
  </si>
  <si>
    <t>634,46</t>
  </si>
  <si>
    <t>598,71</t>
  </si>
  <si>
    <t>613,77</t>
  </si>
  <si>
    <t>600,85</t>
  </si>
  <si>
    <t>634,99</t>
  </si>
  <si>
    <t>573,17</t>
  </si>
  <si>
    <t>528,76</t>
  </si>
  <si>
    <t>Chevron Corp.</t>
  </si>
  <si>
    <t>CVX</t>
  </si>
  <si>
    <t>Integrated Oil and Gas</t>
  </si>
  <si>
    <t>111,50</t>
  </si>
  <si>
    <t>105,54</t>
  </si>
  <si>
    <t>95,57</t>
  </si>
  <si>
    <t>91,56</t>
  </si>
  <si>
    <t>90,23</t>
  </si>
  <si>
    <t>91,71</t>
  </si>
  <si>
    <t>94,39</t>
  </si>
  <si>
    <t>90,75</t>
  </si>
  <si>
    <t>89,22</t>
  </si>
  <si>
    <t>83,77</t>
  </si>
  <si>
    <t>76,81</t>
  </si>
  <si>
    <t>79,91</t>
  </si>
  <si>
    <t>82,83</t>
  </si>
  <si>
    <t>86,44</t>
  </si>
  <si>
    <t>82,41</t>
  </si>
  <si>
    <t>70,68</t>
  </si>
  <si>
    <t>72,30</t>
  </si>
  <si>
    <t>80,09</t>
  </si>
  <si>
    <t>86,61</t>
  </si>
  <si>
    <t>93,85</t>
  </si>
  <si>
    <t>99,20</t>
  </si>
  <si>
    <t>97,72</t>
  </si>
  <si>
    <t>95,14</t>
  </si>
  <si>
    <t>90,82</t>
  </si>
  <si>
    <t>CMS Energy Corp.</t>
  </si>
  <si>
    <t>CMS</t>
  </si>
  <si>
    <t>Multi-Utilities</t>
  </si>
  <si>
    <t>39,43</t>
  </si>
  <si>
    <t>38,05</t>
  </si>
  <si>
    <t>38,46</t>
  </si>
  <si>
    <t>37,37</t>
  </si>
  <si>
    <t>37,65</t>
  </si>
  <si>
    <t>40,43</t>
  </si>
  <si>
    <t>41,29</t>
  </si>
  <si>
    <t>37,58</t>
  </si>
  <si>
    <t>35,52</t>
  </si>
  <si>
    <t>37,26</t>
  </si>
  <si>
    <t>36,42</t>
  </si>
  <si>
    <t>35,93</t>
  </si>
  <si>
    <t>33,22</t>
  </si>
  <si>
    <t>33,15</t>
  </si>
  <si>
    <t>32,71</t>
  </si>
  <si>
    <t>31,65</t>
  </si>
  <si>
    <t>29,26</t>
  </si>
  <si>
    <t>31,01</t>
  </si>
  <si>
    <t>28,58</t>
  </si>
  <si>
    <t>31,11</t>
  </si>
  <si>
    <t>30,31</t>
  </si>
  <si>
    <t>32,50</t>
  </si>
  <si>
    <t>31,33</t>
  </si>
  <si>
    <t>33,42</t>
  </si>
  <si>
    <t>Colgate-Palmolive Co.</t>
  </si>
  <si>
    <t>CL</t>
  </si>
  <si>
    <t>Household Products Producers</t>
  </si>
  <si>
    <t>61,99</t>
  </si>
  <si>
    <t>61,71</t>
  </si>
  <si>
    <t>65,11</t>
  </si>
  <si>
    <t>65,96</t>
  </si>
  <si>
    <t>66,69</t>
  </si>
  <si>
    <t>66,61</t>
  </si>
  <si>
    <t>65,91</t>
  </si>
  <si>
    <t>63,27</t>
  </si>
  <si>
    <t>61,92</t>
  </si>
  <si>
    <t>62,03</t>
  </si>
  <si>
    <t>60,42</t>
  </si>
  <si>
    <t>62,41</t>
  </si>
  <si>
    <t>61,34</t>
  </si>
  <si>
    <t>62,17</t>
  </si>
  <si>
    <t>60,17</t>
  </si>
  <si>
    <t>56,86</t>
  </si>
  <si>
    <t>56,07</t>
  </si>
  <si>
    <t>61,57</t>
  </si>
  <si>
    <t>58,72</t>
  </si>
  <si>
    <t>60,86</t>
  </si>
  <si>
    <t>60,10</t>
  </si>
  <si>
    <t>64,55</t>
  </si>
  <si>
    <t>63,16</t>
  </si>
  <si>
    <t>59,81</t>
  </si>
  <si>
    <t>FactSet Research Systems Inc.</t>
  </si>
  <si>
    <t>FDS</t>
  </si>
  <si>
    <t>Financial Media and Data Solutions</t>
  </si>
  <si>
    <t>154,82</t>
  </si>
  <si>
    <t>151,52</t>
  </si>
  <si>
    <t>141,17</t>
  </si>
  <si>
    <t>144,21</t>
  </si>
  <si>
    <t>159,70</t>
  </si>
  <si>
    <t>153,90</t>
  </si>
  <si>
    <t>145,35</t>
  </si>
  <si>
    <t>142,93</t>
  </si>
  <si>
    <t>131,63</t>
  </si>
  <si>
    <t>133,05</t>
  </si>
  <si>
    <t>138,53</t>
  </si>
  <si>
    <t>139,27</t>
  </si>
  <si>
    <t>149,69</t>
  </si>
  <si>
    <t>160,47</t>
  </si>
  <si>
    <t>158,81</t>
  </si>
  <si>
    <t>143,20</t>
  </si>
  <si>
    <t>140,98</t>
  </si>
  <si>
    <t>149,95</t>
  </si>
  <si>
    <t>150,49</t>
  </si>
  <si>
    <t>140,59</t>
  </si>
  <si>
    <t>148,19</t>
  </si>
  <si>
    <t>138,73</t>
  </si>
  <si>
    <t>127,18</t>
  </si>
  <si>
    <t>Gen Digital Inc.</t>
  </si>
  <si>
    <t>GEN</t>
  </si>
  <si>
    <t>Systems Software</t>
  </si>
  <si>
    <t>22,63</t>
  </si>
  <si>
    <t>23,07</t>
  </si>
  <si>
    <t>22,84</t>
  </si>
  <si>
    <t>22,33</t>
  </si>
  <si>
    <t>21,65</t>
  </si>
  <si>
    <t>18,28</t>
  </si>
  <si>
    <t>18,50</t>
  </si>
  <si>
    <t>15,60</t>
  </si>
  <si>
    <t>14,53</t>
  </si>
  <si>
    <t>16,14</t>
  </si>
  <si>
    <t>17,78</t>
  </si>
  <si>
    <t>18,34</t>
  </si>
  <si>
    <t>19,34</t>
  </si>
  <si>
    <t>18,53</t>
  </si>
  <si>
    <t>18,68</t>
  </si>
  <si>
    <t>17,45</t>
  </si>
  <si>
    <t>18,29</t>
  </si>
  <si>
    <t>20,58</t>
  </si>
  <si>
    <t>20,87</t>
  </si>
  <si>
    <t>22,44</t>
  </si>
  <si>
    <t>22,26</t>
  </si>
  <si>
    <t>21,75</t>
  </si>
  <si>
    <t>21,94</t>
  </si>
  <si>
    <t>Intuit Inc.</t>
  </si>
  <si>
    <t>INTU</t>
  </si>
  <si>
    <t>Banking Technology</t>
  </si>
  <si>
    <t>108,57</t>
  </si>
  <si>
    <t>107,54</t>
  </si>
  <si>
    <t>99,21</t>
  </si>
  <si>
    <t>97,87</t>
  </si>
  <si>
    <t>99,98</t>
  </si>
  <si>
    <t>99,33</t>
  </si>
  <si>
    <t>100,50</t>
  </si>
  <si>
    <t>95,84</t>
  </si>
  <si>
    <t>88,09</t>
  </si>
  <si>
    <t>91,33</t>
  </si>
  <si>
    <t>88,96</t>
  </si>
  <si>
    <t>88,27</t>
  </si>
  <si>
    <t>88,85</t>
  </si>
  <si>
    <t>94,84</t>
  </si>
  <si>
    <t>88,35</t>
  </si>
  <si>
    <t>79,52</t>
  </si>
  <si>
    <t>76,55</t>
  </si>
  <si>
    <t>95,74</t>
  </si>
  <si>
    <t>90,47</t>
  </si>
  <si>
    <t>94,90</t>
  </si>
  <si>
    <t>89,62</t>
  </si>
  <si>
    <t>90,26</t>
  </si>
  <si>
    <t>87,07</t>
  </si>
  <si>
    <t>76,90</t>
  </si>
  <si>
    <t>Elevance Health Inc.</t>
  </si>
  <si>
    <t>ELV</t>
  </si>
  <si>
    <t>Managed Care</t>
  </si>
  <si>
    <t>136,19</t>
  </si>
  <si>
    <t>134,83</t>
  </si>
  <si>
    <t>111,19</t>
  </si>
  <si>
    <t>111,48</t>
  </si>
  <si>
    <t>117,54</t>
  </si>
  <si>
    <t>118,27</t>
  </si>
  <si>
    <t>118,75</t>
  </si>
  <si>
    <t>122,91</t>
  </si>
  <si>
    <t>122,04</t>
  </si>
  <si>
    <t>120,31</t>
  </si>
  <si>
    <t>120,59</t>
  </si>
  <si>
    <t>128,39</t>
  </si>
  <si>
    <t>123,41</t>
  </si>
  <si>
    <t>126,19</t>
  </si>
  <si>
    <t>125,45</t>
  </si>
  <si>
    <t>125,92</t>
  </si>
  <si>
    <t>139,64</t>
  </si>
  <si>
    <t>147,36</t>
  </si>
  <si>
    <t>152,94</t>
  </si>
  <si>
    <t>134,82</t>
  </si>
  <si>
    <t>143,73</t>
  </si>
  <si>
    <t>130,61</t>
  </si>
  <si>
    <t>119,54</t>
  </si>
  <si>
    <t>Northern Trust Corp.</t>
  </si>
  <si>
    <t>NTRS</t>
  </si>
  <si>
    <t>Asset Management</t>
  </si>
  <si>
    <t>84,36</t>
  </si>
  <si>
    <t>77,71</t>
  </si>
  <si>
    <t>66,08</t>
  </si>
  <si>
    <t>60,49</t>
  </si>
  <si>
    <t>63,32</t>
  </si>
  <si>
    <t>59,66</t>
  </si>
  <si>
    <t>66,58</t>
  </si>
  <si>
    <t>62,06</t>
  </si>
  <si>
    <t>57,22</t>
  </si>
  <si>
    <t>54,66</t>
  </si>
  <si>
    <t>57,37</t>
  </si>
  <si>
    <t>66,38</t>
  </si>
  <si>
    <t>70,93</t>
  </si>
  <si>
    <t>63,83</t>
  </si>
  <si>
    <t>61,07</t>
  </si>
  <si>
    <t>62,35</t>
  </si>
  <si>
    <t>69,23</t>
  </si>
  <si>
    <t>68,64</t>
  </si>
  <si>
    <t>67,93</t>
  </si>
  <si>
    <t>65,34</t>
  </si>
  <si>
    <t>64,83</t>
  </si>
  <si>
    <t>62,28</t>
  </si>
  <si>
    <t>57,91</t>
  </si>
  <si>
    <t>Zimmer Biomet Holdings Inc.</t>
  </si>
  <si>
    <t>ZBH</t>
  </si>
  <si>
    <t>Health Care Equipment</t>
  </si>
  <si>
    <t>97,76</t>
  </si>
  <si>
    <t>96,36</t>
  </si>
  <si>
    <t>96,17</t>
  </si>
  <si>
    <t>115,67</t>
  </si>
  <si>
    <t>116,27</t>
  </si>
  <si>
    <t>117,36</t>
  </si>
  <si>
    <t>108,40</t>
  </si>
  <si>
    <t>109,72</t>
  </si>
  <si>
    <t>101,08</t>
  </si>
  <si>
    <t>93,63</t>
  </si>
  <si>
    <t>89,12</t>
  </si>
  <si>
    <t>91,73</t>
  </si>
  <si>
    <t>94,46</t>
  </si>
  <si>
    <t>95,61</t>
  </si>
  <si>
    <t>94,83</t>
  </si>
  <si>
    <t>84,17</t>
  </si>
  <si>
    <t>92,45</t>
  </si>
  <si>
    <t>94,20</t>
  </si>
  <si>
    <t>98,06</t>
  </si>
  <si>
    <t>103,95</t>
  </si>
  <si>
    <t>98,11</t>
  </si>
  <si>
    <t>109,39</t>
  </si>
  <si>
    <t>107,37</t>
  </si>
  <si>
    <t>99,29</t>
  </si>
  <si>
    <t>Deere &amp; Co.</t>
  </si>
  <si>
    <t>DE</t>
  </si>
  <si>
    <t>Machinery: Agricultural and Farm</t>
  </si>
  <si>
    <t>97,61</t>
  </si>
  <si>
    <t>94,79</t>
  </si>
  <si>
    <t>80,56</t>
  </si>
  <si>
    <t>75,93</t>
  </si>
  <si>
    <t>75,85</t>
  </si>
  <si>
    <t>69,55</t>
  </si>
  <si>
    <t>72,97</t>
  </si>
  <si>
    <t>73,94</t>
  </si>
  <si>
    <t>73,44</t>
  </si>
  <si>
    <t>67,60</t>
  </si>
  <si>
    <t>73,81</t>
  </si>
  <si>
    <t>71,17</t>
  </si>
  <si>
    <t>70,23</t>
  </si>
  <si>
    <t>75,32</t>
  </si>
  <si>
    <t>70,73</t>
  </si>
  <si>
    <t>66,31</t>
  </si>
  <si>
    <t>73,01</t>
  </si>
  <si>
    <t>85,60</t>
  </si>
  <si>
    <t>87,13</t>
  </si>
  <si>
    <t>85,36</t>
  </si>
  <si>
    <t>80,86</t>
  </si>
  <si>
    <t>81,63</t>
  </si>
  <si>
    <t>80,80</t>
  </si>
  <si>
    <t>75,46</t>
  </si>
  <si>
    <t>Danaher Corp.</t>
  </si>
  <si>
    <t>DHR</t>
  </si>
  <si>
    <t>Life Sciences Tools and Services</t>
  </si>
  <si>
    <t>73,74</t>
  </si>
  <si>
    <t>73,95</t>
  </si>
  <si>
    <t>71,67</t>
  </si>
  <si>
    <t>69,74</t>
  </si>
  <si>
    <t>73,03</t>
  </si>
  <si>
    <t>72,88</t>
  </si>
  <si>
    <t>90,95</t>
  </si>
  <si>
    <t>88,38</t>
  </si>
  <si>
    <t>84,48</t>
  </si>
  <si>
    <t>83,29</t>
  </si>
  <si>
    <t>82,18</t>
  </si>
  <si>
    <t>80,08</t>
  </si>
  <si>
    <t>85,52</t>
  </si>
  <si>
    <t>91,24</t>
  </si>
  <si>
    <t>84,62</t>
  </si>
  <si>
    <t>76,35</t>
  </si>
  <si>
    <t>77,69</t>
  </si>
  <si>
    <t>82,88</t>
  </si>
  <si>
    <t>76,84</t>
  </si>
  <si>
    <t>78,65</t>
  </si>
  <si>
    <t>73,14</t>
  </si>
  <si>
    <t>79,03</t>
  </si>
  <si>
    <t>77,84</t>
  </si>
  <si>
    <t>Broadridge Finl Solutions Inc.</t>
  </si>
  <si>
    <t>BR</t>
  </si>
  <si>
    <t>Investment and Capital Markets Technology</t>
  </si>
  <si>
    <t>62,81</t>
  </si>
  <si>
    <t>61,24</t>
  </si>
  <si>
    <t>59,00</t>
  </si>
  <si>
    <t>60,31</t>
  </si>
  <si>
    <t>60,57</t>
  </si>
  <si>
    <t>58,71</t>
  </si>
  <si>
    <t>57,68</t>
  </si>
  <si>
    <t>52,25</t>
  </si>
  <si>
    <t>52,08</t>
  </si>
  <si>
    <t>51,67</t>
  </si>
  <si>
    <t>49,50</t>
  </si>
  <si>
    <t>49,47</t>
  </si>
  <si>
    <t>52,04</t>
  </si>
  <si>
    <t>54,03</t>
  </si>
  <si>
    <t>49,60</t>
  </si>
  <si>
    <t>47,13</t>
  </si>
  <si>
    <t>49,12</t>
  </si>
  <si>
    <t>44,90</t>
  </si>
  <si>
    <t>49,37</t>
  </si>
  <si>
    <t>48,16</t>
  </si>
  <si>
    <t>51,21</t>
  </si>
  <si>
    <t>47,47</t>
  </si>
  <si>
    <t>42,51</t>
  </si>
  <si>
    <t>J.B. Hunt Transport Svcs Inc</t>
  </si>
  <si>
    <t>JBHT</t>
  </si>
  <si>
    <t>Cargo Ground Transportation</t>
  </si>
  <si>
    <t>91,95</t>
  </si>
  <si>
    <t>90,22</t>
  </si>
  <si>
    <t>74,46</t>
  </si>
  <si>
    <t>72,19</t>
  </si>
  <si>
    <t>71,22</t>
  </si>
  <si>
    <t>74,40</t>
  </si>
  <si>
    <t>72,87</t>
  </si>
  <si>
    <t>74,33</t>
  </si>
  <si>
    <t>72,37</t>
  </si>
  <si>
    <t>73,97</t>
  </si>
  <si>
    <t>67,19</t>
  </si>
  <si>
    <t>67,55</t>
  </si>
  <si>
    <t>74,06</t>
  </si>
  <si>
    <t>69,26</t>
  </si>
  <si>
    <t>63,98</t>
  </si>
  <si>
    <t>64,97</t>
  </si>
  <si>
    <t>76,14</t>
  </si>
  <si>
    <t>73,70</t>
  </si>
  <si>
    <t>77,89</t>
  </si>
  <si>
    <t>79,49</t>
  </si>
  <si>
    <t>76,25</t>
  </si>
  <si>
    <t>70,51</t>
  </si>
  <si>
    <t>Corpay Inc.</t>
  </si>
  <si>
    <t>CPAY</t>
  </si>
  <si>
    <t>134,06</t>
  </si>
  <si>
    <t>141,28</t>
  </si>
  <si>
    <t>159,94</t>
  </si>
  <si>
    <t>154,56</t>
  </si>
  <si>
    <t>147,30</t>
  </si>
  <si>
    <t>135,75</t>
  </si>
  <si>
    <t>128,88</t>
  </si>
  <si>
    <t>135,06</t>
  </si>
  <si>
    <t>117,55</t>
  </si>
  <si>
    <t>113,52</t>
  </si>
  <si>
    <t>131,60</t>
  </si>
  <si>
    <t>145,49</t>
  </si>
  <si>
    <t>131,37</t>
  </si>
  <si>
    <t>123,31</t>
  </si>
  <si>
    <t>133,16</t>
  </si>
  <si>
    <t>140,14</t>
  </si>
  <si>
    <t>140,10</t>
  </si>
  <si>
    <t>138,62</t>
  </si>
  <si>
    <t>143,71</t>
  </si>
  <si>
    <t>140,48</t>
  </si>
  <si>
    <t>136,84</t>
  </si>
  <si>
    <t>124,45</t>
  </si>
  <si>
    <t>Salesforce Inc.</t>
  </si>
  <si>
    <t>CRM</t>
  </si>
  <si>
    <t>68,11</t>
  </si>
  <si>
    <t>68,58</t>
  </si>
  <si>
    <t>63,46</t>
  </si>
  <si>
    <t>71,24</t>
  </si>
  <si>
    <t>73,21</t>
  </si>
  <si>
    <t>71,50</t>
  </si>
  <si>
    <t>75,22</t>
  </si>
  <si>
    <t>66,18</t>
  </si>
  <si>
    <t>62,37</t>
  </si>
  <si>
    <t>62,90</t>
  </si>
  <si>
    <t>75,43</t>
  </si>
  <si>
    <t>70,47</t>
  </si>
  <si>
    <t>62,21</t>
  </si>
  <si>
    <t>66,35</t>
  </si>
  <si>
    <t>62,51</t>
  </si>
  <si>
    <t>66,29</t>
  </si>
  <si>
    <t>65,05</t>
  </si>
  <si>
    <t>62,19</t>
  </si>
  <si>
    <t>61,88</t>
  </si>
  <si>
    <t>50,00</t>
  </si>
  <si>
    <t>PulteGroup Inc.</t>
  </si>
  <si>
    <t>PHM</t>
  </si>
  <si>
    <t>Homebuilding Producers</t>
  </si>
  <si>
    <t>17,41</t>
  </si>
  <si>
    <t>17,84</t>
  </si>
  <si>
    <t>16,97</t>
  </si>
  <si>
    <t>17,83</t>
  </si>
  <si>
    <t>19,17</t>
  </si>
  <si>
    <t>18,96</t>
  </si>
  <si>
    <t>17,55</t>
  </si>
  <si>
    <t>16,86</t>
  </si>
  <si>
    <t>16,06</t>
  </si>
  <si>
    <t>16,43</t>
  </si>
  <si>
    <t>15,82</t>
  </si>
  <si>
    <t>15,49</t>
  </si>
  <si>
    <t>16,41</t>
  </si>
  <si>
    <t>18,44</t>
  </si>
  <si>
    <t>16,62</t>
  </si>
  <si>
    <t>16,91</t>
  </si>
  <si>
    <t>18,47</t>
  </si>
  <si>
    <t>18,75</t>
  </si>
  <si>
    <t>18,09</t>
  </si>
  <si>
    <t>17,48</t>
  </si>
  <si>
    <t>17,24</t>
  </si>
  <si>
    <t>20,69</t>
  </si>
  <si>
    <t>20,12</t>
  </si>
  <si>
    <t>18,24</t>
  </si>
  <si>
    <t>Ciena Corp.</t>
  </si>
  <si>
    <t>CIEN</t>
  </si>
  <si>
    <t>Communications Equipment</t>
  </si>
  <si>
    <t>23,12</t>
  </si>
  <si>
    <t>20,29</t>
  </si>
  <si>
    <t>17,68</t>
  </si>
  <si>
    <t>19,39</t>
  </si>
  <si>
    <t>19,24</t>
  </si>
  <si>
    <t>17,17</t>
  </si>
  <si>
    <t>16,88</t>
  </si>
  <si>
    <t>15,69</t>
  </si>
  <si>
    <t>14,70</t>
  </si>
  <si>
    <t>16,70</t>
  </si>
  <si>
    <t>18,87</t>
  </si>
  <si>
    <t>16,42</t>
  </si>
  <si>
    <t>19,05</t>
  </si>
  <si>
    <t>23,70</t>
  </si>
  <si>
    <t>21,89</t>
  </si>
  <si>
    <t>18,57</t>
  </si>
  <si>
    <t>19,96</t>
  </si>
  <si>
    <t>23,04</t>
  </si>
  <si>
    <t>21,26</t>
  </si>
  <si>
    <t>21,98</t>
  </si>
  <si>
    <t>19,03</t>
  </si>
  <si>
    <t>17,97</t>
  </si>
  <si>
    <t>18,66</t>
  </si>
  <si>
    <t>16,40</t>
  </si>
  <si>
    <t>Align Technology Inc.</t>
  </si>
  <si>
    <t>ALGN</t>
  </si>
  <si>
    <t>Health Care Supplies</t>
  </si>
  <si>
    <t>91,06</t>
  </si>
  <si>
    <t>88,03</t>
  </si>
  <si>
    <t>78,39</t>
  </si>
  <si>
    <t>83,40</t>
  </si>
  <si>
    <t>83,34</t>
  </si>
  <si>
    <t>79,78</t>
  </si>
  <si>
    <t>72,53</t>
  </si>
  <si>
    <t>70,83</t>
  </si>
  <si>
    <t>63,03</t>
  </si>
  <si>
    <t>60,78</t>
  </si>
  <si>
    <t>61,12</t>
  </si>
  <si>
    <t>60,63</t>
  </si>
  <si>
    <t>63,17</t>
  </si>
  <si>
    <t>59,36</t>
  </si>
  <si>
    <t>50,86</t>
  </si>
  <si>
    <t>50,53</t>
  </si>
  <si>
    <t>56,75</t>
  </si>
  <si>
    <t>56,30</t>
  </si>
  <si>
    <t>55,28</t>
  </si>
  <si>
    <t>52,56</t>
  </si>
  <si>
    <t>50,07</t>
  </si>
  <si>
    <t>51,15</t>
  </si>
  <si>
    <t>46,99</t>
  </si>
  <si>
    <t>Weyerhaeuser Co.</t>
  </si>
  <si>
    <t>WY</t>
  </si>
  <si>
    <t>Timber REIT</t>
  </si>
  <si>
    <t>28,50</t>
  </si>
  <si>
    <t>29,17</t>
  </si>
  <si>
    <t>27,31</t>
  </si>
  <si>
    <t>28,42</t>
  </si>
  <si>
    <t>28,57</t>
  </si>
  <si>
    <t>26,81</t>
  </si>
  <si>
    <t>28,30</t>
  </si>
  <si>
    <t>28,05</t>
  </si>
  <si>
    <t>27,20</t>
  </si>
  <si>
    <t>23,92</t>
  </si>
  <si>
    <t>23,67</t>
  </si>
  <si>
    <t>27,60</t>
  </si>
  <si>
    <t>30,45</t>
  </si>
  <si>
    <t>26,60</t>
  </si>
  <si>
    <t>24,50</t>
  </si>
  <si>
    <t>24,94</t>
  </si>
  <si>
    <t>27,78</t>
  </si>
  <si>
    <t>28,28</t>
  </si>
  <si>
    <t>29,67</t>
  </si>
  <si>
    <t>28,15</t>
  </si>
  <si>
    <t>30,86</t>
  </si>
  <si>
    <t>31,31</t>
  </si>
  <si>
    <t>31,75</t>
  </si>
  <si>
    <t>Lockheed Martin Corp.</t>
  </si>
  <si>
    <t>LMT</t>
  </si>
  <si>
    <t>Aerospace and Defense</t>
  </si>
  <si>
    <t>236,77</t>
  </si>
  <si>
    <t>250,93</t>
  </si>
  <si>
    <t>224,80</t>
  </si>
  <si>
    <t>213,27</t>
  </si>
  <si>
    <t>217,96</t>
  </si>
  <si>
    <t>226,18</t>
  </si>
  <si>
    <t>223,46</t>
  </si>
  <si>
    <t>212,26</t>
  </si>
  <si>
    <t>202,90</t>
  </si>
  <si>
    <t>194,49</t>
  </si>
  <si>
    <t>198,65</t>
  </si>
  <si>
    <t>195,00</t>
  </si>
  <si>
    <t>199,94</t>
  </si>
  <si>
    <t>207,45</t>
  </si>
  <si>
    <t>199,35</t>
  </si>
  <si>
    <t>185,76</t>
  </si>
  <si>
    <t>179,60</t>
  </si>
  <si>
    <t>187,46</t>
  </si>
  <si>
    <t>166,89</t>
  </si>
  <si>
    <t>171,48</t>
  </si>
  <si>
    <t>166,68</t>
  </si>
  <si>
    <t>188,93</t>
  </si>
  <si>
    <t>178,41</t>
  </si>
  <si>
    <t>166,85</t>
  </si>
  <si>
    <t>Assurant Inc.</t>
  </si>
  <si>
    <t>AIZ</t>
  </si>
  <si>
    <t>Property and Casualty</t>
  </si>
  <si>
    <t>87,97</t>
  </si>
  <si>
    <t>81,68</t>
  </si>
  <si>
    <t>73,47</t>
  </si>
  <si>
    <t>82,07</t>
  </si>
  <si>
    <t>80,33</t>
  </si>
  <si>
    <t>74,29</t>
  </si>
  <si>
    <t>77,72</t>
  </si>
  <si>
    <t>78,52</t>
  </si>
  <si>
    <t>67,74</t>
  </si>
  <si>
    <t>65,45</t>
  </si>
  <si>
    <t>74,16</t>
  </si>
  <si>
    <t>80,95</t>
  </si>
  <si>
    <t>70,80</t>
  </si>
  <si>
    <t>67,52</t>
  </si>
  <si>
    <t>60,15</t>
  </si>
  <si>
    <t>60,00</t>
  </si>
  <si>
    <t>54,90</t>
  </si>
  <si>
    <t>57,16</t>
  </si>
  <si>
    <t>54,64</t>
  </si>
  <si>
    <t>56,25</t>
  </si>
  <si>
    <t>Universal Health Services Inc.</t>
  </si>
  <si>
    <t>UHS</t>
  </si>
  <si>
    <t>100,77</t>
  </si>
  <si>
    <t>116,38</t>
  </si>
  <si>
    <t>110,14</t>
  </si>
  <si>
    <t>109,62</t>
  </si>
  <si>
    <t>108,12</t>
  </si>
  <si>
    <t>115,92</t>
  </si>
  <si>
    <t>120,75</t>
  </si>
  <si>
    <t>121,18</t>
  </si>
  <si>
    <t>116,72</t>
  </si>
  <si>
    <t>109,51</t>
  </si>
  <si>
    <t>101,60</t>
  </si>
  <si>
    <t>104,10</t>
  </si>
  <si>
    <t>110,02</t>
  </si>
  <si>
    <t>115,02</t>
  </si>
  <si>
    <t>110,72</t>
  </si>
  <si>
    <t>111,84</t>
  </si>
  <si>
    <t>122,43</t>
  </si>
  <si>
    <t>131,45</t>
  </si>
  <si>
    <t>127,57</t>
  </si>
  <si>
    <t>118,07</t>
  </si>
  <si>
    <t>104,47</t>
  </si>
  <si>
    <t>109,57</t>
  </si>
  <si>
    <t>101,09</t>
  </si>
  <si>
    <t>Mettler-Toledo Intl Inc.</t>
  </si>
  <si>
    <t>MTD</t>
  </si>
  <si>
    <t>396,50</t>
  </si>
  <si>
    <t>389,77</t>
  </si>
  <si>
    <t>368,68</t>
  </si>
  <si>
    <t>373,50</t>
  </si>
  <si>
    <t>361,57</t>
  </si>
  <si>
    <t>368,01</t>
  </si>
  <si>
    <t>328,59</t>
  </si>
  <si>
    <t>337,24</t>
  </si>
  <si>
    <t>312,54</t>
  </si>
  <si>
    <t>302,72</t>
  </si>
  <si>
    <t>289,89</t>
  </si>
  <si>
    <t>289,12</t>
  </si>
  <si>
    <t>312,25</t>
  </si>
  <si>
    <t>324,46</t>
  </si>
  <si>
    <t>282,02</t>
  </si>
  <si>
    <t>255,14</t>
  </si>
  <si>
    <t>264,75</t>
  </si>
  <si>
    <t>305,58</t>
  </si>
  <si>
    <t>306,55</t>
  </si>
  <si>
    <t>295,83</t>
  </si>
  <si>
    <t>283,17</t>
  </si>
  <si>
    <t>305,92</t>
  </si>
  <si>
    <t>280,19</t>
  </si>
  <si>
    <t>269,22</t>
  </si>
  <si>
    <t>Principal Financial Group Inc.</t>
  </si>
  <si>
    <t>PFG</t>
  </si>
  <si>
    <t>Life and Health</t>
  </si>
  <si>
    <t>54,81</t>
  </si>
  <si>
    <t>54,57</t>
  </si>
  <si>
    <t>49,82</t>
  </si>
  <si>
    <t>45,83</t>
  </si>
  <si>
    <t>44,02</t>
  </si>
  <si>
    <t>41,73</t>
  </si>
  <si>
    <t>37,02</t>
  </si>
  <si>
    <t>40,04</t>
  </si>
  <si>
    <t>37,27</t>
  </si>
  <si>
    <t>34,64</t>
  </si>
  <si>
    <t>34,81</t>
  </si>
  <si>
    <t>35,12</t>
  </si>
  <si>
    <t>41,42</t>
  </si>
  <si>
    <t>48,71</t>
  </si>
  <si>
    <t>45,49</t>
  </si>
  <si>
    <t>42,42</t>
  </si>
  <si>
    <t>44,95</t>
  </si>
  <si>
    <t>50,24</t>
  </si>
  <si>
    <t>46,05</t>
  </si>
  <si>
    <t>47,10</t>
  </si>
  <si>
    <t>45,66</t>
  </si>
  <si>
    <t>47,82</t>
  </si>
  <si>
    <t>45,64</t>
  </si>
  <si>
    <t>41,57</t>
  </si>
  <si>
    <t>Delta Air Lines Inc.</t>
  </si>
  <si>
    <t>DAL</t>
  </si>
  <si>
    <t>Passenger Airlines</t>
  </si>
  <si>
    <t>46,60</t>
  </si>
  <si>
    <t>45,58</t>
  </si>
  <si>
    <t>38,11</t>
  </si>
  <si>
    <t>35,02</t>
  </si>
  <si>
    <t>32,97</t>
  </si>
  <si>
    <t>34,68</t>
  </si>
  <si>
    <t>39,05</t>
  </si>
  <si>
    <t>36,38</t>
  </si>
  <si>
    <t>42,74</t>
  </si>
  <si>
    <t>44,41</t>
  </si>
  <si>
    <t>40,93</t>
  </si>
  <si>
    <t>46,67</t>
  </si>
  <si>
    <t>43,98</t>
  </si>
  <si>
    <t>46,10</t>
  </si>
  <si>
    <t>40,21</t>
  </si>
  <si>
    <t>39,08</t>
  </si>
  <si>
    <t>40,13</t>
  </si>
  <si>
    <t>36,88</t>
  </si>
  <si>
    <t>39,11</t>
  </si>
  <si>
    <t>39,87</t>
  </si>
  <si>
    <t>41,85</t>
  </si>
  <si>
    <t>39,71</t>
  </si>
  <si>
    <t>41,90</t>
  </si>
  <si>
    <t>eBay Inc.</t>
  </si>
  <si>
    <t>EBAY</t>
  </si>
  <si>
    <t>Broadline Retail</t>
  </si>
  <si>
    <t>28,13</t>
  </si>
  <si>
    <t>26,31</t>
  </si>
  <si>
    <t>26,01</t>
  </si>
  <si>
    <t>29,27</t>
  </si>
  <si>
    <t>28,85</t>
  </si>
  <si>
    <t>27,89</t>
  </si>
  <si>
    <t>21,08</t>
  </si>
  <si>
    <t>21,33</t>
  </si>
  <si>
    <t>20,95</t>
  </si>
  <si>
    <t>21,91</t>
  </si>
  <si>
    <t>21,68</t>
  </si>
  <si>
    <t>25,30</t>
  </si>
  <si>
    <t>21,90</t>
  </si>
  <si>
    <t>24,20</t>
  </si>
  <si>
    <t>25,45</t>
  </si>
  <si>
    <t>54,08</t>
  </si>
  <si>
    <t>55,91</t>
  </si>
  <si>
    <t>53,69</t>
  </si>
  <si>
    <t>51,65</t>
  </si>
  <si>
    <t>46,94</t>
  </si>
  <si>
    <t>Crown Castle Inc.</t>
  </si>
  <si>
    <t>CCI</t>
  </si>
  <si>
    <t>Telecom Tower REIT</t>
  </si>
  <si>
    <t>82,20</t>
  </si>
  <si>
    <t>78,95</t>
  </si>
  <si>
    <t>83,02</t>
  </si>
  <si>
    <t>83,81</t>
  </si>
  <si>
    <t>85,01</t>
  </si>
  <si>
    <t>86,84</t>
  </si>
  <si>
    <t>81,60</t>
  </si>
  <si>
    <t>75,86</t>
  </si>
  <si>
    <t>75,95</t>
  </si>
  <si>
    <t>79,63</t>
  </si>
  <si>
    <t>79,66</t>
  </si>
  <si>
    <t>79,60</t>
  </si>
  <si>
    <t>81,32</t>
  </si>
  <si>
    <t>77,50</t>
  </si>
  <si>
    <t>70,67</t>
  </si>
  <si>
    <t>74,45</t>
  </si>
  <si>
    <t>74,14</t>
  </si>
  <si>
    <t>72,09</t>
  </si>
  <si>
    <t>74,30</t>
  </si>
  <si>
    <t>74,61</t>
  </si>
  <si>
    <t>76,83</t>
  </si>
  <si>
    <t>76,98</t>
  </si>
  <si>
    <t>76,63</t>
  </si>
  <si>
    <t>Royal Caribbean Cruises Ltd.</t>
  </si>
  <si>
    <t>RCL</t>
  </si>
  <si>
    <t>Hotels, Resorts and Cruise Lines</t>
  </si>
  <si>
    <t>76,60</t>
  </si>
  <si>
    <t>70,14</t>
  </si>
  <si>
    <t>66,68</t>
  </si>
  <si>
    <t>63,79</t>
  </si>
  <si>
    <t>60,47</t>
  </si>
  <si>
    <t>69,54</t>
  </si>
  <si>
    <t>67,58</t>
  </si>
  <si>
    <t>72,13</t>
  </si>
  <si>
    <t>68,46</t>
  </si>
  <si>
    <t>75,74</t>
  </si>
  <si>
    <t>93,19</t>
  </si>
  <si>
    <t>87,66</t>
  </si>
  <si>
    <t>89,19</t>
  </si>
  <si>
    <t>79,83</t>
  </si>
  <si>
    <t>78,70</t>
  </si>
  <si>
    <t>81,33</t>
  </si>
  <si>
    <t>70,64</t>
  </si>
  <si>
    <t>60,79</t>
  </si>
  <si>
    <t>76,19</t>
  </si>
  <si>
    <t>68,16</t>
  </si>
  <si>
    <t>66,92</t>
  </si>
  <si>
    <t>KLA Corp.</t>
  </si>
  <si>
    <t>KLAC</t>
  </si>
  <si>
    <t>74,53</t>
  </si>
  <si>
    <t>75,53</t>
  </si>
  <si>
    <t>62,02</t>
  </si>
  <si>
    <t>62,13</t>
  </si>
  <si>
    <t>67,76</t>
  </si>
  <si>
    <t>65,53</t>
  </si>
  <si>
    <t>63,93</t>
  </si>
  <si>
    <t>62,36</t>
  </si>
  <si>
    <t>61,91</t>
  </si>
  <si>
    <t>63,85</t>
  </si>
  <si>
    <t>62,92</t>
  </si>
  <si>
    <t>60,87</t>
  </si>
  <si>
    <t>44,80</t>
  </si>
  <si>
    <t>44,74</t>
  </si>
  <si>
    <t>48,02</t>
  </si>
  <si>
    <t>50,46</t>
  </si>
  <si>
    <t>54,36</t>
  </si>
  <si>
    <t>52,52</t>
  </si>
  <si>
    <t>54,26</t>
  </si>
  <si>
    <t>57,93</t>
  </si>
  <si>
    <t>54,45</t>
  </si>
  <si>
    <t>CF Industries Holdings Inc.</t>
  </si>
  <si>
    <t>CF</t>
  </si>
  <si>
    <t>Fertilizers and Agricultural Chemicals</t>
  </si>
  <si>
    <t>27,38</t>
  </si>
  <si>
    <t>21,66</t>
  </si>
  <si>
    <t>23,32</t>
  </si>
  <si>
    <t>22,09</t>
  </si>
  <si>
    <t>21,70</t>
  </si>
  <si>
    <t>24,85</t>
  </si>
  <si>
    <t>28,88</t>
  </si>
  <si>
    <t>27,52</t>
  </si>
  <si>
    <t>33,56</t>
  </si>
  <si>
    <t>27,72</t>
  </si>
  <si>
    <t>43,67</t>
  </si>
  <si>
    <t>46,04</t>
  </si>
  <si>
    <t>40,23</t>
  </si>
  <si>
    <t>51,23</t>
  </si>
  <si>
    <t>53,58</t>
  </si>
  <si>
    <t>57,71</t>
  </si>
  <si>
    <t>57,56</t>
  </si>
  <si>
    <t>51,36</t>
  </si>
  <si>
    <t>52,81</t>
  </si>
  <si>
    <t>54,62</t>
  </si>
  <si>
    <t>54,10</t>
  </si>
  <si>
    <t>The Sherwin-Williams Co.</t>
  </si>
  <si>
    <t>SHW</t>
  </si>
  <si>
    <t>Specialty Chemicals</t>
  </si>
  <si>
    <t>84,86</t>
  </si>
  <si>
    <t>84,72</t>
  </si>
  <si>
    <t>74,47</t>
  </si>
  <si>
    <t>82,04</t>
  </si>
  <si>
    <t>84,83</t>
  </si>
  <si>
    <t>89,41</t>
  </si>
  <si>
    <t>88,15</t>
  </si>
  <si>
    <t>83,62</t>
  </si>
  <si>
    <t>83,32</t>
  </si>
  <si>
    <t>83,00</t>
  </si>
  <si>
    <t>78,76</t>
  </si>
  <si>
    <t>79,68</t>
  </si>
  <si>
    <t>87,10</t>
  </si>
  <si>
    <t>80,66</t>
  </si>
  <si>
    <t>66,54</t>
  </si>
  <si>
    <t>76,12</t>
  </si>
  <si>
    <t>83,80</t>
  </si>
  <si>
    <t>82,30</t>
  </si>
  <si>
    <t>87,53</t>
  </si>
  <si>
    <t>82,77</t>
  </si>
  <si>
    <t>88,28</t>
  </si>
  <si>
    <t>84,79</t>
  </si>
  <si>
    <t>EOG Resources Inc.</t>
  </si>
  <si>
    <t>EOG</t>
  </si>
  <si>
    <t>Oil and Gas Exploration and Production</t>
  </si>
  <si>
    <t>95,77</t>
  </si>
  <si>
    <t>96,98</t>
  </si>
  <si>
    <t>82,50</t>
  </si>
  <si>
    <t>86,04</t>
  </si>
  <si>
    <t>79,38</t>
  </si>
  <si>
    <t>73,12</t>
  </si>
  <si>
    <t>75,12</t>
  </si>
  <si>
    <t>72,14</t>
  </si>
  <si>
    <t>63,73</t>
  </si>
  <si>
    <t>59,60</t>
  </si>
  <si>
    <t>65,63</t>
  </si>
  <si>
    <t>65,18</t>
  </si>
  <si>
    <t>78,97</t>
  </si>
  <si>
    <t>77,85</t>
  </si>
  <si>
    <t>65,23</t>
  </si>
  <si>
    <t>69,91</t>
  </si>
  <si>
    <t>69,87</t>
  </si>
  <si>
    <t>78,60</t>
  </si>
  <si>
    <t>80,81</t>
  </si>
  <si>
    <t>88,39</t>
  </si>
  <si>
    <t>85,35</t>
  </si>
  <si>
    <t>80,02</t>
  </si>
  <si>
    <t>78,86</t>
  </si>
  <si>
    <t>CoStar Group Inc.</t>
  </si>
  <si>
    <t>CSGP</t>
  </si>
  <si>
    <t>Real Estate Services</t>
  </si>
  <si>
    <t>17,86</t>
  </si>
  <si>
    <t>18,08</t>
  </si>
  <si>
    <t>17,07</t>
  </si>
  <si>
    <t>19,26</t>
  </si>
  <si>
    <t>18,59</t>
  </si>
  <si>
    <t>18,61</t>
  </si>
  <si>
    <t>19,69</t>
  </si>
  <si>
    <t>18,56</t>
  </si>
  <si>
    <t>17,23</t>
  </si>
  <si>
    <t>16,52</t>
  </si>
  <si>
    <t>16,30</t>
  </si>
  <si>
    <t>16,21</t>
  </si>
  <si>
    <t>19,81</t>
  </si>
  <si>
    <t>18,42</t>
  </si>
  <si>
    <t>15,51</t>
  </si>
  <si>
    <t>15,81</t>
  </si>
  <si>
    <t>18,22</t>
  </si>
  <si>
    <t>18,07</t>
  </si>
  <si>
    <t>18,26</t>
  </si>
  <si>
    <t>17,76</t>
  </si>
  <si>
    <t>16,34</t>
  </si>
  <si>
    <t>Prudential Financial Inc.</t>
  </si>
  <si>
    <t>PRU</t>
  </si>
  <si>
    <t>98,58</t>
  </si>
  <si>
    <t>95,17</t>
  </si>
  <si>
    <t>77,36</t>
  </si>
  <si>
    <t>72,64</t>
  </si>
  <si>
    <t>71,21</t>
  </si>
  <si>
    <t>67,38</t>
  </si>
  <si>
    <t>64,24</t>
  </si>
  <si>
    <t>67,79</t>
  </si>
  <si>
    <t>63,41</t>
  </si>
  <si>
    <t>60,84</t>
  </si>
  <si>
    <t>64,76</t>
  </si>
  <si>
    <t>74,96</t>
  </si>
  <si>
    <t>81,92</t>
  </si>
  <si>
    <t>74,82</t>
  </si>
  <si>
    <t>72,04</t>
  </si>
  <si>
    <t>79,98</t>
  </si>
  <si>
    <t>78,57</t>
  </si>
  <si>
    <t>77,09</t>
  </si>
  <si>
    <t>72,89</t>
  </si>
  <si>
    <t>74,76</t>
  </si>
  <si>
    <t>72,11</t>
  </si>
  <si>
    <t>67,21</t>
  </si>
  <si>
    <t>Cencora Inc.</t>
  </si>
  <si>
    <t>COR</t>
  </si>
  <si>
    <t>Health Care Distributors</t>
  </si>
  <si>
    <t>74,07</t>
  </si>
  <si>
    <t>73,78</t>
  </si>
  <si>
    <t>64,16</t>
  </si>
  <si>
    <t>71,87</t>
  </si>
  <si>
    <t>78,02</t>
  </si>
  <si>
    <t>76,24</t>
  </si>
  <si>
    <t>71,42</t>
  </si>
  <si>
    <t>67,37</t>
  </si>
  <si>
    <t>74,31</t>
  </si>
  <si>
    <t>76,00</t>
  </si>
  <si>
    <t>79,74</t>
  </si>
  <si>
    <t>95,49</t>
  </si>
  <si>
    <t>93,37</t>
  </si>
  <si>
    <t>87,52</t>
  </si>
  <si>
    <t>85,12</t>
  </si>
  <si>
    <t>89,31</t>
  </si>
  <si>
    <t>95,72</t>
  </si>
  <si>
    <t>95,47</t>
  </si>
  <si>
    <t>102,56</t>
  </si>
  <si>
    <t>102,10</t>
  </si>
  <si>
    <t>105,81</t>
  </si>
  <si>
    <t>91,65</t>
  </si>
  <si>
    <t>Aon plc</t>
  </si>
  <si>
    <t>AON</t>
  </si>
  <si>
    <t>Insurance Broker</t>
  </si>
  <si>
    <t>105,65</t>
  </si>
  <si>
    <t>107,94</t>
  </si>
  <si>
    <t>101,12</t>
  </si>
  <si>
    <t>100,08</t>
  </si>
  <si>
    <t>99,89</t>
  </si>
  <si>
    <t>95,82</t>
  </si>
  <si>
    <t>98,36</t>
  </si>
  <si>
    <t>98,18</t>
  </si>
  <si>
    <t>91,79</t>
  </si>
  <si>
    <t>87,72</t>
  </si>
  <si>
    <t>81,17</t>
  </si>
  <si>
    <t>84,90</t>
  </si>
  <si>
    <t>89,68</t>
  </si>
  <si>
    <t>79,40</t>
  </si>
  <si>
    <t>83,42</t>
  </si>
  <si>
    <t>91,21</t>
  </si>
  <si>
    <t>89,49</t>
  </si>
  <si>
    <t>92,23</t>
  </si>
  <si>
    <t>85,96</t>
  </si>
  <si>
    <t>89,47</t>
  </si>
  <si>
    <t>89,51</t>
  </si>
  <si>
    <t>79,76</t>
  </si>
  <si>
    <t>Repub Services Inc.</t>
  </si>
  <si>
    <t>RSG</t>
  </si>
  <si>
    <t>Environmental and Facilities Services</t>
  </si>
  <si>
    <t>54,04</t>
  </si>
  <si>
    <t>52,49</t>
  </si>
  <si>
    <t>44,88</t>
  </si>
  <si>
    <t>45,32</t>
  </si>
  <si>
    <t>45,88</t>
  </si>
  <si>
    <t>46,20</t>
  </si>
  <si>
    <t>43,38</t>
  </si>
  <si>
    <t>41,10</t>
  </si>
  <si>
    <t>41,84</t>
  </si>
  <si>
    <t>42,07</t>
  </si>
  <si>
    <t>40,39</t>
  </si>
  <si>
    <t>40,50</t>
  </si>
  <si>
    <t>41,58</t>
  </si>
  <si>
    <t>39,67</t>
  </si>
  <si>
    <t>36,92</t>
  </si>
  <si>
    <t>36,58</t>
  </si>
  <si>
    <t>38,50</t>
  </si>
  <si>
    <t>35,16</t>
  </si>
  <si>
    <t>36,71</t>
  </si>
  <si>
    <t>36,29</t>
  </si>
  <si>
    <t>37,76</t>
  </si>
  <si>
    <t>36,49</t>
  </si>
  <si>
    <t>35,15</t>
  </si>
  <si>
    <t>Arthur J. Gallagher &amp; Co.</t>
  </si>
  <si>
    <t>AJG</t>
  </si>
  <si>
    <t>49,22</t>
  </si>
  <si>
    <t>47,63</t>
  </si>
  <si>
    <t>44,01</t>
  </si>
  <si>
    <t>45,26</t>
  </si>
  <si>
    <t>44,32</t>
  </si>
  <si>
    <t>42,86</t>
  </si>
  <si>
    <t>43,43</t>
  </si>
  <si>
    <t>40,20</t>
  </si>
  <si>
    <t>39,06</t>
  </si>
  <si>
    <t>36,68</t>
  </si>
  <si>
    <t>34,79</t>
  </si>
  <si>
    <t>37,70</t>
  </si>
  <si>
    <t>41,41</t>
  </si>
  <si>
    <t>39,66</t>
  </si>
  <si>
    <t>36,99</t>
  </si>
  <si>
    <t>39,03</t>
  </si>
  <si>
    <t>42,93</t>
  </si>
  <si>
    <t>42,46</t>
  </si>
  <si>
    <t>44,15</t>
  </si>
  <si>
    <t>42,72</t>
  </si>
  <si>
    <t>43,52</t>
  </si>
  <si>
    <t>41,91</t>
  </si>
  <si>
    <t>39,35</t>
  </si>
  <si>
    <t>Chubb Ltd.</t>
  </si>
  <si>
    <t>CB</t>
  </si>
  <si>
    <t>125,16</t>
  </si>
  <si>
    <t>121,09</t>
  </si>
  <si>
    <t>115,87</t>
  </si>
  <si>
    <t>111,78</t>
  </si>
  <si>
    <t>113,86</t>
  </si>
  <si>
    <t>112,10</t>
  </si>
  <si>
    <t>117,70</t>
  </si>
  <si>
    <t>113,77</t>
  </si>
  <si>
    <t>102,91</t>
  </si>
  <si>
    <t>104,62</t>
  </si>
  <si>
    <t>106,35</t>
  </si>
  <si>
    <t>104,49</t>
  </si>
  <si>
    <t>107,59</t>
  </si>
  <si>
    <t>108,71</t>
  </si>
  <si>
    <t>102,96</t>
  </si>
  <si>
    <t>92,65</t>
  </si>
  <si>
    <t>91,20</t>
  </si>
  <si>
    <t>98,45</t>
  </si>
  <si>
    <t>91,28</t>
  </si>
  <si>
    <t>97,02</t>
  </si>
  <si>
    <t>103,78</t>
  </si>
  <si>
    <t>101,68</t>
  </si>
  <si>
    <t>95,63</t>
  </si>
  <si>
    <t>Westinghouse Air Brake Technol</t>
  </si>
  <si>
    <t>WAB</t>
  </si>
  <si>
    <t>Machinery and Equipment: Construction and Heavy Transportation</t>
  </si>
  <si>
    <t>78,64</t>
  </si>
  <si>
    <t>80,10</t>
  </si>
  <si>
    <t>70,54</t>
  </si>
  <si>
    <t>68,72</t>
  </si>
  <si>
    <t>61,30</t>
  </si>
  <si>
    <t>63,24</t>
  </si>
  <si>
    <t>69,53</t>
  </si>
  <si>
    <t>72,41</t>
  </si>
  <si>
    <t>69,62</t>
  </si>
  <si>
    <t>64,99</t>
  </si>
  <si>
    <t>59,10</t>
  </si>
  <si>
    <t>65,48</t>
  </si>
  <si>
    <t>75,84</t>
  </si>
  <si>
    <t>75,15</t>
  </si>
  <si>
    <t>78,90</t>
  </si>
  <si>
    <t>85,49</t>
  </si>
  <si>
    <t>91,59</t>
  </si>
  <si>
    <t>84,60</t>
  </si>
  <si>
    <t>91,39</t>
  </si>
  <si>
    <t>84,01</t>
  </si>
  <si>
    <t>88,44</t>
  </si>
  <si>
    <t>84,63</t>
  </si>
  <si>
    <t>73,92</t>
  </si>
  <si>
    <t>Amphenol Corp.</t>
  </si>
  <si>
    <t>APH</t>
  </si>
  <si>
    <t>Electronic Components</t>
  </si>
  <si>
    <t>15,91</t>
  </si>
  <si>
    <t>15,04</t>
  </si>
  <si>
    <t>14,44</t>
  </si>
  <si>
    <t>13,97</t>
  </si>
  <si>
    <t>13,32</t>
  </si>
  <si>
    <t>12,91</t>
  </si>
  <si>
    <t>13,19</t>
  </si>
  <si>
    <t>12,19</t>
  </si>
  <si>
    <t>12,69</t>
  </si>
  <si>
    <t>12,21</t>
  </si>
  <si>
    <t>11,45</t>
  </si>
  <si>
    <t>12,02</t>
  </si>
  <si>
    <t>13,03</t>
  </si>
  <si>
    <t>12,29</t>
  </si>
  <si>
    <t>11,42</t>
  </si>
  <si>
    <t>11,69</t>
  </si>
  <si>
    <t>12,76</t>
  </si>
  <si>
    <t>13,01</t>
  </si>
  <si>
    <t>13,00</t>
  </si>
  <si>
    <t>12,36</t>
  </si>
  <si>
    <t>13,71</t>
  </si>
  <si>
    <t>12,59</t>
  </si>
  <si>
    <t>11,89</t>
  </si>
  <si>
    <t>Roper Technologies Inc.</t>
  </si>
  <si>
    <t>ROP</t>
  </si>
  <si>
    <t>173,43</t>
  </si>
  <si>
    <t>171,33</t>
  </si>
  <si>
    <t>158,13</t>
  </si>
  <si>
    <t>162,33</t>
  </si>
  <si>
    <t>159,27</t>
  </si>
  <si>
    <t>152,46</t>
  </si>
  <si>
    <t>153,58</t>
  </si>
  <si>
    <t>153,72</t>
  </si>
  <si>
    <t>153,75</t>
  </si>
  <si>
    <t>160,48</t>
  </si>
  <si>
    <t>154,59</t>
  </si>
  <si>
    <t>162,35</t>
  </si>
  <si>
    <t>174,75</t>
  </si>
  <si>
    <t>183,15</t>
  </si>
  <si>
    <t>168,99</t>
  </si>
  <si>
    <t>140,41</t>
  </si>
  <si>
    <t>144,71</t>
  </si>
  <si>
    <t>151,40</t>
  </si>
  <si>
    <t>154,83</t>
  </si>
  <si>
    <t>159,41</t>
  </si>
  <si>
    <t>150,22</t>
  </si>
  <si>
    <t>160,11</t>
  </si>
  <si>
    <t>149,45</t>
  </si>
  <si>
    <t>136,71</t>
  </si>
  <si>
    <t>Akamai Technologies Inc.</t>
  </si>
  <si>
    <t>AKAM</t>
  </si>
  <si>
    <t>Internet Services and Infrastructure</t>
  </si>
  <si>
    <t>63,10</t>
  </si>
  <si>
    <t>63,38</t>
  </si>
  <si>
    <t>47,14</t>
  </si>
  <si>
    <t>49,25</t>
  </si>
  <si>
    <t>45,22</t>
  </si>
  <si>
    <t>50,36</t>
  </si>
  <si>
    <t>49,04</t>
  </si>
  <si>
    <t>44,52</t>
  </si>
  <si>
    <t>48,79</t>
  </si>
  <si>
    <t>49,68</t>
  </si>
  <si>
    <t>42,16</t>
  </si>
  <si>
    <t>48,46</t>
  </si>
  <si>
    <t>54,53</t>
  </si>
  <si>
    <t>55,15</t>
  </si>
  <si>
    <t>63,66</t>
  </si>
  <si>
    <t>69,43</t>
  </si>
  <si>
    <t>62,68</t>
  </si>
  <si>
    <t>69,49</t>
  </si>
  <si>
    <t>65,90</t>
  </si>
  <si>
    <t>66,13</t>
  </si>
  <si>
    <t>51,51</t>
  </si>
  <si>
    <t>MetLife Inc.</t>
  </si>
  <si>
    <t>MET</t>
  </si>
  <si>
    <t>51,05</t>
  </si>
  <si>
    <t>42,85</t>
  </si>
  <si>
    <t>39,53</t>
  </si>
  <si>
    <t>38,93</t>
  </si>
  <si>
    <t>38,25</t>
  </si>
  <si>
    <t>35,86</t>
  </si>
  <si>
    <t>39,38</t>
  </si>
  <si>
    <t>38,58</t>
  </si>
  <si>
    <t>41,26</t>
  </si>
  <si>
    <t>44,39</t>
  </si>
  <si>
    <t>48,36</t>
  </si>
  <si>
    <t>45,69</t>
  </si>
  <si>
    <t>42,25</t>
  </si>
  <si>
    <t>44,73</t>
  </si>
  <si>
    <t>50,45</t>
  </si>
  <si>
    <t>50,27</t>
  </si>
  <si>
    <t>47,62</t>
  </si>
  <si>
    <t>45,81</t>
  </si>
  <si>
    <t>47,05</t>
  </si>
  <si>
    <t>45,33</t>
  </si>
  <si>
    <t>41,19</t>
  </si>
  <si>
    <t>Everest Group</t>
  </si>
  <si>
    <t>EG</t>
  </si>
  <si>
    <t>Reinsurance</t>
  </si>
  <si>
    <t>205,00</t>
  </si>
  <si>
    <t>199,18</t>
  </si>
  <si>
    <t>185,69</t>
  </si>
  <si>
    <t>169,01</t>
  </si>
  <si>
    <t>173,47</t>
  </si>
  <si>
    <t>169,15</t>
  </si>
  <si>
    <t>164,49</t>
  </si>
  <si>
    <t>160,94</t>
  </si>
  <si>
    <t>161,45</t>
  </si>
  <si>
    <t>173,35</t>
  </si>
  <si>
    <t>171,34</t>
  </si>
  <si>
    <t>165,37</t>
  </si>
  <si>
    <t>168,58</t>
  </si>
  <si>
    <t>174,58</t>
  </si>
  <si>
    <t>161,39</t>
  </si>
  <si>
    <t>155,32</t>
  </si>
  <si>
    <t>156,95</t>
  </si>
  <si>
    <t>165,75</t>
  </si>
  <si>
    <t>163,40</t>
  </si>
  <si>
    <t>165,38</t>
  </si>
  <si>
    <t>159,81</t>
  </si>
  <si>
    <t>161,97</t>
  </si>
  <si>
    <t>158,24</t>
  </si>
  <si>
    <t>151,80</t>
  </si>
  <si>
    <t>Host Hotels &amp; Resorts</t>
  </si>
  <si>
    <t>HST</t>
  </si>
  <si>
    <t>Hotel and Resort REIT</t>
  </si>
  <si>
    <t>17,85</t>
  </si>
  <si>
    <t>14,12</t>
  </si>
  <si>
    <t>13,85</t>
  </si>
  <si>
    <t>15,99</t>
  </si>
  <si>
    <t>15,88</t>
  </si>
  <si>
    <t>14,60</t>
  </si>
  <si>
    <t>13,84</t>
  </si>
  <si>
    <t>13,81</t>
  </si>
  <si>
    <t>14,66</t>
  </si>
  <si>
    <t>14,09</t>
  </si>
  <si>
    <t>12,80</t>
  </si>
  <si>
    <t>15,71</t>
  </si>
  <si>
    <t>15,72</t>
  </si>
  <si>
    <t>14,17</t>
  </si>
  <si>
    <t>15,83</t>
  </si>
  <si>
    <t>17,54</t>
  </si>
  <si>
    <t>17,80</t>
  </si>
  <si>
    <t>18,15</t>
  </si>
  <si>
    <t>17,99</t>
  </si>
  <si>
    <t>18,78</t>
  </si>
  <si>
    <t>18,73</t>
  </si>
  <si>
    <t>20,27</t>
  </si>
  <si>
    <t>Intl Flavors &amp; Fragrances Inc</t>
  </si>
  <si>
    <t>IFF</t>
  </si>
  <si>
    <t>111,62</t>
  </si>
  <si>
    <t>114,51</t>
  </si>
  <si>
    <t>119,32</t>
  </si>
  <si>
    <t>127,19</t>
  </si>
  <si>
    <t>124,31</t>
  </si>
  <si>
    <t>119,25</t>
  </si>
  <si>
    <t>115,91</t>
  </si>
  <si>
    <t>104,32</t>
  </si>
  <si>
    <t>99,90</t>
  </si>
  <si>
    <t>95,08</t>
  </si>
  <si>
    <t>108,09</t>
  </si>
  <si>
    <t>110,16</t>
  </si>
  <si>
    <t>113,60</t>
  </si>
  <si>
    <t>105,25</t>
  </si>
  <si>
    <t>92,53</t>
  </si>
  <si>
    <t>97,80</t>
  </si>
  <si>
    <t>104,63</t>
  </si>
  <si>
    <t>98,12</t>
  </si>
  <si>
    <t>108,46</t>
  </si>
  <si>
    <t>102,50</t>
  </si>
  <si>
    <t>109,28</t>
  </si>
  <si>
    <t>108,74</t>
  </si>
  <si>
    <t>93,99</t>
  </si>
  <si>
    <t>TE Connectivity plc</t>
  </si>
  <si>
    <t>TEL</t>
  </si>
  <si>
    <t>Electronic Manufacturing Services</t>
  </si>
  <si>
    <t>63,99</t>
  </si>
  <si>
    <t>57,36</t>
  </si>
  <si>
    <t>57,28</t>
  </si>
  <si>
    <t>57,03</t>
  </si>
  <si>
    <t>53,95</t>
  </si>
  <si>
    <t>51,42</t>
  </si>
  <si>
    <t>53,91</t>
  </si>
  <si>
    <t>51,93</t>
  </si>
  <si>
    <t>54,37</t>
  </si>
  <si>
    <t>52,40</t>
  </si>
  <si>
    <t>52,82</t>
  </si>
  <si>
    <t>59,49</t>
  </si>
  <si>
    <t>63,50</t>
  </si>
  <si>
    <t>58,44</t>
  </si>
  <si>
    <t>53,66</t>
  </si>
  <si>
    <t>52,93</t>
  </si>
  <si>
    <t>55,14</t>
  </si>
  <si>
    <t>57,73</t>
  </si>
  <si>
    <t>62,87</t>
  </si>
  <si>
    <t>59,45</t>
  </si>
  <si>
    <t>66,67</t>
  </si>
  <si>
    <t>64,33</t>
  </si>
  <si>
    <t>58,80</t>
  </si>
  <si>
    <t>Essex Property Trust Inc.</t>
  </si>
  <si>
    <t>ESS</t>
  </si>
  <si>
    <t>Multi-Family Residential REIT</t>
  </si>
  <si>
    <t>220,25</t>
  </si>
  <si>
    <t>204,26</t>
  </si>
  <si>
    <t>195,34</t>
  </si>
  <si>
    <t>198,13</t>
  </si>
  <si>
    <t>203,72</t>
  </si>
  <si>
    <t>209,31</t>
  </si>
  <si>
    <t>205,38</t>
  </si>
  <si>
    <t>204,18</t>
  </si>
  <si>
    <t>192,49</t>
  </si>
  <si>
    <t>205,34</t>
  </si>
  <si>
    <t>192,65</t>
  </si>
  <si>
    <t>196,95</t>
  </si>
  <si>
    <t>220,44</t>
  </si>
  <si>
    <t>218,45</t>
  </si>
  <si>
    <t>199,91</t>
  </si>
  <si>
    <t>200,20</t>
  </si>
  <si>
    <t>191,60</t>
  </si>
  <si>
    <t>203,58</t>
  </si>
  <si>
    <t>190,77</t>
  </si>
  <si>
    <t>202,84</t>
  </si>
  <si>
    <t>198,26</t>
  </si>
  <si>
    <t>214,00</t>
  </si>
  <si>
    <t>198,37</t>
  </si>
  <si>
    <t>200,22</t>
  </si>
  <si>
    <t>MAA</t>
  </si>
  <si>
    <t>92,76</t>
  </si>
  <si>
    <t>86,68</t>
  </si>
  <si>
    <t>84,31</t>
  </si>
  <si>
    <t>94,88</t>
  </si>
  <si>
    <t>95,81</t>
  </si>
  <si>
    <t>92,54</t>
  </si>
  <si>
    <t>83,57</t>
  </si>
  <si>
    <t>89,75</t>
  </si>
  <si>
    <t>82,79</t>
  </si>
  <si>
    <t>86,70</t>
  </si>
  <si>
    <t>83,61</t>
  </si>
  <si>
    <t>83,83</t>
  </si>
  <si>
    <t>77,25</t>
  </si>
  <si>
    <t>73,36</t>
  </si>
  <si>
    <t>70,16</t>
  </si>
  <si>
    <t>72,72</t>
  </si>
  <si>
    <t>65,37</t>
  </si>
  <si>
    <t>69,60</t>
  </si>
  <si>
    <t>66,65</t>
  </si>
  <si>
    <t>71,93</t>
  </si>
  <si>
    <t>64,63</t>
  </si>
  <si>
    <t>70,26</t>
  </si>
  <si>
    <t>Dollar General Corp.</t>
  </si>
  <si>
    <t>DG</t>
  </si>
  <si>
    <t>Consumer Staples Merchandise Retail</t>
  </si>
  <si>
    <t>70,17</t>
  </si>
  <si>
    <t>63,04</t>
  </si>
  <si>
    <t>65,85</t>
  </si>
  <si>
    <t>84,64</t>
  </si>
  <si>
    <t>80,78</t>
  </si>
  <si>
    <t>71,52</t>
  </si>
  <si>
    <t>75,16</t>
  </si>
  <si>
    <t>68,35</t>
  </si>
  <si>
    <t>69,37</t>
  </si>
  <si>
    <t>61,46</t>
  </si>
  <si>
    <t>64,91</t>
  </si>
  <si>
    <t>66,50</t>
  </si>
  <si>
    <t>72,75</t>
  </si>
  <si>
    <t>69,79</t>
  </si>
  <si>
    <t>66,14</t>
  </si>
  <si>
    <t>64,95</t>
  </si>
  <si>
    <t>64,77</t>
  </si>
  <si>
    <t>General Electric Co.</t>
  </si>
  <si>
    <t>GE</t>
  </si>
  <si>
    <t>239,48</t>
  </si>
  <si>
    <t>232,79</t>
  </si>
  <si>
    <t>212,41</t>
  </si>
  <si>
    <t>210,81</t>
  </si>
  <si>
    <t>224,19</t>
  </si>
  <si>
    <t>222,95</t>
  </si>
  <si>
    <t>226,77</t>
  </si>
  <si>
    <t>217,31</t>
  </si>
  <si>
    <t>214,79</t>
  </si>
  <si>
    <t>223,31</t>
  </si>
  <si>
    <t>214,60</t>
  </si>
  <si>
    <t>215,14</t>
  </si>
  <si>
    <t>229,45</t>
  </si>
  <si>
    <t>226,72</t>
  </si>
  <si>
    <t>209,81</t>
  </si>
  <si>
    <t>180,79</t>
  </si>
  <si>
    <t>177,26</t>
  </si>
  <si>
    <t>189,00</t>
  </si>
  <si>
    <t>190,83</t>
  </si>
  <si>
    <t>198,78</t>
  </si>
  <si>
    <t>193,51</t>
  </si>
  <si>
    <t>184,76</t>
  </si>
  <si>
    <t>185,43</t>
  </si>
  <si>
    <t>169,28</t>
  </si>
  <si>
    <t>EMCOR Group</t>
  </si>
  <si>
    <t>EME</t>
  </si>
  <si>
    <t>Construction and Engineering</t>
  </si>
  <si>
    <t>67,03</t>
  </si>
  <si>
    <t>65,62</t>
  </si>
  <si>
    <t>55,16</t>
  </si>
  <si>
    <t>53,04</t>
  </si>
  <si>
    <t>51,37</t>
  </si>
  <si>
    <t>49,85</t>
  </si>
  <si>
    <t>44,36</t>
  </si>
  <si>
    <t>42,73</t>
  </si>
  <si>
    <t>42,33</t>
  </si>
  <si>
    <t>42,23</t>
  </si>
  <si>
    <t>44,23</t>
  </si>
  <si>
    <t>47,71</t>
  </si>
  <si>
    <t>43,78</t>
  </si>
  <si>
    <t>39,65</t>
  </si>
  <si>
    <t>41,15</t>
  </si>
  <si>
    <t>43,29</t>
  </si>
  <si>
    <t>42,89</t>
  </si>
  <si>
    <t>41,34</t>
  </si>
  <si>
    <t>43,26</t>
  </si>
  <si>
    <t>39,27</t>
  </si>
  <si>
    <t>35,75</t>
  </si>
  <si>
    <t>FirstEnergy Corp.</t>
  </si>
  <si>
    <t>FE</t>
  </si>
  <si>
    <t>Electric Utilities</t>
  </si>
  <si>
    <t>29,34</t>
  </si>
  <si>
    <t>29,60</t>
  </si>
  <si>
    <t>31,29</t>
  </si>
  <si>
    <t>29,43</t>
  </si>
  <si>
    <t>29,36</t>
  </si>
  <si>
    <t>31,25</t>
  </si>
  <si>
    <t>31,43</t>
  </si>
  <si>
    <t>29,48</t>
  </si>
  <si>
    <t>28,46</t>
  </si>
  <si>
    <t>31,58</t>
  </si>
  <si>
    <t>30,81</t>
  </si>
  <si>
    <t>30,55</t>
  </si>
  <si>
    <t>29,22</t>
  </si>
  <si>
    <t>29,71</t>
  </si>
  <si>
    <t>28,29</t>
  </si>
  <si>
    <t>28,06</t>
  </si>
  <si>
    <t>28,53</t>
  </si>
  <si>
    <t>30,74</t>
  </si>
  <si>
    <t>32,51</t>
  </si>
  <si>
    <t>32,08</t>
  </si>
  <si>
    <t>32,64</t>
  </si>
  <si>
    <t>31,20</t>
  </si>
  <si>
    <t>35,72</t>
  </si>
  <si>
    <t>The Cigna Group</t>
  </si>
  <si>
    <t>CI</t>
  </si>
  <si>
    <t>126,36</t>
  </si>
  <si>
    <t>127,46</t>
  </si>
  <si>
    <t>108,42</t>
  </si>
  <si>
    <t>115,94</t>
  </si>
  <si>
    <t>115,06</t>
  </si>
  <si>
    <t>115,41</t>
  </si>
  <si>
    <t>115,25</t>
  </si>
  <si>
    <t>115,11</t>
  </si>
  <si>
    <t>120,97</t>
  </si>
  <si>
    <t>120,50</t>
  </si>
  <si>
    <t>128,52</t>
  </si>
  <si>
    <t>123,47</t>
  </si>
  <si>
    <t>134,73</t>
  </si>
  <si>
    <t>127,77</t>
  </si>
  <si>
    <t>121,55</t>
  </si>
  <si>
    <t>120,98</t>
  </si>
  <si>
    <t>125,69</t>
  </si>
  <si>
    <t>130,40</t>
  </si>
  <si>
    <t>145,44</t>
  </si>
  <si>
    <t>128,32</t>
  </si>
  <si>
    <t>111,33</t>
  </si>
  <si>
    <t>120,49</t>
  </si>
  <si>
    <t>108,48</t>
  </si>
  <si>
    <t>94,62</t>
  </si>
  <si>
    <t>Edison International</t>
  </si>
  <si>
    <t>EIX</t>
  </si>
  <si>
    <t>68,20</t>
  </si>
  <si>
    <t>65,06</t>
  </si>
  <si>
    <t>67,04</t>
  </si>
  <si>
    <t>64,28</t>
  </si>
  <si>
    <t>69,25</t>
  </si>
  <si>
    <t>69,94</t>
  </si>
  <si>
    <t>64,36</t>
  </si>
  <si>
    <t>61,74</t>
  </si>
  <si>
    <t>63,12</t>
  </si>
  <si>
    <t>62,74</t>
  </si>
  <si>
    <t>57,11</t>
  </si>
  <si>
    <t>54,52</t>
  </si>
  <si>
    <t>56,19</t>
  </si>
  <si>
    <t>54,88</t>
  </si>
  <si>
    <t>56,51</t>
  </si>
  <si>
    <t>52,21</t>
  </si>
  <si>
    <t>54,32</t>
  </si>
  <si>
    <t>49,90</t>
  </si>
  <si>
    <t>55,41</t>
  </si>
  <si>
    <t>54,43</t>
  </si>
  <si>
    <t>58,15</t>
  </si>
  <si>
    <t>57,30</t>
  </si>
  <si>
    <t>60,36</t>
  </si>
  <si>
    <t>Federal Realty Investment</t>
  </si>
  <si>
    <t>FRT</t>
  </si>
  <si>
    <t>Retail REIT</t>
  </si>
  <si>
    <t>134,62</t>
  </si>
  <si>
    <t>132,84</t>
  </si>
  <si>
    <t>132,51</t>
  </si>
  <si>
    <t>136,94</t>
  </si>
  <si>
    <t>142,63</t>
  </si>
  <si>
    <t>151,87</t>
  </si>
  <si>
    <t>149,07</t>
  </si>
  <si>
    <t>137,65</t>
  </si>
  <si>
    <t>132,79</t>
  </si>
  <si>
    <t>137,02</t>
  </si>
  <si>
    <t>136,30</t>
  </si>
  <si>
    <t>139,39</t>
  </si>
  <si>
    <t>134,52</t>
  </si>
  <si>
    <t>138,69</t>
  </si>
  <si>
    <t>130,12</t>
  </si>
  <si>
    <t>122,27</t>
  </si>
  <si>
    <t>115,24</t>
  </si>
  <si>
    <t>123,82</t>
  </si>
  <si>
    <t>114,99</t>
  </si>
  <si>
    <t>122,52</t>
  </si>
  <si>
    <t>119,40</t>
  </si>
  <si>
    <t>137,03</t>
  </si>
  <si>
    <t>126,67</t>
  </si>
  <si>
    <t>127,34</t>
  </si>
  <si>
    <t>NRG Energy Inc.</t>
  </si>
  <si>
    <t>NRG</t>
  </si>
  <si>
    <t>11,61</t>
  </si>
  <si>
    <t>10,73</t>
  </si>
  <si>
    <t>9,70</t>
  </si>
  <si>
    <t>9,97</t>
  </si>
  <si>
    <t>10,86</t>
  </si>
  <si>
    <t>12,39</t>
  </si>
  <si>
    <t>13,50</t>
  </si>
  <si>
    <t>14,72</t>
  </si>
  <si>
    <t>13,18</t>
  </si>
  <si>
    <t>9,92</t>
  </si>
  <si>
    <t>9,83</t>
  </si>
  <si>
    <t>10,84</t>
  </si>
  <si>
    <t>11,70</t>
  </si>
  <si>
    <t>13,31</t>
  </si>
  <si>
    <t>20,32</t>
  </si>
  <si>
    <t>20,54</t>
  </si>
  <si>
    <t>22,96</t>
  </si>
  <si>
    <t>22,55</t>
  </si>
  <si>
    <t>23,45</t>
  </si>
  <si>
    <t>21,39</t>
  </si>
  <si>
    <t>21,84</t>
  </si>
  <si>
    <t>W Pharmaceutical Svcs Inc</t>
  </si>
  <si>
    <t>WST</t>
  </si>
  <si>
    <t>80,36</t>
  </si>
  <si>
    <t>76,77</t>
  </si>
  <si>
    <t>66,28</t>
  </si>
  <si>
    <t>73,41</t>
  </si>
  <si>
    <t>71,85</t>
  </si>
  <si>
    <t>68,33</t>
  </si>
  <si>
    <t>67,46</t>
  </si>
  <si>
    <t>57,09</t>
  </si>
  <si>
    <t>52,88</t>
  </si>
  <si>
    <t>55,45</t>
  </si>
  <si>
    <t>59,68</t>
  </si>
  <si>
    <t>54,42</t>
  </si>
  <si>
    <t>48,49</t>
  </si>
  <si>
    <t>49,86</t>
  </si>
  <si>
    <t>54,19</t>
  </si>
  <si>
    <t>52,14</t>
  </si>
  <si>
    <t>49,33</t>
  </si>
  <si>
    <t>47,59</t>
  </si>
  <si>
    <t>56,05</t>
  </si>
  <si>
    <t>48,80</t>
  </si>
  <si>
    <t>43,68</t>
  </si>
  <si>
    <t>Booking Holdings</t>
  </si>
  <si>
    <t>BKNG</t>
  </si>
  <si>
    <t>1 388,80</t>
  </si>
  <si>
    <t>1 422,48</t>
  </si>
  <si>
    <t>1 345,09</t>
  </si>
  <si>
    <t>1 309,11</t>
  </si>
  <si>
    <t>1 270,88</t>
  </si>
  <si>
    <t>1 208,91</t>
  </si>
  <si>
    <t>1 124,13</t>
  </si>
  <si>
    <t>1 136,06</t>
  </si>
  <si>
    <t>1 173,22</t>
  </si>
  <si>
    <t>1 131,77</t>
  </si>
  <si>
    <t>1 164,69</t>
  </si>
  <si>
    <t>984,19</t>
  </si>
  <si>
    <t>1 173,91</t>
  </si>
  <si>
    <t>1 182,10</t>
  </si>
  <si>
    <t>1 318,78</t>
  </si>
  <si>
    <t>1 108,29</t>
  </si>
  <si>
    <t>1 114,72</t>
  </si>
  <si>
    <t>1 125,62</t>
  </si>
  <si>
    <t>1 033,64</t>
  </si>
  <si>
    <t>1 067,90</t>
  </si>
  <si>
    <t>1 105,67</t>
  </si>
  <si>
    <t>1 083,65</t>
  </si>
  <si>
    <t>1 103,65</t>
  </si>
  <si>
    <t>894,15</t>
  </si>
  <si>
    <t>Northrop Grumman Corp.</t>
  </si>
  <si>
    <t>NOC</t>
  </si>
  <si>
    <t>220,32</t>
  </si>
  <si>
    <t>236,17</t>
  </si>
  <si>
    <t>208,94</t>
  </si>
  <si>
    <t>190,34</t>
  </si>
  <si>
    <t>190,24</t>
  </si>
  <si>
    <t>193,87</t>
  </si>
  <si>
    <t>200,15</t>
  </si>
  <si>
    <t>191,09</t>
  </si>
  <si>
    <t>180,10</t>
  </si>
  <si>
    <t>173,77</t>
  </si>
  <si>
    <t>176,95</t>
  </si>
  <si>
    <t>171,02</t>
  </si>
  <si>
    <t>173,85</t>
  </si>
  <si>
    <t>176,40</t>
  </si>
  <si>
    <t>170,26</t>
  </si>
  <si>
    <t>148,70</t>
  </si>
  <si>
    <t>146,18</t>
  </si>
  <si>
    <t>156,60</t>
  </si>
  <si>
    <t>142,41</t>
  </si>
  <si>
    <t>145,04</t>
  </si>
  <si>
    <t>137,60</t>
  </si>
  <si>
    <t>149,83</t>
  </si>
  <si>
    <t>147,79</t>
  </si>
  <si>
    <t>139,02</t>
  </si>
  <si>
    <t>PTC Inc.</t>
  </si>
  <si>
    <t>PTC</t>
  </si>
  <si>
    <t>43,83</t>
  </si>
  <si>
    <t>46,08</t>
  </si>
  <si>
    <t>43,28</t>
  </si>
  <si>
    <t>39,42</t>
  </si>
  <si>
    <t>38,28</t>
  </si>
  <si>
    <t>35,56</t>
  </si>
  <si>
    <t>33,84</t>
  </si>
  <si>
    <t>32,11</t>
  </si>
  <si>
    <t>31,84</t>
  </si>
  <si>
    <t>29,12</t>
  </si>
  <si>
    <t>28,45</t>
  </si>
  <si>
    <t>27,36</t>
  </si>
  <si>
    <t>31,89</t>
  </si>
  <si>
    <t>34,11</t>
  </si>
  <si>
    <t>32,14</t>
  </si>
  <si>
    <t>28,44</t>
  </si>
  <si>
    <t>29,57</t>
  </si>
  <si>
    <t>32,90</t>
  </si>
  <si>
    <t>36,83</t>
  </si>
  <si>
    <t>37,60</t>
  </si>
  <si>
    <t>34,25</t>
  </si>
  <si>
    <t>33,67</t>
  </si>
  <si>
    <t>30,91</t>
  </si>
  <si>
    <t>29,59</t>
  </si>
  <si>
    <t>The Estée Lauder Cos Inc</t>
  </si>
  <si>
    <t>EL</t>
  </si>
  <si>
    <t>Personal Care and Beauty Products: Producers</t>
  </si>
  <si>
    <t>72,46</t>
  </si>
  <si>
    <t>73,50</t>
  </si>
  <si>
    <t>79,50</t>
  </si>
  <si>
    <t>78,79</t>
  </si>
  <si>
    <t>80,04</t>
  </si>
  <si>
    <t>83,14</t>
  </si>
  <si>
    <t>81,96</t>
  </si>
  <si>
    <t>82,47</t>
  </si>
  <si>
    <t>83,71</t>
  </si>
  <si>
    <t>82,81</t>
  </si>
  <si>
    <t>84,07</t>
  </si>
  <si>
    <t>78,78</t>
  </si>
  <si>
    <t>81,08</t>
  </si>
  <si>
    <t>79,62</t>
  </si>
  <si>
    <t>72,29</t>
  </si>
  <si>
    <t>77,80</t>
  </si>
  <si>
    <t>72,61</t>
  </si>
  <si>
    <t>77,41</t>
  </si>
  <si>
    <t>73,73</t>
  </si>
  <si>
    <t>62,53</t>
  </si>
  <si>
    <t>Micron Technology Inc.</t>
  </si>
  <si>
    <t>MU</t>
  </si>
  <si>
    <t>Semiconductors</t>
  </si>
  <si>
    <t>20,76</t>
  </si>
  <si>
    <t>18,48</t>
  </si>
  <si>
    <t>15,66</t>
  </si>
  <si>
    <t>14,79</t>
  </si>
  <si>
    <t>12,30</t>
  </si>
  <si>
    <t>11,43</t>
  </si>
  <si>
    <t>9,39</t>
  </si>
  <si>
    <t>9,19</t>
  </si>
  <si>
    <t>9,79</t>
  </si>
  <si>
    <t>10,19</t>
  </si>
  <si>
    <t>13,04</t>
  </si>
  <si>
    <t>15,08</t>
  </si>
  <si>
    <t>15,02</t>
  </si>
  <si>
    <t>13,42</t>
  </si>
  <si>
    <t>14,65</t>
  </si>
  <si>
    <t>16,75</t>
  </si>
  <si>
    <t>25,13</t>
  </si>
  <si>
    <t>25,25</t>
  </si>
  <si>
    <t>27,35</t>
  </si>
  <si>
    <t>25,92</t>
  </si>
  <si>
    <t>Quanta Services Inc.</t>
  </si>
  <si>
    <t>PWR</t>
  </si>
  <si>
    <t>33,01</t>
  </si>
  <si>
    <t>31,90</t>
  </si>
  <si>
    <t>26,23</t>
  </si>
  <si>
    <t>24,90</t>
  </si>
  <si>
    <t>23,08</t>
  </si>
  <si>
    <t>22,91</t>
  </si>
  <si>
    <t>20,82</t>
  </si>
  <si>
    <t>21,59</t>
  </si>
  <si>
    <t>20,71</t>
  </si>
  <si>
    <t>17,28</t>
  </si>
  <si>
    <t>18,65</t>
  </si>
  <si>
    <t>21,69</t>
  </si>
  <si>
    <t>21,64</t>
  </si>
  <si>
    <t>25,00</t>
  </si>
  <si>
    <t>25,87</t>
  </si>
  <si>
    <t>26,71</t>
  </si>
  <si>
    <t>25,82</t>
  </si>
  <si>
    <t>26,56</t>
  </si>
  <si>
    <t>25,67</t>
  </si>
  <si>
    <t>Ralph Lauren Corp.</t>
  </si>
  <si>
    <t>RL</t>
  </si>
  <si>
    <t>Apparel, Accessories and Luxury Goods</t>
  </si>
  <si>
    <t>85,56</t>
  </si>
  <si>
    <t>98,96</t>
  </si>
  <si>
    <t>89,98</t>
  </si>
  <si>
    <t>92,95</t>
  </si>
  <si>
    <t>87,79</t>
  </si>
  <si>
    <t>80,70</t>
  </si>
  <si>
    <t>84,76</t>
  </si>
  <si>
    <t>81,39</t>
  </si>
  <si>
    <t>84,52</t>
  </si>
  <si>
    <t>83,55</t>
  </si>
  <si>
    <t>102,65</t>
  </si>
  <si>
    <t>117,57</t>
  </si>
  <si>
    <t>100,45</t>
  </si>
  <si>
    <t>105,88</t>
  </si>
  <si>
    <t>99,26</t>
  </si>
  <si>
    <t>113,95</t>
  </si>
  <si>
    <t>118,83</t>
  </si>
  <si>
    <t>118,81</t>
  </si>
  <si>
    <t>119,17</t>
  </si>
  <si>
    <t>122,41</t>
  </si>
  <si>
    <t>122,55</t>
  </si>
  <si>
    <t>147,82</t>
  </si>
  <si>
    <t>Electronic Arts Inc.</t>
  </si>
  <si>
    <t>EA</t>
  </si>
  <si>
    <t>Interactive Home Entertainment</t>
  </si>
  <si>
    <t>71,64</t>
  </si>
  <si>
    <t>75,98</t>
  </si>
  <si>
    <t>68,30</t>
  </si>
  <si>
    <t>68,22</t>
  </si>
  <si>
    <t>68,96</t>
  </si>
  <si>
    <t>54,00</t>
  </si>
  <si>
    <t>58,05</t>
  </si>
  <si>
    <t>59,14</t>
  </si>
  <si>
    <t>59,65</t>
  </si>
  <si>
    <t>64,17</t>
  </si>
  <si>
    <t>65,36</t>
  </si>
  <si>
    <t>60,71</t>
  </si>
  <si>
    <t>59,06</t>
  </si>
  <si>
    <t>59,70</t>
  </si>
  <si>
    <t>57,18</t>
  </si>
  <si>
    <t>51,89</t>
  </si>
  <si>
    <t>54,75</t>
  </si>
  <si>
    <t>51,00</t>
  </si>
  <si>
    <t>48,59</t>
  </si>
  <si>
    <t>Axon Enterprise Inc.</t>
  </si>
  <si>
    <t>AXON</t>
  </si>
  <si>
    <t>25,76</t>
  </si>
  <si>
    <t>20,42</t>
  </si>
  <si>
    <t>24,29</t>
  </si>
  <si>
    <t>22,40</t>
  </si>
  <si>
    <t>20,10</t>
  </si>
  <si>
    <t>15,94</t>
  </si>
  <si>
    <t>14,22</t>
  </si>
  <si>
    <t>15,92</t>
  </si>
  <si>
    <t>17,70</t>
  </si>
  <si>
    <t>21,23</t>
  </si>
  <si>
    <t>19,74</t>
  </si>
  <si>
    <t>20,89</t>
  </si>
  <si>
    <t>24,64</t>
  </si>
  <si>
    <t>29,90</t>
  </si>
  <si>
    <t>28,77</t>
  </si>
  <si>
    <t>26,97</t>
  </si>
  <si>
    <t>20,94</t>
  </si>
  <si>
    <t>Williams-Sonoma Inc.</t>
  </si>
  <si>
    <t>WSM</t>
  </si>
  <si>
    <t>Homefurnishing Retail</t>
  </si>
  <si>
    <t>22,92</t>
  </si>
  <si>
    <t>25,91</t>
  </si>
  <si>
    <t>21,09</t>
  </si>
  <si>
    <t>22,72</t>
  </si>
  <si>
    <t>23,61</t>
  </si>
  <si>
    <t>23,47</t>
  </si>
  <si>
    <t>23,83</t>
  </si>
  <si>
    <t>25,66</t>
  </si>
  <si>
    <t>24,03</t>
  </si>
  <si>
    <t>23,98</t>
  </si>
  <si>
    <t>23,87</t>
  </si>
  <si>
    <t>26,89</t>
  </si>
  <si>
    <t>29,97</t>
  </si>
  <si>
    <t>33,44</t>
  </si>
  <si>
    <t>34,21</t>
  </si>
  <si>
    <t>33,94</t>
  </si>
  <si>
    <t>38,31</t>
  </si>
  <si>
    <t>36,93</t>
  </si>
  <si>
    <t>35,81</t>
  </si>
  <si>
    <t>32,84</t>
  </si>
  <si>
    <t>37,10</t>
  </si>
  <si>
    <t>35,87</t>
  </si>
  <si>
    <t>34,65</t>
  </si>
  <si>
    <t>Regeneron Pharmaceuticals Inc.</t>
  </si>
  <si>
    <t>REGN</t>
  </si>
  <si>
    <t>Biotechnology</t>
  </si>
  <si>
    <t>347,74</t>
  </si>
  <si>
    <t>358,76</t>
  </si>
  <si>
    <t>314,80</t>
  </si>
  <si>
    <t>357,66</t>
  </si>
  <si>
    <t>352,14</t>
  </si>
  <si>
    <t>380,46</t>
  </si>
  <si>
    <t>314,46</t>
  </si>
  <si>
    <t>358,46</t>
  </si>
  <si>
    <t>328,92</t>
  </si>
  <si>
    <t>316,48</t>
  </si>
  <si>
    <t>353,51</t>
  </si>
  <si>
    <t>388,23</t>
  </si>
  <si>
    <t>499,85</t>
  </si>
  <si>
    <t>515,40</t>
  </si>
  <si>
    <t>505,47</t>
  </si>
  <si>
    <t>416,79</t>
  </si>
  <si>
    <t>458,43</t>
  </si>
  <si>
    <t>501,15</t>
  </si>
  <si>
    <t>457,97</t>
  </si>
  <si>
    <t>467,02</t>
  </si>
  <si>
    <t>408,63</t>
  </si>
  <si>
    <t>420,26</t>
  </si>
  <si>
    <t>369,08</t>
  </si>
  <si>
    <t>369,06</t>
  </si>
  <si>
    <t>Intuitive Surgical Inc.</t>
  </si>
  <si>
    <t>ISRG</t>
  </si>
  <si>
    <t>66,75</t>
  </si>
  <si>
    <t>67,66</t>
  </si>
  <si>
    <t>71,65</t>
  </si>
  <si>
    <t>68,42</t>
  </si>
  <si>
    <t>69,19</t>
  </si>
  <si>
    <t>63,37</t>
  </si>
  <si>
    <t>60,77</t>
  </si>
  <si>
    <t>58,64</t>
  </si>
  <si>
    <t>57,59</t>
  </si>
  <si>
    <t>55,54</t>
  </si>
  <si>
    <t>55,88</t>
  </si>
  <si>
    <t>54,69</t>
  </si>
  <si>
    <t>50,04</t>
  </si>
  <si>
    <t>45,76</t>
  </si>
  <si>
    <t>50,68</t>
  </si>
  <si>
    <t>53,62</t>
  </si>
  <si>
    <t>48,33</t>
  </si>
  <si>
    <t>49,38</t>
  </si>
  <si>
    <t>49,23</t>
  </si>
  <si>
    <t>52,23</t>
  </si>
  <si>
    <t>49,55</t>
  </si>
  <si>
    <t>48,67</t>
  </si>
  <si>
    <t>EQT Corp.</t>
  </si>
  <si>
    <t>EQT</t>
  </si>
  <si>
    <t>61,95</t>
  </si>
  <si>
    <t>66,30</t>
  </si>
  <si>
    <t>60,22</t>
  </si>
  <si>
    <t>64,61</t>
  </si>
  <si>
    <t>64,14</t>
  </si>
  <si>
    <t>65,21</t>
  </si>
  <si>
    <t>69,72</t>
  </si>
  <si>
    <t>65,82</t>
  </si>
  <si>
    <t>61,21</t>
  </si>
  <si>
    <t>51,31</t>
  </si>
  <si>
    <t>57,06</t>
  </si>
  <si>
    <t>48,00</t>
  </si>
  <si>
    <t>54,16</t>
  </si>
  <si>
    <t>59,92</t>
  </si>
  <si>
    <t>58,04</t>
  </si>
  <si>
    <t>69,47</t>
  </si>
  <si>
    <t>69,56</t>
  </si>
  <si>
    <t>73,02</t>
  </si>
  <si>
    <t>77,51</t>
  </si>
  <si>
    <t>80,34</t>
  </si>
  <si>
    <t>77,14</t>
  </si>
  <si>
    <t>71,18</t>
  </si>
  <si>
    <t>65,94</t>
  </si>
  <si>
    <t>W.W. Grainger Inc.</t>
  </si>
  <si>
    <t>GWW</t>
  </si>
  <si>
    <t>Trading Companies and Distributors</t>
  </si>
  <si>
    <t>220,01</t>
  </si>
  <si>
    <t>218,12</t>
  </si>
  <si>
    <t>189,89</t>
  </si>
  <si>
    <t>200,03</t>
  </si>
  <si>
    <t>206,91</t>
  </si>
  <si>
    <t>195,86</t>
  </si>
  <si>
    <t>204,63</t>
  </si>
  <si>
    <t>205,18</t>
  </si>
  <si>
    <t>204,77</t>
  </si>
  <si>
    <t>204,96</t>
  </si>
  <si>
    <t>199,67</t>
  </si>
  <si>
    <t>181,77</t>
  </si>
  <si>
    <t>186,53</t>
  </si>
  <si>
    <t>189,82</t>
  </si>
  <si>
    <t>190,44</t>
  </si>
  <si>
    <t>192,66</t>
  </si>
  <si>
    <t>199,48</t>
  </si>
  <si>
    <t>207,02</t>
  </si>
  <si>
    <t>212,45</t>
  </si>
  <si>
    <t>218,98</t>
  </si>
  <si>
    <t>221,91</t>
  </si>
  <si>
    <t>219,50</t>
  </si>
  <si>
    <t>211,29</t>
  </si>
  <si>
    <t>208,90</t>
  </si>
  <si>
    <t>W. R. Berkley Corp.</t>
  </si>
  <si>
    <t>WRB</t>
  </si>
  <si>
    <t>18,67</t>
  </si>
  <si>
    <t>17,32</t>
  </si>
  <si>
    <t>15,44</t>
  </si>
  <si>
    <t>15,23</t>
  </si>
  <si>
    <t>15,78</t>
  </si>
  <si>
    <t>15,43</t>
  </si>
  <si>
    <t>15,18</t>
  </si>
  <si>
    <t>14,49</t>
  </si>
  <si>
    <t>14,62</t>
  </si>
  <si>
    <t>14,05</t>
  </si>
  <si>
    <t>13,73</t>
  </si>
  <si>
    <t>14,94</t>
  </si>
  <si>
    <t>15,61</t>
  </si>
  <si>
    <t>15,00</t>
  </si>
  <si>
    <t>14,36</t>
  </si>
  <si>
    <t>13,23</t>
  </si>
  <si>
    <t>12,97</t>
  </si>
  <si>
    <t>13,93</t>
  </si>
  <si>
    <t>12,86</t>
  </si>
  <si>
    <t>Aflac Inc.</t>
  </si>
  <si>
    <t>AFL</t>
  </si>
  <si>
    <t>33,76</t>
  </si>
  <si>
    <t>31,42</t>
  </si>
  <si>
    <t>31,97</t>
  </si>
  <si>
    <t>33,27</t>
  </si>
  <si>
    <t>32,34</t>
  </si>
  <si>
    <t>32,49</t>
  </si>
  <si>
    <t>31,21</t>
  </si>
  <si>
    <t>30,11</t>
  </si>
  <si>
    <t>27,40</t>
  </si>
  <si>
    <t>26,78</t>
  </si>
  <si>
    <t>27,58</t>
  </si>
  <si>
    <t>30,88</t>
  </si>
  <si>
    <t>26,04</t>
  </si>
  <si>
    <t>26,16</t>
  </si>
  <si>
    <t>28,99</t>
  </si>
  <si>
    <t>27,92</t>
  </si>
  <si>
    <t>28,35</t>
  </si>
  <si>
    <t>28,16</t>
  </si>
  <si>
    <t>29,79</t>
  </si>
  <si>
    <t>27,76</t>
  </si>
  <si>
    <t>25,28</t>
  </si>
  <si>
    <t>The J. M. Smucker Co.</t>
  </si>
  <si>
    <t>SJM</t>
  </si>
  <si>
    <t>Packaged Foods and Meats Producers</t>
  </si>
  <si>
    <t>121,31</t>
  </si>
  <si>
    <t>119,15</t>
  </si>
  <si>
    <t>119,81</t>
  </si>
  <si>
    <t>120,58</t>
  </si>
  <si>
    <t>137,97</t>
  </si>
  <si>
    <t>137,24</t>
  </si>
  <si>
    <t>116,05</t>
  </si>
  <si>
    <t>110,87</t>
  </si>
  <si>
    <t>114,01</t>
  </si>
  <si>
    <t>117,43</t>
  </si>
  <si>
    <t>118,59</t>
  </si>
  <si>
    <t>113,57</t>
  </si>
  <si>
    <t>114,71</t>
  </si>
  <si>
    <t>102,23</t>
  </si>
  <si>
    <t>105,09</t>
  </si>
  <si>
    <t>101,10</t>
  </si>
  <si>
    <t>97,33</t>
  </si>
  <si>
    <t>108,02</t>
  </si>
  <si>
    <t>103,55</t>
  </si>
  <si>
    <t>107,73</t>
  </si>
  <si>
    <t>102,87</t>
  </si>
  <si>
    <t>91,37</t>
  </si>
  <si>
    <t>Comcast Corp.</t>
  </si>
  <si>
    <t>CMCSA</t>
  </si>
  <si>
    <t>Integrated Telecommunication Services</t>
  </si>
  <si>
    <t>32,88</t>
  </si>
  <si>
    <t>28,20</t>
  </si>
  <si>
    <t>29,51</t>
  </si>
  <si>
    <t>30,09</t>
  </si>
  <si>
    <t>29,35</t>
  </si>
  <si>
    <t>26,53</t>
  </si>
  <si>
    <t>26,82</t>
  </si>
  <si>
    <t>26,57</t>
  </si>
  <si>
    <t>25,74</t>
  </si>
  <si>
    <t>25,98</t>
  </si>
  <si>
    <t>28,80</t>
  </si>
  <si>
    <t>28,39</t>
  </si>
  <si>
    <t>25,48</t>
  </si>
  <si>
    <t>25,14</t>
  </si>
  <si>
    <t>28,25</t>
  </si>
  <si>
    <t>27,00</t>
  </si>
  <si>
    <t>26,63</t>
  </si>
  <si>
    <t>25,80</t>
  </si>
  <si>
    <t>26,28</t>
  </si>
  <si>
    <t>26,48</t>
  </si>
  <si>
    <t>23,54</t>
  </si>
  <si>
    <t>Amgen Inc.</t>
  </si>
  <si>
    <t>AMGN</t>
  </si>
  <si>
    <t>138,50</t>
  </si>
  <si>
    <t>136,29</t>
  </si>
  <si>
    <t>128,79</t>
  </si>
  <si>
    <t>148,40</t>
  </si>
  <si>
    <t>152,55</t>
  </si>
  <si>
    <t>153,96</t>
  </si>
  <si>
    <t>137,00</t>
  </si>
  <si>
    <t>141,93</t>
  </si>
  <si>
    <t>138,22</t>
  </si>
  <si>
    <t>131,65</t>
  </si>
  <si>
    <t>130,98</t>
  </si>
  <si>
    <t>141,15</t>
  </si>
  <si>
    <t>149,47</t>
  </si>
  <si>
    <t>152,49</t>
  </si>
  <si>
    <t>143,45</t>
  </si>
  <si>
    <t>123,94</t>
  </si>
  <si>
    <t>135,50</t>
  </si>
  <si>
    <t>159,84</t>
  </si>
  <si>
    <t>137,82</t>
  </si>
  <si>
    <t>142,38</t>
  </si>
  <si>
    <t>141,05</t>
  </si>
  <si>
    <t>148,80</t>
  </si>
  <si>
    <t>140,66</t>
  </si>
  <si>
    <t>134,86</t>
  </si>
  <si>
    <t>Arista Networks Inc.</t>
  </si>
  <si>
    <t>ANET</t>
  </si>
  <si>
    <t>5,73</t>
  </si>
  <si>
    <t>5,61</t>
  </si>
  <si>
    <t>4,83</t>
  </si>
  <si>
    <t>4,73</t>
  </si>
  <si>
    <t>4,47</t>
  </si>
  <si>
    <t>3,99</t>
  </si>
  <si>
    <t>3,62</t>
  </si>
  <si>
    <t>4,12</t>
  </si>
  <si>
    <t>3,64</t>
  </si>
  <si>
    <t>3,46</t>
  </si>
  <si>
    <t>3,94</t>
  </si>
  <si>
    <t>3,47</t>
  </si>
  <si>
    <t>4,48</t>
  </si>
  <si>
    <t>4,35</t>
  </si>
  <si>
    <t>3,66</t>
  </si>
  <si>
    <t>3,43</t>
  </si>
  <si>
    <t>4,17</t>
  </si>
  <si>
    <t>4,78</t>
  </si>
  <si>
    <t>4,59</t>
  </si>
  <si>
    <t>3,98</t>
  </si>
  <si>
    <t>3,57</t>
  </si>
  <si>
    <t>4,10</t>
  </si>
  <si>
    <t>3,86</t>
  </si>
  <si>
    <t>3,49</t>
  </si>
  <si>
    <t>Tapestry Inc.</t>
  </si>
  <si>
    <t>TPR</t>
  </si>
  <si>
    <t>33,17</t>
  </si>
  <si>
    <t>34,42</t>
  </si>
  <si>
    <t>32,75</t>
  </si>
  <si>
    <t>32,53</t>
  </si>
  <si>
    <t>35,42</t>
  </si>
  <si>
    <t>35,20</t>
  </si>
  <si>
    <t>35,85</t>
  </si>
  <si>
    <t>34,24</t>
  </si>
  <si>
    <t>30,14</t>
  </si>
  <si>
    <t>27,01</t>
  </si>
  <si>
    <t>28,24</t>
  </si>
  <si>
    <t>31,07</t>
  </si>
  <si>
    <t>32,23</t>
  </si>
  <si>
    <t>34,13</t>
  </si>
  <si>
    <t>38,57</t>
  </si>
  <si>
    <t>38,84</t>
  </si>
  <si>
    <t>32,94</t>
  </si>
  <si>
    <t>Deckers Outdoor Corp.</t>
  </si>
  <si>
    <t>DECK</t>
  </si>
  <si>
    <t>Footwear Producers</t>
  </si>
  <si>
    <t>8,75</t>
  </si>
  <si>
    <t>9,38</t>
  </si>
  <si>
    <t>7,94</t>
  </si>
  <si>
    <t>8,83</t>
  </si>
  <si>
    <t>9,77</t>
  </si>
  <si>
    <t>9,85</t>
  </si>
  <si>
    <t>8,63</t>
  </si>
  <si>
    <t>7,88</t>
  </si>
  <si>
    <t>8,41</t>
  </si>
  <si>
    <t>8,77</t>
  </si>
  <si>
    <t>8,68</t>
  </si>
  <si>
    <t>7,62</t>
  </si>
  <si>
    <t>7,24</t>
  </si>
  <si>
    <t>7,72</t>
  </si>
  <si>
    <t>8,67</t>
  </si>
  <si>
    <t>9,58</t>
  </si>
  <si>
    <t>10,99</t>
  </si>
  <si>
    <t>10,77</t>
  </si>
  <si>
    <t>10,35</t>
  </si>
  <si>
    <t>11,02</t>
  </si>
  <si>
    <t>11,31</t>
  </si>
  <si>
    <t>11,04</t>
  </si>
  <si>
    <t>9,75</t>
  </si>
  <si>
    <t>Fastenal Co.</t>
  </si>
  <si>
    <t>FAST</t>
  </si>
  <si>
    <t>11,13</t>
  </si>
  <si>
    <t>11,21</t>
  </si>
  <si>
    <t>8,89</t>
  </si>
  <si>
    <t>9,29</t>
  </si>
  <si>
    <t>9,67</t>
  </si>
  <si>
    <t>9,56</t>
  </si>
  <si>
    <t>9,99</t>
  </si>
  <si>
    <t>10,34</t>
  </si>
  <si>
    <t>10,21</t>
  </si>
  <si>
    <t>10,76</t>
  </si>
  <si>
    <t>10,42</t>
  </si>
  <si>
    <t>9,37</t>
  </si>
  <si>
    <t>9,40</t>
  </si>
  <si>
    <t>9,60</t>
  </si>
  <si>
    <t>8,88</t>
  </si>
  <si>
    <t>8,20</t>
  </si>
  <si>
    <t>8,60</t>
  </si>
  <si>
    <t>9,47</t>
  </si>
  <si>
    <t>9,46</t>
  </si>
  <si>
    <t>9,52</t>
  </si>
  <si>
    <t>9,64</t>
  </si>
  <si>
    <t>9,26</t>
  </si>
  <si>
    <t>Franklin Resources Inc.</t>
  </si>
  <si>
    <t>BEN</t>
  </si>
  <si>
    <t>37,49</t>
  </si>
  <si>
    <t>37,14</t>
  </si>
  <si>
    <t>30,71</t>
  </si>
  <si>
    <t>31,64</t>
  </si>
  <si>
    <t>32,74</t>
  </si>
  <si>
    <t>32,39</t>
  </si>
  <si>
    <t>30,05</t>
  </si>
  <si>
    <t>32,60</t>
  </si>
  <si>
    <t>34,29</t>
  </si>
  <si>
    <t>33,00</t>
  </si>
  <si>
    <t>32,03</t>
  </si>
  <si>
    <t>33,90</t>
  </si>
  <si>
    <t>39,68</t>
  </si>
  <si>
    <t>36,96</t>
  </si>
  <si>
    <t>33,39</t>
  </si>
  <si>
    <t>36,23</t>
  </si>
  <si>
    <t>41,23</t>
  </si>
  <si>
    <t>46,39</t>
  </si>
  <si>
    <t>46,06</t>
  </si>
  <si>
    <t>47,77</t>
  </si>
  <si>
    <t>48,01</t>
  </si>
  <si>
    <t>Intercontinental Exchange Inc.</t>
  </si>
  <si>
    <t>ICE</t>
  </si>
  <si>
    <t>Financial Exchanges</t>
  </si>
  <si>
    <t>53,45</t>
  </si>
  <si>
    <t>52,41</t>
  </si>
  <si>
    <t>49,34</t>
  </si>
  <si>
    <t>47,93</t>
  </si>
  <si>
    <t>50,60</t>
  </si>
  <si>
    <t>47,29</t>
  </si>
  <si>
    <t>48,72</t>
  </si>
  <si>
    <t>41,92</t>
  </si>
  <si>
    <t>43,90</t>
  </si>
  <si>
    <t>48,76</t>
  </si>
  <si>
    <t>47,19</t>
  </si>
  <si>
    <t>49,19</t>
  </si>
  <si>
    <t>45,78</t>
  </si>
  <si>
    <t>42,11</t>
  </si>
  <si>
    <t>40,78</t>
  </si>
  <si>
    <t>41,28</t>
  </si>
  <si>
    <t>40,15</t>
  </si>
  <si>
    <t>43,15</t>
  </si>
  <si>
    <t>40,11</t>
  </si>
  <si>
    <t>41,98</t>
  </si>
  <si>
    <t>36,45</t>
  </si>
  <si>
    <t>Amazon.com Inc.</t>
  </si>
  <si>
    <t>AMZN</t>
  </si>
  <si>
    <t>36,03</t>
  </si>
  <si>
    <t>37,25</t>
  </si>
  <si>
    <t>34,50</t>
  </si>
  <si>
    <t>33,95</t>
  </si>
  <si>
    <t>32,22</t>
  </si>
  <si>
    <t>32,47</t>
  </si>
  <si>
    <t>26,06</t>
  </si>
  <si>
    <t>25,43</t>
  </si>
  <si>
    <t>27,12</t>
  </si>
  <si>
    <t>31,12</t>
  </si>
  <si>
    <t>31,46</t>
  </si>
  <si>
    <t>28,38</t>
  </si>
  <si>
    <t>22,93</t>
  </si>
  <si>
    <t>22,89</t>
  </si>
  <si>
    <t>24,26</t>
  </si>
  <si>
    <t>19,49</t>
  </si>
  <si>
    <t>19,55</t>
  </si>
  <si>
    <t>18,84</t>
  </si>
  <si>
    <t>16,95</t>
  </si>
  <si>
    <t>15,70</t>
  </si>
  <si>
    <t>D.R. Horton, Inc.</t>
  </si>
  <si>
    <t>DHI</t>
  </si>
  <si>
    <t>25,89</t>
  </si>
  <si>
    <t>26,22</t>
  </si>
  <si>
    <t>26,30</t>
  </si>
  <si>
    <t>26,87</t>
  </si>
  <si>
    <t>28,76</t>
  </si>
  <si>
    <t>27,46</t>
  </si>
  <si>
    <t>26,25</t>
  </si>
  <si>
    <t>26,54</t>
  </si>
  <si>
    <t>24,60</t>
  </si>
  <si>
    <t>25,42</t>
  </si>
  <si>
    <t>29,49</t>
  </si>
  <si>
    <t>30,58</t>
  </si>
  <si>
    <t>26,70</t>
  </si>
  <si>
    <t>27,11</t>
  </si>
  <si>
    <t>24,56</t>
  </si>
  <si>
    <t>23,80</t>
  </si>
  <si>
    <t>22,69</t>
  </si>
  <si>
    <t>26,51</t>
  </si>
  <si>
    <t>24,36</t>
  </si>
  <si>
    <t>21,72</t>
  </si>
  <si>
    <t>Hasbro Inc.</t>
  </si>
  <si>
    <t>HAS</t>
  </si>
  <si>
    <t>Leisure Products Producers</t>
  </si>
  <si>
    <t>73,69</t>
  </si>
  <si>
    <t>76,10</t>
  </si>
  <si>
    <t>70,58</t>
  </si>
  <si>
    <t>73,32</t>
  </si>
  <si>
    <t>72,70</t>
  </si>
  <si>
    <t>75,63</t>
  </si>
  <si>
    <t>78,43</t>
  </si>
  <si>
    <t>73,90</t>
  </si>
  <si>
    <t>70,33</t>
  </si>
  <si>
    <t>69,84</t>
  </si>
  <si>
    <t>68,65</t>
  </si>
  <si>
    <t>69,18</t>
  </si>
  <si>
    <t>69,67</t>
  </si>
  <si>
    <t>64,64</t>
  </si>
  <si>
    <t>66,59</t>
  </si>
  <si>
    <t>71,27</t>
  </si>
  <si>
    <t>67,14</t>
  </si>
  <si>
    <t>65,72</t>
  </si>
  <si>
    <t>63,23</t>
  </si>
  <si>
    <t>58,87</t>
  </si>
  <si>
    <t>55,58</t>
  </si>
  <si>
    <t>48,65</t>
  </si>
  <si>
    <t>Duke Energy Corp</t>
  </si>
  <si>
    <t>DUK</t>
  </si>
  <si>
    <t>73,53</t>
  </si>
  <si>
    <t>71,46</t>
  </si>
  <si>
    <t>70,29</t>
  </si>
  <si>
    <t>68,79</t>
  </si>
  <si>
    <t>70,84</t>
  </si>
  <si>
    <t>68,38</t>
  </si>
  <si>
    <t>69,59</t>
  </si>
  <si>
    <t>65,73</t>
  </si>
  <si>
    <t>64,81</t>
  </si>
  <si>
    <t>64,46</t>
  </si>
  <si>
    <t>63,30</t>
  </si>
  <si>
    <t>67,18</t>
  </si>
  <si>
    <t>63,40</t>
  </si>
  <si>
    <t>69,00</t>
  </si>
  <si>
    <t>69,29</t>
  </si>
  <si>
    <t>71,47</t>
  </si>
  <si>
    <t>77,18</t>
  </si>
  <si>
    <t>The AES Corp.</t>
  </si>
  <si>
    <t>AES</t>
  </si>
  <si>
    <t>Independent Power Producers and Energy Traders</t>
  </si>
  <si>
    <t>11,01</t>
  </si>
  <si>
    <t>10,83</t>
  </si>
  <si>
    <t>10,74</t>
  </si>
  <si>
    <t>11,05</t>
  </si>
  <si>
    <t>11,24</t>
  </si>
  <si>
    <t>9,96</t>
  </si>
  <si>
    <t>9,74</t>
  </si>
  <si>
    <t>10,36</t>
  </si>
  <si>
    <t>9,02</t>
  </si>
  <si>
    <t>8,78</t>
  </si>
  <si>
    <t>8,81</t>
  </si>
  <si>
    <t>9,93</t>
  </si>
  <si>
    <t>10,71</t>
  </si>
  <si>
    <t>11,59</t>
  </si>
  <si>
    <t>11,90</t>
  </si>
  <si>
    <t>11,84</t>
  </si>
  <si>
    <t>11,96</t>
  </si>
  <si>
    <t>11,57</t>
  </si>
  <si>
    <t>10,82</t>
  </si>
  <si>
    <t>Ross Stores Inc.</t>
  </si>
  <si>
    <t>ROST</t>
  </si>
  <si>
    <t>Apparel Retail</t>
  </si>
  <si>
    <t>62,14</t>
  </si>
  <si>
    <t>63,94</t>
  </si>
  <si>
    <t>57,20</t>
  </si>
  <si>
    <t>55,83</t>
  </si>
  <si>
    <t>55,33</t>
  </si>
  <si>
    <t>47,98</t>
  </si>
  <si>
    <t>49,58</t>
  </si>
  <si>
    <t>50,84</t>
  </si>
  <si>
    <t>50,61</t>
  </si>
  <si>
    <t>51,99</t>
  </si>
  <si>
    <t>45,87</t>
  </si>
  <si>
    <t>43,41</t>
  </si>
  <si>
    <t>48,12</t>
  </si>
  <si>
    <t>43,64</t>
  </si>
  <si>
    <t>44,04</t>
  </si>
  <si>
    <t>44,16</t>
  </si>
  <si>
    <t>47,18</t>
  </si>
  <si>
    <t>40,62</t>
  </si>
  <si>
    <t>News Corp.</t>
  </si>
  <si>
    <t>NWSA</t>
  </si>
  <si>
    <t>Publishing</t>
  </si>
  <si>
    <t>10,94</t>
  </si>
  <si>
    <t>11,06</t>
  </si>
  <si>
    <t>12,44</t>
  </si>
  <si>
    <t>12,61</t>
  </si>
  <si>
    <t>10,22</t>
  </si>
  <si>
    <t>10,75</t>
  </si>
  <si>
    <t>11,99</t>
  </si>
  <si>
    <t>13,58</t>
  </si>
  <si>
    <t>12,17</t>
  </si>
  <si>
    <t>13,33</t>
  </si>
  <si>
    <t>13,10</t>
  </si>
  <si>
    <t>13,80</t>
  </si>
  <si>
    <t>14,10</t>
  </si>
  <si>
    <t>14,90</t>
  </si>
  <si>
    <t>15,41</t>
  </si>
  <si>
    <t>Avery Dennison Corp.</t>
  </si>
  <si>
    <t>AVY</t>
  </si>
  <si>
    <t>Packaging and Materials: Paper and Plastic</t>
  </si>
  <si>
    <t>66,52</t>
  </si>
  <si>
    <t>68,17</t>
  </si>
  <si>
    <t>63,68</t>
  </si>
  <si>
    <t>69,21</t>
  </si>
  <si>
    <t>69,71</t>
  </si>
  <si>
    <t>67,31</t>
  </si>
  <si>
    <t>66,83</t>
  </si>
  <si>
    <t>59,95</t>
  </si>
  <si>
    <t>56,27</t>
  </si>
  <si>
    <t>57,69</t>
  </si>
  <si>
    <t>62,43</t>
  </si>
  <si>
    <t>58,92</t>
  </si>
  <si>
    <t>50,69</t>
  </si>
  <si>
    <t>51,85</t>
  </si>
  <si>
    <t>55,08</t>
  </si>
  <si>
    <t>54,71</t>
  </si>
  <si>
    <t>56,41</t>
  </si>
  <si>
    <t>49,66</t>
  </si>
  <si>
    <t>47,76</t>
  </si>
  <si>
    <t>46,30</t>
  </si>
  <si>
    <t>Tyson Foods Inc.</t>
  </si>
  <si>
    <t>TSN</t>
  </si>
  <si>
    <t>58,43</t>
  </si>
  <si>
    <t>53,74</t>
  </si>
  <si>
    <t>66,43</t>
  </si>
  <si>
    <t>65,87</t>
  </si>
  <si>
    <t>60,14</t>
  </si>
  <si>
    <t>57,31</t>
  </si>
  <si>
    <t>57,47</t>
  </si>
  <si>
    <t>58,53</t>
  </si>
  <si>
    <t>59,61</t>
  </si>
  <si>
    <t>49,31</t>
  </si>
  <si>
    <t>49,10</t>
  </si>
  <si>
    <t>47,33</t>
  </si>
  <si>
    <t>38,62</t>
  </si>
  <si>
    <t>37,75</t>
  </si>
  <si>
    <t>40,14</t>
  </si>
  <si>
    <t>38,27</t>
  </si>
  <si>
    <t>38,68</t>
  </si>
  <si>
    <t>35,28</t>
  </si>
  <si>
    <t>35,65</t>
  </si>
  <si>
    <t>36,84</t>
  </si>
  <si>
    <t>34,58</t>
  </si>
  <si>
    <t>Monolithic Power Systems Inc.</t>
  </si>
  <si>
    <t>MPWR</t>
  </si>
  <si>
    <t>77,61</t>
  </si>
  <si>
    <t>71,91</t>
  </si>
  <si>
    <t>71,62</t>
  </si>
  <si>
    <t>68,82</t>
  </si>
  <si>
    <t>65,08</t>
  </si>
  <si>
    <t>61,52</t>
  </si>
  <si>
    <t>61,40</t>
  </si>
  <si>
    <t>54,50</t>
  </si>
  <si>
    <t>57,82</t>
  </si>
  <si>
    <t>58,66</t>
  </si>
  <si>
    <t>64,68</t>
  </si>
  <si>
    <t>56,61</t>
  </si>
  <si>
    <t>46,81</t>
  </si>
  <si>
    <t>45,52</t>
  </si>
  <si>
    <t>49,75</t>
  </si>
  <si>
    <t>49,01</t>
  </si>
  <si>
    <t>47,03</t>
  </si>
  <si>
    <t>42,06</t>
  </si>
  <si>
    <t>Paramount Skydance Corp.</t>
  </si>
  <si>
    <t>PSKY</t>
  </si>
  <si>
    <t>Broadcasting</t>
  </si>
  <si>
    <t>60,27</t>
  </si>
  <si>
    <t>57,44</t>
  </si>
  <si>
    <t>51,66</t>
  </si>
  <si>
    <t>48,70</t>
  </si>
  <si>
    <t>46,73</t>
  </si>
  <si>
    <t>49,02</t>
  </si>
  <si>
    <t>48,82</t>
  </si>
  <si>
    <t>48,37</t>
  </si>
  <si>
    <t>44,54</t>
  </si>
  <si>
    <t>43,39</t>
  </si>
  <si>
    <t>47,78</t>
  </si>
  <si>
    <t>42,19</t>
  </si>
  <si>
    <t>48,40</t>
  </si>
  <si>
    <t>49,83</t>
  </si>
  <si>
    <t>56,24</t>
  </si>
  <si>
    <t>55,50</t>
  </si>
  <si>
    <t>56,44</t>
  </si>
  <si>
    <t>52,71</t>
  </si>
  <si>
    <t>48,55</t>
  </si>
  <si>
    <t>Citigroup Inc.</t>
  </si>
  <si>
    <t>C</t>
  </si>
  <si>
    <t>Bank</t>
  </si>
  <si>
    <t>53,34</t>
  </si>
  <si>
    <t>44,84</t>
  </si>
  <si>
    <t>42,02</t>
  </si>
  <si>
    <t>42,83</t>
  </si>
  <si>
    <t>39,21</t>
  </si>
  <si>
    <t>38,17</t>
  </si>
  <si>
    <t>40,41</t>
  </si>
  <si>
    <t>36,66</t>
  </si>
  <si>
    <t>35,76</t>
  </si>
  <si>
    <t>47,65</t>
  </si>
  <si>
    <t>51,20</t>
  </si>
  <si>
    <t>48,22</t>
  </si>
  <si>
    <t>44,45</t>
  </si>
  <si>
    <t>47,74</t>
  </si>
  <si>
    <t>52,92</t>
  </si>
  <si>
    <t>49,59</t>
  </si>
  <si>
    <t>49,27</t>
  </si>
  <si>
    <t>47,96</t>
  </si>
  <si>
    <t>46,75</t>
  </si>
  <si>
    <t>41,59</t>
  </si>
  <si>
    <t>Citizens Financial Group Inc.</t>
  </si>
  <si>
    <t>CFG</t>
  </si>
  <si>
    <t>33,75</t>
  </si>
  <si>
    <t>31,70</t>
  </si>
  <si>
    <t>22,22</t>
  </si>
  <si>
    <t>19,98</t>
  </si>
  <si>
    <t>21,16</t>
  </si>
  <si>
    <t>19,95</t>
  </si>
  <si>
    <t>18,40</t>
  </si>
  <si>
    <t>19,64</t>
  </si>
  <si>
    <t>24,11</t>
  </si>
  <si>
    <t>25,21</t>
  </si>
  <si>
    <t>22,04</t>
  </si>
  <si>
    <t>21,38</t>
  </si>
  <si>
    <t>22,16</t>
  </si>
  <si>
    <t>23,60</t>
  </si>
  <si>
    <t>24,52</t>
  </si>
  <si>
    <t>24,46</t>
  </si>
  <si>
    <t>23,27</t>
  </si>
  <si>
    <t>22,46</t>
  </si>
  <si>
    <t>22,15</t>
  </si>
  <si>
    <t>21,17</t>
  </si>
  <si>
    <t>DaVita Inc.</t>
  </si>
  <si>
    <t>DVA</t>
  </si>
  <si>
    <t>Health Care Services</t>
  </si>
  <si>
    <t>60,82</t>
  </si>
  <si>
    <t>59,93</t>
  </si>
  <si>
    <t>53,48</t>
  </si>
  <si>
    <t>58,78</t>
  </si>
  <si>
    <t>57,98</t>
  </si>
  <si>
    <t>69,39</t>
  </si>
  <si>
    <t>69,48</t>
  </si>
  <si>
    <t>64,53</t>
  </si>
  <si>
    <t>64,43</t>
  </si>
  <si>
    <t>60,73</t>
  </si>
  <si>
    <t>64,19</t>
  </si>
  <si>
    <t>69,14</t>
  </si>
  <si>
    <t>67,53</t>
  </si>
  <si>
    <t>71,53</t>
  </si>
  <si>
    <t>71,34</t>
  </si>
  <si>
    <t>76,34</t>
  </si>
  <si>
    <t>72,44</t>
  </si>
  <si>
    <t>75,66</t>
  </si>
  <si>
    <t>66,53</t>
  </si>
  <si>
    <t>66,48</t>
  </si>
  <si>
    <t>Alliant Energy</t>
  </si>
  <si>
    <t>LNT</t>
  </si>
  <si>
    <t>35,89</t>
  </si>
  <si>
    <t>34,72</t>
  </si>
  <si>
    <t>34,08</t>
  </si>
  <si>
    <t>34,04</t>
  </si>
  <si>
    <t>36,02</t>
  </si>
  <si>
    <t>33,29</t>
  </si>
  <si>
    <t>30,79</t>
  </si>
  <si>
    <t>32,61</t>
  </si>
  <si>
    <t>31,28</t>
  </si>
  <si>
    <t>30,19</t>
  </si>
  <si>
    <t>28,75</t>
  </si>
  <si>
    <t>28,49</t>
  </si>
  <si>
    <t>26,76</t>
  </si>
  <si>
    <t>26,20</t>
  </si>
  <si>
    <t>27,84</t>
  </si>
  <si>
    <t>27,93</t>
  </si>
  <si>
    <t>29,32</t>
  </si>
  <si>
    <t>28,36</t>
  </si>
  <si>
    <t>30,39</t>
  </si>
  <si>
    <t>Centene Corp.</t>
  </si>
  <si>
    <t>CNC</t>
  </si>
  <si>
    <t>26,77</t>
  </si>
  <si>
    <t>27,26</t>
  </si>
  <si>
    <t>30,63</t>
  </si>
  <si>
    <t>31,57</t>
  </si>
  <si>
    <t>32,13</t>
  </si>
  <si>
    <t>27,05</t>
  </si>
  <si>
    <t>27,03</t>
  </si>
  <si>
    <t>28,68</t>
  </si>
  <si>
    <t>30,30</t>
  </si>
  <si>
    <t>27,33</t>
  </si>
  <si>
    <t>24,30</t>
  </si>
  <si>
    <t>31,74</t>
  </si>
  <si>
    <t>36,09</t>
  </si>
  <si>
    <t>34,32</t>
  </si>
  <si>
    <t>27,69</t>
  </si>
  <si>
    <t>27,41</t>
  </si>
  <si>
    <t>24,17</t>
  </si>
  <si>
    <t>Gilead Sciences Inc.</t>
  </si>
  <si>
    <t>GILD</t>
  </si>
  <si>
    <t>67,84</t>
  </si>
  <si>
    <t>70,31</t>
  </si>
  <si>
    <t>71,12</t>
  </si>
  <si>
    <t>78,23</t>
  </si>
  <si>
    <t>77,02</t>
  </si>
  <si>
    <t>80,32</t>
  </si>
  <si>
    <t>76,70</t>
  </si>
  <si>
    <t>93,17</t>
  </si>
  <si>
    <t>100,30</t>
  </si>
  <si>
    <t>87,98</t>
  </si>
  <si>
    <t>93,80</t>
  </si>
  <si>
    <t>106,68</t>
  </si>
  <si>
    <t>105,11</t>
  </si>
  <si>
    <t>102,29</t>
  </si>
  <si>
    <t>89,78</t>
  </si>
  <si>
    <t>91,34</t>
  </si>
  <si>
    <t>92,33</t>
  </si>
  <si>
    <t>92,85</t>
  </si>
  <si>
    <t>International Paper Company</t>
  </si>
  <si>
    <t>IP</t>
  </si>
  <si>
    <t>50,26</t>
  </si>
  <si>
    <t>46,09</t>
  </si>
  <si>
    <t>41,09</t>
  </si>
  <si>
    <t>42,69</t>
  </si>
  <si>
    <t>43,50</t>
  </si>
  <si>
    <t>41,00</t>
  </si>
  <si>
    <t>38,16</t>
  </si>
  <si>
    <t>37,88</t>
  </si>
  <si>
    <t>37,78</t>
  </si>
  <si>
    <t>36,04</t>
  </si>
  <si>
    <t>32,86</t>
  </si>
  <si>
    <t>34,71</t>
  </si>
  <si>
    <t>39,59</t>
  </si>
  <si>
    <t>38,71</t>
  </si>
  <si>
    <t>33,86</t>
  </si>
  <si>
    <t>38,51</t>
  </si>
  <si>
    <t>43,33</t>
  </si>
  <si>
    <t>47,22</t>
  </si>
  <si>
    <t>47,99</t>
  </si>
  <si>
    <t>50,31</t>
  </si>
  <si>
    <t>46,64</t>
  </si>
  <si>
    <t>Halliburton Co.</t>
  </si>
  <si>
    <t>HAL</t>
  </si>
  <si>
    <t>Oil and Gas Equipment and Services</t>
  </si>
  <si>
    <t>51,24</t>
  </si>
  <si>
    <t>50,22</t>
  </si>
  <si>
    <t>41,97</t>
  </si>
  <si>
    <t>39,93</t>
  </si>
  <si>
    <t>39,07</t>
  </si>
  <si>
    <t>37,90</t>
  </si>
  <si>
    <t>36,07</t>
  </si>
  <si>
    <t>31,36</t>
  </si>
  <si>
    <t>29,72</t>
  </si>
  <si>
    <t>29,38</t>
  </si>
  <si>
    <t>31,34</t>
  </si>
  <si>
    <t>37,72</t>
  </si>
  <si>
    <t>34,80</t>
  </si>
  <si>
    <t>31,68</t>
  </si>
  <si>
    <t>35,13</t>
  </si>
  <si>
    <t>37,83</t>
  </si>
  <si>
    <t>41,37</t>
  </si>
  <si>
    <t>43,72</t>
  </si>
  <si>
    <t>40,85</t>
  </si>
  <si>
    <t>38,30</t>
  </si>
  <si>
    <t>Evergy, Inc.</t>
  </si>
  <si>
    <t>EVRG</t>
  </si>
  <si>
    <t>53,38</t>
  </si>
  <si>
    <t>53,88</t>
  </si>
  <si>
    <t>52,30</t>
  </si>
  <si>
    <t>50,49</t>
  </si>
  <si>
    <t>49,28</t>
  </si>
  <si>
    <t>49,73</t>
  </si>
  <si>
    <t>50,51</t>
  </si>
  <si>
    <t>50,62</t>
  </si>
  <si>
    <t>45,06</t>
  </si>
  <si>
    <t>43,56</t>
  </si>
  <si>
    <t>40,01</t>
  </si>
  <si>
    <t>40,26</t>
  </si>
  <si>
    <t>40,40</t>
  </si>
  <si>
    <t>36,00</t>
  </si>
  <si>
    <t>34,44</t>
  </si>
  <si>
    <t>32,63</t>
  </si>
  <si>
    <t>30,72</t>
  </si>
  <si>
    <t>33,41</t>
  </si>
  <si>
    <t>33,63</t>
  </si>
  <si>
    <t>36,08</t>
  </si>
  <si>
    <t>37,84</t>
  </si>
  <si>
    <t>Equity Residential</t>
  </si>
  <si>
    <t>EQR</t>
  </si>
  <si>
    <t>60,97</t>
  </si>
  <si>
    <t>56,77</t>
  </si>
  <si>
    <t>56,34</t>
  </si>
  <si>
    <t>57,23</t>
  </si>
  <si>
    <t>58,19</t>
  </si>
  <si>
    <t>60,85</t>
  </si>
  <si>
    <t>59,44</t>
  </si>
  <si>
    <t>65,88</t>
  </si>
  <si>
    <t>68,57</t>
  </si>
  <si>
    <t>75,55</t>
  </si>
  <si>
    <t>63,61</t>
  </si>
  <si>
    <t>67,71</t>
  </si>
  <si>
    <t>63,00</t>
  </si>
  <si>
    <t>67,72</t>
  </si>
  <si>
    <t>65,98</t>
  </si>
  <si>
    <t>72,48</t>
  </si>
  <si>
    <t>68,70</t>
  </si>
  <si>
    <t>68,74</t>
  </si>
  <si>
    <t>Norfolk Southern Corporation</t>
  </si>
  <si>
    <t>NSC</t>
  </si>
  <si>
    <t>Rail Transportation</t>
  </si>
  <si>
    <t>102,37</t>
  </si>
  <si>
    <t>100,71</t>
  </si>
  <si>
    <t>84,85</t>
  </si>
  <si>
    <t>86,35</t>
  </si>
  <si>
    <t>84,23</t>
  </si>
  <si>
    <t>80,35</t>
  </si>
  <si>
    <t>76,66</t>
  </si>
  <si>
    <t>78,68</t>
  </si>
  <si>
    <t>73,10</t>
  </si>
  <si>
    <t>67,36</t>
  </si>
  <si>
    <t>65,15</t>
  </si>
  <si>
    <t>76,33</t>
  </si>
  <si>
    <t>90,08</t>
  </si>
  <si>
    <t>95,80</t>
  </si>
  <si>
    <t>97,35</t>
  </si>
  <si>
    <t>90,32</t>
  </si>
  <si>
    <t>Fair Isaac Corp.</t>
  </si>
  <si>
    <t>FICO</t>
  </si>
  <si>
    <t>112,94</t>
  </si>
  <si>
    <t>107,55</t>
  </si>
  <si>
    <t>110,11</t>
  </si>
  <si>
    <t>110,84</t>
  </si>
  <si>
    <t>114,77</t>
  </si>
  <si>
    <t>113,34</t>
  </si>
  <si>
    <t>101,76</t>
  </si>
  <si>
    <t>100,13</t>
  </si>
  <si>
    <t>93,15</t>
  </si>
  <si>
    <t>91,61</t>
  </si>
  <si>
    <t>88,32</t>
  </si>
  <si>
    <t>86,72</t>
  </si>
  <si>
    <t>90,16</t>
  </si>
  <si>
    <t>75,72</t>
  </si>
  <si>
    <t>76,39</t>
  </si>
  <si>
    <t>82,09</t>
  </si>
  <si>
    <t>81,50</t>
  </si>
  <si>
    <t>79,93</t>
  </si>
  <si>
    <t>79,02</t>
  </si>
  <si>
    <t>82,59</t>
  </si>
  <si>
    <t>75,91</t>
  </si>
  <si>
    <t>63,20</t>
  </si>
  <si>
    <t>Raymond James Financial Inc.</t>
  </si>
  <si>
    <t>RJF</t>
  </si>
  <si>
    <t>Investment Banks, Brokers and Capital Markets</t>
  </si>
  <si>
    <t>43,75</t>
  </si>
  <si>
    <t>45,37</t>
  </si>
  <si>
    <t>36,57</t>
  </si>
  <si>
    <t>32,76</t>
  </si>
  <si>
    <t>33,59</t>
  </si>
  <si>
    <t>30,37</t>
  </si>
  <si>
    <t>27,87</t>
  </si>
  <si>
    <t>26,90</t>
  </si>
  <si>
    <t>26,99</t>
  </si>
  <si>
    <t>35,58</t>
  </si>
  <si>
    <t>37,06</t>
  </si>
  <si>
    <t>33,32</t>
  </si>
  <si>
    <t>29,65</t>
  </si>
  <si>
    <t>31,54</t>
  </si>
  <si>
    <t>35,60</t>
  </si>
  <si>
    <t>35,66</t>
  </si>
  <si>
    <t>35,30</t>
  </si>
  <si>
    <t>33,66</t>
  </si>
  <si>
    <t>35,24</t>
  </si>
  <si>
    <t>Molson Coors Beverage Co.</t>
  </si>
  <si>
    <t>TAP</t>
  </si>
  <si>
    <t>Brewer: Beer and Malt Liquor</t>
  </si>
  <si>
    <t>92,18</t>
  </si>
  <si>
    <t>92,74</t>
  </si>
  <si>
    <t>94,72</t>
  </si>
  <si>
    <t>97,68</t>
  </si>
  <si>
    <t>91,43</t>
  </si>
  <si>
    <t>83,50</t>
  </si>
  <si>
    <t>84,45</t>
  </si>
  <si>
    <t>78,50</t>
  </si>
  <si>
    <t>86,48</t>
  </si>
  <si>
    <t>87,11</t>
  </si>
  <si>
    <t>79,89</t>
  </si>
  <si>
    <t>74,39</t>
  </si>
  <si>
    <t>64,39</t>
  </si>
  <si>
    <t>62,67</t>
  </si>
  <si>
    <t>66,86</t>
  </si>
  <si>
    <t>65,66</t>
  </si>
  <si>
    <t>69,30</t>
  </si>
  <si>
    <t>67,68</t>
  </si>
  <si>
    <t>67,25</t>
  </si>
  <si>
    <t>Comfort Systems USA Inc.</t>
  </si>
  <si>
    <t>FIX</t>
  </si>
  <si>
    <t>31,55</t>
  </si>
  <si>
    <t>30,46</t>
  </si>
  <si>
    <t>26,32</t>
  </si>
  <si>
    <t>26,08</t>
  </si>
  <si>
    <t>25,47</t>
  </si>
  <si>
    <t>27,19</t>
  </si>
  <si>
    <t>29,33</t>
  </si>
  <si>
    <t>25,75</t>
  </si>
  <si>
    <t>27,90</t>
  </si>
  <si>
    <t>26,19</t>
  </si>
  <si>
    <t>26,17</t>
  </si>
  <si>
    <t>30,04</t>
  </si>
  <si>
    <t>28,96</t>
  </si>
  <si>
    <t>24,43</t>
  </si>
  <si>
    <t>24,75</t>
  </si>
  <si>
    <t>25,02</t>
  </si>
  <si>
    <t>20,60</t>
  </si>
  <si>
    <t>20,46</t>
  </si>
  <si>
    <t>19,59</t>
  </si>
  <si>
    <t>16,68</t>
  </si>
  <si>
    <t>14,75</t>
  </si>
  <si>
    <t>Newmont Corp.</t>
  </si>
  <si>
    <t>NEM</t>
  </si>
  <si>
    <t>Gold</t>
  </si>
  <si>
    <t>32,27</t>
  </si>
  <si>
    <t>30,69</t>
  </si>
  <si>
    <t>33,80</t>
  </si>
  <si>
    <t>34,95</t>
  </si>
  <si>
    <t>34,30</t>
  </si>
  <si>
    <t>35,23</t>
  </si>
  <si>
    <t>30,53</t>
  </si>
  <si>
    <t>23,34</t>
  </si>
  <si>
    <t>23,78</t>
  </si>
  <si>
    <t>18,45</t>
  </si>
  <si>
    <t>16,56</t>
  </si>
  <si>
    <t>17,43</t>
  </si>
  <si>
    <t>17,65</t>
  </si>
  <si>
    <t>14,40</t>
  </si>
  <si>
    <t>15,24</t>
  </si>
  <si>
    <t>15,54</t>
  </si>
  <si>
    <t>20,97</t>
  </si>
  <si>
    <t>24,82</t>
  </si>
  <si>
    <t>23,66</t>
  </si>
  <si>
    <t>20,21</t>
  </si>
  <si>
    <t>23,48</t>
  </si>
  <si>
    <t>22,28</t>
  </si>
  <si>
    <t>Linde plc</t>
  </si>
  <si>
    <t>LIN</t>
  </si>
  <si>
    <t>Industrial Gases</t>
  </si>
  <si>
    <t>111,01</t>
  </si>
  <si>
    <t>113,80</t>
  </si>
  <si>
    <t>106,81</t>
  </si>
  <si>
    <t>107,50</t>
  </si>
  <si>
    <t>109,48</t>
  </si>
  <si>
    <t>104,30</t>
  </si>
  <si>
    <t>101,20</t>
  </si>
  <si>
    <t>98,71</t>
  </si>
  <si>
    <t>100,49</t>
  </si>
  <si>
    <t>93,70</t>
  </si>
  <si>
    <t>92,42</t>
  </si>
  <si>
    <t>94,28</t>
  </si>
  <si>
    <t>106,77</t>
  </si>
  <si>
    <t>100,74</t>
  </si>
  <si>
    <t>91,27</t>
  </si>
  <si>
    <t>94,41</t>
  </si>
  <si>
    <t>103,31</t>
  </si>
  <si>
    <t>107,33</t>
  </si>
  <si>
    <t>111,94</t>
  </si>
  <si>
    <t>108,91</t>
  </si>
  <si>
    <t>112,39</t>
  </si>
  <si>
    <t>114,07</t>
  </si>
  <si>
    <t>Alphabet Inc.</t>
  </si>
  <si>
    <t>GOOGL</t>
  </si>
  <si>
    <t>Interactive Media and Services</t>
  </si>
  <si>
    <t>37,53</t>
  </si>
  <si>
    <t>36,70</t>
  </si>
  <si>
    <t>36,95</t>
  </si>
  <si>
    <t>35,77</t>
  </si>
  <si>
    <t>35,43</t>
  </si>
  <si>
    <t>35,41</t>
  </si>
  <si>
    <t>31,67</t>
  </si>
  <si>
    <t>33,64</t>
  </si>
  <si>
    <t>30,90</t>
  </si>
  <si>
    <t>33,49</t>
  </si>
  <si>
    <t>35,82</t>
  </si>
  <si>
    <t>36,10</t>
  </si>
  <si>
    <t>28,60</t>
  </si>
  <si>
    <t>28,92</t>
  </si>
  <si>
    <t>29,76</t>
  </si>
  <si>
    <t>24,24</t>
  </si>
  <si>
    <t>24,84</t>
  </si>
  <si>
    <t>24,51</t>
  </si>
  <si>
    <t>25,09</t>
  </si>
  <si>
    <t>23,81</t>
  </si>
  <si>
    <t>Camden Property Trust</t>
  </si>
  <si>
    <t>CPT</t>
  </si>
  <si>
    <t>79,64</t>
  </si>
  <si>
    <t>74,50</t>
  </si>
  <si>
    <t>78,73</t>
  </si>
  <si>
    <t>80,18</t>
  </si>
  <si>
    <t>76,57</t>
  </si>
  <si>
    <t>70,49</t>
  </si>
  <si>
    <t>68,80</t>
  </si>
  <si>
    <t>66,22</t>
  </si>
  <si>
    <t>72,08</t>
  </si>
  <si>
    <t>68,32</t>
  </si>
  <si>
    <t>67,07</t>
  </si>
  <si>
    <t>72,73</t>
  </si>
  <si>
    <t>64,92</t>
  </si>
  <si>
    <t>68,25</t>
  </si>
  <si>
    <t>Palo Alto Networks Inc.</t>
  </si>
  <si>
    <t>PANW</t>
  </si>
  <si>
    <t>21,19</t>
  </si>
  <si>
    <t>23,39</t>
  </si>
  <si>
    <t>23,62</t>
  </si>
  <si>
    <t>19,91</t>
  </si>
  <si>
    <t>19,52</t>
  </si>
  <si>
    <t>18,41</t>
  </si>
  <si>
    <t>19,54</t>
  </si>
  <si>
    <t>21,96</t>
  </si>
  <si>
    <t>22,21</t>
  </si>
  <si>
    <t>23,03</t>
  </si>
  <si>
    <t>29,55</t>
  </si>
  <si>
    <t>24,33</t>
  </si>
  <si>
    <t>25,69</t>
  </si>
  <si>
    <t>28,03</t>
  </si>
  <si>
    <t>26,14</t>
  </si>
  <si>
    <t>21,99</t>
  </si>
  <si>
    <t>22,66</t>
  </si>
  <si>
    <t>21,14</t>
  </si>
  <si>
    <t>Leidos Holdings Inc.</t>
  </si>
  <si>
    <t>LDOS</t>
  </si>
  <si>
    <t>Research and Consulting Services</t>
  </si>
  <si>
    <t>48,44</t>
  </si>
  <si>
    <t>37,93</t>
  </si>
  <si>
    <t>36,34</t>
  </si>
  <si>
    <t>44,76</t>
  </si>
  <si>
    <t>43,10</t>
  </si>
  <si>
    <t>43,32</t>
  </si>
  <si>
    <t>44,18</t>
  </si>
  <si>
    <t>39,79</t>
  </si>
  <si>
    <t>42,62</t>
  </si>
  <si>
    <t>51,80</t>
  </si>
  <si>
    <t>54,83</t>
  </si>
  <si>
    <t>47,67</t>
  </si>
  <si>
    <t>37,57</t>
  </si>
  <si>
    <t>36,24</t>
  </si>
  <si>
    <t>38,72</t>
  </si>
  <si>
    <t>37,19</t>
  </si>
  <si>
    <t>36,67</t>
  </si>
  <si>
    <t>Revvity Inc.</t>
  </si>
  <si>
    <t>RVTY</t>
  </si>
  <si>
    <t>49,40</t>
  </si>
  <si>
    <t>46,43</t>
  </si>
  <si>
    <t>49,92</t>
  </si>
  <si>
    <t>50,94</t>
  </si>
  <si>
    <t>47,20</t>
  </si>
  <si>
    <t>49,20</t>
  </si>
  <si>
    <t>43,51</t>
  </si>
  <si>
    <t>44,65</t>
  </si>
  <si>
    <t>49,32</t>
  </si>
  <si>
    <t>50,32</t>
  </si>
  <si>
    <t>46,83</t>
  </si>
  <si>
    <t>41,18</t>
  </si>
  <si>
    <t>43,46</t>
  </si>
  <si>
    <t>47,90</t>
  </si>
  <si>
    <t>47,26</t>
  </si>
  <si>
    <t>48,04</t>
  </si>
  <si>
    <t>45,79</t>
  </si>
  <si>
    <t>47,60</t>
  </si>
  <si>
    <t>40,49</t>
  </si>
  <si>
    <t>Realty Income Corp.</t>
  </si>
  <si>
    <t>O</t>
  </si>
  <si>
    <t>52,45</t>
  </si>
  <si>
    <t>54,05</t>
  </si>
  <si>
    <t>59,54</t>
  </si>
  <si>
    <t>58,96</t>
  </si>
  <si>
    <t>63,96</t>
  </si>
  <si>
    <t>62,46</t>
  </si>
  <si>
    <t>53,99</t>
  </si>
  <si>
    <t>51,69</t>
  </si>
  <si>
    <t>54,89</t>
  </si>
  <si>
    <t>53,89</t>
  </si>
  <si>
    <t>51,56</t>
  </si>
  <si>
    <t>47,54</t>
  </si>
  <si>
    <t>46,97</t>
  </si>
  <si>
    <t>44,85</t>
  </si>
  <si>
    <t>39,90</t>
  </si>
  <si>
    <t>43,71</t>
  </si>
  <si>
    <t>39,85</t>
  </si>
  <si>
    <t>41,52</t>
  </si>
  <si>
    <t>41,96</t>
  </si>
  <si>
    <t>48,03</t>
  </si>
  <si>
    <t>48,11</t>
  </si>
  <si>
    <t>QUALCOMM Inc.</t>
  </si>
  <si>
    <t>QCOM</t>
  </si>
  <si>
    <t>61,76</t>
  </si>
  <si>
    <t>64,45</t>
  </si>
  <si>
    <t>62,70</t>
  </si>
  <si>
    <t>60,94</t>
  </si>
  <si>
    <t>56,58</t>
  </si>
  <si>
    <t>56,01</t>
  </si>
  <si>
    <t>48,24</t>
  </si>
  <si>
    <t>49,35</t>
  </si>
  <si>
    <t>44,11</t>
  </si>
  <si>
    <t>46,02</t>
  </si>
  <si>
    <t>46,18</t>
  </si>
  <si>
    <t>48,14</t>
  </si>
  <si>
    <t>58,28</t>
  </si>
  <si>
    <t>56,23</t>
  </si>
  <si>
    <t>63,49</t>
  </si>
  <si>
    <t>60,74</t>
  </si>
  <si>
    <t>64,67</t>
  </si>
  <si>
    <t>55,32</t>
  </si>
  <si>
    <t>General Mills Inc.</t>
  </si>
  <si>
    <t>GIS</t>
  </si>
  <si>
    <t>58,51</t>
  </si>
  <si>
    <t>57,65</t>
  </si>
  <si>
    <t>56,55</t>
  </si>
  <si>
    <t>56,83</t>
  </si>
  <si>
    <t>63,53</t>
  </si>
  <si>
    <t>64,34</t>
  </si>
  <si>
    <t>64,22</t>
  </si>
  <si>
    <t>53,56</t>
  </si>
  <si>
    <t>55,62</t>
  </si>
  <si>
    <t>54,17</t>
  </si>
  <si>
    <t>52,22</t>
  </si>
  <si>
    <t>53,09</t>
  </si>
  <si>
    <t>54,67</t>
  </si>
  <si>
    <t>52,70</t>
  </si>
  <si>
    <t>50,30</t>
  </si>
  <si>
    <t>50,67</t>
  </si>
  <si>
    <t>52,69</t>
  </si>
  <si>
    <t>50,02</t>
  </si>
  <si>
    <t>51,16</t>
  </si>
  <si>
    <t>49,43</t>
  </si>
  <si>
    <t>47,97</t>
  </si>
  <si>
    <t>46,48</t>
  </si>
  <si>
    <t>BlackRock Inc.</t>
  </si>
  <si>
    <t>BLK</t>
  </si>
  <si>
    <t>360,49</t>
  </si>
  <si>
    <t>350,77</t>
  </si>
  <si>
    <t>311,35</t>
  </si>
  <si>
    <t>322,46</t>
  </si>
  <si>
    <t>334,43</t>
  </si>
  <si>
    <t>327,78</t>
  </si>
  <si>
    <t>308,43</t>
  </si>
  <si>
    <t>326,94</t>
  </si>
  <si>
    <t>311,13</t>
  </si>
  <si>
    <t>299,04</t>
  </si>
  <si>
    <t>287,17</t>
  </si>
  <si>
    <t>290,42</t>
  </si>
  <si>
    <t>313,53</t>
  </si>
  <si>
    <t>344,28</t>
  </si>
  <si>
    <t>319,18</t>
  </si>
  <si>
    <t>266,55</t>
  </si>
  <si>
    <t>270,03</t>
  </si>
  <si>
    <t>304,42</t>
  </si>
  <si>
    <t>310,60</t>
  </si>
  <si>
    <t>333,28</t>
  </si>
  <si>
    <t>325,09</t>
  </si>
  <si>
    <t>340,54</t>
  </si>
  <si>
    <t>331,25</t>
  </si>
  <si>
    <t>301,61</t>
  </si>
  <si>
    <t>Western Digital Corp.</t>
  </si>
  <si>
    <t>WDC</t>
  </si>
  <si>
    <t>Technology Hardware, Storage and Peripherals</t>
  </si>
  <si>
    <t>64,37</t>
  </si>
  <si>
    <t>53,32</t>
  </si>
  <si>
    <t>52,02</t>
  </si>
  <si>
    <t>41,87</t>
  </si>
  <si>
    <t>42,52</t>
  </si>
  <si>
    <t>42,56</t>
  </si>
  <si>
    <t>41,82</t>
  </si>
  <si>
    <t>35,68</t>
  </si>
  <si>
    <t>41,48</t>
  </si>
  <si>
    <t>40,07</t>
  </si>
  <si>
    <t>44,34</t>
  </si>
  <si>
    <t>55,29</t>
  </si>
  <si>
    <t>59,07</t>
  </si>
  <si>
    <t>60,60</t>
  </si>
  <si>
    <t>73,17</t>
  </si>
  <si>
    <t>77,90</t>
  </si>
  <si>
    <t>70,40</t>
  </si>
  <si>
    <t>88,71</t>
  </si>
  <si>
    <t>87,31</t>
  </si>
  <si>
    <t>95,41</t>
  </si>
  <si>
    <t>86,12</t>
  </si>
  <si>
    <t>BXP Inc.</t>
  </si>
  <si>
    <t>BXP</t>
  </si>
  <si>
    <t>Office REIT</t>
  </si>
  <si>
    <t>117,19</t>
  </si>
  <si>
    <t>109,93</t>
  </si>
  <si>
    <t>121,25</t>
  </si>
  <si>
    <t>125,70</t>
  </si>
  <si>
    <t>127,20</t>
  </si>
  <si>
    <t>118,77</t>
  </si>
  <si>
    <t>112,88</t>
  </si>
  <si>
    <t>112,51</t>
  </si>
  <si>
    <t>111,58</t>
  </si>
  <si>
    <t>105,07</t>
  </si>
  <si>
    <t>107,40</t>
  </si>
  <si>
    <t>118,31</t>
  </si>
  <si>
    <t>114,13</t>
  </si>
  <si>
    <t>106,09</t>
  </si>
  <si>
    <t>101,22</t>
  </si>
  <si>
    <t>111,59</t>
  </si>
  <si>
    <t>108,66</t>
  </si>
  <si>
    <t>118,48</t>
  </si>
  <si>
    <t>118,19</t>
  </si>
  <si>
    <t>130,77</t>
  </si>
  <si>
    <t>122,94</t>
  </si>
  <si>
    <t>VeriSign Inc.</t>
  </si>
  <si>
    <t>VRSN</t>
  </si>
  <si>
    <t>74,59</t>
  </si>
  <si>
    <t>69,61</t>
  </si>
  <si>
    <t>66,79</t>
  </si>
  <si>
    <t>76,79</t>
  </si>
  <si>
    <t>75,44</t>
  </si>
  <si>
    <t>77,74</t>
  </si>
  <si>
    <t>77,78</t>
  </si>
  <si>
    <t>80,44</t>
  </si>
  <si>
    <t>84,66</t>
  </si>
  <si>
    <t>73,09</t>
  </si>
  <si>
    <t>61,55</t>
  </si>
  <si>
    <t>64,21</t>
  </si>
  <si>
    <t>57,58</t>
  </si>
  <si>
    <t>56,73</t>
  </si>
  <si>
    <t>62,34</t>
  </si>
  <si>
    <t>57,10</t>
  </si>
  <si>
    <t>48,26</t>
  </si>
  <si>
    <t>McCormick &amp; Co.</t>
  </si>
  <si>
    <t>MKC</t>
  </si>
  <si>
    <t>44,21</t>
  </si>
  <si>
    <t>43,14</t>
  </si>
  <si>
    <t>43,74</t>
  </si>
  <si>
    <t>45,73</t>
  </si>
  <si>
    <t>45,75</t>
  </si>
  <si>
    <t>43,61</t>
  </si>
  <si>
    <t>40,94</t>
  </si>
  <si>
    <t>40,65</t>
  </si>
  <si>
    <t>39,39</t>
  </si>
  <si>
    <t>40,66</t>
  </si>
  <si>
    <t>38,08</t>
  </si>
  <si>
    <t>36,82</t>
  </si>
  <si>
    <t>35,39</t>
  </si>
  <si>
    <t>37,12</t>
  </si>
  <si>
    <t>33,61</t>
  </si>
  <si>
    <t>McKesson Corp.</t>
  </si>
  <si>
    <t>MCK</t>
  </si>
  <si>
    <t>136,04</t>
  </si>
  <si>
    <t>116,03</t>
  </si>
  <si>
    <t>148,35</t>
  </si>
  <si>
    <t>165,61</t>
  </si>
  <si>
    <t>174,12</t>
  </si>
  <si>
    <t>168,07</t>
  </si>
  <si>
    <t>164,56</t>
  </si>
  <si>
    <t>146,53</t>
  </si>
  <si>
    <t>138,07</t>
  </si>
  <si>
    <t>143,26</t>
  </si>
  <si>
    <t>148,77</t>
  </si>
  <si>
    <t>181,60</t>
  </si>
  <si>
    <t>179,23</t>
  </si>
  <si>
    <t>162,14</t>
  </si>
  <si>
    <t>165,80</t>
  </si>
  <si>
    <t>176,39</t>
  </si>
  <si>
    <t>199,65</t>
  </si>
  <si>
    <t>201,82</t>
  </si>
  <si>
    <t>216,15</t>
  </si>
  <si>
    <t>199,55</t>
  </si>
  <si>
    <t>210,56</t>
  </si>
  <si>
    <t>203,97</t>
  </si>
  <si>
    <t>188,35</t>
  </si>
  <si>
    <t>Lennar Corp.</t>
  </si>
  <si>
    <t>LEN</t>
  </si>
  <si>
    <t>39,45</t>
  </si>
  <si>
    <t>37,29</t>
  </si>
  <si>
    <t>41,60</t>
  </si>
  <si>
    <t>41,06</t>
  </si>
  <si>
    <t>40,70</t>
  </si>
  <si>
    <t>38,79</t>
  </si>
  <si>
    <t>41,63</t>
  </si>
  <si>
    <t>37,85</t>
  </si>
  <si>
    <t>38,19</t>
  </si>
  <si>
    <t>47,52</t>
  </si>
  <si>
    <t>42,28</t>
  </si>
  <si>
    <t>44,55</t>
  </si>
  <si>
    <t>47,07</t>
  </si>
  <si>
    <t>44,92</t>
  </si>
  <si>
    <t>41,65</t>
  </si>
  <si>
    <t>47,28</t>
  </si>
  <si>
    <t>39,00</t>
  </si>
  <si>
    <t>American Tower Corp.</t>
  </si>
  <si>
    <t>AMT</t>
  </si>
  <si>
    <t>100,11</t>
  </si>
  <si>
    <t>96,75</t>
  </si>
  <si>
    <t>106,92</t>
  </si>
  <si>
    <t>100,82</t>
  </si>
  <si>
    <t>101,71</t>
  </si>
  <si>
    <t>103,61</t>
  </si>
  <si>
    <t>102,30</t>
  </si>
  <si>
    <t>95,05</t>
  </si>
  <si>
    <t>91,58</t>
  </si>
  <si>
    <t>89,89</t>
  </si>
  <si>
    <t>84,87</t>
  </si>
  <si>
    <t>87,18</t>
  </si>
  <si>
    <t>89,27</t>
  </si>
  <si>
    <t>94,07</t>
  </si>
  <si>
    <t>92,71</t>
  </si>
  <si>
    <t>78,83</t>
  </si>
  <si>
    <t>86,09</t>
  </si>
  <si>
    <t>83,75</t>
  </si>
  <si>
    <t>84,55</t>
  </si>
  <si>
    <t>84,44</t>
  </si>
  <si>
    <t>87,64</t>
  </si>
  <si>
    <t>88,42</t>
  </si>
  <si>
    <t>85,87</t>
  </si>
  <si>
    <t>Conagra Brands Inc.</t>
  </si>
  <si>
    <t>CAG</t>
  </si>
  <si>
    <t>37,47</t>
  </si>
  <si>
    <t>43,96</t>
  </si>
  <si>
    <t>41,81</t>
  </si>
  <si>
    <t>43,05</t>
  </si>
  <si>
    <t>38,91</t>
  </si>
  <si>
    <t>39,18</t>
  </si>
  <si>
    <t>38,48</t>
  </si>
  <si>
    <t>38,82</t>
  </si>
  <si>
    <t>38,74</t>
  </si>
  <si>
    <t>36,77</t>
  </si>
  <si>
    <t>36,30</t>
  </si>
  <si>
    <t>37,21</t>
  </si>
  <si>
    <t>39,88</t>
  </si>
  <si>
    <t>39,25</t>
  </si>
  <si>
    <t>32,29</t>
  </si>
  <si>
    <t>34,00</t>
  </si>
  <si>
    <t>31,38</t>
  </si>
  <si>
    <t>NVIDIA Corp.</t>
  </si>
  <si>
    <t>NVDA</t>
  </si>
  <si>
    <t>2,53</t>
  </si>
  <si>
    <t>2,18</t>
  </si>
  <si>
    <t>1,62</t>
  </si>
  <si>
    <t>1,52</t>
  </si>
  <si>
    <t>1,38</t>
  </si>
  <si>
    <t>1,28</t>
  </si>
  <si>
    <t>1,06</t>
  </si>
  <si>
    <t>1,05</t>
  </si>
  <si>
    <t>0,78</t>
  </si>
  <si>
    <t>0,72</t>
  </si>
  <si>
    <t>0,68</t>
  </si>
  <si>
    <t>0,76</t>
  </si>
  <si>
    <t>0,75</t>
  </si>
  <si>
    <t>0,64</t>
  </si>
  <si>
    <t>0,55</t>
  </si>
  <si>
    <t>0,50</t>
  </si>
  <si>
    <t>0,45</t>
  </si>
  <si>
    <t>0,49</t>
  </si>
  <si>
    <t>0,43</t>
  </si>
  <si>
    <t>Automatic Data Processing Inc.</t>
  </si>
  <si>
    <t>ADP</t>
  </si>
  <si>
    <t>Human Resource and Employment Services</t>
  </si>
  <si>
    <t>97,36</t>
  </si>
  <si>
    <t>90,83</t>
  </si>
  <si>
    <t>79,43</t>
  </si>
  <si>
    <t>78,47</t>
  </si>
  <si>
    <t>79,61</t>
  </si>
  <si>
    <t>82,72</t>
  </si>
  <si>
    <t>78,93</t>
  </si>
  <si>
    <t>77,22</t>
  </si>
  <si>
    <t>78,77</t>
  </si>
  <si>
    <t>77,96</t>
  </si>
  <si>
    <t>78,01</t>
  </si>
  <si>
    <t>81,65</t>
  </si>
  <si>
    <t>78,89</t>
  </si>
  <si>
    <t>72,01</t>
  </si>
  <si>
    <t>72,20</t>
  </si>
  <si>
    <t>72,03</t>
  </si>
  <si>
    <t>77,91</t>
  </si>
  <si>
    <t>75,52</t>
  </si>
  <si>
    <t>79,72</t>
  </si>
  <si>
    <t>79,23</t>
  </si>
  <si>
    <t>Occidental Petroleum Corp.</t>
  </si>
  <si>
    <t>OXY</t>
  </si>
  <si>
    <t>67,48</t>
  </si>
  <si>
    <t>67,51</t>
  </si>
  <si>
    <t>64,87</t>
  </si>
  <si>
    <t>68,94</t>
  </si>
  <si>
    <t>66,88</t>
  </si>
  <si>
    <t>68,04</t>
  </si>
  <si>
    <t>66,93</t>
  </si>
  <si>
    <t>60,08</t>
  </si>
  <si>
    <t>63,35</t>
  </si>
  <si>
    <t>62,25</t>
  </si>
  <si>
    <t>71,55</t>
  </si>
  <si>
    <t>59,27</t>
  </si>
  <si>
    <t>63,54</t>
  </si>
  <si>
    <t>69,82</t>
  </si>
  <si>
    <t>67,95</t>
  </si>
  <si>
    <t>69,46</t>
  </si>
  <si>
    <t>70,86</t>
  </si>
  <si>
    <t>Pentair plc</t>
  </si>
  <si>
    <t>PNR</t>
  </si>
  <si>
    <t>53,12</t>
  </si>
  <si>
    <t>57,15</t>
  </si>
  <si>
    <t>57,46</t>
  </si>
  <si>
    <t>57,12</t>
  </si>
  <si>
    <t>54,13</t>
  </si>
  <si>
    <t>50,71</t>
  </si>
  <si>
    <t>47,64</t>
  </si>
  <si>
    <t>43,92</t>
  </si>
  <si>
    <t>43,55</t>
  </si>
  <si>
    <t>45,60</t>
  </si>
  <si>
    <t>53,67</t>
  </si>
  <si>
    <t>49,36</t>
  </si>
  <si>
    <t>55,04</t>
  </si>
  <si>
    <t>61,72</t>
  </si>
  <si>
    <t>58,34</t>
  </si>
  <si>
    <t>55,52</t>
  </si>
  <si>
    <t>58,54</t>
  </si>
  <si>
    <t>59,28</t>
  </si>
  <si>
    <t>ONEOK Inc.</t>
  </si>
  <si>
    <t>OKE</t>
  </si>
  <si>
    <t>Oil and Gas Storage and Transportation</t>
  </si>
  <si>
    <t>54,38</t>
  </si>
  <si>
    <t>51,96</t>
  </si>
  <si>
    <t>44,19</t>
  </si>
  <si>
    <t>45,72</t>
  </si>
  <si>
    <t>40,08</t>
  </si>
  <si>
    <t>38,86</t>
  </si>
  <si>
    <t>31,56</t>
  </si>
  <si>
    <t>23,02</t>
  </si>
  <si>
    <t>22,71</t>
  </si>
  <si>
    <t>30,76</t>
  </si>
  <si>
    <t>32,15</t>
  </si>
  <si>
    <t>35,44</t>
  </si>
  <si>
    <t>38,20</t>
  </si>
  <si>
    <t>42,97</t>
  </si>
  <si>
    <t>39,47</t>
  </si>
  <si>
    <t>United Parcel Service Inc.</t>
  </si>
  <si>
    <t>UPS</t>
  </si>
  <si>
    <t>Air Freight and Logistics</t>
  </si>
  <si>
    <t>108,60</t>
  </si>
  <si>
    <t>109,66</t>
  </si>
  <si>
    <t>98,32</t>
  </si>
  <si>
    <t>97,98</t>
  </si>
  <si>
    <t>96,74</t>
  </si>
  <si>
    <t>97,00</t>
  </si>
  <si>
    <t>92,63</t>
  </si>
  <si>
    <t>91,74</t>
  </si>
  <si>
    <t>92,61</t>
  </si>
  <si>
    <t>88,88</t>
  </si>
  <si>
    <t>86,13</t>
  </si>
  <si>
    <t>88,60</t>
  </si>
  <si>
    <t>97,50</t>
  </si>
  <si>
    <t>93,42</t>
  </si>
  <si>
    <t>88,43</t>
  </si>
  <si>
    <t>87,00</t>
  </si>
  <si>
    <t>90,40</t>
  </si>
  <si>
    <t>89,80</t>
  </si>
  <si>
    <t>90,24</t>
  </si>
  <si>
    <t>90,73</t>
  </si>
  <si>
    <t>87,55</t>
  </si>
  <si>
    <t>PACCAR Inc</t>
  </si>
  <si>
    <t>PCAR</t>
  </si>
  <si>
    <t>40,35</t>
  </si>
  <si>
    <t>39,20</t>
  </si>
  <si>
    <t>34,86</t>
  </si>
  <si>
    <t>35,79</t>
  </si>
  <si>
    <t>31,14</t>
  </si>
  <si>
    <t>33,40</t>
  </si>
  <si>
    <t>32,01</t>
  </si>
  <si>
    <t>31,61</t>
  </si>
  <si>
    <t>30,23</t>
  </si>
  <si>
    <t>29,10</t>
  </si>
  <si>
    <t>32,79</t>
  </si>
  <si>
    <t>31,83</t>
  </si>
  <si>
    <t>31,16</t>
  </si>
  <si>
    <t>35,10</t>
  </si>
  <si>
    <t>39,13</t>
  </si>
  <si>
    <t>38,61</t>
  </si>
  <si>
    <t>38,92</t>
  </si>
  <si>
    <t>35,49</t>
  </si>
  <si>
    <t>Apollo Global Management Inc.</t>
  </si>
  <si>
    <t>APO</t>
  </si>
  <si>
    <t>15,98</t>
  </si>
  <si>
    <t>15,35</t>
  </si>
  <si>
    <t>13,64</t>
  </si>
  <si>
    <t>14,76</t>
  </si>
  <si>
    <t>15,03</t>
  </si>
  <si>
    <t>14,31</t>
  </si>
  <si>
    <t>12,55</t>
  </si>
  <si>
    <t>13,98</t>
  </si>
  <si>
    <t>15,46</t>
  </si>
  <si>
    <t>16,57</t>
  </si>
  <si>
    <t>15,39</t>
  </si>
  <si>
    <t>16,59</t>
  </si>
  <si>
    <t>18,62</t>
  </si>
  <si>
    <t>19,89</t>
  </si>
  <si>
    <t>20,23</t>
  </si>
  <si>
    <t>20,11</t>
  </si>
  <si>
    <t>20,80</t>
  </si>
  <si>
    <t>22,03</t>
  </si>
  <si>
    <t>Dominion Energy</t>
  </si>
  <si>
    <t>D</t>
  </si>
  <si>
    <t>72,55</t>
  </si>
  <si>
    <t>69,33</t>
  </si>
  <si>
    <t>68,61</t>
  </si>
  <si>
    <t>66,07</t>
  </si>
  <si>
    <t>62,40</t>
  </si>
  <si>
    <t>66,70</t>
  </si>
  <si>
    <t>63,77</t>
  </si>
  <si>
    <t>64,78</t>
  </si>
  <si>
    <t>63,06</t>
  </si>
  <si>
    <t>64,90</t>
  </si>
  <si>
    <t>60,03</t>
  </si>
  <si>
    <t>64,25</t>
  </si>
  <si>
    <t>64,03</t>
  </si>
  <si>
    <t>65,97</t>
  </si>
  <si>
    <t>64,29</t>
  </si>
  <si>
    <t>Texas Instruments Inc.</t>
  </si>
  <si>
    <t>TXN</t>
  </si>
  <si>
    <t>69,12</t>
  </si>
  <si>
    <t>62,44</t>
  </si>
  <si>
    <t>62,42</t>
  </si>
  <si>
    <t>49,80</t>
  </si>
  <si>
    <t>50,42</t>
  </si>
  <si>
    <t>48,81</t>
  </si>
  <si>
    <t>48,92</t>
  </si>
  <si>
    <t>50,47</t>
  </si>
  <si>
    <t>55,01</t>
  </si>
  <si>
    <t>51,44</t>
  </si>
  <si>
    <t>44,37</t>
  </si>
  <si>
    <t>42,71</t>
  </si>
  <si>
    <t>45,24</t>
  </si>
  <si>
    <t>46,24</t>
  </si>
  <si>
    <t>50,95</t>
  </si>
  <si>
    <t>48,42</t>
  </si>
  <si>
    <t>53,23</t>
  </si>
  <si>
    <t>52,44</t>
  </si>
  <si>
    <t>47,34</t>
  </si>
  <si>
    <t>Exxon Mobil Corp.</t>
  </si>
  <si>
    <t>XOM</t>
  </si>
  <si>
    <t>85,50</t>
  </si>
  <si>
    <t>76,02</t>
  </si>
  <si>
    <t>77,65</t>
  </si>
  <si>
    <t>78,17</t>
  </si>
  <si>
    <t>84,41</t>
  </si>
  <si>
    <t>79,99</t>
  </si>
  <si>
    <t>77,19</t>
  </si>
  <si>
    <t>73,40</t>
  </si>
  <si>
    <t>71,95</t>
  </si>
  <si>
    <t>71,77</t>
  </si>
  <si>
    <t>77,30</t>
  </si>
  <si>
    <t>75,03</t>
  </si>
  <si>
    <t>66,62</t>
  </si>
  <si>
    <t>67,17</t>
  </si>
  <si>
    <t>71,70</t>
  </si>
  <si>
    <t>77,63</t>
  </si>
  <si>
    <t>78,04</t>
  </si>
  <si>
    <t>79,12</t>
  </si>
  <si>
    <t>78,96</t>
  </si>
  <si>
    <t>77,43</t>
  </si>
  <si>
    <t>UDR Inc.</t>
  </si>
  <si>
    <t>UDR</t>
  </si>
  <si>
    <t>34,56</t>
  </si>
  <si>
    <t>32,20</t>
  </si>
  <si>
    <t>31,91</t>
  </si>
  <si>
    <t>32,02</t>
  </si>
  <si>
    <t>32,46</t>
  </si>
  <si>
    <t>33,24</t>
  </si>
  <si>
    <t>32,37</t>
  </si>
  <si>
    <t>30,49</t>
  </si>
  <si>
    <t>33,83</t>
  </si>
  <si>
    <t>31,60</t>
  </si>
  <si>
    <t>32,89</t>
  </si>
  <si>
    <t>34,59</t>
  </si>
  <si>
    <t>34,94</t>
  </si>
  <si>
    <t>28,84</t>
  </si>
  <si>
    <t>30,60</t>
  </si>
  <si>
    <t>29,46</t>
  </si>
  <si>
    <t>Microchip Technology Inc.</t>
  </si>
  <si>
    <t>MCHP</t>
  </si>
  <si>
    <t>30,38</t>
  </si>
  <si>
    <t>31,30</t>
  </si>
  <si>
    <t>27,62</t>
  </si>
  <si>
    <t>27,64</t>
  </si>
  <si>
    <t>27,77</t>
  </si>
  <si>
    <t>22,85</t>
  </si>
  <si>
    <t>23,22</t>
  </si>
  <si>
    <t>21,21</t>
  </si>
  <si>
    <t>20,48</t>
  </si>
  <si>
    <t>21,43</t>
  </si>
  <si>
    <t>19,31</t>
  </si>
  <si>
    <t>18,97</t>
  </si>
  <si>
    <t>21,29</t>
  </si>
  <si>
    <t>22,38</t>
  </si>
  <si>
    <t>21,28</t>
  </si>
  <si>
    <t>22,76</t>
  </si>
  <si>
    <t>22,86</t>
  </si>
  <si>
    <t>19,97</t>
  </si>
  <si>
    <t>Xcel Energy Inc.</t>
  </si>
  <si>
    <t>XEL</t>
  </si>
  <si>
    <t>38,56</t>
  </si>
  <si>
    <t>36,90</t>
  </si>
  <si>
    <t>37,91</t>
  </si>
  <si>
    <t>36,60</t>
  </si>
  <si>
    <t>39,36</t>
  </si>
  <si>
    <t>40,32</t>
  </si>
  <si>
    <t>37,17</t>
  </si>
  <si>
    <t>36,72</t>
  </si>
  <si>
    <t>36,40</t>
  </si>
  <si>
    <t>35,32</t>
  </si>
  <si>
    <t>33,06</t>
  </si>
  <si>
    <t>32,31</t>
  </si>
  <si>
    <t>31,73</t>
  </si>
  <si>
    <t>28,89</t>
  </si>
  <si>
    <t>31,02</t>
  </si>
  <si>
    <t>30,29</t>
  </si>
  <si>
    <t>32,40</t>
  </si>
  <si>
    <t>American Express Co.</t>
  </si>
  <si>
    <t>AXP</t>
  </si>
  <si>
    <t>70,18</t>
  </si>
  <si>
    <t>68,15</t>
  </si>
  <si>
    <t>56,97</t>
  </si>
  <si>
    <t>58,83</t>
  </si>
  <si>
    <t>59,09</t>
  </si>
  <si>
    <t>57,13</t>
  </si>
  <si>
    <t>49,44</t>
  </si>
  <si>
    <t>64,04</t>
  </si>
  <si>
    <t>67,81</t>
  </si>
  <si>
    <t>66,44</t>
  </si>
  <si>
    <t>66,42</t>
  </si>
  <si>
    <t>68,49</t>
  </si>
  <si>
    <t>68,85</t>
  </si>
  <si>
    <t>69,77</t>
  </si>
  <si>
    <t>72,77</t>
  </si>
  <si>
    <t>The Cooper Companies Inc.</t>
  </si>
  <si>
    <t>COO</t>
  </si>
  <si>
    <t>41,43</t>
  </si>
  <si>
    <t>38,90</t>
  </si>
  <si>
    <t>41,69</t>
  </si>
  <si>
    <t>40,83</t>
  </si>
  <si>
    <t>30,89</t>
  </si>
  <si>
    <t>34,61</t>
  </si>
  <si>
    <t>34,54</t>
  </si>
  <si>
    <t>33,35</t>
  </si>
  <si>
    <t>36,25</t>
  </si>
  <si>
    <t>40,05</t>
  </si>
  <si>
    <t>39,94</t>
  </si>
  <si>
    <t>41,40</t>
  </si>
  <si>
    <t>39,77</t>
  </si>
  <si>
    <t>36,56</t>
  </si>
  <si>
    <t>34,91</t>
  </si>
  <si>
    <t>STERIS plc</t>
  </si>
  <si>
    <t>STE</t>
  </si>
  <si>
    <t>63,84</t>
  </si>
  <si>
    <t>62,07</t>
  </si>
  <si>
    <t>65,03</t>
  </si>
  <si>
    <t>62,39</t>
  </si>
  <si>
    <t>59,21</t>
  </si>
  <si>
    <t>67,97</t>
  </si>
  <si>
    <t>58,22</t>
  </si>
  <si>
    <t>62,57</t>
  </si>
  <si>
    <t>57,85</t>
  </si>
  <si>
    <t>60,89</t>
  </si>
  <si>
    <t>65,41</t>
  </si>
  <si>
    <t>57,54</t>
  </si>
  <si>
    <t>57,77</t>
  </si>
  <si>
    <t>Quest Diagnostics Inc.</t>
  </si>
  <si>
    <t>DGX</t>
  </si>
  <si>
    <t>87,06</t>
  </si>
  <si>
    <t>82,74</t>
  </si>
  <si>
    <t>75,29</t>
  </si>
  <si>
    <t>77,29</t>
  </si>
  <si>
    <t>73,31</t>
  </si>
  <si>
    <t>60,69</t>
  </si>
  <si>
    <t>65,50</t>
  </si>
  <si>
    <t>61,62</t>
  </si>
  <si>
    <t>60,53</t>
  </si>
  <si>
    <t>66,81</t>
  </si>
  <si>
    <t>65,10</t>
  </si>
  <si>
    <t>68,55</t>
  </si>
  <si>
    <t>71,54</t>
  </si>
  <si>
    <t>62,55</t>
  </si>
  <si>
    <t>62,95</t>
  </si>
  <si>
    <t>MSCI Inc.</t>
  </si>
  <si>
    <t>MSCI</t>
  </si>
  <si>
    <t>74,63</t>
  </si>
  <si>
    <t>74,54</t>
  </si>
  <si>
    <t>74,68</t>
  </si>
  <si>
    <t>80,84</t>
  </si>
  <si>
    <t>77,00</t>
  </si>
  <si>
    <t>69,44</t>
  </si>
  <si>
    <t>63,62</t>
  </si>
  <si>
    <t>66,41</t>
  </si>
  <si>
    <t>66,37</t>
  </si>
  <si>
    <t>60,76</t>
  </si>
  <si>
    <t>53,28</t>
  </si>
  <si>
    <t>61,70</t>
  </si>
  <si>
    <t>55,26</t>
  </si>
  <si>
    <t>56,54</t>
  </si>
  <si>
    <t>57,07</t>
  </si>
  <si>
    <t>Morgan Stanley</t>
  </si>
  <si>
    <t>MS</t>
  </si>
  <si>
    <t>40,02</t>
  </si>
  <si>
    <t>28,52</t>
  </si>
  <si>
    <t>25,71</t>
  </si>
  <si>
    <t>24,59</t>
  </si>
  <si>
    <t>23,63</t>
  </si>
  <si>
    <t>22,74</t>
  </si>
  <si>
    <t>29,29</t>
  </si>
  <si>
    <t>28,23</t>
  </si>
  <si>
    <t>34,82</t>
  </si>
  <si>
    <t>33,33</t>
  </si>
  <si>
    <t>31,92</t>
  </si>
  <si>
    <t>29,95</t>
  </si>
  <si>
    <t>Norwegian Cruise Line Hldgs Lt</t>
  </si>
  <si>
    <t>NCLH</t>
  </si>
  <si>
    <t>40,29</t>
  </si>
  <si>
    <t>37,66</t>
  </si>
  <si>
    <t>35,46</t>
  </si>
  <si>
    <t>33,54</t>
  </si>
  <si>
    <t>38,12</t>
  </si>
  <si>
    <t>41,70</t>
  </si>
  <si>
    <t>45,23</t>
  </si>
  <si>
    <t>41,93</t>
  </si>
  <si>
    <t>53,96</t>
  </si>
  <si>
    <t>51,34</t>
  </si>
  <si>
    <t>56,50</t>
  </si>
  <si>
    <t>49,71</t>
  </si>
  <si>
    <t>50,28</t>
  </si>
  <si>
    <t>43,99</t>
  </si>
  <si>
    <t>38,76</t>
  </si>
  <si>
    <t>T. Rowe Price Group Inc.</t>
  </si>
  <si>
    <t>TROW</t>
  </si>
  <si>
    <t>71,29</t>
  </si>
  <si>
    <t>70,06</t>
  </si>
  <si>
    <t>58,40</t>
  </si>
  <si>
    <t>59,16</t>
  </si>
  <si>
    <t>63,26</t>
  </si>
  <si>
    <t>65,71</t>
  </si>
  <si>
    <t>69,24</t>
  </si>
  <si>
    <t>65,74</t>
  </si>
  <si>
    <t>64,50</t>
  </si>
  <si>
    <t>65,57</t>
  </si>
  <si>
    <t>69,78</t>
  </si>
  <si>
    <t>73,52</t>
  </si>
  <si>
    <t>72,51</t>
  </si>
  <si>
    <t>75,38</t>
  </si>
  <si>
    <t>73,67</t>
  </si>
  <si>
    <t>69,73</t>
  </si>
  <si>
    <t>Honeywell International Inc.</t>
  </si>
  <si>
    <t>HON</t>
  </si>
  <si>
    <t>Industrial Conglomerates</t>
  </si>
  <si>
    <t>109,74</t>
  </si>
  <si>
    <t>107,79</t>
  </si>
  <si>
    <t>100,07</t>
  </si>
  <si>
    <t>103,72</t>
  </si>
  <si>
    <t>104,69</t>
  </si>
  <si>
    <t>104,11</t>
  </si>
  <si>
    <t>104,74</t>
  </si>
  <si>
    <t>102,28</t>
  </si>
  <si>
    <t>99,77</t>
  </si>
  <si>
    <t>98,39</t>
  </si>
  <si>
    <t>93,30</t>
  </si>
  <si>
    <t>95,37</t>
  </si>
  <si>
    <t>95,36</t>
  </si>
  <si>
    <t>93,66</t>
  </si>
  <si>
    <t>88,62</t>
  </si>
  <si>
    <t>95,09</t>
  </si>
  <si>
    <t>91,54</t>
  </si>
  <si>
    <t>94,94</t>
  </si>
  <si>
    <t>90,15</t>
  </si>
  <si>
    <t>97,10</t>
  </si>
  <si>
    <t>91,66</t>
  </si>
  <si>
    <t>86,59</t>
  </si>
  <si>
    <t>Dollar Tree Inc.</t>
  </si>
  <si>
    <t>DLTR</t>
  </si>
  <si>
    <t>68,93</t>
  </si>
  <si>
    <t>70,22</t>
  </si>
  <si>
    <t>74,19</t>
  </si>
  <si>
    <t>86,17</t>
  </si>
  <si>
    <t>81,35</t>
  </si>
  <si>
    <t>72,40</t>
  </si>
  <si>
    <t>73,87</t>
  </si>
  <si>
    <t>71,10</t>
  </si>
  <si>
    <t>71,43</t>
  </si>
  <si>
    <t>59,39</t>
  </si>
  <si>
    <t>59,73</t>
  </si>
  <si>
    <t>68,08</t>
  </si>
  <si>
    <t>70,63</t>
  </si>
  <si>
    <t>70,91</t>
  </si>
  <si>
    <t>71,06</t>
  </si>
  <si>
    <t>62,98</t>
  </si>
  <si>
    <t>NXP Semiconductors N.V.</t>
  </si>
  <si>
    <t>NXPI</t>
  </si>
  <si>
    <t>92,84</t>
  </si>
  <si>
    <t>75,26</t>
  </si>
  <si>
    <t>65,58</t>
  </si>
  <si>
    <t>69,11</t>
  </si>
  <si>
    <t>77,57</t>
  </si>
  <si>
    <t>88,46</t>
  </si>
  <si>
    <t>71,05</t>
  </si>
  <si>
    <t>75,57</t>
  </si>
  <si>
    <t>88,16</t>
  </si>
  <si>
    <t>85,86</t>
  </si>
  <si>
    <t>75,71</t>
  </si>
  <si>
    <t>70,28</t>
  </si>
  <si>
    <t>CVS Health Corp.</t>
  </si>
  <si>
    <t>CVS</t>
  </si>
  <si>
    <t>74,75</t>
  </si>
  <si>
    <t>72,74</t>
  </si>
  <si>
    <t>76,73</t>
  </si>
  <si>
    <t>79,17</t>
  </si>
  <si>
    <t>83,78</t>
  </si>
  <si>
    <t>82,98</t>
  </si>
  <si>
    <t>86,21</t>
  </si>
  <si>
    <t>86,67</t>
  </si>
  <si>
    <t>87,75</t>
  </si>
  <si>
    <t>91,08</t>
  </si>
  <si>
    <t>89,45</t>
  </si>
  <si>
    <t>89,26</t>
  </si>
  <si>
    <t>90,02</t>
  </si>
  <si>
    <t>89,06</t>
  </si>
  <si>
    <t>89,58</t>
  </si>
  <si>
    <t>86,45</t>
  </si>
  <si>
    <t>91,42</t>
  </si>
  <si>
    <t>101,80</t>
  </si>
  <si>
    <t>94,16</t>
  </si>
  <si>
    <t>93,28</t>
  </si>
  <si>
    <t>88,69</t>
  </si>
  <si>
    <t>96,07</t>
  </si>
  <si>
    <t>92,64</t>
  </si>
  <si>
    <t>86,95</t>
  </si>
  <si>
    <t>PPG Industries Inc.</t>
  </si>
  <si>
    <t>PPG</t>
  </si>
  <si>
    <t>89,77</t>
  </si>
  <si>
    <t>84,97</t>
  </si>
  <si>
    <t>94,98</t>
  </si>
  <si>
    <t>93,71</t>
  </si>
  <si>
    <t>93,78</t>
  </si>
  <si>
    <t>96,76</t>
  </si>
  <si>
    <t>96,39</t>
  </si>
  <si>
    <t>97,89</t>
  </si>
  <si>
    <t>88,86</t>
  </si>
  <si>
    <t>87,91</t>
  </si>
  <si>
    <t>90,99</t>
  </si>
  <si>
    <t>100,09</t>
  </si>
  <si>
    <t>94,55</t>
  </si>
  <si>
    <t>85,07</t>
  </si>
  <si>
    <t>98,10</t>
  </si>
  <si>
    <t>102,99</t>
  </si>
  <si>
    <t>104,28</t>
  </si>
  <si>
    <t>98,95</t>
  </si>
  <si>
    <t>104,97</t>
  </si>
  <si>
    <t>104,96</t>
  </si>
  <si>
    <t>The Hershey Co.</t>
  </si>
  <si>
    <t>HSY</t>
  </si>
  <si>
    <t>93,48</t>
  </si>
  <si>
    <t>85,05</t>
  </si>
  <si>
    <t>89,61</t>
  </si>
  <si>
    <t>99,12</t>
  </si>
  <si>
    <t>83,43</t>
  </si>
  <si>
    <t>81,30</t>
  </si>
  <si>
    <t>83,67</t>
  </si>
  <si>
    <t>81,43</t>
  </si>
  <si>
    <t>81,70</t>
  </si>
  <si>
    <t>80,43</t>
  </si>
  <si>
    <t>82,33</t>
  </si>
  <si>
    <t>79,92</t>
  </si>
  <si>
    <t>84,08</t>
  </si>
  <si>
    <t>79,75</t>
  </si>
  <si>
    <t>84,61</t>
  </si>
  <si>
    <t>82,11</t>
  </si>
  <si>
    <t>93,93</t>
  </si>
  <si>
    <t>92,56</t>
  </si>
  <si>
    <t>90,53</t>
  </si>
  <si>
    <t>Jack Henry &amp; Assoc. Inc.</t>
  </si>
  <si>
    <t>JKHY</t>
  </si>
  <si>
    <t>84,10</t>
  </si>
  <si>
    <t>81,77</t>
  </si>
  <si>
    <t>76,11</t>
  </si>
  <si>
    <t>78,29</t>
  </si>
  <si>
    <t>79,87</t>
  </si>
  <si>
    <t>78,58</t>
  </si>
  <si>
    <t>70,75</t>
  </si>
  <si>
    <t>74,26</t>
  </si>
  <si>
    <t>75,02</t>
  </si>
  <si>
    <t>60,67</t>
  </si>
  <si>
    <t>58,08</t>
  </si>
  <si>
    <t>59,30</t>
  </si>
  <si>
    <t>59,41</t>
  </si>
  <si>
    <t>58,42</t>
  </si>
  <si>
    <t>Motorola Solutions Inc.</t>
  </si>
  <si>
    <t>MSI</t>
  </si>
  <si>
    <t>75,92</t>
  </si>
  <si>
    <t>67,86</t>
  </si>
  <si>
    <t>69,06</t>
  </si>
  <si>
    <t>62,09</t>
  </si>
  <si>
    <t>62,24</t>
  </si>
  <si>
    <t>65,65</t>
  </si>
  <si>
    <t>66,47</t>
  </si>
  <si>
    <t>67,65</t>
  </si>
  <si>
    <t>67,94</t>
  </si>
  <si>
    <t>63,45</t>
  </si>
  <si>
    <t>61,27</t>
  </si>
  <si>
    <t>57,87</t>
  </si>
  <si>
    <t>51,48</t>
  </si>
  <si>
    <t>53,76</t>
  </si>
  <si>
    <t>53,37</t>
  </si>
  <si>
    <t>60,59</t>
  </si>
  <si>
    <t>Sysco Corp.</t>
  </si>
  <si>
    <t>SYY</t>
  </si>
  <si>
    <t>Food Distributors</t>
  </si>
  <si>
    <t>50,37</t>
  </si>
  <si>
    <t>43,60</t>
  </si>
  <si>
    <t>46,52</t>
  </si>
  <si>
    <t>46,35</t>
  </si>
  <si>
    <t>41,03</t>
  </si>
  <si>
    <t>36,79</t>
  </si>
  <si>
    <t>37,41</t>
  </si>
  <si>
    <t>34,92</t>
  </si>
  <si>
    <t>35,59</t>
  </si>
  <si>
    <t>32,87</t>
  </si>
  <si>
    <t>32,41</t>
  </si>
  <si>
    <t>33,08</t>
  </si>
  <si>
    <t>34,77</t>
  </si>
  <si>
    <t>34,69</t>
  </si>
  <si>
    <t>Cummins Inc.</t>
  </si>
  <si>
    <t>CMI</t>
  </si>
  <si>
    <t>129,47</t>
  </si>
  <si>
    <t>134,12</t>
  </si>
  <si>
    <t>116,62</t>
  </si>
  <si>
    <t>112,68</t>
  </si>
  <si>
    <t>109,87</t>
  </si>
  <si>
    <t>101,25</t>
  </si>
  <si>
    <t>102,86</t>
  </si>
  <si>
    <t>102,18</t>
  </si>
  <si>
    <t>96,53</t>
  </si>
  <si>
    <t>89,82</t>
  </si>
  <si>
    <t>83,07</t>
  </si>
  <si>
    <t>81,04</t>
  </si>
  <si>
    <t>95,01</t>
  </si>
  <si>
    <t>93,87</t>
  </si>
  <si>
    <t>108,69</t>
  </si>
  <si>
    <t>117,24</t>
  </si>
  <si>
    <t>117,78</t>
  </si>
  <si>
    <t>123,51</t>
  </si>
  <si>
    <t>123,50</t>
  </si>
  <si>
    <t>129,05</t>
  </si>
  <si>
    <t>126,85</t>
  </si>
  <si>
    <t>123,53</t>
  </si>
  <si>
    <t>Humana Inc.</t>
  </si>
  <si>
    <t>HUM</t>
  </si>
  <si>
    <t>193,28</t>
  </si>
  <si>
    <t>201,16</t>
  </si>
  <si>
    <t>156,50</t>
  </si>
  <si>
    <t>157,37</t>
  </si>
  <si>
    <t>160,31</t>
  </si>
  <si>
    <t>154,42</t>
  </si>
  <si>
    <t>155,01</t>
  </si>
  <si>
    <t>154,61</t>
  </si>
  <si>
    <t>160,64</t>
  </si>
  <si>
    <t>162,91</t>
  </si>
  <si>
    <t>150,44</t>
  </si>
  <si>
    <t>164,36</t>
  </si>
  <si>
    <t>159,65</t>
  </si>
  <si>
    <t>161,99</t>
  </si>
  <si>
    <t>160,39</t>
  </si>
  <si>
    <t>163,19</t>
  </si>
  <si>
    <t>164,82</t>
  </si>
  <si>
    <t>171,72</t>
  </si>
  <si>
    <t>195,58</t>
  </si>
  <si>
    <t>147,92</t>
  </si>
  <si>
    <t>165,71</t>
  </si>
  <si>
    <t>146,60</t>
  </si>
  <si>
    <t>129,71</t>
  </si>
  <si>
    <t>Equifax Inc.</t>
  </si>
  <si>
    <t>EFX</t>
  </si>
  <si>
    <t>108,27</t>
  </si>
  <si>
    <t>113,11</t>
  </si>
  <si>
    <t>119,73</t>
  </si>
  <si>
    <t>118,32</t>
  </si>
  <si>
    <t>118,55</t>
  </si>
  <si>
    <t>115,62</t>
  </si>
  <si>
    <t>112,97</t>
  </si>
  <si>
    <t>105,00</t>
  </si>
  <si>
    <t>100,35</t>
  </si>
  <si>
    <t>96,55</t>
  </si>
  <si>
    <t>97,78</t>
  </si>
  <si>
    <t>102,54</t>
  </si>
  <si>
    <t>96,64</t>
  </si>
  <si>
    <t>87,40</t>
  </si>
  <si>
    <t>92,44</t>
  </si>
  <si>
    <t>87,16</t>
  </si>
  <si>
    <t>86,58</t>
  </si>
  <si>
    <t>86,57</t>
  </si>
  <si>
    <t>83,27</t>
  </si>
  <si>
    <t>74,81</t>
  </si>
  <si>
    <t>Marriott International Inc.</t>
  </si>
  <si>
    <t>MAR</t>
  </si>
  <si>
    <t>78,32</t>
  </si>
  <si>
    <t>59,90</t>
  </si>
  <si>
    <t>59,84</t>
  </si>
  <si>
    <t>59,34</t>
  </si>
  <si>
    <t>61,20</t>
  </si>
  <si>
    <t>62,50</t>
  </si>
  <si>
    <t>56,63</t>
  </si>
  <si>
    <t>61,73</t>
  </si>
  <si>
    <t>67,12</t>
  </si>
  <si>
    <t>69,63</t>
  </si>
  <si>
    <t>61,11</t>
  </si>
  <si>
    <t>63,08</t>
  </si>
  <si>
    <t>66,78</t>
  </si>
  <si>
    <t>74,77</t>
  </si>
  <si>
    <t>74,11</t>
  </si>
  <si>
    <t>65,99</t>
  </si>
  <si>
    <t>Smurfit Westrock Plc</t>
  </si>
  <si>
    <t>SW</t>
  </si>
  <si>
    <t>21,57</t>
  </si>
  <si>
    <t>20,53</t>
  </si>
  <si>
    <t>19,99</t>
  </si>
  <si>
    <t>20,72</t>
  </si>
  <si>
    <t>20,67</t>
  </si>
  <si>
    <t>24,87</t>
  </si>
  <si>
    <t>23,43</t>
  </si>
  <si>
    <t>22,83</t>
  </si>
  <si>
    <t>24,65</t>
  </si>
  <si>
    <t>24,78</t>
  </si>
  <si>
    <t>25,93</t>
  </si>
  <si>
    <t>24,93</t>
  </si>
  <si>
    <t>28,08</t>
  </si>
  <si>
    <t>26,43</t>
  </si>
  <si>
    <t>26,73</t>
  </si>
  <si>
    <t>26,74</t>
  </si>
  <si>
    <t>25,31</t>
  </si>
  <si>
    <t>21,50</t>
  </si>
  <si>
    <t>Pinnacle West Capital Corp.</t>
  </si>
  <si>
    <t>PNW</t>
  </si>
  <si>
    <t>72,99</t>
  </si>
  <si>
    <t>66,12</t>
  </si>
  <si>
    <t>63,43</t>
  </si>
  <si>
    <t>65,92</t>
  </si>
  <si>
    <t>63,36</t>
  </si>
  <si>
    <t>61,28</t>
  </si>
  <si>
    <t>59,37</t>
  </si>
  <si>
    <t>59,97</t>
  </si>
  <si>
    <t>53,15</t>
  </si>
  <si>
    <t>55,86</t>
  </si>
  <si>
    <t>51,07</t>
  </si>
  <si>
    <t>55,51</t>
  </si>
  <si>
    <t>62,16</t>
  </si>
  <si>
    <t>Becton Dickinson &amp; Co.</t>
  </si>
  <si>
    <t>BDX</t>
  </si>
  <si>
    <t>156,83</t>
  </si>
  <si>
    <t>159,97</t>
  </si>
  <si>
    <t>153,20</t>
  </si>
  <si>
    <t>159,90</t>
  </si>
  <si>
    <t>158,97</t>
  </si>
  <si>
    <t>157,51</t>
  </si>
  <si>
    <t>152,71</t>
  </si>
  <si>
    <t>149,56</t>
  </si>
  <si>
    <t>140,80</t>
  </si>
  <si>
    <t>133,31</t>
  </si>
  <si>
    <t>135,74</t>
  </si>
  <si>
    <t>134,34</t>
  </si>
  <si>
    <t>141,88</t>
  </si>
  <si>
    <t>142,22</t>
  </si>
  <si>
    <t>129,24</t>
  </si>
  <si>
    <t>118,87</t>
  </si>
  <si>
    <t>125,90</t>
  </si>
  <si>
    <t>137,72</t>
  </si>
  <si>
    <t>127,17</t>
  </si>
  <si>
    <t>128,03</t>
  </si>
  <si>
    <t>125,83</t>
  </si>
  <si>
    <t>133,66</t>
  </si>
  <si>
    <t>130,85</t>
  </si>
  <si>
    <t>122,30</t>
  </si>
  <si>
    <t>Tractor Supply Co.</t>
  </si>
  <si>
    <t>TSCO</t>
  </si>
  <si>
    <t>Other Specialty Retail</t>
  </si>
  <si>
    <t>14,20</t>
  </si>
  <si>
    <t>11,98</t>
  </si>
  <si>
    <t>15,06</t>
  </si>
  <si>
    <t>17,27</t>
  </si>
  <si>
    <t>16,53</t>
  </si>
  <si>
    <t>15,89</t>
  </si>
  <si>
    <t>15,57</t>
  </si>
  <si>
    <t>16,32</t>
  </si>
  <si>
    <t>15,74</t>
  </si>
  <si>
    <t>16,76</t>
  </si>
  <si>
    <t>15,11</t>
  </si>
  <si>
    <t>16,15</t>
  </si>
  <si>
    <t>15,37</t>
  </si>
  <si>
    <t>15,84</t>
  </si>
  <si>
    <t>14,38</t>
  </si>
  <si>
    <t>Jabil Inc.</t>
  </si>
  <si>
    <t>JBL</t>
  </si>
  <si>
    <t>22,42</t>
  </si>
  <si>
    <t>20,01</t>
  </si>
  <si>
    <t>19,47</t>
  </si>
  <si>
    <t>19,41</t>
  </si>
  <si>
    <t>19,01</t>
  </si>
  <si>
    <t>18,21</t>
  </si>
  <si>
    <t>16,63</t>
  </si>
  <si>
    <t>17,14</t>
  </si>
  <si>
    <t>15,16</t>
  </si>
  <si>
    <t>16,92</t>
  </si>
  <si>
    <t>19,19</t>
  </si>
  <si>
    <t>21,44</t>
  </si>
  <si>
    <t>24,22</t>
  </si>
  <si>
    <t>20,84</t>
  </si>
  <si>
    <t>20,04</t>
  </si>
  <si>
    <t>18,33</t>
  </si>
  <si>
    <t>19,11</t>
  </si>
  <si>
    <t>22,39</t>
  </si>
  <si>
    <t>21,76</t>
  </si>
  <si>
    <t>ServiceNow Inc.</t>
  </si>
  <si>
    <t>NOW</t>
  </si>
  <si>
    <t>14,08</t>
  </si>
  <si>
    <t>15,73</t>
  </si>
  <si>
    <t>16,04</t>
  </si>
  <si>
    <t>13,41</t>
  </si>
  <si>
    <t>12,87</t>
  </si>
  <si>
    <t>12,48</t>
  </si>
  <si>
    <t>10,12</t>
  </si>
  <si>
    <t>11,50</t>
  </si>
  <si>
    <t>16,47</t>
  </si>
  <si>
    <t>14,81</t>
  </si>
  <si>
    <t>12,45</t>
  </si>
  <si>
    <t>12,67</t>
  </si>
  <si>
    <t>14,57</t>
  </si>
  <si>
    <t>13,34</t>
  </si>
  <si>
    <t>13,96</t>
  </si>
  <si>
    <t>13,37</t>
  </si>
  <si>
    <t>14,67</t>
  </si>
  <si>
    <t>13,60</t>
  </si>
  <si>
    <t>F5 Inc.</t>
  </si>
  <si>
    <t>FFIV</t>
  </si>
  <si>
    <t>137,09</t>
  </si>
  <si>
    <t>133,15</t>
  </si>
  <si>
    <t>126,10</t>
  </si>
  <si>
    <t>110,89</t>
  </si>
  <si>
    <t>110,09</t>
  </si>
  <si>
    <t>110,45</t>
  </si>
  <si>
    <t>102,51</t>
  </si>
  <si>
    <t>99,02</t>
  </si>
  <si>
    <t>91,46</t>
  </si>
  <si>
    <t>88,53</t>
  </si>
  <si>
    <t>89,28</t>
  </si>
  <si>
    <t>97,49</t>
  </si>
  <si>
    <t>99,93</t>
  </si>
  <si>
    <t>103,76</t>
  </si>
  <si>
    <t>108,39</t>
  </si>
  <si>
    <t>121,42</t>
  </si>
  <si>
    <t>108,04</t>
  </si>
  <si>
    <t>114,52</t>
  </si>
  <si>
    <t>108,99</t>
  </si>
  <si>
    <t>106,99</t>
  </si>
  <si>
    <t>105,34</t>
  </si>
  <si>
    <t>98,87</t>
  </si>
  <si>
    <t>IDEX Corp.</t>
  </si>
  <si>
    <t>IEX</t>
  </si>
  <si>
    <t>85,31</t>
  </si>
  <si>
    <t>88,56</t>
  </si>
  <si>
    <t>78,87</t>
  </si>
  <si>
    <t>83,24</t>
  </si>
  <si>
    <t>83,82</t>
  </si>
  <si>
    <t>73,93</t>
  </si>
  <si>
    <t>74,89</t>
  </si>
  <si>
    <t>71,51</t>
  </si>
  <si>
    <t>63,89</t>
  </si>
  <si>
    <t>64,13</t>
  </si>
  <si>
    <t>70,55</t>
  </si>
  <si>
    <t>67,00</t>
  </si>
  <si>
    <t>70,59</t>
  </si>
  <si>
    <t>68,90</t>
  </si>
  <si>
    <t>64,08</t>
  </si>
  <si>
    <t>Las Vegas Sands Corp.</t>
  </si>
  <si>
    <t>LVS</t>
  </si>
  <si>
    <t>Casinos and Gaming</t>
  </si>
  <si>
    <t>59,29</t>
  </si>
  <si>
    <t>51,19</t>
  </si>
  <si>
    <t>45,04</t>
  </si>
  <si>
    <t>39,16</t>
  </si>
  <si>
    <t>41,55</t>
  </si>
  <si>
    <t>45,38</t>
  </si>
  <si>
    <t>44,44</t>
  </si>
  <si>
    <t>41,68</t>
  </si>
  <si>
    <t>40,37</t>
  </si>
  <si>
    <t>34,02</t>
  </si>
  <si>
    <t>41,27</t>
  </si>
  <si>
    <t>50,72</t>
  </si>
  <si>
    <t>46,31</t>
  </si>
  <si>
    <t>47,24</t>
  </si>
  <si>
    <t>50,75</t>
  </si>
  <si>
    <t>RTX Corp.</t>
  </si>
  <si>
    <t>RTX</t>
  </si>
  <si>
    <t>103,84</t>
  </si>
  <si>
    <t>101,90</t>
  </si>
  <si>
    <t>93,25</t>
  </si>
  <si>
    <t>90,39</t>
  </si>
  <si>
    <t>96,34</t>
  </si>
  <si>
    <t>92,34</t>
  </si>
  <si>
    <t>90,38</t>
  </si>
  <si>
    <t>91,13</t>
  </si>
  <si>
    <t>87,89</t>
  </si>
  <si>
    <t>88,94</t>
  </si>
  <si>
    <t>90,92</t>
  </si>
  <si>
    <t>89,24</t>
  </si>
  <si>
    <t>81,78</t>
  </si>
  <si>
    <t>90,80</t>
  </si>
  <si>
    <t>99,59</t>
  </si>
  <si>
    <t>106,76</t>
  </si>
  <si>
    <t>101,61</t>
  </si>
  <si>
    <t>109,10</t>
  </si>
  <si>
    <t>108,73</t>
  </si>
  <si>
    <t>101,67</t>
  </si>
  <si>
    <t>Ameren Corp.</t>
  </si>
  <si>
    <t>AEE</t>
  </si>
  <si>
    <t>49,70</t>
  </si>
  <si>
    <t>46,47</t>
  </si>
  <si>
    <t>45,57</t>
  </si>
  <si>
    <t>44,33</t>
  </si>
  <si>
    <t>46,93</t>
  </si>
  <si>
    <t>48,25</t>
  </si>
  <si>
    <t>43,22</t>
  </si>
  <si>
    <t>41,51</t>
  </si>
  <si>
    <t>39,80</t>
  </si>
  <si>
    <t>39,61</t>
  </si>
  <si>
    <t>35,97</t>
  </si>
  <si>
    <t>37,18</t>
  </si>
  <si>
    <t>39,28</t>
  </si>
  <si>
    <t>37,82</t>
  </si>
  <si>
    <t>Verisk Analytics Inc.</t>
  </si>
  <si>
    <t>VRSK</t>
  </si>
  <si>
    <t>76,89</t>
  </si>
  <si>
    <t>78,59</t>
  </si>
  <si>
    <t>74,41</t>
  </si>
  <si>
    <t>72,31</t>
  </si>
  <si>
    <t>76,32</t>
  </si>
  <si>
    <t>67,05</t>
  </si>
  <si>
    <t>70,79</t>
  </si>
  <si>
    <t>70,94</t>
  </si>
  <si>
    <t>64,94</t>
  </si>
  <si>
    <t>66,23</t>
  </si>
  <si>
    <t>65,24</t>
  </si>
  <si>
    <t>70,70</t>
  </si>
  <si>
    <t>65,32</t>
  </si>
  <si>
    <t>66,46</t>
  </si>
  <si>
    <t>57,00</t>
  </si>
  <si>
    <t>NVR Inc.</t>
  </si>
  <si>
    <t>NVR</t>
  </si>
  <si>
    <t>1 581,04</t>
  </si>
  <si>
    <t>1 508,87</t>
  </si>
  <si>
    <t>1 389,59</t>
  </si>
  <si>
    <t>1 458,91</t>
  </si>
  <si>
    <t>1 513,14</t>
  </si>
  <si>
    <t>1 525,89</t>
  </si>
  <si>
    <t>1 603,11</t>
  </si>
  <si>
    <t>1 557,19</t>
  </si>
  <si>
    <t>1 450,56</t>
  </si>
  <si>
    <t>1 521,13</t>
  </si>
  <si>
    <t>1 506,94</t>
  </si>
  <si>
    <t>1 525,77</t>
  </si>
  <si>
    <t>1 512,79</t>
  </si>
  <si>
    <t>1 592,55</t>
  </si>
  <si>
    <t>1 485,20</t>
  </si>
  <si>
    <t>1 366,67</t>
  </si>
  <si>
    <t>1 356,94</t>
  </si>
  <si>
    <t>1 348,71</t>
  </si>
  <si>
    <t>1 202,99</t>
  </si>
  <si>
    <t>1 239,71</t>
  </si>
  <si>
    <t>1 184,89</t>
  </si>
  <si>
    <t>1 236,78</t>
  </si>
  <si>
    <t>1 187,94</t>
  </si>
  <si>
    <t>1 110,93</t>
  </si>
  <si>
    <t>Biogen Inc.</t>
  </si>
  <si>
    <t>BIIB</t>
  </si>
  <si>
    <t>268,64</t>
  </si>
  <si>
    <t>278,19</t>
  </si>
  <si>
    <t>255,64</t>
  </si>
  <si>
    <t>278,49</t>
  </si>
  <si>
    <t>274,17</t>
  </si>
  <si>
    <t>259,47</t>
  </si>
  <si>
    <t>217,75</t>
  </si>
  <si>
    <t>260,34</t>
  </si>
  <si>
    <t>240,11</t>
  </si>
  <si>
    <t>228,57</t>
  </si>
  <si>
    <t>238,81</t>
  </si>
  <si>
    <t>252,35</t>
  </si>
  <si>
    <t>282,07</t>
  </si>
  <si>
    <t>271,53</t>
  </si>
  <si>
    <t>263,45</t>
  </si>
  <si>
    <t>261,48</t>
  </si>
  <si>
    <t>265,41</t>
  </si>
  <si>
    <t>288,54</t>
  </si>
  <si>
    <t>362,64</t>
  </si>
  <si>
    <t>361,72</t>
  </si>
  <si>
    <t>334,01</t>
  </si>
  <si>
    <t>393,04</t>
  </si>
  <si>
    <t>365,29</t>
  </si>
  <si>
    <t>344,70</t>
  </si>
  <si>
    <t>Super Micro Computer Inc.</t>
  </si>
  <si>
    <t>SMCI</t>
  </si>
  <si>
    <t>2,66</t>
  </si>
  <si>
    <t>2,59</t>
  </si>
  <si>
    <t>2,16</t>
  </si>
  <si>
    <t>2,08</t>
  </si>
  <si>
    <t>1,94</t>
  </si>
  <si>
    <t>1,93</t>
  </si>
  <si>
    <t>2,24</t>
  </si>
  <si>
    <t>2,36</t>
  </si>
  <si>
    <t>2,35</t>
  </si>
  <si>
    <t>2,99</t>
  </si>
  <si>
    <t>2,75</t>
  </si>
  <si>
    <t>2,26</t>
  </si>
  <si>
    <t>2,32</t>
  </si>
  <si>
    <t>2,56</t>
  </si>
  <si>
    <t>2,44</t>
  </si>
  <si>
    <t>2,41</t>
  </si>
  <si>
    <t>3,05</t>
  </si>
  <si>
    <t>2,57</t>
  </si>
  <si>
    <t>3,09</t>
  </si>
  <si>
    <t>3,58</t>
  </si>
  <si>
    <t>3,24</t>
  </si>
  <si>
    <t>CSX Corp.</t>
  </si>
  <si>
    <t>CSX</t>
  </si>
  <si>
    <t>11,35</t>
  </si>
  <si>
    <t>11,29</t>
  </si>
  <si>
    <t>9,28</t>
  </si>
  <si>
    <t>9,04</t>
  </si>
  <si>
    <t>8,46</t>
  </si>
  <si>
    <t>8,45</t>
  </si>
  <si>
    <t>7,83</t>
  </si>
  <si>
    <t>7,92</t>
  </si>
  <si>
    <t>7,54</t>
  </si>
  <si>
    <t>7,41</t>
  </si>
  <si>
    <t>7,09</t>
  </si>
  <si>
    <t>7,96</t>
  </si>
  <si>
    <t>8,97</t>
  </si>
  <si>
    <t>8,16</t>
  </si>
  <si>
    <t>8,15</t>
  </si>
  <si>
    <t>9,44</t>
  </si>
  <si>
    <t>10,28</t>
  </si>
  <si>
    <t>10,20</t>
  </si>
  <si>
    <t>General Dynamics Corp.</t>
  </si>
  <si>
    <t>GD</t>
  </si>
  <si>
    <t>163,56</t>
  </si>
  <si>
    <t>165,88</t>
  </si>
  <si>
    <t>137,54</t>
  </si>
  <si>
    <t>138,04</t>
  </si>
  <si>
    <t>136,55</t>
  </si>
  <si>
    <t>131,46</t>
  </si>
  <si>
    <t>125,38</t>
  </si>
  <si>
    <t>127,48</t>
  </si>
  <si>
    <t>122,70</t>
  </si>
  <si>
    <t>115,35</t>
  </si>
  <si>
    <t>125,44</t>
  </si>
  <si>
    <t>123,62</t>
  </si>
  <si>
    <t>126,47</t>
  </si>
  <si>
    <t>138,63</t>
  </si>
  <si>
    <t>134,74</t>
  </si>
  <si>
    <t>123,61</t>
  </si>
  <si>
    <t>126,80</t>
  </si>
  <si>
    <t>134,97</t>
  </si>
  <si>
    <t>127,71</t>
  </si>
  <si>
    <t>122,66</t>
  </si>
  <si>
    <t>126,34</t>
  </si>
  <si>
    <t>123,77</t>
  </si>
  <si>
    <t>117,99</t>
  </si>
  <si>
    <t>Netflix Inc.</t>
  </si>
  <si>
    <t>NFLX</t>
  </si>
  <si>
    <t>Movies and Entertainment</t>
  </si>
  <si>
    <t>11,73</t>
  </si>
  <si>
    <t>11,07</t>
  </si>
  <si>
    <t>11,39</t>
  </si>
  <si>
    <t>8,74</t>
  </si>
  <si>
    <t>8,17</t>
  </si>
  <si>
    <t>8,24</t>
  </si>
  <si>
    <t>9,22</t>
  </si>
  <si>
    <t>7,86</t>
  </si>
  <si>
    <t>8,98</t>
  </si>
  <si>
    <t>8,49</t>
  </si>
  <si>
    <t>10,53</t>
  </si>
  <si>
    <t>11,67</t>
  </si>
  <si>
    <t>9,25</t>
  </si>
  <si>
    <t>10,27</t>
  </si>
  <si>
    <t>8,12</t>
  </si>
  <si>
    <t>7,10</t>
  </si>
  <si>
    <t>5,54</t>
  </si>
  <si>
    <t>6,05</t>
  </si>
  <si>
    <t>5,59</t>
  </si>
  <si>
    <t>Chipotle Mexican Grill Inc.</t>
  </si>
  <si>
    <t>CMG</t>
  </si>
  <si>
    <t>Restaurants</t>
  </si>
  <si>
    <t>7,15</t>
  </si>
  <si>
    <t>7,50</t>
  </si>
  <si>
    <t>6,58</t>
  </si>
  <si>
    <t>7,42</t>
  </si>
  <si>
    <t>7,59</t>
  </si>
  <si>
    <t>8,27</t>
  </si>
  <si>
    <t>10,97</t>
  </si>
  <si>
    <t>12,68</t>
  </si>
  <si>
    <t>13,44</t>
  </si>
  <si>
    <t>11,22</t>
  </si>
  <si>
    <t>11,10</t>
  </si>
  <si>
    <t>12,11</t>
  </si>
  <si>
    <t>11,86</t>
  </si>
  <si>
    <t>12,57</t>
  </si>
  <si>
    <t>Willis Towers Watson Plc</t>
  </si>
  <si>
    <t>WTW</t>
  </si>
  <si>
    <t>115,84</t>
  </si>
  <si>
    <t>117,65</t>
  </si>
  <si>
    <t>114,87</t>
  </si>
  <si>
    <t>118,12</t>
  </si>
  <si>
    <t>111,24</t>
  </si>
  <si>
    <t>110,63</t>
  </si>
  <si>
    <t>111,93</t>
  </si>
  <si>
    <t>115,03</t>
  </si>
  <si>
    <t>109,06</t>
  </si>
  <si>
    <t>104,19</t>
  </si>
  <si>
    <t>105,79</t>
  </si>
  <si>
    <t>118,47</t>
  </si>
  <si>
    <t>107,16</t>
  </si>
  <si>
    <t>97,25</t>
  </si>
  <si>
    <t>111,47</t>
  </si>
  <si>
    <t>111,53</t>
  </si>
  <si>
    <t>114,55</t>
  </si>
  <si>
    <t>115,07</t>
  </si>
  <si>
    <t>118,80</t>
  </si>
  <si>
    <t>112,74</t>
  </si>
  <si>
    <t>ConocoPhillips</t>
  </si>
  <si>
    <t>COP</t>
  </si>
  <si>
    <t>47,50</t>
  </si>
  <si>
    <t>45,90</t>
  </si>
  <si>
    <t>39,64</t>
  </si>
  <si>
    <t>36,53</t>
  </si>
  <si>
    <t>39,26</t>
  </si>
  <si>
    <t>35,36</t>
  </si>
  <si>
    <t>36,12</t>
  </si>
  <si>
    <t>42,99</t>
  </si>
  <si>
    <t>48,38</t>
  </si>
  <si>
    <t>43,88</t>
  </si>
  <si>
    <t>55,13</t>
  </si>
  <si>
    <t>58,02</t>
  </si>
  <si>
    <t>57,95</t>
  </si>
  <si>
    <t>55,78</t>
  </si>
  <si>
    <t>Emerson Electric Co.</t>
  </si>
  <si>
    <t>EMR</t>
  </si>
  <si>
    <t>Electrical Components and Equipment: Light</t>
  </si>
  <si>
    <t>53,39</t>
  </si>
  <si>
    <t>50,03</t>
  </si>
  <si>
    <t>46,74</t>
  </si>
  <si>
    <t>47,70</t>
  </si>
  <si>
    <t>47,75</t>
  </si>
  <si>
    <t>42,49</t>
  </si>
  <si>
    <t>39,58</t>
  </si>
  <si>
    <t>42,60</t>
  </si>
  <si>
    <t>46,84</t>
  </si>
  <si>
    <t>49,76</t>
  </si>
  <si>
    <t>54,95</t>
  </si>
  <si>
    <t>52,55</t>
  </si>
  <si>
    <t>50,43</t>
  </si>
  <si>
    <t>Snap-on Inc.</t>
  </si>
  <si>
    <t>SNA</t>
  </si>
  <si>
    <t>162,24</t>
  </si>
  <si>
    <t>158,17</t>
  </si>
  <si>
    <t>140,60</t>
  </si>
  <si>
    <t>135,19</t>
  </si>
  <si>
    <t>137,51</t>
  </si>
  <si>
    <t>142,11</t>
  </si>
  <si>
    <t>145,40</t>
  </si>
  <si>
    <t>139,08</t>
  </si>
  <si>
    <t>137,85</t>
  </si>
  <si>
    <t>133,18</t>
  </si>
  <si>
    <t>149,31</t>
  </si>
  <si>
    <t>157,84</t>
  </si>
  <si>
    <t>162,96</t>
  </si>
  <si>
    <t>149,17</t>
  </si>
  <si>
    <t>142,97</t>
  </si>
  <si>
    <t>141,59</t>
  </si>
  <si>
    <t>133,59</t>
  </si>
  <si>
    <t>136,89</t>
  </si>
  <si>
    <t>131,31</t>
  </si>
  <si>
    <t>Mondelez International</t>
  </si>
  <si>
    <t>MDLZ</t>
  </si>
  <si>
    <t>41,99</t>
  </si>
  <si>
    <t>39,01</t>
  </si>
  <si>
    <t>40,98</t>
  </si>
  <si>
    <t>39,98</t>
  </si>
  <si>
    <t>37,51</t>
  </si>
  <si>
    <t>37,31</t>
  </si>
  <si>
    <t>39,83</t>
  </si>
  <si>
    <t>41,33</t>
  </si>
  <si>
    <t>41,86</t>
  </si>
  <si>
    <t>37,52</t>
  </si>
  <si>
    <t>37,89</t>
  </si>
  <si>
    <t>34,27</t>
  </si>
  <si>
    <t>MGM Resorts International</t>
  </si>
  <si>
    <t>MGM</t>
  </si>
  <si>
    <t>27,16</t>
  </si>
  <si>
    <t>23,88</t>
  </si>
  <si>
    <t>23,16</t>
  </si>
  <si>
    <t>21,46</t>
  </si>
  <si>
    <t>20,38</t>
  </si>
  <si>
    <t>18,60</t>
  </si>
  <si>
    <t>18,83</t>
  </si>
  <si>
    <t>20,92</t>
  </si>
  <si>
    <t>21,52</t>
  </si>
  <si>
    <t>21,03</t>
  </si>
  <si>
    <t>16,38</t>
  </si>
  <si>
    <t>18,27</t>
  </si>
  <si>
    <t>18,89</t>
  </si>
  <si>
    <t>19,58</t>
  </si>
  <si>
    <t>19,38</t>
  </si>
  <si>
    <t>17,25</t>
  </si>
  <si>
    <t>Meta Platforms Inc.</t>
  </si>
  <si>
    <t>META</t>
  </si>
  <si>
    <t>112,03</t>
  </si>
  <si>
    <t>119,52</t>
  </si>
  <si>
    <t>114,12</t>
  </si>
  <si>
    <t>113,14</t>
  </si>
  <si>
    <t>110,92</t>
  </si>
  <si>
    <t>102,90</t>
  </si>
  <si>
    <t>102,66</t>
  </si>
  <si>
    <t>100,19</t>
  </si>
  <si>
    <t>98,43</t>
  </si>
  <si>
    <t>103,70</t>
  </si>
  <si>
    <t>96,37</t>
  </si>
  <si>
    <t>98,67</t>
  </si>
  <si>
    <t>80,55</t>
  </si>
  <si>
    <t>79,84</t>
  </si>
  <si>
    <t>85,09</t>
  </si>
  <si>
    <t>72,15</t>
  </si>
  <si>
    <t>70,36</t>
  </si>
  <si>
    <t>76,53</t>
  </si>
  <si>
    <t>70,43</t>
  </si>
  <si>
    <t>67,24</t>
  </si>
  <si>
    <t>Loews Corp.</t>
  </si>
  <si>
    <t>L</t>
  </si>
  <si>
    <t>42,24</t>
  </si>
  <si>
    <t>36,61</t>
  </si>
  <si>
    <t>37,55</t>
  </si>
  <si>
    <t>37,00</t>
  </si>
  <si>
    <t>36,37</t>
  </si>
  <si>
    <t>33,46</t>
  </si>
  <si>
    <t>34,20</t>
  </si>
  <si>
    <t>32,38</t>
  </si>
  <si>
    <t>32,54</t>
  </si>
  <si>
    <t>34,57</t>
  </si>
  <si>
    <t>38,01</t>
  </si>
  <si>
    <t>33,89</t>
  </si>
  <si>
    <t>Target Corp.</t>
  </si>
  <si>
    <t>TGT</t>
  </si>
  <si>
    <t>73,07</t>
  </si>
  <si>
    <t>61,10</t>
  </si>
  <si>
    <t>62,96</t>
  </si>
  <si>
    <t>67,42</t>
  </si>
  <si>
    <t>61,80</t>
  </si>
  <si>
    <t>69,42</t>
  </si>
  <si>
    <t>72,25</t>
  </si>
  <si>
    <t>72,22</t>
  </si>
  <si>
    <t>68,62</t>
  </si>
  <si>
    <t>69,99</t>
  </si>
  <si>
    <t>70,48</t>
  </si>
  <si>
    <t>69,38</t>
  </si>
  <si>
    <t>74,09</t>
  </si>
  <si>
    <t>73,28</t>
  </si>
  <si>
    <t>72,27</t>
  </si>
  <si>
    <t>70,41</t>
  </si>
  <si>
    <t>68,52</t>
  </si>
  <si>
    <t>65,20</t>
  </si>
  <si>
    <t>Cognizant Technology Solutions</t>
  </si>
  <si>
    <t>CTSH</t>
  </si>
  <si>
    <t>IT Consulting and Other Services</t>
  </si>
  <si>
    <t>53,08</t>
  </si>
  <si>
    <t>52,11</t>
  </si>
  <si>
    <t>46,85</t>
  </si>
  <si>
    <t>42,45</t>
  </si>
  <si>
    <t>51,53</t>
  </si>
  <si>
    <t>51,45</t>
  </si>
  <si>
    <t>51,54</t>
  </si>
  <si>
    <t>55,21</t>
  </si>
  <si>
    <t>50,97</t>
  </si>
  <si>
    <t>55,05</t>
  </si>
  <si>
    <t>61,13</t>
  </si>
  <si>
    <t>61,77</t>
  </si>
  <si>
    <t>56,10</t>
  </si>
  <si>
    <t>54,84</t>
  </si>
  <si>
    <t>58,97</t>
  </si>
  <si>
    <t>52,29</t>
  </si>
  <si>
    <t>55,73</t>
  </si>
  <si>
    <t>47,95</t>
  </si>
  <si>
    <t>The Procter &amp; Gamble Co.</t>
  </si>
  <si>
    <t>PG</t>
  </si>
  <si>
    <t>79,65</t>
  </si>
  <si>
    <t>79,20</t>
  </si>
  <si>
    <t>79,85</t>
  </si>
  <si>
    <t>72,82</t>
  </si>
  <si>
    <t>69,96</t>
  </si>
  <si>
    <t>73,91</t>
  </si>
  <si>
    <t>75,49</t>
  </si>
  <si>
    <t>69,27</t>
  </si>
  <si>
    <t>63,09</t>
  </si>
  <si>
    <t>70,24</t>
  </si>
  <si>
    <t>71,02</t>
  </si>
  <si>
    <t>76,27</t>
  </si>
  <si>
    <t>74,66</t>
  </si>
  <si>
    <t>American International Group</t>
  </si>
  <si>
    <t>AIG</t>
  </si>
  <si>
    <t>61,87</t>
  </si>
  <si>
    <t>59,91</t>
  </si>
  <si>
    <t>52,79</t>
  </si>
  <si>
    <t>52,01</t>
  </si>
  <si>
    <t>48,74</t>
  </si>
  <si>
    <t>47,46</t>
  </si>
  <si>
    <t>46,21</t>
  </si>
  <si>
    <t>52,20</t>
  </si>
  <si>
    <t>60,18</t>
  </si>
  <si>
    <t>57,19</t>
  </si>
  <si>
    <t>50,91</t>
  </si>
  <si>
    <t>53,87</t>
  </si>
  <si>
    <t>53,40</t>
  </si>
  <si>
    <t>CBRE Group Inc.</t>
  </si>
  <si>
    <t>CBRE</t>
  </si>
  <si>
    <t>29,83</t>
  </si>
  <si>
    <t>27,47</t>
  </si>
  <si>
    <t>23,50</t>
  </si>
  <si>
    <t>24,89</t>
  </si>
  <si>
    <t>25,46</t>
  </si>
  <si>
    <t>23,84</t>
  </si>
  <si>
    <t>25,85</t>
  </si>
  <si>
    <t>35,47</t>
  </si>
  <si>
    <t>33,81</t>
  </si>
  <si>
    <t>28,67</t>
  </si>
  <si>
    <t>28,59</t>
  </si>
  <si>
    <t>34,37</t>
  </si>
  <si>
    <t>34,84</t>
  </si>
  <si>
    <t>28,65</t>
  </si>
  <si>
    <t>Omnicom Group Inc.</t>
  </si>
  <si>
    <t>OMC</t>
  </si>
  <si>
    <t>Advertising</t>
  </si>
  <si>
    <t>80,62</t>
  </si>
  <si>
    <t>82,25</t>
  </si>
  <si>
    <t>72,83</t>
  </si>
  <si>
    <t>75,62</t>
  </si>
  <si>
    <t>77,26</t>
  </si>
  <si>
    <t>73,65</t>
  </si>
  <si>
    <t>73,38</t>
  </si>
  <si>
    <t>74,88</t>
  </si>
  <si>
    <t>72,45</t>
  </si>
  <si>
    <t>73,08</t>
  </si>
  <si>
    <t>71,63</t>
  </si>
  <si>
    <t>69,66</t>
  </si>
  <si>
    <t>69,97</t>
  </si>
  <si>
    <t>59,05</t>
  </si>
  <si>
    <t>59,80</t>
  </si>
  <si>
    <t>66,15</t>
  </si>
  <si>
    <t>67,91</t>
  </si>
  <si>
    <t>67,67</t>
  </si>
  <si>
    <t>72,59</t>
  </si>
  <si>
    <t>64,48</t>
  </si>
  <si>
    <t>Henry Schein Inc.</t>
  </si>
  <si>
    <t>HSIC</t>
  </si>
  <si>
    <t>71,86</t>
  </si>
  <si>
    <t>70,46</t>
  </si>
  <si>
    <t>68,07</t>
  </si>
  <si>
    <t>72,50</t>
  </si>
  <si>
    <t>73,46</t>
  </si>
  <si>
    <t>80,98</t>
  </si>
  <si>
    <t>78,05</t>
  </si>
  <si>
    <t>75,79</t>
  </si>
  <si>
    <t>76,15</t>
  </si>
  <si>
    <t>69,98</t>
  </si>
  <si>
    <t>59,46</t>
  </si>
  <si>
    <t>66,97</t>
  </si>
  <si>
    <t>64,54</t>
  </si>
  <si>
    <t>61,23</t>
  </si>
  <si>
    <t>64,98</t>
  </si>
  <si>
    <t>62,45</t>
  </si>
  <si>
    <t>61,15</t>
  </si>
  <si>
    <t>Insulet Corp.</t>
  </si>
  <si>
    <t>PODD</t>
  </si>
  <si>
    <t>35,69</t>
  </si>
  <si>
    <t>33,87</t>
  </si>
  <si>
    <t>37,97</t>
  </si>
  <si>
    <t>27,23</t>
  </si>
  <si>
    <t>29,08</t>
  </si>
  <si>
    <t>28,21</t>
  </si>
  <si>
    <t>30,66</t>
  </si>
  <si>
    <t>34,63</t>
  </si>
  <si>
    <t>26,52</t>
  </si>
  <si>
    <t>30,68</t>
  </si>
  <si>
    <t>27,82</t>
  </si>
  <si>
    <t>26,66</t>
  </si>
  <si>
    <t>31,04</t>
  </si>
  <si>
    <t>26,03</t>
  </si>
  <si>
    <t>L3Harris Technologies Inc.</t>
  </si>
  <si>
    <t>LHX</t>
  </si>
  <si>
    <t>97,07</t>
  </si>
  <si>
    <t>97,97</t>
  </si>
  <si>
    <t>81,40</t>
  </si>
  <si>
    <t>83,41</t>
  </si>
  <si>
    <t>77,52</t>
  </si>
  <si>
    <t>75,13</t>
  </si>
  <si>
    <t>70,78</t>
  </si>
  <si>
    <t>69,86</t>
  </si>
  <si>
    <t>68,36</t>
  </si>
  <si>
    <t>71,82</t>
  </si>
  <si>
    <t>80,37</t>
  </si>
  <si>
    <t>78,69</t>
  </si>
  <si>
    <t>65,55</t>
  </si>
  <si>
    <t>75,07</t>
  </si>
  <si>
    <t>69,05</t>
  </si>
  <si>
    <t>69,28</t>
  </si>
  <si>
    <t>Pfizer Inc.</t>
  </si>
  <si>
    <t>PFE</t>
  </si>
  <si>
    <t>Pharmaceuticals</t>
  </si>
  <si>
    <t>30,77</t>
  </si>
  <si>
    <t>30,40</t>
  </si>
  <si>
    <t>28,93</t>
  </si>
  <si>
    <t>30,13</t>
  </si>
  <si>
    <t>31,22</t>
  </si>
  <si>
    <t>28,56</t>
  </si>
  <si>
    <t>28,18</t>
  </si>
  <si>
    <t>30,67</t>
  </si>
  <si>
    <t>28,14</t>
  </si>
  <si>
    <t>30,10</t>
  </si>
  <si>
    <t>31,66</t>
  </si>
  <si>
    <t>30,61</t>
  </si>
  <si>
    <t>27,68</t>
  </si>
  <si>
    <t>Johnson Controls Intl plc</t>
  </si>
  <si>
    <t>JCI</t>
  </si>
  <si>
    <t>39,02</t>
  </si>
  <si>
    <t>42,55</t>
  </si>
  <si>
    <t>36,15</t>
  </si>
  <si>
    <t>34,22</t>
  </si>
  <si>
    <t>36,36</t>
  </si>
  <si>
    <t>43,54</t>
  </si>
  <si>
    <t>40,97</t>
  </si>
  <si>
    <t>36,73</t>
  </si>
  <si>
    <t>41,24</t>
  </si>
  <si>
    <t>44,47</t>
  </si>
  <si>
    <t>47,40</t>
  </si>
  <si>
    <t>45,00</t>
  </si>
  <si>
    <t>46,95</t>
  </si>
  <si>
    <t>45,31</t>
  </si>
  <si>
    <t>41,16</t>
  </si>
  <si>
    <t>Constellation Brands Inc.</t>
  </si>
  <si>
    <t>STZ</t>
  </si>
  <si>
    <t>Distillers and Vintners</t>
  </si>
  <si>
    <t>145,23</t>
  </si>
  <si>
    <t>142,98</t>
  </si>
  <si>
    <t>152,48</t>
  </si>
  <si>
    <t>148,12</t>
  </si>
  <si>
    <t>147,16</t>
  </si>
  <si>
    <t>147,34</t>
  </si>
  <si>
    <t>148,93</t>
  </si>
  <si>
    <t>137,61</t>
  </si>
  <si>
    <t>136,26</t>
  </si>
  <si>
    <t>132,66</t>
  </si>
  <si>
    <t>130,19</t>
  </si>
  <si>
    <t>140,91</t>
  </si>
  <si>
    <t>131,15</t>
  </si>
  <si>
    <t>132,76</t>
  </si>
  <si>
    <t>122,24</t>
  </si>
  <si>
    <t>112,19</t>
  </si>
  <si>
    <t>114,27</t>
  </si>
  <si>
    <t>108,64</t>
  </si>
  <si>
    <t>104,16</t>
  </si>
  <si>
    <t>107,42</t>
  </si>
  <si>
    <t>103,56</t>
  </si>
  <si>
    <t>108,17</t>
  </si>
  <si>
    <t>102,31</t>
  </si>
  <si>
    <t>97,83</t>
  </si>
  <si>
    <t>Cboe Global Markets Inc.</t>
  </si>
  <si>
    <t>CBOE</t>
  </si>
  <si>
    <t>70,00</t>
  </si>
  <si>
    <t>57,67</t>
  </si>
  <si>
    <t>59,99</t>
  </si>
  <si>
    <t>57,53</t>
  </si>
  <si>
    <t>59,76</t>
  </si>
  <si>
    <t>60,80</t>
  </si>
  <si>
    <t>60,11</t>
  </si>
  <si>
    <t>56,48</t>
  </si>
  <si>
    <t>53,44</t>
  </si>
  <si>
    <t>53,54</t>
  </si>
  <si>
    <t>Wells Fargo &amp; Co.</t>
  </si>
  <si>
    <t>WFC</t>
  </si>
  <si>
    <t>50,06</t>
  </si>
  <si>
    <t>43,19</t>
  </si>
  <si>
    <t>46,42</t>
  </si>
  <si>
    <t>50,05</t>
  </si>
  <si>
    <t>52,15</t>
  </si>
  <si>
    <t>46,01</t>
  </si>
  <si>
    <t>47,61</t>
  </si>
  <si>
    <t>52,38</t>
  </si>
  <si>
    <t>50,99</t>
  </si>
  <si>
    <t>50,64</t>
  </si>
  <si>
    <t>48,86</t>
  </si>
  <si>
    <t>45,99</t>
  </si>
  <si>
    <t>Dover Corp.</t>
  </si>
  <si>
    <t>DOV</t>
  </si>
  <si>
    <t>70,98</t>
  </si>
  <si>
    <t>68,69</t>
  </si>
  <si>
    <t>61,03</t>
  </si>
  <si>
    <t>65,51</t>
  </si>
  <si>
    <t>65,04</t>
  </si>
  <si>
    <t>59,98</t>
  </si>
  <si>
    <t>55,95</t>
  </si>
  <si>
    <t>54,02</t>
  </si>
  <si>
    <t>56,45</t>
  </si>
  <si>
    <t>55,31</t>
  </si>
  <si>
    <t>57,99</t>
  </si>
  <si>
    <t>67,64</t>
  </si>
  <si>
    <t>64,26</t>
  </si>
  <si>
    <t>62,04</t>
  </si>
  <si>
    <t>Truist Financial Corp.</t>
  </si>
  <si>
    <t>TFC</t>
  </si>
  <si>
    <t>42,81</t>
  </si>
  <si>
    <t>32,07</t>
  </si>
  <si>
    <t>32,68</t>
  </si>
  <si>
    <t>29,21</t>
  </si>
  <si>
    <t>30,18</t>
  </si>
  <si>
    <t>33,69</t>
  </si>
  <si>
    <t>32,96</t>
  </si>
  <si>
    <t>36,19</t>
  </si>
  <si>
    <t>35,96</t>
  </si>
  <si>
    <t>33,93</t>
  </si>
  <si>
    <t>31,26</t>
  </si>
  <si>
    <t>Domino's Pizza Inc.</t>
  </si>
  <si>
    <t>DPZ</t>
  </si>
  <si>
    <t>150,85</t>
  </si>
  <si>
    <t>154,41</t>
  </si>
  <si>
    <t>135,09</t>
  </si>
  <si>
    <t>134,17</t>
  </si>
  <si>
    <t>131,83</t>
  </si>
  <si>
    <t>118,30</t>
  </si>
  <si>
    <t>108,62</t>
  </si>
  <si>
    <t>105,55</t>
  </si>
  <si>
    <t>115,78</t>
  </si>
  <si>
    <t>122,47</t>
  </si>
  <si>
    <t>105,29</t>
  </si>
  <si>
    <t>102,43</t>
  </si>
  <si>
    <t>101,73</t>
  </si>
  <si>
    <t>96,73</t>
  </si>
  <si>
    <t>96,69</t>
  </si>
  <si>
    <t>94,58</t>
  </si>
  <si>
    <t>103,04</t>
  </si>
  <si>
    <t>99,01</t>
  </si>
  <si>
    <t>93,60</t>
  </si>
  <si>
    <t>90,55</t>
  </si>
  <si>
    <t>87,73</t>
  </si>
  <si>
    <t>Fifth Third Bancorp</t>
  </si>
  <si>
    <t>FITB</t>
  </si>
  <si>
    <t>25,55</t>
  </si>
  <si>
    <t>24,61</t>
  </si>
  <si>
    <t>19,85</t>
  </si>
  <si>
    <t>18,20</t>
  </si>
  <si>
    <t>16,99</t>
  </si>
  <si>
    <t>16,96</t>
  </si>
  <si>
    <t>18,51</t>
  </si>
  <si>
    <t>19,57</t>
  </si>
  <si>
    <t>16,94</t>
  </si>
  <si>
    <t>19,07</t>
  </si>
  <si>
    <t>18,69</t>
  </si>
  <si>
    <t>17,87</t>
  </si>
  <si>
    <t>15,32</t>
  </si>
  <si>
    <t>Entergy Corp.</t>
  </si>
  <si>
    <t>ETR</t>
  </si>
  <si>
    <t>35,07</t>
  </si>
  <si>
    <t>36,63</t>
  </si>
  <si>
    <t>32,82</t>
  </si>
  <si>
    <t>31,47</t>
  </si>
  <si>
    <t>31,53</t>
  </si>
  <si>
    <t>29,16</t>
  </si>
  <si>
    <t>34,47</t>
  </si>
  <si>
    <t>Teradyne Inc.</t>
  </si>
  <si>
    <t>TER</t>
  </si>
  <si>
    <t>24,06</t>
  </si>
  <si>
    <t>23,06</t>
  </si>
  <si>
    <t>21,25</t>
  </si>
  <si>
    <t>19,20</t>
  </si>
  <si>
    <t>17,73</t>
  </si>
  <si>
    <t>16,51</t>
  </si>
  <si>
    <t>17,56</t>
  </si>
  <si>
    <t>17,96</t>
  </si>
  <si>
    <t>19,67</t>
  </si>
  <si>
    <t>16,11</t>
  </si>
  <si>
    <t>19,27</t>
  </si>
  <si>
    <t>16,03</t>
  </si>
  <si>
    <t>Nordson Corp.</t>
  </si>
  <si>
    <t>NDSN</t>
  </si>
  <si>
    <t>106,14</t>
  </si>
  <si>
    <t>100,97</t>
  </si>
  <si>
    <t>91,36</t>
  </si>
  <si>
    <t>88,64</t>
  </si>
  <si>
    <t>88,57</t>
  </si>
  <si>
    <t>78,16</t>
  </si>
  <si>
    <t>66,77</t>
  </si>
  <si>
    <t>55,85</t>
  </si>
  <si>
    <t>64,60</t>
  </si>
  <si>
    <t>56,40</t>
  </si>
  <si>
    <t>67,08</t>
  </si>
  <si>
    <t>69,93</t>
  </si>
  <si>
    <t>73,72</t>
  </si>
  <si>
    <t>71,15</t>
  </si>
  <si>
    <t>72,92</t>
  </si>
  <si>
    <t>Johnson &amp; Johnson</t>
  </si>
  <si>
    <t>JNJ</t>
  </si>
  <si>
    <t>109,14</t>
  </si>
  <si>
    <t>105,83</t>
  </si>
  <si>
    <t>107,05</t>
  </si>
  <si>
    <t>112,07</t>
  </si>
  <si>
    <t>109,22</t>
  </si>
  <si>
    <t>101,26</t>
  </si>
  <si>
    <t>97,86</t>
  </si>
  <si>
    <t>96,85</t>
  </si>
  <si>
    <t>96,52</t>
  </si>
  <si>
    <t>95,83</t>
  </si>
  <si>
    <t>91,62</t>
  </si>
  <si>
    <t>83,65</t>
  </si>
  <si>
    <t>83,90</t>
  </si>
  <si>
    <t>90,71</t>
  </si>
  <si>
    <t>87,49</t>
  </si>
  <si>
    <t>88,61</t>
  </si>
  <si>
    <t>93,64</t>
  </si>
  <si>
    <t>88,70</t>
  </si>
  <si>
    <t>Ulta Beauty Inc.</t>
  </si>
  <si>
    <t>ULTA</t>
  </si>
  <si>
    <t>241,50</t>
  </si>
  <si>
    <t>245,49</t>
  </si>
  <si>
    <t>222,02</t>
  </si>
  <si>
    <t>211,72</t>
  </si>
  <si>
    <t>221,76</t>
  </si>
  <si>
    <t>233,77</t>
  </si>
  <si>
    <t>219,39</t>
  </si>
  <si>
    <t>209,37</t>
  </si>
  <si>
    <t>181,86</t>
  </si>
  <si>
    <t>170,11</t>
  </si>
  <si>
    <t>152,07</t>
  </si>
  <si>
    <t>167,43</t>
  </si>
  <si>
    <t>170,34</t>
  </si>
  <si>
    <t>158,07</t>
  </si>
  <si>
    <t>157,76</t>
  </si>
  <si>
    <t>146,37</t>
  </si>
  <si>
    <t>141,13</t>
  </si>
  <si>
    <t>150,28</t>
  </si>
  <si>
    <t>138,66</t>
  </si>
  <si>
    <t>139,06</t>
  </si>
  <si>
    <t>134,96</t>
  </si>
  <si>
    <t>140,42</t>
  </si>
  <si>
    <t>125,54</t>
  </si>
  <si>
    <t>116,87</t>
  </si>
  <si>
    <t>Philip Morris Intl Inc</t>
  </si>
  <si>
    <t>PM</t>
  </si>
  <si>
    <t>Tobacco Producers</t>
  </si>
  <si>
    <t>83,51</t>
  </si>
  <si>
    <t>87,99</t>
  </si>
  <si>
    <t>86,49</t>
  </si>
  <si>
    <t>89,64</t>
  </si>
  <si>
    <t>89,73</t>
  </si>
  <si>
    <t>88,67</t>
  </si>
  <si>
    <t>85,67</t>
  </si>
  <si>
    <t>86,15</t>
  </si>
  <si>
    <t>83,18</t>
  </si>
  <si>
    <t>80,94</t>
  </si>
  <si>
    <t>80,17</t>
  </si>
  <si>
    <t>71,08</t>
  </si>
  <si>
    <t>77,42</t>
  </si>
  <si>
    <t>71,97</t>
  </si>
  <si>
    <t>75,69</t>
  </si>
  <si>
    <t>73,99</t>
  </si>
  <si>
    <t>71,07</t>
  </si>
  <si>
    <t>Ares Management Corporation</t>
  </si>
  <si>
    <t>ARES</t>
  </si>
  <si>
    <t>18,19</t>
  </si>
  <si>
    <t>16,18</t>
  </si>
  <si>
    <t>15,28</t>
  </si>
  <si>
    <t>15,53</t>
  </si>
  <si>
    <t>13,52</t>
  </si>
  <si>
    <t>10,95</t>
  </si>
  <si>
    <t>10,87</t>
  </si>
  <si>
    <t>11,91</t>
  </si>
  <si>
    <t>14,68</t>
  </si>
  <si>
    <t>15,40</t>
  </si>
  <si>
    <t>17,18</t>
  </si>
  <si>
    <t>16,61</t>
  </si>
  <si>
    <t>17,26</t>
  </si>
  <si>
    <t>18,10</t>
  </si>
  <si>
    <t>16,82</t>
  </si>
  <si>
    <t>Thermo Fisher Scientific Inc.</t>
  </si>
  <si>
    <t>TMO</t>
  </si>
  <si>
    <t>132,54</t>
  </si>
  <si>
    <t>134,15</t>
  </si>
  <si>
    <t>141,51</t>
  </si>
  <si>
    <t>136,52</t>
  </si>
  <si>
    <t>142,15</t>
  </si>
  <si>
    <t>136,37</t>
  </si>
  <si>
    <t>125,95</t>
  </si>
  <si>
    <t>124,32</t>
  </si>
  <si>
    <t>118,93</t>
  </si>
  <si>
    <t>131,00</t>
  </si>
  <si>
    <t>118,60</t>
  </si>
  <si>
    <t>111,92</t>
  </si>
  <si>
    <t>116,49</t>
  </si>
  <si>
    <t>118,11</t>
  </si>
  <si>
    <t>112,26</t>
  </si>
  <si>
    <t>125,05</t>
  </si>
  <si>
    <t>110,90</t>
  </si>
  <si>
    <t>Fortinet Inc.</t>
  </si>
  <si>
    <t>FTNT</t>
  </si>
  <si>
    <t>5,71</t>
  </si>
  <si>
    <t>5,69</t>
  </si>
  <si>
    <t>6,57</t>
  </si>
  <si>
    <t>6,48</t>
  </si>
  <si>
    <t>6,21</t>
  </si>
  <si>
    <t>6,15</t>
  </si>
  <si>
    <t>5,68</t>
  </si>
  <si>
    <t>5,38</t>
  </si>
  <si>
    <t>5,23</t>
  </si>
  <si>
    <t>5,20</t>
  </si>
  <si>
    <t>5,74</t>
  </si>
  <si>
    <t>6,82</t>
  </si>
  <si>
    <t>6,23</t>
  </si>
  <si>
    <t>7,61</t>
  </si>
  <si>
    <t>7,52</t>
  </si>
  <si>
    <t>8,64</t>
  </si>
  <si>
    <t>6,74</t>
  </si>
  <si>
    <t>6,51</t>
  </si>
  <si>
    <t>6,00</t>
  </si>
  <si>
    <t>5,30</t>
  </si>
  <si>
    <t>Yum! Brands Inc.</t>
  </si>
  <si>
    <t>YUM</t>
  </si>
  <si>
    <t>78,72</t>
  </si>
  <si>
    <t>80,79</t>
  </si>
  <si>
    <t>81,37</t>
  </si>
  <si>
    <t>80,03</t>
  </si>
  <si>
    <t>74,67</t>
  </si>
  <si>
    <t>73,76</t>
  </si>
  <si>
    <t>66,71</t>
  </si>
  <si>
    <t>67,26</t>
  </si>
  <si>
    <t>68,63</t>
  </si>
  <si>
    <t>79,44</t>
  </si>
  <si>
    <t>80,87</t>
  </si>
  <si>
    <t>82,10</t>
  </si>
  <si>
    <t>76,78</t>
  </si>
  <si>
    <t>72,34</t>
  </si>
  <si>
    <t>64,02</t>
  </si>
  <si>
    <t>ON Semiconductor Corp.</t>
  </si>
  <si>
    <t>ON</t>
  </si>
  <si>
    <t>12,09</t>
  </si>
  <si>
    <t>11,14</t>
  </si>
  <si>
    <t>10,65</t>
  </si>
  <si>
    <t>10,96</t>
  </si>
  <si>
    <t>9,69</t>
  </si>
  <si>
    <t>8,42</t>
  </si>
  <si>
    <t>7,91</t>
  </si>
  <si>
    <t>10,37</t>
  </si>
  <si>
    <t>9,98</t>
  </si>
  <si>
    <t>8,53</t>
  </si>
  <si>
    <t>9,61</t>
  </si>
  <si>
    <t>10,49</t>
  </si>
  <si>
    <t>12,08</t>
  </si>
  <si>
    <t>10,29</t>
  </si>
  <si>
    <t>11,27</t>
  </si>
  <si>
    <t>11,37</t>
  </si>
  <si>
    <t>8,87</t>
  </si>
  <si>
    <t>The Hartford Insurance Group</t>
  </si>
  <si>
    <t>HIG</t>
  </si>
  <si>
    <t>45,14</t>
  </si>
  <si>
    <t>44,58</t>
  </si>
  <si>
    <t>40,25</t>
  </si>
  <si>
    <t>38,09</t>
  </si>
  <si>
    <t>39,96</t>
  </si>
  <si>
    <t>40,59</t>
  </si>
  <si>
    <t>38,75</t>
  </si>
  <si>
    <t>40,46</t>
  </si>
  <si>
    <t>38,77</t>
  </si>
  <si>
    <t>37,13</t>
  </si>
  <si>
    <t>43,20</t>
  </si>
  <si>
    <t>41,95</t>
  </si>
  <si>
    <t>41,02</t>
  </si>
  <si>
    <t>43,04</t>
  </si>
  <si>
    <t>37,32</t>
  </si>
  <si>
    <t>37,46</t>
  </si>
  <si>
    <t>34,46</t>
  </si>
  <si>
    <t>The Goldman Sachs Group</t>
  </si>
  <si>
    <t>GS</t>
  </si>
  <si>
    <t>226,83</t>
  </si>
  <si>
    <t>162,63</t>
  </si>
  <si>
    <t>143,47</t>
  </si>
  <si>
    <t>152,01</t>
  </si>
  <si>
    <t>142,13</t>
  </si>
  <si>
    <t>143,30</t>
  </si>
  <si>
    <t>143,29</t>
  </si>
  <si>
    <t>137,84</t>
  </si>
  <si>
    <t>165,95</t>
  </si>
  <si>
    <t>179,86</t>
  </si>
  <si>
    <t>170,03</t>
  </si>
  <si>
    <t>155,70</t>
  </si>
  <si>
    <t>168,37</t>
  </si>
  <si>
    <t>185,62</t>
  </si>
  <si>
    <t>187,44</t>
  </si>
  <si>
    <t>187,87</t>
  </si>
  <si>
    <t>175,45</t>
  </si>
  <si>
    <t>174,97</t>
  </si>
  <si>
    <t>169,26</t>
  </si>
  <si>
    <t>Exelon Corp.</t>
  </si>
  <si>
    <t>EXC</t>
  </si>
  <si>
    <t>33,62</t>
  </si>
  <si>
    <t>30,75</t>
  </si>
  <si>
    <t>31,09</t>
  </si>
  <si>
    <t>29,62</t>
  </si>
  <si>
    <t>30,50</t>
  </si>
  <si>
    <t>33,36</t>
  </si>
  <si>
    <t>30,64</t>
  </si>
  <si>
    <t>31,49</t>
  </si>
  <si>
    <t>25,57</t>
  </si>
  <si>
    <t>25,32</t>
  </si>
  <si>
    <t>26,61</t>
  </si>
  <si>
    <t>29,05</t>
  </si>
  <si>
    <t>30,82</t>
  </si>
  <si>
    <t>30,25</t>
  </si>
  <si>
    <t>Cadence Design Systems Inc.</t>
  </si>
  <si>
    <t>CDNS</t>
  </si>
  <si>
    <t>23,89</t>
  </si>
  <si>
    <t>24,86</t>
  </si>
  <si>
    <t>22,82</t>
  </si>
  <si>
    <t>21,88</t>
  </si>
  <si>
    <t>20,25</t>
  </si>
  <si>
    <t>20,70</t>
  </si>
  <si>
    <t>19,84</t>
  </si>
  <si>
    <t>19,16</t>
  </si>
  <si>
    <t>21,11</t>
  </si>
  <si>
    <t>20,15</t>
  </si>
  <si>
    <t>18,98</t>
  </si>
  <si>
    <t>18,03</t>
  </si>
  <si>
    <t>16,66</t>
  </si>
  <si>
    <t>17,16</t>
  </si>
  <si>
    <t>16,37</t>
  </si>
  <si>
    <t>15,93</t>
  </si>
  <si>
    <t>Berkshire Hathaway Inc.</t>
  </si>
  <si>
    <t>BRK.A</t>
  </si>
  <si>
    <t>Holding Companies, Patent Owners, and Trusts or Estates</t>
  </si>
  <si>
    <t>231 255,82</t>
  </si>
  <si>
    <t>224 202,00</t>
  </si>
  <si>
    <t>196 804,68</t>
  </si>
  <si>
    <t>192 360,12</t>
  </si>
  <si>
    <t>202 518,01</t>
  </si>
  <si>
    <t>193 309,20</t>
  </si>
  <si>
    <t>195 375,14</t>
  </si>
  <si>
    <t>190 218,54</t>
  </si>
  <si>
    <t>191 219,85</t>
  </si>
  <si>
    <t>187 419,77</t>
  </si>
  <si>
    <t>186 462,01</t>
  </si>
  <si>
    <t>179 617,84</t>
  </si>
  <si>
    <t>182 124,35</t>
  </si>
  <si>
    <t>190 597,31</t>
  </si>
  <si>
    <t>185 537,88</t>
  </si>
  <si>
    <t>174 944,80</t>
  </si>
  <si>
    <t>180 809,55</t>
  </si>
  <si>
    <t>193 702,10</t>
  </si>
  <si>
    <t>183 904,09</t>
  </si>
  <si>
    <t>195 715,02</t>
  </si>
  <si>
    <t>190 619,55</t>
  </si>
  <si>
    <t>202 459,88</t>
  </si>
  <si>
    <t>197 259,38</t>
  </si>
  <si>
    <t>191 202,42</t>
  </si>
  <si>
    <t>PG&amp;E Corp.</t>
  </si>
  <si>
    <t>PCG</t>
  </si>
  <si>
    <t>57,57</t>
  </si>
  <si>
    <t>56,68</t>
  </si>
  <si>
    <t>55,56</t>
  </si>
  <si>
    <t>53,98</t>
  </si>
  <si>
    <t>50,82</t>
  </si>
  <si>
    <t>48,97</t>
  </si>
  <si>
    <t>49,91</t>
  </si>
  <si>
    <t>48,43</t>
  </si>
  <si>
    <t>47,31</t>
  </si>
  <si>
    <t>44,26</t>
  </si>
  <si>
    <t>47,53</t>
  </si>
  <si>
    <t>44,08</t>
  </si>
  <si>
    <t>47,27</t>
  </si>
  <si>
    <t>47,92</t>
  </si>
  <si>
    <t>52,09</t>
  </si>
  <si>
    <t>S&amp;P Global Inc.</t>
  </si>
  <si>
    <t>SPGI</t>
  </si>
  <si>
    <t>101,87</t>
  </si>
  <si>
    <t>112,56</t>
  </si>
  <si>
    <t>111,18</t>
  </si>
  <si>
    <t>112,59</t>
  </si>
  <si>
    <t>110,82</t>
  </si>
  <si>
    <t>109,36</t>
  </si>
  <si>
    <t>96,58</t>
  </si>
  <si>
    <t>100,47</t>
  </si>
  <si>
    <t>86,91</t>
  </si>
  <si>
    <t>82,61</t>
  </si>
  <si>
    <t>90,77</t>
  </si>
  <si>
    <t>91,31</t>
  </si>
  <si>
    <t>92,10</t>
  </si>
  <si>
    <t>90,18</t>
  </si>
  <si>
    <t>94,53</t>
  </si>
  <si>
    <t>96,25</t>
  </si>
  <si>
    <t>79,22</t>
  </si>
  <si>
    <t>Marsh &amp; McLennan Cos Inc</t>
  </si>
  <si>
    <t>MRSH</t>
  </si>
  <si>
    <t>57,84</t>
  </si>
  <si>
    <t>59,83</t>
  </si>
  <si>
    <t>58,84</t>
  </si>
  <si>
    <t>61,64</t>
  </si>
  <si>
    <t>51,06</t>
  </si>
  <si>
    <t>52,34</t>
  </si>
  <si>
    <t>50,55</t>
  </si>
  <si>
    <t>46,79</t>
  </si>
  <si>
    <t>50,90</t>
  </si>
  <si>
    <t>53,06</t>
  </si>
  <si>
    <t>50,16</t>
  </si>
  <si>
    <t>50,74</t>
  </si>
  <si>
    <t>The Boeing Co.</t>
  </si>
  <si>
    <t>BA</t>
  </si>
  <si>
    <t>147,48</t>
  </si>
  <si>
    <t>142,43</t>
  </si>
  <si>
    <t>129,95</t>
  </si>
  <si>
    <t>117,20</t>
  </si>
  <si>
    <t>116,12</t>
  </si>
  <si>
    <t>119,62</t>
  </si>
  <si>
    <t>116,94</t>
  </si>
  <si>
    <t>113,35</t>
  </si>
  <si>
    <t>111,46</t>
  </si>
  <si>
    <t>108,79</t>
  </si>
  <si>
    <t>111,02</t>
  </si>
  <si>
    <t>133,13</t>
  </si>
  <si>
    <t>137,68</t>
  </si>
  <si>
    <t>134,28</t>
  </si>
  <si>
    <t>117,34</t>
  </si>
  <si>
    <t>116,66</t>
  </si>
  <si>
    <t>130,50</t>
  </si>
  <si>
    <t>124,54</t>
  </si>
  <si>
    <t>128,04</t>
  </si>
  <si>
    <t>134,54</t>
  </si>
  <si>
    <t>128,76</t>
  </si>
  <si>
    <t>NiSource Inc.</t>
  </si>
  <si>
    <t>NI</t>
  </si>
  <si>
    <t>21,22</t>
  </si>
  <si>
    <t>21,45</t>
  </si>
  <si>
    <t>21,48</t>
  </si>
  <si>
    <t>19,83</t>
  </si>
  <si>
    <t>19,77</t>
  </si>
  <si>
    <t>19,42</t>
  </si>
  <si>
    <t>18,16</t>
  </si>
  <si>
    <t>17,38</t>
  </si>
  <si>
    <t>14,99</t>
  </si>
  <si>
    <t>15,80</t>
  </si>
  <si>
    <t>38,78</t>
  </si>
  <si>
    <t>41,11</t>
  </si>
  <si>
    <t>38,32</t>
  </si>
  <si>
    <t>Eversource Energy</t>
  </si>
  <si>
    <t>ES</t>
  </si>
  <si>
    <t>52,32</t>
  </si>
  <si>
    <t>48,83</t>
  </si>
  <si>
    <t>48,20</t>
  </si>
  <si>
    <t>48,41</t>
  </si>
  <si>
    <t>52,35</t>
  </si>
  <si>
    <t>53,94</t>
  </si>
  <si>
    <t>49,64</t>
  </si>
  <si>
    <t>49,99</t>
  </si>
  <si>
    <t>47,02</t>
  </si>
  <si>
    <t>48,23</t>
  </si>
  <si>
    <t>46,19</t>
  </si>
  <si>
    <t>45,36</t>
  </si>
  <si>
    <t>42,17</t>
  </si>
  <si>
    <t>40,77</t>
  </si>
  <si>
    <t>44,87</t>
  </si>
  <si>
    <t>46,15</t>
  </si>
  <si>
    <t>Arch Capital Group Ltd.</t>
  </si>
  <si>
    <t>ACGL</t>
  </si>
  <si>
    <t>27,25</t>
  </si>
  <si>
    <t>23,71</t>
  </si>
  <si>
    <t>21,67</t>
  </si>
  <si>
    <t>21,61</t>
  </si>
  <si>
    <t>20,52</t>
  </si>
  <si>
    <t>20,81</t>
  </si>
  <si>
    <t>20,85</t>
  </si>
  <si>
    <t>21,41</t>
  </si>
  <si>
    <t>22,87</t>
  </si>
  <si>
    <t>22,64</t>
  </si>
  <si>
    <t>21,53</t>
  </si>
  <si>
    <t>19,40</t>
  </si>
  <si>
    <t>17,59</t>
  </si>
  <si>
    <t>17,12</t>
  </si>
  <si>
    <t>Hologic Inc.</t>
  </si>
  <si>
    <t>HOLX</t>
  </si>
  <si>
    <t>36,21</t>
  </si>
  <si>
    <t>34,55</t>
  </si>
  <si>
    <t>34,45</t>
  </si>
  <si>
    <t>30,92</t>
  </si>
  <si>
    <t>31,88</t>
  </si>
  <si>
    <t>31,37</t>
  </si>
  <si>
    <t>35,62</t>
  </si>
  <si>
    <t>35,06</t>
  </si>
  <si>
    <t>37,71</t>
  </si>
  <si>
    <t>34,17</t>
  </si>
  <si>
    <t>32,59</t>
  </si>
  <si>
    <t>C.H. Robinson Worldwide Inc.</t>
  </si>
  <si>
    <t>CHRW</t>
  </si>
  <si>
    <t>69,40</t>
  </si>
  <si>
    <t>70,81</t>
  </si>
  <si>
    <t>62,15</t>
  </si>
  <si>
    <t>62,31</t>
  </si>
  <si>
    <t>61,97</t>
  </si>
  <si>
    <t>59,86</t>
  </si>
  <si>
    <t>60,20</t>
  </si>
  <si>
    <t>57,52</t>
  </si>
  <si>
    <t>66,26</t>
  </si>
  <si>
    <t>PPL Corp.</t>
  </si>
  <si>
    <t>PPL</t>
  </si>
  <si>
    <t>32,26</t>
  </si>
  <si>
    <t>33,99</t>
  </si>
  <si>
    <t>33,43</t>
  </si>
  <si>
    <t>32,21</t>
  </si>
  <si>
    <t>29,47</t>
  </si>
  <si>
    <t>27,67</t>
  </si>
  <si>
    <t>28,79</t>
  </si>
  <si>
    <t>26,46</t>
  </si>
  <si>
    <t>31,63</t>
  </si>
  <si>
    <t>30,41</t>
  </si>
  <si>
    <t>31,44</t>
  </si>
  <si>
    <t>Garmin Ltd.</t>
  </si>
  <si>
    <t>GRMN</t>
  </si>
  <si>
    <t>Consumer Electronics Producers</t>
  </si>
  <si>
    <t>45,93</t>
  </si>
  <si>
    <t>44,12</t>
  </si>
  <si>
    <t>42,80</t>
  </si>
  <si>
    <t>44,03</t>
  </si>
  <si>
    <t>48,62</t>
  </si>
  <si>
    <t>38,21</t>
  </si>
  <si>
    <t>37,22</t>
  </si>
  <si>
    <t>35,09</t>
  </si>
  <si>
    <t>35,83</t>
  </si>
  <si>
    <t>32,17</t>
  </si>
  <si>
    <t>33,58</t>
  </si>
  <si>
    <t>39,44</t>
  </si>
  <si>
    <t>41,44</t>
  </si>
  <si>
    <t>46,38</t>
  </si>
  <si>
    <t>The Home Depot Inc.</t>
  </si>
  <si>
    <t>HD</t>
  </si>
  <si>
    <t>Home Improvement Retail</t>
  </si>
  <si>
    <t>127,01</t>
  </si>
  <si>
    <t>111,32</t>
  </si>
  <si>
    <t>114,48</t>
  </si>
  <si>
    <t>123,72</t>
  </si>
  <si>
    <t>114,98</t>
  </si>
  <si>
    <t>118,72</t>
  </si>
  <si>
    <t>116,91</t>
  </si>
  <si>
    <t>117,16</t>
  </si>
  <si>
    <t>114,26</t>
  </si>
  <si>
    <t>116,22</t>
  </si>
  <si>
    <t>121,77</t>
  </si>
  <si>
    <t>126,72</t>
  </si>
  <si>
    <t>112,12</t>
  </si>
  <si>
    <t>103,48</t>
  </si>
  <si>
    <t>105,93</t>
  </si>
  <si>
    <t>101,52</t>
  </si>
  <si>
    <t>95,56</t>
  </si>
  <si>
    <t>105,75</t>
  </si>
  <si>
    <t>102,34</t>
  </si>
  <si>
    <t>92,49</t>
  </si>
  <si>
    <t>The Kroger Co.</t>
  </si>
  <si>
    <t>KR</t>
  </si>
  <si>
    <t>Food Retail</t>
  </si>
  <si>
    <t>32,69</t>
  </si>
  <si>
    <t>30,56</t>
  </si>
  <si>
    <t>28,27</t>
  </si>
  <si>
    <t>26,40</t>
  </si>
  <si>
    <t>28,70</t>
  </si>
  <si>
    <t>33,13</t>
  </si>
  <si>
    <t>36,74</t>
  </si>
  <si>
    <t>34,28</t>
  </si>
  <si>
    <t>32,32</t>
  </si>
  <si>
    <t>30,80</t>
  </si>
  <si>
    <t>32,55</t>
  </si>
  <si>
    <t>30,78</t>
  </si>
  <si>
    <t>Globe Life Inc.</t>
  </si>
  <si>
    <t>GL</t>
  </si>
  <si>
    <t>57,86</t>
  </si>
  <si>
    <t>56,84</t>
  </si>
  <si>
    <t>55,37</t>
  </si>
  <si>
    <t>55,67</t>
  </si>
  <si>
    <t>55,38</t>
  </si>
  <si>
    <t>47,56</t>
  </si>
  <si>
    <t>47,15</t>
  </si>
  <si>
    <t>52,63</t>
  </si>
  <si>
    <t>57,38</t>
  </si>
  <si>
    <t>52,61</t>
  </si>
  <si>
    <t>50,54</t>
  </si>
  <si>
    <t>52,19</t>
  </si>
  <si>
    <t>55,77</t>
  </si>
  <si>
    <t>52,27</t>
  </si>
  <si>
    <t>52,00</t>
  </si>
  <si>
    <t>50,12</t>
  </si>
  <si>
    <t>51,12</t>
  </si>
  <si>
    <t>47,49</t>
  </si>
  <si>
    <t>44,35</t>
  </si>
  <si>
    <t>Builders FirstSource Inc.</t>
  </si>
  <si>
    <t>BLDR</t>
  </si>
  <si>
    <t>10,39</t>
  </si>
  <si>
    <t>10,46</t>
  </si>
  <si>
    <t>8,82</t>
  </si>
  <si>
    <t>10,24</t>
  </si>
  <si>
    <t>12,33</t>
  </si>
  <si>
    <t>11,54</t>
  </si>
  <si>
    <t>10,13</t>
  </si>
  <si>
    <t>10,57</t>
  </si>
  <si>
    <t>9,68</t>
  </si>
  <si>
    <t>9,90</t>
  </si>
  <si>
    <t>12,74</t>
  </si>
  <si>
    <t>10,72</t>
  </si>
  <si>
    <t>11,36</t>
  </si>
  <si>
    <t>13,22</t>
  </si>
  <si>
    <t>13,61</t>
  </si>
  <si>
    <t>11,53</t>
  </si>
  <si>
    <t>11,19</t>
  </si>
  <si>
    <t>11,40</t>
  </si>
  <si>
    <t>5,24</t>
  </si>
  <si>
    <t>Trane Technologies plc</t>
  </si>
  <si>
    <t>TT</t>
  </si>
  <si>
    <t>71,09</t>
  </si>
  <si>
    <t>60,44</t>
  </si>
  <si>
    <t>60,99</t>
  </si>
  <si>
    <t>47,57</t>
  </si>
  <si>
    <t>55,53</t>
  </si>
  <si>
    <t>58,81</t>
  </si>
  <si>
    <t>Starbucks Corp.</t>
  </si>
  <si>
    <t>SBUX</t>
  </si>
  <si>
    <t>52,59</t>
  </si>
  <si>
    <t>48,17</t>
  </si>
  <si>
    <t>50,44</t>
  </si>
  <si>
    <t>51,95</t>
  </si>
  <si>
    <t>51,43</t>
  </si>
  <si>
    <t>52,42</t>
  </si>
  <si>
    <t>53,59</t>
  </si>
  <si>
    <t>56,16</t>
  </si>
  <si>
    <t>55,27</t>
  </si>
  <si>
    <t>58,11</t>
  </si>
  <si>
    <t>56,74</t>
  </si>
  <si>
    <t>50,93</t>
  </si>
  <si>
    <t>48,84</t>
  </si>
  <si>
    <t>48,13</t>
  </si>
  <si>
    <t>44,29</t>
  </si>
  <si>
    <t>Paychex Inc.</t>
  </si>
  <si>
    <t>PAYX</t>
  </si>
  <si>
    <t>53,05</t>
  </si>
  <si>
    <t>45,51</t>
  </si>
  <si>
    <t>47,42</t>
  </si>
  <si>
    <t>51,35</t>
  </si>
  <si>
    <t>46,78</t>
  </si>
  <si>
    <t>42,68</t>
  </si>
  <si>
    <t>42,00</t>
  </si>
  <si>
    <t>42,09</t>
  </si>
  <si>
    <t>45,02</t>
  </si>
  <si>
    <t>40,09</t>
  </si>
  <si>
    <t>The Progressive Corp.</t>
  </si>
  <si>
    <t>PGR</t>
  </si>
  <si>
    <t>31,50</t>
  </si>
  <si>
    <t>28,02</t>
  </si>
  <si>
    <t>29,09</t>
  </si>
  <si>
    <t>30,17</t>
  </si>
  <si>
    <t>29,92</t>
  </si>
  <si>
    <t>30,85</t>
  </si>
  <si>
    <t>27,45</t>
  </si>
  <si>
    <t>26,75</t>
  </si>
  <si>
    <t>27,61</t>
  </si>
  <si>
    <t>24,98</t>
  </si>
  <si>
    <t>24,91</t>
  </si>
  <si>
    <t>23,77</t>
  </si>
  <si>
    <t>22,99</t>
  </si>
  <si>
    <t>Kimco Realty Corp.</t>
  </si>
  <si>
    <t>KIM</t>
  </si>
  <si>
    <t>24,16</t>
  </si>
  <si>
    <t>24,28</t>
  </si>
  <si>
    <t>26,96</t>
  </si>
  <si>
    <t>28,73</t>
  </si>
  <si>
    <t>28,26</t>
  </si>
  <si>
    <t>24,55</t>
  </si>
  <si>
    <t>25,27</t>
  </si>
  <si>
    <t>24,62</t>
  </si>
  <si>
    <t>24,70</t>
  </si>
  <si>
    <t>22,37</t>
  </si>
  <si>
    <t>20,24</t>
  </si>
  <si>
    <t>21,83</t>
  </si>
  <si>
    <t>24,99</t>
  </si>
  <si>
    <t>23,44</t>
  </si>
  <si>
    <t>24,49</t>
  </si>
  <si>
    <t>Nasdaq Inc.</t>
  </si>
  <si>
    <t>NDAQ</t>
  </si>
  <si>
    <t>19,46</t>
  </si>
  <si>
    <t>20,03</t>
  </si>
  <si>
    <t>19,43</t>
  </si>
  <si>
    <t>19,10</t>
  </si>
  <si>
    <t>17,50</t>
  </si>
  <si>
    <t>14,61</t>
  </si>
  <si>
    <t>14,48</t>
  </si>
  <si>
    <t>14,91</t>
  </si>
  <si>
    <t>13,46</t>
  </si>
  <si>
    <t>Hubbell Inc.</t>
  </si>
  <si>
    <t>HUBB</t>
  </si>
  <si>
    <t>110,55</t>
  </si>
  <si>
    <t>106,22</t>
  </si>
  <si>
    <t>95,85</t>
  </si>
  <si>
    <t>97,16</t>
  </si>
  <si>
    <t>96,50</t>
  </si>
  <si>
    <t>94,97</t>
  </si>
  <si>
    <t>93,01</t>
  </si>
  <si>
    <t>91,47</t>
  </si>
  <si>
    <t>93,03</t>
  </si>
  <si>
    <t>93,98</t>
  </si>
  <si>
    <t>87,83</t>
  </si>
  <si>
    <t>94,51</t>
  </si>
  <si>
    <t>97,21</t>
  </si>
  <si>
    <t>102,04</t>
  </si>
  <si>
    <t>101,49</t>
  </si>
  <si>
    <t>93,92</t>
  </si>
  <si>
    <t>FedEx Corp.</t>
  </si>
  <si>
    <t>FDX</t>
  </si>
  <si>
    <t>181,32</t>
  </si>
  <si>
    <t>159,05</t>
  </si>
  <si>
    <t>155,40</t>
  </si>
  <si>
    <t>147,95</t>
  </si>
  <si>
    <t>144,89</t>
  </si>
  <si>
    <t>136,67</t>
  </si>
  <si>
    <t>148,23</t>
  </si>
  <si>
    <t>144,17</t>
  </si>
  <si>
    <t>142,88</t>
  </si>
  <si>
    <t>126,00</t>
  </si>
  <si>
    <t>122,80</t>
  </si>
  <si>
    <t>137,18</t>
  </si>
  <si>
    <t>150,07</t>
  </si>
  <si>
    <t>129,01</t>
  </si>
  <si>
    <t>134,46</t>
  </si>
  <si>
    <t>155,16</t>
  </si>
  <si>
    <t>152,98</t>
  </si>
  <si>
    <t>157,83</t>
  </si>
  <si>
    <t>151,47</t>
  </si>
  <si>
    <t>154,01</t>
  </si>
  <si>
    <t>149,79</t>
  </si>
  <si>
    <t>NIKE Inc.</t>
  </si>
  <si>
    <t>NKE</t>
  </si>
  <si>
    <t>48,15</t>
  </si>
  <si>
    <t>47,37</t>
  </si>
  <si>
    <t>51,71</t>
  </si>
  <si>
    <t>49,67</t>
  </si>
  <si>
    <t>49,62</t>
  </si>
  <si>
    <t>51,46</t>
  </si>
  <si>
    <t>53,97</t>
  </si>
  <si>
    <t>56,70</t>
  </si>
  <si>
    <t>57,55</t>
  </si>
  <si>
    <t>62,60</t>
  </si>
  <si>
    <t>55,09</t>
  </si>
  <si>
    <t>49,88</t>
  </si>
  <si>
    <t>46,32</t>
  </si>
  <si>
    <t>44,14</t>
  </si>
  <si>
    <t>46,70</t>
  </si>
  <si>
    <t>43,31</t>
  </si>
  <si>
    <t>40,86</t>
  </si>
  <si>
    <t>JPMorgan Chase &amp; Co.</t>
  </si>
  <si>
    <t>JPM</t>
  </si>
  <si>
    <t>81,74</t>
  </si>
  <si>
    <t>63,19</t>
  </si>
  <si>
    <t>59,24</t>
  </si>
  <si>
    <t>60,55</t>
  </si>
  <si>
    <t>57,25</t>
  </si>
  <si>
    <t>58,65</t>
  </si>
  <si>
    <t>55,18</t>
  </si>
  <si>
    <t>51,83</t>
  </si>
  <si>
    <t>54,99</t>
  </si>
  <si>
    <t>58,27</t>
  </si>
  <si>
    <t>54,63</t>
  </si>
  <si>
    <t>60,83</t>
  </si>
  <si>
    <t>59,94</t>
  </si>
  <si>
    <t>56,39</t>
  </si>
  <si>
    <t>54,65</t>
  </si>
  <si>
    <t>Targa Resources Corp.</t>
  </si>
  <si>
    <t>TRGP</t>
  </si>
  <si>
    <t>50,41</t>
  </si>
  <si>
    <t>43,69</t>
  </si>
  <si>
    <t>39,09</t>
  </si>
  <si>
    <t>37,94</t>
  </si>
  <si>
    <t>35,33</t>
  </si>
  <si>
    <t>24,74</t>
  </si>
  <si>
    <t>20,77</t>
  </si>
  <si>
    <t>24,92</t>
  </si>
  <si>
    <t>37,20</t>
  </si>
  <si>
    <t>46,16</t>
  </si>
  <si>
    <t>58,98</t>
  </si>
  <si>
    <t>80,06</t>
  </si>
  <si>
    <t>93,76</t>
  </si>
  <si>
    <t>89,17</t>
  </si>
  <si>
    <t>88,81</t>
  </si>
  <si>
    <t>76,91</t>
  </si>
  <si>
    <t>Take-Two Interactive Software</t>
  </si>
  <si>
    <t>TTWO</t>
  </si>
  <si>
    <t>46,69</t>
  </si>
  <si>
    <t>46,57</t>
  </si>
  <si>
    <t>38,99</t>
  </si>
  <si>
    <t>34,15</t>
  </si>
  <si>
    <t>34,96</t>
  </si>
  <si>
    <t>29,84</t>
  </si>
  <si>
    <t>33,48</t>
  </si>
  <si>
    <t>23,69</t>
  </si>
  <si>
    <t>T-Mobile US Inc.</t>
  </si>
  <si>
    <t>TMUS</t>
  </si>
  <si>
    <t>Wireless Telecommunication Services</t>
  </si>
  <si>
    <t>51,28</t>
  </si>
  <si>
    <t>41,56</t>
  </si>
  <si>
    <t>41,47</t>
  </si>
  <si>
    <t>38,96</t>
  </si>
  <si>
    <t>38,42</t>
  </si>
  <si>
    <t>33,60</t>
  </si>
  <si>
    <t>34,36</t>
  </si>
  <si>
    <t>35,67</t>
  </si>
  <si>
    <t>36,80</t>
  </si>
  <si>
    <t>29,50</t>
  </si>
  <si>
    <t>Verizon Communications Inc.</t>
  </si>
  <si>
    <t>VZ</t>
  </si>
  <si>
    <t>50,57</t>
  </si>
  <si>
    <t>47,21</t>
  </si>
  <si>
    <t>43,89</t>
  </si>
  <si>
    <t>45,74</t>
  </si>
  <si>
    <t>44,48</t>
  </si>
  <si>
    <t>47,48</t>
  </si>
  <si>
    <t>43,02</t>
  </si>
  <si>
    <t>41,08</t>
  </si>
  <si>
    <t>42,35</t>
  </si>
  <si>
    <t>45,05</t>
  </si>
  <si>
    <t>45,27</t>
  </si>
  <si>
    <t>44,10</t>
  </si>
  <si>
    <t>Aptiv PLC</t>
  </si>
  <si>
    <t>APTV</t>
  </si>
  <si>
    <t>Automotive Parts and Equipment</t>
  </si>
  <si>
    <t>60,54</t>
  </si>
  <si>
    <t>63,39</t>
  </si>
  <si>
    <t>60,70</t>
  </si>
  <si>
    <t>56,37</t>
  </si>
  <si>
    <t>61,38</t>
  </si>
  <si>
    <t>60,01</t>
  </si>
  <si>
    <t>78,94</t>
  </si>
  <si>
    <t>68,14</t>
  </si>
  <si>
    <t>79,25</t>
  </si>
  <si>
    <t>74,23</t>
  </si>
  <si>
    <t>60,88</t>
  </si>
  <si>
    <t>Carnival Corp. &amp; plc</t>
  </si>
  <si>
    <t>CCL</t>
  </si>
  <si>
    <t>48,63</t>
  </si>
  <si>
    <t>42,88</t>
  </si>
  <si>
    <t>42,90</t>
  </si>
  <si>
    <t>46,33</t>
  </si>
  <si>
    <t>47,83</t>
  </si>
  <si>
    <t>44,53</t>
  </si>
  <si>
    <t>43,95</t>
  </si>
  <si>
    <t>42,21</t>
  </si>
  <si>
    <t>39,23</t>
  </si>
  <si>
    <t>38,94</t>
  </si>
  <si>
    <t>EchoStar Corp.</t>
  </si>
  <si>
    <t>SATS</t>
  </si>
  <si>
    <t>Cable and Satellite</t>
  </si>
  <si>
    <t>48,68</t>
  </si>
  <si>
    <t>42,65</t>
  </si>
  <si>
    <t>35,98</t>
  </si>
  <si>
    <t>35,73</t>
  </si>
  <si>
    <t>38,89</t>
  </si>
  <si>
    <t>36,01</t>
  </si>
  <si>
    <t>39,82</t>
  </si>
  <si>
    <t>43,70</t>
  </si>
  <si>
    <t>45,65</t>
  </si>
  <si>
    <t>44,66</t>
  </si>
  <si>
    <t>48,47</t>
  </si>
  <si>
    <t>Oracle Corporation</t>
  </si>
  <si>
    <t>ORCL</t>
  </si>
  <si>
    <t>38,02</t>
  </si>
  <si>
    <t>35,05</t>
  </si>
  <si>
    <t>36,98</t>
  </si>
  <si>
    <t>36,86</t>
  </si>
  <si>
    <t>35,92</t>
  </si>
  <si>
    <t>36,89</t>
  </si>
  <si>
    <t>35,22</t>
  </si>
  <si>
    <t>33,11</t>
  </si>
  <si>
    <t>36,18</t>
  </si>
  <si>
    <t>39,63</t>
  </si>
  <si>
    <t>40,17</t>
  </si>
  <si>
    <t>CRH plc</t>
  </si>
  <si>
    <t>CRH</t>
  </si>
  <si>
    <t>Construction Materials</t>
  </si>
  <si>
    <t>29,52</t>
  </si>
  <si>
    <t>26,62</t>
  </si>
  <si>
    <t>27,14</t>
  </si>
  <si>
    <t>24,01</t>
  </si>
  <si>
    <t>24,07</t>
  </si>
  <si>
    <t>24,67</t>
  </si>
  <si>
    <t>23,23</t>
  </si>
  <si>
    <t>26,27</t>
  </si>
  <si>
    <t>26,07</t>
  </si>
  <si>
    <t>25,23</t>
  </si>
  <si>
    <t>24,97</t>
  </si>
  <si>
    <t>23,97</t>
  </si>
  <si>
    <t>Tesla Inc.</t>
  </si>
  <si>
    <t>TSLA</t>
  </si>
  <si>
    <t>Automobile Manufacturers</t>
  </si>
  <si>
    <t>11,94</t>
  </si>
  <si>
    <t>12,03</t>
  </si>
  <si>
    <t>12,10</t>
  </si>
  <si>
    <t>14,01</t>
  </si>
  <si>
    <t>13,45</t>
  </si>
  <si>
    <t>11,78</t>
  </si>
  <si>
    <t>14,73</t>
  </si>
  <si>
    <t>12,51</t>
  </si>
  <si>
    <t>14,84</t>
  </si>
  <si>
    <t>14,82</t>
  </si>
  <si>
    <t>11,71</t>
  </si>
  <si>
    <t>APA Corp.</t>
  </si>
  <si>
    <t>APA</t>
  </si>
  <si>
    <t>60,13</t>
  </si>
  <si>
    <t>54,27</t>
  </si>
  <si>
    <t>56,82</t>
  </si>
  <si>
    <t>46,98</t>
  </si>
  <si>
    <t>50,13</t>
  </si>
  <si>
    <t>39,31</t>
  </si>
  <si>
    <t>40,95</t>
  </si>
  <si>
    <t>46,55</t>
  </si>
  <si>
    <t>51,74</t>
  </si>
  <si>
    <t>55,42</t>
  </si>
  <si>
    <t>Huntington Ingalls Indstrs Inc</t>
  </si>
  <si>
    <t>HII</t>
  </si>
  <si>
    <t>174,48</t>
  </si>
  <si>
    <t>169,11</t>
  </si>
  <si>
    <t>147,22</t>
  </si>
  <si>
    <t>136,49</t>
  </si>
  <si>
    <t>148,17</t>
  </si>
  <si>
    <t>154,45</t>
  </si>
  <si>
    <t>151,30</t>
  </si>
  <si>
    <t>126,41</t>
  </si>
  <si>
    <t>120,24</t>
  </si>
  <si>
    <t>120,65</t>
  </si>
  <si>
    <t>118,18</t>
  </si>
  <si>
    <t>116,80</t>
  </si>
  <si>
    <t>123,92</t>
  </si>
  <si>
    <t>108,77</t>
  </si>
  <si>
    <t>96,01</t>
  </si>
  <si>
    <t>100,51</t>
  </si>
  <si>
    <t>106,27</t>
  </si>
  <si>
    <t>130,46</t>
  </si>
  <si>
    <t>126,05</t>
  </si>
  <si>
    <t>103,28</t>
  </si>
  <si>
    <t>Applied Materials Inc.</t>
  </si>
  <si>
    <t>AMAT</t>
  </si>
  <si>
    <t>30,57</t>
  </si>
  <si>
    <t>23,53</t>
  </si>
  <si>
    <t>21,58</t>
  </si>
  <si>
    <t>17,37</t>
  </si>
  <si>
    <t>16,31</t>
  </si>
  <si>
    <t>17,19</t>
  </si>
  <si>
    <t>17,77</t>
  </si>
  <si>
    <t>15,21</t>
  </si>
  <si>
    <t>13,16</t>
  </si>
  <si>
    <t>21,00</t>
  </si>
  <si>
    <t>22,34</t>
  </si>
  <si>
    <t>Air Products &amp; Chemicals Inc.</t>
  </si>
  <si>
    <t>APD</t>
  </si>
  <si>
    <t>136,24</t>
  </si>
  <si>
    <t>136,66</t>
  </si>
  <si>
    <t>121,73</t>
  </si>
  <si>
    <t>133,75</t>
  </si>
  <si>
    <t>139,60</t>
  </si>
  <si>
    <t>133,72</t>
  </si>
  <si>
    <t>127,90</t>
  </si>
  <si>
    <t>128,17</t>
  </si>
  <si>
    <t>127,38</t>
  </si>
  <si>
    <t>126,48</t>
  </si>
  <si>
    <t>121,95</t>
  </si>
  <si>
    <t>117,10</t>
  </si>
  <si>
    <t>119,80</t>
  </si>
  <si>
    <t>129,57</t>
  </si>
  <si>
    <t>126,03</t>
  </si>
  <si>
    <t>114,32</t>
  </si>
  <si>
    <t>124,57</t>
  </si>
  <si>
    <t>128,99</t>
  </si>
  <si>
    <t>122,84</t>
  </si>
  <si>
    <t>128,12</t>
  </si>
  <si>
    <t>140,82</t>
  </si>
  <si>
    <t>139,25</t>
  </si>
  <si>
    <t>128,97</t>
  </si>
  <si>
    <t>Gartner Inc.</t>
  </si>
  <si>
    <t>IT</t>
  </si>
  <si>
    <t>97,27</t>
  </si>
  <si>
    <t>89,72</t>
  </si>
  <si>
    <t>87,71</t>
  </si>
  <si>
    <t>78,45</t>
  </si>
  <si>
    <t>81,22</t>
  </si>
  <si>
    <t>88,31</t>
  </si>
  <si>
    <t>82,22</t>
  </si>
  <si>
    <t>75,21</t>
  </si>
  <si>
    <t>77,01</t>
  </si>
  <si>
    <t>79,71</t>
  </si>
  <si>
    <t>74,12</t>
  </si>
  <si>
    <t>74,60</t>
  </si>
  <si>
    <t>DTE Energy Co.</t>
  </si>
  <si>
    <t>DTE</t>
  </si>
  <si>
    <t>93,32</t>
  </si>
  <si>
    <t>88,06</t>
  </si>
  <si>
    <t>87,60</t>
  </si>
  <si>
    <t>83,33</t>
  </si>
  <si>
    <t>87,28</t>
  </si>
  <si>
    <t>89,25</t>
  </si>
  <si>
    <t>81,48</t>
  </si>
  <si>
    <t>77,44</t>
  </si>
  <si>
    <t>78,56</t>
  </si>
  <si>
    <t>73,83</t>
  </si>
  <si>
    <t>72,02</t>
  </si>
  <si>
    <t>69,69</t>
  </si>
  <si>
    <t>71,13</t>
  </si>
  <si>
    <t>75,11</t>
  </si>
  <si>
    <t>73,16</t>
  </si>
  <si>
    <t>79,42</t>
  </si>
  <si>
    <t>Marathon Petroleum Corp.</t>
  </si>
  <si>
    <t>MPC</t>
  </si>
  <si>
    <t>Oil and Gas Refining and Marketing</t>
  </si>
  <si>
    <t>36,11</t>
  </si>
  <si>
    <t>38,13</t>
  </si>
  <si>
    <t>35,25</t>
  </si>
  <si>
    <t>34,18</t>
  </si>
  <si>
    <t>34,12</t>
  </si>
  <si>
    <t>32,65</t>
  </si>
  <si>
    <t>47,73</t>
  </si>
  <si>
    <t>49,48</t>
  </si>
  <si>
    <t>46,96</t>
  </si>
  <si>
    <t>46,82</t>
  </si>
  <si>
    <t>41,01</t>
  </si>
  <si>
    <t>CenterPoint Energy Inc.</t>
  </si>
  <si>
    <t>CNP</t>
  </si>
  <si>
    <t>22,57</t>
  </si>
  <si>
    <t>20,16</t>
  </si>
  <si>
    <t>18,37</t>
  </si>
  <si>
    <t>17,15</t>
  </si>
  <si>
    <t>16,90</t>
  </si>
  <si>
    <t>16,16</t>
  </si>
  <si>
    <t>17,51</t>
  </si>
  <si>
    <t>17,08</t>
  </si>
  <si>
    <t>19,00</t>
  </si>
  <si>
    <t>18,54</t>
  </si>
  <si>
    <t>20,45</t>
  </si>
  <si>
    <t>Consolidated Edison Inc.</t>
  </si>
  <si>
    <t>ED</t>
  </si>
  <si>
    <t>69,80</t>
  </si>
  <si>
    <t>66,00</t>
  </si>
  <si>
    <t>66,99</t>
  </si>
  <si>
    <t>67,50</t>
  </si>
  <si>
    <t>72,43</t>
  </si>
  <si>
    <t>65,83</t>
  </si>
  <si>
    <t>65,14</t>
  </si>
  <si>
    <t>59,18</t>
  </si>
  <si>
    <t>59,63</t>
  </si>
  <si>
    <t>56,35</t>
  </si>
  <si>
    <t>54,98</t>
  </si>
  <si>
    <t>56,78</t>
  </si>
  <si>
    <t>56,31</t>
  </si>
  <si>
    <t>61,36</t>
  </si>
  <si>
    <t>The Williams Companies Inc.</t>
  </si>
  <si>
    <t>WMB</t>
  </si>
  <si>
    <t>29,04</t>
  </si>
  <si>
    <t>26,64</t>
  </si>
  <si>
    <t>27,34</t>
  </si>
  <si>
    <t>25,06</t>
  </si>
  <si>
    <t>19,48</t>
  </si>
  <si>
    <t>16,93</t>
  </si>
  <si>
    <t>14,11</t>
  </si>
  <si>
    <t>33,02</t>
  </si>
  <si>
    <t>43,03</t>
  </si>
  <si>
    <t>51,52</t>
  </si>
  <si>
    <t>46,56</t>
  </si>
  <si>
    <t>47,09</t>
  </si>
  <si>
    <t>38,85</t>
  </si>
  <si>
    <t>Diamondback Energy Inc.</t>
  </si>
  <si>
    <t>FANG</t>
  </si>
  <si>
    <t>95,73</t>
  </si>
  <si>
    <t>102,03</t>
  </si>
  <si>
    <t>85,89</t>
  </si>
  <si>
    <t>82,13</t>
  </si>
  <si>
    <t>81,72</t>
  </si>
  <si>
    <t>75,60</t>
  </si>
  <si>
    <t>65,59</t>
  </si>
  <si>
    <t>61,60</t>
  </si>
  <si>
    <t>73,85</t>
  </si>
  <si>
    <t>66,96</t>
  </si>
  <si>
    <t>57,88</t>
  </si>
  <si>
    <t>60,92</t>
  </si>
  <si>
    <t>70,90</t>
  </si>
  <si>
    <t>63,51</t>
  </si>
  <si>
    <t>Atmos Energy Corp.</t>
  </si>
  <si>
    <t>ATO</t>
  </si>
  <si>
    <t>Gas Utilities</t>
  </si>
  <si>
    <t>67,87</t>
  </si>
  <si>
    <t>66,25</t>
  </si>
  <si>
    <t>71,41</t>
  </si>
  <si>
    <t>73,22</t>
  </si>
  <si>
    <t>63,90</t>
  </si>
  <si>
    <t>63,97</t>
  </si>
  <si>
    <t>52,13</t>
  </si>
  <si>
    <t>48,91</t>
  </si>
  <si>
    <t>47,30</t>
  </si>
  <si>
    <t>American Water Works Co.</t>
  </si>
  <si>
    <t>AWK</t>
  </si>
  <si>
    <t>Water Utilities</t>
  </si>
  <si>
    <t>68,56</t>
  </si>
  <si>
    <t>60,52</t>
  </si>
  <si>
    <t>59,67</t>
  </si>
  <si>
    <t>46,37</t>
  </si>
  <si>
    <t>43,66</t>
  </si>
  <si>
    <t>United Rentals Inc.</t>
  </si>
  <si>
    <t>URI</t>
  </si>
  <si>
    <t>100,02</t>
  </si>
  <si>
    <t>95,65</t>
  </si>
  <si>
    <t>71,30</t>
  </si>
  <si>
    <t>54,61</t>
  </si>
  <si>
    <t>44,28</t>
  </si>
  <si>
    <t>67,89</t>
  </si>
  <si>
    <t>53,81</t>
  </si>
  <si>
    <t>61,89</t>
  </si>
  <si>
    <t>60,64</t>
  </si>
  <si>
    <t>78,66</t>
  </si>
  <si>
    <t>81,01</t>
  </si>
  <si>
    <t>86,27</t>
  </si>
  <si>
    <t>The Allstate Corp.</t>
  </si>
  <si>
    <t>ALL</t>
  </si>
  <si>
    <t>70,21</t>
  </si>
  <si>
    <t>61,86</t>
  </si>
  <si>
    <t>62,99</t>
  </si>
  <si>
    <t>60,66</t>
  </si>
  <si>
    <t>56,80</t>
  </si>
  <si>
    <t>59,15</t>
  </si>
  <si>
    <t>56,00</t>
  </si>
  <si>
    <t>57,17</t>
  </si>
  <si>
    <t>56,12</t>
  </si>
  <si>
    <t>52,03</t>
  </si>
  <si>
    <t>58,24</t>
  </si>
  <si>
    <t>62,22</t>
  </si>
  <si>
    <t>61,82</t>
  </si>
  <si>
    <t>3M Co.</t>
  </si>
  <si>
    <t>MMM</t>
  </si>
  <si>
    <t>169,16</t>
  </si>
  <si>
    <t>162,47</t>
  </si>
  <si>
    <t>150,82</t>
  </si>
  <si>
    <t>156,78</t>
  </si>
  <si>
    <t>160,79</t>
  </si>
  <si>
    <t>159,62</t>
  </si>
  <si>
    <t>157,69</t>
  </si>
  <si>
    <t>151,24</t>
  </si>
  <si>
    <t>146,15</t>
  </si>
  <si>
    <t>146,31</t>
  </si>
  <si>
    <t>144,41</t>
  </si>
  <si>
    <t>139,55</t>
  </si>
  <si>
    <t>138,70</t>
  </si>
  <si>
    <t>148,21</t>
  </si>
  <si>
    <t>142,57</t>
  </si>
  <si>
    <t>127,03</t>
  </si>
  <si>
    <t>126,90</t>
  </si>
  <si>
    <t>136,99</t>
  </si>
  <si>
    <t>138,52</t>
  </si>
  <si>
    <t>144,95</t>
  </si>
  <si>
    <t>153,54</t>
  </si>
  <si>
    <t>150,41</t>
  </si>
  <si>
    <t>143,76</t>
  </si>
  <si>
    <t>Moody's Corp.</t>
  </si>
  <si>
    <t>MCO</t>
  </si>
  <si>
    <t>89,30</t>
  </si>
  <si>
    <t>95,07</t>
  </si>
  <si>
    <t>96,33</t>
  </si>
  <si>
    <t>94,87</t>
  </si>
  <si>
    <t>84,38</t>
  </si>
  <si>
    <t>88,63</t>
  </si>
  <si>
    <t>83,58</t>
  </si>
  <si>
    <t>84,78</t>
  </si>
  <si>
    <t>82,38</t>
  </si>
  <si>
    <t>92,39</t>
  </si>
  <si>
    <t>87,20</t>
  </si>
  <si>
    <t>99,96</t>
  </si>
  <si>
    <t>96,92</t>
  </si>
  <si>
    <t>98,50</t>
  </si>
  <si>
    <t>96,04</t>
  </si>
  <si>
    <t>96,62</t>
  </si>
  <si>
    <t>86,46</t>
  </si>
  <si>
    <t>80,90</t>
  </si>
  <si>
    <t>Freeport-McMoRan Inc.</t>
  </si>
  <si>
    <t>FCX</t>
  </si>
  <si>
    <t>Copper</t>
  </si>
  <si>
    <t>12,49</t>
  </si>
  <si>
    <t>14,52</t>
  </si>
  <si>
    <t>9,66</t>
  </si>
  <si>
    <t>9,23</t>
  </si>
  <si>
    <t>11,60</t>
  </si>
  <si>
    <t>12,22</t>
  </si>
  <si>
    <t>9,08</t>
  </si>
  <si>
    <t>7,02</t>
  </si>
  <si>
    <t>4,25</t>
  </si>
  <si>
    <t>7,74</t>
  </si>
  <si>
    <t>10,67</t>
  </si>
  <si>
    <t>9,50</t>
  </si>
  <si>
    <t>10,64</t>
  </si>
  <si>
    <t>16,72</t>
  </si>
  <si>
    <t>17,90</t>
  </si>
  <si>
    <t>20,79</t>
  </si>
  <si>
    <t>17,64</t>
  </si>
  <si>
    <t>19,29</t>
  </si>
  <si>
    <t>14,89</t>
  </si>
  <si>
    <t>CDW Corp.</t>
  </si>
  <si>
    <t>CDW</t>
  </si>
  <si>
    <t>Technology Distributors</t>
  </si>
  <si>
    <t>40,68</t>
  </si>
  <si>
    <t>38,24</t>
  </si>
  <si>
    <t>36,44</t>
  </si>
  <si>
    <t>35,53</t>
  </si>
  <si>
    <t>40,53</t>
  </si>
  <si>
    <t>32,52</t>
  </si>
  <si>
    <t>34,23</t>
  </si>
  <si>
    <t>34,66</t>
  </si>
  <si>
    <t>30,35</t>
  </si>
  <si>
    <t>AMETEK Inc.</t>
  </si>
  <si>
    <t>AME</t>
  </si>
  <si>
    <t>40,24</t>
  </si>
  <si>
    <t>43,73</t>
  </si>
  <si>
    <t>43,48</t>
  </si>
  <si>
    <t>46,88</t>
  </si>
  <si>
    <t>48,05</t>
  </si>
  <si>
    <t>49,18</t>
  </si>
  <si>
    <t>48,98</t>
  </si>
  <si>
    <t>47,39</t>
  </si>
  <si>
    <t>42,43</t>
  </si>
  <si>
    <t>A. O. Smith Corp.</t>
  </si>
  <si>
    <t>AOS</t>
  </si>
  <si>
    <t>46,00</t>
  </si>
  <si>
    <t>41,21</t>
  </si>
  <si>
    <t>43,94</t>
  </si>
  <si>
    <t>43,27</t>
  </si>
  <si>
    <t>33,71</t>
  </si>
  <si>
    <t>33,50</t>
  </si>
  <si>
    <t>32,28</t>
  </si>
  <si>
    <t>35,27</t>
  </si>
  <si>
    <t>34,83</t>
  </si>
  <si>
    <t>28,54</t>
  </si>
  <si>
    <t>28,11</t>
  </si>
  <si>
    <t>Brown &amp; Brown Inc.</t>
  </si>
  <si>
    <t>BRO</t>
  </si>
  <si>
    <t>20,50</t>
  </si>
  <si>
    <t>16,77</t>
  </si>
  <si>
    <t>16,81</t>
  </si>
  <si>
    <t>16,87</t>
  </si>
  <si>
    <t>16,20</t>
  </si>
  <si>
    <t>15,33</t>
  </si>
  <si>
    <t>14,87</t>
  </si>
  <si>
    <t>14,78</t>
  </si>
  <si>
    <t>15,36</t>
  </si>
  <si>
    <t>14,63</t>
  </si>
  <si>
    <t>13,88</t>
  </si>
  <si>
    <t>15,14</t>
  </si>
  <si>
    <t>14,27</t>
  </si>
  <si>
    <t>14,33</t>
  </si>
  <si>
    <t>13,66</t>
  </si>
  <si>
    <t>Hilton Worldwide Holdings Inc</t>
  </si>
  <si>
    <t>HLT</t>
  </si>
  <si>
    <t>62,26</t>
  </si>
  <si>
    <t>56,02</t>
  </si>
  <si>
    <t>57,76</t>
  </si>
  <si>
    <t>59,32</t>
  </si>
  <si>
    <t>57,39</t>
  </si>
  <si>
    <t>59,11</t>
  </si>
  <si>
    <t>67,99</t>
  </si>
  <si>
    <t>61,67</t>
  </si>
  <si>
    <t>72,91</t>
  </si>
  <si>
    <t>74,20</t>
  </si>
  <si>
    <t>79,16</t>
  </si>
  <si>
    <t>75,64</t>
  </si>
  <si>
    <t>69,01</t>
  </si>
  <si>
    <t>Simon Property Group</t>
  </si>
  <si>
    <t>SPG</t>
  </si>
  <si>
    <t>168,31</t>
  </si>
  <si>
    <t>169,95</t>
  </si>
  <si>
    <t>169,67</t>
  </si>
  <si>
    <t>184,17</t>
  </si>
  <si>
    <t>193,29</t>
  </si>
  <si>
    <t>203,19</t>
  </si>
  <si>
    <t>195,31</t>
  </si>
  <si>
    <t>177,59</t>
  </si>
  <si>
    <t>175,65</t>
  </si>
  <si>
    <t>182,36</t>
  </si>
  <si>
    <t>174,66</t>
  </si>
  <si>
    <t>172,15</t>
  </si>
  <si>
    <t>179,03</t>
  </si>
  <si>
    <t>176,29</t>
  </si>
  <si>
    <t>182,69</t>
  </si>
  <si>
    <t>164,62</t>
  </si>
  <si>
    <t>160,09</t>
  </si>
  <si>
    <t>169,46</t>
  </si>
  <si>
    <t>155,33</t>
  </si>
  <si>
    <t>165,28</t>
  </si>
  <si>
    <t>162,12</t>
  </si>
  <si>
    <t>182,11</t>
  </si>
  <si>
    <t>169,77</t>
  </si>
  <si>
    <t>175,96</t>
  </si>
  <si>
    <t>Caterpillar Inc.</t>
  </si>
  <si>
    <t>CAT</t>
  </si>
  <si>
    <t>87,85</t>
  </si>
  <si>
    <t>73,51</t>
  </si>
  <si>
    <t>68,26</t>
  </si>
  <si>
    <t>62,32</t>
  </si>
  <si>
    <t>68,77</t>
  </si>
  <si>
    <t>66,19</t>
  </si>
  <si>
    <t>58,57</t>
  </si>
  <si>
    <t>68,24</t>
  </si>
  <si>
    <t>Edwards Lifesciences Corp.</t>
  </si>
  <si>
    <t>EW</t>
  </si>
  <si>
    <t>26,13</t>
  </si>
  <si>
    <t>34,43</t>
  </si>
  <si>
    <t>34,16</t>
  </si>
  <si>
    <t>29,93</t>
  </si>
  <si>
    <t>24,09</t>
  </si>
  <si>
    <t>23,75</t>
  </si>
  <si>
    <t>20,96</t>
  </si>
  <si>
    <t>22,95</t>
  </si>
  <si>
    <t>21,31</t>
  </si>
  <si>
    <t>18,86</t>
  </si>
  <si>
    <t>22,10</t>
  </si>
  <si>
    <t>Accenture plc</t>
  </si>
  <si>
    <t>ACN</t>
  </si>
  <si>
    <t>110,96</t>
  </si>
  <si>
    <t>112,98</t>
  </si>
  <si>
    <t>106,06</t>
  </si>
  <si>
    <t>103,16</t>
  </si>
  <si>
    <t>100,96</t>
  </si>
  <si>
    <t>102,01</t>
  </si>
  <si>
    <t>106,90</t>
  </si>
  <si>
    <t>98,60</t>
  </si>
  <si>
    <t>101,33</t>
  </si>
  <si>
    <t>92,29</t>
  </si>
  <si>
    <t>96,22</t>
  </si>
  <si>
    <t>88,05</t>
  </si>
  <si>
    <t>84,16</t>
  </si>
  <si>
    <t>93,33</t>
  </si>
  <si>
    <t>86,88</t>
  </si>
  <si>
    <t>87,51</t>
  </si>
  <si>
    <t>82,76</t>
  </si>
  <si>
    <t>87,21</t>
  </si>
  <si>
    <t>80,29</t>
  </si>
  <si>
    <t>74,43</t>
  </si>
  <si>
    <t>Interactive Brokers Group Inc.</t>
  </si>
  <si>
    <t>IBKR</t>
  </si>
  <si>
    <t>8,65</t>
  </si>
  <si>
    <t>7,84</t>
  </si>
  <si>
    <t>8,05</t>
  </si>
  <si>
    <t>7,80</t>
  </si>
  <si>
    <t>7,97</t>
  </si>
  <si>
    <t>9,03</t>
  </si>
  <si>
    <t>8,29</t>
  </si>
  <si>
    <t>7,46</t>
  </si>
  <si>
    <t>10,04</t>
  </si>
  <si>
    <t>10,26</t>
  </si>
  <si>
    <t>9,33</t>
  </si>
  <si>
    <t>8,91</t>
  </si>
  <si>
    <t>9,09</t>
  </si>
  <si>
    <t>8,13</t>
  </si>
  <si>
    <t>7,58</t>
  </si>
  <si>
    <t>7,11</t>
  </si>
  <si>
    <t>6,78</t>
  </si>
  <si>
    <t>Kimberly-Clark Corp.</t>
  </si>
  <si>
    <t>KMB</t>
  </si>
  <si>
    <t>108,11</t>
  </si>
  <si>
    <t>109,37</t>
  </si>
  <si>
    <t>104,39</t>
  </si>
  <si>
    <t>112,22</t>
  </si>
  <si>
    <t>114,88</t>
  </si>
  <si>
    <t>123,79</t>
  </si>
  <si>
    <t>114,15</t>
  </si>
  <si>
    <t>109,31</t>
  </si>
  <si>
    <t>119,95</t>
  </si>
  <si>
    <t>118,68</t>
  </si>
  <si>
    <t>117,21</t>
  </si>
  <si>
    <t>112,78</t>
  </si>
  <si>
    <t>108,56</t>
  </si>
  <si>
    <t>97,71</t>
  </si>
  <si>
    <t>95,10</t>
  </si>
  <si>
    <t>104,07</t>
  </si>
  <si>
    <t>95,13</t>
  </si>
  <si>
    <t>99,19</t>
  </si>
  <si>
    <t>99,70</t>
  </si>
  <si>
    <t>Ecolab Inc.</t>
  </si>
  <si>
    <t>ECL</t>
  </si>
  <si>
    <t>111,04</t>
  </si>
  <si>
    <t>110,43</t>
  </si>
  <si>
    <t>104,17</t>
  </si>
  <si>
    <t>108,29</t>
  </si>
  <si>
    <t>110,38</t>
  </si>
  <si>
    <t>105,94</t>
  </si>
  <si>
    <t>106,79</t>
  </si>
  <si>
    <t>105,35</t>
  </si>
  <si>
    <t>100,39</t>
  </si>
  <si>
    <t>97,92</t>
  </si>
  <si>
    <t>94,40</t>
  </si>
  <si>
    <t>99,69</t>
  </si>
  <si>
    <t>105,32</t>
  </si>
  <si>
    <t>112,79</t>
  </si>
  <si>
    <t>98,31</t>
  </si>
  <si>
    <t>97,43</t>
  </si>
  <si>
    <t>104,83</t>
  </si>
  <si>
    <t>101,51</t>
  </si>
  <si>
    <t>104,46</t>
  </si>
  <si>
    <t>100,03</t>
  </si>
  <si>
    <t>106,47</t>
  </si>
  <si>
    <t>91,91</t>
  </si>
  <si>
    <t>Warner Bros. Discovery Inc.</t>
  </si>
  <si>
    <t>WBD</t>
  </si>
  <si>
    <t>25,97</t>
  </si>
  <si>
    <t>25,63</t>
  </si>
  <si>
    <t>23,82</t>
  </si>
  <si>
    <t>23,95</t>
  </si>
  <si>
    <t>22,88</t>
  </si>
  <si>
    <t>22,45</t>
  </si>
  <si>
    <t>23,85</t>
  </si>
  <si>
    <t>23,01</t>
  </si>
  <si>
    <t>25,50</t>
  </si>
  <si>
    <t>24,57</t>
  </si>
  <si>
    <t>29,89</t>
  </si>
  <si>
    <t>29,86</t>
  </si>
  <si>
    <t>28,63</t>
  </si>
  <si>
    <t>28,81</t>
  </si>
  <si>
    <t>Corning Inc.</t>
  </si>
  <si>
    <t>GLW</t>
  </si>
  <si>
    <t>22,73</t>
  </si>
  <si>
    <t>21,04</t>
  </si>
  <si>
    <t>20,35</t>
  </si>
  <si>
    <t>18,77</t>
  </si>
  <si>
    <t>16,85</t>
  </si>
  <si>
    <t>17,20</t>
  </si>
  <si>
    <t>16,83</t>
  </si>
  <si>
    <t>15,34</t>
  </si>
  <si>
    <t>17,71</t>
  </si>
  <si>
    <t>19,06</t>
  </si>
  <si>
    <t>18,70</t>
  </si>
  <si>
    <t>21,05</t>
  </si>
  <si>
    <t>Visa Inc.</t>
  </si>
  <si>
    <t>V</t>
  </si>
  <si>
    <t>75,28</t>
  </si>
  <si>
    <t>73,57</t>
  </si>
  <si>
    <t>72,57</t>
  </si>
  <si>
    <t>69,85</t>
  </si>
  <si>
    <t>67,44</t>
  </si>
  <si>
    <t>67,15</t>
  </si>
  <si>
    <t>66,64</t>
  </si>
  <si>
    <t>68,84</t>
  </si>
  <si>
    <t>71,40</t>
  </si>
  <si>
    <t>74,79</t>
  </si>
  <si>
    <t>70,35</t>
  </si>
  <si>
    <t>63,65</t>
  </si>
  <si>
    <t>68,19</t>
  </si>
  <si>
    <t>60,28</t>
  </si>
  <si>
    <t>62,58</t>
  </si>
  <si>
    <t>Waters Corp.</t>
  </si>
  <si>
    <t>WAT</t>
  </si>
  <si>
    <t>127,31</t>
  </si>
  <si>
    <t>127,30</t>
  </si>
  <si>
    <t>126,95</t>
  </si>
  <si>
    <t>141,00</t>
  </si>
  <si>
    <t>141,11</t>
  </si>
  <si>
    <t>142,23</t>
  </si>
  <si>
    <t>126,65</t>
  </si>
  <si>
    <t>123,60</t>
  </si>
  <si>
    <t>113,65</t>
  </si>
  <si>
    <t>115,83</t>
  </si>
  <si>
    <t>110,75</t>
  </si>
  <si>
    <t>112,02</t>
  </si>
  <si>
    <t>123,91</t>
  </si>
  <si>
    <t>125,72</t>
  </si>
  <si>
    <t>115,90</t>
  </si>
  <si>
    <t>105,92</t>
  </si>
  <si>
    <t>108,36</t>
  </si>
  <si>
    <t>120,83</t>
  </si>
  <si>
    <t>121,75</t>
  </si>
  <si>
    <t>111,83</t>
  </si>
  <si>
    <t>115,72</t>
  </si>
  <si>
    <t>107,36</t>
  </si>
  <si>
    <t>105,45</t>
  </si>
  <si>
    <t>Apple Inc.</t>
  </si>
  <si>
    <t>AAPL</t>
  </si>
  <si>
    <t>27,43</t>
  </si>
  <si>
    <t>25,90</t>
  </si>
  <si>
    <t>23,79</t>
  </si>
  <si>
    <t>22,43</t>
  </si>
  <si>
    <t>22,25</t>
  </si>
  <si>
    <t>22,49</t>
  </si>
  <si>
    <t>24,23</t>
  </si>
  <si>
    <t>27,99</t>
  </si>
  <si>
    <t>27,09</t>
  </si>
  <si>
    <t>24,71</t>
  </si>
  <si>
    <t>25,17</t>
  </si>
  <si>
    <t>29,68</t>
  </si>
  <si>
    <t>27,95</t>
  </si>
  <si>
    <t>28,64</t>
  </si>
  <si>
    <t>25,94</t>
  </si>
  <si>
    <t>Capital One Financial Corp.</t>
  </si>
  <si>
    <t>COF</t>
  </si>
  <si>
    <t>Specialty Finance: Consumer Focused</t>
  </si>
  <si>
    <t>82,64</t>
  </si>
  <si>
    <t>64,23</t>
  </si>
  <si>
    <t>65,81</t>
  </si>
  <si>
    <t>63,21</t>
  </si>
  <si>
    <t>60,51</t>
  </si>
  <si>
    <t>69,41</t>
  </si>
  <si>
    <t>73,59</t>
  </si>
  <si>
    <t>78,98</t>
  </si>
  <si>
    <t>73,37</t>
  </si>
  <si>
    <t>70,20</t>
  </si>
  <si>
    <t>lululemon athletica inc.</t>
  </si>
  <si>
    <t>LULU</t>
  </si>
  <si>
    <t>54,25</t>
  </si>
  <si>
    <t>66,51</t>
  </si>
  <si>
    <t>57,75</t>
  </si>
  <si>
    <t>48,31</t>
  </si>
  <si>
    <t>44,59</t>
  </si>
  <si>
    <t>57,14</t>
  </si>
  <si>
    <t>56,90</t>
  </si>
  <si>
    <t>58,62</t>
  </si>
  <si>
    <t>56,85</t>
  </si>
  <si>
    <t>59,59</t>
  </si>
  <si>
    <t>61,04</t>
  </si>
  <si>
    <t>58,67</t>
  </si>
  <si>
    <t>Bio-Techne Corp.</t>
  </si>
  <si>
    <t>TECH</t>
  </si>
  <si>
    <t>24,35</t>
  </si>
  <si>
    <t>23,72</t>
  </si>
  <si>
    <t>25,15</t>
  </si>
  <si>
    <t>25,39</t>
  </si>
  <si>
    <t>24,68</t>
  </si>
  <si>
    <t>20,34</t>
  </si>
  <si>
    <t>20,75</t>
  </si>
  <si>
    <t>19,76</t>
  </si>
  <si>
    <t>20,00</t>
  </si>
  <si>
    <t>Healthpeak Properties</t>
  </si>
  <si>
    <t>DOC</t>
  </si>
  <si>
    <t>Health Care REIT</t>
  </si>
  <si>
    <t>27,94</t>
  </si>
  <si>
    <t>35,11</t>
  </si>
  <si>
    <t>31,86</t>
  </si>
  <si>
    <t>29,54</t>
  </si>
  <si>
    <t>28,61</t>
  </si>
  <si>
    <t>33,21</t>
  </si>
  <si>
    <t>35,21</t>
  </si>
  <si>
    <t>33,73</t>
  </si>
  <si>
    <t>33,38</t>
  </si>
  <si>
    <t>33,09</t>
  </si>
  <si>
    <t>34,97</t>
  </si>
  <si>
    <t>35,99</t>
  </si>
  <si>
    <t>40,22</t>
  </si>
  <si>
    <t>41,89</t>
  </si>
  <si>
    <t>Martin Marietta Materials Inc.</t>
  </si>
  <si>
    <t>MLM</t>
  </si>
  <si>
    <t>209,86</t>
  </si>
  <si>
    <t>207,60</t>
  </si>
  <si>
    <t>169,14</t>
  </si>
  <si>
    <t>159,35</t>
  </si>
  <si>
    <t>164,19</t>
  </si>
  <si>
    <t>181,36</t>
  </si>
  <si>
    <t>172,89</t>
  </si>
  <si>
    <t>169,86</t>
  </si>
  <si>
    <t>147,76</t>
  </si>
  <si>
    <t>140,06</t>
  </si>
  <si>
    <t>131,29</t>
  </si>
  <si>
    <t>125,76</t>
  </si>
  <si>
    <t>148,99</t>
  </si>
  <si>
    <t>140,70</t>
  </si>
  <si>
    <t>136,15</t>
  </si>
  <si>
    <t>149,80</t>
  </si>
  <si>
    <t>141,95</t>
  </si>
  <si>
    <t>127,04</t>
  </si>
  <si>
    <t>135,77</t>
  </si>
  <si>
    <t>127,42</t>
  </si>
  <si>
    <t>130,13</t>
  </si>
  <si>
    <t>126,94</t>
  </si>
  <si>
    <t>95,43</t>
  </si>
  <si>
    <t>Alexandria Real Estate</t>
  </si>
  <si>
    <t>ARE</t>
  </si>
  <si>
    <t>105,27</t>
  </si>
  <si>
    <t>103,67</t>
  </si>
  <si>
    <t>98,37</t>
  </si>
  <si>
    <t>96,77</t>
  </si>
  <si>
    <t>98,76</t>
  </si>
  <si>
    <t>93,21</t>
  </si>
  <si>
    <t>81,16</t>
  </si>
  <si>
    <t>79,81</t>
  </si>
  <si>
    <t>83,20</t>
  </si>
  <si>
    <t>87,17</t>
  </si>
  <si>
    <t>81,38</t>
  </si>
  <si>
    <t>75,87</t>
  </si>
  <si>
    <t>83,92</t>
  </si>
  <si>
    <t>84,49</t>
  </si>
  <si>
    <t>82,52</t>
  </si>
  <si>
    <t>91,26</t>
  </si>
  <si>
    <t>85,54</t>
  </si>
  <si>
    <t>86,38</t>
  </si>
  <si>
    <t>EPAM Systems Inc.</t>
  </si>
  <si>
    <t>EPAM</t>
  </si>
  <si>
    <t>58,73</t>
  </si>
  <si>
    <t>61,66</t>
  </si>
  <si>
    <t>61,19</t>
  </si>
  <si>
    <t>62,86</t>
  </si>
  <si>
    <t>68,75</t>
  </si>
  <si>
    <t>65,56</t>
  </si>
  <si>
    <t>69,22</t>
  </si>
  <si>
    <t>72,39</t>
  </si>
  <si>
    <t>74,52</t>
  </si>
  <si>
    <t>63,95</t>
  </si>
  <si>
    <t>65,52</t>
  </si>
  <si>
    <t>57,80</t>
  </si>
  <si>
    <t>57,05</t>
  </si>
  <si>
    <t>43,34</t>
  </si>
  <si>
    <t>The TJX Companies Inc.</t>
  </si>
  <si>
    <t>TJX</t>
  </si>
  <si>
    <t>37,05</t>
  </si>
  <si>
    <t>34,73</t>
  </si>
  <si>
    <t>33,10</t>
  </si>
  <si>
    <t>34,40</t>
  </si>
  <si>
    <t>32,92</t>
  </si>
  <si>
    <t>33,19</t>
  </si>
  <si>
    <t>32,00</t>
  </si>
  <si>
    <t>31,39</t>
  </si>
  <si>
    <t>29,70</t>
  </si>
  <si>
    <t>28,83</t>
  </si>
  <si>
    <t>29,20</t>
  </si>
  <si>
    <t>Intl Bus Machines Corp</t>
  </si>
  <si>
    <t>IBM</t>
  </si>
  <si>
    <t>157,24</t>
  </si>
  <si>
    <t>153,46</t>
  </si>
  <si>
    <t>140,23</t>
  </si>
  <si>
    <t>141,32</t>
  </si>
  <si>
    <t>142,52</t>
  </si>
  <si>
    <t>143,75</t>
  </si>
  <si>
    <t>138,14</t>
  </si>
  <si>
    <t>127,43</t>
  </si>
  <si>
    <t>132,98</t>
  </si>
  <si>
    <t>120,62</t>
  </si>
  <si>
    <t>115,32</t>
  </si>
  <si>
    <t>126,71</t>
  </si>
  <si>
    <t>131,97</t>
  </si>
  <si>
    <t>129,90</t>
  </si>
  <si>
    <t>132,03</t>
  </si>
  <si>
    <t>146,63</t>
  </si>
  <si>
    <t>146,03</t>
  </si>
  <si>
    <t>154,58</t>
  </si>
  <si>
    <t>153,00</t>
  </si>
  <si>
    <t>149,40</t>
  </si>
  <si>
    <t>144,43</t>
  </si>
  <si>
    <t>135,79</t>
  </si>
  <si>
    <t>Ford Motor Co.</t>
  </si>
  <si>
    <t>F</t>
  </si>
  <si>
    <t>11,49</t>
  </si>
  <si>
    <t>11,30</t>
  </si>
  <si>
    <t>11,33</t>
  </si>
  <si>
    <t>11,32</t>
  </si>
  <si>
    <t>12,12</t>
  </si>
  <si>
    <t>11,85</t>
  </si>
  <si>
    <t>11,52</t>
  </si>
  <si>
    <t>11,03</t>
  </si>
  <si>
    <t>13,56</t>
  </si>
  <si>
    <t>13,43</t>
  </si>
  <si>
    <t>12,16</t>
  </si>
  <si>
    <t>12,38</t>
  </si>
  <si>
    <t>13,48</t>
  </si>
  <si>
    <t>13,82</t>
  </si>
  <si>
    <t>Masco Corp.</t>
  </si>
  <si>
    <t>MAS</t>
  </si>
  <si>
    <t>29,94</t>
  </si>
  <si>
    <t>28,17</t>
  </si>
  <si>
    <t>30,52</t>
  </si>
  <si>
    <t>27,86</t>
  </si>
  <si>
    <t>25,96</t>
  </si>
  <si>
    <t>24,39</t>
  </si>
  <si>
    <t>28,31</t>
  </si>
  <si>
    <t>22,56</t>
  </si>
  <si>
    <t>23,42</t>
  </si>
  <si>
    <t>23,94</t>
  </si>
  <si>
    <t>24,66</t>
  </si>
  <si>
    <t>23,36</t>
  </si>
  <si>
    <t>22,00</t>
  </si>
  <si>
    <t>Advanced Micro Devices Inc.</t>
  </si>
  <si>
    <t>AMD</t>
  </si>
  <si>
    <t>6,60</t>
  </si>
  <si>
    <t>6,64</t>
  </si>
  <si>
    <t>6,14</t>
  </si>
  <si>
    <t>4,63</t>
  </si>
  <si>
    <t>4,11</t>
  </si>
  <si>
    <t>3,10</t>
  </si>
  <si>
    <t>2,50</t>
  </si>
  <si>
    <t>1,97</t>
  </si>
  <si>
    <t>2,03</t>
  </si>
  <si>
    <t>2,64</t>
  </si>
  <si>
    <t>2,23</t>
  </si>
  <si>
    <t>1,92</t>
  </si>
  <si>
    <t>1,54</t>
  </si>
  <si>
    <t>1,75</t>
  </si>
  <si>
    <t>2,15</t>
  </si>
  <si>
    <t>2,02</t>
  </si>
  <si>
    <t>2,49</t>
  </si>
  <si>
    <t>2,77</t>
  </si>
  <si>
    <t>2,28</t>
  </si>
  <si>
    <t>Vulcan Materials Co.</t>
  </si>
  <si>
    <t>VMC</t>
  </si>
  <si>
    <t>118,86</t>
  </si>
  <si>
    <t>101,18</t>
  </si>
  <si>
    <t>102,15</t>
  </si>
  <si>
    <t>108,38</t>
  </si>
  <si>
    <t>104,91</t>
  </si>
  <si>
    <t>92,70</t>
  </si>
  <si>
    <t>81,51</t>
  </si>
  <si>
    <t>87,44</t>
  </si>
  <si>
    <t>97,18</t>
  </si>
  <si>
    <t>87,58</t>
  </si>
  <si>
    <t>82,39</t>
  </si>
  <si>
    <t>75,35</t>
  </si>
  <si>
    <t>81,94</t>
  </si>
  <si>
    <t>74,02</t>
  </si>
  <si>
    <t>Altria Group</t>
  </si>
  <si>
    <t>MO</t>
  </si>
  <si>
    <t>64,06</t>
  </si>
  <si>
    <t>60,48</t>
  </si>
  <si>
    <t>60,33</t>
  </si>
  <si>
    <t>62,10</t>
  </si>
  <si>
    <t>54,76</t>
  </si>
  <si>
    <t>55,02</t>
  </si>
  <si>
    <t>56,47</t>
  </si>
  <si>
    <t>53,60</t>
  </si>
  <si>
    <t>48,75</t>
  </si>
  <si>
    <t>43,91</t>
  </si>
  <si>
    <t>46,65</t>
  </si>
  <si>
    <t>44,71</t>
  </si>
  <si>
    <t>50,20</t>
  </si>
  <si>
    <t>Nucor Corp.</t>
  </si>
  <si>
    <t>NUE</t>
  </si>
  <si>
    <t>Steel</t>
  </si>
  <si>
    <t>56,38</t>
  </si>
  <si>
    <t>44,57</t>
  </si>
  <si>
    <t>44,49</t>
  </si>
  <si>
    <t>43,59</t>
  </si>
  <si>
    <t>43,47</t>
  </si>
  <si>
    <t>41,53</t>
  </si>
  <si>
    <t>37,11</t>
  </si>
  <si>
    <t>38,36</t>
  </si>
  <si>
    <t>33,65</t>
  </si>
  <si>
    <t>38,65</t>
  </si>
  <si>
    <t>39,95</t>
  </si>
  <si>
    <t>39,56</t>
  </si>
  <si>
    <t>44,24</t>
  </si>
  <si>
    <t>41,94</t>
  </si>
  <si>
    <t>38,66</t>
  </si>
  <si>
    <t>The Walt Disney Co.</t>
  </si>
  <si>
    <t>DIS</t>
  </si>
  <si>
    <t>98,73</t>
  </si>
  <si>
    <t>93,77</t>
  </si>
  <si>
    <t>84,57</t>
  </si>
  <si>
    <t>84,74</t>
  </si>
  <si>
    <t>88,08</t>
  </si>
  <si>
    <t>89,15</t>
  </si>
  <si>
    <t>87,93</t>
  </si>
  <si>
    <t>88,55</t>
  </si>
  <si>
    <t>107,41</t>
  </si>
  <si>
    <t>102,47</t>
  </si>
  <si>
    <t>100,56</t>
  </si>
  <si>
    <t>97,11</t>
  </si>
  <si>
    <t>97,64</t>
  </si>
  <si>
    <t>92,82</t>
  </si>
  <si>
    <t>80,57</t>
  </si>
  <si>
    <t>Waste Mgmt Inc.</t>
  </si>
  <si>
    <t>WM</t>
  </si>
  <si>
    <t>65,77</t>
  </si>
  <si>
    <t>56,72</t>
  </si>
  <si>
    <t>59,17</t>
  </si>
  <si>
    <t>54,77</t>
  </si>
  <si>
    <t>51,33</t>
  </si>
  <si>
    <t>51,41</t>
  </si>
  <si>
    <t>48,93</t>
  </si>
  <si>
    <t>49,14</t>
  </si>
  <si>
    <t>44,63</t>
  </si>
  <si>
    <t>44,69</t>
  </si>
  <si>
    <t>46,28</t>
  </si>
  <si>
    <t>41,61</t>
  </si>
  <si>
    <t>50,48</t>
  </si>
  <si>
    <t>45,55</t>
  </si>
  <si>
    <t>NextEra Energy Inc.</t>
  </si>
  <si>
    <t>NEE</t>
  </si>
  <si>
    <t>27,02</t>
  </si>
  <si>
    <t>27,21</t>
  </si>
  <si>
    <t>26,98</t>
  </si>
  <si>
    <t>23,91</t>
  </si>
  <si>
    <t>21,85</t>
  </si>
  <si>
    <t>23,31</t>
  </si>
  <si>
    <t>22,54</t>
  </si>
  <si>
    <t>24,21</t>
  </si>
  <si>
    <t>24,19</t>
  </si>
  <si>
    <t>Walmart Inc.</t>
  </si>
  <si>
    <t>WMT</t>
  </si>
  <si>
    <t>21,30</t>
  </si>
  <si>
    <t>21,36</t>
  </si>
  <si>
    <t>21,77</t>
  </si>
  <si>
    <t>21,92</t>
  </si>
  <si>
    <t>21,20</t>
  </si>
  <si>
    <t>20,05</t>
  </si>
  <si>
    <t>20,36</t>
  </si>
  <si>
    <t>20,44</t>
  </si>
  <si>
    <t>18,81</t>
  </si>
  <si>
    <t>17,30</t>
  </si>
  <si>
    <t>19,37</t>
  </si>
  <si>
    <t>23,24</t>
  </si>
  <si>
    <t>25,52</t>
  </si>
  <si>
    <t>24,95</t>
  </si>
  <si>
    <t>Baxter International Inc.</t>
  </si>
  <si>
    <t>BAX</t>
  </si>
  <si>
    <t>43,42</t>
  </si>
  <si>
    <t>42,98</t>
  </si>
  <si>
    <t>40,72</t>
  </si>
  <si>
    <t>33,82</t>
  </si>
  <si>
    <t>35,64</t>
  </si>
  <si>
    <t>33,91</t>
  </si>
  <si>
    <t>29,44</t>
  </si>
  <si>
    <t>34,33</t>
  </si>
  <si>
    <t>36,28</t>
  </si>
  <si>
    <t>62,78</t>
  </si>
  <si>
    <t>63,76</t>
  </si>
  <si>
    <t>Fidelity National Information</t>
  </si>
  <si>
    <t>FIS</t>
  </si>
  <si>
    <t>71,16</t>
  </si>
  <si>
    <t>66,74</t>
  </si>
  <si>
    <t>57,45</t>
  </si>
  <si>
    <t>55,59</t>
  </si>
  <si>
    <t>55,20</t>
  </si>
  <si>
    <t>55,80</t>
  </si>
  <si>
    <t>61,65</t>
  </si>
  <si>
    <t>59,22</t>
  </si>
  <si>
    <t>55,48</t>
  </si>
  <si>
    <t>55,82</t>
  </si>
  <si>
    <t>55,30</t>
  </si>
  <si>
    <t>SLB N.V.</t>
  </si>
  <si>
    <t>SLB</t>
  </si>
  <si>
    <t>79,53</t>
  </si>
  <si>
    <t>79,51</t>
  </si>
  <si>
    <t>71,38</t>
  </si>
  <si>
    <t>70,87</t>
  </si>
  <si>
    <t>70,15</t>
  </si>
  <si>
    <t>66,02</t>
  </si>
  <si>
    <t>70,88</t>
  </si>
  <si>
    <t>69,07</t>
  </si>
  <si>
    <t>77,38</t>
  </si>
  <si>
    <t>82,71</t>
  </si>
  <si>
    <t>84,51</t>
  </si>
  <si>
    <t>77,67</t>
  </si>
  <si>
    <t>75,06</t>
  </si>
  <si>
    <t>72,98</t>
  </si>
  <si>
    <t>CME Group Inc.</t>
  </si>
  <si>
    <t>CME</t>
  </si>
  <si>
    <t>109,27</t>
  </si>
  <si>
    <t>92,99</t>
  </si>
  <si>
    <t>97,20</t>
  </si>
  <si>
    <t>91,50</t>
  </si>
  <si>
    <t>87,70</t>
  </si>
  <si>
    <t>87,96</t>
  </si>
  <si>
    <t>80,25</t>
  </si>
  <si>
    <t>84,34</t>
  </si>
  <si>
    <t>84,18</t>
  </si>
  <si>
    <t>83,03</t>
  </si>
  <si>
    <t>92,43</t>
  </si>
  <si>
    <t>83,10</t>
  </si>
  <si>
    <t>86,93</t>
  </si>
  <si>
    <t>83,54</t>
  </si>
  <si>
    <t>85,83</t>
  </si>
  <si>
    <t>81,21</t>
  </si>
  <si>
    <t>Valero Energy Corp.</t>
  </si>
  <si>
    <t>VLO</t>
  </si>
  <si>
    <t>64,72</t>
  </si>
  <si>
    <t>49,65</t>
  </si>
  <si>
    <t>45,92</t>
  </si>
  <si>
    <t>49,15</t>
  </si>
  <si>
    <t>56,32</t>
  </si>
  <si>
    <t>62,72</t>
  </si>
  <si>
    <t>68,02</t>
  </si>
  <si>
    <t>59,78</t>
  </si>
  <si>
    <t>53,85</t>
  </si>
  <si>
    <t>52,98</t>
  </si>
  <si>
    <t>59,38</t>
  </si>
  <si>
    <t>56,20</t>
  </si>
  <si>
    <t>50,83</t>
  </si>
  <si>
    <t>Charter Communications Inc.</t>
  </si>
  <si>
    <t>CHTR</t>
  </si>
  <si>
    <t>272,75</t>
  </si>
  <si>
    <t>260,44</t>
  </si>
  <si>
    <t>228,00</t>
  </si>
  <si>
    <t>240,18</t>
  </si>
  <si>
    <t>230,73</t>
  </si>
  <si>
    <t>210,20</t>
  </si>
  <si>
    <t>205,88</t>
  </si>
  <si>
    <t>196,73</t>
  </si>
  <si>
    <t>204,95</t>
  </si>
  <si>
    <t>196,58</t>
  </si>
  <si>
    <t>182,81</t>
  </si>
  <si>
    <t>175,14</t>
  </si>
  <si>
    <t>186,45</t>
  </si>
  <si>
    <t>196,14</t>
  </si>
  <si>
    <t>191,50</t>
  </si>
  <si>
    <t>174,26</t>
  </si>
  <si>
    <t>179,31</t>
  </si>
  <si>
    <t>186,06</t>
  </si>
  <si>
    <t>180,40</t>
  </si>
  <si>
    <t>184,79</t>
  </si>
  <si>
    <t>198,80</t>
  </si>
  <si>
    <t>178,13</t>
  </si>
  <si>
    <t>148,03</t>
  </si>
  <si>
    <t>Stanley Black &amp; Decker Inc.</t>
  </si>
  <si>
    <t>SWK</t>
  </si>
  <si>
    <t>108,65</t>
  </si>
  <si>
    <t>103,87</t>
  </si>
  <si>
    <t>109,41</t>
  </si>
  <si>
    <t>108,92</t>
  </si>
  <si>
    <t>100,15</t>
  </si>
  <si>
    <t>101,70</t>
  </si>
  <si>
    <t>92,38</t>
  </si>
  <si>
    <t>86,54</t>
  </si>
  <si>
    <t>98,27</t>
  </si>
  <si>
    <t>103,33</t>
  </si>
  <si>
    <t>86,90</t>
  </si>
  <si>
    <t>90,63</t>
  </si>
  <si>
    <t>95,48</t>
  </si>
  <si>
    <t>94,48</t>
  </si>
  <si>
    <t>93,34</t>
  </si>
  <si>
    <t>88,77</t>
  </si>
  <si>
    <t>82,95</t>
  </si>
  <si>
    <t>The Campbell's Co.</t>
  </si>
  <si>
    <t>CPB</t>
  </si>
  <si>
    <t>53,82</t>
  </si>
  <si>
    <t>48,66</t>
  </si>
  <si>
    <t>54,47</t>
  </si>
  <si>
    <t>48,39</t>
  </si>
  <si>
    <t>49,45</t>
  </si>
  <si>
    <t>45,41</t>
  </si>
  <si>
    <t>42,84</t>
  </si>
  <si>
    <t>42,78</t>
  </si>
  <si>
    <t>40,51</t>
  </si>
  <si>
    <t>Rockwell Automation Inc.</t>
  </si>
  <si>
    <t>ROK</t>
  </si>
  <si>
    <t>127,32</t>
  </si>
  <si>
    <t>126,49</t>
  </si>
  <si>
    <t>109,23</t>
  </si>
  <si>
    <t>108,84</t>
  </si>
  <si>
    <t>104,00</t>
  </si>
  <si>
    <t>102,38</t>
  </si>
  <si>
    <t>103,39</t>
  </si>
  <si>
    <t>99,08</t>
  </si>
  <si>
    <t>99,88</t>
  </si>
  <si>
    <t>100,75</t>
  </si>
  <si>
    <t>98,99</t>
  </si>
  <si>
    <t>99,84</t>
  </si>
  <si>
    <t>105,70</t>
  </si>
  <si>
    <t>111,90</t>
  </si>
  <si>
    <t>111,97</t>
  </si>
  <si>
    <t>107,97</t>
  </si>
  <si>
    <t>104,38</t>
  </si>
  <si>
    <t>96,48</t>
  </si>
  <si>
    <t>Medtronic plc</t>
  </si>
  <si>
    <t>MDT</t>
  </si>
  <si>
    <t>74,84</t>
  </si>
  <si>
    <t>76,87</t>
  </si>
  <si>
    <t>78,07</t>
  </si>
  <si>
    <t>78,42</t>
  </si>
  <si>
    <t>78,13</t>
  </si>
  <si>
    <t>72,32</t>
  </si>
  <si>
    <t>70,82</t>
  </si>
  <si>
    <t>71,31</t>
  </si>
  <si>
    <t>70,95</t>
  </si>
  <si>
    <t>72,60</t>
  </si>
  <si>
    <t>69,20</t>
  </si>
  <si>
    <t>Prologis Inc.</t>
  </si>
  <si>
    <t>PLD</t>
  </si>
  <si>
    <t>Industrial REIT</t>
  </si>
  <si>
    <t>50,01</t>
  </si>
  <si>
    <t>48,77</t>
  </si>
  <si>
    <t>35,40</t>
  </si>
  <si>
    <t>36,48</t>
  </si>
  <si>
    <t>39,52</t>
  </si>
  <si>
    <t>40,47</t>
  </si>
  <si>
    <t>33,92</t>
  </si>
  <si>
    <t>36,76</t>
  </si>
  <si>
    <t>33,31</t>
  </si>
  <si>
    <t>35,91</t>
  </si>
  <si>
    <t>40,55</t>
  </si>
  <si>
    <t>Ventas Inc.</t>
  </si>
  <si>
    <t>VTR</t>
  </si>
  <si>
    <t>59,23</t>
  </si>
  <si>
    <t>62,84</t>
  </si>
  <si>
    <t>65,19</t>
  </si>
  <si>
    <t>54,24</t>
  </si>
  <si>
    <t>51,25</t>
  </si>
  <si>
    <t>50,23</t>
  </si>
  <si>
    <t>55,74</t>
  </si>
  <si>
    <t>60,61</t>
  </si>
  <si>
    <t>61,54</t>
  </si>
  <si>
    <t>70,69</t>
  </si>
  <si>
    <t>Hormel Foods Corp.</t>
  </si>
  <si>
    <t>HRL</t>
  </si>
  <si>
    <t>32,98</t>
  </si>
  <si>
    <t>33,74</t>
  </si>
  <si>
    <t>37,16</t>
  </si>
  <si>
    <t>36,41</t>
  </si>
  <si>
    <t>27,27</t>
  </si>
  <si>
    <t>26,80</t>
  </si>
  <si>
    <t>24,27</t>
  </si>
  <si>
    <t>26,09</t>
  </si>
  <si>
    <t>22,68</t>
  </si>
  <si>
    <t>Generac Holdings Inc.</t>
  </si>
  <si>
    <t>GNRC</t>
  </si>
  <si>
    <t>38,59</t>
  </si>
  <si>
    <t>34,75</t>
  </si>
  <si>
    <t>31,48</t>
  </si>
  <si>
    <t>34,06</t>
  </si>
  <si>
    <t>33,28</t>
  </si>
  <si>
    <t>32,70</t>
  </si>
  <si>
    <t>31,98</t>
  </si>
  <si>
    <t>26,26</t>
  </si>
  <si>
    <t>28,62</t>
  </si>
  <si>
    <t>38,07</t>
  </si>
  <si>
    <t>37,24</t>
  </si>
  <si>
    <t>Synchrony Financial</t>
  </si>
  <si>
    <t>SYF</t>
  </si>
  <si>
    <t>24,96</t>
  </si>
  <si>
    <t>26,69</t>
  </si>
  <si>
    <t>25,16</t>
  </si>
  <si>
    <t>24,81</t>
  </si>
  <si>
    <t>28,00</t>
  </si>
  <si>
    <t>29,42</t>
  </si>
  <si>
    <t>31,10</t>
  </si>
  <si>
    <t>29,56</t>
  </si>
  <si>
    <t>Archer-Daniels-Midland Co.</t>
  </si>
  <si>
    <t>ADM</t>
  </si>
  <si>
    <t>Agricultural Products and Services</t>
  </si>
  <si>
    <t>43,24</t>
  </si>
  <si>
    <t>40,90</t>
  </si>
  <si>
    <t>39,75</t>
  </si>
  <si>
    <t>40,34</t>
  </si>
  <si>
    <t>38,43</t>
  </si>
  <si>
    <t>34,87</t>
  </si>
  <si>
    <t>32,18</t>
  </si>
  <si>
    <t>32,67</t>
  </si>
  <si>
    <t>33,77</t>
  </si>
  <si>
    <t>40,16</t>
  </si>
  <si>
    <t>42,92</t>
  </si>
  <si>
    <t>42,70</t>
  </si>
  <si>
    <t>41,30</t>
  </si>
  <si>
    <t>Pool Corp.</t>
  </si>
  <si>
    <t>POOL</t>
  </si>
  <si>
    <t>Other Distributors</t>
  </si>
  <si>
    <t>98,84</t>
  </si>
  <si>
    <t>95,18</t>
  </si>
  <si>
    <t>84,47</t>
  </si>
  <si>
    <t>84,09</t>
  </si>
  <si>
    <t>90,49</t>
  </si>
  <si>
    <t>84,67</t>
  </si>
  <si>
    <t>82,28</t>
  </si>
  <si>
    <t>77,04</t>
  </si>
  <si>
    <t>73,89</t>
  </si>
  <si>
    <t>78,09</t>
  </si>
  <si>
    <t>74,38</t>
  </si>
  <si>
    <t>63,74</t>
  </si>
  <si>
    <t>60,39</t>
  </si>
  <si>
    <t>57,96</t>
  </si>
  <si>
    <t>61,69</t>
  </si>
  <si>
    <t>55,10</t>
  </si>
  <si>
    <t>The Bank New York Mellon</t>
  </si>
  <si>
    <t>BK</t>
  </si>
  <si>
    <t>44,86</t>
  </si>
  <si>
    <t>39,48</t>
  </si>
  <si>
    <t>35,48</t>
  </si>
  <si>
    <t>37,38</t>
  </si>
  <si>
    <t>35,26</t>
  </si>
  <si>
    <t>34,98</t>
  </si>
  <si>
    <t>37,79</t>
  </si>
  <si>
    <t>35,14</t>
  </si>
  <si>
    <t>32,58</t>
  </si>
  <si>
    <t>33,47</t>
  </si>
  <si>
    <t>37,95</t>
  </si>
  <si>
    <t>41,50</t>
  </si>
  <si>
    <t>37,77</t>
  </si>
  <si>
    <t>35,08</t>
  </si>
  <si>
    <t>37,68</t>
  </si>
  <si>
    <t>39,51</t>
  </si>
  <si>
    <t>Textron Inc.</t>
  </si>
  <si>
    <t>TXT</t>
  </si>
  <si>
    <t>36,64</t>
  </si>
  <si>
    <t>34,90</t>
  </si>
  <si>
    <t>41,20</t>
  </si>
  <si>
    <t>39,29</t>
  </si>
  <si>
    <t>The Clorox Co.</t>
  </si>
  <si>
    <t>CLX</t>
  </si>
  <si>
    <t>113,69</t>
  </si>
  <si>
    <t>109,32</t>
  </si>
  <si>
    <t>111,37</t>
  </si>
  <si>
    <t>117,30</t>
  </si>
  <si>
    <t>124,61</t>
  </si>
  <si>
    <t>115,50</t>
  </si>
  <si>
    <t>109,34</t>
  </si>
  <si>
    <t>119,26</t>
  </si>
  <si>
    <t>116,78</t>
  </si>
  <si>
    <t>117,66</t>
  </si>
  <si>
    <t>110,58</t>
  </si>
  <si>
    <t>103,52</t>
  </si>
  <si>
    <t>99,25</t>
  </si>
  <si>
    <t>101,32</t>
  </si>
  <si>
    <t>93,38</t>
  </si>
  <si>
    <t>98,09</t>
  </si>
  <si>
    <t>94,77</t>
  </si>
  <si>
    <t>102,76</t>
  </si>
  <si>
    <t>96,89</t>
  </si>
  <si>
    <t>94,52</t>
  </si>
  <si>
    <t>Seagate Technology Hldgs plc</t>
  </si>
  <si>
    <t>STX</t>
  </si>
  <si>
    <t>36,16</t>
  </si>
  <si>
    <t>30,27</t>
  </si>
  <si>
    <t>21,93</t>
  </si>
  <si>
    <t>28,87</t>
  </si>
  <si>
    <t>26,85</t>
  </si>
  <si>
    <t>34,51</t>
  </si>
  <si>
    <t>45,89</t>
  </si>
  <si>
    <t>45,80</t>
  </si>
  <si>
    <t>42,64</t>
  </si>
  <si>
    <t>50,70</t>
  </si>
  <si>
    <t>54,51</t>
  </si>
  <si>
    <t>The Charles Schwab Corp.</t>
  </si>
  <si>
    <t>SCHW</t>
  </si>
  <si>
    <t>37,39</t>
  </si>
  <si>
    <t>28,09</t>
  </si>
  <si>
    <t>28,22</t>
  </si>
  <si>
    <t>22,79</t>
  </si>
  <si>
    <t>27,48</t>
  </si>
  <si>
    <t>23,59</t>
  </si>
  <si>
    <t>30,32</t>
  </si>
  <si>
    <t>25,59</t>
  </si>
  <si>
    <t>29,31</t>
  </si>
  <si>
    <t>27,24</t>
  </si>
  <si>
    <t>28,34</t>
  </si>
  <si>
    <t>DuPont de Nemours Inc.</t>
  </si>
  <si>
    <t>DD</t>
  </si>
  <si>
    <t>162,61</t>
  </si>
  <si>
    <t>147,29</t>
  </si>
  <si>
    <t>138,33</t>
  </si>
  <si>
    <t>144,35</t>
  </si>
  <si>
    <t>144,10</t>
  </si>
  <si>
    <t>138,45</t>
  </si>
  <si>
    <t>137,81</t>
  </si>
  <si>
    <t>133,97</t>
  </si>
  <si>
    <t>134,24</t>
  </si>
  <si>
    <t>116,44</t>
  </si>
  <si>
    <t>142,20</t>
  </si>
  <si>
    <t>140,57</t>
  </si>
  <si>
    <t>113,98</t>
  </si>
  <si>
    <t>127,79</t>
  </si>
  <si>
    <t>142,33</t>
  </si>
  <si>
    <t>133,99</t>
  </si>
  <si>
    <t>131,74</t>
  </si>
  <si>
    <t>120,00</t>
  </si>
  <si>
    <t>Viatris Inc.</t>
  </si>
  <si>
    <t>VTRS</t>
  </si>
  <si>
    <t>36,14</t>
  </si>
  <si>
    <t>33,30</t>
  </si>
  <si>
    <t>38,00</t>
  </si>
  <si>
    <t>41,49</t>
  </si>
  <si>
    <t>48,69</t>
  </si>
  <si>
    <t>49,78</t>
  </si>
  <si>
    <t>48,56</t>
  </si>
  <si>
    <t>44,27</t>
  </si>
  <si>
    <t>55,25</t>
  </si>
  <si>
    <t>51,13</t>
  </si>
  <si>
    <t>47,08</t>
  </si>
  <si>
    <t>Ameriprise Financial Inc.</t>
  </si>
  <si>
    <t>AMP</t>
  </si>
  <si>
    <t>80,65</t>
  </si>
  <si>
    <t>88,76</t>
  </si>
  <si>
    <t>90,67</t>
  </si>
  <si>
    <t>85,77</t>
  </si>
  <si>
    <t>80,91</t>
  </si>
  <si>
    <t>83,74</t>
  </si>
  <si>
    <t>82,55</t>
  </si>
  <si>
    <t>77,28</t>
  </si>
  <si>
    <t>97,99</t>
  </si>
  <si>
    <t>106,91</t>
  </si>
  <si>
    <t>104,61</t>
  </si>
  <si>
    <t>97,79</t>
  </si>
  <si>
    <t>100,59</t>
  </si>
  <si>
    <t>113,75</t>
  </si>
  <si>
    <t>112,16</t>
  </si>
  <si>
    <t>111,91</t>
  </si>
  <si>
    <t>121,79</t>
  </si>
  <si>
    <t>119,18</t>
  </si>
  <si>
    <t>110,67</t>
  </si>
  <si>
    <t>Welltower Inc.</t>
  </si>
  <si>
    <t>WELL</t>
  </si>
  <si>
    <t>71,00</t>
  </si>
  <si>
    <t>68,59</t>
  </si>
  <si>
    <t>57,50</t>
  </si>
  <si>
    <t>62,64</t>
  </si>
  <si>
    <t>60,68</t>
  </si>
  <si>
    <t>56,56</t>
  </si>
  <si>
    <t>62,79</t>
  </si>
  <si>
    <t>Darden Restaurants Inc.</t>
  </si>
  <si>
    <t>DRI</t>
  </si>
  <si>
    <t>68,89</t>
  </si>
  <si>
    <t>54,55</t>
  </si>
  <si>
    <t>60,95</t>
  </si>
  <si>
    <t>54,35</t>
  </si>
  <si>
    <t>58,21</t>
  </si>
  <si>
    <t>58,60</t>
  </si>
  <si>
    <t>53,17</t>
  </si>
  <si>
    <t>61,42</t>
  </si>
  <si>
    <t>60,72</t>
  </si>
  <si>
    <t>66,76</t>
  </si>
  <si>
    <t>63,81</t>
  </si>
  <si>
    <t>59,72</t>
  </si>
  <si>
    <t>56,96</t>
  </si>
  <si>
    <t>57,08</t>
  </si>
  <si>
    <t>Digital Realty Trust Inc.</t>
  </si>
  <si>
    <t>DLR</t>
  </si>
  <si>
    <t>Data Center REIT</t>
  </si>
  <si>
    <t>93,08</t>
  </si>
  <si>
    <t>87,34</t>
  </si>
  <si>
    <t>85,25</t>
  </si>
  <si>
    <t>86,40</t>
  </si>
  <si>
    <t>88,89</t>
  </si>
  <si>
    <t>93,49</t>
  </si>
  <si>
    <t>98,14</t>
  </si>
  <si>
    <t>76,82</t>
  </si>
  <si>
    <t>77,70</t>
  </si>
  <si>
    <t>72,79</t>
  </si>
  <si>
    <t>74,01</t>
  </si>
  <si>
    <t>56,53</t>
  </si>
  <si>
    <t>58,17</t>
  </si>
  <si>
    <t>56,64</t>
  </si>
  <si>
    <t>59,20</t>
  </si>
  <si>
    <t>KKR &amp; Co.</t>
  </si>
  <si>
    <t>KKR</t>
  </si>
  <si>
    <t>14,58</t>
  </si>
  <si>
    <t>14,47</t>
  </si>
  <si>
    <t>12,95</t>
  </si>
  <si>
    <t>12,92</t>
  </si>
  <si>
    <t>11,11</t>
  </si>
  <si>
    <t>12,14</t>
  </si>
  <si>
    <t>11,87</t>
  </si>
  <si>
    <t>12,90</t>
  </si>
  <si>
    <t>11,82</t>
  </si>
  <si>
    <t>12,60</t>
  </si>
  <si>
    <t>14,35</t>
  </si>
  <si>
    <t>16,01</t>
  </si>
  <si>
    <t>15,55</t>
  </si>
  <si>
    <t>17,04</t>
  </si>
  <si>
    <t>21,63</t>
  </si>
  <si>
    <t>20,51</t>
  </si>
  <si>
    <t>20,91</t>
  </si>
  <si>
    <t>21,27</t>
  </si>
  <si>
    <t>Boston Scientific Corp.</t>
  </si>
  <si>
    <t>BSX</t>
  </si>
  <si>
    <t>20,49</t>
  </si>
  <si>
    <t>19,36</t>
  </si>
  <si>
    <t>20,07</t>
  </si>
  <si>
    <t>21,37</t>
  </si>
  <si>
    <t>21,73</t>
  </si>
  <si>
    <t>20,41</t>
  </si>
  <si>
    <t>19,14</t>
  </si>
  <si>
    <t>15,63</t>
  </si>
  <si>
    <t>16,98</t>
  </si>
  <si>
    <t>16,58</t>
  </si>
  <si>
    <t>16,65</t>
  </si>
  <si>
    <t>15,07</t>
  </si>
  <si>
    <t>13,12</t>
  </si>
  <si>
    <t>United Airlines Holdings Inc.</t>
  </si>
  <si>
    <t>UAL</t>
  </si>
  <si>
    <t>69,04</t>
  </si>
  <si>
    <t>51,30</t>
  </si>
  <si>
    <t>46,68</t>
  </si>
  <si>
    <t>40,52</t>
  </si>
  <si>
    <t>40,00</t>
  </si>
  <si>
    <t>44,62</t>
  </si>
  <si>
    <t>52,76</t>
  </si>
  <si>
    <t>52,75</t>
  </si>
  <si>
    <t>51,04</t>
  </si>
  <si>
    <t>49,74</t>
  </si>
  <si>
    <t>53,36</t>
  </si>
  <si>
    <t>58,13</t>
  </si>
  <si>
    <t>61,44</t>
  </si>
  <si>
    <t>The Travelers Companies Inc.</t>
  </si>
  <si>
    <t>TRV</t>
  </si>
  <si>
    <t>115,97</t>
  </si>
  <si>
    <t>107,23</t>
  </si>
  <si>
    <t>98,70</t>
  </si>
  <si>
    <t>101,91</t>
  </si>
  <si>
    <t>106,49</t>
  </si>
  <si>
    <t>104,01</t>
  </si>
  <si>
    <t>107,19</t>
  </si>
  <si>
    <t>95,96</t>
  </si>
  <si>
    <t>102,48</t>
  </si>
  <si>
    <t>98,98</t>
  </si>
  <si>
    <t>98,92</t>
  </si>
  <si>
    <t>103,92</t>
  </si>
  <si>
    <t>108,45</t>
  </si>
  <si>
    <t>89,18</t>
  </si>
  <si>
    <t>88,87</t>
  </si>
  <si>
    <t>96,05</t>
  </si>
  <si>
    <t>86,78</t>
  </si>
  <si>
    <t>92,14</t>
  </si>
  <si>
    <t>100,65</t>
  </si>
  <si>
    <t>91,07</t>
  </si>
  <si>
    <t>Monster Beverage Corp.</t>
  </si>
  <si>
    <t>MNST</t>
  </si>
  <si>
    <t>Soft Drinks and Non-alcoholic Beverages</t>
  </si>
  <si>
    <t>21,95</t>
  </si>
  <si>
    <t>23,96</t>
  </si>
  <si>
    <t>24,12</t>
  </si>
  <si>
    <t>20,99</t>
  </si>
  <si>
    <t>19,25</t>
  </si>
  <si>
    <t>20,18</t>
  </si>
  <si>
    <t>19,33</t>
  </si>
  <si>
    <t>21,47</t>
  </si>
  <si>
    <t>20,98</t>
  </si>
  <si>
    <t>Broadcom Inc.</t>
  </si>
  <si>
    <t>AVGO</t>
  </si>
  <si>
    <t>16,13</t>
  </si>
  <si>
    <t>14,50</t>
  </si>
  <si>
    <t>13,99</t>
  </si>
  <si>
    <t>13,87</t>
  </si>
  <si>
    <t>12,73</t>
  </si>
  <si>
    <t>13,57</t>
  </si>
  <si>
    <t>13,36</t>
  </si>
  <si>
    <t>12,35</t>
  </si>
  <si>
    <t>11,17</t>
  </si>
  <si>
    <t>11,20</t>
  </si>
  <si>
    <t>11,25</t>
  </si>
  <si>
    <t>11,93</t>
  </si>
  <si>
    <t>13,49</t>
  </si>
  <si>
    <t>10,44</t>
  </si>
  <si>
    <t>11,38</t>
  </si>
  <si>
    <t>9,11</t>
  </si>
  <si>
    <t>Blackstone Inc.</t>
  </si>
  <si>
    <t>BX</t>
  </si>
  <si>
    <t>25,61</t>
  </si>
  <si>
    <t>24,02</t>
  </si>
  <si>
    <t>24,63</t>
  </si>
  <si>
    <t>26,92</t>
  </si>
  <si>
    <t>29,98</t>
  </si>
  <si>
    <t>36,69</t>
  </si>
  <si>
    <t>39,91</t>
  </si>
  <si>
    <t>36,59</t>
  </si>
  <si>
    <t>36,20</t>
  </si>
  <si>
    <t>33,07</t>
  </si>
  <si>
    <t>Phillips 66</t>
  </si>
  <si>
    <t>PSX</t>
  </si>
  <si>
    <t>81,86</t>
  </si>
  <si>
    <t>74,04</t>
  </si>
  <si>
    <t>71,66</t>
  </si>
  <si>
    <t>70,37</t>
  </si>
  <si>
    <t>71,44</t>
  </si>
  <si>
    <t>72,21</t>
  </si>
  <si>
    <t>71,69</t>
  </si>
  <si>
    <t>76,03</t>
  </si>
  <si>
    <t>86,64</t>
  </si>
  <si>
    <t>80,75</t>
  </si>
  <si>
    <t>71,96</t>
  </si>
  <si>
    <t>62,29</t>
  </si>
  <si>
    <t>Kinder Morgan Inc.</t>
  </si>
  <si>
    <t>KMI</t>
  </si>
  <si>
    <t>19,62</t>
  </si>
  <si>
    <t>18,64</t>
  </si>
  <si>
    <t>19,60</t>
  </si>
  <si>
    <t>16,25</t>
  </si>
  <si>
    <t>15,68</t>
  </si>
  <si>
    <t>15,20</t>
  </si>
  <si>
    <t>13,74</t>
  </si>
  <si>
    <t>22,31</t>
  </si>
  <si>
    <t>24,80</t>
  </si>
  <si>
    <t>31,35</t>
  </si>
  <si>
    <t>37,80</t>
  </si>
  <si>
    <t>38,37</t>
  </si>
  <si>
    <t>39,15</t>
  </si>
  <si>
    <t>NetApp Inc.</t>
  </si>
  <si>
    <t>NTAP</t>
  </si>
  <si>
    <t>30,97</t>
  </si>
  <si>
    <t>31,87</t>
  </si>
  <si>
    <t>31,03</t>
  </si>
  <si>
    <t>23,58</t>
  </si>
  <si>
    <t>22,14</t>
  </si>
  <si>
    <t>22,94</t>
  </si>
  <si>
    <t>20,64</t>
  </si>
  <si>
    <t>29,02</t>
  </si>
  <si>
    <t>30,83</t>
  </si>
  <si>
    <t>28,33</t>
  </si>
  <si>
    <t>30,43</t>
  </si>
  <si>
    <t>Synopsys Inc.</t>
  </si>
  <si>
    <t>SNPS</t>
  </si>
  <si>
    <t>55,76</t>
  </si>
  <si>
    <t>57,21</t>
  </si>
  <si>
    <t>54,11</t>
  </si>
  <si>
    <t>52,80</t>
  </si>
  <si>
    <t>53,19</t>
  </si>
  <si>
    <t>42,53</t>
  </si>
  <si>
    <t>41,38</t>
  </si>
  <si>
    <t>45,47</t>
  </si>
  <si>
    <t>45,46</t>
  </si>
  <si>
    <t>41,88</t>
  </si>
  <si>
    <t>43,12</t>
  </si>
  <si>
    <t>41,39</t>
  </si>
  <si>
    <t>Eaton Corp. plc</t>
  </si>
  <si>
    <t>ETN</t>
  </si>
  <si>
    <t>63,55</t>
  </si>
  <si>
    <t>58,18</t>
  </si>
  <si>
    <t>58,46</t>
  </si>
  <si>
    <t>59,69</t>
  </si>
  <si>
    <t>53,78</t>
  </si>
  <si>
    <t>55,24</t>
  </si>
  <si>
    <t>54,93</t>
  </si>
  <si>
    <t>45,97</t>
  </si>
  <si>
    <t>61,39</t>
  </si>
  <si>
    <t>63,33</t>
  </si>
  <si>
    <t>Eli Lilly &amp; Co.</t>
  </si>
  <si>
    <t>LLY</t>
  </si>
  <si>
    <t>69,75</t>
  </si>
  <si>
    <t>74,18</t>
  </si>
  <si>
    <t>65,95</t>
  </si>
  <si>
    <t>77,58</t>
  </si>
  <si>
    <t>74,99</t>
  </si>
  <si>
    <t>76,49</t>
  </si>
  <si>
    <t>74,95</t>
  </si>
  <si>
    <t>71,89</t>
  </si>
  <si>
    <t>64,20</t>
  </si>
  <si>
    <t>67,63</t>
  </si>
  <si>
    <t>SBA Communications Corp</t>
  </si>
  <si>
    <t>SBAC</t>
  </si>
  <si>
    <t>97,82</t>
  </si>
  <si>
    <t>93,62</t>
  </si>
  <si>
    <t>103,36</t>
  </si>
  <si>
    <t>99,78</t>
  </si>
  <si>
    <t>102,40</t>
  </si>
  <si>
    <t>102,92</t>
  </si>
  <si>
    <t>97,19</t>
  </si>
  <si>
    <t>89,32</t>
  </si>
  <si>
    <t>89,97</t>
  </si>
  <si>
    <t>87,95</t>
  </si>
  <si>
    <t>87,35</t>
  </si>
  <si>
    <t>91,75</t>
  </si>
  <si>
    <t>99,54</t>
  </si>
  <si>
    <t>107,93</t>
  </si>
  <si>
    <t>105,52</t>
  </si>
  <si>
    <t>103,21</t>
  </si>
  <si>
    <t>101,88</t>
  </si>
  <si>
    <t>103,46</t>
  </si>
  <si>
    <t>109,00</t>
  </si>
  <si>
    <t>111,22</t>
  </si>
  <si>
    <t>103,37</t>
  </si>
  <si>
    <t>Bristol-Myers Squibb Co.</t>
  </si>
  <si>
    <t>BMY</t>
  </si>
  <si>
    <t>55,36</t>
  </si>
  <si>
    <t>46,45</t>
  </si>
  <si>
    <t>66,95</t>
  </si>
  <si>
    <t>56,09</t>
  </si>
  <si>
    <t>57,01</t>
  </si>
  <si>
    <t>63,34</t>
  </si>
  <si>
    <t>59,74</t>
  </si>
  <si>
    <t>58,86</t>
  </si>
  <si>
    <t>56,93</t>
  </si>
  <si>
    <t>60,04</t>
  </si>
  <si>
    <t>54,33</t>
  </si>
  <si>
    <t>General Motors Co.</t>
  </si>
  <si>
    <t>GM</t>
  </si>
  <si>
    <t>27,10</t>
  </si>
  <si>
    <t>27,39</t>
  </si>
  <si>
    <t>32,77</t>
  </si>
  <si>
    <t>31,32</t>
  </si>
  <si>
    <t>Expedia Group, Inc.</t>
  </si>
  <si>
    <t>EXPE</t>
  </si>
  <si>
    <t>107,31</t>
  </si>
  <si>
    <t>117,35</t>
  </si>
  <si>
    <t>117,91</t>
  </si>
  <si>
    <t>104,40</t>
  </si>
  <si>
    <t>99,95</t>
  </si>
  <si>
    <t>94,67</t>
  </si>
  <si>
    <t>114,45</t>
  </si>
  <si>
    <t>116,53</t>
  </si>
  <si>
    <t>98,17</t>
  </si>
  <si>
    <t>97,73</t>
  </si>
  <si>
    <t>87,62</t>
  </si>
  <si>
    <t>81,83</t>
  </si>
  <si>
    <t>The Coca-Cola Co.</t>
  </si>
  <si>
    <t>KO</t>
  </si>
  <si>
    <t>38,69</t>
  </si>
  <si>
    <t>40,82</t>
  </si>
  <si>
    <t>39,12</t>
  </si>
  <si>
    <t>40,73</t>
  </si>
  <si>
    <t>39,70</t>
  </si>
  <si>
    <t>38,41</t>
  </si>
  <si>
    <t>35,95</t>
  </si>
  <si>
    <t>36,47</t>
  </si>
  <si>
    <t>AvalonBay Communities Inc.</t>
  </si>
  <si>
    <t>AVB</t>
  </si>
  <si>
    <t>167,81</t>
  </si>
  <si>
    <t>155,61</t>
  </si>
  <si>
    <t>156,18</t>
  </si>
  <si>
    <t>158,22</t>
  </si>
  <si>
    <t>156,99</t>
  </si>
  <si>
    <t>166,15</t>
  </si>
  <si>
    <t>162,43</t>
  </si>
  <si>
    <t>161,63</t>
  </si>
  <si>
    <t>154,36</t>
  </si>
  <si>
    <t>167,01</t>
  </si>
  <si>
    <t>158,00</t>
  </si>
  <si>
    <t>158,48</t>
  </si>
  <si>
    <t>169,54</t>
  </si>
  <si>
    <t>172,07</t>
  </si>
  <si>
    <t>158,54</t>
  </si>
  <si>
    <t>156,65</t>
  </si>
  <si>
    <t>155,99</t>
  </si>
  <si>
    <t>143,52</t>
  </si>
  <si>
    <t>151,71</t>
  </si>
  <si>
    <t>146,80</t>
  </si>
  <si>
    <t>162,20</t>
  </si>
  <si>
    <t>150,13</t>
  </si>
  <si>
    <t>153,23</t>
  </si>
  <si>
    <t>Cincinnati Financial Corp.</t>
  </si>
  <si>
    <t>CINF</t>
  </si>
  <si>
    <t>64,58</t>
  </si>
  <si>
    <t>67,10</t>
  </si>
  <si>
    <t>69,17</t>
  </si>
  <si>
    <t>66,85</t>
  </si>
  <si>
    <t>67,43</t>
  </si>
  <si>
    <t>57,64</t>
  </si>
  <si>
    <t>58,12</t>
  </si>
  <si>
    <t>53,26</t>
  </si>
  <si>
    <t>48,21</t>
  </si>
  <si>
    <t>46,72</t>
  </si>
  <si>
    <t>49,97</t>
  </si>
  <si>
    <t>Illinois Tool Works Inc.</t>
  </si>
  <si>
    <t>ITW</t>
  </si>
  <si>
    <t>116,01</t>
  </si>
  <si>
    <t>118,42</t>
  </si>
  <si>
    <t>103,62</t>
  </si>
  <si>
    <t>106,61</t>
  </si>
  <si>
    <t>93,79</t>
  </si>
  <si>
    <t>95,27</t>
  </si>
  <si>
    <t>89,95</t>
  </si>
  <si>
    <t>86,76</t>
  </si>
  <si>
    <t>85,34</t>
  </si>
  <si>
    <t>83,38</t>
  </si>
  <si>
    <t>73,75</t>
  </si>
  <si>
    <t>82,40</t>
  </si>
  <si>
    <t>83,59</t>
  </si>
  <si>
    <t>90,42</t>
  </si>
  <si>
    <t>88,17</t>
  </si>
  <si>
    <t>82,45</t>
  </si>
  <si>
    <t>Church &amp; Dwight Co.</t>
  </si>
  <si>
    <t>CHD</t>
  </si>
  <si>
    <t>42,63</t>
  </si>
  <si>
    <t>41,77</t>
  </si>
  <si>
    <t>38,81</t>
  </si>
  <si>
    <t>39,04</t>
  </si>
  <si>
    <t>37,59</t>
  </si>
  <si>
    <t>39,76</t>
  </si>
  <si>
    <t>35,84</t>
  </si>
  <si>
    <t>U.S. Bancorp</t>
  </si>
  <si>
    <t>USB</t>
  </si>
  <si>
    <t>40,84</t>
  </si>
  <si>
    <t>39,60</t>
  </si>
  <si>
    <t>37,74</t>
  </si>
  <si>
    <t>36,32</t>
  </si>
  <si>
    <t>41,54</t>
  </si>
  <si>
    <t>36,75</t>
  </si>
  <si>
    <t>37,81</t>
  </si>
  <si>
    <t>40,92</t>
  </si>
  <si>
    <t>38,29</t>
  </si>
  <si>
    <t>Incyte Corp.</t>
  </si>
  <si>
    <t>INCY</t>
  </si>
  <si>
    <t>94,99</t>
  </si>
  <si>
    <t>79,35</t>
  </si>
  <si>
    <t>83,89</t>
  </si>
  <si>
    <t>80,73</t>
  </si>
  <si>
    <t>63,63</t>
  </si>
  <si>
    <t>99,86</t>
  </si>
  <si>
    <t>108,13</t>
  </si>
  <si>
    <t>106,58</t>
  </si>
  <si>
    <t>98,86</t>
  </si>
  <si>
    <t>103,73</t>
  </si>
  <si>
    <t>93,55</t>
  </si>
  <si>
    <t>100,36</t>
  </si>
  <si>
    <t>86,79</t>
  </si>
  <si>
    <t>85,32</t>
  </si>
  <si>
    <t>70,60</t>
  </si>
  <si>
    <t>Bunge Global SA</t>
  </si>
  <si>
    <t>BG</t>
  </si>
  <si>
    <t>68,43</t>
  </si>
  <si>
    <t>64,59</t>
  </si>
  <si>
    <t>57,32</t>
  </si>
  <si>
    <t>45,77</t>
  </si>
  <si>
    <t>63,05</t>
  </si>
  <si>
    <t>66,16</t>
  </si>
  <si>
    <t>65,68</t>
  </si>
  <si>
    <t>72,28</t>
  </si>
  <si>
    <t>78,82</t>
  </si>
  <si>
    <t>77,15</t>
  </si>
  <si>
    <t>72,94</t>
  </si>
  <si>
    <t>79,30</t>
  </si>
  <si>
    <t>Old Dominion Freight Line Inc.</t>
  </si>
  <si>
    <t>ODFL</t>
  </si>
  <si>
    <t>27,53</t>
  </si>
  <si>
    <t>20,78</t>
  </si>
  <si>
    <t>19,22</t>
  </si>
  <si>
    <t>16,89</t>
  </si>
  <si>
    <t>18,13</t>
  </si>
  <si>
    <t>18,72</t>
  </si>
  <si>
    <t>19,79</t>
  </si>
  <si>
    <t>22,07</t>
  </si>
  <si>
    <t>20,66</t>
  </si>
  <si>
    <t>21,18</t>
  </si>
  <si>
    <t>Expeditors Intl WA Inc</t>
  </si>
  <si>
    <t>EXPD</t>
  </si>
  <si>
    <t>50,17</t>
  </si>
  <si>
    <t>49,89</t>
  </si>
  <si>
    <t>45,44</t>
  </si>
  <si>
    <t>43,62</t>
  </si>
  <si>
    <t>42,14</t>
  </si>
  <si>
    <t>45,95</t>
  </si>
  <si>
    <t>45,15</t>
  </si>
  <si>
    <t>43,08</t>
  </si>
  <si>
    <t>Regency Centers Corp.</t>
  </si>
  <si>
    <t>REG</t>
  </si>
  <si>
    <t>65,76</t>
  </si>
  <si>
    <t>76,01</t>
  </si>
  <si>
    <t>75,39</t>
  </si>
  <si>
    <t>68,83</t>
  </si>
  <si>
    <t>64,35</t>
  </si>
  <si>
    <t>66,90</t>
  </si>
  <si>
    <t>63,78</t>
  </si>
  <si>
    <t>61,63</t>
  </si>
  <si>
    <t>55,69</t>
  </si>
  <si>
    <t>52,95</t>
  </si>
  <si>
    <t>57,90</t>
  </si>
  <si>
    <t>56,08</t>
  </si>
  <si>
    <t>Workday Inc.</t>
  </si>
  <si>
    <t>WDAY</t>
  </si>
  <si>
    <t>62,61</t>
  </si>
  <si>
    <t>79,77</t>
  </si>
  <si>
    <t>79,09</t>
  </si>
  <si>
    <t>81,57</t>
  </si>
  <si>
    <t>76,06</t>
  </si>
  <si>
    <t>65,47</t>
  </si>
  <si>
    <t>67,47</t>
  </si>
  <si>
    <t>55,65</t>
  </si>
  <si>
    <t>58,23</t>
  </si>
  <si>
    <t>79,24</t>
  </si>
  <si>
    <t>71,61</t>
  </si>
  <si>
    <t>81,47</t>
  </si>
  <si>
    <t>70,38</t>
  </si>
  <si>
    <t>Equinix Inc.</t>
  </si>
  <si>
    <t>EQIX</t>
  </si>
  <si>
    <t>338,57</t>
  </si>
  <si>
    <t>320,47</t>
  </si>
  <si>
    <t>325,98</t>
  </si>
  <si>
    <t>320,50</t>
  </si>
  <si>
    <t>330,70</t>
  </si>
  <si>
    <t>333,70</t>
  </si>
  <si>
    <t>349,13</t>
  </si>
  <si>
    <t>325,28</t>
  </si>
  <si>
    <t>288,45</t>
  </si>
  <si>
    <t>290,38</t>
  </si>
  <si>
    <t>279,56</t>
  </si>
  <si>
    <t>287,01</t>
  </si>
  <si>
    <t>278,43</t>
  </si>
  <si>
    <t>280,65</t>
  </si>
  <si>
    <t>269,04</t>
  </si>
  <si>
    <t>244,98</t>
  </si>
  <si>
    <t>240,84</t>
  </si>
  <si>
    <t>252,46</t>
  </si>
  <si>
    <t>228,03</t>
  </si>
  <si>
    <t>244,25</t>
  </si>
  <si>
    <t>228,61</t>
  </si>
  <si>
    <t>216,75</t>
  </si>
  <si>
    <t>199,93</t>
  </si>
  <si>
    <t>192,08</t>
  </si>
  <si>
    <t>Abbott Laboratories</t>
  </si>
  <si>
    <t>ABT</t>
  </si>
  <si>
    <t>36,39</t>
  </si>
  <si>
    <t>35,80</t>
  </si>
  <si>
    <t>37,62</t>
  </si>
  <si>
    <t>37,69</t>
  </si>
  <si>
    <t>35,61</t>
  </si>
  <si>
    <t>41,35</t>
  </si>
  <si>
    <t>40,63</t>
  </si>
  <si>
    <t>44,06</t>
  </si>
  <si>
    <t>41,46</t>
  </si>
  <si>
    <t>43,13</t>
  </si>
  <si>
    <t>Union Pacific Corp.</t>
  </si>
  <si>
    <t>UNP</t>
  </si>
  <si>
    <t>98,22</t>
  </si>
  <si>
    <t>95,86</t>
  </si>
  <si>
    <t>80,46</t>
  </si>
  <si>
    <t>86,77</t>
  </si>
  <si>
    <t>85,70</t>
  </si>
  <si>
    <t>83,28</t>
  </si>
  <si>
    <t>75,65</t>
  </si>
  <si>
    <t>76,16</t>
  </si>
  <si>
    <t>72,00</t>
  </si>
  <si>
    <t>79,46</t>
  </si>
  <si>
    <t>81,03</t>
  </si>
  <si>
    <t>76,54</t>
  </si>
  <si>
    <t>88,33</t>
  </si>
  <si>
    <t>85,62</t>
  </si>
  <si>
    <t>91,94</t>
  </si>
  <si>
    <t>94,89</t>
  </si>
  <si>
    <t>107,25</t>
  </si>
  <si>
    <t>103,82</t>
  </si>
  <si>
    <t>Coterra Energy Inc.</t>
  </si>
  <si>
    <t>CTRA</t>
  </si>
  <si>
    <t>22,13</t>
  </si>
  <si>
    <t>20,93</t>
  </si>
  <si>
    <t>22,08</t>
  </si>
  <si>
    <t>23,18</t>
  </si>
  <si>
    <t>21,54</t>
  </si>
  <si>
    <t>20,43</t>
  </si>
  <si>
    <t>19,94</t>
  </si>
  <si>
    <t>19,18</t>
  </si>
  <si>
    <t>16,29</t>
  </si>
  <si>
    <t>17,82</t>
  </si>
  <si>
    <t>21,13</t>
  </si>
  <si>
    <t>23,68</t>
  </si>
  <si>
    <t>28,32</t>
  </si>
  <si>
    <t>30,94</t>
  </si>
  <si>
    <t>30,21</t>
  </si>
  <si>
    <t>27,49</t>
  </si>
  <si>
    <t>25,86</t>
  </si>
  <si>
    <t>Mastercard Inc.</t>
  </si>
  <si>
    <t>MA</t>
  </si>
  <si>
    <t>97,81</t>
  </si>
  <si>
    <t>97,65</t>
  </si>
  <si>
    <t>90,54</t>
  </si>
  <si>
    <t>85,24</t>
  </si>
  <si>
    <t>79,29</t>
  </si>
  <si>
    <t>84,69</t>
  </si>
  <si>
    <t>92,69</t>
  </si>
  <si>
    <t>82,46</t>
  </si>
  <si>
    <t>84,06</t>
  </si>
  <si>
    <t>80,58</t>
  </si>
  <si>
    <t>80,42</t>
  </si>
  <si>
    <t>80,38</t>
  </si>
  <si>
    <t>72,66</t>
  </si>
  <si>
    <t>O'Reilly Automotive Inc.</t>
  </si>
  <si>
    <t>ORLY</t>
  </si>
  <si>
    <t>17,58</t>
  </si>
  <si>
    <t>17,31</t>
  </si>
  <si>
    <t>16,09</t>
  </si>
  <si>
    <t>16,74</t>
  </si>
  <si>
    <t>17,34</t>
  </si>
  <si>
    <t>16,27</t>
  </si>
  <si>
    <t>15,29</t>
  </si>
  <si>
    <t>16,02</t>
  </si>
  <si>
    <t>16,07</t>
  </si>
  <si>
    <t>15,56</t>
  </si>
  <si>
    <t>14,93</t>
  </si>
  <si>
    <t>14,29</t>
  </si>
  <si>
    <t>12,37</t>
  </si>
  <si>
    <t>Stryker Corp.</t>
  </si>
  <si>
    <t>SYK</t>
  </si>
  <si>
    <t>113,50</t>
  </si>
  <si>
    <t>107,52</t>
  </si>
  <si>
    <t>103,75</t>
  </si>
  <si>
    <t>104,06</t>
  </si>
  <si>
    <t>107,90</t>
  </si>
  <si>
    <t>94,21</t>
  </si>
  <si>
    <t>91,63</t>
  </si>
  <si>
    <t>85,57</t>
  </si>
  <si>
    <t>91,30</t>
  </si>
  <si>
    <t>86,71</t>
  </si>
  <si>
    <t>84,32</t>
  </si>
  <si>
    <t>88,07</t>
  </si>
  <si>
    <t>92,57</t>
  </si>
  <si>
    <t>85,80</t>
  </si>
  <si>
    <t>87,59</t>
  </si>
  <si>
    <t>84,50</t>
  </si>
  <si>
    <t>Erie Indemnity Co.</t>
  </si>
  <si>
    <t>ERIE</t>
  </si>
  <si>
    <t>106,52</t>
  </si>
  <si>
    <t>101,38</t>
  </si>
  <si>
    <t>90,81</t>
  </si>
  <si>
    <t>91,53</t>
  </si>
  <si>
    <t>87,43</t>
  </si>
  <si>
    <t>82,42</t>
  </si>
  <si>
    <t>88,82</t>
  </si>
  <si>
    <t>91,18</t>
  </si>
  <si>
    <t>79,31</t>
  </si>
  <si>
    <t>74,32</t>
  </si>
  <si>
    <t>73,18</t>
  </si>
  <si>
    <t>78,12</t>
  </si>
  <si>
    <t>73,68</t>
  </si>
  <si>
    <t>74,10</t>
  </si>
  <si>
    <t>81,23</t>
  </si>
  <si>
    <t>76,76</t>
  </si>
  <si>
    <t>Labcorp Holdings Inc.</t>
  </si>
  <si>
    <t>LH</t>
  </si>
  <si>
    <t>121,61</t>
  </si>
  <si>
    <t>119,05</t>
  </si>
  <si>
    <t>114,36</t>
  </si>
  <si>
    <t>122,31</t>
  </si>
  <si>
    <t>122,83</t>
  </si>
  <si>
    <t>124,90</t>
  </si>
  <si>
    <t>114,97</t>
  </si>
  <si>
    <t>102,85</t>
  </si>
  <si>
    <t>101,11</t>
  </si>
  <si>
    <t>103,83</t>
  </si>
  <si>
    <t>113,84</t>
  </si>
  <si>
    <t>115,04</t>
  </si>
  <si>
    <t>111,31</t>
  </si>
  <si>
    <t>105,17</t>
  </si>
  <si>
    <t>115,22</t>
  </si>
  <si>
    <t>108,83</t>
  </si>
  <si>
    <t>107,47</t>
  </si>
  <si>
    <t>106,80</t>
  </si>
  <si>
    <t>117,37</t>
  </si>
  <si>
    <t>Xylem Inc.</t>
  </si>
  <si>
    <t>XYL</t>
  </si>
  <si>
    <t>46,91</t>
  </si>
  <si>
    <t>46,66</t>
  </si>
  <si>
    <t>45,62</t>
  </si>
  <si>
    <t>42,79</t>
  </si>
  <si>
    <t>28,97</t>
  </si>
  <si>
    <t>30,20</t>
  </si>
  <si>
    <t>Public Svc Entpr Group Inc.</t>
  </si>
  <si>
    <t>PEG</t>
  </si>
  <si>
    <t>38,39</t>
  </si>
  <si>
    <t>40,28</t>
  </si>
  <si>
    <t>37,01</t>
  </si>
  <si>
    <t>37,44</t>
  </si>
  <si>
    <t>Fiserv Inc.</t>
  </si>
  <si>
    <t>FISV</t>
  </si>
  <si>
    <t>50,34</t>
  </si>
  <si>
    <t>49,49</t>
  </si>
  <si>
    <t>44,93</t>
  </si>
  <si>
    <t>44,25</t>
  </si>
  <si>
    <t>46,22</t>
  </si>
  <si>
    <t>48,95</t>
  </si>
  <si>
    <t>47,32</t>
  </si>
  <si>
    <t>42,66</t>
  </si>
  <si>
    <t>43,76</t>
  </si>
  <si>
    <t>38,80</t>
  </si>
  <si>
    <t>38,06</t>
  </si>
  <si>
    <t>36,51</t>
  </si>
  <si>
    <t>32,12</t>
  </si>
  <si>
    <t>Teledyne Technologies Inc.</t>
  </si>
  <si>
    <t>TDY</t>
  </si>
  <si>
    <t>Electronic Equipment and Instruments</t>
  </si>
  <si>
    <t>116,52</t>
  </si>
  <si>
    <t>118,13</t>
  </si>
  <si>
    <t>98,25</t>
  </si>
  <si>
    <t>96,02</t>
  </si>
  <si>
    <t>93,97</t>
  </si>
  <si>
    <t>77,39</t>
  </si>
  <si>
    <t>78,41</t>
  </si>
  <si>
    <t>75,09</t>
  </si>
  <si>
    <t>81,67</t>
  </si>
  <si>
    <t>87,57</t>
  </si>
  <si>
    <t>80,92</t>
  </si>
  <si>
    <t>87,41</t>
  </si>
  <si>
    <t>93,84</t>
  </si>
  <si>
    <t>99,35</t>
  </si>
  <si>
    <t>89,93</t>
  </si>
  <si>
    <t>Cisco Systems Inc.</t>
  </si>
  <si>
    <t>CSCO</t>
  </si>
  <si>
    <t>27,32</t>
  </si>
  <si>
    <t>25,83</t>
  </si>
  <si>
    <t>26,10</t>
  </si>
  <si>
    <t>24,00</t>
  </si>
  <si>
    <t>24,10</t>
  </si>
  <si>
    <t>25,79</t>
  </si>
  <si>
    <t>23,52</t>
  </si>
  <si>
    <t>23,10</t>
  </si>
  <si>
    <t>25,72</t>
  </si>
  <si>
    <t>25,62</t>
  </si>
  <si>
    <t>23,35</t>
  </si>
  <si>
    <t>Skyworks Solutions Inc.</t>
  </si>
  <si>
    <t>SWKS</t>
  </si>
  <si>
    <t>59,08</t>
  </si>
  <si>
    <t>56,98</t>
  </si>
  <si>
    <t>68,40</t>
  </si>
  <si>
    <t>61,17</t>
  </si>
  <si>
    <t>63,69</t>
  </si>
  <si>
    <t>70,74</t>
  </si>
  <si>
    <t>77,98</t>
  </si>
  <si>
    <t>86,60</t>
  </si>
  <si>
    <t>93,46</t>
  </si>
  <si>
    <t>99,64</t>
  </si>
  <si>
    <t>91,49</t>
  </si>
  <si>
    <t>78,26</t>
  </si>
  <si>
    <t>73,56</t>
  </si>
  <si>
    <t>McDonald's Corp.</t>
  </si>
  <si>
    <t>MCD</t>
  </si>
  <si>
    <t>115,31</t>
  </si>
  <si>
    <t>112,83</t>
  </si>
  <si>
    <t>102,71</t>
  </si>
  <si>
    <t>102,63</t>
  </si>
  <si>
    <t>109,68</t>
  </si>
  <si>
    <t>110,44</t>
  </si>
  <si>
    <t>110,35</t>
  </si>
  <si>
    <t>107,88</t>
  </si>
  <si>
    <t>114,39</t>
  </si>
  <si>
    <t>108,78</t>
  </si>
  <si>
    <t>108,06</t>
  </si>
  <si>
    <t>101,79</t>
  </si>
  <si>
    <t>88,29</t>
  </si>
  <si>
    <t>86,24</t>
  </si>
  <si>
    <t>88,20</t>
  </si>
  <si>
    <t>81,88</t>
  </si>
  <si>
    <t>Allegion plc</t>
  </si>
  <si>
    <t>ALLE</t>
  </si>
  <si>
    <t>58,25</t>
  </si>
  <si>
    <t>61,31</t>
  </si>
  <si>
    <t>64,79</t>
  </si>
  <si>
    <t>62,52</t>
  </si>
  <si>
    <t>55,94</t>
  </si>
  <si>
    <t>55,97</t>
  </si>
  <si>
    <t>53,22</t>
  </si>
  <si>
    <t>56,89</t>
  </si>
  <si>
    <t>56,94</t>
  </si>
  <si>
    <t>51,49</t>
  </si>
  <si>
    <t>47,84</t>
  </si>
  <si>
    <t>UnitedHealth Group Inc.</t>
  </si>
  <si>
    <t>UNH</t>
  </si>
  <si>
    <t>151,61</t>
  </si>
  <si>
    <t>149,77</t>
  </si>
  <si>
    <t>128,95</t>
  </si>
  <si>
    <t>124,55</t>
  </si>
  <si>
    <t>128,16</t>
  </si>
  <si>
    <t>127,14</t>
  </si>
  <si>
    <t>120,11</t>
  </si>
  <si>
    <t>113,18</t>
  </si>
  <si>
    <t>109,64</t>
  </si>
  <si>
    <t>106,43</t>
  </si>
  <si>
    <t>108,32</t>
  </si>
  <si>
    <t>106,69</t>
  </si>
  <si>
    <t>103,29</t>
  </si>
  <si>
    <t>109,89</t>
  </si>
  <si>
    <t>109,53</t>
  </si>
  <si>
    <t>99,51</t>
  </si>
  <si>
    <t>101,34</t>
  </si>
  <si>
    <t>94,11</t>
  </si>
  <si>
    <t>KeyCorp</t>
  </si>
  <si>
    <t>KEY</t>
  </si>
  <si>
    <t>12,88</t>
  </si>
  <si>
    <t>10,47</t>
  </si>
  <si>
    <t>9,95</t>
  </si>
  <si>
    <t>9,71</t>
  </si>
  <si>
    <t>10,31</t>
  </si>
  <si>
    <t>12,41</t>
  </si>
  <si>
    <t>11,26</t>
  </si>
  <si>
    <t>11,66</t>
  </si>
  <si>
    <t>12,27</t>
  </si>
  <si>
    <t>13,28</t>
  </si>
  <si>
    <t>12,42</t>
  </si>
  <si>
    <t>11,51</t>
  </si>
  <si>
    <t>The PNC Finl Svcs Grp</t>
  </si>
  <si>
    <t>PNC</t>
  </si>
  <si>
    <t>110,80</t>
  </si>
  <si>
    <t>104,57</t>
  </si>
  <si>
    <t>87,23</t>
  </si>
  <si>
    <t>80,15</t>
  </si>
  <si>
    <t>80,82</t>
  </si>
  <si>
    <t>73,29</t>
  </si>
  <si>
    <t>80,64</t>
  </si>
  <si>
    <t>76,65</t>
  </si>
  <si>
    <t>74,85</t>
  </si>
  <si>
    <t>87,76</t>
  </si>
  <si>
    <t>81,85</t>
  </si>
  <si>
    <t>82,01</t>
  </si>
  <si>
    <t>Cintas Corp.</t>
  </si>
  <si>
    <t>CTAS</t>
  </si>
  <si>
    <t>Diversified Support Services</t>
  </si>
  <si>
    <t>27,37</t>
  </si>
  <si>
    <t>25,04</t>
  </si>
  <si>
    <t>26,35</t>
  </si>
  <si>
    <t>19,71</t>
  </si>
  <si>
    <t>21,10</t>
  </si>
  <si>
    <t>19,21</t>
  </si>
  <si>
    <t>19,35</t>
  </si>
  <si>
    <t>18,99</t>
  </si>
  <si>
    <t>19,61</t>
  </si>
  <si>
    <t>Cardinal Health Inc.</t>
  </si>
  <si>
    <t>CAH</t>
  </si>
  <si>
    <t>68,18</t>
  </si>
  <si>
    <t>69,13</t>
  </si>
  <si>
    <t>68,51</t>
  </si>
  <si>
    <t>75,20</t>
  </si>
  <si>
    <t>82,21</t>
  </si>
  <si>
    <t>73,45</t>
  </si>
  <si>
    <t>76,92</t>
  </si>
  <si>
    <t>75,10</t>
  </si>
  <si>
    <t>75,34</t>
  </si>
  <si>
    <t>84,03</t>
  </si>
  <si>
    <t>DexCom Inc.</t>
  </si>
  <si>
    <t>DXCM</t>
  </si>
  <si>
    <t>14,14</t>
  </si>
  <si>
    <t>19,50</t>
  </si>
  <si>
    <t>14,97</t>
  </si>
  <si>
    <t>18,85</t>
  </si>
  <si>
    <t>19,23</t>
  </si>
  <si>
    <t>21,01</t>
  </si>
  <si>
    <t>17,95</t>
  </si>
  <si>
    <t>15,09</t>
  </si>
  <si>
    <t>14,51</t>
  </si>
  <si>
    <t>13,54</t>
  </si>
  <si>
    <t>13,24</t>
  </si>
  <si>
    <t>Analog Devices Inc.</t>
  </si>
  <si>
    <t>ADI</t>
  </si>
  <si>
    <t>58,48</t>
  </si>
  <si>
    <t>52,57</t>
  </si>
  <si>
    <t>51,97</t>
  </si>
  <si>
    <t>48,78</t>
  </si>
  <si>
    <t>49,77</t>
  </si>
  <si>
    <t>49,87</t>
  </si>
  <si>
    <t>57,62</t>
  </si>
  <si>
    <t>Texas Pacific Land Corp.</t>
  </si>
  <si>
    <t>TPL</t>
  </si>
  <si>
    <t>31,24</t>
  </si>
  <si>
    <t>17,61</t>
  </si>
  <si>
    <t>13,91</t>
  </si>
  <si>
    <t>12,52</t>
  </si>
  <si>
    <t>13,39</t>
  </si>
  <si>
    <t>13,15</t>
  </si>
  <si>
    <t>15,01</t>
  </si>
  <si>
    <t>14,96</t>
  </si>
  <si>
    <t>14,98</t>
  </si>
  <si>
    <t>13,78</t>
  </si>
  <si>
    <t>Agilent Technologies Inc</t>
  </si>
  <si>
    <t>A</t>
  </si>
  <si>
    <t>43,16</t>
  </si>
  <si>
    <t>43,06</t>
  </si>
  <si>
    <t>34,99</t>
  </si>
  <si>
    <t>34,38</t>
  </si>
  <si>
    <t>32,42</t>
  </si>
  <si>
    <t>37,07</t>
  </si>
  <si>
    <t>37,64</t>
  </si>
  <si>
    <t>33,45</t>
  </si>
  <si>
    <t>The Southern Co.</t>
  </si>
  <si>
    <t>SO</t>
  </si>
  <si>
    <t>47,88</t>
  </si>
  <si>
    <t>48,29</t>
  </si>
  <si>
    <t>44,42</t>
  </si>
  <si>
    <t>45,42</t>
  </si>
  <si>
    <t>45,21</t>
  </si>
  <si>
    <t>39,81</t>
  </si>
  <si>
    <t>39,57</t>
  </si>
  <si>
    <t>41,22</t>
  </si>
  <si>
    <t>Steel Dynamics Inc.</t>
  </si>
  <si>
    <t>STLD</t>
  </si>
  <si>
    <t>33,70</t>
  </si>
  <si>
    <t>25,05</t>
  </si>
  <si>
    <t>22,23</t>
  </si>
  <si>
    <t>22,06</t>
  </si>
  <si>
    <t>22,19</t>
  </si>
  <si>
    <t>22,01</t>
  </si>
  <si>
    <t>16,45</t>
  </si>
  <si>
    <t>16,46</t>
  </si>
  <si>
    <t>17,39</t>
  </si>
  <si>
    <t>19,87</t>
  </si>
  <si>
    <t>18,71</t>
  </si>
  <si>
    <t>Public Storage</t>
  </si>
  <si>
    <t>PSA</t>
  </si>
  <si>
    <t>Self-Storage REIT</t>
  </si>
  <si>
    <t>198,00</t>
  </si>
  <si>
    <t>198,52</t>
  </si>
  <si>
    <t>200,89</t>
  </si>
  <si>
    <t>213,82</t>
  </si>
  <si>
    <t>230,15</t>
  </si>
  <si>
    <t>227,97</t>
  </si>
  <si>
    <t>213,76</t>
  </si>
  <si>
    <t>242,19</t>
  </si>
  <si>
    <t>229,67</t>
  </si>
  <si>
    <t>234,33</t>
  </si>
  <si>
    <t>228,07</t>
  </si>
  <si>
    <t>227,23</t>
  </si>
  <si>
    <t>208,09</t>
  </si>
  <si>
    <t>189,63</t>
  </si>
  <si>
    <t>179,68</t>
  </si>
  <si>
    <t>185,72</t>
  </si>
  <si>
    <t>165,52</t>
  </si>
  <si>
    <t>176,34</t>
  </si>
  <si>
    <t>167,85</t>
  </si>
  <si>
    <t>183,51</t>
  </si>
  <si>
    <t>175,89</t>
  </si>
  <si>
    <t>177,89</t>
  </si>
  <si>
    <t>The Mosaic Co.</t>
  </si>
  <si>
    <t>MOS</t>
  </si>
  <si>
    <t>23,57</t>
  </si>
  <si>
    <t>22,67</t>
  </si>
  <si>
    <t>24,44</t>
  </si>
  <si>
    <t>24,53</t>
  </si>
  <si>
    <t>22,27</t>
  </si>
  <si>
    <t>25,40</t>
  </si>
  <si>
    <t>27,88</t>
  </si>
  <si>
    <t>38,87</t>
  </si>
  <si>
    <t>41,78</t>
  </si>
  <si>
    <t>39,30</t>
  </si>
  <si>
    <t>42,87</t>
  </si>
  <si>
    <t>Invesco Ltd.</t>
  </si>
  <si>
    <t>IVZ</t>
  </si>
  <si>
    <t>28,74</t>
  </si>
  <si>
    <t>27,98</t>
  </si>
  <si>
    <t>26,11</t>
  </si>
  <si>
    <t>23,00</t>
  </si>
  <si>
    <t>27,08</t>
  </si>
  <si>
    <t>27,66</t>
  </si>
  <si>
    <t>Ball Corp.</t>
  </si>
  <si>
    <t>BALL</t>
  </si>
  <si>
    <t>Containers and Packaging: Metal, Glass, and Plastic</t>
  </si>
  <si>
    <t>32,48</t>
  </si>
  <si>
    <t>30,48</t>
  </si>
  <si>
    <t>32,85</t>
  </si>
  <si>
    <t>31,06</t>
  </si>
  <si>
    <t>30,70</t>
  </si>
  <si>
    <t>Devon Energy Corp.</t>
  </si>
  <si>
    <t>DVN</t>
  </si>
  <si>
    <t>39,24</t>
  </si>
  <si>
    <t>34,26</t>
  </si>
  <si>
    <t>32,43</t>
  </si>
  <si>
    <t>30,28</t>
  </si>
  <si>
    <t>18,12</t>
  </si>
  <si>
    <t>25,78</t>
  </si>
  <si>
    <t>33,23</t>
  </si>
  <si>
    <t>53,41</t>
  </si>
  <si>
    <t>59,43</t>
  </si>
  <si>
    <t>60,93</t>
  </si>
  <si>
    <t>56,14</t>
  </si>
  <si>
    <t>Rollins Inc.</t>
  </si>
  <si>
    <t>ROL</t>
  </si>
  <si>
    <t>13,51</t>
  </si>
  <si>
    <t>12,50</t>
  </si>
  <si>
    <t>11,58</t>
  </si>
  <si>
    <t>10,43</t>
  </si>
  <si>
    <t>10,58</t>
  </si>
  <si>
    <t>10,60</t>
  </si>
  <si>
    <t>10,81</t>
  </si>
  <si>
    <t>10,70</t>
  </si>
  <si>
    <t>11,08</t>
  </si>
  <si>
    <t>10,05</t>
  </si>
  <si>
    <t>10,23</t>
  </si>
  <si>
    <t>8,86</t>
  </si>
  <si>
    <t>Genuine Parts Co.</t>
  </si>
  <si>
    <t>GPC</t>
  </si>
  <si>
    <t>90,51</t>
  </si>
  <si>
    <t>91,03</t>
  </si>
  <si>
    <t>82,65</t>
  </si>
  <si>
    <t>89,37</t>
  </si>
  <si>
    <t>91,17</t>
  </si>
  <si>
    <t>87,09</t>
  </si>
  <si>
    <t>87,24</t>
  </si>
  <si>
    <t>82,99</t>
  </si>
  <si>
    <t>79,08</t>
  </si>
  <si>
    <t>85,79</t>
  </si>
  <si>
    <t>82,31</t>
  </si>
  <si>
    <t>74,27</t>
  </si>
  <si>
    <t>80,51</t>
  </si>
  <si>
    <t>82,43</t>
  </si>
  <si>
    <t>80,26</t>
  </si>
  <si>
    <t>86,75</t>
  </si>
  <si>
    <t>85,69</t>
  </si>
  <si>
    <t>82,32</t>
  </si>
  <si>
    <t>Southwest Airlines Co.</t>
  </si>
  <si>
    <t>LUV</t>
  </si>
  <si>
    <t>44,09</t>
  </si>
  <si>
    <t>36,54</t>
  </si>
  <si>
    <t>34,60</t>
  </si>
  <si>
    <t>33,12</t>
  </si>
  <si>
    <t>35,31</t>
  </si>
  <si>
    <t>38,95</t>
  </si>
  <si>
    <t>39,34</t>
  </si>
  <si>
    <t>34,09</t>
  </si>
  <si>
    <t>IDEXX Laboratories Inc.</t>
  </si>
  <si>
    <t>IDXX</t>
  </si>
  <si>
    <t>111,09</t>
  </si>
  <si>
    <t>111,30</t>
  </si>
  <si>
    <t>97,75</t>
  </si>
  <si>
    <t>100,29</t>
  </si>
  <si>
    <t>83,94</t>
  </si>
  <si>
    <t>64,82</t>
  </si>
  <si>
    <t>62,23</t>
  </si>
  <si>
    <t>61,78</t>
  </si>
  <si>
    <t>55,99</t>
  </si>
  <si>
    <t>71,90</t>
  </si>
  <si>
    <t>ResMed Inc.</t>
  </si>
  <si>
    <t>RMD</t>
  </si>
  <si>
    <t>58,16</t>
  </si>
  <si>
    <t>59,82</t>
  </si>
  <si>
    <t>53,07</t>
  </si>
  <si>
    <t>50,77</t>
  </si>
  <si>
    <t>52,39</t>
  </si>
  <si>
    <t>52,24</t>
  </si>
  <si>
    <t>57,40</t>
  </si>
  <si>
    <t>HP Inc.</t>
  </si>
  <si>
    <t>HPQ</t>
  </si>
  <si>
    <t>14,06</t>
  </si>
  <si>
    <t>12,89</t>
  </si>
  <si>
    <t>12,54</t>
  </si>
  <si>
    <t>9,84</t>
  </si>
  <si>
    <t>10,90</t>
  </si>
  <si>
    <t>24,45</t>
  </si>
  <si>
    <t>27,63</t>
  </si>
  <si>
    <t>26,94</t>
  </si>
  <si>
    <t>29,45</t>
  </si>
  <si>
    <t>29,01</t>
  </si>
  <si>
    <t>Intel Corp.</t>
  </si>
  <si>
    <t>INTC</t>
  </si>
  <si>
    <t>32,83</t>
  </si>
  <si>
    <t>31,82</t>
  </si>
  <si>
    <t>29,53</t>
  </si>
  <si>
    <t>26,44</t>
  </si>
  <si>
    <t>28,40</t>
  </si>
  <si>
    <t>31,72</t>
  </si>
  <si>
    <t>32,91</t>
  </si>
  <si>
    <t>31,40</t>
  </si>
  <si>
    <t>29,11</t>
  </si>
  <si>
    <t>AbbVie Inc.</t>
  </si>
  <si>
    <t>ABBV</t>
  </si>
  <si>
    <t>50,89</t>
  </si>
  <si>
    <t>55,75</t>
  </si>
  <si>
    <t>50,15</t>
  </si>
  <si>
    <t>55,72</t>
  </si>
  <si>
    <t>60,32</t>
  </si>
  <si>
    <t>54,49</t>
  </si>
  <si>
    <t>53,46</t>
  </si>
  <si>
    <t>WEC Energy Group Inc.</t>
  </si>
  <si>
    <t>WEC</t>
  </si>
  <si>
    <t>52,99</t>
  </si>
  <si>
    <t>53,27</t>
  </si>
  <si>
    <t>53,72</t>
  </si>
  <si>
    <t>58,09</t>
  </si>
  <si>
    <t>52,74</t>
  </si>
  <si>
    <t>51,87</t>
  </si>
  <si>
    <t>46,76</t>
  </si>
  <si>
    <t>42,54</t>
  </si>
  <si>
    <t>Trimble Inc.</t>
  </si>
  <si>
    <t>TRMB</t>
  </si>
  <si>
    <t>26,67</t>
  </si>
  <si>
    <t>25,22</t>
  </si>
  <si>
    <t>25,41</t>
  </si>
  <si>
    <t>24,58</t>
  </si>
  <si>
    <t>22,98</t>
  </si>
  <si>
    <t>21,78</t>
  </si>
  <si>
    <t>19,75</t>
  </si>
  <si>
    <t>20,63</t>
  </si>
  <si>
    <t>14,71</t>
  </si>
  <si>
    <t>21,06</t>
  </si>
  <si>
    <t>23,46</t>
  </si>
  <si>
    <t>21,12</t>
  </si>
  <si>
    <t>Adobe Inc.</t>
  </si>
  <si>
    <t>ADBE</t>
  </si>
  <si>
    <t>97,52</t>
  </si>
  <si>
    <t>97,26</t>
  </si>
  <si>
    <t>96,56</t>
  </si>
  <si>
    <t>91,78</t>
  </si>
  <si>
    <t>86,25</t>
  </si>
  <si>
    <t>89,38</t>
  </si>
  <si>
    <t>82,27</t>
  </si>
  <si>
    <t>82,36</t>
  </si>
  <si>
    <t>78,38</t>
  </si>
  <si>
    <t>82,37</t>
  </si>
  <si>
    <t>86,50</t>
  </si>
  <si>
    <t>80,40</t>
  </si>
  <si>
    <t>74,21</t>
  </si>
  <si>
    <t>62,12</t>
  </si>
  <si>
    <t>PepsiCo Inc.</t>
  </si>
  <si>
    <t>PEP</t>
  </si>
  <si>
    <t>94,69</t>
  </si>
  <si>
    <t>95,76</t>
  </si>
  <si>
    <t>97,48</t>
  </si>
  <si>
    <t>95,39</t>
  </si>
  <si>
    <t>90,91</t>
  </si>
  <si>
    <t>89,90</t>
  </si>
  <si>
    <t>90,05</t>
  </si>
  <si>
    <t>91,77</t>
  </si>
  <si>
    <t>92,00</t>
  </si>
  <si>
    <t>94,81</t>
  </si>
  <si>
    <t>92,67</t>
  </si>
  <si>
    <t>82,96</t>
  </si>
  <si>
    <t>87,86</t>
  </si>
  <si>
    <t>89,01</t>
  </si>
  <si>
    <t>Live Nation Entertainment Inc.</t>
  </si>
  <si>
    <t>LYV</t>
  </si>
  <si>
    <t>25,20</t>
  </si>
  <si>
    <t>24,54</t>
  </si>
  <si>
    <t>18,76</t>
  </si>
  <si>
    <t>22,62</t>
  </si>
  <si>
    <t>23,73</t>
  </si>
  <si>
    <t>23,49</t>
  </si>
  <si>
    <t>Huntington Bancshares Inc.</t>
  </si>
  <si>
    <t>HBAN</t>
  </si>
  <si>
    <t>11,79</t>
  </si>
  <si>
    <t>8,50</t>
  </si>
  <si>
    <t>8,38</t>
  </si>
  <si>
    <t>7,93</t>
  </si>
  <si>
    <t>10,18</t>
  </si>
  <si>
    <t>10,56</t>
  </si>
  <si>
    <t>10,15</t>
  </si>
  <si>
    <t>10,14</t>
  </si>
  <si>
    <t>9,76</t>
  </si>
  <si>
    <t>Costco Wholesale Corp.</t>
  </si>
  <si>
    <t>COST</t>
  </si>
  <si>
    <t>151,67</t>
  </si>
  <si>
    <t>142,00</t>
  </si>
  <si>
    <t>134,92</t>
  </si>
  <si>
    <t>135,68</t>
  </si>
  <si>
    <t>149,65</t>
  </si>
  <si>
    <t>141,41</t>
  </si>
  <si>
    <t>133,68</t>
  </si>
  <si>
    <t>129,34</t>
  </si>
  <si>
    <t>138,36</t>
  </si>
  <si>
    <t>138,11</t>
  </si>
  <si>
    <t>139,66</t>
  </si>
  <si>
    <t>152,79</t>
  </si>
  <si>
    <t>143,39</t>
  </si>
  <si>
    <t>129,54</t>
  </si>
  <si>
    <t>125,03</t>
  </si>
  <si>
    <t>131,52</t>
  </si>
  <si>
    <t>129,92</t>
  </si>
  <si>
    <t>127,78</t>
  </si>
  <si>
    <t>141,02</t>
  </si>
  <si>
    <t>131,07</t>
  </si>
  <si>
    <t>Charles River Laboratories Int</t>
  </si>
  <si>
    <t>CRL</t>
  </si>
  <si>
    <t>72,17</t>
  </si>
  <si>
    <t>74,64</t>
  </si>
  <si>
    <t>77,21</t>
  </si>
  <si>
    <t>68,60</t>
  </si>
  <si>
    <t>56,92</t>
  </si>
  <si>
    <t>61,50</t>
  </si>
  <si>
    <t>63,15</t>
  </si>
  <si>
    <t>61,43</t>
  </si>
  <si>
    <t>State Street Corp.</t>
  </si>
  <si>
    <t>STT</t>
  </si>
  <si>
    <t>73,62</t>
  </si>
  <si>
    <t>63,01</t>
  </si>
  <si>
    <t>56,66</t>
  </si>
  <si>
    <t>54,40</t>
  </si>
  <si>
    <t>51,38</t>
  </si>
  <si>
    <t>51,50</t>
  </si>
  <si>
    <t>71,01</t>
  </si>
  <si>
    <t>68,45</t>
  </si>
  <si>
    <t>66,40</t>
  </si>
  <si>
    <t>Packaging Corp. America</t>
  </si>
  <si>
    <t>PKG</t>
  </si>
  <si>
    <t>75,27</t>
  </si>
  <si>
    <t>66,84</t>
  </si>
  <si>
    <t>56,65</t>
  </si>
  <si>
    <t>53,03</t>
  </si>
  <si>
    <t>72,78</t>
  </si>
  <si>
    <t>Jacobs Solutions Inc.</t>
  </si>
  <si>
    <t>J</t>
  </si>
  <si>
    <t>47,06</t>
  </si>
  <si>
    <t>38,63</t>
  </si>
  <si>
    <t>42,04</t>
  </si>
  <si>
    <t>39,54</t>
  </si>
  <si>
    <t>M&amp;T Bank Corp.</t>
  </si>
  <si>
    <t>MTB</t>
  </si>
  <si>
    <t>136,17</t>
  </si>
  <si>
    <t>111,98</t>
  </si>
  <si>
    <t>106,15</t>
  </si>
  <si>
    <t>102,53</t>
  </si>
  <si>
    <t>107,38</t>
  </si>
  <si>
    <t>97,46</t>
  </si>
  <si>
    <t>101,82</t>
  </si>
  <si>
    <t>118,63</t>
  </si>
  <si>
    <t>105,56</t>
  </si>
  <si>
    <t>118,71</t>
  </si>
  <si>
    <t>118,22</t>
  </si>
  <si>
    <t>107,91</t>
  </si>
  <si>
    <t>100,23</t>
  </si>
  <si>
    <t>Keysight Technologies Inc.</t>
  </si>
  <si>
    <t>KEYS</t>
  </si>
  <si>
    <t>28,19</t>
  </si>
  <si>
    <t>27,30</t>
  </si>
  <si>
    <t>22,77</t>
  </si>
  <si>
    <t>30,00</t>
  </si>
  <si>
    <t>29,58</t>
  </si>
  <si>
    <t>IQVIA Holdings Inc.</t>
  </si>
  <si>
    <t>IQV</t>
  </si>
  <si>
    <t>72,68</t>
  </si>
  <si>
    <t>65,46</t>
  </si>
  <si>
    <t>72,12</t>
  </si>
  <si>
    <t>58,82</t>
  </si>
  <si>
    <t>61,00</t>
  </si>
  <si>
    <t>56,22</t>
  </si>
  <si>
    <t>63,22</t>
  </si>
  <si>
    <t>57,72</t>
  </si>
  <si>
    <t>63,52</t>
  </si>
  <si>
    <t>58,85</t>
  </si>
  <si>
    <t>Albemarle Corp.</t>
  </si>
  <si>
    <t>ALB</t>
  </si>
  <si>
    <t>81,54</t>
  </si>
  <si>
    <t>83,04</t>
  </si>
  <si>
    <t>76,23</t>
  </si>
  <si>
    <t>71,74</t>
  </si>
  <si>
    <t>75,33</t>
  </si>
  <si>
    <t>56,13</t>
  </si>
  <si>
    <t>51,75</t>
  </si>
  <si>
    <t>51,57</t>
  </si>
  <si>
    <t>48,53</t>
  </si>
  <si>
    <t>40,36</t>
  </si>
  <si>
    <t>49,06</t>
  </si>
  <si>
    <t>53,33</t>
  </si>
  <si>
    <t>42,75</t>
  </si>
  <si>
    <t>Microsoft Corp.</t>
  </si>
  <si>
    <t>MSFT</t>
  </si>
  <si>
    <t>51,08</t>
  </si>
  <si>
    <t>42,27</t>
  </si>
  <si>
    <t>43,45</t>
  </si>
  <si>
    <t>35,78</t>
  </si>
  <si>
    <t>Regions Financial Corp.</t>
  </si>
  <si>
    <t>RF</t>
  </si>
  <si>
    <t>12,81</t>
  </si>
  <si>
    <t>8,94</t>
  </si>
  <si>
    <t>8,21</t>
  </si>
  <si>
    <t>7,66</t>
  </si>
  <si>
    <t>8,19</t>
  </si>
  <si>
    <t>6,89</t>
  </si>
  <si>
    <t>6,92</t>
  </si>
  <si>
    <t>8,48</t>
  </si>
  <si>
    <t>8,07</t>
  </si>
  <si>
    <t>8,56</t>
  </si>
  <si>
    <t>9,30</t>
  </si>
  <si>
    <t>8,80</t>
  </si>
  <si>
    <t>8,57</t>
  </si>
  <si>
    <t>7,71</t>
  </si>
  <si>
    <t>AT&amp;T Inc.</t>
  </si>
  <si>
    <t>T</t>
  </si>
  <si>
    <t>33,57</t>
  </si>
  <si>
    <t>36,13</t>
  </si>
  <si>
    <t>34,39</t>
  </si>
  <si>
    <t>34,01</t>
  </si>
  <si>
    <t>29,19</t>
  </si>
  <si>
    <t>29,64</t>
  </si>
  <si>
    <t>First Solar Inc.</t>
  </si>
  <si>
    <t>FSLR</t>
  </si>
  <si>
    <t>36,94</t>
  </si>
  <si>
    <t>43,65</t>
  </si>
  <si>
    <t>44,61</t>
  </si>
  <si>
    <t>60,12</t>
  </si>
  <si>
    <t>53,49</t>
  </si>
  <si>
    <t>40,10</t>
  </si>
  <si>
    <t>42,18</t>
  </si>
  <si>
    <t>45,29</t>
  </si>
  <si>
    <t>53,30</t>
  </si>
  <si>
    <t>55,66</t>
  </si>
  <si>
    <t>37,48</t>
  </si>
  <si>
    <t>Brown-Forman Corp.</t>
  </si>
  <si>
    <t>BF.B</t>
  </si>
  <si>
    <t>36,26</t>
  </si>
  <si>
    <t>36,17</t>
  </si>
  <si>
    <t>38,52</t>
  </si>
  <si>
    <t>35,03</t>
  </si>
  <si>
    <t>32,24</t>
  </si>
  <si>
    <t>Extra Space Storage Inc.</t>
  </si>
  <si>
    <t>EXR</t>
  </si>
  <si>
    <t>70,65</t>
  </si>
  <si>
    <t>72,26</t>
  </si>
  <si>
    <t>74,17</t>
  </si>
  <si>
    <t>82,06</t>
  </si>
  <si>
    <t>79,27</t>
  </si>
  <si>
    <t>65,60</t>
  </si>
  <si>
    <t>66,55</t>
  </si>
  <si>
    <t>58,55</t>
  </si>
  <si>
    <t>58,89</t>
  </si>
  <si>
    <t>Autodesk Inc.</t>
  </si>
  <si>
    <t>ADSK</t>
  </si>
  <si>
    <t>70,11</t>
  </si>
  <si>
    <t>60,46</t>
  </si>
  <si>
    <t>53,20</t>
  </si>
  <si>
    <t>52,36</t>
  </si>
  <si>
    <t>39,55</t>
  </si>
  <si>
    <t>41,74</t>
  </si>
  <si>
    <t>50,76</t>
  </si>
  <si>
    <t>54,59</t>
  </si>
  <si>
    <t>57,29</t>
  </si>
  <si>
    <t>Merck &amp; Co.</t>
  </si>
  <si>
    <t>MRK</t>
  </si>
  <si>
    <t>57,89</t>
  </si>
  <si>
    <t>56,33</t>
  </si>
  <si>
    <t>52,50</t>
  </si>
  <si>
    <t>46,46</t>
  </si>
  <si>
    <t>50,18</t>
  </si>
  <si>
    <t>49,57</t>
  </si>
  <si>
    <t>48,07</t>
  </si>
  <si>
    <t>51,11</t>
  </si>
  <si>
    <t>53,51</t>
  </si>
  <si>
    <t>American Electric Power Co.</t>
  </si>
  <si>
    <t>AEP</t>
  </si>
  <si>
    <t>59,64</t>
  </si>
  <si>
    <t>57,92</t>
  </si>
  <si>
    <t>63,11</t>
  </si>
  <si>
    <t>58,30</t>
  </si>
  <si>
    <t>53,65</t>
  </si>
  <si>
    <t>53,02</t>
  </si>
  <si>
    <t>51,29</t>
  </si>
  <si>
    <t>50,80</t>
  </si>
  <si>
    <t>55,63</t>
  </si>
  <si>
    <t>Bank of America Corporation</t>
  </si>
  <si>
    <t>BAC</t>
  </si>
  <si>
    <t>15,05</t>
  </si>
  <si>
    <t>13,92</t>
  </si>
  <si>
    <t>11,95</t>
  </si>
  <si>
    <t>13,29</t>
  </si>
  <si>
    <t>12,71</t>
  </si>
  <si>
    <t>13,07</t>
  </si>
  <si>
    <t>15,50</t>
  </si>
  <si>
    <t>16,50</t>
  </si>
  <si>
    <t>15,22</t>
  </si>
  <si>
    <t>14,59</t>
  </si>
  <si>
    <t>14,23</t>
  </si>
  <si>
    <t>Wynn Resorts Ltd.</t>
  </si>
  <si>
    <t>WYNN</t>
  </si>
  <si>
    <t>81,95</t>
  </si>
  <si>
    <t>80,12</t>
  </si>
  <si>
    <t>81,62</t>
  </si>
  <si>
    <t>86,42</t>
  </si>
  <si>
    <t>77,10</t>
  </si>
  <si>
    <t>93,44</t>
  </si>
  <si>
    <t>88,58</t>
  </si>
  <si>
    <t>117,18</t>
  </si>
  <si>
    <t>127,09</t>
  </si>
  <si>
    <t>131,05</t>
  </si>
  <si>
    <t>Zoetis Inc.</t>
  </si>
  <si>
    <t>ZTS</t>
  </si>
  <si>
    <t>47,66</t>
  </si>
  <si>
    <t>46,27</t>
  </si>
  <si>
    <t>45,84</t>
  </si>
  <si>
    <t>45,17</t>
  </si>
  <si>
    <t>42,61</t>
  </si>
  <si>
    <t>39,78</t>
  </si>
  <si>
    <t>44,20</t>
  </si>
  <si>
    <t>40,06</t>
  </si>
  <si>
    <t>45,35</t>
  </si>
  <si>
    <t>43,09</t>
  </si>
  <si>
    <t>TransDigm Group Inc</t>
  </si>
  <si>
    <t>TDG</t>
  </si>
  <si>
    <t>235,84</t>
  </si>
  <si>
    <t>237,85</t>
  </si>
  <si>
    <t>248,59</t>
  </si>
  <si>
    <t>257,22</t>
  </si>
  <si>
    <t>255,83</t>
  </si>
  <si>
    <t>250,16</t>
  </si>
  <si>
    <t>237,44</t>
  </si>
  <si>
    <t>236,80</t>
  </si>
  <si>
    <t>198,96</t>
  </si>
  <si>
    <t>193,47</t>
  </si>
  <si>
    <t>196,61</t>
  </si>
  <si>
    <t>207,68</t>
  </si>
  <si>
    <t>210,35</t>
  </si>
  <si>
    <t>222,09</t>
  </si>
  <si>
    <t>199,37</t>
  </si>
  <si>
    <t>190,33</t>
  </si>
  <si>
    <t>204,84</t>
  </si>
  <si>
    <t>201,70</t>
  </si>
  <si>
    <t>205,96</t>
  </si>
  <si>
    <t>189,49</t>
  </si>
  <si>
    <t>203,60</t>
  </si>
  <si>
    <t>193,41</t>
  </si>
  <si>
    <t>182,05</t>
  </si>
  <si>
    <t>Lowe's Companies Inc.</t>
  </si>
  <si>
    <t>LOW</t>
  </si>
  <si>
    <t>60,81</t>
  </si>
  <si>
    <t>68,68</t>
  </si>
  <si>
    <t>73,64</t>
  </si>
  <si>
    <t>70,01</t>
  </si>
  <si>
    <t>61,75</t>
  </si>
  <si>
    <t>61,51</t>
  </si>
  <si>
    <t>60,02</t>
  </si>
  <si>
    <t>Vertex Pharmaceuticals Inc.</t>
  </si>
  <si>
    <t>VRTX</t>
  </si>
  <si>
    <t>77,20</t>
  </si>
  <si>
    <t>77,59</t>
  </si>
  <si>
    <t>86,81</t>
  </si>
  <si>
    <t>77,46</t>
  </si>
  <si>
    <t>83,70</t>
  </si>
  <si>
    <t>83,87</t>
  </si>
  <si>
    <t>115,86</t>
  </si>
  <si>
    <t>122,45</t>
  </si>
  <si>
    <t>113,12</t>
  </si>
  <si>
    <t>93,31</t>
  </si>
  <si>
    <t>122,20</t>
  </si>
  <si>
    <t>110,85</t>
  </si>
  <si>
    <t>116,89</t>
  </si>
  <si>
    <t>110,12</t>
  </si>
  <si>
    <t>109,81</t>
  </si>
  <si>
    <t>106,51</t>
  </si>
  <si>
    <t>97,56</t>
  </si>
  <si>
    <t>Copart Inc.</t>
  </si>
  <si>
    <t>CPRT</t>
  </si>
  <si>
    <t>6,56</t>
  </si>
  <si>
    <t>6,47</t>
  </si>
  <si>
    <t>5,98</t>
  </si>
  <si>
    <t>5,96</t>
  </si>
  <si>
    <t>5,72</t>
  </si>
  <si>
    <t>5,64</t>
  </si>
  <si>
    <t>5,52</t>
  </si>
  <si>
    <t>5,56</t>
  </si>
  <si>
    <t>4,68</t>
  </si>
  <si>
    <t>4,34</t>
  </si>
  <si>
    <t>3,87</t>
  </si>
  <si>
    <t>4,37</t>
  </si>
  <si>
    <t>4,67</t>
  </si>
  <si>
    <t>3,69</t>
  </si>
  <si>
    <t>3,91</t>
  </si>
  <si>
    <t>4,08</t>
  </si>
  <si>
    <t>3,97</t>
  </si>
  <si>
    <t>4,05</t>
  </si>
  <si>
    <t>Sempra</t>
  </si>
  <si>
    <t>SRE</t>
  </si>
  <si>
    <t>47,68</t>
  </si>
  <si>
    <t>45,12</t>
  </si>
  <si>
    <t>45,68</t>
  </si>
  <si>
    <t>42,34</t>
  </si>
  <si>
    <t>48,96</t>
  </si>
  <si>
    <t>Iron Mountain Inc.</t>
  </si>
  <si>
    <t>IRM</t>
  </si>
  <si>
    <t>Other Specialized REIT</t>
  </si>
  <si>
    <t>29,77</t>
  </si>
  <si>
    <t>27,79</t>
  </si>
  <si>
    <t>27,80</t>
  </si>
  <si>
    <t>27,83</t>
  </si>
  <si>
    <t>33,96</t>
  </si>
  <si>
    <t>32,78</t>
  </si>
  <si>
    <t>35,29</t>
  </si>
  <si>
    <t>Zebra Technologies Corp.</t>
  </si>
  <si>
    <t>ZBRA</t>
  </si>
  <si>
    <t>81,24</t>
  </si>
  <si>
    <t>74,78</t>
  </si>
  <si>
    <t>60,07</t>
  </si>
  <si>
    <t>61,93</t>
  </si>
  <si>
    <t>62,76</t>
  </si>
  <si>
    <t>47,44</t>
  </si>
  <si>
    <t>45,11</t>
  </si>
  <si>
    <t>47,72</t>
  </si>
  <si>
    <t>56,87</t>
  </si>
  <si>
    <t>97,42</t>
  </si>
  <si>
    <t>81,20</t>
  </si>
  <si>
    <t>Coherent Corp.</t>
  </si>
  <si>
    <t>COHR</t>
  </si>
  <si>
    <t>25,36</t>
  </si>
  <si>
    <t>18,31</t>
  </si>
  <si>
    <t>17,09</t>
  </si>
  <si>
    <t>17,62</t>
  </si>
  <si>
    <t>14,41</t>
  </si>
  <si>
    <t>17,01</t>
  </si>
  <si>
    <t>允䅁䅁䄴䅁煁䅁䅁睕兂䙁䄸睑偂䕁䄰䅕䉂䕁䄴兗時䕁䄴兑乂䕁䅕睘䉂䕁䅉村卂䅁䅁䅁䅁䑁䅙䅁乂䕁䅫睘䩂䕁䄴䅒噂䙁䅍䅖卂䙁䅫睘䑂䕁䅷兑呂䙁䅍兓䝂䕁䅫睑䉂䙁䅑兓偂䕁䄴䅁䝁䅁䅁杁䅁䅁䅁允䅁䥁䅷䅁偂䡁䅁䅤灂䝁䄸杢穂䑁䅯睑ㅂ䡁䅉杣㥁䕁䅕兖卂䍁䅷兔桂䝁䅣児呂䡁䅑兙畂䝁䅑兙祂䝁䅑䅌䑂䝁䄸杢㉂䕁䄰党あ䝁䅧睢歂䑁䄰杕獁䕁䅙兡獂䝁䅫杢湂䙁䅙党祂䑁䄰睑ㅂ䡁䅉杣求䝁䄴䅤癁䙁䅉党穂䡁䅑兙あ䝁䅕䅚䅁䅁䅉䅁ぁ䅁䅁睑療䝁䄰䅣桂䝁䄴入杁䕁䄴兙瑂䝁䅕䅌杁䕁䅅杙楂䡁䅉党㉂䝁䅫兙あ䝁䅕䅚䅁䅁䅍䅁啁䅁䅁睕兂䙁䄸䅖䩂䕁䅍睓䙂䙁䅉䅁䕁䅁䅁杄䅁䙁䅑兡橂䝁䅳党祂䅁䅁兂䅁䑁䅁䅁䩂䝁䄴䅚ㅂ䡁䅍䅤祂䡁䅫䅉䑂䝁䅷兙穂䡁䅍兡浂䝁䅫睙桂䡁䅑兡療䝁䄴䅁䡁䅁䅁䅃䅁䑁䅷材睁䅁䅁䅃䅁䅁䅑䅁睁䅁䅁元䅁䉁䅯䅁呂䙁䅁睘䙂䕁䄴䅖䩂䙁䅑兗時䕁䅫䅒䅁䅁䅯䅁啁䅁䅁兒畂䡁䅑兡あ䡁䅫䅉䩂䕁䅑䅁䱁䅁䅁杈䅁䙁䅍䅕時䕁䅕杔啂䕁䅫䅖婂䙁䄸杔䉂䕁䄰兒䅁䅁䅷䅁奁䅁䅁兒畂䡁䅑兡あ䡁䅫䅉佂䝁䅅兢求䅁䅁兄䅁䅁䅙䅁䵁䅉䅅䅁䝁䅁䅁睁偁䅁䅁兂䅁䅁䅁䕎兙兑䅯䅁䅁䅁䅯允䅁䅁䅯允䅁䅁䅯杁䅁䅁䅅䅁䉁䅁䅁权䑁䅁䅁䍄䉁䅁䅁杂䅁䅁䅍睄䅁䅁䅕䅁䅁䑁䝒䕅䭅䅁䅑䅁䙁䅁䅁䅁䅁䅁䅁权䉁䅁䅁权䍁䅁䅁允䅁䅁䅅䅁䭁䅁䅕䅁䵁䅉䅅䅁䕁䅁䅁睁偁䅁䅁兂䅁䅁䅁䕎兙兑䅯䅂䅁䅁䅯䅃䅁䅁䅅䅁䉁䅁䅁权䩁䅁䅁䍄䉁䅁䅁杂䅁䅁䅍睄䅁䅁䅕䅁䅁䑁䝒䕅䭅䅁䅙䅁䭁䅁䅅䅁䭁䅁䅅䅁䭁䅁䅉䅁䉁䅁䅁允䅁䅁䅯睂䅁䅁杷允䅁䅁䅙䅁䑁䅁䄸䅁䙁䅁䅁䅁ぁ桒䉂权䭁䅁䅁权䉁䅁䅁权䉁䅁䅁权䍁䅁䅁允䅁䅁䅅䅁䭁䅁䅳䅁䵁䅉䅅䅁䝁䅁䅁睁偁䅁䅁兂䅁䅁䅁䕎兙兑䅯䅄䅁䅁䅯允䅁䅁䅯允䅁䅁䅯杁䅁䅁䅅䅁䉁䅁䅁权乁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</si>
</sst>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applyAlignment="1">
      <alignment horizontal="left" wrapText="1"/>
    </xf>
    <xf numFmtId="1" fontId="0" fillId="0" borderId="0" xfId="0" applyNumberFormat="1" applyAlignment="1">
      <alignment horizontal="right" wrapText="1"/>
    </xf>
    <xf numFmtId="0" fontId="0" fillId="0" borderId="0" xfId="0" applyNumberFormat="1" applyAlignment="1">
      <alignment horizontal="right" wrapText="1"/>
    </xf>
    <xf numFmtId="0" fontId="0" fillId="0" borderId="0" xfId="0" applyAlignment="1">
      <alignment wrapText="1"/>
    </xf>
    <xf numFmtId="1" fontId="0" fillId="0" borderId="0" xfId="0" applyNumberForma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71D57-89FE-4907-A5A4-12D1750E3D23}">
  <dimension ref="A1"/>
  <sheetViews>
    <sheetView workbookViewId="0"/>
  </sheetViews>
  <sheetFormatPr baseColWidth="10" defaultRowHeight="14.25" x14ac:dyDescent="0.45"/>
  <sheetData>
    <row r="1" spans="1:1" x14ac:dyDescent="0.45">
      <c r="A1" t="s">
        <v>8921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55E2D-AEA1-4728-BA9C-8368D74B8B2D}">
  <dimension ref="A1:AC461"/>
  <sheetViews>
    <sheetView tabSelected="1" workbookViewId="0">
      <selection activeCell="K2" sqref="K2"/>
    </sheetView>
  </sheetViews>
  <sheetFormatPr baseColWidth="10" defaultRowHeight="14.25" x14ac:dyDescent="0.45"/>
  <cols>
    <col min="1" max="29" width="10.6640625" style="4"/>
  </cols>
  <sheetData>
    <row r="1" spans="1:29" x14ac:dyDescent="0.45">
      <c r="A1" s="4" t="str">
        <f>_xll.SNL.Clients.Office.Excel.Functions.SPGTable($B$6:$B$461,$C$3:$AC$3,,"Options:Curr=EUR,Mag=Standard,ConvMethod=R,FilingVer=Current/Restated")</f>
        <v>SPGTable</v>
      </c>
    </row>
    <row r="2" spans="1:29" ht="142.5" x14ac:dyDescent="0.45">
      <c r="A2" s="1" t="str">
        <f>_xll.SNL.Clients.Office.Excel.Functions.SPGLabel(266637,"SP_ENTITY_NAME","","","Options:Curr=EUR,Mag=Standard,ConvMethod=R,FilingVer=Current/Restated")</f>
        <v>Entity Name</v>
      </c>
      <c r="B2" s="1" t="str">
        <f>_xll.SNL.Clients.Office.Excel.Functions.SPGLabel(266637,"SP_ENTITY_ID","","","Options:Curr=EUR,Mag=Standard,ConvMethod=R,FilingVer=Current/Restated")</f>
        <v>Entity ID</v>
      </c>
      <c r="C2" s="1" t="str">
        <f>_xll.SNL.Clients.Office.Excel.Functions.SPGLabel(266637,"SP_COMPANY_NAME_ABBR","","","Options:Curr=EUR,Mag=Standard,ConvMethod=R,FilingVer=Current/Restated")</f>
        <v>Company Name, Abbreviated</v>
      </c>
      <c r="D2" s="1" t="str">
        <f>_xll.SNL.Clients.Office.Excel.Functions.SPGLabel(266637,"SP_TICKER",0,"","Options:Curr=EUR,Mag=Standard,ConvMethod=R,FilingVer=Current/Restated")</f>
        <v>Ticker</v>
      </c>
      <c r="E2" s="1" t="str">
        <f>_xll.SNL.Clients.Office.Excel.Functions.SPGLabel(266637,"MI_INDUSTRY_CLASSIFICATION","","","Options:Curr=EUR,Mag=Standard,ConvMethod=R,FilingVer=Current/Restated")</f>
        <v>Industry Classification</v>
      </c>
      <c r="F2" s="1" t="s">
        <v>456</v>
      </c>
      <c r="G2" s="1" t="s">
        <v>457</v>
      </c>
      <c r="H2" s="1" t="s">
        <v>458</v>
      </c>
      <c r="I2" s="1" t="s">
        <v>459</v>
      </c>
      <c r="J2" s="1" t="s">
        <v>460</v>
      </c>
      <c r="K2" s="1" t="s">
        <v>461</v>
      </c>
      <c r="L2" s="1" t="s">
        <v>462</v>
      </c>
      <c r="M2" s="1" t="s">
        <v>463</v>
      </c>
      <c r="N2" s="1" t="s">
        <v>464</v>
      </c>
      <c r="O2" s="1" t="s">
        <v>465</v>
      </c>
      <c r="P2" s="1" t="s">
        <v>466</v>
      </c>
      <c r="Q2" s="1" t="s">
        <v>467</v>
      </c>
      <c r="R2" s="1" t="s">
        <v>468</v>
      </c>
      <c r="S2" s="1" t="s">
        <v>469</v>
      </c>
      <c r="T2" s="1" t="s">
        <v>470</v>
      </c>
      <c r="U2" s="1" t="s">
        <v>471</v>
      </c>
      <c r="V2" s="1" t="s">
        <v>472</v>
      </c>
      <c r="W2" s="1" t="s">
        <v>473</v>
      </c>
      <c r="X2" s="1" t="s">
        <v>474</v>
      </c>
      <c r="Y2" s="1" t="s">
        <v>475</v>
      </c>
      <c r="Z2" s="1" t="s">
        <v>476</v>
      </c>
      <c r="AA2" s="1" t="s">
        <v>477</v>
      </c>
      <c r="AB2" s="1" t="s">
        <v>478</v>
      </c>
      <c r="AC2" s="1" t="s">
        <v>479</v>
      </c>
    </row>
    <row r="3" spans="1:29" ht="42.75" x14ac:dyDescent="0.45">
      <c r="A3" s="2" t="s">
        <v>483</v>
      </c>
      <c r="B3" s="2" t="s">
        <v>484</v>
      </c>
      <c r="C3" s="2" t="s">
        <v>480</v>
      </c>
      <c r="D3" s="2" t="s">
        <v>481</v>
      </c>
      <c r="E3" s="2" t="s">
        <v>482</v>
      </c>
      <c r="F3" s="2"/>
      <c r="G3" s="2"/>
      <c r="H3" s="2"/>
      <c r="I3" s="2"/>
      <c r="J3" s="2"/>
      <c r="K3" s="2"/>
      <c r="L3" s="2"/>
      <c r="M3" s="2"/>
      <c r="N3" s="2"/>
      <c r="O3" s="2"/>
      <c r="P3" s="2"/>
      <c r="Q3" s="2"/>
      <c r="R3" s="2"/>
      <c r="S3" s="2"/>
      <c r="T3" s="2"/>
      <c r="U3" s="2"/>
      <c r="V3" s="2"/>
      <c r="W3" s="2"/>
      <c r="X3" s="2"/>
      <c r="Y3" s="2"/>
      <c r="Z3" s="2"/>
      <c r="AA3" s="2"/>
      <c r="AB3" s="2"/>
      <c r="AC3" s="2"/>
    </row>
    <row r="4" spans="1:29" x14ac:dyDescent="0.45">
      <c r="A4" s="3"/>
      <c r="B4" s="3"/>
      <c r="C4" s="3"/>
      <c r="D4" s="3" t="str">
        <f>_xll.SNL.Clients.Office.Excel.Functions.SPGLabel(266637,"SP_TICKER","&lt;&gt;0")</f>
        <v>0</v>
      </c>
      <c r="E4" s="3"/>
      <c r="F4" s="3"/>
      <c r="G4" s="3"/>
      <c r="H4" s="3"/>
      <c r="I4" s="3"/>
      <c r="J4" s="3"/>
      <c r="K4" s="3"/>
      <c r="L4" s="3"/>
      <c r="M4" s="3"/>
      <c r="N4" s="3"/>
      <c r="O4" s="3"/>
      <c r="P4" s="3"/>
      <c r="Q4" s="3"/>
      <c r="R4" s="3"/>
      <c r="S4" s="3"/>
      <c r="T4" s="3"/>
      <c r="U4" s="3"/>
      <c r="V4" s="3"/>
      <c r="W4" s="3"/>
      <c r="X4" s="3"/>
      <c r="Y4" s="3"/>
      <c r="Z4" s="3"/>
      <c r="AA4" s="3"/>
      <c r="AB4" s="3"/>
      <c r="AC4" s="3"/>
    </row>
    <row r="5" spans="1:29" x14ac:dyDescent="0.45">
      <c r="A5" s="3"/>
      <c r="B5" s="3"/>
      <c r="C5" s="3"/>
      <c r="D5" s="3"/>
      <c r="E5" s="3"/>
      <c r="F5" s="3"/>
      <c r="G5" s="3"/>
      <c r="H5" s="3"/>
      <c r="I5" s="3"/>
      <c r="J5" s="3"/>
      <c r="K5" s="3"/>
      <c r="L5" s="3"/>
      <c r="M5" s="3"/>
      <c r="N5" s="3"/>
      <c r="O5" s="3"/>
      <c r="P5" s="3"/>
      <c r="Q5" s="3"/>
      <c r="R5" s="3"/>
      <c r="S5" s="3"/>
      <c r="T5" s="3"/>
      <c r="U5" s="3"/>
      <c r="V5" s="3"/>
      <c r="W5" s="3"/>
      <c r="X5" s="3"/>
      <c r="Y5" s="3"/>
      <c r="Z5" s="3"/>
      <c r="AA5" s="3"/>
      <c r="AB5" s="3"/>
      <c r="AC5" s="3"/>
    </row>
    <row r="6" spans="1:29" ht="57" x14ac:dyDescent="0.45">
      <c r="A6" s="5" t="s">
        <v>0</v>
      </c>
      <c r="B6" s="2">
        <v>4964207</v>
      </c>
      <c r="C6" s="1" t="s">
        <v>485</v>
      </c>
      <c r="D6" s="1" t="s">
        <v>486</v>
      </c>
      <c r="E6" s="1" t="s">
        <v>487</v>
      </c>
      <c r="F6" s="1" t="s">
        <v>488</v>
      </c>
      <c r="G6" s="1" t="s">
        <v>489</v>
      </c>
      <c r="H6" s="1" t="s">
        <v>490</v>
      </c>
      <c r="I6" s="1" t="s">
        <v>491</v>
      </c>
      <c r="J6" s="1" t="s">
        <v>492</v>
      </c>
      <c r="K6" s="1" t="s">
        <v>493</v>
      </c>
      <c r="L6" s="1" t="s">
        <v>494</v>
      </c>
      <c r="M6" s="1" t="s">
        <v>495</v>
      </c>
      <c r="N6" s="1" t="s">
        <v>496</v>
      </c>
      <c r="O6" s="1" t="s">
        <v>497</v>
      </c>
      <c r="P6" s="1" t="s">
        <v>498</v>
      </c>
      <c r="Q6" s="1" t="s">
        <v>499</v>
      </c>
      <c r="R6" s="1" t="s">
        <v>500</v>
      </c>
      <c r="S6" s="1" t="s">
        <v>501</v>
      </c>
      <c r="T6" s="1" t="s">
        <v>502</v>
      </c>
      <c r="U6" s="1" t="s">
        <v>503</v>
      </c>
      <c r="V6" s="1" t="s">
        <v>504</v>
      </c>
      <c r="W6" s="1" t="s">
        <v>505</v>
      </c>
      <c r="X6" s="1" t="s">
        <v>506</v>
      </c>
      <c r="Y6" s="1" t="s">
        <v>507</v>
      </c>
      <c r="Z6" s="1" t="s">
        <v>508</v>
      </c>
      <c r="AA6" s="1" t="s">
        <v>509</v>
      </c>
      <c r="AB6" s="1" t="s">
        <v>510</v>
      </c>
      <c r="AC6" s="1" t="s">
        <v>511</v>
      </c>
    </row>
    <row r="7" spans="1:29" ht="57" x14ac:dyDescent="0.45">
      <c r="A7" s="5" t="s">
        <v>1</v>
      </c>
      <c r="B7" s="2">
        <v>4021939</v>
      </c>
      <c r="C7" s="1" t="s">
        <v>512</v>
      </c>
      <c r="D7" s="1" t="s">
        <v>513</v>
      </c>
      <c r="E7" s="1" t="s">
        <v>514</v>
      </c>
      <c r="F7" s="1" t="s">
        <v>515</v>
      </c>
      <c r="G7" s="1" t="s">
        <v>516</v>
      </c>
      <c r="H7" s="1" t="s">
        <v>517</v>
      </c>
      <c r="I7" s="1" t="s">
        <v>518</v>
      </c>
      <c r="J7" s="1" t="s">
        <v>519</v>
      </c>
      <c r="K7" s="1" t="s">
        <v>520</v>
      </c>
      <c r="L7" s="1" t="s">
        <v>521</v>
      </c>
      <c r="M7" s="1" t="s">
        <v>522</v>
      </c>
      <c r="N7" s="1" t="s">
        <v>523</v>
      </c>
      <c r="O7" s="1" t="s">
        <v>524</v>
      </c>
      <c r="P7" s="1" t="s">
        <v>525</v>
      </c>
      <c r="Q7" s="1" t="s">
        <v>526</v>
      </c>
      <c r="R7" s="1" t="s">
        <v>527</v>
      </c>
      <c r="S7" s="1" t="s">
        <v>528</v>
      </c>
      <c r="T7" s="1" t="s">
        <v>529</v>
      </c>
      <c r="U7" s="1" t="s">
        <v>530</v>
      </c>
      <c r="V7" s="1" t="s">
        <v>531</v>
      </c>
      <c r="W7" s="1" t="s">
        <v>532</v>
      </c>
      <c r="X7" s="1" t="s">
        <v>533</v>
      </c>
      <c r="Y7" s="1" t="s">
        <v>534</v>
      </c>
      <c r="Z7" s="1" t="s">
        <v>535</v>
      </c>
      <c r="AA7" s="1" t="s">
        <v>536</v>
      </c>
      <c r="AB7" s="1" t="s">
        <v>537</v>
      </c>
      <c r="AC7" s="1" t="s">
        <v>538</v>
      </c>
    </row>
    <row r="8" spans="1:29" ht="57" x14ac:dyDescent="0.45">
      <c r="A8" s="5" t="s">
        <v>2</v>
      </c>
      <c r="B8" s="2">
        <v>4283738</v>
      </c>
      <c r="C8" s="1" t="s">
        <v>539</v>
      </c>
      <c r="D8" s="1" t="s">
        <v>540</v>
      </c>
      <c r="E8" s="1" t="s">
        <v>541</v>
      </c>
      <c r="F8" s="1" t="s">
        <v>542</v>
      </c>
      <c r="G8" s="1" t="s">
        <v>543</v>
      </c>
      <c r="H8" s="1" t="s">
        <v>544</v>
      </c>
      <c r="I8" s="1" t="s">
        <v>545</v>
      </c>
      <c r="J8" s="1" t="s">
        <v>546</v>
      </c>
      <c r="K8" s="1" t="s">
        <v>547</v>
      </c>
      <c r="L8" s="1" t="s">
        <v>548</v>
      </c>
      <c r="M8" s="1" t="s">
        <v>549</v>
      </c>
      <c r="N8" s="1" t="s">
        <v>550</v>
      </c>
      <c r="O8" s="1" t="s">
        <v>551</v>
      </c>
      <c r="P8" s="1" t="s">
        <v>552</v>
      </c>
      <c r="Q8" s="1" t="s">
        <v>553</v>
      </c>
      <c r="R8" s="1" t="s">
        <v>554</v>
      </c>
      <c r="S8" s="1" t="s">
        <v>555</v>
      </c>
      <c r="T8" s="1" t="s">
        <v>556</v>
      </c>
      <c r="U8" s="1" t="s">
        <v>557</v>
      </c>
      <c r="V8" s="1" t="s">
        <v>558</v>
      </c>
      <c r="W8" s="1" t="s">
        <v>559</v>
      </c>
      <c r="X8" s="1" t="s">
        <v>560</v>
      </c>
      <c r="Y8" s="1" t="s">
        <v>561</v>
      </c>
      <c r="Z8" s="1" t="s">
        <v>562</v>
      </c>
      <c r="AA8" s="1" t="s">
        <v>563</v>
      </c>
      <c r="AB8" s="1" t="s">
        <v>564</v>
      </c>
      <c r="AC8" s="1" t="s">
        <v>565</v>
      </c>
    </row>
    <row r="9" spans="1:29" ht="57" x14ac:dyDescent="0.45">
      <c r="A9" s="5" t="s">
        <v>3</v>
      </c>
      <c r="B9" s="2">
        <v>4095864</v>
      </c>
      <c r="C9" s="1" t="s">
        <v>566</v>
      </c>
      <c r="D9" s="1" t="s">
        <v>567</v>
      </c>
      <c r="E9" s="1" t="s">
        <v>568</v>
      </c>
      <c r="F9" s="1" t="s">
        <v>569</v>
      </c>
      <c r="G9" s="1" t="s">
        <v>570</v>
      </c>
      <c r="H9" s="1" t="s">
        <v>571</v>
      </c>
      <c r="I9" s="1" t="s">
        <v>572</v>
      </c>
      <c r="J9" s="1" t="s">
        <v>573</v>
      </c>
      <c r="K9" s="1" t="s">
        <v>574</v>
      </c>
      <c r="L9" s="1" t="s">
        <v>575</v>
      </c>
      <c r="M9" s="1" t="s">
        <v>576</v>
      </c>
      <c r="N9" s="1" t="s">
        <v>577</v>
      </c>
      <c r="O9" s="1" t="s">
        <v>578</v>
      </c>
      <c r="P9" s="1" t="s">
        <v>579</v>
      </c>
      <c r="Q9" s="1" t="s">
        <v>580</v>
      </c>
      <c r="R9" s="1" t="s">
        <v>581</v>
      </c>
      <c r="S9" s="1" t="s">
        <v>582</v>
      </c>
      <c r="T9" s="1" t="s">
        <v>583</v>
      </c>
      <c r="U9" s="1" t="s">
        <v>584</v>
      </c>
      <c r="V9" s="1" t="s">
        <v>585</v>
      </c>
      <c r="W9" s="1" t="s">
        <v>586</v>
      </c>
      <c r="X9" s="1" t="s">
        <v>587</v>
      </c>
      <c r="Y9" s="1" t="s">
        <v>588</v>
      </c>
      <c r="Z9" s="1" t="s">
        <v>589</v>
      </c>
      <c r="AA9" s="1" t="s">
        <v>590</v>
      </c>
      <c r="AB9" s="1" t="s">
        <v>591</v>
      </c>
      <c r="AC9" s="1" t="s">
        <v>592</v>
      </c>
    </row>
    <row r="10" spans="1:29" ht="85.5" x14ac:dyDescent="0.45">
      <c r="A10" s="5" t="s">
        <v>4</v>
      </c>
      <c r="B10" s="2">
        <v>4004412</v>
      </c>
      <c r="C10" s="1" t="s">
        <v>593</v>
      </c>
      <c r="D10" s="1" t="s">
        <v>594</v>
      </c>
      <c r="E10" s="1" t="s">
        <v>595</v>
      </c>
      <c r="F10" s="1" t="s">
        <v>596</v>
      </c>
      <c r="G10" s="1" t="s">
        <v>597</v>
      </c>
      <c r="H10" s="1" t="s">
        <v>598</v>
      </c>
      <c r="I10" s="1" t="s">
        <v>599</v>
      </c>
      <c r="J10" s="1" t="s">
        <v>600</v>
      </c>
      <c r="K10" s="1" t="s">
        <v>601</v>
      </c>
      <c r="L10" s="1" t="s">
        <v>602</v>
      </c>
      <c r="M10" s="1" t="s">
        <v>603</v>
      </c>
      <c r="N10" s="1" t="s">
        <v>604</v>
      </c>
      <c r="O10" s="1" t="s">
        <v>605</v>
      </c>
      <c r="P10" s="1" t="s">
        <v>606</v>
      </c>
      <c r="Q10" s="1" t="s">
        <v>607</v>
      </c>
      <c r="R10" s="1" t="s">
        <v>608</v>
      </c>
      <c r="S10" s="1" t="s">
        <v>609</v>
      </c>
      <c r="T10" s="1" t="s">
        <v>610</v>
      </c>
      <c r="U10" s="1" t="s">
        <v>611</v>
      </c>
      <c r="V10" s="1" t="s">
        <v>612</v>
      </c>
      <c r="W10" s="1" t="s">
        <v>613</v>
      </c>
      <c r="X10" s="1" t="s">
        <v>614</v>
      </c>
      <c r="Y10" s="1" t="s">
        <v>615</v>
      </c>
      <c r="Z10" s="1" t="s">
        <v>616</v>
      </c>
      <c r="AA10" s="1" t="s">
        <v>617</v>
      </c>
      <c r="AB10" s="1" t="s">
        <v>618</v>
      </c>
      <c r="AC10" s="1" t="s">
        <v>619</v>
      </c>
    </row>
    <row r="11" spans="1:29" ht="71.25" x14ac:dyDescent="0.45">
      <c r="A11" s="5" t="s">
        <v>5</v>
      </c>
      <c r="B11" s="2">
        <v>4069378</v>
      </c>
      <c r="C11" s="1" t="s">
        <v>620</v>
      </c>
      <c r="D11" s="1" t="s">
        <v>621</v>
      </c>
      <c r="E11" s="1" t="s">
        <v>622</v>
      </c>
      <c r="F11" s="1" t="s">
        <v>623</v>
      </c>
      <c r="G11" s="1" t="s">
        <v>624</v>
      </c>
      <c r="H11" s="1" t="s">
        <v>625</v>
      </c>
      <c r="I11" s="1" t="s">
        <v>626</v>
      </c>
      <c r="J11" s="1" t="s">
        <v>627</v>
      </c>
      <c r="K11" s="1" t="s">
        <v>628</v>
      </c>
      <c r="L11" s="1" t="s">
        <v>629</v>
      </c>
      <c r="M11" s="1" t="s">
        <v>630</v>
      </c>
      <c r="N11" s="1" t="s">
        <v>631</v>
      </c>
      <c r="O11" s="1" t="s">
        <v>632</v>
      </c>
      <c r="P11" s="1" t="s">
        <v>633</v>
      </c>
      <c r="Q11" s="1" t="s">
        <v>634</v>
      </c>
      <c r="R11" s="1" t="s">
        <v>635</v>
      </c>
      <c r="S11" s="1" t="s">
        <v>636</v>
      </c>
      <c r="T11" s="1" t="s">
        <v>637</v>
      </c>
      <c r="U11" s="1" t="s">
        <v>638</v>
      </c>
      <c r="V11" s="1" t="s">
        <v>639</v>
      </c>
      <c r="W11" s="1" t="s">
        <v>640</v>
      </c>
      <c r="X11" s="1" t="s">
        <v>641</v>
      </c>
      <c r="Y11" s="1" t="s">
        <v>642</v>
      </c>
      <c r="Z11" s="1" t="s">
        <v>633</v>
      </c>
      <c r="AA11" s="1" t="s">
        <v>643</v>
      </c>
      <c r="AB11" s="1" t="s">
        <v>644</v>
      </c>
      <c r="AC11" s="1" t="s">
        <v>645</v>
      </c>
    </row>
    <row r="12" spans="1:29" ht="57" x14ac:dyDescent="0.45">
      <c r="A12" s="5" t="s">
        <v>6</v>
      </c>
      <c r="B12" s="2">
        <v>4090258</v>
      </c>
      <c r="C12" s="1" t="s">
        <v>646</v>
      </c>
      <c r="D12" s="1" t="s">
        <v>647</v>
      </c>
      <c r="E12" s="1" t="s">
        <v>648</v>
      </c>
      <c r="F12" s="1" t="s">
        <v>649</v>
      </c>
      <c r="G12" s="1" t="s">
        <v>650</v>
      </c>
      <c r="H12" s="1" t="s">
        <v>651</v>
      </c>
      <c r="I12" s="1" t="s">
        <v>652</v>
      </c>
      <c r="J12" s="1" t="s">
        <v>653</v>
      </c>
      <c r="K12" s="1" t="s">
        <v>654</v>
      </c>
      <c r="L12" s="1" t="s">
        <v>655</v>
      </c>
      <c r="M12" s="1" t="s">
        <v>656</v>
      </c>
      <c r="N12" s="1" t="s">
        <v>657</v>
      </c>
      <c r="O12" s="1" t="s">
        <v>658</v>
      </c>
      <c r="P12" s="1" t="s">
        <v>659</v>
      </c>
      <c r="Q12" s="1" t="s">
        <v>660</v>
      </c>
      <c r="R12" s="1" t="s">
        <v>661</v>
      </c>
      <c r="S12" s="1" t="s">
        <v>543</v>
      </c>
      <c r="T12" s="1" t="s">
        <v>662</v>
      </c>
      <c r="U12" s="1" t="s">
        <v>663</v>
      </c>
      <c r="V12" s="1" t="s">
        <v>664</v>
      </c>
      <c r="W12" s="1" t="s">
        <v>665</v>
      </c>
      <c r="X12" s="1" t="s">
        <v>666</v>
      </c>
      <c r="Y12" s="1" t="s">
        <v>667</v>
      </c>
      <c r="Z12" s="1" t="s">
        <v>668</v>
      </c>
      <c r="AA12" s="1" t="s">
        <v>669</v>
      </c>
      <c r="AB12" s="1" t="s">
        <v>670</v>
      </c>
      <c r="AC12" s="1" t="s">
        <v>671</v>
      </c>
    </row>
    <row r="13" spans="1:29" ht="71.25" x14ac:dyDescent="0.45">
      <c r="A13" s="5" t="s">
        <v>7</v>
      </c>
      <c r="B13" s="2">
        <v>4986300</v>
      </c>
      <c r="C13" s="1" t="s">
        <v>672</v>
      </c>
      <c r="D13" s="1" t="s">
        <v>673</v>
      </c>
      <c r="E13" s="1" t="s">
        <v>674</v>
      </c>
      <c r="F13" s="1" t="s">
        <v>675</v>
      </c>
      <c r="G13" s="1" t="s">
        <v>676</v>
      </c>
      <c r="H13" s="1" t="s">
        <v>677</v>
      </c>
      <c r="I13" s="1" t="s">
        <v>678</v>
      </c>
      <c r="J13" s="1" t="s">
        <v>679</v>
      </c>
      <c r="K13" s="1" t="s">
        <v>680</v>
      </c>
      <c r="L13" s="1" t="s">
        <v>681</v>
      </c>
      <c r="M13" s="1" t="s">
        <v>682</v>
      </c>
      <c r="N13" s="1" t="s">
        <v>683</v>
      </c>
      <c r="O13" s="1" t="s">
        <v>684</v>
      </c>
      <c r="P13" s="1" t="s">
        <v>685</v>
      </c>
      <c r="Q13" s="1" t="s">
        <v>686</v>
      </c>
      <c r="R13" s="1" t="s">
        <v>687</v>
      </c>
      <c r="S13" s="1" t="s">
        <v>688</v>
      </c>
      <c r="T13" s="1" t="s">
        <v>689</v>
      </c>
      <c r="U13" s="1" t="s">
        <v>690</v>
      </c>
      <c r="V13" s="1" t="s">
        <v>691</v>
      </c>
      <c r="W13" s="1" t="s">
        <v>692</v>
      </c>
      <c r="X13" s="1" t="s">
        <v>693</v>
      </c>
      <c r="Y13" s="1" t="s">
        <v>694</v>
      </c>
      <c r="Z13" s="1" t="s">
        <v>695</v>
      </c>
      <c r="AA13" s="1" t="s">
        <v>696</v>
      </c>
      <c r="AB13" s="1" t="s">
        <v>697</v>
      </c>
      <c r="AC13" s="1" t="s">
        <v>698</v>
      </c>
    </row>
    <row r="14" spans="1:29" ht="42.75" x14ac:dyDescent="0.45">
      <c r="A14" s="5" t="s">
        <v>8</v>
      </c>
      <c r="B14" s="2">
        <v>4344582</v>
      </c>
      <c r="C14" s="1" t="s">
        <v>699</v>
      </c>
      <c r="D14" s="1" t="s">
        <v>700</v>
      </c>
      <c r="E14" s="1" t="s">
        <v>701</v>
      </c>
      <c r="F14" s="1" t="s">
        <v>702</v>
      </c>
      <c r="G14" s="1" t="s">
        <v>703</v>
      </c>
      <c r="H14" s="1" t="s">
        <v>704</v>
      </c>
      <c r="I14" s="1" t="s">
        <v>705</v>
      </c>
      <c r="J14" s="1" t="s">
        <v>706</v>
      </c>
      <c r="K14" s="1" t="s">
        <v>707</v>
      </c>
      <c r="L14" s="1" t="s">
        <v>708</v>
      </c>
      <c r="M14" s="1" t="s">
        <v>709</v>
      </c>
      <c r="N14" s="1" t="s">
        <v>710</v>
      </c>
      <c r="O14" s="1" t="s">
        <v>711</v>
      </c>
      <c r="P14" s="1" t="s">
        <v>712</v>
      </c>
      <c r="Q14" s="1" t="s">
        <v>713</v>
      </c>
      <c r="R14" s="1" t="s">
        <v>714</v>
      </c>
      <c r="S14" s="1" t="s">
        <v>715</v>
      </c>
      <c r="T14" s="1" t="s">
        <v>716</v>
      </c>
      <c r="U14" s="1" t="s">
        <v>717</v>
      </c>
      <c r="V14" s="1" t="s">
        <v>718</v>
      </c>
      <c r="W14" s="1" t="s">
        <v>719</v>
      </c>
      <c r="X14" s="1" t="s">
        <v>720</v>
      </c>
      <c r="Y14" s="1" t="s">
        <v>721</v>
      </c>
      <c r="Z14" s="1" t="s">
        <v>722</v>
      </c>
      <c r="AA14" s="1" t="s">
        <v>723</v>
      </c>
      <c r="AB14" s="1" t="s">
        <v>724</v>
      </c>
      <c r="AC14" s="1" t="s">
        <v>725</v>
      </c>
    </row>
    <row r="15" spans="1:29" ht="42.75" x14ac:dyDescent="0.45">
      <c r="A15" s="5" t="s">
        <v>9</v>
      </c>
      <c r="B15" s="2">
        <v>4004170</v>
      </c>
      <c r="C15" s="1" t="s">
        <v>726</v>
      </c>
      <c r="D15" s="1" t="s">
        <v>727</v>
      </c>
      <c r="E15" s="1" t="s">
        <v>728</v>
      </c>
      <c r="F15" s="1" t="s">
        <v>729</v>
      </c>
      <c r="G15" s="1" t="s">
        <v>730</v>
      </c>
      <c r="H15" s="1" t="s">
        <v>731</v>
      </c>
      <c r="I15" s="1" t="s">
        <v>732</v>
      </c>
      <c r="J15" s="1" t="s">
        <v>733</v>
      </c>
      <c r="K15" s="1" t="s">
        <v>734</v>
      </c>
      <c r="L15" s="1" t="s">
        <v>735</v>
      </c>
      <c r="M15" s="1" t="s">
        <v>736</v>
      </c>
      <c r="N15" s="1" t="s">
        <v>737</v>
      </c>
      <c r="O15" s="1" t="s">
        <v>738</v>
      </c>
      <c r="P15" s="1" t="s">
        <v>739</v>
      </c>
      <c r="Q15" s="1" t="s">
        <v>740</v>
      </c>
      <c r="R15" s="1" t="s">
        <v>741</v>
      </c>
      <c r="S15" s="1" t="s">
        <v>742</v>
      </c>
      <c r="T15" s="1" t="s">
        <v>743</v>
      </c>
      <c r="U15" s="1" t="s">
        <v>744</v>
      </c>
      <c r="V15" s="1" t="s">
        <v>745</v>
      </c>
      <c r="W15" s="1" t="s">
        <v>746</v>
      </c>
      <c r="X15" s="1" t="s">
        <v>747</v>
      </c>
      <c r="Y15" s="1" t="s">
        <v>748</v>
      </c>
      <c r="Z15" s="1" t="s">
        <v>749</v>
      </c>
      <c r="AA15" s="1" t="s">
        <v>750</v>
      </c>
      <c r="AB15" s="1" t="s">
        <v>751</v>
      </c>
      <c r="AC15" s="1" t="s">
        <v>752</v>
      </c>
    </row>
    <row r="16" spans="1:29" ht="42.75" x14ac:dyDescent="0.45">
      <c r="A16" s="5" t="s">
        <v>10</v>
      </c>
      <c r="B16" s="2">
        <v>4004172</v>
      </c>
      <c r="C16" s="1" t="s">
        <v>753</v>
      </c>
      <c r="D16" s="1" t="s">
        <v>754</v>
      </c>
      <c r="E16" s="1" t="s">
        <v>755</v>
      </c>
      <c r="F16" s="1" t="s">
        <v>756</v>
      </c>
      <c r="G16" s="1" t="s">
        <v>757</v>
      </c>
      <c r="H16" s="1" t="s">
        <v>758</v>
      </c>
      <c r="I16" s="1" t="s">
        <v>759</v>
      </c>
      <c r="J16" s="1" t="s">
        <v>760</v>
      </c>
      <c r="K16" s="1" t="s">
        <v>761</v>
      </c>
      <c r="L16" s="1" t="s">
        <v>762</v>
      </c>
      <c r="M16" s="1" t="s">
        <v>763</v>
      </c>
      <c r="N16" s="1" t="s">
        <v>764</v>
      </c>
      <c r="O16" s="1" t="s">
        <v>765</v>
      </c>
      <c r="P16" s="1" t="s">
        <v>766</v>
      </c>
      <c r="Q16" s="1" t="s">
        <v>767</v>
      </c>
      <c r="R16" s="1" t="s">
        <v>768</v>
      </c>
      <c r="S16" s="1" t="s">
        <v>769</v>
      </c>
      <c r="T16" s="1" t="s">
        <v>770</v>
      </c>
      <c r="U16" s="1" t="s">
        <v>771</v>
      </c>
      <c r="V16" s="1" t="s">
        <v>772</v>
      </c>
      <c r="W16" s="1" t="s">
        <v>773</v>
      </c>
      <c r="X16" s="1" t="s">
        <v>774</v>
      </c>
      <c r="Y16" s="1" t="s">
        <v>775</v>
      </c>
      <c r="Z16" s="1" t="s">
        <v>776</v>
      </c>
      <c r="AA16" s="1" t="s">
        <v>777</v>
      </c>
      <c r="AB16" s="1" t="s">
        <v>778</v>
      </c>
      <c r="AC16" s="1" t="s">
        <v>779</v>
      </c>
    </row>
    <row r="17" spans="1:29" ht="57" x14ac:dyDescent="0.45">
      <c r="A17" s="5" t="s">
        <v>11</v>
      </c>
      <c r="B17" s="2">
        <v>4004173</v>
      </c>
      <c r="C17" s="1" t="s">
        <v>780</v>
      </c>
      <c r="D17" s="1" t="s">
        <v>781</v>
      </c>
      <c r="E17" s="1" t="s">
        <v>782</v>
      </c>
      <c r="F17" s="1" t="s">
        <v>783</v>
      </c>
      <c r="G17" s="1" t="s">
        <v>784</v>
      </c>
      <c r="H17" s="1" t="s">
        <v>785</v>
      </c>
      <c r="I17" s="1" t="s">
        <v>786</v>
      </c>
      <c r="J17" s="1" t="s">
        <v>787</v>
      </c>
      <c r="K17" s="1" t="s">
        <v>788</v>
      </c>
      <c r="L17" s="1" t="s">
        <v>789</v>
      </c>
      <c r="M17" s="1" t="s">
        <v>790</v>
      </c>
      <c r="N17" s="1" t="s">
        <v>791</v>
      </c>
      <c r="O17" s="1" t="s">
        <v>792</v>
      </c>
      <c r="P17" s="1" t="s">
        <v>793</v>
      </c>
      <c r="Q17" s="1" t="s">
        <v>794</v>
      </c>
      <c r="R17" s="1" t="s">
        <v>795</v>
      </c>
      <c r="S17" s="1" t="s">
        <v>796</v>
      </c>
      <c r="T17" s="1" t="s">
        <v>797</v>
      </c>
      <c r="U17" s="1" t="s">
        <v>798</v>
      </c>
      <c r="V17" s="1" t="s">
        <v>799</v>
      </c>
      <c r="W17" s="1" t="s">
        <v>800</v>
      </c>
      <c r="X17" s="1" t="s">
        <v>801</v>
      </c>
      <c r="Y17" s="1" t="s">
        <v>802</v>
      </c>
      <c r="Z17" s="1" t="s">
        <v>803</v>
      </c>
      <c r="AA17" s="1" t="s">
        <v>804</v>
      </c>
      <c r="AB17" s="1" t="s">
        <v>805</v>
      </c>
      <c r="AC17" s="1" t="s">
        <v>806</v>
      </c>
    </row>
    <row r="18" spans="1:29" ht="57" x14ac:dyDescent="0.45">
      <c r="A18" s="5" t="s">
        <v>12</v>
      </c>
      <c r="B18" s="2">
        <v>4047873</v>
      </c>
      <c r="C18" s="1" t="s">
        <v>807</v>
      </c>
      <c r="D18" s="1" t="s">
        <v>808</v>
      </c>
      <c r="E18" s="1" t="s">
        <v>809</v>
      </c>
      <c r="F18" s="1" t="s">
        <v>810</v>
      </c>
      <c r="G18" s="1" t="s">
        <v>811</v>
      </c>
      <c r="H18" s="1" t="s">
        <v>812</v>
      </c>
      <c r="I18" s="1" t="s">
        <v>813</v>
      </c>
      <c r="J18" s="1" t="s">
        <v>814</v>
      </c>
      <c r="K18" s="1" t="s">
        <v>815</v>
      </c>
      <c r="L18" s="1" t="s">
        <v>816</v>
      </c>
      <c r="M18" s="1" t="s">
        <v>817</v>
      </c>
      <c r="N18" s="1" t="s">
        <v>818</v>
      </c>
      <c r="O18" s="1" t="s">
        <v>819</v>
      </c>
      <c r="P18" s="1" t="s">
        <v>820</v>
      </c>
      <c r="Q18" s="1" t="s">
        <v>821</v>
      </c>
      <c r="R18" s="1" t="s">
        <v>822</v>
      </c>
      <c r="S18" s="1" t="s">
        <v>823</v>
      </c>
      <c r="T18" s="1" t="s">
        <v>824</v>
      </c>
      <c r="U18" s="1" t="s">
        <v>825</v>
      </c>
      <c r="V18" s="1" t="s">
        <v>826</v>
      </c>
      <c r="W18" s="1" t="s">
        <v>827</v>
      </c>
      <c r="X18" s="1" t="s">
        <v>493</v>
      </c>
      <c r="Y18" s="1" t="s">
        <v>828</v>
      </c>
      <c r="Z18" s="1" t="s">
        <v>829</v>
      </c>
      <c r="AA18" s="1" t="s">
        <v>830</v>
      </c>
      <c r="AB18" s="1" t="s">
        <v>831</v>
      </c>
      <c r="AC18" s="1" t="s">
        <v>832</v>
      </c>
    </row>
    <row r="19" spans="1:29" ht="57" x14ac:dyDescent="0.45">
      <c r="A19" s="5" t="s">
        <v>13</v>
      </c>
      <c r="B19" s="2">
        <v>4048156</v>
      </c>
      <c r="C19" s="1" t="s">
        <v>833</v>
      </c>
      <c r="D19" s="1" t="s">
        <v>834</v>
      </c>
      <c r="E19" s="1" t="s">
        <v>835</v>
      </c>
      <c r="F19" s="1" t="s">
        <v>836</v>
      </c>
      <c r="G19" s="1" t="s">
        <v>837</v>
      </c>
      <c r="H19" s="1" t="s">
        <v>838</v>
      </c>
      <c r="I19" s="1" t="s">
        <v>839</v>
      </c>
      <c r="J19" s="1" t="s">
        <v>840</v>
      </c>
      <c r="K19" s="1" t="s">
        <v>841</v>
      </c>
      <c r="L19" s="1" t="s">
        <v>842</v>
      </c>
      <c r="M19" s="1" t="s">
        <v>843</v>
      </c>
      <c r="N19" s="1" t="s">
        <v>844</v>
      </c>
      <c r="O19" s="1" t="s">
        <v>845</v>
      </c>
      <c r="P19" s="1" t="s">
        <v>846</v>
      </c>
      <c r="Q19" s="1" t="s">
        <v>847</v>
      </c>
      <c r="R19" s="1" t="s">
        <v>848</v>
      </c>
      <c r="S19" s="1" t="s">
        <v>849</v>
      </c>
      <c r="T19" s="1" t="s">
        <v>850</v>
      </c>
      <c r="U19" s="1" t="s">
        <v>851</v>
      </c>
      <c r="V19" s="1" t="s">
        <v>852</v>
      </c>
      <c r="W19" s="1" t="s">
        <v>853</v>
      </c>
      <c r="X19" s="1" t="s">
        <v>854</v>
      </c>
      <c r="Y19" s="1" t="s">
        <v>855</v>
      </c>
      <c r="Z19" s="1" t="s">
        <v>856</v>
      </c>
      <c r="AA19" s="1" t="s">
        <v>857</v>
      </c>
      <c r="AB19" s="1" t="s">
        <v>855</v>
      </c>
      <c r="AC19" s="1" t="s">
        <v>858</v>
      </c>
    </row>
    <row r="20" spans="1:29" ht="42.75" x14ac:dyDescent="0.45">
      <c r="A20" s="5" t="s">
        <v>14</v>
      </c>
      <c r="B20" s="2">
        <v>4048157</v>
      </c>
      <c r="C20" s="1" t="s">
        <v>859</v>
      </c>
      <c r="D20" s="1" t="s">
        <v>860</v>
      </c>
      <c r="E20" s="1" t="s">
        <v>861</v>
      </c>
      <c r="F20" s="1" t="s">
        <v>862</v>
      </c>
      <c r="G20" s="1" t="s">
        <v>863</v>
      </c>
      <c r="H20" s="1" t="s">
        <v>864</v>
      </c>
      <c r="I20" s="1" t="s">
        <v>865</v>
      </c>
      <c r="J20" s="1" t="s">
        <v>866</v>
      </c>
      <c r="K20" s="1" t="s">
        <v>867</v>
      </c>
      <c r="L20" s="1" t="s">
        <v>868</v>
      </c>
      <c r="M20" s="1" t="s">
        <v>869</v>
      </c>
      <c r="N20" s="1" t="s">
        <v>870</v>
      </c>
      <c r="O20" s="1" t="s">
        <v>871</v>
      </c>
      <c r="P20" s="1" t="s">
        <v>872</v>
      </c>
      <c r="Q20" s="1" t="s">
        <v>873</v>
      </c>
      <c r="R20" s="1" t="s">
        <v>874</v>
      </c>
      <c r="S20" s="1" t="s">
        <v>875</v>
      </c>
      <c r="T20" s="1" t="s">
        <v>876</v>
      </c>
      <c r="U20" s="1" t="s">
        <v>877</v>
      </c>
      <c r="V20" s="1" t="s">
        <v>878</v>
      </c>
      <c r="W20" s="1" t="s">
        <v>879</v>
      </c>
      <c r="X20" s="1" t="s">
        <v>880</v>
      </c>
      <c r="Y20" s="1" t="s">
        <v>881</v>
      </c>
      <c r="Z20" s="1" t="s">
        <v>882</v>
      </c>
      <c r="AA20" s="1" t="s">
        <v>883</v>
      </c>
      <c r="AB20" s="1" t="s">
        <v>884</v>
      </c>
      <c r="AC20" s="1" t="s">
        <v>885</v>
      </c>
    </row>
    <row r="21" spans="1:29" ht="42.75" x14ac:dyDescent="0.45">
      <c r="A21" s="5" t="s">
        <v>15</v>
      </c>
      <c r="B21" s="2">
        <v>4072364</v>
      </c>
      <c r="C21" s="1" t="s">
        <v>886</v>
      </c>
      <c r="D21" s="1" t="s">
        <v>887</v>
      </c>
      <c r="E21" s="1" t="s">
        <v>888</v>
      </c>
      <c r="F21" s="1" t="s">
        <v>889</v>
      </c>
      <c r="G21" s="1" t="s">
        <v>890</v>
      </c>
      <c r="H21" s="1" t="s">
        <v>891</v>
      </c>
      <c r="I21" s="1" t="s">
        <v>892</v>
      </c>
      <c r="J21" s="1" t="s">
        <v>509</v>
      </c>
      <c r="K21" s="1" t="s">
        <v>893</v>
      </c>
      <c r="L21" s="1" t="s">
        <v>894</v>
      </c>
      <c r="M21" s="1" t="s">
        <v>895</v>
      </c>
      <c r="N21" s="1" t="s">
        <v>896</v>
      </c>
      <c r="O21" s="1" t="s">
        <v>897</v>
      </c>
      <c r="P21" s="1" t="s">
        <v>898</v>
      </c>
      <c r="Q21" s="1" t="s">
        <v>899</v>
      </c>
      <c r="R21" s="1" t="s">
        <v>900</v>
      </c>
      <c r="S21" s="1" t="s">
        <v>901</v>
      </c>
      <c r="T21" s="1" t="s">
        <v>902</v>
      </c>
      <c r="U21" s="1" t="s">
        <v>903</v>
      </c>
      <c r="V21" s="1" t="s">
        <v>904</v>
      </c>
      <c r="W21" s="1" t="s">
        <v>905</v>
      </c>
      <c r="X21" s="1" t="s">
        <v>906</v>
      </c>
      <c r="Y21" s="1" t="s">
        <v>907</v>
      </c>
      <c r="Z21" s="1" t="s">
        <v>908</v>
      </c>
      <c r="AA21" s="1" t="s">
        <v>909</v>
      </c>
      <c r="AB21" s="1" t="s">
        <v>910</v>
      </c>
      <c r="AC21" s="1" t="s">
        <v>911</v>
      </c>
    </row>
    <row r="22" spans="1:29" ht="71.25" x14ac:dyDescent="0.45">
      <c r="A22" s="5" t="s">
        <v>16</v>
      </c>
      <c r="B22" s="2">
        <v>100386</v>
      </c>
      <c r="C22" s="1" t="s">
        <v>912</v>
      </c>
      <c r="D22" s="1" t="s">
        <v>913</v>
      </c>
      <c r="E22" s="1" t="s">
        <v>914</v>
      </c>
      <c r="F22" s="1" t="s">
        <v>915</v>
      </c>
      <c r="G22" s="1" t="s">
        <v>916</v>
      </c>
      <c r="H22" s="1" t="s">
        <v>917</v>
      </c>
      <c r="I22" s="1" t="s">
        <v>918</v>
      </c>
      <c r="J22" s="1" t="s">
        <v>919</v>
      </c>
      <c r="K22" s="1" t="s">
        <v>918</v>
      </c>
      <c r="L22" s="1" t="s">
        <v>920</v>
      </c>
      <c r="M22" s="1" t="s">
        <v>921</v>
      </c>
      <c r="N22" s="1" t="s">
        <v>922</v>
      </c>
      <c r="O22" s="1" t="s">
        <v>923</v>
      </c>
      <c r="P22" s="1" t="s">
        <v>924</v>
      </c>
      <c r="Q22" s="1" t="s">
        <v>925</v>
      </c>
      <c r="R22" s="1" t="s">
        <v>926</v>
      </c>
      <c r="S22" s="1" t="s">
        <v>927</v>
      </c>
      <c r="T22" s="1" t="s">
        <v>928</v>
      </c>
      <c r="U22" s="1" t="s">
        <v>929</v>
      </c>
      <c r="V22" s="1" t="s">
        <v>930</v>
      </c>
      <c r="W22" s="1" t="s">
        <v>931</v>
      </c>
      <c r="X22" s="1" t="s">
        <v>932</v>
      </c>
      <c r="Y22" s="1" t="s">
        <v>933</v>
      </c>
      <c r="Z22" s="1" t="s">
        <v>934</v>
      </c>
      <c r="AA22" s="1" t="s">
        <v>935</v>
      </c>
      <c r="AB22" s="1" t="s">
        <v>936</v>
      </c>
      <c r="AC22" s="1" t="s">
        <v>937</v>
      </c>
    </row>
    <row r="23" spans="1:29" ht="71.25" x14ac:dyDescent="0.45">
      <c r="A23" s="5" t="s">
        <v>17</v>
      </c>
      <c r="B23" s="2">
        <v>4812735</v>
      </c>
      <c r="C23" s="1" t="s">
        <v>938</v>
      </c>
      <c r="D23" s="1" t="s">
        <v>939</v>
      </c>
      <c r="E23" s="1" t="s">
        <v>940</v>
      </c>
      <c r="F23" s="1" t="s">
        <v>941</v>
      </c>
      <c r="G23" s="1" t="s">
        <v>942</v>
      </c>
      <c r="H23" s="1" t="s">
        <v>943</v>
      </c>
      <c r="I23" s="1" t="s">
        <v>944</v>
      </c>
      <c r="J23" s="1" t="s">
        <v>945</v>
      </c>
      <c r="K23" s="1" t="s">
        <v>946</v>
      </c>
      <c r="L23" s="1" t="s">
        <v>947</v>
      </c>
      <c r="M23" s="1" t="s">
        <v>948</v>
      </c>
      <c r="N23" s="1" t="s">
        <v>949</v>
      </c>
      <c r="O23" s="1" t="s">
        <v>950</v>
      </c>
      <c r="P23" s="1" t="s">
        <v>951</v>
      </c>
      <c r="Q23" s="1" t="s">
        <v>952</v>
      </c>
      <c r="R23" s="1" t="s">
        <v>953</v>
      </c>
      <c r="S23" s="1" t="s">
        <v>954</v>
      </c>
      <c r="T23" s="1" t="s">
        <v>955</v>
      </c>
      <c r="U23" s="1" t="s">
        <v>956</v>
      </c>
      <c r="V23" s="1" t="s">
        <v>957</v>
      </c>
      <c r="W23" s="1" t="s">
        <v>958</v>
      </c>
      <c r="X23" s="1" t="s">
        <v>959</v>
      </c>
      <c r="Y23" s="1" t="s">
        <v>960</v>
      </c>
      <c r="Z23" s="1" t="s">
        <v>961</v>
      </c>
      <c r="AA23" s="1" t="s">
        <v>962</v>
      </c>
      <c r="AB23" s="1" t="s">
        <v>963</v>
      </c>
      <c r="AC23" s="1" t="s">
        <v>964</v>
      </c>
    </row>
    <row r="24" spans="1:29" ht="42.75" x14ac:dyDescent="0.45">
      <c r="A24" s="5" t="s">
        <v>18</v>
      </c>
      <c r="B24" s="2">
        <v>114526</v>
      </c>
      <c r="C24" s="1" t="s">
        <v>965</v>
      </c>
      <c r="D24" s="1" t="s">
        <v>966</v>
      </c>
      <c r="E24" s="1" t="s">
        <v>967</v>
      </c>
      <c r="F24" s="1" t="s">
        <v>968</v>
      </c>
      <c r="G24" s="1" t="s">
        <v>969</v>
      </c>
      <c r="H24" s="1" t="s">
        <v>970</v>
      </c>
      <c r="I24" s="1" t="s">
        <v>971</v>
      </c>
      <c r="J24" s="1" t="s">
        <v>972</v>
      </c>
      <c r="K24" s="1" t="s">
        <v>973</v>
      </c>
      <c r="L24" s="1" t="s">
        <v>974</v>
      </c>
      <c r="M24" s="1" t="s">
        <v>975</v>
      </c>
      <c r="N24" s="1" t="s">
        <v>976</v>
      </c>
      <c r="O24" s="1" t="s">
        <v>977</v>
      </c>
      <c r="P24" s="1" t="s">
        <v>978</v>
      </c>
      <c r="Q24" s="1" t="s">
        <v>979</v>
      </c>
      <c r="R24" s="1" t="s">
        <v>980</v>
      </c>
      <c r="S24" s="1" t="s">
        <v>981</v>
      </c>
      <c r="T24" s="1" t="s">
        <v>982</v>
      </c>
      <c r="U24" s="1" t="s">
        <v>983</v>
      </c>
      <c r="V24" s="1" t="s">
        <v>984</v>
      </c>
      <c r="W24" s="1" t="s">
        <v>985</v>
      </c>
      <c r="X24" s="1" t="s">
        <v>986</v>
      </c>
      <c r="Y24" s="1" t="s">
        <v>987</v>
      </c>
      <c r="Z24" s="1" t="s">
        <v>988</v>
      </c>
      <c r="AA24" s="1" t="s">
        <v>989</v>
      </c>
      <c r="AB24" s="1" t="s">
        <v>990</v>
      </c>
      <c r="AC24" s="1" t="s">
        <v>991</v>
      </c>
    </row>
    <row r="25" spans="1:29" ht="57" x14ac:dyDescent="0.45">
      <c r="A25" s="5" t="s">
        <v>19</v>
      </c>
      <c r="B25" s="2">
        <v>4810677</v>
      </c>
      <c r="C25" s="1" t="s">
        <v>992</v>
      </c>
      <c r="D25" s="1" t="s">
        <v>993</v>
      </c>
      <c r="E25" s="1" t="s">
        <v>994</v>
      </c>
      <c r="F25" s="1" t="s">
        <v>995</v>
      </c>
      <c r="G25" s="1" t="s">
        <v>996</v>
      </c>
      <c r="H25" s="1" t="s">
        <v>997</v>
      </c>
      <c r="I25" s="1" t="s">
        <v>998</v>
      </c>
      <c r="J25" s="1" t="s">
        <v>999</v>
      </c>
      <c r="K25" s="1" t="s">
        <v>1000</v>
      </c>
      <c r="L25" s="1" t="s">
        <v>1001</v>
      </c>
      <c r="M25" s="1" t="s">
        <v>1002</v>
      </c>
      <c r="N25" s="1" t="s">
        <v>1003</v>
      </c>
      <c r="O25" s="1" t="s">
        <v>1004</v>
      </c>
      <c r="P25" s="1" t="s">
        <v>1005</v>
      </c>
      <c r="Q25" s="1" t="s">
        <v>1006</v>
      </c>
      <c r="R25" s="1" t="s">
        <v>1007</v>
      </c>
      <c r="S25" s="1" t="s">
        <v>1008</v>
      </c>
      <c r="T25" s="1" t="s">
        <v>1009</v>
      </c>
      <c r="U25" s="1" t="s">
        <v>1010</v>
      </c>
      <c r="V25" s="1" t="s">
        <v>1011</v>
      </c>
      <c r="W25" s="1" t="s">
        <v>1012</v>
      </c>
      <c r="X25" s="1" t="s">
        <v>1013</v>
      </c>
      <c r="Y25" s="1" t="s">
        <v>1014</v>
      </c>
      <c r="Z25" s="1" t="s">
        <v>1015</v>
      </c>
      <c r="AA25" s="1" t="s">
        <v>1016</v>
      </c>
      <c r="AB25" s="1" t="s">
        <v>1017</v>
      </c>
      <c r="AC25" s="1" t="s">
        <v>974</v>
      </c>
    </row>
    <row r="26" spans="1:29" ht="71.25" x14ac:dyDescent="0.45">
      <c r="A26" s="5" t="s">
        <v>20</v>
      </c>
      <c r="B26" s="2">
        <v>4157226</v>
      </c>
      <c r="C26" s="1" t="s">
        <v>1018</v>
      </c>
      <c r="D26" s="1" t="s">
        <v>1019</v>
      </c>
      <c r="E26" s="1" t="s">
        <v>1020</v>
      </c>
      <c r="F26" s="1" t="s">
        <v>1021</v>
      </c>
      <c r="G26" s="1" t="s">
        <v>1022</v>
      </c>
      <c r="H26" s="1" t="s">
        <v>1023</v>
      </c>
      <c r="I26" s="1" t="s">
        <v>1024</v>
      </c>
      <c r="J26" s="1" t="s">
        <v>796</v>
      </c>
      <c r="K26" s="1" t="s">
        <v>1025</v>
      </c>
      <c r="L26" s="1" t="s">
        <v>1026</v>
      </c>
      <c r="M26" s="1" t="s">
        <v>1027</v>
      </c>
      <c r="N26" s="1" t="s">
        <v>1028</v>
      </c>
      <c r="O26" s="1" t="s">
        <v>1029</v>
      </c>
      <c r="P26" s="1" t="s">
        <v>1030</v>
      </c>
      <c r="Q26" s="1" t="s">
        <v>1031</v>
      </c>
      <c r="R26" s="1" t="s">
        <v>1032</v>
      </c>
      <c r="S26" s="1" t="s">
        <v>1033</v>
      </c>
      <c r="T26" s="1" t="s">
        <v>1034</v>
      </c>
      <c r="U26" s="1" t="s">
        <v>1035</v>
      </c>
      <c r="V26" s="1" t="s">
        <v>1036</v>
      </c>
      <c r="W26" s="1" t="s">
        <v>1037</v>
      </c>
      <c r="X26" s="1" t="s">
        <v>1038</v>
      </c>
      <c r="Y26" s="1" t="s">
        <v>1039</v>
      </c>
      <c r="Z26" s="1" t="s">
        <v>1040</v>
      </c>
      <c r="AA26" s="1" t="s">
        <v>1041</v>
      </c>
      <c r="AB26" s="1" t="s">
        <v>1042</v>
      </c>
      <c r="AC26" s="1" t="s">
        <v>1043</v>
      </c>
    </row>
    <row r="27" spans="1:29" ht="85.5" x14ac:dyDescent="0.45">
      <c r="A27" s="5" t="s">
        <v>21</v>
      </c>
      <c r="B27" s="2">
        <v>4994170</v>
      </c>
      <c r="C27" s="1" t="s">
        <v>1044</v>
      </c>
      <c r="D27" s="1" t="s">
        <v>1045</v>
      </c>
      <c r="E27" s="1" t="s">
        <v>1046</v>
      </c>
      <c r="F27" s="1" t="s">
        <v>1047</v>
      </c>
      <c r="G27" s="1" t="s">
        <v>1048</v>
      </c>
      <c r="H27" s="1" t="s">
        <v>1049</v>
      </c>
      <c r="I27" s="1" t="s">
        <v>1050</v>
      </c>
      <c r="J27" s="1" t="s">
        <v>1051</v>
      </c>
      <c r="K27" s="1" t="s">
        <v>1052</v>
      </c>
      <c r="L27" s="1" t="s">
        <v>1053</v>
      </c>
      <c r="M27" s="1" t="s">
        <v>1054</v>
      </c>
      <c r="N27" s="1" t="s">
        <v>1055</v>
      </c>
      <c r="O27" s="1" t="s">
        <v>1056</v>
      </c>
      <c r="P27" s="1" t="s">
        <v>980</v>
      </c>
      <c r="Q27" s="1" t="s">
        <v>1057</v>
      </c>
      <c r="R27" s="1" t="s">
        <v>1058</v>
      </c>
      <c r="S27" s="1" t="s">
        <v>1059</v>
      </c>
      <c r="T27" s="1" t="s">
        <v>1060</v>
      </c>
      <c r="U27" s="1" t="s">
        <v>1061</v>
      </c>
      <c r="V27" s="1" t="s">
        <v>1062</v>
      </c>
      <c r="W27" s="1" t="s">
        <v>1063</v>
      </c>
      <c r="X27" s="1" t="s">
        <v>1064</v>
      </c>
      <c r="Y27" s="1" t="s">
        <v>878</v>
      </c>
      <c r="Z27" s="1" t="s">
        <v>1065</v>
      </c>
      <c r="AA27" s="1" t="s">
        <v>1066</v>
      </c>
      <c r="AB27" s="1" t="s">
        <v>1067</v>
      </c>
      <c r="AC27" s="1" t="s">
        <v>1068</v>
      </c>
    </row>
    <row r="28" spans="1:29" ht="42.75" x14ac:dyDescent="0.45">
      <c r="A28" s="5" t="s">
        <v>22</v>
      </c>
      <c r="B28" s="2">
        <v>4256640</v>
      </c>
      <c r="C28" s="1" t="s">
        <v>1069</v>
      </c>
      <c r="D28" s="1" t="s">
        <v>1070</v>
      </c>
      <c r="E28" s="1" t="s">
        <v>648</v>
      </c>
      <c r="F28" s="1" t="s">
        <v>1071</v>
      </c>
      <c r="G28" s="1" t="s">
        <v>1072</v>
      </c>
      <c r="H28" s="1" t="s">
        <v>1073</v>
      </c>
      <c r="I28" s="1" t="s">
        <v>1074</v>
      </c>
      <c r="J28" s="1" t="s">
        <v>1075</v>
      </c>
      <c r="K28" s="1" t="s">
        <v>1076</v>
      </c>
      <c r="L28" s="1" t="s">
        <v>1077</v>
      </c>
      <c r="M28" s="1" t="s">
        <v>503</v>
      </c>
      <c r="N28" s="1" t="s">
        <v>1078</v>
      </c>
      <c r="O28" s="1" t="s">
        <v>910</v>
      </c>
      <c r="P28" s="1" t="s">
        <v>1079</v>
      </c>
      <c r="Q28" s="1" t="s">
        <v>1080</v>
      </c>
      <c r="R28" s="1" t="s">
        <v>1081</v>
      </c>
      <c r="S28" s="1" t="s">
        <v>1082</v>
      </c>
      <c r="T28" s="1" t="s">
        <v>1083</v>
      </c>
      <c r="U28" s="1" t="s">
        <v>1084</v>
      </c>
      <c r="V28" s="1" t="s">
        <v>1085</v>
      </c>
      <c r="W28" s="1" t="s">
        <v>1086</v>
      </c>
      <c r="X28" s="1" t="s">
        <v>1087</v>
      </c>
      <c r="Y28" s="1" t="s">
        <v>1088</v>
      </c>
      <c r="Z28" s="1" t="s">
        <v>1089</v>
      </c>
      <c r="AA28" s="1" t="s">
        <v>1090</v>
      </c>
      <c r="AB28" s="1" t="s">
        <v>1091</v>
      </c>
      <c r="AC28" s="1" t="s">
        <v>1092</v>
      </c>
    </row>
    <row r="29" spans="1:29" ht="42.75" x14ac:dyDescent="0.45">
      <c r="A29" s="5" t="s">
        <v>23</v>
      </c>
      <c r="B29" s="2">
        <v>4205848</v>
      </c>
      <c r="C29" s="1" t="s">
        <v>1093</v>
      </c>
      <c r="D29" s="1" t="s">
        <v>1094</v>
      </c>
      <c r="E29" s="1" t="s">
        <v>487</v>
      </c>
      <c r="F29" s="1" t="s">
        <v>650</v>
      </c>
      <c r="G29" s="1" t="s">
        <v>1095</v>
      </c>
      <c r="H29" s="1" t="s">
        <v>1096</v>
      </c>
      <c r="I29" s="1" t="s">
        <v>1097</v>
      </c>
      <c r="J29" s="1" t="s">
        <v>1098</v>
      </c>
      <c r="K29" s="1" t="s">
        <v>1099</v>
      </c>
      <c r="L29" s="1" t="s">
        <v>1100</v>
      </c>
      <c r="M29" s="1" t="s">
        <v>1101</v>
      </c>
      <c r="N29" s="1" t="s">
        <v>1102</v>
      </c>
      <c r="O29" s="1" t="s">
        <v>935</v>
      </c>
      <c r="P29" s="1" t="s">
        <v>1103</v>
      </c>
      <c r="Q29" s="1" t="s">
        <v>1104</v>
      </c>
      <c r="R29" s="1" t="s">
        <v>1050</v>
      </c>
      <c r="S29" s="1" t="s">
        <v>1105</v>
      </c>
      <c r="T29" s="1" t="s">
        <v>1106</v>
      </c>
      <c r="U29" s="1" t="s">
        <v>1107</v>
      </c>
      <c r="V29" s="1" t="s">
        <v>791</v>
      </c>
      <c r="W29" s="1" t="s">
        <v>1108</v>
      </c>
      <c r="X29" s="1" t="s">
        <v>1109</v>
      </c>
      <c r="Y29" s="1" t="s">
        <v>1110</v>
      </c>
      <c r="Z29" s="1" t="s">
        <v>1111</v>
      </c>
      <c r="AA29" s="1" t="s">
        <v>1112</v>
      </c>
      <c r="AB29" s="1" t="s">
        <v>1113</v>
      </c>
      <c r="AC29" s="1" t="s">
        <v>1114</v>
      </c>
    </row>
    <row r="30" spans="1:29" ht="42.75" x14ac:dyDescent="0.45">
      <c r="A30" s="5" t="s">
        <v>24</v>
      </c>
      <c r="B30" s="2">
        <v>4006246</v>
      </c>
      <c r="C30" s="1" t="s">
        <v>1115</v>
      </c>
      <c r="D30" s="1" t="s">
        <v>1116</v>
      </c>
      <c r="E30" s="1" t="s">
        <v>1117</v>
      </c>
      <c r="F30" s="1" t="s">
        <v>1118</v>
      </c>
      <c r="G30" s="1" t="s">
        <v>1119</v>
      </c>
      <c r="H30" s="1" t="s">
        <v>1120</v>
      </c>
      <c r="I30" s="1" t="s">
        <v>1121</v>
      </c>
      <c r="J30" s="1" t="s">
        <v>1122</v>
      </c>
      <c r="K30" s="1" t="s">
        <v>1123</v>
      </c>
      <c r="L30" s="1" t="s">
        <v>1124</v>
      </c>
      <c r="M30" s="1" t="s">
        <v>1125</v>
      </c>
      <c r="N30" s="1" t="s">
        <v>1126</v>
      </c>
      <c r="O30" s="1" t="s">
        <v>1127</v>
      </c>
      <c r="P30" s="1" t="s">
        <v>1128</v>
      </c>
      <c r="Q30" s="1" t="s">
        <v>1129</v>
      </c>
      <c r="R30" s="1" t="s">
        <v>1130</v>
      </c>
      <c r="S30" s="1" t="s">
        <v>1131</v>
      </c>
      <c r="T30" s="1" t="s">
        <v>1132</v>
      </c>
      <c r="U30" s="1" t="s">
        <v>1133</v>
      </c>
      <c r="V30" s="1" t="s">
        <v>1134</v>
      </c>
      <c r="W30" s="1" t="s">
        <v>1135</v>
      </c>
      <c r="X30" s="1" t="s">
        <v>1136</v>
      </c>
      <c r="Y30" s="1" t="s">
        <v>1137</v>
      </c>
      <c r="Z30" s="1" t="s">
        <v>1138</v>
      </c>
      <c r="AA30" s="1" t="s">
        <v>1139</v>
      </c>
      <c r="AB30" s="1" t="s">
        <v>1140</v>
      </c>
      <c r="AC30" s="1" t="s">
        <v>1141</v>
      </c>
    </row>
    <row r="31" spans="1:29" ht="42.75" x14ac:dyDescent="0.45">
      <c r="A31" s="5" t="s">
        <v>25</v>
      </c>
      <c r="B31" s="2">
        <v>4067589</v>
      </c>
      <c r="C31" s="1" t="s">
        <v>1142</v>
      </c>
      <c r="D31" s="1" t="s">
        <v>1143</v>
      </c>
      <c r="E31" s="1" t="s">
        <v>1144</v>
      </c>
      <c r="F31" s="1" t="s">
        <v>1145</v>
      </c>
      <c r="G31" s="1" t="s">
        <v>1146</v>
      </c>
      <c r="H31" s="1" t="s">
        <v>1147</v>
      </c>
      <c r="I31" s="1" t="s">
        <v>1148</v>
      </c>
      <c r="J31" s="1" t="s">
        <v>1149</v>
      </c>
      <c r="K31" s="1" t="s">
        <v>1150</v>
      </c>
      <c r="L31" s="1" t="s">
        <v>1151</v>
      </c>
      <c r="M31" s="1" t="s">
        <v>1152</v>
      </c>
      <c r="N31" s="1" t="s">
        <v>1153</v>
      </c>
      <c r="O31" s="1" t="s">
        <v>1154</v>
      </c>
      <c r="P31" s="1" t="s">
        <v>1155</v>
      </c>
      <c r="Q31" s="1" t="s">
        <v>1156</v>
      </c>
      <c r="R31" s="1" t="s">
        <v>1157</v>
      </c>
      <c r="S31" s="1" t="s">
        <v>1158</v>
      </c>
      <c r="T31" s="1" t="s">
        <v>1159</v>
      </c>
      <c r="U31" s="1" t="s">
        <v>1160</v>
      </c>
      <c r="V31" s="1" t="s">
        <v>1161</v>
      </c>
      <c r="W31" s="1" t="s">
        <v>1162</v>
      </c>
      <c r="X31" s="1" t="s">
        <v>1163</v>
      </c>
      <c r="Y31" s="1" t="s">
        <v>1164</v>
      </c>
      <c r="Z31" s="1" t="s">
        <v>1165</v>
      </c>
      <c r="AA31" s="1" t="s">
        <v>1166</v>
      </c>
      <c r="AB31" s="1" t="s">
        <v>1167</v>
      </c>
      <c r="AC31" s="1" t="s">
        <v>1168</v>
      </c>
    </row>
    <row r="32" spans="1:29" ht="71.25" x14ac:dyDescent="0.45">
      <c r="A32" s="5" t="s">
        <v>26</v>
      </c>
      <c r="B32" s="2">
        <v>4811737</v>
      </c>
      <c r="C32" s="1" t="s">
        <v>1169</v>
      </c>
      <c r="D32" s="1" t="s">
        <v>1170</v>
      </c>
      <c r="E32" s="1" t="s">
        <v>1171</v>
      </c>
      <c r="F32" s="1" t="s">
        <v>1172</v>
      </c>
      <c r="G32" s="1" t="s">
        <v>1173</v>
      </c>
      <c r="H32" s="1" t="s">
        <v>1174</v>
      </c>
      <c r="I32" s="1" t="s">
        <v>1175</v>
      </c>
      <c r="J32" s="1" t="s">
        <v>1176</v>
      </c>
      <c r="K32" s="1" t="s">
        <v>1177</v>
      </c>
      <c r="L32" s="1" t="s">
        <v>1178</v>
      </c>
      <c r="M32" s="1" t="s">
        <v>1179</v>
      </c>
      <c r="N32" s="1" t="s">
        <v>1180</v>
      </c>
      <c r="O32" s="1" t="s">
        <v>928</v>
      </c>
      <c r="P32" s="1" t="s">
        <v>1181</v>
      </c>
      <c r="Q32" s="1" t="s">
        <v>1182</v>
      </c>
      <c r="R32" s="1" t="s">
        <v>1183</v>
      </c>
      <c r="S32" s="1" t="s">
        <v>1184</v>
      </c>
      <c r="T32" s="1" t="s">
        <v>1185</v>
      </c>
      <c r="U32" s="1" t="s">
        <v>1186</v>
      </c>
      <c r="V32" s="1" t="s">
        <v>1187</v>
      </c>
      <c r="W32" s="1" t="s">
        <v>1188</v>
      </c>
      <c r="X32" s="1" t="s">
        <v>1189</v>
      </c>
      <c r="Y32" s="1" t="s">
        <v>1190</v>
      </c>
      <c r="Z32" s="1" t="s">
        <v>1191</v>
      </c>
      <c r="AA32" s="1" t="s">
        <v>1192</v>
      </c>
      <c r="AB32" s="1" t="s">
        <v>1193</v>
      </c>
      <c r="AC32" s="1" t="s">
        <v>1194</v>
      </c>
    </row>
    <row r="33" spans="1:29" ht="42.75" x14ac:dyDescent="0.45">
      <c r="A33" s="5" t="s">
        <v>27</v>
      </c>
      <c r="B33" s="2">
        <v>4006248</v>
      </c>
      <c r="C33" s="1" t="s">
        <v>1195</v>
      </c>
      <c r="D33" s="1" t="s">
        <v>1196</v>
      </c>
      <c r="E33" s="1" t="s">
        <v>1197</v>
      </c>
      <c r="F33" s="1" t="s">
        <v>1198</v>
      </c>
      <c r="G33" s="1" t="s">
        <v>1199</v>
      </c>
      <c r="H33" s="1" t="s">
        <v>1200</v>
      </c>
      <c r="I33" s="1" t="s">
        <v>1201</v>
      </c>
      <c r="J33" s="1" t="s">
        <v>1202</v>
      </c>
      <c r="K33" s="1" t="s">
        <v>587</v>
      </c>
      <c r="L33" s="1" t="s">
        <v>1203</v>
      </c>
      <c r="M33" s="1" t="s">
        <v>1204</v>
      </c>
      <c r="N33" s="1" t="s">
        <v>1205</v>
      </c>
      <c r="O33" s="1" t="s">
        <v>1206</v>
      </c>
      <c r="P33" s="1" t="s">
        <v>1207</v>
      </c>
      <c r="Q33" s="1" t="s">
        <v>1208</v>
      </c>
      <c r="R33" s="1" t="s">
        <v>1209</v>
      </c>
      <c r="S33" s="1" t="s">
        <v>1210</v>
      </c>
      <c r="T33" s="1" t="s">
        <v>1211</v>
      </c>
      <c r="U33" s="1" t="s">
        <v>1212</v>
      </c>
      <c r="V33" s="1" t="s">
        <v>1213</v>
      </c>
      <c r="W33" s="1" t="s">
        <v>1214</v>
      </c>
      <c r="X33" s="1" t="s">
        <v>1215</v>
      </c>
      <c r="Y33" s="1" t="s">
        <v>1216</v>
      </c>
      <c r="Z33" s="1" t="s">
        <v>1217</v>
      </c>
      <c r="AA33" s="1" t="s">
        <v>1218</v>
      </c>
      <c r="AB33" s="1" t="s">
        <v>1219</v>
      </c>
      <c r="AC33" s="1" t="s">
        <v>1220</v>
      </c>
    </row>
    <row r="34" spans="1:29" ht="57" x14ac:dyDescent="0.45">
      <c r="A34" s="5" t="s">
        <v>28</v>
      </c>
      <c r="B34" s="2">
        <v>4004271</v>
      </c>
      <c r="C34" s="1" t="s">
        <v>1221</v>
      </c>
      <c r="D34" s="1" t="s">
        <v>1222</v>
      </c>
      <c r="E34" s="1" t="s">
        <v>1223</v>
      </c>
      <c r="F34" s="1" t="s">
        <v>1224</v>
      </c>
      <c r="G34" s="1" t="s">
        <v>1225</v>
      </c>
      <c r="H34" s="1" t="s">
        <v>1226</v>
      </c>
      <c r="I34" s="1" t="s">
        <v>1227</v>
      </c>
      <c r="J34" s="1" t="s">
        <v>1228</v>
      </c>
      <c r="K34" s="1" t="s">
        <v>1229</v>
      </c>
      <c r="L34" s="1" t="s">
        <v>1230</v>
      </c>
      <c r="M34" s="1" t="s">
        <v>1231</v>
      </c>
      <c r="N34" s="1" t="s">
        <v>1232</v>
      </c>
      <c r="O34" s="1" t="s">
        <v>1233</v>
      </c>
      <c r="P34" s="1" t="s">
        <v>1234</v>
      </c>
      <c r="Q34" s="1" t="s">
        <v>1235</v>
      </c>
      <c r="R34" s="1" t="s">
        <v>1236</v>
      </c>
      <c r="S34" s="1" t="s">
        <v>1237</v>
      </c>
      <c r="T34" s="1" t="s">
        <v>1238</v>
      </c>
      <c r="U34" s="1" t="s">
        <v>1239</v>
      </c>
      <c r="V34" s="1" t="s">
        <v>1240</v>
      </c>
      <c r="W34" s="1" t="s">
        <v>1241</v>
      </c>
      <c r="X34" s="1" t="s">
        <v>1242</v>
      </c>
      <c r="Y34" s="1" t="s">
        <v>1243</v>
      </c>
      <c r="Z34" s="1" t="s">
        <v>1244</v>
      </c>
      <c r="AA34" s="1" t="s">
        <v>1245</v>
      </c>
      <c r="AB34" s="1" t="s">
        <v>1246</v>
      </c>
      <c r="AC34" s="1" t="s">
        <v>1247</v>
      </c>
    </row>
    <row r="35" spans="1:29" ht="42.75" x14ac:dyDescent="0.45">
      <c r="A35" s="5" t="s">
        <v>29</v>
      </c>
      <c r="B35" s="2">
        <v>4090153</v>
      </c>
      <c r="C35" s="1" t="s">
        <v>1248</v>
      </c>
      <c r="D35" s="1" t="s">
        <v>1249</v>
      </c>
      <c r="E35" s="1" t="s">
        <v>1250</v>
      </c>
      <c r="F35" s="1" t="s">
        <v>1251</v>
      </c>
      <c r="G35" s="1" t="s">
        <v>1252</v>
      </c>
      <c r="H35" s="1" t="s">
        <v>1253</v>
      </c>
      <c r="I35" s="1" t="s">
        <v>1254</v>
      </c>
      <c r="J35" s="1" t="s">
        <v>1255</v>
      </c>
      <c r="K35" s="1" t="s">
        <v>1256</v>
      </c>
      <c r="L35" s="1" t="s">
        <v>1257</v>
      </c>
      <c r="M35" s="1" t="s">
        <v>1258</v>
      </c>
      <c r="N35" s="1" t="s">
        <v>685</v>
      </c>
      <c r="O35" s="1" t="s">
        <v>1259</v>
      </c>
      <c r="P35" s="1" t="s">
        <v>1260</v>
      </c>
      <c r="Q35" s="1" t="s">
        <v>684</v>
      </c>
      <c r="R35" s="1" t="s">
        <v>1261</v>
      </c>
      <c r="S35" s="1" t="s">
        <v>1262</v>
      </c>
      <c r="T35" s="1" t="s">
        <v>975</v>
      </c>
      <c r="U35" s="1" t="s">
        <v>1263</v>
      </c>
      <c r="V35" s="1" t="s">
        <v>926</v>
      </c>
      <c r="W35" s="1" t="s">
        <v>1264</v>
      </c>
      <c r="X35" s="1" t="s">
        <v>1265</v>
      </c>
      <c r="Y35" s="1" t="s">
        <v>1266</v>
      </c>
      <c r="Z35" s="1" t="s">
        <v>1267</v>
      </c>
      <c r="AA35" s="1" t="s">
        <v>1268</v>
      </c>
      <c r="AB35" s="1" t="s">
        <v>1269</v>
      </c>
      <c r="AC35" s="1" t="s">
        <v>1270</v>
      </c>
    </row>
    <row r="36" spans="1:29" ht="71.25" x14ac:dyDescent="0.45">
      <c r="A36" s="5" t="s">
        <v>30</v>
      </c>
      <c r="B36" s="2">
        <v>4540311</v>
      </c>
      <c r="C36" s="1" t="s">
        <v>1271</v>
      </c>
      <c r="D36" s="1" t="s">
        <v>1272</v>
      </c>
      <c r="E36" s="1" t="s">
        <v>541</v>
      </c>
      <c r="F36" s="1" t="s">
        <v>1273</v>
      </c>
      <c r="G36" s="1" t="s">
        <v>1274</v>
      </c>
      <c r="H36" s="1" t="s">
        <v>1275</v>
      </c>
      <c r="I36" s="1" t="s">
        <v>1276</v>
      </c>
      <c r="J36" s="1" t="s">
        <v>1277</v>
      </c>
      <c r="K36" s="1" t="s">
        <v>1278</v>
      </c>
      <c r="L36" s="1" t="s">
        <v>1279</v>
      </c>
      <c r="M36" s="1" t="s">
        <v>1280</v>
      </c>
      <c r="N36" s="1" t="s">
        <v>1281</v>
      </c>
      <c r="O36" s="1" t="s">
        <v>1282</v>
      </c>
      <c r="P36" s="1" t="s">
        <v>1283</v>
      </c>
      <c r="Q36" s="1" t="s">
        <v>1284</v>
      </c>
      <c r="R36" s="1" t="s">
        <v>1285</v>
      </c>
      <c r="S36" s="1" t="s">
        <v>1286</v>
      </c>
      <c r="T36" s="1" t="s">
        <v>1287</v>
      </c>
      <c r="U36" s="1" t="s">
        <v>1288</v>
      </c>
      <c r="V36" s="1" t="s">
        <v>1289</v>
      </c>
      <c r="W36" s="1" t="s">
        <v>1290</v>
      </c>
      <c r="X36" s="1" t="s">
        <v>1291</v>
      </c>
      <c r="Y36" s="1" t="s">
        <v>1292</v>
      </c>
      <c r="Z36" s="1" t="s">
        <v>1293</v>
      </c>
      <c r="AA36" s="1" t="s">
        <v>1294</v>
      </c>
      <c r="AB36" s="1" t="s">
        <v>1295</v>
      </c>
      <c r="AC36" s="1" t="s">
        <v>752</v>
      </c>
    </row>
    <row r="37" spans="1:29" ht="71.25" x14ac:dyDescent="0.45">
      <c r="A37" s="5" t="s">
        <v>31</v>
      </c>
      <c r="B37" s="2">
        <v>4811730</v>
      </c>
      <c r="C37" s="1" t="s">
        <v>1296</v>
      </c>
      <c r="D37" s="1" t="s">
        <v>1297</v>
      </c>
      <c r="E37" s="1" t="s">
        <v>994</v>
      </c>
      <c r="F37" s="1" t="s">
        <v>1298</v>
      </c>
      <c r="G37" s="1" t="s">
        <v>1299</v>
      </c>
      <c r="H37" s="1" t="s">
        <v>1300</v>
      </c>
      <c r="I37" s="1" t="s">
        <v>1301</v>
      </c>
      <c r="J37" s="1" t="s">
        <v>1302</v>
      </c>
      <c r="K37" s="1" t="s">
        <v>1303</v>
      </c>
      <c r="L37" s="1" t="s">
        <v>1304</v>
      </c>
      <c r="M37" s="1" t="s">
        <v>1305</v>
      </c>
      <c r="N37" s="1" t="s">
        <v>1306</v>
      </c>
      <c r="O37" s="1" t="s">
        <v>1307</v>
      </c>
      <c r="P37" s="1" t="s">
        <v>1308</v>
      </c>
      <c r="Q37" s="1" t="s">
        <v>1309</v>
      </c>
      <c r="R37" s="1" t="s">
        <v>1310</v>
      </c>
      <c r="S37" s="1" t="s">
        <v>1311</v>
      </c>
      <c r="T37" s="1" t="s">
        <v>1312</v>
      </c>
      <c r="U37" s="1" t="s">
        <v>1313</v>
      </c>
      <c r="V37" s="1" t="s">
        <v>1314</v>
      </c>
      <c r="W37" s="1" t="s">
        <v>1315</v>
      </c>
      <c r="X37" s="1" t="s">
        <v>1316</v>
      </c>
      <c r="Y37" s="1" t="s">
        <v>1317</v>
      </c>
      <c r="Z37" s="1" t="s">
        <v>1318</v>
      </c>
      <c r="AA37" s="1" t="s">
        <v>1319</v>
      </c>
      <c r="AB37" s="1" t="s">
        <v>1320</v>
      </c>
      <c r="AC37" s="1" t="s">
        <v>1321</v>
      </c>
    </row>
    <row r="38" spans="1:29" ht="71.25" x14ac:dyDescent="0.45">
      <c r="A38" s="5" t="s">
        <v>32</v>
      </c>
      <c r="B38" s="2">
        <v>110230</v>
      </c>
      <c r="C38" s="1" t="s">
        <v>1322</v>
      </c>
      <c r="D38" s="1" t="s">
        <v>1323</v>
      </c>
      <c r="E38" s="1" t="s">
        <v>1324</v>
      </c>
      <c r="F38" s="1" t="s">
        <v>1325</v>
      </c>
      <c r="G38" s="1" t="s">
        <v>1326</v>
      </c>
      <c r="H38" s="1" t="s">
        <v>1327</v>
      </c>
      <c r="I38" s="1" t="s">
        <v>1328</v>
      </c>
      <c r="J38" s="1" t="s">
        <v>1329</v>
      </c>
      <c r="K38" s="1" t="s">
        <v>1330</v>
      </c>
      <c r="L38" s="1" t="s">
        <v>1331</v>
      </c>
      <c r="M38" s="1" t="s">
        <v>1332</v>
      </c>
      <c r="N38" s="1" t="s">
        <v>1333</v>
      </c>
      <c r="O38" s="1" t="s">
        <v>1334</v>
      </c>
      <c r="P38" s="1" t="s">
        <v>1335</v>
      </c>
      <c r="Q38" s="1" t="s">
        <v>1336</v>
      </c>
      <c r="R38" s="1" t="s">
        <v>1337</v>
      </c>
      <c r="S38" s="1" t="s">
        <v>1338</v>
      </c>
      <c r="T38" s="1" t="s">
        <v>1339</v>
      </c>
      <c r="U38" s="1" t="s">
        <v>1340</v>
      </c>
      <c r="V38" s="1" t="s">
        <v>1341</v>
      </c>
      <c r="W38" s="1" t="s">
        <v>1342</v>
      </c>
      <c r="X38" s="1" t="s">
        <v>1343</v>
      </c>
      <c r="Y38" s="1" t="s">
        <v>1344</v>
      </c>
      <c r="Z38" s="1" t="s">
        <v>1345</v>
      </c>
      <c r="AA38" s="1" t="s">
        <v>1346</v>
      </c>
      <c r="AB38" s="1" t="s">
        <v>1347</v>
      </c>
      <c r="AC38" s="1" t="s">
        <v>1348</v>
      </c>
    </row>
    <row r="39" spans="1:29" ht="42.75" x14ac:dyDescent="0.45">
      <c r="A39" s="5" t="s">
        <v>33</v>
      </c>
      <c r="B39" s="2">
        <v>4004278</v>
      </c>
      <c r="C39" s="1" t="s">
        <v>1349</v>
      </c>
      <c r="D39" s="1" t="s">
        <v>1350</v>
      </c>
      <c r="E39" s="1" t="s">
        <v>1351</v>
      </c>
      <c r="F39" s="1" t="s">
        <v>1352</v>
      </c>
      <c r="G39" s="1" t="s">
        <v>1353</v>
      </c>
      <c r="H39" s="1" t="s">
        <v>1354</v>
      </c>
      <c r="I39" s="1" t="s">
        <v>1355</v>
      </c>
      <c r="J39" s="1" t="s">
        <v>1356</v>
      </c>
      <c r="K39" s="1" t="s">
        <v>1357</v>
      </c>
      <c r="L39" s="1" t="s">
        <v>585</v>
      </c>
      <c r="M39" s="1" t="s">
        <v>1358</v>
      </c>
      <c r="N39" s="1" t="s">
        <v>1359</v>
      </c>
      <c r="O39" s="1" t="s">
        <v>1360</v>
      </c>
      <c r="P39" s="1" t="s">
        <v>1361</v>
      </c>
      <c r="Q39" s="1" t="s">
        <v>1362</v>
      </c>
      <c r="R39" s="1" t="s">
        <v>1363</v>
      </c>
      <c r="S39" s="1" t="s">
        <v>1364</v>
      </c>
      <c r="T39" s="1" t="s">
        <v>1365</v>
      </c>
      <c r="U39" s="1" t="s">
        <v>1366</v>
      </c>
      <c r="V39" s="1" t="s">
        <v>1367</v>
      </c>
      <c r="W39" s="1" t="s">
        <v>1368</v>
      </c>
      <c r="X39" s="1" t="s">
        <v>1369</v>
      </c>
      <c r="Y39" s="1" t="s">
        <v>1370</v>
      </c>
      <c r="Z39" s="1" t="s">
        <v>1371</v>
      </c>
      <c r="AA39" s="1" t="s">
        <v>1372</v>
      </c>
      <c r="AB39" s="1" t="s">
        <v>1373</v>
      </c>
      <c r="AC39" s="1" t="s">
        <v>1374</v>
      </c>
    </row>
    <row r="40" spans="1:29" ht="42.75" x14ac:dyDescent="0.45">
      <c r="A40" s="5" t="s">
        <v>34</v>
      </c>
      <c r="B40" s="2">
        <v>4081627</v>
      </c>
      <c r="C40" s="1" t="s">
        <v>1375</v>
      </c>
      <c r="D40" s="1" t="s">
        <v>1376</v>
      </c>
      <c r="E40" s="1" t="s">
        <v>1377</v>
      </c>
      <c r="F40" s="1" t="s">
        <v>1378</v>
      </c>
      <c r="G40" s="1" t="s">
        <v>1379</v>
      </c>
      <c r="H40" s="1" t="s">
        <v>1380</v>
      </c>
      <c r="I40" s="1" t="s">
        <v>1381</v>
      </c>
      <c r="J40" s="1" t="s">
        <v>1382</v>
      </c>
      <c r="K40" s="1" t="s">
        <v>1383</v>
      </c>
      <c r="L40" s="1" t="s">
        <v>1384</v>
      </c>
      <c r="M40" s="1" t="s">
        <v>1164</v>
      </c>
      <c r="N40" s="1" t="s">
        <v>1385</v>
      </c>
      <c r="O40" s="1" t="s">
        <v>1386</v>
      </c>
      <c r="P40" s="1" t="s">
        <v>1387</v>
      </c>
      <c r="Q40" s="1" t="s">
        <v>1388</v>
      </c>
      <c r="R40" s="1" t="s">
        <v>1389</v>
      </c>
      <c r="S40" s="1" t="s">
        <v>577</v>
      </c>
      <c r="T40" s="1" t="s">
        <v>1389</v>
      </c>
      <c r="U40" s="1" t="s">
        <v>1390</v>
      </c>
      <c r="V40" s="1" t="s">
        <v>1391</v>
      </c>
      <c r="W40" s="1" t="s">
        <v>1392</v>
      </c>
      <c r="X40" s="1" t="s">
        <v>1393</v>
      </c>
      <c r="Y40" s="1" t="s">
        <v>1394</v>
      </c>
      <c r="Z40" s="1" t="s">
        <v>1033</v>
      </c>
      <c r="AA40" s="1" t="s">
        <v>1395</v>
      </c>
      <c r="AB40" s="1" t="s">
        <v>1396</v>
      </c>
      <c r="AC40" s="1" t="s">
        <v>1397</v>
      </c>
    </row>
    <row r="41" spans="1:29" ht="42.75" x14ac:dyDescent="0.45">
      <c r="A41" s="5" t="s">
        <v>35</v>
      </c>
      <c r="B41" s="2">
        <v>4417219</v>
      </c>
      <c r="C41" s="1" t="s">
        <v>1398</v>
      </c>
      <c r="D41" s="1" t="s">
        <v>1399</v>
      </c>
      <c r="E41" s="1" t="s">
        <v>1400</v>
      </c>
      <c r="F41" s="1" t="s">
        <v>1401</v>
      </c>
      <c r="G41" s="1" t="s">
        <v>1402</v>
      </c>
      <c r="H41" s="1" t="s">
        <v>1403</v>
      </c>
      <c r="I41" s="1" t="s">
        <v>1404</v>
      </c>
      <c r="J41" s="1" t="s">
        <v>1405</v>
      </c>
      <c r="K41" s="1" t="s">
        <v>1406</v>
      </c>
      <c r="L41" s="1" t="s">
        <v>871</v>
      </c>
      <c r="M41" s="1" t="s">
        <v>1407</v>
      </c>
      <c r="N41" s="1" t="s">
        <v>1408</v>
      </c>
      <c r="O41" s="1" t="s">
        <v>1409</v>
      </c>
      <c r="P41" s="1" t="s">
        <v>1410</v>
      </c>
      <c r="Q41" s="1" t="s">
        <v>1411</v>
      </c>
      <c r="R41" s="1" t="s">
        <v>1412</v>
      </c>
      <c r="S41" s="1" t="s">
        <v>1413</v>
      </c>
      <c r="T41" s="1" t="s">
        <v>1414</v>
      </c>
      <c r="U41" s="1" t="s">
        <v>1415</v>
      </c>
      <c r="V41" s="1" t="s">
        <v>1416</v>
      </c>
      <c r="W41" s="1" t="s">
        <v>1417</v>
      </c>
      <c r="X41" s="1" t="s">
        <v>1418</v>
      </c>
      <c r="Y41" s="1" t="s">
        <v>1419</v>
      </c>
      <c r="Z41" s="1" t="s">
        <v>1420</v>
      </c>
      <c r="AA41" s="1" t="s">
        <v>1421</v>
      </c>
      <c r="AB41" s="1" t="s">
        <v>1422</v>
      </c>
      <c r="AC41" s="1" t="s">
        <v>1423</v>
      </c>
    </row>
    <row r="42" spans="1:29" ht="57" x14ac:dyDescent="0.45">
      <c r="A42" s="5" t="s">
        <v>36</v>
      </c>
      <c r="B42" s="2">
        <v>4980858</v>
      </c>
      <c r="C42" s="1" t="s">
        <v>1424</v>
      </c>
      <c r="D42" s="1" t="s">
        <v>1425</v>
      </c>
      <c r="E42" s="1" t="s">
        <v>1426</v>
      </c>
      <c r="F42" s="1" t="s">
        <v>1257</v>
      </c>
      <c r="G42" s="1" t="s">
        <v>1427</v>
      </c>
      <c r="H42" s="1" t="s">
        <v>1428</v>
      </c>
      <c r="I42" s="1" t="s">
        <v>1429</v>
      </c>
      <c r="J42" s="1" t="s">
        <v>1430</v>
      </c>
      <c r="K42" s="1" t="s">
        <v>935</v>
      </c>
      <c r="L42" s="1" t="s">
        <v>1431</v>
      </c>
      <c r="M42" s="1" t="s">
        <v>1432</v>
      </c>
      <c r="N42" s="1" t="s">
        <v>1433</v>
      </c>
      <c r="O42" s="1" t="s">
        <v>1434</v>
      </c>
      <c r="P42" s="1" t="s">
        <v>1435</v>
      </c>
      <c r="Q42" s="1" t="s">
        <v>1436</v>
      </c>
      <c r="R42" s="1" t="s">
        <v>1437</v>
      </c>
      <c r="S42" s="1" t="s">
        <v>1438</v>
      </c>
      <c r="T42" s="1" t="s">
        <v>1439</v>
      </c>
      <c r="U42" s="1" t="s">
        <v>1440</v>
      </c>
      <c r="V42" s="1" t="s">
        <v>1441</v>
      </c>
      <c r="W42" s="1" t="s">
        <v>1442</v>
      </c>
      <c r="X42" s="1" t="s">
        <v>1443</v>
      </c>
      <c r="Y42" s="1" t="s">
        <v>931</v>
      </c>
      <c r="Z42" s="1" t="s">
        <v>1444</v>
      </c>
      <c r="AA42" s="1" t="s">
        <v>1445</v>
      </c>
      <c r="AB42" s="1" t="s">
        <v>1446</v>
      </c>
      <c r="AC42" s="1" t="s">
        <v>1447</v>
      </c>
    </row>
    <row r="43" spans="1:29" ht="57" x14ac:dyDescent="0.45">
      <c r="A43" s="5" t="s">
        <v>37</v>
      </c>
      <c r="B43" s="2">
        <v>4069171</v>
      </c>
      <c r="C43" s="1" t="s">
        <v>1448</v>
      </c>
      <c r="D43" s="1" t="s">
        <v>1449</v>
      </c>
      <c r="E43" s="1" t="s">
        <v>622</v>
      </c>
      <c r="F43" s="1" t="s">
        <v>1450</v>
      </c>
      <c r="G43" s="1" t="s">
        <v>1451</v>
      </c>
      <c r="H43" s="1" t="s">
        <v>551</v>
      </c>
      <c r="I43" s="1" t="s">
        <v>1452</v>
      </c>
      <c r="J43" s="1" t="s">
        <v>1453</v>
      </c>
      <c r="K43" s="1" t="s">
        <v>1454</v>
      </c>
      <c r="L43" s="1" t="s">
        <v>786</v>
      </c>
      <c r="M43" s="1" t="s">
        <v>1455</v>
      </c>
      <c r="N43" s="1" t="s">
        <v>929</v>
      </c>
      <c r="O43" s="1" t="s">
        <v>1456</v>
      </c>
      <c r="P43" s="1" t="s">
        <v>1457</v>
      </c>
      <c r="Q43" s="1" t="s">
        <v>1458</v>
      </c>
      <c r="R43" s="1" t="s">
        <v>1459</v>
      </c>
      <c r="S43" s="1" t="s">
        <v>1460</v>
      </c>
      <c r="T43" s="1" t="s">
        <v>1461</v>
      </c>
      <c r="U43" s="1" t="s">
        <v>1462</v>
      </c>
      <c r="V43" s="1" t="s">
        <v>1463</v>
      </c>
      <c r="W43" s="1" t="s">
        <v>1464</v>
      </c>
      <c r="X43" s="1" t="s">
        <v>1465</v>
      </c>
      <c r="Y43" s="1" t="s">
        <v>1466</v>
      </c>
      <c r="Z43" s="1" t="s">
        <v>1467</v>
      </c>
      <c r="AA43" s="1" t="s">
        <v>1468</v>
      </c>
      <c r="AB43" s="1" t="s">
        <v>1469</v>
      </c>
      <c r="AC43" s="1" t="s">
        <v>1470</v>
      </c>
    </row>
    <row r="44" spans="1:29" ht="71.25" x14ac:dyDescent="0.45">
      <c r="A44" s="5" t="s">
        <v>38</v>
      </c>
      <c r="B44" s="2">
        <v>4533245</v>
      </c>
      <c r="C44" s="1" t="s">
        <v>1471</v>
      </c>
      <c r="D44" s="1" t="s">
        <v>1472</v>
      </c>
      <c r="E44" s="1" t="s">
        <v>1473</v>
      </c>
      <c r="F44" s="1" t="s">
        <v>579</v>
      </c>
      <c r="G44" s="1" t="s">
        <v>1474</v>
      </c>
      <c r="H44" s="1" t="s">
        <v>1387</v>
      </c>
      <c r="I44" s="1" t="s">
        <v>1475</v>
      </c>
      <c r="J44" s="1" t="s">
        <v>1476</v>
      </c>
      <c r="K44" s="1" t="s">
        <v>1477</v>
      </c>
      <c r="L44" s="1" t="s">
        <v>1478</v>
      </c>
      <c r="M44" s="1" t="s">
        <v>1479</v>
      </c>
      <c r="N44" s="1" t="s">
        <v>1480</v>
      </c>
      <c r="O44" s="1" t="s">
        <v>1481</v>
      </c>
      <c r="P44" s="1" t="s">
        <v>1482</v>
      </c>
      <c r="Q44" s="1" t="s">
        <v>1483</v>
      </c>
      <c r="R44" s="1" t="s">
        <v>763</v>
      </c>
      <c r="S44" s="1" t="s">
        <v>1484</v>
      </c>
      <c r="T44" s="1" t="s">
        <v>1485</v>
      </c>
      <c r="U44" s="1" t="s">
        <v>1486</v>
      </c>
      <c r="V44" s="1" t="s">
        <v>1487</v>
      </c>
      <c r="W44" s="1" t="s">
        <v>1488</v>
      </c>
      <c r="X44" s="1" t="s">
        <v>1489</v>
      </c>
      <c r="Y44" s="1" t="s">
        <v>1490</v>
      </c>
      <c r="Z44" s="1" t="s">
        <v>1491</v>
      </c>
      <c r="AA44" s="1" t="s">
        <v>1492</v>
      </c>
      <c r="AB44" s="1" t="s">
        <v>1493</v>
      </c>
      <c r="AC44" s="1" t="s">
        <v>1494</v>
      </c>
    </row>
    <row r="45" spans="1:29" ht="57" x14ac:dyDescent="0.45">
      <c r="A45" s="5" t="s">
        <v>39</v>
      </c>
      <c r="B45" s="2">
        <v>4191577</v>
      </c>
      <c r="C45" s="1" t="s">
        <v>1495</v>
      </c>
      <c r="D45" s="1" t="s">
        <v>1496</v>
      </c>
      <c r="E45" s="1" t="s">
        <v>1497</v>
      </c>
      <c r="F45" s="1" t="s">
        <v>1498</v>
      </c>
      <c r="G45" s="1" t="s">
        <v>1499</v>
      </c>
      <c r="H45" s="1" t="s">
        <v>1500</v>
      </c>
      <c r="I45" s="1" t="s">
        <v>1501</v>
      </c>
      <c r="J45" s="1" t="s">
        <v>1502</v>
      </c>
      <c r="K45" s="1" t="s">
        <v>1503</v>
      </c>
      <c r="L45" s="1" t="s">
        <v>1504</v>
      </c>
      <c r="M45" s="1" t="s">
        <v>611</v>
      </c>
      <c r="N45" s="1" t="s">
        <v>1505</v>
      </c>
      <c r="O45" s="1" t="s">
        <v>1506</v>
      </c>
      <c r="P45" s="1" t="s">
        <v>1507</v>
      </c>
      <c r="Q45" s="1" t="s">
        <v>1508</v>
      </c>
      <c r="R45" s="1" t="s">
        <v>1509</v>
      </c>
      <c r="S45" s="1" t="s">
        <v>1510</v>
      </c>
      <c r="T45" s="1" t="s">
        <v>1511</v>
      </c>
      <c r="U45" s="1" t="s">
        <v>1512</v>
      </c>
      <c r="V45" s="1" t="s">
        <v>1513</v>
      </c>
      <c r="W45" s="1" t="s">
        <v>1514</v>
      </c>
      <c r="X45" s="1" t="s">
        <v>1515</v>
      </c>
      <c r="Y45" s="1" t="s">
        <v>1516</v>
      </c>
      <c r="Z45" s="1" t="s">
        <v>1517</v>
      </c>
      <c r="AA45" s="1" t="s">
        <v>1518</v>
      </c>
      <c r="AB45" s="1" t="s">
        <v>1519</v>
      </c>
      <c r="AC45" s="1" t="s">
        <v>746</v>
      </c>
    </row>
    <row r="46" spans="1:29" ht="57" x14ac:dyDescent="0.45">
      <c r="A46" s="5" t="s">
        <v>40</v>
      </c>
      <c r="B46" s="2">
        <v>4075407</v>
      </c>
      <c r="C46" s="1" t="s">
        <v>1520</v>
      </c>
      <c r="D46" s="1" t="s">
        <v>1521</v>
      </c>
      <c r="E46" s="1" t="s">
        <v>1522</v>
      </c>
      <c r="F46" s="1" t="s">
        <v>1523</v>
      </c>
      <c r="G46" s="1" t="s">
        <v>1524</v>
      </c>
      <c r="H46" s="1" t="s">
        <v>1525</v>
      </c>
      <c r="I46" s="1" t="s">
        <v>1526</v>
      </c>
      <c r="J46" s="1" t="s">
        <v>1527</v>
      </c>
      <c r="K46" s="1" t="s">
        <v>1528</v>
      </c>
      <c r="L46" s="1" t="s">
        <v>1529</v>
      </c>
      <c r="M46" s="1" t="s">
        <v>682</v>
      </c>
      <c r="N46" s="1" t="s">
        <v>1530</v>
      </c>
      <c r="O46" s="1" t="s">
        <v>1531</v>
      </c>
      <c r="P46" s="1" t="s">
        <v>1532</v>
      </c>
      <c r="Q46" s="1" t="s">
        <v>1533</v>
      </c>
      <c r="R46" s="1" t="s">
        <v>1534</v>
      </c>
      <c r="S46" s="1" t="s">
        <v>1535</v>
      </c>
      <c r="T46" s="1" t="s">
        <v>1536</v>
      </c>
      <c r="U46" s="1" t="s">
        <v>1537</v>
      </c>
      <c r="V46" s="1" t="s">
        <v>1538</v>
      </c>
      <c r="W46" s="1" t="s">
        <v>1539</v>
      </c>
      <c r="X46" s="1" t="s">
        <v>1540</v>
      </c>
      <c r="Y46" s="1" t="s">
        <v>1541</v>
      </c>
      <c r="Z46" s="1" t="s">
        <v>1542</v>
      </c>
      <c r="AA46" s="1" t="s">
        <v>1543</v>
      </c>
      <c r="AB46" s="1" t="s">
        <v>1544</v>
      </c>
      <c r="AC46" s="1" t="s">
        <v>1545</v>
      </c>
    </row>
    <row r="47" spans="1:29" ht="57" x14ac:dyDescent="0.45">
      <c r="A47" s="5" t="s">
        <v>41</v>
      </c>
      <c r="B47" s="2">
        <v>4094053</v>
      </c>
      <c r="C47" s="1" t="s">
        <v>1546</v>
      </c>
      <c r="D47" s="1" t="s">
        <v>1547</v>
      </c>
      <c r="E47" s="1" t="s">
        <v>1548</v>
      </c>
      <c r="F47" s="1" t="s">
        <v>1549</v>
      </c>
      <c r="G47" s="1" t="s">
        <v>1550</v>
      </c>
      <c r="H47" s="1" t="s">
        <v>1551</v>
      </c>
      <c r="I47" s="1" t="s">
        <v>1552</v>
      </c>
      <c r="J47" s="1" t="s">
        <v>1553</v>
      </c>
      <c r="K47" s="1" t="s">
        <v>1554</v>
      </c>
      <c r="L47" s="1" t="s">
        <v>1555</v>
      </c>
      <c r="M47" s="1" t="s">
        <v>1556</v>
      </c>
      <c r="N47" s="1" t="s">
        <v>1557</v>
      </c>
      <c r="O47" s="1" t="s">
        <v>1558</v>
      </c>
      <c r="P47" s="1" t="s">
        <v>1559</v>
      </c>
      <c r="Q47" s="1" t="s">
        <v>1560</v>
      </c>
      <c r="R47" s="1" t="s">
        <v>1165</v>
      </c>
      <c r="S47" s="1" t="s">
        <v>1561</v>
      </c>
      <c r="T47" s="1" t="s">
        <v>1562</v>
      </c>
      <c r="U47" s="1" t="s">
        <v>1563</v>
      </c>
      <c r="V47" s="1" t="s">
        <v>1564</v>
      </c>
      <c r="W47" s="1" t="s">
        <v>1565</v>
      </c>
      <c r="X47" s="1" t="s">
        <v>1566</v>
      </c>
      <c r="Y47" s="1" t="s">
        <v>1165</v>
      </c>
      <c r="Z47" s="1" t="s">
        <v>1567</v>
      </c>
      <c r="AA47" s="1" t="s">
        <v>1562</v>
      </c>
      <c r="AB47" s="1" t="s">
        <v>1568</v>
      </c>
      <c r="AC47" s="1" t="s">
        <v>1569</v>
      </c>
    </row>
    <row r="48" spans="1:29" ht="57" x14ac:dyDescent="0.45">
      <c r="A48" s="5" t="s">
        <v>42</v>
      </c>
      <c r="B48" s="2">
        <v>4072932</v>
      </c>
      <c r="C48" s="1" t="s">
        <v>1570</v>
      </c>
      <c r="D48" s="1" t="s">
        <v>1571</v>
      </c>
      <c r="E48" s="1" t="s">
        <v>1324</v>
      </c>
      <c r="F48" s="1" t="s">
        <v>1572</v>
      </c>
      <c r="G48" s="1" t="s">
        <v>1573</v>
      </c>
      <c r="H48" s="1" t="s">
        <v>1574</v>
      </c>
      <c r="I48" s="1" t="s">
        <v>1575</v>
      </c>
      <c r="J48" s="1" t="s">
        <v>1576</v>
      </c>
      <c r="K48" s="1" t="s">
        <v>1577</v>
      </c>
      <c r="L48" s="1" t="s">
        <v>1578</v>
      </c>
      <c r="M48" s="1" t="s">
        <v>1576</v>
      </c>
      <c r="N48" s="1" t="s">
        <v>1579</v>
      </c>
      <c r="O48" s="1" t="s">
        <v>1580</v>
      </c>
      <c r="P48" s="1" t="s">
        <v>1581</v>
      </c>
      <c r="Q48" s="1" t="s">
        <v>1582</v>
      </c>
      <c r="R48" s="1" t="s">
        <v>1583</v>
      </c>
      <c r="S48" s="1" t="s">
        <v>1584</v>
      </c>
      <c r="T48" s="1" t="s">
        <v>1585</v>
      </c>
      <c r="U48" s="1" t="s">
        <v>652</v>
      </c>
      <c r="V48" s="1" t="s">
        <v>1586</v>
      </c>
      <c r="W48" s="1" t="s">
        <v>1587</v>
      </c>
      <c r="X48" s="1" t="s">
        <v>1588</v>
      </c>
      <c r="Y48" s="1" t="s">
        <v>1589</v>
      </c>
      <c r="Z48" s="1" t="s">
        <v>1590</v>
      </c>
      <c r="AA48" s="1" t="s">
        <v>1591</v>
      </c>
      <c r="AB48" s="1" t="s">
        <v>1592</v>
      </c>
      <c r="AC48" s="1" t="s">
        <v>1593</v>
      </c>
    </row>
    <row r="49" spans="1:29" ht="42.75" x14ac:dyDescent="0.45">
      <c r="A49" s="5" t="s">
        <v>43</v>
      </c>
      <c r="B49" s="2">
        <v>4022647</v>
      </c>
      <c r="C49" s="1" t="s">
        <v>1594</v>
      </c>
      <c r="D49" s="1" t="s">
        <v>1595</v>
      </c>
      <c r="E49" s="1" t="s">
        <v>1596</v>
      </c>
      <c r="F49" s="1" t="s">
        <v>1597</v>
      </c>
      <c r="G49" s="1" t="s">
        <v>1598</v>
      </c>
      <c r="H49" s="1" t="s">
        <v>1599</v>
      </c>
      <c r="I49" s="1" t="s">
        <v>1600</v>
      </c>
      <c r="J49" s="1" t="s">
        <v>1601</v>
      </c>
      <c r="K49" s="1" t="s">
        <v>1602</v>
      </c>
      <c r="L49" s="1" t="s">
        <v>1603</v>
      </c>
      <c r="M49" s="1" t="s">
        <v>1604</v>
      </c>
      <c r="N49" s="1" t="s">
        <v>1605</v>
      </c>
      <c r="O49" s="1" t="s">
        <v>1606</v>
      </c>
      <c r="P49" s="1" t="s">
        <v>1607</v>
      </c>
      <c r="Q49" s="1" t="s">
        <v>1517</v>
      </c>
      <c r="R49" s="1" t="s">
        <v>1608</v>
      </c>
      <c r="S49" s="1" t="s">
        <v>1609</v>
      </c>
      <c r="T49" s="1" t="s">
        <v>1610</v>
      </c>
      <c r="U49" s="1" t="s">
        <v>1611</v>
      </c>
      <c r="V49" s="1" t="s">
        <v>1612</v>
      </c>
      <c r="W49" s="1" t="s">
        <v>1613</v>
      </c>
      <c r="X49" s="1" t="s">
        <v>1614</v>
      </c>
      <c r="Y49" s="1" t="s">
        <v>1615</v>
      </c>
      <c r="Z49" s="1" t="s">
        <v>1616</v>
      </c>
      <c r="AA49" s="1" t="s">
        <v>1617</v>
      </c>
      <c r="AB49" s="1" t="s">
        <v>1618</v>
      </c>
      <c r="AC49" s="1" t="s">
        <v>559</v>
      </c>
    </row>
    <row r="50" spans="1:29" ht="28.5" x14ac:dyDescent="0.45">
      <c r="A50" s="5" t="s">
        <v>44</v>
      </c>
      <c r="B50" s="2">
        <v>103317</v>
      </c>
      <c r="C50" s="1" t="s">
        <v>1619</v>
      </c>
      <c r="D50" s="1" t="s">
        <v>1620</v>
      </c>
      <c r="E50" s="1" t="s">
        <v>1621</v>
      </c>
      <c r="F50" s="1" t="s">
        <v>1622</v>
      </c>
      <c r="G50" s="1" t="s">
        <v>1623</v>
      </c>
      <c r="H50" s="1" t="s">
        <v>1624</v>
      </c>
      <c r="I50" s="1" t="s">
        <v>1625</v>
      </c>
      <c r="J50" s="1" t="s">
        <v>1626</v>
      </c>
      <c r="K50" s="1" t="s">
        <v>1627</v>
      </c>
      <c r="L50" s="1" t="s">
        <v>1628</v>
      </c>
      <c r="M50" s="1" t="s">
        <v>1629</v>
      </c>
      <c r="N50" s="1" t="s">
        <v>1630</v>
      </c>
      <c r="O50" s="1" t="s">
        <v>734</v>
      </c>
      <c r="P50" s="1" t="s">
        <v>1631</v>
      </c>
      <c r="Q50" s="1" t="s">
        <v>1632</v>
      </c>
      <c r="R50" s="1" t="s">
        <v>1633</v>
      </c>
      <c r="S50" s="1" t="s">
        <v>1634</v>
      </c>
      <c r="T50" s="1" t="s">
        <v>1009</v>
      </c>
      <c r="U50" s="1" t="s">
        <v>1635</v>
      </c>
      <c r="V50" s="1" t="s">
        <v>1636</v>
      </c>
      <c r="W50" s="1" t="s">
        <v>1637</v>
      </c>
      <c r="X50" s="1" t="s">
        <v>1638</v>
      </c>
      <c r="Y50" s="1" t="s">
        <v>1639</v>
      </c>
      <c r="Z50" s="1" t="s">
        <v>1640</v>
      </c>
      <c r="AA50" s="1" t="s">
        <v>1641</v>
      </c>
      <c r="AB50" s="1" t="s">
        <v>1642</v>
      </c>
      <c r="AC50" s="1" t="s">
        <v>1643</v>
      </c>
    </row>
    <row r="51" spans="1:29" ht="57" x14ac:dyDescent="0.45">
      <c r="A51" s="5" t="s">
        <v>45</v>
      </c>
      <c r="B51" s="2">
        <v>4102003</v>
      </c>
      <c r="C51" s="1" t="s">
        <v>1644</v>
      </c>
      <c r="D51" s="1" t="s">
        <v>1645</v>
      </c>
      <c r="E51" s="1" t="s">
        <v>1646</v>
      </c>
      <c r="F51" s="1" t="s">
        <v>1647</v>
      </c>
      <c r="G51" s="1" t="s">
        <v>1648</v>
      </c>
      <c r="H51" s="1" t="s">
        <v>1464</v>
      </c>
      <c r="I51" s="1" t="s">
        <v>1649</v>
      </c>
      <c r="J51" s="1" t="s">
        <v>1650</v>
      </c>
      <c r="K51" s="1" t="s">
        <v>1651</v>
      </c>
      <c r="L51" s="1" t="s">
        <v>1652</v>
      </c>
      <c r="M51" s="1" t="s">
        <v>1653</v>
      </c>
      <c r="N51" s="1" t="s">
        <v>1654</v>
      </c>
      <c r="O51" s="1" t="s">
        <v>1655</v>
      </c>
      <c r="P51" s="1" t="s">
        <v>1656</v>
      </c>
      <c r="Q51" s="1" t="s">
        <v>1657</v>
      </c>
      <c r="R51" s="1" t="s">
        <v>1658</v>
      </c>
      <c r="S51" s="1" t="s">
        <v>1659</v>
      </c>
      <c r="T51" s="1" t="s">
        <v>1660</v>
      </c>
      <c r="U51" s="1" t="s">
        <v>1661</v>
      </c>
      <c r="V51" s="1" t="s">
        <v>1662</v>
      </c>
      <c r="W51" s="1" t="s">
        <v>1663</v>
      </c>
      <c r="X51" s="1" t="s">
        <v>1664</v>
      </c>
      <c r="Y51" s="1" t="s">
        <v>1665</v>
      </c>
      <c r="Z51" s="1" t="s">
        <v>1666</v>
      </c>
      <c r="AA51" s="1" t="s">
        <v>1667</v>
      </c>
      <c r="AB51" s="1" t="s">
        <v>1668</v>
      </c>
      <c r="AC51" s="1" t="s">
        <v>1669</v>
      </c>
    </row>
    <row r="52" spans="1:29" ht="57" x14ac:dyDescent="0.45">
      <c r="A52" s="5" t="s">
        <v>46</v>
      </c>
      <c r="B52" s="2">
        <v>103437</v>
      </c>
      <c r="C52" s="1" t="s">
        <v>1670</v>
      </c>
      <c r="D52" s="1" t="s">
        <v>1671</v>
      </c>
      <c r="E52" s="1" t="s">
        <v>1621</v>
      </c>
      <c r="F52" s="1" t="s">
        <v>1672</v>
      </c>
      <c r="G52" s="1" t="s">
        <v>1673</v>
      </c>
      <c r="H52" s="1" t="s">
        <v>1674</v>
      </c>
      <c r="I52" s="1" t="s">
        <v>1675</v>
      </c>
      <c r="J52" s="1" t="s">
        <v>1676</v>
      </c>
      <c r="K52" s="1" t="s">
        <v>1329</v>
      </c>
      <c r="L52" s="1" t="s">
        <v>1677</v>
      </c>
      <c r="M52" s="1" t="s">
        <v>1678</v>
      </c>
      <c r="N52" s="1" t="s">
        <v>1679</v>
      </c>
      <c r="O52" s="1" t="s">
        <v>1680</v>
      </c>
      <c r="P52" s="1" t="s">
        <v>1681</v>
      </c>
      <c r="Q52" s="1" t="s">
        <v>1682</v>
      </c>
      <c r="R52" s="1" t="s">
        <v>1683</v>
      </c>
      <c r="S52" s="1" t="s">
        <v>1684</v>
      </c>
      <c r="T52" s="1" t="s">
        <v>1685</v>
      </c>
      <c r="U52" s="1" t="s">
        <v>1686</v>
      </c>
      <c r="V52" s="1" t="s">
        <v>1687</v>
      </c>
      <c r="W52" s="1" t="s">
        <v>1688</v>
      </c>
      <c r="X52" s="1" t="s">
        <v>1689</v>
      </c>
      <c r="Y52" s="1" t="s">
        <v>1690</v>
      </c>
      <c r="Z52" s="1" t="s">
        <v>1691</v>
      </c>
      <c r="AA52" s="1" t="s">
        <v>1692</v>
      </c>
      <c r="AB52" s="1" t="s">
        <v>1693</v>
      </c>
      <c r="AC52" s="1" t="s">
        <v>1694</v>
      </c>
    </row>
    <row r="53" spans="1:29" ht="42.75" x14ac:dyDescent="0.45">
      <c r="A53" s="5" t="s">
        <v>47</v>
      </c>
      <c r="B53" s="2">
        <v>103417</v>
      </c>
      <c r="C53" s="1" t="s">
        <v>1695</v>
      </c>
      <c r="D53" s="1" t="s">
        <v>1696</v>
      </c>
      <c r="E53" s="1" t="s">
        <v>1250</v>
      </c>
      <c r="F53" s="1" t="s">
        <v>1697</v>
      </c>
      <c r="G53" s="1" t="s">
        <v>1698</v>
      </c>
      <c r="H53" s="1" t="s">
        <v>1699</v>
      </c>
      <c r="I53" s="1" t="s">
        <v>1700</v>
      </c>
      <c r="J53" s="1" t="s">
        <v>1701</v>
      </c>
      <c r="K53" s="1" t="s">
        <v>1702</v>
      </c>
      <c r="L53" s="1" t="s">
        <v>1703</v>
      </c>
      <c r="M53" s="1" t="s">
        <v>1704</v>
      </c>
      <c r="N53" s="1" t="s">
        <v>1705</v>
      </c>
      <c r="O53" s="1" t="s">
        <v>1706</v>
      </c>
      <c r="P53" s="1" t="s">
        <v>1707</v>
      </c>
      <c r="Q53" s="1" t="s">
        <v>1708</v>
      </c>
      <c r="R53" s="1" t="s">
        <v>1709</v>
      </c>
      <c r="S53" s="1" t="s">
        <v>1710</v>
      </c>
      <c r="T53" s="1" t="s">
        <v>1711</v>
      </c>
      <c r="U53" s="1" t="s">
        <v>1712</v>
      </c>
      <c r="V53" s="1" t="s">
        <v>1713</v>
      </c>
      <c r="W53" s="1" t="s">
        <v>1714</v>
      </c>
      <c r="X53" s="1" t="s">
        <v>1715</v>
      </c>
      <c r="Y53" s="1" t="s">
        <v>1716</v>
      </c>
      <c r="Z53" s="1" t="s">
        <v>731</v>
      </c>
      <c r="AA53" s="1" t="s">
        <v>1717</v>
      </c>
      <c r="AB53" s="1" t="s">
        <v>1718</v>
      </c>
      <c r="AC53" s="1" t="s">
        <v>1719</v>
      </c>
    </row>
    <row r="54" spans="1:29" ht="99.75" x14ac:dyDescent="0.45">
      <c r="A54" s="5" t="s">
        <v>48</v>
      </c>
      <c r="B54" s="2">
        <v>4994265</v>
      </c>
      <c r="C54" s="1" t="s">
        <v>1720</v>
      </c>
      <c r="D54" s="1" t="s">
        <v>1721</v>
      </c>
      <c r="E54" s="1" t="s">
        <v>1722</v>
      </c>
      <c r="F54" s="1" t="s">
        <v>1723</v>
      </c>
      <c r="G54" s="1" t="s">
        <v>1724</v>
      </c>
      <c r="H54" s="1" t="s">
        <v>1725</v>
      </c>
      <c r="I54" s="1" t="s">
        <v>1575</v>
      </c>
      <c r="J54" s="1" t="s">
        <v>1726</v>
      </c>
      <c r="K54" s="1" t="s">
        <v>1727</v>
      </c>
      <c r="L54" s="1" t="s">
        <v>1728</v>
      </c>
      <c r="M54" s="1" t="s">
        <v>1729</v>
      </c>
      <c r="N54" s="1" t="s">
        <v>1730</v>
      </c>
      <c r="O54" s="1" t="s">
        <v>1731</v>
      </c>
      <c r="P54" s="1" t="s">
        <v>1732</v>
      </c>
      <c r="Q54" s="1" t="s">
        <v>1733</v>
      </c>
      <c r="R54" s="1" t="s">
        <v>1734</v>
      </c>
      <c r="S54" s="1" t="s">
        <v>1735</v>
      </c>
      <c r="T54" s="1" t="s">
        <v>1736</v>
      </c>
      <c r="U54" s="1" t="s">
        <v>1737</v>
      </c>
      <c r="V54" s="1" t="s">
        <v>1738</v>
      </c>
      <c r="W54" s="1" t="s">
        <v>1739</v>
      </c>
      <c r="X54" s="1" t="s">
        <v>1740</v>
      </c>
      <c r="Y54" s="1" t="s">
        <v>1741</v>
      </c>
      <c r="Z54" s="1" t="s">
        <v>1742</v>
      </c>
      <c r="AA54" s="1" t="s">
        <v>1743</v>
      </c>
      <c r="AB54" s="1" t="s">
        <v>1744</v>
      </c>
      <c r="AC54" s="1" t="s">
        <v>1745</v>
      </c>
    </row>
    <row r="55" spans="1:29" ht="42.75" x14ac:dyDescent="0.45">
      <c r="A55" s="5" t="s">
        <v>49</v>
      </c>
      <c r="B55" s="2">
        <v>4122605</v>
      </c>
      <c r="C55" s="1" t="s">
        <v>1746</v>
      </c>
      <c r="D55" s="1" t="s">
        <v>1747</v>
      </c>
      <c r="E55" s="1" t="s">
        <v>1748</v>
      </c>
      <c r="F55" s="1" t="s">
        <v>1749</v>
      </c>
      <c r="G55" s="1" t="s">
        <v>845</v>
      </c>
      <c r="H55" s="1" t="s">
        <v>1750</v>
      </c>
      <c r="I55" s="1" t="s">
        <v>1751</v>
      </c>
      <c r="J55" s="1" t="s">
        <v>1752</v>
      </c>
      <c r="K55" s="1" t="s">
        <v>1753</v>
      </c>
      <c r="L55" s="1" t="s">
        <v>1754</v>
      </c>
      <c r="M55" s="1" t="s">
        <v>1755</v>
      </c>
      <c r="N55" s="1" t="s">
        <v>1756</v>
      </c>
      <c r="O55" s="1" t="s">
        <v>1757</v>
      </c>
      <c r="P55" s="1" t="s">
        <v>1758</v>
      </c>
      <c r="Q55" s="1" t="s">
        <v>1759</v>
      </c>
      <c r="R55" s="1" t="s">
        <v>1760</v>
      </c>
      <c r="S55" s="1" t="s">
        <v>1761</v>
      </c>
      <c r="T55" s="1" t="s">
        <v>1762</v>
      </c>
      <c r="U55" s="1" t="s">
        <v>1763</v>
      </c>
      <c r="V55" s="1" t="s">
        <v>1764</v>
      </c>
      <c r="W55" s="1" t="s">
        <v>1765</v>
      </c>
      <c r="X55" s="1" t="s">
        <v>1766</v>
      </c>
      <c r="Y55" s="1" t="s">
        <v>1767</v>
      </c>
      <c r="Z55" s="1" t="s">
        <v>1768</v>
      </c>
      <c r="AA55" s="1" t="s">
        <v>1769</v>
      </c>
      <c r="AB55" s="1" t="s">
        <v>1770</v>
      </c>
      <c r="AC55" s="1" t="s">
        <v>1771</v>
      </c>
    </row>
    <row r="56" spans="1:29" ht="71.25" x14ac:dyDescent="0.45">
      <c r="A56" s="5" t="s">
        <v>50</v>
      </c>
      <c r="B56" s="2">
        <v>4677071</v>
      </c>
      <c r="C56" s="1" t="s">
        <v>1772</v>
      </c>
      <c r="D56" s="1" t="s">
        <v>1773</v>
      </c>
      <c r="E56" s="1" t="s">
        <v>487</v>
      </c>
      <c r="F56" s="1" t="s">
        <v>1774</v>
      </c>
      <c r="G56" s="1" t="s">
        <v>1775</v>
      </c>
      <c r="H56" s="1" t="s">
        <v>1776</v>
      </c>
      <c r="I56" s="1" t="s">
        <v>1777</v>
      </c>
      <c r="J56" s="1" t="s">
        <v>1778</v>
      </c>
      <c r="K56" s="1" t="s">
        <v>1779</v>
      </c>
      <c r="L56" s="1" t="s">
        <v>1780</v>
      </c>
      <c r="M56" s="1" t="s">
        <v>1781</v>
      </c>
      <c r="N56" s="1" t="s">
        <v>1782</v>
      </c>
      <c r="O56" s="1" t="s">
        <v>1783</v>
      </c>
      <c r="P56" s="1" t="s">
        <v>1784</v>
      </c>
      <c r="Q56" s="1" t="s">
        <v>1785</v>
      </c>
      <c r="R56" s="1" t="s">
        <v>1786</v>
      </c>
      <c r="S56" s="1" t="s">
        <v>1787</v>
      </c>
      <c r="T56" s="1" t="s">
        <v>1788</v>
      </c>
      <c r="U56" s="1" t="s">
        <v>1789</v>
      </c>
      <c r="V56" s="1" t="s">
        <v>1790</v>
      </c>
      <c r="W56" s="1" t="s">
        <v>1791</v>
      </c>
      <c r="X56" s="1" t="s">
        <v>1792</v>
      </c>
      <c r="Y56" s="1" t="s">
        <v>1793</v>
      </c>
      <c r="Z56" s="1" t="s">
        <v>1794</v>
      </c>
      <c r="AA56" s="1" t="s">
        <v>1795</v>
      </c>
      <c r="AB56" s="1" t="s">
        <v>1796</v>
      </c>
      <c r="AC56" s="1" t="s">
        <v>1797</v>
      </c>
    </row>
    <row r="57" spans="1:29" ht="71.25" x14ac:dyDescent="0.45">
      <c r="A57" s="5" t="s">
        <v>51</v>
      </c>
      <c r="B57" s="2">
        <v>4186103</v>
      </c>
      <c r="C57" s="1" t="s">
        <v>1798</v>
      </c>
      <c r="D57" s="1" t="s">
        <v>1799</v>
      </c>
      <c r="E57" s="1" t="s">
        <v>1800</v>
      </c>
      <c r="F57" s="1" t="s">
        <v>1184</v>
      </c>
      <c r="G57" s="1" t="s">
        <v>1801</v>
      </c>
      <c r="H57" s="1" t="s">
        <v>1802</v>
      </c>
      <c r="I57" s="1" t="s">
        <v>1803</v>
      </c>
      <c r="J57" s="1" t="s">
        <v>1804</v>
      </c>
      <c r="K57" s="1" t="s">
        <v>1805</v>
      </c>
      <c r="L57" s="1" t="s">
        <v>1806</v>
      </c>
      <c r="M57" s="1" t="s">
        <v>1807</v>
      </c>
      <c r="N57" s="1" t="s">
        <v>1808</v>
      </c>
      <c r="O57" s="1" t="s">
        <v>1809</v>
      </c>
      <c r="P57" s="1" t="s">
        <v>1810</v>
      </c>
      <c r="Q57" s="1" t="s">
        <v>1811</v>
      </c>
      <c r="R57" s="1" t="s">
        <v>1812</v>
      </c>
      <c r="S57" s="1" t="s">
        <v>1813</v>
      </c>
      <c r="T57" s="1" t="s">
        <v>1814</v>
      </c>
      <c r="U57" s="1" t="s">
        <v>1113</v>
      </c>
      <c r="V57" s="1" t="s">
        <v>1815</v>
      </c>
      <c r="W57" s="1" t="s">
        <v>1816</v>
      </c>
      <c r="X57" s="1" t="s">
        <v>1817</v>
      </c>
      <c r="Y57" s="1" t="s">
        <v>1818</v>
      </c>
      <c r="Z57" s="1" t="s">
        <v>1819</v>
      </c>
      <c r="AA57" s="1" t="s">
        <v>1820</v>
      </c>
      <c r="AB57" s="1" t="s">
        <v>783</v>
      </c>
      <c r="AC57" s="1" t="s">
        <v>1821</v>
      </c>
    </row>
    <row r="58" spans="1:29" ht="28.5" x14ac:dyDescent="0.45">
      <c r="A58" s="5" t="s">
        <v>52</v>
      </c>
      <c r="B58" s="2">
        <v>4051708</v>
      </c>
      <c r="C58" s="1" t="s">
        <v>1822</v>
      </c>
      <c r="D58" s="1" t="s">
        <v>1823</v>
      </c>
      <c r="E58" s="1" t="s">
        <v>1324</v>
      </c>
      <c r="F58" s="1" t="s">
        <v>1824</v>
      </c>
      <c r="G58" s="1" t="s">
        <v>1033</v>
      </c>
      <c r="H58" s="1" t="s">
        <v>1825</v>
      </c>
      <c r="I58" s="1" t="s">
        <v>1826</v>
      </c>
      <c r="J58" s="1" t="s">
        <v>1827</v>
      </c>
      <c r="K58" s="1" t="s">
        <v>1828</v>
      </c>
      <c r="L58" s="1" t="s">
        <v>1829</v>
      </c>
      <c r="M58" s="1" t="s">
        <v>1362</v>
      </c>
      <c r="N58" s="1" t="s">
        <v>1830</v>
      </c>
      <c r="O58" s="1" t="s">
        <v>1831</v>
      </c>
      <c r="P58" s="1" t="s">
        <v>766</v>
      </c>
      <c r="Q58" s="1" t="s">
        <v>1832</v>
      </c>
      <c r="R58" s="1" t="s">
        <v>1833</v>
      </c>
      <c r="S58" s="1" t="s">
        <v>1834</v>
      </c>
      <c r="T58" s="1" t="s">
        <v>1835</v>
      </c>
      <c r="U58" s="1" t="s">
        <v>1836</v>
      </c>
      <c r="V58" s="1" t="s">
        <v>1837</v>
      </c>
      <c r="W58" s="1" t="s">
        <v>1838</v>
      </c>
      <c r="X58" s="1" t="s">
        <v>1839</v>
      </c>
      <c r="Y58" s="1" t="s">
        <v>1840</v>
      </c>
      <c r="Z58" s="1" t="s">
        <v>1841</v>
      </c>
      <c r="AA58" s="1" t="s">
        <v>1842</v>
      </c>
      <c r="AB58" s="1" t="s">
        <v>1843</v>
      </c>
      <c r="AC58" s="1" t="s">
        <v>1844</v>
      </c>
    </row>
    <row r="59" spans="1:29" ht="42.75" x14ac:dyDescent="0.45">
      <c r="A59" s="5" t="s">
        <v>53</v>
      </c>
      <c r="B59" s="2">
        <v>4050636</v>
      </c>
      <c r="C59" s="1" t="s">
        <v>1845</v>
      </c>
      <c r="D59" s="1" t="s">
        <v>1846</v>
      </c>
      <c r="E59" s="1" t="s">
        <v>1847</v>
      </c>
      <c r="F59" s="1" t="s">
        <v>1848</v>
      </c>
      <c r="G59" s="1" t="s">
        <v>1849</v>
      </c>
      <c r="H59" s="1" t="s">
        <v>1850</v>
      </c>
      <c r="I59" s="1" t="s">
        <v>1851</v>
      </c>
      <c r="J59" s="1" t="s">
        <v>1852</v>
      </c>
      <c r="K59" s="1" t="s">
        <v>1853</v>
      </c>
      <c r="L59" s="1" t="s">
        <v>1854</v>
      </c>
      <c r="M59" s="1" t="s">
        <v>1855</v>
      </c>
      <c r="N59" s="1" t="s">
        <v>1856</v>
      </c>
      <c r="O59" s="1" t="s">
        <v>1857</v>
      </c>
      <c r="P59" s="1" t="s">
        <v>1858</v>
      </c>
      <c r="Q59" s="1" t="s">
        <v>1859</v>
      </c>
      <c r="R59" s="1" t="s">
        <v>1860</v>
      </c>
      <c r="S59" s="1" t="s">
        <v>1861</v>
      </c>
      <c r="T59" s="1" t="s">
        <v>1862</v>
      </c>
      <c r="U59" s="1" t="s">
        <v>1863</v>
      </c>
      <c r="V59" s="1" t="s">
        <v>1864</v>
      </c>
      <c r="W59" s="1" t="s">
        <v>1865</v>
      </c>
      <c r="X59" s="1" t="s">
        <v>1866</v>
      </c>
      <c r="Y59" s="1" t="s">
        <v>1867</v>
      </c>
      <c r="Z59" s="1" t="s">
        <v>1868</v>
      </c>
      <c r="AA59" s="1" t="s">
        <v>1869</v>
      </c>
      <c r="AB59" s="1" t="s">
        <v>1870</v>
      </c>
      <c r="AC59" s="1" t="s">
        <v>1871</v>
      </c>
    </row>
    <row r="60" spans="1:29" ht="71.25" x14ac:dyDescent="0.45">
      <c r="A60" s="5" t="s">
        <v>54</v>
      </c>
      <c r="B60" s="2">
        <v>4041118</v>
      </c>
      <c r="C60" s="1" t="s">
        <v>1872</v>
      </c>
      <c r="D60" s="1" t="s">
        <v>1873</v>
      </c>
      <c r="E60" s="1" t="s">
        <v>1874</v>
      </c>
      <c r="F60" s="1" t="s">
        <v>1875</v>
      </c>
      <c r="G60" s="1" t="s">
        <v>1151</v>
      </c>
      <c r="H60" s="1" t="s">
        <v>1876</v>
      </c>
      <c r="I60" s="1" t="s">
        <v>1877</v>
      </c>
      <c r="J60" s="1" t="s">
        <v>1878</v>
      </c>
      <c r="K60" s="1" t="s">
        <v>1879</v>
      </c>
      <c r="L60" s="1" t="s">
        <v>1880</v>
      </c>
      <c r="M60" s="1" t="s">
        <v>1881</v>
      </c>
      <c r="N60" s="1" t="s">
        <v>1882</v>
      </c>
      <c r="O60" s="1" t="s">
        <v>1883</v>
      </c>
      <c r="P60" s="1" t="s">
        <v>1884</v>
      </c>
      <c r="Q60" s="1" t="s">
        <v>1885</v>
      </c>
      <c r="R60" s="1" t="s">
        <v>1876</v>
      </c>
      <c r="S60" s="1" t="s">
        <v>1886</v>
      </c>
      <c r="T60" s="1" t="s">
        <v>1887</v>
      </c>
      <c r="U60" s="1" t="s">
        <v>1888</v>
      </c>
      <c r="V60" s="1" t="s">
        <v>1889</v>
      </c>
      <c r="W60" s="1" t="s">
        <v>1890</v>
      </c>
      <c r="X60" s="1" t="s">
        <v>1891</v>
      </c>
      <c r="Y60" s="1" t="s">
        <v>1892</v>
      </c>
      <c r="Z60" s="1" t="s">
        <v>1893</v>
      </c>
      <c r="AA60" s="1" t="s">
        <v>1894</v>
      </c>
      <c r="AB60" s="1" t="s">
        <v>1895</v>
      </c>
      <c r="AC60" s="1" t="s">
        <v>1896</v>
      </c>
    </row>
    <row r="61" spans="1:29" ht="71.25" x14ac:dyDescent="0.45">
      <c r="A61" s="5" t="s">
        <v>55</v>
      </c>
      <c r="B61" s="2">
        <v>4985791</v>
      </c>
      <c r="C61" s="1" t="s">
        <v>1897</v>
      </c>
      <c r="D61" s="1" t="s">
        <v>1898</v>
      </c>
      <c r="E61" s="1" t="s">
        <v>1497</v>
      </c>
      <c r="F61" s="1" t="s">
        <v>1899</v>
      </c>
      <c r="G61" s="1" t="s">
        <v>1900</v>
      </c>
      <c r="H61" s="1" t="s">
        <v>1901</v>
      </c>
      <c r="I61" s="1" t="s">
        <v>1902</v>
      </c>
      <c r="J61" s="1" t="s">
        <v>1903</v>
      </c>
      <c r="K61" s="1" t="s">
        <v>1904</v>
      </c>
      <c r="L61" s="1" t="s">
        <v>1080</v>
      </c>
      <c r="M61" s="1" t="s">
        <v>1905</v>
      </c>
      <c r="N61" s="1" t="s">
        <v>1906</v>
      </c>
      <c r="O61" s="1" t="s">
        <v>1907</v>
      </c>
      <c r="P61" s="1" t="s">
        <v>1908</v>
      </c>
      <c r="Q61" s="1" t="s">
        <v>1909</v>
      </c>
      <c r="R61" s="1" t="s">
        <v>1910</v>
      </c>
      <c r="S61" s="1" t="s">
        <v>1911</v>
      </c>
      <c r="T61" s="1" t="s">
        <v>1912</v>
      </c>
      <c r="U61" s="1" t="s">
        <v>1913</v>
      </c>
      <c r="V61" s="1" t="s">
        <v>1914</v>
      </c>
      <c r="W61" s="1" t="s">
        <v>1915</v>
      </c>
      <c r="X61" s="1" t="s">
        <v>1916</v>
      </c>
      <c r="Y61" s="1" t="s">
        <v>1917</v>
      </c>
      <c r="Z61" s="1" t="s">
        <v>1918</v>
      </c>
      <c r="AA61" s="1" t="s">
        <v>1919</v>
      </c>
      <c r="AB61" s="1" t="s">
        <v>1920</v>
      </c>
      <c r="AC61" s="1" t="s">
        <v>1921</v>
      </c>
    </row>
    <row r="62" spans="1:29" ht="57" x14ac:dyDescent="0.45">
      <c r="A62" s="5" t="s">
        <v>56</v>
      </c>
      <c r="B62" s="2">
        <v>4558889</v>
      </c>
      <c r="C62" s="1" t="s">
        <v>1922</v>
      </c>
      <c r="D62" s="1" t="s">
        <v>1923</v>
      </c>
      <c r="E62" s="1" t="s">
        <v>1924</v>
      </c>
      <c r="F62" s="1" t="s">
        <v>1533</v>
      </c>
      <c r="G62" s="1" t="s">
        <v>1925</v>
      </c>
      <c r="H62" s="1" t="s">
        <v>1926</v>
      </c>
      <c r="I62" s="1" t="s">
        <v>1927</v>
      </c>
      <c r="J62" s="1" t="s">
        <v>1928</v>
      </c>
      <c r="K62" s="1" t="s">
        <v>1929</v>
      </c>
      <c r="L62" s="1" t="s">
        <v>1930</v>
      </c>
      <c r="M62" s="1" t="s">
        <v>1931</v>
      </c>
      <c r="N62" s="1" t="s">
        <v>1932</v>
      </c>
      <c r="O62" s="1" t="s">
        <v>1933</v>
      </c>
      <c r="P62" s="1" t="s">
        <v>1934</v>
      </c>
      <c r="Q62" s="1" t="s">
        <v>1935</v>
      </c>
      <c r="R62" s="1" t="s">
        <v>1936</v>
      </c>
      <c r="S62" s="1" t="s">
        <v>1937</v>
      </c>
      <c r="T62" s="1" t="s">
        <v>1938</v>
      </c>
      <c r="U62" s="1" t="s">
        <v>1939</v>
      </c>
      <c r="V62" s="1" t="s">
        <v>1940</v>
      </c>
      <c r="W62" s="1" t="s">
        <v>1941</v>
      </c>
      <c r="X62" s="1" t="s">
        <v>1942</v>
      </c>
      <c r="Y62" s="1" t="s">
        <v>1943</v>
      </c>
      <c r="Z62" s="1" t="s">
        <v>1944</v>
      </c>
      <c r="AA62" s="1" t="s">
        <v>1945</v>
      </c>
      <c r="AB62" s="1" t="s">
        <v>1946</v>
      </c>
      <c r="AC62" s="1" t="s">
        <v>1947</v>
      </c>
    </row>
    <row r="63" spans="1:29" ht="57" x14ac:dyDescent="0.45">
      <c r="A63" s="5" t="s">
        <v>57</v>
      </c>
      <c r="B63" s="2">
        <v>103163</v>
      </c>
      <c r="C63" s="1" t="s">
        <v>1948</v>
      </c>
      <c r="D63" s="1" t="s">
        <v>1949</v>
      </c>
      <c r="E63" s="1" t="s">
        <v>1950</v>
      </c>
      <c r="F63" s="1" t="s">
        <v>1951</v>
      </c>
      <c r="G63" s="1" t="s">
        <v>1952</v>
      </c>
      <c r="H63" s="1" t="s">
        <v>1953</v>
      </c>
      <c r="I63" s="1" t="s">
        <v>1954</v>
      </c>
      <c r="J63" s="1" t="s">
        <v>1955</v>
      </c>
      <c r="K63" s="1" t="s">
        <v>1956</v>
      </c>
      <c r="L63" s="1" t="s">
        <v>1957</v>
      </c>
      <c r="M63" s="1" t="s">
        <v>1958</v>
      </c>
      <c r="N63" s="1" t="s">
        <v>1959</v>
      </c>
      <c r="O63" s="1" t="s">
        <v>1960</v>
      </c>
      <c r="P63" s="1" t="s">
        <v>1961</v>
      </c>
      <c r="Q63" s="1" t="s">
        <v>1962</v>
      </c>
      <c r="R63" s="1" t="s">
        <v>1963</v>
      </c>
      <c r="S63" s="1" t="s">
        <v>1964</v>
      </c>
      <c r="T63" s="1" t="s">
        <v>1965</v>
      </c>
      <c r="U63" s="1" t="s">
        <v>1966</v>
      </c>
      <c r="V63" s="1" t="s">
        <v>1967</v>
      </c>
      <c r="W63" s="1" t="s">
        <v>1968</v>
      </c>
      <c r="X63" s="1" t="s">
        <v>1969</v>
      </c>
      <c r="Y63" s="1" t="s">
        <v>1970</v>
      </c>
      <c r="Z63" s="1" t="s">
        <v>1971</v>
      </c>
      <c r="AA63" s="1" t="s">
        <v>1972</v>
      </c>
      <c r="AB63" s="1" t="s">
        <v>1973</v>
      </c>
      <c r="AC63" s="1" t="s">
        <v>1974</v>
      </c>
    </row>
    <row r="64" spans="1:29" ht="71.25" x14ac:dyDescent="0.45">
      <c r="A64" s="5" t="s">
        <v>58</v>
      </c>
      <c r="B64" s="2">
        <v>103123</v>
      </c>
      <c r="C64" s="1" t="s">
        <v>1975</v>
      </c>
      <c r="D64" s="1" t="s">
        <v>1975</v>
      </c>
      <c r="E64" s="1" t="s">
        <v>1950</v>
      </c>
      <c r="F64" s="1" t="s">
        <v>1976</v>
      </c>
      <c r="G64" s="1" t="s">
        <v>1977</v>
      </c>
      <c r="H64" s="1" t="s">
        <v>1744</v>
      </c>
      <c r="I64" s="1" t="s">
        <v>1505</v>
      </c>
      <c r="J64" s="1" t="s">
        <v>1978</v>
      </c>
      <c r="K64" s="1" t="s">
        <v>1979</v>
      </c>
      <c r="L64" s="1" t="s">
        <v>1980</v>
      </c>
      <c r="M64" s="1" t="s">
        <v>1981</v>
      </c>
      <c r="N64" s="1" t="s">
        <v>1982</v>
      </c>
      <c r="O64" s="1" t="s">
        <v>1983</v>
      </c>
      <c r="P64" s="1" t="s">
        <v>1984</v>
      </c>
      <c r="Q64" s="1" t="s">
        <v>1985</v>
      </c>
      <c r="R64" s="1" t="s">
        <v>1986</v>
      </c>
      <c r="S64" s="1" t="s">
        <v>1987</v>
      </c>
      <c r="T64" s="1" t="s">
        <v>1988</v>
      </c>
      <c r="U64" s="1" t="s">
        <v>1989</v>
      </c>
      <c r="V64" s="1" t="s">
        <v>1990</v>
      </c>
      <c r="W64" s="1" t="s">
        <v>1991</v>
      </c>
      <c r="X64" s="1" t="s">
        <v>1992</v>
      </c>
      <c r="Y64" s="1" t="s">
        <v>1993</v>
      </c>
      <c r="Z64" s="1" t="s">
        <v>1994</v>
      </c>
      <c r="AA64" s="1" t="s">
        <v>1995</v>
      </c>
      <c r="AB64" s="1" t="s">
        <v>1996</v>
      </c>
      <c r="AC64" s="1" t="s">
        <v>1997</v>
      </c>
    </row>
    <row r="65" spans="1:29" ht="57" x14ac:dyDescent="0.45">
      <c r="A65" s="5" t="s">
        <v>59</v>
      </c>
      <c r="B65" s="2">
        <v>4022058</v>
      </c>
      <c r="C65" s="1" t="s">
        <v>1998</v>
      </c>
      <c r="D65" s="1" t="s">
        <v>1999</v>
      </c>
      <c r="E65" s="1" t="s">
        <v>2000</v>
      </c>
      <c r="F65" s="1" t="s">
        <v>2001</v>
      </c>
      <c r="G65" s="1" t="s">
        <v>1015</v>
      </c>
      <c r="H65" s="1" t="s">
        <v>2002</v>
      </c>
      <c r="I65" s="1" t="s">
        <v>554</v>
      </c>
      <c r="J65" s="1" t="s">
        <v>2003</v>
      </c>
      <c r="K65" s="1" t="s">
        <v>1519</v>
      </c>
      <c r="L65" s="1" t="s">
        <v>2004</v>
      </c>
      <c r="M65" s="1" t="s">
        <v>2005</v>
      </c>
      <c r="N65" s="1" t="s">
        <v>2006</v>
      </c>
      <c r="O65" s="1" t="s">
        <v>2007</v>
      </c>
      <c r="P65" s="1" t="s">
        <v>2008</v>
      </c>
      <c r="Q65" s="1" t="s">
        <v>2009</v>
      </c>
      <c r="R65" s="1" t="s">
        <v>651</v>
      </c>
      <c r="S65" s="1" t="s">
        <v>1458</v>
      </c>
      <c r="T65" s="1" t="s">
        <v>2010</v>
      </c>
      <c r="U65" s="1" t="s">
        <v>2011</v>
      </c>
      <c r="V65" s="1" t="s">
        <v>2012</v>
      </c>
      <c r="W65" s="1" t="s">
        <v>2013</v>
      </c>
      <c r="X65" s="1" t="s">
        <v>2014</v>
      </c>
      <c r="Y65" s="1" t="s">
        <v>2015</v>
      </c>
      <c r="Z65" s="1" t="s">
        <v>2016</v>
      </c>
      <c r="AA65" s="1" t="s">
        <v>2001</v>
      </c>
      <c r="AB65" s="1" t="s">
        <v>2017</v>
      </c>
      <c r="AC65" s="1" t="s">
        <v>661</v>
      </c>
    </row>
    <row r="66" spans="1:29" ht="57" x14ac:dyDescent="0.45">
      <c r="A66" s="5" t="s">
        <v>60</v>
      </c>
      <c r="B66" s="2">
        <v>114527</v>
      </c>
      <c r="C66" s="1" t="s">
        <v>2018</v>
      </c>
      <c r="D66" s="1" t="s">
        <v>2019</v>
      </c>
      <c r="E66" s="1" t="s">
        <v>1223</v>
      </c>
      <c r="F66" s="1" t="s">
        <v>2020</v>
      </c>
      <c r="G66" s="1" t="s">
        <v>2021</v>
      </c>
      <c r="H66" s="1" t="s">
        <v>2022</v>
      </c>
      <c r="I66" s="1" t="s">
        <v>2023</v>
      </c>
      <c r="J66" s="1" t="s">
        <v>2024</v>
      </c>
      <c r="K66" s="1" t="s">
        <v>2025</v>
      </c>
      <c r="L66" s="1" t="s">
        <v>2026</v>
      </c>
      <c r="M66" s="1" t="s">
        <v>2027</v>
      </c>
      <c r="N66" s="1" t="s">
        <v>2028</v>
      </c>
      <c r="O66" s="1" t="s">
        <v>2029</v>
      </c>
      <c r="P66" s="1" t="s">
        <v>2030</v>
      </c>
      <c r="Q66" s="1" t="s">
        <v>2031</v>
      </c>
      <c r="R66" s="1" t="s">
        <v>2032</v>
      </c>
      <c r="S66" s="1" t="s">
        <v>2033</v>
      </c>
      <c r="T66" s="1" t="s">
        <v>2034</v>
      </c>
      <c r="U66" s="1" t="s">
        <v>2035</v>
      </c>
      <c r="V66" s="1" t="s">
        <v>2036</v>
      </c>
      <c r="W66" s="1" t="s">
        <v>2037</v>
      </c>
      <c r="X66" s="1" t="s">
        <v>2038</v>
      </c>
      <c r="Y66" s="1" t="s">
        <v>2039</v>
      </c>
      <c r="Z66" s="1" t="s">
        <v>2040</v>
      </c>
      <c r="AA66" s="1" t="s">
        <v>2041</v>
      </c>
      <c r="AB66" s="1" t="s">
        <v>2042</v>
      </c>
      <c r="AC66" s="1" t="s">
        <v>2043</v>
      </c>
    </row>
    <row r="67" spans="1:29" ht="42.75" x14ac:dyDescent="0.45">
      <c r="A67" s="5" t="s">
        <v>61</v>
      </c>
      <c r="B67" s="2">
        <v>4279452</v>
      </c>
      <c r="C67" s="1" t="s">
        <v>2044</v>
      </c>
      <c r="D67" s="1" t="s">
        <v>2045</v>
      </c>
      <c r="E67" s="1" t="s">
        <v>2046</v>
      </c>
      <c r="F67" s="1" t="s">
        <v>2047</v>
      </c>
      <c r="G67" s="1" t="s">
        <v>2048</v>
      </c>
      <c r="H67" s="1" t="s">
        <v>2049</v>
      </c>
      <c r="I67" s="1" t="s">
        <v>2050</v>
      </c>
      <c r="J67" s="1" t="s">
        <v>2051</v>
      </c>
      <c r="K67" s="1" t="s">
        <v>2052</v>
      </c>
      <c r="L67" s="1" t="s">
        <v>2053</v>
      </c>
      <c r="M67" s="1" t="s">
        <v>2054</v>
      </c>
      <c r="N67" s="1" t="s">
        <v>2055</v>
      </c>
      <c r="O67" s="1" t="s">
        <v>669</v>
      </c>
      <c r="P67" s="1" t="s">
        <v>2056</v>
      </c>
      <c r="Q67" s="1" t="s">
        <v>2056</v>
      </c>
      <c r="R67" s="1" t="s">
        <v>2057</v>
      </c>
      <c r="S67" s="1" t="s">
        <v>2058</v>
      </c>
      <c r="T67" s="1" t="s">
        <v>2059</v>
      </c>
      <c r="U67" s="1" t="s">
        <v>2060</v>
      </c>
      <c r="V67" s="1" t="s">
        <v>2061</v>
      </c>
      <c r="W67" s="1" t="s">
        <v>2062</v>
      </c>
      <c r="X67" s="1" t="s">
        <v>2063</v>
      </c>
      <c r="Y67" s="1" t="s">
        <v>2064</v>
      </c>
      <c r="Z67" s="1" t="s">
        <v>1371</v>
      </c>
      <c r="AA67" s="1" t="s">
        <v>2065</v>
      </c>
      <c r="AB67" s="1" t="s">
        <v>2066</v>
      </c>
      <c r="AC67" s="1" t="s">
        <v>2067</v>
      </c>
    </row>
    <row r="68" spans="1:29" ht="42.75" x14ac:dyDescent="0.45">
      <c r="A68" s="5" t="s">
        <v>62</v>
      </c>
      <c r="B68" s="2">
        <v>4056944</v>
      </c>
      <c r="C68" s="1" t="s">
        <v>2068</v>
      </c>
      <c r="D68" s="1" t="s">
        <v>2069</v>
      </c>
      <c r="E68" s="1" t="s">
        <v>2070</v>
      </c>
      <c r="F68" s="1" t="s">
        <v>2071</v>
      </c>
      <c r="G68" s="1" t="s">
        <v>2072</v>
      </c>
      <c r="H68" s="1" t="s">
        <v>2073</v>
      </c>
      <c r="I68" s="1" t="s">
        <v>2074</v>
      </c>
      <c r="J68" s="1" t="s">
        <v>2075</v>
      </c>
      <c r="K68" s="1" t="s">
        <v>2076</v>
      </c>
      <c r="L68" s="1" t="s">
        <v>2077</v>
      </c>
      <c r="M68" s="1" t="s">
        <v>2078</v>
      </c>
      <c r="N68" s="1" t="s">
        <v>2079</v>
      </c>
      <c r="O68" s="1" t="s">
        <v>2080</v>
      </c>
      <c r="P68" s="1" t="s">
        <v>2081</v>
      </c>
      <c r="Q68" s="1" t="s">
        <v>2082</v>
      </c>
      <c r="R68" s="1" t="s">
        <v>2083</v>
      </c>
      <c r="S68" s="1" t="s">
        <v>2084</v>
      </c>
      <c r="T68" s="1" t="s">
        <v>2085</v>
      </c>
      <c r="U68" s="1" t="s">
        <v>2086</v>
      </c>
      <c r="V68" s="1" t="s">
        <v>2087</v>
      </c>
      <c r="W68" s="1" t="s">
        <v>2088</v>
      </c>
      <c r="X68" s="1" t="s">
        <v>2083</v>
      </c>
      <c r="Y68" s="1" t="s">
        <v>2089</v>
      </c>
      <c r="Z68" s="1" t="s">
        <v>2090</v>
      </c>
      <c r="AA68" s="1" t="s">
        <v>2091</v>
      </c>
      <c r="AB68" s="1" t="s">
        <v>2092</v>
      </c>
      <c r="AC68" s="1" t="s">
        <v>2093</v>
      </c>
    </row>
    <row r="69" spans="1:29" ht="42.75" x14ac:dyDescent="0.45">
      <c r="A69" s="5" t="s">
        <v>63</v>
      </c>
      <c r="B69" s="2">
        <v>103339</v>
      </c>
      <c r="C69" s="1" t="s">
        <v>2094</v>
      </c>
      <c r="D69" s="1" t="s">
        <v>2095</v>
      </c>
      <c r="E69" s="1" t="s">
        <v>888</v>
      </c>
      <c r="F69" s="1" t="s">
        <v>2096</v>
      </c>
      <c r="G69" s="1" t="s">
        <v>2097</v>
      </c>
      <c r="H69" s="1" t="s">
        <v>2098</v>
      </c>
      <c r="I69" s="1" t="s">
        <v>2099</v>
      </c>
      <c r="J69" s="1" t="s">
        <v>2100</v>
      </c>
      <c r="K69" s="1" t="s">
        <v>2101</v>
      </c>
      <c r="L69" s="1" t="s">
        <v>2102</v>
      </c>
      <c r="M69" s="1" t="s">
        <v>2103</v>
      </c>
      <c r="N69" s="1" t="s">
        <v>2104</v>
      </c>
      <c r="O69" s="1" t="s">
        <v>2105</v>
      </c>
      <c r="P69" s="1" t="s">
        <v>2106</v>
      </c>
      <c r="Q69" s="1" t="s">
        <v>2107</v>
      </c>
      <c r="R69" s="1" t="s">
        <v>2108</v>
      </c>
      <c r="S69" s="1" t="s">
        <v>2109</v>
      </c>
      <c r="T69" s="1" t="s">
        <v>2110</v>
      </c>
      <c r="U69" s="1" t="s">
        <v>2111</v>
      </c>
      <c r="V69" s="1" t="s">
        <v>2112</v>
      </c>
      <c r="W69" s="1" t="s">
        <v>2113</v>
      </c>
      <c r="X69" s="1" t="s">
        <v>2114</v>
      </c>
      <c r="Y69" s="1" t="s">
        <v>2115</v>
      </c>
      <c r="Z69" s="1" t="s">
        <v>2116</v>
      </c>
      <c r="AA69" s="1" t="s">
        <v>2117</v>
      </c>
      <c r="AB69" s="1" t="s">
        <v>2118</v>
      </c>
      <c r="AC69" s="1" t="s">
        <v>2119</v>
      </c>
    </row>
    <row r="70" spans="1:29" ht="42.75" x14ac:dyDescent="0.45">
      <c r="A70" s="5" t="s">
        <v>64</v>
      </c>
      <c r="B70" s="2">
        <v>4056943</v>
      </c>
      <c r="C70" s="1" t="s">
        <v>2120</v>
      </c>
      <c r="D70" s="1" t="s">
        <v>2121</v>
      </c>
      <c r="E70" s="1" t="s">
        <v>2070</v>
      </c>
      <c r="F70" s="1" t="s">
        <v>2122</v>
      </c>
      <c r="G70" s="1" t="s">
        <v>2123</v>
      </c>
      <c r="H70" s="1" t="s">
        <v>2124</v>
      </c>
      <c r="I70" s="1" t="s">
        <v>2125</v>
      </c>
      <c r="J70" s="1" t="s">
        <v>1537</v>
      </c>
      <c r="K70" s="1" t="s">
        <v>2126</v>
      </c>
      <c r="L70" s="1" t="s">
        <v>2127</v>
      </c>
      <c r="M70" s="1" t="s">
        <v>2128</v>
      </c>
      <c r="N70" s="1" t="s">
        <v>2129</v>
      </c>
      <c r="O70" s="1" t="s">
        <v>2130</v>
      </c>
      <c r="P70" s="1" t="s">
        <v>2131</v>
      </c>
      <c r="Q70" s="1" t="s">
        <v>2132</v>
      </c>
      <c r="R70" s="1" t="s">
        <v>2133</v>
      </c>
      <c r="S70" s="1" t="s">
        <v>2134</v>
      </c>
      <c r="T70" s="1" t="s">
        <v>2135</v>
      </c>
      <c r="U70" s="1" t="s">
        <v>2136</v>
      </c>
      <c r="V70" s="1" t="s">
        <v>2137</v>
      </c>
      <c r="W70" s="1" t="s">
        <v>2138</v>
      </c>
      <c r="X70" s="1" t="s">
        <v>2139</v>
      </c>
      <c r="Y70" s="1" t="s">
        <v>2140</v>
      </c>
      <c r="Z70" s="1" t="s">
        <v>2141</v>
      </c>
      <c r="AA70" s="1" t="s">
        <v>2142</v>
      </c>
      <c r="AB70" s="1" t="s">
        <v>2143</v>
      </c>
      <c r="AC70" s="1" t="s">
        <v>2144</v>
      </c>
    </row>
    <row r="71" spans="1:29" ht="71.25" x14ac:dyDescent="0.45">
      <c r="A71" s="5" t="s">
        <v>65</v>
      </c>
      <c r="B71" s="2">
        <v>102950</v>
      </c>
      <c r="C71" s="1" t="s">
        <v>2145</v>
      </c>
      <c r="D71" s="1" t="s">
        <v>2146</v>
      </c>
      <c r="E71" s="1" t="s">
        <v>2147</v>
      </c>
      <c r="F71" s="1" t="s">
        <v>2148</v>
      </c>
      <c r="G71" s="1" t="s">
        <v>2149</v>
      </c>
      <c r="H71" s="1" t="s">
        <v>2150</v>
      </c>
      <c r="I71" s="1" t="s">
        <v>2151</v>
      </c>
      <c r="J71" s="1" t="s">
        <v>2152</v>
      </c>
      <c r="K71" s="1" t="s">
        <v>2153</v>
      </c>
      <c r="L71" s="1" t="s">
        <v>2154</v>
      </c>
      <c r="M71" s="1" t="s">
        <v>2155</v>
      </c>
      <c r="N71" s="1" t="s">
        <v>2156</v>
      </c>
      <c r="O71" s="1" t="s">
        <v>2157</v>
      </c>
      <c r="P71" s="1" t="s">
        <v>2158</v>
      </c>
      <c r="Q71" s="1" t="s">
        <v>2159</v>
      </c>
      <c r="R71" s="1" t="s">
        <v>2160</v>
      </c>
      <c r="S71" s="1" t="s">
        <v>2161</v>
      </c>
      <c r="T71" s="1" t="s">
        <v>2162</v>
      </c>
      <c r="U71" s="1" t="s">
        <v>2163</v>
      </c>
      <c r="V71" s="1" t="s">
        <v>2164</v>
      </c>
      <c r="W71" s="1" t="s">
        <v>2165</v>
      </c>
      <c r="X71" s="1" t="s">
        <v>2166</v>
      </c>
      <c r="Y71" s="1" t="s">
        <v>2167</v>
      </c>
      <c r="Z71" s="1" t="s">
        <v>2168</v>
      </c>
      <c r="AA71" s="1" t="s">
        <v>2169</v>
      </c>
      <c r="AB71" s="1" t="s">
        <v>2170</v>
      </c>
      <c r="AC71" s="1" t="s">
        <v>2171</v>
      </c>
    </row>
    <row r="72" spans="1:29" ht="42.75" x14ac:dyDescent="0.45">
      <c r="A72" s="5" t="s">
        <v>66</v>
      </c>
      <c r="B72" s="2">
        <v>4057436</v>
      </c>
      <c r="C72" s="1" t="s">
        <v>2172</v>
      </c>
      <c r="D72" s="1" t="s">
        <v>2173</v>
      </c>
      <c r="E72" s="1" t="s">
        <v>2070</v>
      </c>
      <c r="F72" s="1" t="s">
        <v>2174</v>
      </c>
      <c r="G72" s="1" t="s">
        <v>2175</v>
      </c>
      <c r="H72" s="1" t="s">
        <v>2176</v>
      </c>
      <c r="I72" s="1" t="s">
        <v>2177</v>
      </c>
      <c r="J72" s="1" t="s">
        <v>2178</v>
      </c>
      <c r="K72" s="1" t="s">
        <v>2179</v>
      </c>
      <c r="L72" s="1" t="s">
        <v>2180</v>
      </c>
      <c r="M72" s="1" t="s">
        <v>2181</v>
      </c>
      <c r="N72" s="1" t="s">
        <v>2182</v>
      </c>
      <c r="O72" s="1" t="s">
        <v>1763</v>
      </c>
      <c r="P72" s="1" t="s">
        <v>2183</v>
      </c>
      <c r="Q72" s="1" t="s">
        <v>2184</v>
      </c>
      <c r="R72" s="1" t="s">
        <v>2185</v>
      </c>
      <c r="S72" s="1" t="s">
        <v>2186</v>
      </c>
      <c r="T72" s="1" t="s">
        <v>1764</v>
      </c>
      <c r="U72" s="1" t="s">
        <v>2187</v>
      </c>
      <c r="V72" s="1" t="s">
        <v>846</v>
      </c>
      <c r="W72" s="1" t="s">
        <v>2188</v>
      </c>
      <c r="X72" s="1" t="s">
        <v>2189</v>
      </c>
      <c r="Y72" s="1" t="s">
        <v>2190</v>
      </c>
      <c r="Z72" s="1" t="s">
        <v>2191</v>
      </c>
      <c r="AA72" s="1" t="s">
        <v>2192</v>
      </c>
      <c r="AB72" s="1" t="s">
        <v>2193</v>
      </c>
      <c r="AC72" s="1" t="s">
        <v>2194</v>
      </c>
    </row>
    <row r="73" spans="1:29" ht="71.25" x14ac:dyDescent="0.45">
      <c r="A73" s="5" t="s">
        <v>67</v>
      </c>
      <c r="B73" s="2">
        <v>4102413</v>
      </c>
      <c r="C73" s="1" t="s">
        <v>2195</v>
      </c>
      <c r="D73" s="1" t="s">
        <v>2196</v>
      </c>
      <c r="E73" s="1" t="s">
        <v>1171</v>
      </c>
      <c r="F73" s="1" t="s">
        <v>2197</v>
      </c>
      <c r="G73" s="1" t="s">
        <v>2198</v>
      </c>
      <c r="H73" s="1" t="s">
        <v>2009</v>
      </c>
      <c r="I73" s="1" t="s">
        <v>2199</v>
      </c>
      <c r="J73" s="1" t="s">
        <v>2200</v>
      </c>
      <c r="K73" s="1" t="s">
        <v>2201</v>
      </c>
      <c r="L73" s="1" t="s">
        <v>2202</v>
      </c>
      <c r="M73" s="1" t="s">
        <v>2203</v>
      </c>
      <c r="N73" s="1" t="s">
        <v>796</v>
      </c>
      <c r="O73" s="1" t="s">
        <v>1461</v>
      </c>
      <c r="P73" s="1" t="s">
        <v>2204</v>
      </c>
      <c r="Q73" s="1" t="s">
        <v>2205</v>
      </c>
      <c r="R73" s="1" t="s">
        <v>2206</v>
      </c>
      <c r="S73" s="1" t="s">
        <v>2207</v>
      </c>
      <c r="T73" s="1" t="s">
        <v>2208</v>
      </c>
      <c r="U73" s="1" t="s">
        <v>2209</v>
      </c>
      <c r="V73" s="1" t="s">
        <v>2210</v>
      </c>
      <c r="W73" s="1" t="s">
        <v>2211</v>
      </c>
      <c r="X73" s="1" t="s">
        <v>2212</v>
      </c>
      <c r="Y73" s="1" t="s">
        <v>2213</v>
      </c>
      <c r="Z73" s="1" t="s">
        <v>2214</v>
      </c>
      <c r="AA73" s="1" t="s">
        <v>2215</v>
      </c>
      <c r="AB73" s="1" t="s">
        <v>2216</v>
      </c>
      <c r="AC73" s="1" t="s">
        <v>2217</v>
      </c>
    </row>
    <row r="74" spans="1:29" ht="71.25" x14ac:dyDescent="0.45">
      <c r="A74" s="5" t="s">
        <v>68</v>
      </c>
      <c r="B74" s="2">
        <v>4122589</v>
      </c>
      <c r="C74" s="1" t="s">
        <v>2218</v>
      </c>
      <c r="D74" s="1" t="s">
        <v>2219</v>
      </c>
      <c r="E74" s="1" t="s">
        <v>1426</v>
      </c>
      <c r="F74" s="1" t="s">
        <v>2220</v>
      </c>
      <c r="G74" s="1" t="s">
        <v>2221</v>
      </c>
      <c r="H74" s="1" t="s">
        <v>2222</v>
      </c>
      <c r="I74" s="1" t="s">
        <v>2223</v>
      </c>
      <c r="J74" s="1" t="s">
        <v>2224</v>
      </c>
      <c r="K74" s="1" t="s">
        <v>2225</v>
      </c>
      <c r="L74" s="1" t="s">
        <v>2226</v>
      </c>
      <c r="M74" s="1" t="s">
        <v>2227</v>
      </c>
      <c r="N74" s="1" t="s">
        <v>2228</v>
      </c>
      <c r="O74" s="1" t="s">
        <v>2229</v>
      </c>
      <c r="P74" s="1" t="s">
        <v>2230</v>
      </c>
      <c r="Q74" s="1" t="s">
        <v>2231</v>
      </c>
      <c r="R74" s="1" t="s">
        <v>2232</v>
      </c>
      <c r="S74" s="1" t="s">
        <v>2233</v>
      </c>
      <c r="T74" s="1" t="s">
        <v>2234</v>
      </c>
      <c r="U74" s="1" t="s">
        <v>2235</v>
      </c>
      <c r="V74" s="1" t="s">
        <v>2236</v>
      </c>
      <c r="W74" s="1" t="s">
        <v>2237</v>
      </c>
      <c r="X74" s="1" t="s">
        <v>2238</v>
      </c>
      <c r="Y74" s="1" t="s">
        <v>2239</v>
      </c>
      <c r="Z74" s="1" t="s">
        <v>2240</v>
      </c>
      <c r="AA74" s="1" t="s">
        <v>2241</v>
      </c>
      <c r="AB74" s="1" t="s">
        <v>2242</v>
      </c>
      <c r="AC74" s="1" t="s">
        <v>2243</v>
      </c>
    </row>
    <row r="75" spans="1:29" ht="57" x14ac:dyDescent="0.45">
      <c r="A75" s="5" t="s">
        <v>69</v>
      </c>
      <c r="B75" s="2">
        <v>4069910</v>
      </c>
      <c r="C75" s="1" t="s">
        <v>2244</v>
      </c>
      <c r="D75" s="1" t="s">
        <v>2245</v>
      </c>
      <c r="E75" s="1" t="s">
        <v>1223</v>
      </c>
      <c r="F75" s="1" t="s">
        <v>2246</v>
      </c>
      <c r="G75" s="1" t="s">
        <v>2247</v>
      </c>
      <c r="H75" s="1" t="s">
        <v>2248</v>
      </c>
      <c r="I75" s="1" t="s">
        <v>2249</v>
      </c>
      <c r="J75" s="1" t="s">
        <v>2250</v>
      </c>
      <c r="K75" s="1" t="s">
        <v>2251</v>
      </c>
      <c r="L75" s="1" t="s">
        <v>2252</v>
      </c>
      <c r="M75" s="1" t="s">
        <v>2253</v>
      </c>
      <c r="N75" s="1" t="s">
        <v>2254</v>
      </c>
      <c r="O75" s="1" t="s">
        <v>2255</v>
      </c>
      <c r="P75" s="1" t="s">
        <v>2256</v>
      </c>
      <c r="Q75" s="1" t="s">
        <v>2257</v>
      </c>
      <c r="R75" s="1" t="s">
        <v>2258</v>
      </c>
      <c r="S75" s="1" t="s">
        <v>2259</v>
      </c>
      <c r="T75" s="1" t="s">
        <v>2260</v>
      </c>
      <c r="U75" s="1" t="s">
        <v>2261</v>
      </c>
      <c r="V75" s="1" t="s">
        <v>2262</v>
      </c>
      <c r="W75" s="1" t="s">
        <v>2263</v>
      </c>
      <c r="X75" s="1" t="s">
        <v>2264</v>
      </c>
      <c r="Y75" s="1" t="s">
        <v>2265</v>
      </c>
      <c r="Z75" s="1" t="s">
        <v>2266</v>
      </c>
      <c r="AA75" s="1" t="s">
        <v>2267</v>
      </c>
      <c r="AB75" s="1" t="s">
        <v>2268</v>
      </c>
      <c r="AC75" s="1" t="s">
        <v>2269</v>
      </c>
    </row>
    <row r="76" spans="1:29" ht="42.75" x14ac:dyDescent="0.45">
      <c r="A76" s="5" t="s">
        <v>70</v>
      </c>
      <c r="B76" s="2">
        <v>4391244</v>
      </c>
      <c r="C76" s="1" t="s">
        <v>2270</v>
      </c>
      <c r="D76" s="1" t="s">
        <v>2271</v>
      </c>
      <c r="E76" s="1" t="s">
        <v>487</v>
      </c>
      <c r="F76" s="1" t="s">
        <v>2272</v>
      </c>
      <c r="G76" s="1" t="s">
        <v>2273</v>
      </c>
      <c r="H76" s="1" t="s">
        <v>2274</v>
      </c>
      <c r="I76" s="1" t="s">
        <v>2275</v>
      </c>
      <c r="J76" s="1" t="s">
        <v>2276</v>
      </c>
      <c r="K76" s="1" t="s">
        <v>2277</v>
      </c>
      <c r="L76" s="1" t="s">
        <v>2278</v>
      </c>
      <c r="M76" s="1" t="s">
        <v>2279</v>
      </c>
      <c r="N76" s="1" t="s">
        <v>2280</v>
      </c>
      <c r="O76" s="1" t="s">
        <v>2281</v>
      </c>
      <c r="P76" s="1" t="s">
        <v>2282</v>
      </c>
      <c r="Q76" s="1" t="s">
        <v>2283</v>
      </c>
      <c r="R76" s="1" t="s">
        <v>2284</v>
      </c>
      <c r="S76" s="1" t="s">
        <v>2285</v>
      </c>
      <c r="T76" s="1" t="s">
        <v>2286</v>
      </c>
      <c r="U76" s="1" t="s">
        <v>2287</v>
      </c>
      <c r="V76" s="1" t="s">
        <v>2288</v>
      </c>
      <c r="W76" s="1" t="s">
        <v>2289</v>
      </c>
      <c r="X76" s="1" t="s">
        <v>2290</v>
      </c>
      <c r="Y76" s="1" t="s">
        <v>2291</v>
      </c>
      <c r="Z76" s="1" t="s">
        <v>2292</v>
      </c>
      <c r="AA76" s="1" t="s">
        <v>2293</v>
      </c>
      <c r="AB76" s="1" t="s">
        <v>2294</v>
      </c>
      <c r="AC76" s="1" t="s">
        <v>2295</v>
      </c>
    </row>
    <row r="77" spans="1:29" ht="71.25" x14ac:dyDescent="0.45">
      <c r="A77" s="5" t="s">
        <v>71</v>
      </c>
      <c r="B77" s="2">
        <v>4913043</v>
      </c>
      <c r="C77" s="1" t="s">
        <v>2296</v>
      </c>
      <c r="D77" s="1" t="s">
        <v>2297</v>
      </c>
      <c r="E77" s="1" t="s">
        <v>2298</v>
      </c>
      <c r="F77" s="1" t="s">
        <v>2299</v>
      </c>
      <c r="G77" s="1" t="s">
        <v>2300</v>
      </c>
      <c r="H77" s="1" t="s">
        <v>2301</v>
      </c>
      <c r="I77" s="1" t="s">
        <v>2302</v>
      </c>
      <c r="J77" s="1" t="s">
        <v>2303</v>
      </c>
      <c r="K77" s="1" t="s">
        <v>2304</v>
      </c>
      <c r="L77" s="1" t="s">
        <v>2305</v>
      </c>
      <c r="M77" s="1" t="s">
        <v>2306</v>
      </c>
      <c r="N77" s="1" t="s">
        <v>2307</v>
      </c>
      <c r="O77" s="1" t="s">
        <v>2308</v>
      </c>
      <c r="P77" s="1" t="s">
        <v>2309</v>
      </c>
      <c r="Q77" s="1" t="s">
        <v>2310</v>
      </c>
      <c r="R77" s="1" t="s">
        <v>2311</v>
      </c>
      <c r="S77" s="1" t="s">
        <v>2312</v>
      </c>
      <c r="T77" s="1" t="s">
        <v>974</v>
      </c>
      <c r="U77" s="1" t="s">
        <v>2313</v>
      </c>
      <c r="V77" s="1" t="s">
        <v>1576</v>
      </c>
      <c r="W77" s="1" t="s">
        <v>1511</v>
      </c>
      <c r="X77" s="1" t="s">
        <v>2314</v>
      </c>
      <c r="Y77" s="1" t="s">
        <v>1411</v>
      </c>
      <c r="Z77" s="1" t="s">
        <v>2315</v>
      </c>
      <c r="AA77" s="1" t="s">
        <v>2316</v>
      </c>
      <c r="AB77" s="1" t="s">
        <v>2317</v>
      </c>
      <c r="AC77" s="1" t="s">
        <v>2318</v>
      </c>
    </row>
    <row r="78" spans="1:29" ht="71.25" x14ac:dyDescent="0.45">
      <c r="A78" s="5" t="s">
        <v>72</v>
      </c>
      <c r="B78" s="2">
        <v>4133530</v>
      </c>
      <c r="C78" s="1" t="s">
        <v>2319</v>
      </c>
      <c r="D78" s="1" t="s">
        <v>2320</v>
      </c>
      <c r="E78" s="1" t="s">
        <v>2321</v>
      </c>
      <c r="F78" s="1" t="s">
        <v>2322</v>
      </c>
      <c r="G78" s="1" t="s">
        <v>2323</v>
      </c>
      <c r="H78" s="1" t="s">
        <v>2324</v>
      </c>
      <c r="I78" s="1" t="s">
        <v>1128</v>
      </c>
      <c r="J78" s="1" t="s">
        <v>2325</v>
      </c>
      <c r="K78" s="1" t="s">
        <v>2326</v>
      </c>
      <c r="L78" s="1" t="s">
        <v>2179</v>
      </c>
      <c r="M78" s="1" t="s">
        <v>2327</v>
      </c>
      <c r="N78" s="1" t="s">
        <v>2328</v>
      </c>
      <c r="O78" s="1" t="s">
        <v>2329</v>
      </c>
      <c r="P78" s="1" t="s">
        <v>2330</v>
      </c>
      <c r="Q78" s="1" t="s">
        <v>2331</v>
      </c>
      <c r="R78" s="1" t="s">
        <v>2332</v>
      </c>
      <c r="S78" s="1" t="s">
        <v>2333</v>
      </c>
      <c r="T78" s="1" t="s">
        <v>2334</v>
      </c>
      <c r="U78" s="1" t="s">
        <v>2335</v>
      </c>
      <c r="V78" s="1" t="s">
        <v>2336</v>
      </c>
      <c r="W78" s="1" t="s">
        <v>2337</v>
      </c>
      <c r="X78" s="1" t="s">
        <v>1133</v>
      </c>
      <c r="Y78" s="1" t="s">
        <v>1392</v>
      </c>
      <c r="Z78" s="1" t="s">
        <v>2338</v>
      </c>
      <c r="AA78" s="1" t="s">
        <v>2339</v>
      </c>
      <c r="AB78" s="1" t="s">
        <v>2340</v>
      </c>
      <c r="AC78" s="1" t="s">
        <v>2341</v>
      </c>
    </row>
    <row r="79" spans="1:29" ht="57" x14ac:dyDescent="0.45">
      <c r="A79" s="5" t="s">
        <v>73</v>
      </c>
      <c r="B79" s="2">
        <v>4097102</v>
      </c>
      <c r="C79" s="1" t="s">
        <v>2342</v>
      </c>
      <c r="D79" s="1" t="s">
        <v>2343</v>
      </c>
      <c r="E79" s="1" t="s">
        <v>2046</v>
      </c>
      <c r="F79" s="1" t="s">
        <v>2344</v>
      </c>
      <c r="G79" s="1" t="s">
        <v>2345</v>
      </c>
      <c r="H79" s="1" t="s">
        <v>2346</v>
      </c>
      <c r="I79" s="1" t="s">
        <v>2347</v>
      </c>
      <c r="J79" s="1" t="s">
        <v>2348</v>
      </c>
      <c r="K79" s="1" t="s">
        <v>2349</v>
      </c>
      <c r="L79" s="1" t="s">
        <v>2350</v>
      </c>
      <c r="M79" s="1" t="s">
        <v>2351</v>
      </c>
      <c r="N79" s="1" t="s">
        <v>2352</v>
      </c>
      <c r="O79" s="1" t="s">
        <v>1561</v>
      </c>
      <c r="P79" s="1" t="s">
        <v>850</v>
      </c>
      <c r="Q79" s="1" t="s">
        <v>2353</v>
      </c>
      <c r="R79" s="1" t="s">
        <v>2354</v>
      </c>
      <c r="S79" s="1" t="s">
        <v>854</v>
      </c>
      <c r="T79" s="1" t="s">
        <v>1141</v>
      </c>
      <c r="U79" s="1" t="s">
        <v>2355</v>
      </c>
      <c r="V79" s="1" t="s">
        <v>2356</v>
      </c>
      <c r="W79" s="1" t="s">
        <v>2357</v>
      </c>
      <c r="X79" s="1" t="s">
        <v>2358</v>
      </c>
      <c r="Y79" s="1" t="s">
        <v>2359</v>
      </c>
      <c r="Z79" s="1" t="s">
        <v>2360</v>
      </c>
      <c r="AA79" s="1" t="s">
        <v>2361</v>
      </c>
      <c r="AB79" s="1" t="s">
        <v>2362</v>
      </c>
      <c r="AC79" s="1" t="s">
        <v>2192</v>
      </c>
    </row>
    <row r="80" spans="1:29" ht="57" x14ac:dyDescent="0.45">
      <c r="A80" s="5" t="s">
        <v>74</v>
      </c>
      <c r="B80" s="2">
        <v>4157135</v>
      </c>
      <c r="C80" s="1" t="s">
        <v>2363</v>
      </c>
      <c r="D80" s="1" t="s">
        <v>2364</v>
      </c>
      <c r="E80" s="1" t="s">
        <v>2365</v>
      </c>
      <c r="F80" s="1" t="s">
        <v>2366</v>
      </c>
      <c r="G80" s="1" t="s">
        <v>2367</v>
      </c>
      <c r="H80" s="1" t="s">
        <v>1642</v>
      </c>
      <c r="I80" s="1" t="s">
        <v>2368</v>
      </c>
      <c r="J80" s="1" t="s">
        <v>2369</v>
      </c>
      <c r="K80" s="1" t="s">
        <v>2370</v>
      </c>
      <c r="L80" s="1" t="s">
        <v>2371</v>
      </c>
      <c r="M80" s="1" t="s">
        <v>2372</v>
      </c>
      <c r="N80" s="1" t="s">
        <v>2373</v>
      </c>
      <c r="O80" s="1" t="s">
        <v>2374</v>
      </c>
      <c r="P80" s="1" t="s">
        <v>2375</v>
      </c>
      <c r="Q80" s="1" t="s">
        <v>536</v>
      </c>
      <c r="R80" s="1" t="s">
        <v>2376</v>
      </c>
      <c r="S80" s="1" t="s">
        <v>2377</v>
      </c>
      <c r="T80" s="1" t="s">
        <v>2378</v>
      </c>
      <c r="U80" s="1" t="s">
        <v>2379</v>
      </c>
      <c r="V80" s="1" t="s">
        <v>2380</v>
      </c>
      <c r="W80" s="1" t="s">
        <v>2381</v>
      </c>
      <c r="X80" s="1" t="s">
        <v>2382</v>
      </c>
      <c r="Y80" s="1" t="s">
        <v>2383</v>
      </c>
      <c r="Z80" s="1" t="s">
        <v>2384</v>
      </c>
      <c r="AA80" s="1" t="s">
        <v>2385</v>
      </c>
      <c r="AB80" s="1" t="s">
        <v>2386</v>
      </c>
      <c r="AC80" s="1" t="s">
        <v>2387</v>
      </c>
    </row>
    <row r="81" spans="1:29" ht="57" x14ac:dyDescent="0.45">
      <c r="A81" s="5" t="s">
        <v>75</v>
      </c>
      <c r="B81" s="2">
        <v>4100183</v>
      </c>
      <c r="C81" s="1" t="s">
        <v>2388</v>
      </c>
      <c r="D81" s="1" t="s">
        <v>2389</v>
      </c>
      <c r="E81" s="1" t="s">
        <v>2390</v>
      </c>
      <c r="F81" s="1" t="s">
        <v>1420</v>
      </c>
      <c r="G81" s="1" t="s">
        <v>1583</v>
      </c>
      <c r="H81" s="1" t="s">
        <v>2391</v>
      </c>
      <c r="I81" s="1" t="s">
        <v>2392</v>
      </c>
      <c r="J81" s="1" t="s">
        <v>1053</v>
      </c>
      <c r="K81" s="1" t="s">
        <v>2393</v>
      </c>
      <c r="L81" s="1" t="s">
        <v>2394</v>
      </c>
      <c r="M81" s="1" t="s">
        <v>2395</v>
      </c>
      <c r="N81" s="1" t="s">
        <v>2396</v>
      </c>
      <c r="O81" s="1" t="s">
        <v>2397</v>
      </c>
      <c r="P81" s="1" t="s">
        <v>2398</v>
      </c>
      <c r="Q81" s="1" t="s">
        <v>2399</v>
      </c>
      <c r="R81" s="1" t="s">
        <v>790</v>
      </c>
      <c r="S81" s="1" t="s">
        <v>2400</v>
      </c>
      <c r="T81" s="1" t="s">
        <v>2401</v>
      </c>
      <c r="U81" s="1" t="s">
        <v>2402</v>
      </c>
      <c r="V81" s="1" t="s">
        <v>2403</v>
      </c>
      <c r="W81" s="1" t="s">
        <v>1582</v>
      </c>
      <c r="X81" s="1" t="s">
        <v>2404</v>
      </c>
      <c r="Y81" s="1" t="s">
        <v>2405</v>
      </c>
      <c r="Z81" s="1" t="s">
        <v>2406</v>
      </c>
      <c r="AA81" s="1" t="s">
        <v>2407</v>
      </c>
      <c r="AB81" s="1" t="s">
        <v>2408</v>
      </c>
      <c r="AC81" s="1" t="s">
        <v>2409</v>
      </c>
    </row>
    <row r="82" spans="1:29" ht="71.25" x14ac:dyDescent="0.45">
      <c r="A82" s="5" t="s">
        <v>76</v>
      </c>
      <c r="B82" s="2">
        <v>4142027</v>
      </c>
      <c r="C82" s="1" t="s">
        <v>2410</v>
      </c>
      <c r="D82" s="1" t="s">
        <v>2411</v>
      </c>
      <c r="E82" s="1" t="s">
        <v>1223</v>
      </c>
      <c r="F82" s="1" t="s">
        <v>2190</v>
      </c>
      <c r="G82" s="1" t="s">
        <v>2412</v>
      </c>
      <c r="H82" s="1" t="s">
        <v>2413</v>
      </c>
      <c r="I82" s="1" t="s">
        <v>1392</v>
      </c>
      <c r="J82" s="1" t="s">
        <v>2414</v>
      </c>
      <c r="K82" s="1" t="s">
        <v>2341</v>
      </c>
      <c r="L82" s="1" t="s">
        <v>2415</v>
      </c>
      <c r="M82" s="1" t="s">
        <v>2416</v>
      </c>
      <c r="N82" s="1" t="s">
        <v>2417</v>
      </c>
      <c r="O82" s="1" t="s">
        <v>1138</v>
      </c>
      <c r="P82" s="1" t="s">
        <v>1119</v>
      </c>
      <c r="Q82" s="1" t="s">
        <v>2418</v>
      </c>
      <c r="R82" s="1" t="s">
        <v>2419</v>
      </c>
      <c r="S82" s="1" t="s">
        <v>2420</v>
      </c>
      <c r="T82" s="1" t="s">
        <v>2421</v>
      </c>
      <c r="U82" s="1" t="s">
        <v>2422</v>
      </c>
      <c r="V82" s="1" t="s">
        <v>2423</v>
      </c>
      <c r="W82" s="1" t="s">
        <v>2424</v>
      </c>
      <c r="X82" s="1" t="s">
        <v>2425</v>
      </c>
      <c r="Y82" s="1" t="s">
        <v>2426</v>
      </c>
      <c r="Z82" s="1" t="s">
        <v>2427</v>
      </c>
      <c r="AA82" s="1" t="s">
        <v>855</v>
      </c>
      <c r="AB82" s="1" t="s">
        <v>2428</v>
      </c>
      <c r="AC82" s="1" t="s">
        <v>1207</v>
      </c>
    </row>
    <row r="83" spans="1:29" ht="57" x14ac:dyDescent="0.45">
      <c r="A83" s="5" t="s">
        <v>77</v>
      </c>
      <c r="B83" s="2">
        <v>4252151</v>
      </c>
      <c r="C83" s="1" t="s">
        <v>2429</v>
      </c>
      <c r="D83" s="1" t="s">
        <v>2430</v>
      </c>
      <c r="E83" s="1" t="s">
        <v>2431</v>
      </c>
      <c r="F83" s="1" t="s">
        <v>2432</v>
      </c>
      <c r="G83" s="1" t="s">
        <v>2433</v>
      </c>
      <c r="H83" s="1" t="s">
        <v>2434</v>
      </c>
      <c r="I83" s="1" t="s">
        <v>2435</v>
      </c>
      <c r="J83" s="1" t="s">
        <v>2436</v>
      </c>
      <c r="K83" s="1" t="s">
        <v>1391</v>
      </c>
      <c r="L83" s="1" t="s">
        <v>2437</v>
      </c>
      <c r="M83" s="1" t="s">
        <v>2438</v>
      </c>
      <c r="N83" s="1" t="s">
        <v>2439</v>
      </c>
      <c r="O83" s="1" t="s">
        <v>2440</v>
      </c>
      <c r="P83" s="1" t="s">
        <v>2441</v>
      </c>
      <c r="Q83" s="1" t="s">
        <v>2442</v>
      </c>
      <c r="R83" s="1" t="s">
        <v>2443</v>
      </c>
      <c r="S83" s="1" t="s">
        <v>2444</v>
      </c>
      <c r="T83" s="1" t="s">
        <v>2445</v>
      </c>
      <c r="U83" s="1" t="s">
        <v>2446</v>
      </c>
      <c r="V83" s="1" t="s">
        <v>2447</v>
      </c>
      <c r="W83" s="1" t="s">
        <v>2448</v>
      </c>
      <c r="X83" s="1" t="s">
        <v>2449</v>
      </c>
      <c r="Y83" s="1" t="s">
        <v>2450</v>
      </c>
      <c r="Z83" s="1" t="s">
        <v>2451</v>
      </c>
      <c r="AA83" s="1" t="s">
        <v>2452</v>
      </c>
      <c r="AB83" s="1" t="s">
        <v>2453</v>
      </c>
      <c r="AC83" s="1" t="s">
        <v>2454</v>
      </c>
    </row>
    <row r="84" spans="1:29" ht="71.25" x14ac:dyDescent="0.45">
      <c r="A84" s="5" t="s">
        <v>78</v>
      </c>
      <c r="B84" s="2">
        <v>4094029</v>
      </c>
      <c r="C84" s="1" t="s">
        <v>2455</v>
      </c>
      <c r="D84" s="1" t="s">
        <v>2456</v>
      </c>
      <c r="E84" s="1" t="s">
        <v>2457</v>
      </c>
      <c r="F84" s="1" t="s">
        <v>2458</v>
      </c>
      <c r="G84" s="1" t="s">
        <v>2459</v>
      </c>
      <c r="H84" s="1" t="s">
        <v>2460</v>
      </c>
      <c r="I84" s="1" t="s">
        <v>2461</v>
      </c>
      <c r="J84" s="1" t="s">
        <v>2462</v>
      </c>
      <c r="K84" s="1" t="s">
        <v>2463</v>
      </c>
      <c r="L84" s="1" t="s">
        <v>2464</v>
      </c>
      <c r="M84" s="1" t="s">
        <v>2465</v>
      </c>
      <c r="N84" s="1" t="s">
        <v>2466</v>
      </c>
      <c r="O84" s="1" t="s">
        <v>2467</v>
      </c>
      <c r="P84" s="1" t="s">
        <v>2468</v>
      </c>
      <c r="Q84" s="1" t="s">
        <v>2469</v>
      </c>
      <c r="R84" s="1" t="s">
        <v>2470</v>
      </c>
      <c r="S84" s="1" t="s">
        <v>2471</v>
      </c>
      <c r="T84" s="1" t="s">
        <v>2472</v>
      </c>
      <c r="U84" s="1" t="s">
        <v>2473</v>
      </c>
      <c r="V84" s="1" t="s">
        <v>2474</v>
      </c>
      <c r="W84" s="1" t="s">
        <v>2475</v>
      </c>
      <c r="X84" s="1" t="s">
        <v>2476</v>
      </c>
      <c r="Y84" s="1" t="s">
        <v>2477</v>
      </c>
      <c r="Z84" s="1" t="s">
        <v>2478</v>
      </c>
      <c r="AA84" s="1" t="s">
        <v>2479</v>
      </c>
      <c r="AB84" s="1" t="s">
        <v>2480</v>
      </c>
      <c r="AC84" s="1" t="s">
        <v>2481</v>
      </c>
    </row>
    <row r="85" spans="1:29" ht="71.25" x14ac:dyDescent="0.45">
      <c r="A85" s="5" t="s">
        <v>79</v>
      </c>
      <c r="B85" s="2">
        <v>4410647</v>
      </c>
      <c r="C85" s="1" t="s">
        <v>2482</v>
      </c>
      <c r="D85" s="1" t="s">
        <v>2483</v>
      </c>
      <c r="E85" s="1" t="s">
        <v>940</v>
      </c>
      <c r="F85" s="1" t="s">
        <v>2484</v>
      </c>
      <c r="G85" s="1" t="s">
        <v>2485</v>
      </c>
      <c r="H85" s="1" t="s">
        <v>653</v>
      </c>
      <c r="I85" s="1" t="s">
        <v>2486</v>
      </c>
      <c r="J85" s="1" t="s">
        <v>2487</v>
      </c>
      <c r="K85" s="1" t="s">
        <v>2488</v>
      </c>
      <c r="L85" s="1" t="s">
        <v>651</v>
      </c>
      <c r="M85" s="1" t="s">
        <v>2489</v>
      </c>
      <c r="N85" s="1" t="s">
        <v>2490</v>
      </c>
      <c r="O85" s="1" t="s">
        <v>2491</v>
      </c>
      <c r="P85" s="1" t="s">
        <v>2492</v>
      </c>
      <c r="Q85" s="1" t="s">
        <v>2493</v>
      </c>
      <c r="R85" s="1" t="s">
        <v>2494</v>
      </c>
      <c r="S85" s="1" t="s">
        <v>2495</v>
      </c>
      <c r="T85" s="1" t="s">
        <v>2496</v>
      </c>
      <c r="U85" s="1" t="s">
        <v>2497</v>
      </c>
      <c r="V85" s="1" t="s">
        <v>2498</v>
      </c>
      <c r="W85" s="1" t="s">
        <v>2499</v>
      </c>
      <c r="X85" s="1" t="s">
        <v>2500</v>
      </c>
      <c r="Y85" s="1" t="s">
        <v>2501</v>
      </c>
      <c r="Z85" s="1" t="s">
        <v>2502</v>
      </c>
      <c r="AA85" s="1" t="s">
        <v>2503</v>
      </c>
      <c r="AB85" s="1" t="s">
        <v>2504</v>
      </c>
      <c r="AC85" s="1" t="s">
        <v>2505</v>
      </c>
    </row>
    <row r="86" spans="1:29" ht="57" x14ac:dyDescent="0.45">
      <c r="A86" s="5" t="s">
        <v>80</v>
      </c>
      <c r="B86" s="2">
        <v>4004341</v>
      </c>
      <c r="C86" s="1" t="s">
        <v>2506</v>
      </c>
      <c r="D86" s="1" t="s">
        <v>2507</v>
      </c>
      <c r="E86" s="1" t="s">
        <v>1522</v>
      </c>
      <c r="F86" s="1" t="s">
        <v>2508</v>
      </c>
      <c r="G86" s="1" t="s">
        <v>2509</v>
      </c>
      <c r="H86" s="1" t="s">
        <v>2510</v>
      </c>
      <c r="I86" s="1" t="s">
        <v>2511</v>
      </c>
      <c r="J86" s="1" t="s">
        <v>2512</v>
      </c>
      <c r="K86" s="1" t="s">
        <v>2513</v>
      </c>
      <c r="L86" s="1" t="s">
        <v>2514</v>
      </c>
      <c r="M86" s="1" t="s">
        <v>2515</v>
      </c>
      <c r="N86" s="1" t="s">
        <v>2516</v>
      </c>
      <c r="O86" s="1" t="s">
        <v>2403</v>
      </c>
      <c r="P86" s="1" t="s">
        <v>2517</v>
      </c>
      <c r="Q86" s="1" t="s">
        <v>2518</v>
      </c>
      <c r="R86" s="1" t="s">
        <v>2519</v>
      </c>
      <c r="S86" s="1" t="s">
        <v>2520</v>
      </c>
      <c r="T86" s="1" t="s">
        <v>2521</v>
      </c>
      <c r="U86" s="1" t="s">
        <v>2522</v>
      </c>
      <c r="V86" s="1" t="s">
        <v>2523</v>
      </c>
      <c r="W86" s="1" t="s">
        <v>2524</v>
      </c>
      <c r="X86" s="1" t="s">
        <v>2525</v>
      </c>
      <c r="Y86" s="1" t="s">
        <v>2526</v>
      </c>
      <c r="Z86" s="1" t="s">
        <v>2527</v>
      </c>
      <c r="AA86" s="1" t="s">
        <v>2528</v>
      </c>
      <c r="AB86" s="1" t="s">
        <v>2529</v>
      </c>
      <c r="AC86" s="1" t="s">
        <v>2530</v>
      </c>
    </row>
    <row r="87" spans="1:29" ht="71.25" x14ac:dyDescent="0.45">
      <c r="A87" s="5" t="s">
        <v>81</v>
      </c>
      <c r="B87" s="2">
        <v>4071818</v>
      </c>
      <c r="C87" s="1" t="s">
        <v>2531</v>
      </c>
      <c r="D87" s="1" t="s">
        <v>2532</v>
      </c>
      <c r="E87" s="1" t="s">
        <v>2533</v>
      </c>
      <c r="F87" s="1" t="s">
        <v>2534</v>
      </c>
      <c r="G87" s="1" t="s">
        <v>2535</v>
      </c>
      <c r="H87" s="1" t="s">
        <v>2536</v>
      </c>
      <c r="I87" s="1" t="s">
        <v>2537</v>
      </c>
      <c r="J87" s="1" t="s">
        <v>2538</v>
      </c>
      <c r="K87" s="1" t="s">
        <v>2539</v>
      </c>
      <c r="L87" s="1" t="s">
        <v>2540</v>
      </c>
      <c r="M87" s="1" t="s">
        <v>2541</v>
      </c>
      <c r="N87" s="1" t="s">
        <v>2542</v>
      </c>
      <c r="O87" s="1" t="s">
        <v>2543</v>
      </c>
      <c r="P87" s="1" t="s">
        <v>2544</v>
      </c>
      <c r="Q87" s="1" t="s">
        <v>2545</v>
      </c>
      <c r="R87" s="1" t="s">
        <v>2546</v>
      </c>
      <c r="S87" s="1" t="s">
        <v>2547</v>
      </c>
      <c r="T87" s="1" t="s">
        <v>2548</v>
      </c>
      <c r="U87" s="1" t="s">
        <v>2549</v>
      </c>
      <c r="V87" s="1" t="s">
        <v>2550</v>
      </c>
      <c r="W87" s="1" t="s">
        <v>2551</v>
      </c>
      <c r="X87" s="1" t="s">
        <v>2552</v>
      </c>
      <c r="Y87" s="1" t="s">
        <v>2553</v>
      </c>
      <c r="Z87" s="1" t="s">
        <v>2554</v>
      </c>
      <c r="AA87" s="1" t="s">
        <v>2555</v>
      </c>
      <c r="AB87" s="1" t="s">
        <v>2556</v>
      </c>
      <c r="AC87" s="1" t="s">
        <v>2557</v>
      </c>
    </row>
    <row r="88" spans="1:29" ht="57" x14ac:dyDescent="0.45">
      <c r="A88" s="5" t="s">
        <v>82</v>
      </c>
      <c r="B88" s="2">
        <v>103336</v>
      </c>
      <c r="C88" s="1" t="s">
        <v>2558</v>
      </c>
      <c r="D88" s="1" t="s">
        <v>2559</v>
      </c>
      <c r="E88" s="1" t="s">
        <v>1250</v>
      </c>
      <c r="F88" s="1" t="s">
        <v>2560</v>
      </c>
      <c r="G88" s="1" t="s">
        <v>2561</v>
      </c>
      <c r="H88" s="1" t="s">
        <v>2562</v>
      </c>
      <c r="I88" s="1" t="s">
        <v>2563</v>
      </c>
      <c r="J88" s="1" t="s">
        <v>2564</v>
      </c>
      <c r="K88" s="1" t="s">
        <v>2565</v>
      </c>
      <c r="L88" s="1" t="s">
        <v>1878</v>
      </c>
      <c r="M88" s="1" t="s">
        <v>2566</v>
      </c>
      <c r="N88" s="1" t="s">
        <v>2567</v>
      </c>
      <c r="O88" s="1" t="s">
        <v>2568</v>
      </c>
      <c r="P88" s="1" t="s">
        <v>2569</v>
      </c>
      <c r="Q88" s="1" t="s">
        <v>2570</v>
      </c>
      <c r="R88" s="1" t="s">
        <v>2571</v>
      </c>
      <c r="S88" s="1" t="s">
        <v>2572</v>
      </c>
      <c r="T88" s="1" t="s">
        <v>2573</v>
      </c>
      <c r="U88" s="1" t="s">
        <v>1751</v>
      </c>
      <c r="V88" s="1" t="s">
        <v>2574</v>
      </c>
      <c r="W88" s="1" t="s">
        <v>2571</v>
      </c>
      <c r="X88" s="1" t="s">
        <v>1882</v>
      </c>
      <c r="Y88" s="1" t="s">
        <v>2575</v>
      </c>
      <c r="Z88" s="1" t="s">
        <v>2576</v>
      </c>
      <c r="AA88" s="1" t="s">
        <v>2577</v>
      </c>
      <c r="AB88" s="1" t="s">
        <v>1755</v>
      </c>
      <c r="AC88" s="1" t="s">
        <v>2578</v>
      </c>
    </row>
    <row r="89" spans="1:29" ht="57" x14ac:dyDescent="0.45">
      <c r="A89" s="5" t="s">
        <v>83</v>
      </c>
      <c r="B89" s="2">
        <v>103316</v>
      </c>
      <c r="C89" s="1" t="s">
        <v>2579</v>
      </c>
      <c r="D89" s="1" t="s">
        <v>2580</v>
      </c>
      <c r="E89" s="1" t="s">
        <v>1324</v>
      </c>
      <c r="F89" s="1" t="s">
        <v>1356</v>
      </c>
      <c r="G89" s="1" t="s">
        <v>2581</v>
      </c>
      <c r="H89" s="1" t="s">
        <v>2582</v>
      </c>
      <c r="I89" s="1" t="s">
        <v>2583</v>
      </c>
      <c r="J89" s="1" t="s">
        <v>2584</v>
      </c>
      <c r="K89" s="1" t="s">
        <v>2585</v>
      </c>
      <c r="L89" s="1" t="s">
        <v>2586</v>
      </c>
      <c r="M89" s="1" t="s">
        <v>2587</v>
      </c>
      <c r="N89" s="1" t="s">
        <v>2588</v>
      </c>
      <c r="O89" s="1" t="s">
        <v>1483</v>
      </c>
      <c r="P89" s="1" t="s">
        <v>2589</v>
      </c>
      <c r="Q89" s="1" t="s">
        <v>2590</v>
      </c>
      <c r="R89" s="1" t="s">
        <v>2591</v>
      </c>
      <c r="S89" s="1" t="s">
        <v>2592</v>
      </c>
      <c r="T89" s="1" t="s">
        <v>576</v>
      </c>
      <c r="U89" s="1" t="s">
        <v>2593</v>
      </c>
      <c r="V89" s="1" t="s">
        <v>2594</v>
      </c>
      <c r="W89" s="1" t="s">
        <v>2595</v>
      </c>
      <c r="X89" s="1" t="s">
        <v>2596</v>
      </c>
      <c r="Y89" s="1" t="s">
        <v>2597</v>
      </c>
      <c r="Z89" s="1" t="s">
        <v>2598</v>
      </c>
      <c r="AA89" s="1" t="s">
        <v>2599</v>
      </c>
      <c r="AB89" s="1" t="s">
        <v>2600</v>
      </c>
      <c r="AC89" s="1" t="s">
        <v>2601</v>
      </c>
    </row>
    <row r="90" spans="1:29" ht="57" x14ac:dyDescent="0.45">
      <c r="A90" s="5" t="s">
        <v>84</v>
      </c>
      <c r="B90" s="2">
        <v>4912995</v>
      </c>
      <c r="C90" s="1" t="s">
        <v>2602</v>
      </c>
      <c r="D90" s="1" t="s">
        <v>2603</v>
      </c>
      <c r="E90" s="1" t="s">
        <v>2604</v>
      </c>
      <c r="F90" s="1" t="s">
        <v>2605</v>
      </c>
      <c r="G90" s="1" t="s">
        <v>2606</v>
      </c>
      <c r="H90" s="1" t="s">
        <v>2607</v>
      </c>
      <c r="I90" s="1" t="s">
        <v>2608</v>
      </c>
      <c r="J90" s="1" t="s">
        <v>1902</v>
      </c>
      <c r="K90" s="1" t="s">
        <v>2609</v>
      </c>
      <c r="L90" s="1" t="s">
        <v>2610</v>
      </c>
      <c r="M90" s="1" t="s">
        <v>2611</v>
      </c>
      <c r="N90" s="1" t="s">
        <v>2612</v>
      </c>
      <c r="O90" s="1" t="s">
        <v>2613</v>
      </c>
      <c r="P90" s="1" t="s">
        <v>2614</v>
      </c>
      <c r="Q90" s="1" t="s">
        <v>2615</v>
      </c>
      <c r="R90" s="1" t="s">
        <v>2616</v>
      </c>
      <c r="S90" s="1" t="s">
        <v>2617</v>
      </c>
      <c r="T90" s="1" t="s">
        <v>510</v>
      </c>
      <c r="U90" s="1" t="s">
        <v>2618</v>
      </c>
      <c r="V90" s="1" t="s">
        <v>2619</v>
      </c>
      <c r="W90" s="1" t="s">
        <v>2620</v>
      </c>
      <c r="X90" s="1" t="s">
        <v>2621</v>
      </c>
      <c r="Y90" s="1" t="s">
        <v>2622</v>
      </c>
      <c r="Z90" s="1" t="s">
        <v>2623</v>
      </c>
      <c r="AA90" s="1" t="s">
        <v>2624</v>
      </c>
      <c r="AB90" s="1" t="s">
        <v>2625</v>
      </c>
      <c r="AC90" s="1" t="s">
        <v>2626</v>
      </c>
    </row>
    <row r="91" spans="1:29" ht="57" x14ac:dyDescent="0.45">
      <c r="A91" s="5" t="s">
        <v>85</v>
      </c>
      <c r="B91" s="2">
        <v>4057180</v>
      </c>
      <c r="C91" s="1" t="s">
        <v>2627</v>
      </c>
      <c r="D91" s="1" t="s">
        <v>2628</v>
      </c>
      <c r="E91" s="1" t="s">
        <v>2629</v>
      </c>
      <c r="F91" s="1" t="s">
        <v>770</v>
      </c>
      <c r="G91" s="1" t="s">
        <v>2630</v>
      </c>
      <c r="H91" s="1" t="s">
        <v>2631</v>
      </c>
      <c r="I91" s="1" t="s">
        <v>2632</v>
      </c>
      <c r="J91" s="1" t="s">
        <v>1381</v>
      </c>
      <c r="K91" s="1" t="s">
        <v>2633</v>
      </c>
      <c r="L91" s="1" t="s">
        <v>2634</v>
      </c>
      <c r="M91" s="1" t="s">
        <v>2287</v>
      </c>
      <c r="N91" s="1" t="s">
        <v>2635</v>
      </c>
      <c r="O91" s="1" t="s">
        <v>2636</v>
      </c>
      <c r="P91" s="1" t="s">
        <v>2637</v>
      </c>
      <c r="Q91" s="1" t="s">
        <v>2638</v>
      </c>
      <c r="R91" s="1" t="s">
        <v>2639</v>
      </c>
      <c r="S91" s="1" t="s">
        <v>2640</v>
      </c>
      <c r="T91" s="1" t="s">
        <v>2641</v>
      </c>
      <c r="U91" s="1" t="s">
        <v>2642</v>
      </c>
      <c r="V91" s="1" t="s">
        <v>2643</v>
      </c>
      <c r="W91" s="1" t="s">
        <v>2644</v>
      </c>
      <c r="X91" s="1" t="s">
        <v>2645</v>
      </c>
      <c r="Y91" s="1" t="s">
        <v>2646</v>
      </c>
      <c r="Z91" s="1" t="s">
        <v>2647</v>
      </c>
      <c r="AA91" s="1" t="s">
        <v>2648</v>
      </c>
      <c r="AB91" s="1" t="s">
        <v>2649</v>
      </c>
      <c r="AC91" s="1" t="s">
        <v>2650</v>
      </c>
    </row>
    <row r="92" spans="1:29" ht="42.75" x14ac:dyDescent="0.45">
      <c r="A92" s="5" t="s">
        <v>86</v>
      </c>
      <c r="B92" s="2">
        <v>4092820</v>
      </c>
      <c r="C92" s="1" t="s">
        <v>2651</v>
      </c>
      <c r="D92" s="1" t="s">
        <v>2652</v>
      </c>
      <c r="E92" s="1" t="s">
        <v>2457</v>
      </c>
      <c r="F92" s="1" t="s">
        <v>2653</v>
      </c>
      <c r="G92" s="1" t="s">
        <v>2654</v>
      </c>
      <c r="H92" s="1" t="s">
        <v>2655</v>
      </c>
      <c r="I92" s="1" t="s">
        <v>2656</v>
      </c>
      <c r="J92" s="1" t="s">
        <v>2657</v>
      </c>
      <c r="K92" s="1" t="s">
        <v>2658</v>
      </c>
      <c r="L92" s="1" t="s">
        <v>2659</v>
      </c>
      <c r="M92" s="1" t="s">
        <v>2660</v>
      </c>
      <c r="N92" s="1" t="s">
        <v>2661</v>
      </c>
      <c r="O92" s="1" t="s">
        <v>2662</v>
      </c>
      <c r="P92" s="1" t="s">
        <v>2663</v>
      </c>
      <c r="Q92" s="1" t="s">
        <v>2664</v>
      </c>
      <c r="R92" s="1" t="s">
        <v>2665</v>
      </c>
      <c r="S92" s="1" t="s">
        <v>2666</v>
      </c>
      <c r="T92" s="1" t="s">
        <v>2667</v>
      </c>
      <c r="U92" s="1" t="s">
        <v>2668</v>
      </c>
      <c r="V92" s="1" t="s">
        <v>2669</v>
      </c>
      <c r="W92" s="1" t="s">
        <v>2670</v>
      </c>
      <c r="X92" s="1" t="s">
        <v>2671</v>
      </c>
      <c r="Y92" s="1" t="s">
        <v>2672</v>
      </c>
      <c r="Z92" s="1" t="s">
        <v>2673</v>
      </c>
      <c r="AA92" s="1" t="s">
        <v>2674</v>
      </c>
      <c r="AB92" s="1" t="s">
        <v>2675</v>
      </c>
      <c r="AC92" s="1" t="s">
        <v>2676</v>
      </c>
    </row>
    <row r="93" spans="1:29" ht="71.25" x14ac:dyDescent="0.45">
      <c r="A93" s="5" t="s">
        <v>87</v>
      </c>
      <c r="B93" s="2">
        <v>4970981</v>
      </c>
      <c r="C93" s="1" t="s">
        <v>2677</v>
      </c>
      <c r="D93" s="1" t="s">
        <v>2678</v>
      </c>
      <c r="E93" s="1" t="s">
        <v>1144</v>
      </c>
      <c r="F93" s="1" t="s">
        <v>2679</v>
      </c>
      <c r="G93" s="1" t="s">
        <v>2680</v>
      </c>
      <c r="H93" s="1" t="s">
        <v>2681</v>
      </c>
      <c r="I93" s="1" t="s">
        <v>2682</v>
      </c>
      <c r="J93" s="1" t="s">
        <v>2683</v>
      </c>
      <c r="K93" s="1" t="s">
        <v>2684</v>
      </c>
      <c r="L93" s="1" t="s">
        <v>2685</v>
      </c>
      <c r="M93" s="1" t="s">
        <v>2686</v>
      </c>
      <c r="N93" s="1" t="s">
        <v>2687</v>
      </c>
      <c r="O93" s="1" t="s">
        <v>2688</v>
      </c>
      <c r="P93" s="1" t="s">
        <v>2689</v>
      </c>
      <c r="Q93" s="1" t="s">
        <v>2690</v>
      </c>
      <c r="R93" s="1" t="s">
        <v>2691</v>
      </c>
      <c r="S93" s="1" t="s">
        <v>2692</v>
      </c>
      <c r="T93" s="1" t="s">
        <v>2693</v>
      </c>
      <c r="U93" s="1" t="s">
        <v>2694</v>
      </c>
      <c r="V93" s="1" t="s">
        <v>2695</v>
      </c>
      <c r="W93" s="1" t="s">
        <v>2696</v>
      </c>
      <c r="X93" s="1" t="s">
        <v>2697</v>
      </c>
      <c r="Y93" s="1" t="s">
        <v>2698</v>
      </c>
      <c r="Z93" s="1" t="s">
        <v>2699</v>
      </c>
      <c r="AA93" s="1" t="s">
        <v>2700</v>
      </c>
      <c r="AB93" s="1" t="s">
        <v>2701</v>
      </c>
      <c r="AC93" s="1" t="s">
        <v>2702</v>
      </c>
    </row>
    <row r="94" spans="1:29" ht="57" x14ac:dyDescent="0.45">
      <c r="A94" s="5" t="s">
        <v>88</v>
      </c>
      <c r="B94" s="2">
        <v>4112718</v>
      </c>
      <c r="C94" s="1" t="s">
        <v>2703</v>
      </c>
      <c r="D94" s="1" t="s">
        <v>2704</v>
      </c>
      <c r="E94" s="1" t="s">
        <v>2365</v>
      </c>
      <c r="F94" s="1" t="s">
        <v>2705</v>
      </c>
      <c r="G94" s="1" t="s">
        <v>2706</v>
      </c>
      <c r="H94" s="1" t="s">
        <v>2707</v>
      </c>
      <c r="I94" s="1" t="s">
        <v>2708</v>
      </c>
      <c r="J94" s="1" t="s">
        <v>2292</v>
      </c>
      <c r="K94" s="1" t="s">
        <v>1831</v>
      </c>
      <c r="L94" s="1" t="s">
        <v>1681</v>
      </c>
      <c r="M94" s="1" t="s">
        <v>2709</v>
      </c>
      <c r="N94" s="1" t="s">
        <v>1664</v>
      </c>
      <c r="O94" s="1" t="s">
        <v>2710</v>
      </c>
      <c r="P94" s="1" t="s">
        <v>2711</v>
      </c>
      <c r="Q94" s="1" t="s">
        <v>2712</v>
      </c>
      <c r="R94" s="1" t="s">
        <v>2713</v>
      </c>
      <c r="S94" s="1" t="s">
        <v>574</v>
      </c>
      <c r="T94" s="1" t="s">
        <v>2085</v>
      </c>
      <c r="U94" s="1" t="s">
        <v>2341</v>
      </c>
      <c r="V94" s="1" t="s">
        <v>2714</v>
      </c>
      <c r="W94" s="1" t="s">
        <v>2715</v>
      </c>
      <c r="X94" s="1" t="s">
        <v>2716</v>
      </c>
      <c r="Y94" s="1" t="s">
        <v>2717</v>
      </c>
      <c r="Z94" s="1" t="s">
        <v>2718</v>
      </c>
      <c r="AA94" s="1" t="s">
        <v>2719</v>
      </c>
      <c r="AB94" s="1" t="s">
        <v>2720</v>
      </c>
      <c r="AC94" s="1" t="s">
        <v>2721</v>
      </c>
    </row>
    <row r="95" spans="1:29" ht="71.25" x14ac:dyDescent="0.45">
      <c r="A95" s="5" t="s">
        <v>89</v>
      </c>
      <c r="B95" s="2">
        <v>4391531</v>
      </c>
      <c r="C95" s="1" t="s">
        <v>2722</v>
      </c>
      <c r="D95" s="1" t="s">
        <v>2723</v>
      </c>
      <c r="E95" s="1" t="s">
        <v>2724</v>
      </c>
      <c r="F95" s="1" t="s">
        <v>2725</v>
      </c>
      <c r="G95" s="1" t="s">
        <v>2726</v>
      </c>
      <c r="H95" s="1" t="s">
        <v>2727</v>
      </c>
      <c r="I95" s="1" t="s">
        <v>2728</v>
      </c>
      <c r="J95" s="1" t="s">
        <v>2729</v>
      </c>
      <c r="K95" s="1" t="s">
        <v>2730</v>
      </c>
      <c r="L95" s="1" t="s">
        <v>2731</v>
      </c>
      <c r="M95" s="1" t="s">
        <v>2732</v>
      </c>
      <c r="N95" s="1" t="s">
        <v>2733</v>
      </c>
      <c r="O95" s="1" t="s">
        <v>2734</v>
      </c>
      <c r="P95" s="1" t="s">
        <v>2735</v>
      </c>
      <c r="Q95" s="1" t="s">
        <v>2736</v>
      </c>
      <c r="R95" s="1" t="s">
        <v>2737</v>
      </c>
      <c r="S95" s="1" t="s">
        <v>2738</v>
      </c>
      <c r="T95" s="1" t="s">
        <v>2733</v>
      </c>
      <c r="U95" s="1" t="s">
        <v>2739</v>
      </c>
      <c r="V95" s="1" t="s">
        <v>2740</v>
      </c>
      <c r="W95" s="1" t="s">
        <v>2741</v>
      </c>
      <c r="X95" s="1" t="s">
        <v>2742</v>
      </c>
      <c r="Y95" s="1" t="s">
        <v>2743</v>
      </c>
      <c r="Z95" s="1" t="s">
        <v>2744</v>
      </c>
      <c r="AA95" s="1" t="s">
        <v>2745</v>
      </c>
      <c r="AB95" s="1" t="s">
        <v>2746</v>
      </c>
      <c r="AC95" s="1" t="s">
        <v>2747</v>
      </c>
    </row>
    <row r="96" spans="1:29" ht="57" x14ac:dyDescent="0.45">
      <c r="A96" s="5" t="s">
        <v>90</v>
      </c>
      <c r="B96" s="2">
        <v>4101711</v>
      </c>
      <c r="C96" s="1" t="s">
        <v>2748</v>
      </c>
      <c r="D96" s="1" t="s">
        <v>2749</v>
      </c>
      <c r="E96" s="1" t="s">
        <v>2533</v>
      </c>
      <c r="F96" s="1" t="s">
        <v>2750</v>
      </c>
      <c r="G96" s="1" t="s">
        <v>2751</v>
      </c>
      <c r="H96" s="1" t="s">
        <v>2752</v>
      </c>
      <c r="I96" s="1" t="s">
        <v>2753</v>
      </c>
      <c r="J96" s="1" t="s">
        <v>2754</v>
      </c>
      <c r="K96" s="1" t="s">
        <v>2755</v>
      </c>
      <c r="L96" s="1" t="s">
        <v>2756</v>
      </c>
      <c r="M96" s="1" t="s">
        <v>2757</v>
      </c>
      <c r="N96" s="1" t="s">
        <v>2758</v>
      </c>
      <c r="O96" s="1" t="s">
        <v>2759</v>
      </c>
      <c r="P96" s="1" t="s">
        <v>2760</v>
      </c>
      <c r="Q96" s="1" t="s">
        <v>2761</v>
      </c>
      <c r="R96" s="1" t="s">
        <v>2762</v>
      </c>
      <c r="S96" s="1" t="s">
        <v>2763</v>
      </c>
      <c r="T96" s="1" t="s">
        <v>2764</v>
      </c>
      <c r="U96" s="1" t="s">
        <v>2765</v>
      </c>
      <c r="V96" s="1" t="s">
        <v>2766</v>
      </c>
      <c r="W96" s="1" t="s">
        <v>2767</v>
      </c>
      <c r="X96" s="1" t="s">
        <v>2767</v>
      </c>
      <c r="Y96" s="1" t="s">
        <v>2768</v>
      </c>
      <c r="Z96" s="1" t="s">
        <v>2769</v>
      </c>
      <c r="AA96" s="1" t="s">
        <v>2770</v>
      </c>
      <c r="AB96" s="1" t="s">
        <v>2771</v>
      </c>
      <c r="AC96" s="1" t="s">
        <v>2184</v>
      </c>
    </row>
    <row r="97" spans="1:29" ht="57" x14ac:dyDescent="0.45">
      <c r="A97" s="5" t="s">
        <v>91</v>
      </c>
      <c r="B97" s="2">
        <v>102719</v>
      </c>
      <c r="C97" s="1" t="s">
        <v>2772</v>
      </c>
      <c r="D97" s="1" t="s">
        <v>2773</v>
      </c>
      <c r="E97" s="1" t="s">
        <v>914</v>
      </c>
      <c r="F97" s="1" t="s">
        <v>2774</v>
      </c>
      <c r="G97" s="1" t="s">
        <v>2775</v>
      </c>
      <c r="H97" s="1" t="s">
        <v>2776</v>
      </c>
      <c r="I97" s="1" t="s">
        <v>2777</v>
      </c>
      <c r="J97" s="1" t="s">
        <v>2778</v>
      </c>
      <c r="K97" s="1" t="s">
        <v>2779</v>
      </c>
      <c r="L97" s="1" t="s">
        <v>2780</v>
      </c>
      <c r="M97" s="1" t="s">
        <v>1482</v>
      </c>
      <c r="N97" s="1" t="s">
        <v>2781</v>
      </c>
      <c r="O97" s="1" t="s">
        <v>2782</v>
      </c>
      <c r="P97" s="1" t="s">
        <v>2783</v>
      </c>
      <c r="Q97" s="1" t="s">
        <v>2784</v>
      </c>
      <c r="R97" s="1" t="s">
        <v>2785</v>
      </c>
      <c r="S97" s="1" t="s">
        <v>2786</v>
      </c>
      <c r="T97" s="1" t="s">
        <v>2787</v>
      </c>
      <c r="U97" s="1" t="s">
        <v>2788</v>
      </c>
      <c r="V97" s="1" t="s">
        <v>2789</v>
      </c>
      <c r="W97" s="1" t="s">
        <v>2790</v>
      </c>
      <c r="X97" s="1" t="s">
        <v>1329</v>
      </c>
      <c r="Y97" s="1" t="s">
        <v>2791</v>
      </c>
      <c r="Z97" s="1" t="s">
        <v>2792</v>
      </c>
      <c r="AA97" s="1" t="s">
        <v>2793</v>
      </c>
      <c r="AB97" s="1" t="s">
        <v>2794</v>
      </c>
      <c r="AC97" s="1" t="s">
        <v>1347</v>
      </c>
    </row>
    <row r="98" spans="1:29" ht="71.25" x14ac:dyDescent="0.45">
      <c r="A98" s="5" t="s">
        <v>92</v>
      </c>
      <c r="B98" s="2">
        <v>4099823</v>
      </c>
      <c r="C98" s="1" t="s">
        <v>2795</v>
      </c>
      <c r="D98" s="1" t="s">
        <v>2796</v>
      </c>
      <c r="E98" s="1" t="s">
        <v>2797</v>
      </c>
      <c r="F98" s="1" t="s">
        <v>2798</v>
      </c>
      <c r="G98" s="1" t="s">
        <v>2799</v>
      </c>
      <c r="H98" s="1" t="s">
        <v>2800</v>
      </c>
      <c r="I98" s="1" t="s">
        <v>2801</v>
      </c>
      <c r="J98" s="1" t="s">
        <v>2802</v>
      </c>
      <c r="K98" s="1" t="s">
        <v>2803</v>
      </c>
      <c r="L98" s="1" t="s">
        <v>1365</v>
      </c>
      <c r="M98" s="1" t="s">
        <v>2804</v>
      </c>
      <c r="N98" s="1" t="s">
        <v>2805</v>
      </c>
      <c r="O98" s="1" t="s">
        <v>762</v>
      </c>
      <c r="P98" s="1" t="s">
        <v>2806</v>
      </c>
      <c r="Q98" s="1" t="s">
        <v>2807</v>
      </c>
      <c r="R98" s="1" t="s">
        <v>2808</v>
      </c>
      <c r="S98" s="1" t="s">
        <v>2809</v>
      </c>
      <c r="T98" s="1" t="s">
        <v>2810</v>
      </c>
      <c r="U98" s="1" t="s">
        <v>2811</v>
      </c>
      <c r="V98" s="1" t="s">
        <v>2812</v>
      </c>
      <c r="W98" s="1" t="s">
        <v>2813</v>
      </c>
      <c r="X98" s="1" t="s">
        <v>2814</v>
      </c>
      <c r="Y98" s="1" t="s">
        <v>2815</v>
      </c>
      <c r="Z98" s="1" t="s">
        <v>2816</v>
      </c>
      <c r="AA98" s="1" t="s">
        <v>1678</v>
      </c>
      <c r="AB98" s="1" t="s">
        <v>2817</v>
      </c>
      <c r="AC98" s="1" t="s">
        <v>2818</v>
      </c>
    </row>
    <row r="99" spans="1:29" ht="57" x14ac:dyDescent="0.45">
      <c r="A99" s="5" t="s">
        <v>93</v>
      </c>
      <c r="B99" s="2">
        <v>3001792</v>
      </c>
      <c r="C99" s="1" t="s">
        <v>2819</v>
      </c>
      <c r="D99" s="1" t="s">
        <v>2820</v>
      </c>
      <c r="E99" s="1" t="s">
        <v>1377</v>
      </c>
      <c r="F99" s="1" t="s">
        <v>764</v>
      </c>
      <c r="G99" s="1" t="s">
        <v>571</v>
      </c>
      <c r="H99" s="1" t="s">
        <v>2821</v>
      </c>
      <c r="I99" s="1" t="s">
        <v>2822</v>
      </c>
      <c r="J99" s="1" t="s">
        <v>2823</v>
      </c>
      <c r="K99" s="1" t="s">
        <v>2824</v>
      </c>
      <c r="L99" s="1" t="s">
        <v>2825</v>
      </c>
      <c r="M99" s="1" t="s">
        <v>2826</v>
      </c>
      <c r="N99" s="1" t="s">
        <v>2640</v>
      </c>
      <c r="O99" s="1" t="s">
        <v>2827</v>
      </c>
      <c r="P99" s="1" t="s">
        <v>2828</v>
      </c>
      <c r="Q99" s="1" t="s">
        <v>2829</v>
      </c>
      <c r="R99" s="1" t="s">
        <v>2830</v>
      </c>
      <c r="S99" s="1" t="s">
        <v>2831</v>
      </c>
      <c r="T99" s="1" t="s">
        <v>2832</v>
      </c>
      <c r="U99" s="1" t="s">
        <v>2833</v>
      </c>
      <c r="V99" s="1" t="s">
        <v>2834</v>
      </c>
      <c r="W99" s="1" t="s">
        <v>2835</v>
      </c>
      <c r="X99" s="1" t="s">
        <v>2836</v>
      </c>
      <c r="Y99" s="1" t="s">
        <v>2837</v>
      </c>
      <c r="Z99" s="1" t="s">
        <v>2838</v>
      </c>
      <c r="AA99" s="1" t="s">
        <v>2561</v>
      </c>
      <c r="AB99" s="1" t="s">
        <v>2839</v>
      </c>
      <c r="AC99" s="1" t="s">
        <v>2840</v>
      </c>
    </row>
    <row r="100" spans="1:29" ht="42.75" x14ac:dyDescent="0.45">
      <c r="A100" s="5" t="s">
        <v>94</v>
      </c>
      <c r="B100" s="2">
        <v>4049266</v>
      </c>
      <c r="C100" s="1" t="s">
        <v>2841</v>
      </c>
      <c r="D100" s="1" t="s">
        <v>2842</v>
      </c>
      <c r="E100" s="1" t="s">
        <v>1117</v>
      </c>
      <c r="F100" s="1" t="s">
        <v>2843</v>
      </c>
      <c r="G100" s="1" t="s">
        <v>2844</v>
      </c>
      <c r="H100" s="1" t="s">
        <v>2845</v>
      </c>
      <c r="I100" s="1" t="s">
        <v>2846</v>
      </c>
      <c r="J100" s="1" t="s">
        <v>2847</v>
      </c>
      <c r="K100" s="1" t="s">
        <v>2074</v>
      </c>
      <c r="L100" s="1" t="s">
        <v>2597</v>
      </c>
      <c r="M100" s="1" t="s">
        <v>2848</v>
      </c>
      <c r="N100" s="1" t="s">
        <v>2849</v>
      </c>
      <c r="O100" s="1" t="s">
        <v>2850</v>
      </c>
      <c r="P100" s="1" t="s">
        <v>2851</v>
      </c>
      <c r="Q100" s="1" t="s">
        <v>2852</v>
      </c>
      <c r="R100" s="1" t="s">
        <v>2853</v>
      </c>
      <c r="S100" s="1" t="s">
        <v>2854</v>
      </c>
      <c r="T100" s="1" t="s">
        <v>2855</v>
      </c>
      <c r="U100" s="1" t="s">
        <v>1379</v>
      </c>
      <c r="V100" s="1" t="s">
        <v>2856</v>
      </c>
      <c r="W100" s="1" t="s">
        <v>2846</v>
      </c>
      <c r="X100" s="1" t="s">
        <v>2857</v>
      </c>
      <c r="Y100" s="1" t="s">
        <v>2858</v>
      </c>
      <c r="Z100" s="1" t="s">
        <v>2859</v>
      </c>
      <c r="AA100" s="1" t="s">
        <v>2860</v>
      </c>
      <c r="AB100" s="1" t="s">
        <v>2861</v>
      </c>
      <c r="AC100" s="1" t="s">
        <v>2862</v>
      </c>
    </row>
    <row r="101" spans="1:29" ht="42.75" x14ac:dyDescent="0.45">
      <c r="A101" s="5" t="s">
        <v>95</v>
      </c>
      <c r="B101" s="2">
        <v>4095387</v>
      </c>
      <c r="C101" s="1" t="s">
        <v>2863</v>
      </c>
      <c r="D101" s="1" t="s">
        <v>2864</v>
      </c>
      <c r="E101" s="1" t="s">
        <v>2865</v>
      </c>
      <c r="F101" s="1" t="s">
        <v>2866</v>
      </c>
      <c r="G101" s="1" t="s">
        <v>2005</v>
      </c>
      <c r="H101" s="1" t="s">
        <v>2867</v>
      </c>
      <c r="I101" s="1" t="s">
        <v>2868</v>
      </c>
      <c r="J101" s="1" t="s">
        <v>2869</v>
      </c>
      <c r="K101" s="1" t="s">
        <v>2870</v>
      </c>
      <c r="L101" s="1" t="s">
        <v>2871</v>
      </c>
      <c r="M101" s="1" t="s">
        <v>2872</v>
      </c>
      <c r="N101" s="1" t="s">
        <v>2873</v>
      </c>
      <c r="O101" s="1" t="s">
        <v>2874</v>
      </c>
      <c r="P101" s="1" t="s">
        <v>2875</v>
      </c>
      <c r="Q101" s="1" t="s">
        <v>2876</v>
      </c>
      <c r="R101" s="1" t="s">
        <v>1452</v>
      </c>
      <c r="S101" s="1" t="s">
        <v>2877</v>
      </c>
      <c r="T101" s="1" t="s">
        <v>2878</v>
      </c>
      <c r="U101" s="1" t="s">
        <v>2879</v>
      </c>
      <c r="V101" s="1" t="s">
        <v>2880</v>
      </c>
      <c r="W101" s="1" t="s">
        <v>2881</v>
      </c>
      <c r="X101" s="1" t="s">
        <v>2882</v>
      </c>
      <c r="Y101" s="1" t="s">
        <v>2883</v>
      </c>
      <c r="Z101" s="1" t="s">
        <v>2884</v>
      </c>
      <c r="AA101" s="1" t="s">
        <v>2885</v>
      </c>
      <c r="AB101" s="1" t="s">
        <v>2886</v>
      </c>
      <c r="AC101" s="1" t="s">
        <v>2887</v>
      </c>
    </row>
    <row r="102" spans="1:29" ht="42.75" x14ac:dyDescent="0.45">
      <c r="A102" s="5" t="s">
        <v>96</v>
      </c>
      <c r="B102" s="2">
        <v>4121470</v>
      </c>
      <c r="C102" s="1" t="s">
        <v>2888</v>
      </c>
      <c r="D102" s="1" t="s">
        <v>2889</v>
      </c>
      <c r="E102" s="1" t="s">
        <v>2070</v>
      </c>
      <c r="F102" s="1" t="s">
        <v>2890</v>
      </c>
      <c r="G102" s="1" t="s">
        <v>2014</v>
      </c>
      <c r="H102" s="1" t="s">
        <v>984</v>
      </c>
      <c r="I102" s="1" t="s">
        <v>1576</v>
      </c>
      <c r="J102" s="1" t="s">
        <v>2891</v>
      </c>
      <c r="K102" s="1" t="s">
        <v>1427</v>
      </c>
      <c r="L102" s="1" t="s">
        <v>1988</v>
      </c>
      <c r="M102" s="1" t="s">
        <v>2892</v>
      </c>
      <c r="N102" s="1" t="s">
        <v>2893</v>
      </c>
      <c r="O102" s="1" t="s">
        <v>2894</v>
      </c>
      <c r="P102" s="1" t="s">
        <v>2895</v>
      </c>
      <c r="Q102" s="1" t="s">
        <v>2896</v>
      </c>
      <c r="R102" s="1" t="s">
        <v>2897</v>
      </c>
      <c r="S102" s="1" t="s">
        <v>2512</v>
      </c>
      <c r="T102" s="1" t="s">
        <v>2898</v>
      </c>
      <c r="U102" s="1" t="s">
        <v>2899</v>
      </c>
      <c r="V102" s="1" t="s">
        <v>2900</v>
      </c>
      <c r="W102" s="1" t="s">
        <v>2901</v>
      </c>
      <c r="X102" s="1" t="s">
        <v>2902</v>
      </c>
      <c r="Y102" s="1" t="s">
        <v>2903</v>
      </c>
      <c r="Z102" s="1" t="s">
        <v>2904</v>
      </c>
      <c r="AA102" s="1" t="s">
        <v>2905</v>
      </c>
      <c r="AB102" s="1" t="s">
        <v>698</v>
      </c>
      <c r="AC102" s="1" t="s">
        <v>2906</v>
      </c>
    </row>
    <row r="103" spans="1:29" ht="71.25" x14ac:dyDescent="0.45">
      <c r="A103" s="5" t="s">
        <v>97</v>
      </c>
      <c r="B103" s="2">
        <v>4055465</v>
      </c>
      <c r="C103" s="1" t="s">
        <v>2907</v>
      </c>
      <c r="D103" s="1" t="s">
        <v>2908</v>
      </c>
      <c r="E103" s="1" t="s">
        <v>2909</v>
      </c>
      <c r="F103" s="1" t="s">
        <v>2910</v>
      </c>
      <c r="G103" s="1" t="s">
        <v>2911</v>
      </c>
      <c r="H103" s="1" t="s">
        <v>2912</v>
      </c>
      <c r="I103" s="1" t="s">
        <v>2327</v>
      </c>
      <c r="J103" s="1" t="s">
        <v>2911</v>
      </c>
      <c r="K103" s="1" t="s">
        <v>2913</v>
      </c>
      <c r="L103" s="1" t="s">
        <v>2914</v>
      </c>
      <c r="M103" s="1" t="s">
        <v>2915</v>
      </c>
      <c r="N103" s="1" t="s">
        <v>2916</v>
      </c>
      <c r="O103" s="1" t="s">
        <v>2917</v>
      </c>
      <c r="P103" s="1" t="s">
        <v>2918</v>
      </c>
      <c r="Q103" s="1" t="s">
        <v>2919</v>
      </c>
      <c r="R103" s="1" t="s">
        <v>2920</v>
      </c>
      <c r="S103" s="1" t="s">
        <v>2768</v>
      </c>
      <c r="T103" s="1" t="s">
        <v>2921</v>
      </c>
      <c r="U103" s="1" t="s">
        <v>2734</v>
      </c>
      <c r="V103" s="1" t="s">
        <v>2922</v>
      </c>
      <c r="W103" s="1" t="s">
        <v>2923</v>
      </c>
      <c r="X103" s="1" t="s">
        <v>2924</v>
      </c>
      <c r="Y103" s="1" t="s">
        <v>2179</v>
      </c>
      <c r="Z103" s="1" t="s">
        <v>2925</v>
      </c>
      <c r="AA103" s="1" t="s">
        <v>2926</v>
      </c>
      <c r="AB103" s="1" t="s">
        <v>2927</v>
      </c>
      <c r="AC103" s="1" t="s">
        <v>2928</v>
      </c>
    </row>
    <row r="104" spans="1:29" ht="57" x14ac:dyDescent="0.45">
      <c r="A104" s="5" t="s">
        <v>98</v>
      </c>
      <c r="B104" s="2">
        <v>4070608</v>
      </c>
      <c r="C104" s="1" t="s">
        <v>2929</v>
      </c>
      <c r="D104" s="1" t="s">
        <v>2930</v>
      </c>
      <c r="E104" s="1" t="s">
        <v>2931</v>
      </c>
      <c r="F104" s="1" t="s">
        <v>2932</v>
      </c>
      <c r="G104" s="1" t="s">
        <v>2933</v>
      </c>
      <c r="H104" s="1" t="s">
        <v>2518</v>
      </c>
      <c r="I104" s="1" t="s">
        <v>2934</v>
      </c>
      <c r="J104" s="1" t="s">
        <v>2935</v>
      </c>
      <c r="K104" s="1" t="s">
        <v>2936</v>
      </c>
      <c r="L104" s="1" t="s">
        <v>1824</v>
      </c>
      <c r="M104" s="1" t="s">
        <v>2937</v>
      </c>
      <c r="N104" s="1" t="s">
        <v>2938</v>
      </c>
      <c r="O104" s="1" t="s">
        <v>2939</v>
      </c>
      <c r="P104" s="1" t="s">
        <v>2940</v>
      </c>
      <c r="Q104" s="1" t="s">
        <v>2941</v>
      </c>
      <c r="R104" s="1" t="s">
        <v>2504</v>
      </c>
      <c r="S104" s="1" t="s">
        <v>2502</v>
      </c>
      <c r="T104" s="1" t="s">
        <v>2942</v>
      </c>
      <c r="U104" s="1" t="s">
        <v>1678</v>
      </c>
      <c r="V104" s="1" t="s">
        <v>2943</v>
      </c>
      <c r="W104" s="1" t="s">
        <v>2944</v>
      </c>
      <c r="X104" s="1" t="s">
        <v>2945</v>
      </c>
      <c r="Y104" s="1" t="s">
        <v>2946</v>
      </c>
      <c r="Z104" s="1" t="s">
        <v>2947</v>
      </c>
      <c r="AA104" s="1" t="s">
        <v>1807</v>
      </c>
      <c r="AB104" s="1" t="s">
        <v>2948</v>
      </c>
      <c r="AC104" s="1" t="s">
        <v>2949</v>
      </c>
    </row>
    <row r="105" spans="1:29" ht="57" x14ac:dyDescent="0.45">
      <c r="A105" s="5" t="s">
        <v>99</v>
      </c>
      <c r="B105" s="2">
        <v>4382367</v>
      </c>
      <c r="C105" s="1" t="s">
        <v>2950</v>
      </c>
      <c r="D105" s="1" t="s">
        <v>2951</v>
      </c>
      <c r="E105" s="1" t="s">
        <v>2952</v>
      </c>
      <c r="F105" s="1" t="s">
        <v>2178</v>
      </c>
      <c r="G105" s="1" t="s">
        <v>2953</v>
      </c>
      <c r="H105" s="1" t="s">
        <v>2954</v>
      </c>
      <c r="I105" s="1" t="s">
        <v>2955</v>
      </c>
      <c r="J105" s="1" t="s">
        <v>2956</v>
      </c>
      <c r="K105" s="1" t="s">
        <v>2174</v>
      </c>
      <c r="L105" s="1" t="s">
        <v>2957</v>
      </c>
      <c r="M105" s="1" t="s">
        <v>2958</v>
      </c>
      <c r="N105" s="1" t="s">
        <v>2185</v>
      </c>
      <c r="O105" s="1" t="s">
        <v>2751</v>
      </c>
      <c r="P105" s="1" t="s">
        <v>2915</v>
      </c>
      <c r="Q105" s="1" t="s">
        <v>2959</v>
      </c>
      <c r="R105" s="1" t="s">
        <v>2326</v>
      </c>
      <c r="S105" s="1" t="s">
        <v>2960</v>
      </c>
      <c r="T105" s="1" t="s">
        <v>1752</v>
      </c>
      <c r="U105" s="1" t="s">
        <v>2745</v>
      </c>
      <c r="V105" s="1" t="s">
        <v>2961</v>
      </c>
      <c r="W105" s="1" t="s">
        <v>2962</v>
      </c>
      <c r="X105" s="1" t="s">
        <v>2963</v>
      </c>
      <c r="Y105" s="1" t="s">
        <v>2964</v>
      </c>
      <c r="Z105" s="1" t="s">
        <v>2965</v>
      </c>
      <c r="AA105" s="1" t="s">
        <v>2966</v>
      </c>
      <c r="AB105" s="1" t="s">
        <v>2967</v>
      </c>
      <c r="AC105" s="1" t="s">
        <v>1755</v>
      </c>
    </row>
    <row r="106" spans="1:29" ht="71.25" x14ac:dyDescent="0.45">
      <c r="A106" s="5" t="s">
        <v>100</v>
      </c>
      <c r="B106" s="2">
        <v>3001622</v>
      </c>
      <c r="C106" s="1" t="s">
        <v>2968</v>
      </c>
      <c r="D106" s="1" t="s">
        <v>2969</v>
      </c>
      <c r="E106" s="1" t="s">
        <v>2970</v>
      </c>
      <c r="F106" s="1" t="s">
        <v>2971</v>
      </c>
      <c r="G106" s="1" t="s">
        <v>2972</v>
      </c>
      <c r="H106" s="1" t="s">
        <v>2973</v>
      </c>
      <c r="I106" s="1" t="s">
        <v>2974</v>
      </c>
      <c r="J106" s="1" t="s">
        <v>2523</v>
      </c>
      <c r="K106" s="1" t="s">
        <v>2975</v>
      </c>
      <c r="L106" s="1" t="s">
        <v>2976</v>
      </c>
      <c r="M106" s="1" t="s">
        <v>2977</v>
      </c>
      <c r="N106" s="1" t="s">
        <v>2902</v>
      </c>
      <c r="O106" s="1" t="s">
        <v>919</v>
      </c>
      <c r="P106" s="1" t="s">
        <v>2978</v>
      </c>
      <c r="Q106" s="1" t="s">
        <v>2979</v>
      </c>
      <c r="R106" s="1" t="s">
        <v>2980</v>
      </c>
      <c r="S106" s="1" t="s">
        <v>2981</v>
      </c>
      <c r="T106" s="1" t="s">
        <v>2982</v>
      </c>
      <c r="U106" s="1" t="s">
        <v>2983</v>
      </c>
      <c r="V106" s="1" t="s">
        <v>2984</v>
      </c>
      <c r="W106" s="1" t="s">
        <v>2985</v>
      </c>
      <c r="X106" s="1" t="s">
        <v>2986</v>
      </c>
      <c r="Y106" s="1" t="s">
        <v>2987</v>
      </c>
      <c r="Z106" s="1" t="s">
        <v>2988</v>
      </c>
      <c r="AA106" s="1" t="s">
        <v>1804</v>
      </c>
      <c r="AB106" s="1" t="s">
        <v>2989</v>
      </c>
      <c r="AC106" s="1" t="s">
        <v>2990</v>
      </c>
    </row>
    <row r="107" spans="1:29" ht="57" x14ac:dyDescent="0.45">
      <c r="A107" s="5" t="s">
        <v>101</v>
      </c>
      <c r="B107" s="2">
        <v>3009699</v>
      </c>
      <c r="C107" s="1" t="s">
        <v>2991</v>
      </c>
      <c r="D107" s="1" t="s">
        <v>2992</v>
      </c>
      <c r="E107" s="1" t="s">
        <v>2604</v>
      </c>
      <c r="F107" s="1" t="s">
        <v>2993</v>
      </c>
      <c r="G107" s="1" t="s">
        <v>2994</v>
      </c>
      <c r="H107" s="1" t="s">
        <v>2879</v>
      </c>
      <c r="I107" s="1" t="s">
        <v>2995</v>
      </c>
      <c r="J107" s="1" t="s">
        <v>1579</v>
      </c>
      <c r="K107" s="1" t="s">
        <v>2996</v>
      </c>
      <c r="L107" s="1" t="s">
        <v>2997</v>
      </c>
      <c r="M107" s="1" t="s">
        <v>2998</v>
      </c>
      <c r="N107" s="1" t="s">
        <v>2999</v>
      </c>
      <c r="O107" s="1" t="s">
        <v>3000</v>
      </c>
      <c r="P107" s="1" t="s">
        <v>3001</v>
      </c>
      <c r="Q107" s="1" t="s">
        <v>3002</v>
      </c>
      <c r="R107" s="1" t="s">
        <v>3003</v>
      </c>
      <c r="S107" s="1" t="s">
        <v>3004</v>
      </c>
      <c r="T107" s="1" t="s">
        <v>1486</v>
      </c>
      <c r="U107" s="1" t="s">
        <v>3005</v>
      </c>
      <c r="V107" s="1" t="s">
        <v>3006</v>
      </c>
      <c r="W107" s="1" t="s">
        <v>3007</v>
      </c>
      <c r="X107" s="1" t="s">
        <v>3008</v>
      </c>
      <c r="Y107" s="1" t="s">
        <v>3009</v>
      </c>
      <c r="Z107" s="1" t="s">
        <v>3010</v>
      </c>
      <c r="AA107" s="1" t="s">
        <v>3011</v>
      </c>
      <c r="AB107" s="1" t="s">
        <v>3012</v>
      </c>
      <c r="AC107" s="1" t="s">
        <v>3013</v>
      </c>
    </row>
    <row r="108" spans="1:29" ht="85.5" x14ac:dyDescent="0.45">
      <c r="A108" s="5" t="s">
        <v>102</v>
      </c>
      <c r="B108" s="2">
        <v>4967353</v>
      </c>
      <c r="C108" s="1" t="s">
        <v>3014</v>
      </c>
      <c r="D108" s="1" t="s">
        <v>3015</v>
      </c>
      <c r="E108" s="1" t="s">
        <v>2321</v>
      </c>
      <c r="F108" s="1" t="s">
        <v>3016</v>
      </c>
      <c r="G108" s="1" t="s">
        <v>3016</v>
      </c>
      <c r="H108" s="1" t="s">
        <v>3017</v>
      </c>
      <c r="I108" s="1" t="s">
        <v>3018</v>
      </c>
      <c r="J108" s="1" t="s">
        <v>3019</v>
      </c>
      <c r="K108" s="1" t="s">
        <v>3020</v>
      </c>
      <c r="L108" s="1" t="s">
        <v>3021</v>
      </c>
      <c r="M108" s="1" t="s">
        <v>3022</v>
      </c>
      <c r="N108" s="1" t="s">
        <v>3023</v>
      </c>
      <c r="O108" s="1" t="s">
        <v>2494</v>
      </c>
      <c r="P108" s="1" t="s">
        <v>1933</v>
      </c>
      <c r="Q108" s="1" t="s">
        <v>3024</v>
      </c>
      <c r="R108" s="1" t="s">
        <v>3025</v>
      </c>
      <c r="S108" s="1" t="s">
        <v>3026</v>
      </c>
      <c r="T108" s="1" t="s">
        <v>3027</v>
      </c>
      <c r="U108" s="1" t="s">
        <v>1651</v>
      </c>
      <c r="V108" s="1" t="s">
        <v>1688</v>
      </c>
      <c r="W108" s="1" t="s">
        <v>3028</v>
      </c>
      <c r="X108" s="1" t="s">
        <v>3029</v>
      </c>
      <c r="Y108" s="1" t="s">
        <v>3030</v>
      </c>
      <c r="Z108" s="1" t="s">
        <v>2990</v>
      </c>
      <c r="AA108" s="1" t="s">
        <v>3031</v>
      </c>
      <c r="AB108" s="1" t="s">
        <v>3032</v>
      </c>
      <c r="AC108" s="1" t="s">
        <v>3033</v>
      </c>
    </row>
    <row r="109" spans="1:29" ht="71.25" x14ac:dyDescent="0.45">
      <c r="A109" s="5" t="s">
        <v>103</v>
      </c>
      <c r="B109" s="2">
        <v>4074329</v>
      </c>
      <c r="C109" s="1" t="s">
        <v>3034</v>
      </c>
      <c r="D109" s="1" t="s">
        <v>3035</v>
      </c>
      <c r="E109" s="1" t="s">
        <v>3036</v>
      </c>
      <c r="F109" s="1" t="s">
        <v>3037</v>
      </c>
      <c r="G109" s="1" t="s">
        <v>3038</v>
      </c>
      <c r="H109" s="1" t="s">
        <v>3039</v>
      </c>
      <c r="I109" s="1" t="s">
        <v>3040</v>
      </c>
      <c r="J109" s="1" t="s">
        <v>2810</v>
      </c>
      <c r="K109" s="1" t="s">
        <v>3041</v>
      </c>
      <c r="L109" s="1" t="s">
        <v>3042</v>
      </c>
      <c r="M109" s="1" t="s">
        <v>1035</v>
      </c>
      <c r="N109" s="1" t="s">
        <v>3043</v>
      </c>
      <c r="O109" s="1" t="s">
        <v>3044</v>
      </c>
      <c r="P109" s="1" t="s">
        <v>3045</v>
      </c>
      <c r="Q109" s="1" t="s">
        <v>2806</v>
      </c>
      <c r="R109" s="1" t="s">
        <v>3046</v>
      </c>
      <c r="S109" s="1" t="s">
        <v>3047</v>
      </c>
      <c r="T109" s="1" t="s">
        <v>3048</v>
      </c>
      <c r="U109" s="1" t="s">
        <v>2067</v>
      </c>
      <c r="V109" s="1" t="s">
        <v>1657</v>
      </c>
      <c r="W109" s="1" t="s">
        <v>3049</v>
      </c>
      <c r="X109" s="1" t="s">
        <v>3050</v>
      </c>
      <c r="Y109" s="1" t="s">
        <v>3051</v>
      </c>
      <c r="Z109" s="1" t="s">
        <v>3052</v>
      </c>
      <c r="AA109" s="1" t="s">
        <v>3053</v>
      </c>
      <c r="AB109" s="1" t="s">
        <v>3054</v>
      </c>
      <c r="AC109" s="1" t="s">
        <v>3055</v>
      </c>
    </row>
    <row r="110" spans="1:29" ht="42.75" x14ac:dyDescent="0.45">
      <c r="A110" s="5" t="s">
        <v>104</v>
      </c>
      <c r="B110" s="2">
        <v>4041896</v>
      </c>
      <c r="C110" s="1" t="s">
        <v>3056</v>
      </c>
      <c r="D110" s="1" t="s">
        <v>3057</v>
      </c>
      <c r="E110" s="1" t="s">
        <v>3058</v>
      </c>
      <c r="F110" s="1" t="s">
        <v>1189</v>
      </c>
      <c r="G110" s="1" t="s">
        <v>3059</v>
      </c>
      <c r="H110" s="1" t="s">
        <v>3060</v>
      </c>
      <c r="I110" s="1" t="s">
        <v>3061</v>
      </c>
      <c r="J110" s="1" t="s">
        <v>3062</v>
      </c>
      <c r="K110" s="1" t="s">
        <v>3063</v>
      </c>
      <c r="L110" s="1" t="s">
        <v>3064</v>
      </c>
      <c r="M110" s="1" t="s">
        <v>1372</v>
      </c>
      <c r="N110" s="1" t="s">
        <v>3065</v>
      </c>
      <c r="O110" s="1" t="s">
        <v>3066</v>
      </c>
      <c r="P110" s="1" t="s">
        <v>3067</v>
      </c>
      <c r="Q110" s="1" t="s">
        <v>1694</v>
      </c>
      <c r="R110" s="1" t="s">
        <v>3068</v>
      </c>
      <c r="S110" s="1" t="s">
        <v>3069</v>
      </c>
      <c r="T110" s="1" t="s">
        <v>3070</v>
      </c>
      <c r="U110" s="1" t="s">
        <v>3071</v>
      </c>
      <c r="V110" s="1" t="s">
        <v>3072</v>
      </c>
      <c r="W110" s="1" t="s">
        <v>3073</v>
      </c>
      <c r="X110" s="1" t="s">
        <v>3074</v>
      </c>
      <c r="Y110" s="1" t="s">
        <v>3075</v>
      </c>
      <c r="Z110" s="1" t="s">
        <v>1673</v>
      </c>
      <c r="AA110" s="1" t="s">
        <v>3076</v>
      </c>
      <c r="AB110" s="1" t="s">
        <v>3077</v>
      </c>
      <c r="AC110" s="1" t="s">
        <v>3078</v>
      </c>
    </row>
    <row r="111" spans="1:29" ht="57" x14ac:dyDescent="0.45">
      <c r="A111" s="5" t="s">
        <v>105</v>
      </c>
      <c r="B111" s="2">
        <v>1019881</v>
      </c>
      <c r="C111" s="1" t="s">
        <v>3079</v>
      </c>
      <c r="D111" s="1" t="s">
        <v>3080</v>
      </c>
      <c r="E111" s="1" t="s">
        <v>3058</v>
      </c>
      <c r="F111" s="1" t="s">
        <v>3081</v>
      </c>
      <c r="G111" s="1" t="s">
        <v>3082</v>
      </c>
      <c r="H111" s="1" t="s">
        <v>2440</v>
      </c>
      <c r="I111" s="1" t="s">
        <v>1164</v>
      </c>
      <c r="J111" s="1" t="s">
        <v>3083</v>
      </c>
      <c r="K111" s="1" t="s">
        <v>3084</v>
      </c>
      <c r="L111" s="1" t="s">
        <v>1893</v>
      </c>
      <c r="M111" s="1" t="s">
        <v>3085</v>
      </c>
      <c r="N111" s="1" t="s">
        <v>3086</v>
      </c>
      <c r="O111" s="1" t="s">
        <v>3087</v>
      </c>
      <c r="P111" s="1" t="s">
        <v>2420</v>
      </c>
      <c r="Q111" s="1" t="s">
        <v>3088</v>
      </c>
      <c r="R111" s="1" t="s">
        <v>3089</v>
      </c>
      <c r="S111" s="1" t="s">
        <v>3090</v>
      </c>
      <c r="T111" s="1" t="s">
        <v>3091</v>
      </c>
      <c r="U111" s="1" t="s">
        <v>3092</v>
      </c>
      <c r="V111" s="1" t="s">
        <v>3093</v>
      </c>
      <c r="W111" s="1" t="s">
        <v>3094</v>
      </c>
      <c r="X111" s="1" t="s">
        <v>3095</v>
      </c>
      <c r="Y111" s="1" t="s">
        <v>3096</v>
      </c>
      <c r="Z111" s="1" t="s">
        <v>3097</v>
      </c>
      <c r="AA111" s="1" t="s">
        <v>3098</v>
      </c>
      <c r="AB111" s="1" t="s">
        <v>3099</v>
      </c>
      <c r="AC111" s="1" t="s">
        <v>3100</v>
      </c>
    </row>
    <row r="112" spans="1:29" ht="28.5" x14ac:dyDescent="0.45">
      <c r="A112" s="5" t="s">
        <v>106</v>
      </c>
      <c r="B112" s="2">
        <v>4189919</v>
      </c>
      <c r="C112" s="1" t="s">
        <v>3101</v>
      </c>
      <c r="D112" s="1" t="s">
        <v>3102</v>
      </c>
      <c r="E112" s="1" t="s">
        <v>3103</v>
      </c>
      <c r="F112" s="1" t="s">
        <v>3104</v>
      </c>
      <c r="G112" s="1" t="s">
        <v>3105</v>
      </c>
      <c r="H112" s="1" t="s">
        <v>3106</v>
      </c>
      <c r="I112" s="1" t="s">
        <v>3107</v>
      </c>
      <c r="J112" s="1" t="s">
        <v>3108</v>
      </c>
      <c r="K112" s="1" t="s">
        <v>3109</v>
      </c>
      <c r="L112" s="1" t="s">
        <v>1731</v>
      </c>
      <c r="M112" s="1" t="s">
        <v>3110</v>
      </c>
      <c r="N112" s="1" t="s">
        <v>3111</v>
      </c>
      <c r="O112" s="1" t="s">
        <v>3112</v>
      </c>
      <c r="P112" s="1" t="s">
        <v>3113</v>
      </c>
      <c r="Q112" s="1" t="s">
        <v>792</v>
      </c>
      <c r="R112" s="1" t="s">
        <v>3114</v>
      </c>
      <c r="S112" s="1" t="s">
        <v>3115</v>
      </c>
      <c r="T112" s="1" t="s">
        <v>2892</v>
      </c>
      <c r="U112" s="1" t="s">
        <v>2898</v>
      </c>
      <c r="V112" s="1" t="s">
        <v>3116</v>
      </c>
      <c r="W112" s="1" t="s">
        <v>3117</v>
      </c>
      <c r="X112" s="1" t="s">
        <v>3118</v>
      </c>
      <c r="Y112" s="1" t="s">
        <v>3119</v>
      </c>
      <c r="Z112" s="1" t="s">
        <v>3120</v>
      </c>
      <c r="AA112" s="1" t="s">
        <v>3121</v>
      </c>
      <c r="AB112" s="1" t="s">
        <v>3122</v>
      </c>
      <c r="AC112" s="1" t="s">
        <v>3123</v>
      </c>
    </row>
    <row r="113" spans="1:29" ht="71.25" x14ac:dyDescent="0.45">
      <c r="A113" s="5" t="s">
        <v>107</v>
      </c>
      <c r="B113" s="2">
        <v>4057038</v>
      </c>
      <c r="C113" s="1" t="s">
        <v>3124</v>
      </c>
      <c r="D113" s="1" t="s">
        <v>3125</v>
      </c>
      <c r="E113" s="1" t="s">
        <v>2070</v>
      </c>
      <c r="F113" s="1" t="s">
        <v>3126</v>
      </c>
      <c r="G113" s="1" t="s">
        <v>591</v>
      </c>
      <c r="H113" s="1" t="s">
        <v>3127</v>
      </c>
      <c r="I113" s="1" t="s">
        <v>3128</v>
      </c>
      <c r="J113" s="1" t="s">
        <v>3129</v>
      </c>
      <c r="K113" s="1" t="s">
        <v>3130</v>
      </c>
      <c r="L113" s="1" t="s">
        <v>2067</v>
      </c>
      <c r="M113" s="1" t="s">
        <v>3131</v>
      </c>
      <c r="N113" s="1" t="s">
        <v>3132</v>
      </c>
      <c r="O113" s="1" t="s">
        <v>3133</v>
      </c>
      <c r="P113" s="1" t="s">
        <v>3134</v>
      </c>
      <c r="Q113" s="1" t="s">
        <v>3135</v>
      </c>
      <c r="R113" s="1" t="s">
        <v>3136</v>
      </c>
      <c r="S113" s="1" t="s">
        <v>3137</v>
      </c>
      <c r="T113" s="1" t="s">
        <v>3138</v>
      </c>
      <c r="U113" s="1" t="s">
        <v>3139</v>
      </c>
      <c r="V113" s="1" t="s">
        <v>1389</v>
      </c>
      <c r="W113" s="1" t="s">
        <v>3140</v>
      </c>
      <c r="X113" s="1" t="s">
        <v>2433</v>
      </c>
      <c r="Y113" s="1" t="s">
        <v>3141</v>
      </c>
      <c r="Z113" s="1" t="s">
        <v>2714</v>
      </c>
      <c r="AA113" s="1" t="s">
        <v>3142</v>
      </c>
      <c r="AB113" s="1" t="s">
        <v>3143</v>
      </c>
      <c r="AC113" s="1" t="s">
        <v>3144</v>
      </c>
    </row>
    <row r="114" spans="1:29" ht="42.75" x14ac:dyDescent="0.45">
      <c r="A114" s="5" t="s">
        <v>108</v>
      </c>
      <c r="B114" s="2">
        <v>4022661</v>
      </c>
      <c r="C114" s="1" t="s">
        <v>3145</v>
      </c>
      <c r="D114" s="1" t="s">
        <v>3146</v>
      </c>
      <c r="E114" s="1" t="s">
        <v>888</v>
      </c>
      <c r="F114" s="1" t="s">
        <v>3147</v>
      </c>
      <c r="G114" s="1" t="s">
        <v>3148</v>
      </c>
      <c r="H114" s="1" t="s">
        <v>1198</v>
      </c>
      <c r="I114" s="1" t="s">
        <v>2599</v>
      </c>
      <c r="J114" s="1" t="s">
        <v>3149</v>
      </c>
      <c r="K114" s="1" t="s">
        <v>3150</v>
      </c>
      <c r="L114" s="1" t="s">
        <v>3151</v>
      </c>
      <c r="M114" s="1" t="s">
        <v>577</v>
      </c>
      <c r="N114" s="1" t="s">
        <v>3152</v>
      </c>
      <c r="O114" s="1" t="s">
        <v>3153</v>
      </c>
      <c r="P114" s="1" t="s">
        <v>2844</v>
      </c>
      <c r="Q114" s="1" t="s">
        <v>3154</v>
      </c>
      <c r="R114" s="1" t="s">
        <v>3155</v>
      </c>
      <c r="S114" s="1" t="s">
        <v>3156</v>
      </c>
      <c r="T114" s="1" t="s">
        <v>2427</v>
      </c>
      <c r="U114" s="1" t="s">
        <v>3157</v>
      </c>
      <c r="V114" s="1" t="s">
        <v>575</v>
      </c>
      <c r="W114" s="1" t="s">
        <v>3158</v>
      </c>
      <c r="X114" s="1" t="s">
        <v>3159</v>
      </c>
      <c r="Y114" s="1" t="s">
        <v>3160</v>
      </c>
      <c r="Z114" s="1" t="s">
        <v>3161</v>
      </c>
      <c r="AA114" s="1" t="s">
        <v>2289</v>
      </c>
      <c r="AB114" s="1" t="s">
        <v>3162</v>
      </c>
      <c r="AC114" s="1" t="s">
        <v>3163</v>
      </c>
    </row>
    <row r="115" spans="1:29" ht="71.25" x14ac:dyDescent="0.45">
      <c r="A115" s="5" t="s">
        <v>109</v>
      </c>
      <c r="B115" s="2">
        <v>4135343</v>
      </c>
      <c r="C115" s="1" t="s">
        <v>3164</v>
      </c>
      <c r="D115" s="1" t="s">
        <v>3165</v>
      </c>
      <c r="E115" s="1" t="s">
        <v>2457</v>
      </c>
      <c r="F115" s="1" t="s">
        <v>3166</v>
      </c>
      <c r="G115" s="1" t="s">
        <v>2514</v>
      </c>
      <c r="H115" s="1" t="s">
        <v>2901</v>
      </c>
      <c r="I115" s="1" t="s">
        <v>550</v>
      </c>
      <c r="J115" s="1" t="s">
        <v>3167</v>
      </c>
      <c r="K115" s="1" t="s">
        <v>3168</v>
      </c>
      <c r="L115" s="1" t="s">
        <v>1529</v>
      </c>
      <c r="M115" s="1" t="s">
        <v>3169</v>
      </c>
      <c r="N115" s="1" t="s">
        <v>3170</v>
      </c>
      <c r="O115" s="1" t="s">
        <v>1511</v>
      </c>
      <c r="P115" s="1" t="s">
        <v>3171</v>
      </c>
      <c r="Q115" s="1" t="s">
        <v>3172</v>
      </c>
      <c r="R115" s="1" t="s">
        <v>3173</v>
      </c>
      <c r="S115" s="1" t="s">
        <v>3174</v>
      </c>
      <c r="T115" s="1" t="s">
        <v>959</v>
      </c>
      <c r="U115" s="1" t="s">
        <v>3175</v>
      </c>
      <c r="V115" s="1" t="s">
        <v>3176</v>
      </c>
      <c r="W115" s="1" t="s">
        <v>3177</v>
      </c>
      <c r="X115" s="1" t="s">
        <v>3178</v>
      </c>
      <c r="Y115" s="1" t="s">
        <v>3179</v>
      </c>
      <c r="Z115" s="1" t="s">
        <v>3180</v>
      </c>
      <c r="AA115" s="1" t="s">
        <v>3181</v>
      </c>
      <c r="AB115" s="1" t="s">
        <v>3182</v>
      </c>
      <c r="AC115" s="1" t="s">
        <v>3183</v>
      </c>
    </row>
    <row r="116" spans="1:29" ht="71.25" x14ac:dyDescent="0.45">
      <c r="A116" s="5" t="s">
        <v>110</v>
      </c>
      <c r="B116" s="2">
        <v>4060689</v>
      </c>
      <c r="C116" s="1" t="s">
        <v>3184</v>
      </c>
      <c r="D116" s="1" t="s">
        <v>3185</v>
      </c>
      <c r="E116" s="1" t="s">
        <v>2970</v>
      </c>
      <c r="F116" s="1" t="s">
        <v>3186</v>
      </c>
      <c r="G116" s="1" t="s">
        <v>3187</v>
      </c>
      <c r="H116" s="1" t="s">
        <v>3188</v>
      </c>
      <c r="I116" s="1" t="s">
        <v>3189</v>
      </c>
      <c r="J116" s="1" t="s">
        <v>3190</v>
      </c>
      <c r="K116" s="1" t="s">
        <v>3191</v>
      </c>
      <c r="L116" s="1" t="s">
        <v>3192</v>
      </c>
      <c r="M116" s="1" t="s">
        <v>3193</v>
      </c>
      <c r="N116" s="1" t="s">
        <v>3194</v>
      </c>
      <c r="O116" s="1" t="s">
        <v>3195</v>
      </c>
      <c r="P116" s="1" t="s">
        <v>3196</v>
      </c>
      <c r="Q116" s="1" t="s">
        <v>588</v>
      </c>
      <c r="R116" s="1" t="s">
        <v>3197</v>
      </c>
      <c r="S116" s="1" t="s">
        <v>3198</v>
      </c>
      <c r="T116" s="1" t="s">
        <v>3199</v>
      </c>
      <c r="U116" s="1" t="s">
        <v>3200</v>
      </c>
      <c r="V116" s="1" t="s">
        <v>3201</v>
      </c>
      <c r="W116" s="1" t="s">
        <v>3202</v>
      </c>
      <c r="X116" s="1" t="s">
        <v>1691</v>
      </c>
      <c r="Y116" s="1" t="s">
        <v>3203</v>
      </c>
      <c r="Z116" s="1" t="s">
        <v>3204</v>
      </c>
      <c r="AA116" s="1" t="s">
        <v>1396</v>
      </c>
      <c r="AB116" s="1" t="s">
        <v>3205</v>
      </c>
      <c r="AC116" s="1" t="s">
        <v>3206</v>
      </c>
    </row>
    <row r="117" spans="1:29" ht="42.75" x14ac:dyDescent="0.45">
      <c r="A117" s="5" t="s">
        <v>111</v>
      </c>
      <c r="B117" s="2">
        <v>4010641</v>
      </c>
      <c r="C117" s="1" t="s">
        <v>3207</v>
      </c>
      <c r="D117" s="1" t="s">
        <v>3208</v>
      </c>
      <c r="E117" s="1" t="s">
        <v>3209</v>
      </c>
      <c r="F117" s="1" t="s">
        <v>3210</v>
      </c>
      <c r="G117" s="1" t="s">
        <v>3211</v>
      </c>
      <c r="H117" s="1" t="s">
        <v>3212</v>
      </c>
      <c r="I117" s="1" t="s">
        <v>3213</v>
      </c>
      <c r="J117" s="1" t="s">
        <v>1831</v>
      </c>
      <c r="K117" s="1" t="s">
        <v>3214</v>
      </c>
      <c r="L117" s="1" t="s">
        <v>2812</v>
      </c>
      <c r="M117" s="1" t="s">
        <v>3215</v>
      </c>
      <c r="N117" s="1" t="s">
        <v>3216</v>
      </c>
      <c r="O117" s="1" t="s">
        <v>3217</v>
      </c>
      <c r="P117" s="1" t="s">
        <v>3218</v>
      </c>
      <c r="Q117" s="1" t="s">
        <v>3219</v>
      </c>
      <c r="R117" s="1" t="s">
        <v>3220</v>
      </c>
      <c r="S117" s="1" t="s">
        <v>3221</v>
      </c>
      <c r="T117" s="1" t="s">
        <v>3222</v>
      </c>
      <c r="U117" s="1" t="s">
        <v>3223</v>
      </c>
      <c r="V117" s="1" t="s">
        <v>3224</v>
      </c>
      <c r="W117" s="1" t="s">
        <v>3225</v>
      </c>
      <c r="X117" s="1" t="s">
        <v>671</v>
      </c>
      <c r="Y117" s="1" t="s">
        <v>3226</v>
      </c>
      <c r="Z117" s="1" t="s">
        <v>3227</v>
      </c>
      <c r="AA117" s="1" t="s">
        <v>3228</v>
      </c>
      <c r="AB117" s="1" t="s">
        <v>3229</v>
      </c>
      <c r="AC117" s="1" t="s">
        <v>2709</v>
      </c>
    </row>
    <row r="118" spans="1:29" ht="42.75" x14ac:dyDescent="0.45">
      <c r="A118" s="5" t="s">
        <v>112</v>
      </c>
      <c r="B118" s="2">
        <v>8603803</v>
      </c>
      <c r="C118" s="1" t="s">
        <v>3230</v>
      </c>
      <c r="D118" s="1" t="s">
        <v>3231</v>
      </c>
      <c r="E118" s="1" t="s">
        <v>2070</v>
      </c>
      <c r="F118" s="1" t="s">
        <v>3232</v>
      </c>
      <c r="G118" s="1" t="s">
        <v>3233</v>
      </c>
      <c r="H118" s="1" t="s">
        <v>3234</v>
      </c>
      <c r="I118" s="1" t="s">
        <v>3235</v>
      </c>
      <c r="J118" s="1" t="s">
        <v>3236</v>
      </c>
      <c r="K118" s="1" t="s">
        <v>3237</v>
      </c>
      <c r="L118" s="1" t="s">
        <v>3238</v>
      </c>
      <c r="M118" s="1" t="s">
        <v>3239</v>
      </c>
      <c r="N118" s="1" t="s">
        <v>3240</v>
      </c>
      <c r="O118" s="1" t="s">
        <v>3241</v>
      </c>
      <c r="P118" s="1" t="s">
        <v>3242</v>
      </c>
      <c r="Q118" s="1" t="s">
        <v>3243</v>
      </c>
      <c r="R118" s="1" t="s">
        <v>1358</v>
      </c>
      <c r="S118" s="1" t="s">
        <v>3244</v>
      </c>
      <c r="T118" s="1" t="s">
        <v>3245</v>
      </c>
      <c r="U118" s="1" t="s">
        <v>3246</v>
      </c>
      <c r="V118" s="1" t="s">
        <v>3247</v>
      </c>
      <c r="W118" s="1" t="s">
        <v>3128</v>
      </c>
      <c r="X118" s="1" t="s">
        <v>3248</v>
      </c>
      <c r="Y118" s="1" t="s">
        <v>3249</v>
      </c>
      <c r="Z118" s="1" t="s">
        <v>3250</v>
      </c>
      <c r="AA118" s="1" t="s">
        <v>3251</v>
      </c>
      <c r="AB118" s="1" t="s">
        <v>2454</v>
      </c>
      <c r="AC118" s="1" t="s">
        <v>3252</v>
      </c>
    </row>
    <row r="119" spans="1:29" ht="42.75" x14ac:dyDescent="0.45">
      <c r="A119" s="5" t="s">
        <v>113</v>
      </c>
      <c r="B119" s="2">
        <v>103054</v>
      </c>
      <c r="C119" s="1" t="s">
        <v>3253</v>
      </c>
      <c r="D119" s="1" t="s">
        <v>3254</v>
      </c>
      <c r="E119" s="1" t="s">
        <v>1950</v>
      </c>
      <c r="F119" s="1" t="s">
        <v>3255</v>
      </c>
      <c r="G119" s="1" t="s">
        <v>3256</v>
      </c>
      <c r="H119" s="1" t="s">
        <v>3257</v>
      </c>
      <c r="I119" s="1" t="s">
        <v>3258</v>
      </c>
      <c r="J119" s="1" t="s">
        <v>3259</v>
      </c>
      <c r="K119" s="1" t="s">
        <v>3260</v>
      </c>
      <c r="L119" s="1" t="s">
        <v>1452</v>
      </c>
      <c r="M119" s="1" t="s">
        <v>1112</v>
      </c>
      <c r="N119" s="1" t="s">
        <v>3261</v>
      </c>
      <c r="O119" s="1" t="s">
        <v>3262</v>
      </c>
      <c r="P119" s="1" t="s">
        <v>3263</v>
      </c>
      <c r="Q119" s="1" t="s">
        <v>1098</v>
      </c>
      <c r="R119" s="1" t="s">
        <v>1529</v>
      </c>
      <c r="S119" s="1" t="s">
        <v>3264</v>
      </c>
      <c r="T119" s="1" t="s">
        <v>542</v>
      </c>
      <c r="U119" s="1" t="s">
        <v>2976</v>
      </c>
      <c r="V119" s="1" t="s">
        <v>3265</v>
      </c>
      <c r="W119" s="1" t="s">
        <v>3266</v>
      </c>
      <c r="X119" s="1" t="s">
        <v>3267</v>
      </c>
      <c r="Y119" s="1" t="s">
        <v>3268</v>
      </c>
      <c r="Z119" s="1" t="s">
        <v>3269</v>
      </c>
      <c r="AA119" s="1" t="s">
        <v>3270</v>
      </c>
      <c r="AB119" s="1" t="s">
        <v>3271</v>
      </c>
      <c r="AC119" s="1" t="s">
        <v>3272</v>
      </c>
    </row>
    <row r="120" spans="1:29" ht="57" x14ac:dyDescent="0.45">
      <c r="A120" s="5" t="s">
        <v>114</v>
      </c>
      <c r="B120" s="2">
        <v>4021829</v>
      </c>
      <c r="C120" s="1" t="s">
        <v>3273</v>
      </c>
      <c r="D120" s="1" t="s">
        <v>3274</v>
      </c>
      <c r="E120" s="1" t="s">
        <v>3275</v>
      </c>
      <c r="F120" s="1" t="s">
        <v>3276</v>
      </c>
      <c r="G120" s="1" t="s">
        <v>3277</v>
      </c>
      <c r="H120" s="1" t="s">
        <v>3278</v>
      </c>
      <c r="I120" s="1" t="s">
        <v>3279</v>
      </c>
      <c r="J120" s="1" t="s">
        <v>3280</v>
      </c>
      <c r="K120" s="1" t="s">
        <v>3281</v>
      </c>
      <c r="L120" s="1" t="s">
        <v>3282</v>
      </c>
      <c r="M120" s="1" t="s">
        <v>1451</v>
      </c>
      <c r="N120" s="1" t="s">
        <v>3283</v>
      </c>
      <c r="O120" s="1" t="s">
        <v>3284</v>
      </c>
      <c r="P120" s="1" t="s">
        <v>3285</v>
      </c>
      <c r="Q120" s="1" t="s">
        <v>3286</v>
      </c>
      <c r="R120" s="1" t="s">
        <v>1065</v>
      </c>
      <c r="S120" s="1" t="s">
        <v>2368</v>
      </c>
      <c r="T120" s="1" t="s">
        <v>677</v>
      </c>
      <c r="U120" s="1" t="s">
        <v>1435</v>
      </c>
      <c r="V120" s="1" t="s">
        <v>973</v>
      </c>
      <c r="W120" s="1" t="s">
        <v>3287</v>
      </c>
      <c r="X120" s="1" t="s">
        <v>2872</v>
      </c>
      <c r="Y120" s="1" t="s">
        <v>1987</v>
      </c>
      <c r="Z120" s="1" t="s">
        <v>3288</v>
      </c>
      <c r="AA120" s="1" t="s">
        <v>3289</v>
      </c>
      <c r="AB120" s="1" t="s">
        <v>3290</v>
      </c>
      <c r="AC120" s="1" t="s">
        <v>3291</v>
      </c>
    </row>
    <row r="121" spans="1:29" ht="42.75" x14ac:dyDescent="0.45">
      <c r="A121" s="5" t="s">
        <v>115</v>
      </c>
      <c r="B121" s="2">
        <v>108391</v>
      </c>
      <c r="C121" s="1" t="s">
        <v>3292</v>
      </c>
      <c r="D121" s="1" t="s">
        <v>3293</v>
      </c>
      <c r="E121" s="1" t="s">
        <v>487</v>
      </c>
      <c r="F121" s="1" t="s">
        <v>3294</v>
      </c>
      <c r="G121" s="1" t="s">
        <v>3295</v>
      </c>
      <c r="H121" s="1" t="s">
        <v>3296</v>
      </c>
      <c r="I121" s="1" t="s">
        <v>3297</v>
      </c>
      <c r="J121" s="1" t="s">
        <v>3298</v>
      </c>
      <c r="K121" s="1" t="s">
        <v>3299</v>
      </c>
      <c r="L121" s="1" t="s">
        <v>3300</v>
      </c>
      <c r="M121" s="1" t="s">
        <v>3301</v>
      </c>
      <c r="N121" s="1" t="s">
        <v>3173</v>
      </c>
      <c r="O121" s="1" t="s">
        <v>3302</v>
      </c>
      <c r="P121" s="1" t="s">
        <v>3303</v>
      </c>
      <c r="Q121" s="1" t="s">
        <v>3304</v>
      </c>
      <c r="R121" s="1" t="s">
        <v>3305</v>
      </c>
      <c r="S121" s="1" t="s">
        <v>3306</v>
      </c>
      <c r="T121" s="1" t="s">
        <v>738</v>
      </c>
      <c r="U121" s="1" t="s">
        <v>3307</v>
      </c>
      <c r="V121" s="1" t="s">
        <v>3308</v>
      </c>
      <c r="W121" s="1" t="s">
        <v>3309</v>
      </c>
      <c r="X121" s="1" t="s">
        <v>3310</v>
      </c>
      <c r="Y121" s="1" t="s">
        <v>3311</v>
      </c>
      <c r="Z121" s="1" t="s">
        <v>3312</v>
      </c>
      <c r="AA121" s="1" t="s">
        <v>3313</v>
      </c>
      <c r="AB121" s="1" t="s">
        <v>3314</v>
      </c>
      <c r="AC121" s="1" t="s">
        <v>3315</v>
      </c>
    </row>
    <row r="122" spans="1:29" ht="71.25" x14ac:dyDescent="0.45">
      <c r="A122" s="5" t="s">
        <v>116</v>
      </c>
      <c r="B122" s="2">
        <v>102771</v>
      </c>
      <c r="C122" s="1" t="s">
        <v>3316</v>
      </c>
      <c r="D122" s="1" t="s">
        <v>3317</v>
      </c>
      <c r="E122" s="1" t="s">
        <v>3318</v>
      </c>
      <c r="F122" s="1" t="s">
        <v>3319</v>
      </c>
      <c r="G122" s="1" t="s">
        <v>3320</v>
      </c>
      <c r="H122" s="1" t="s">
        <v>3321</v>
      </c>
      <c r="I122" s="1" t="s">
        <v>573</v>
      </c>
      <c r="J122" s="1" t="s">
        <v>1682</v>
      </c>
      <c r="K122" s="1" t="s">
        <v>3322</v>
      </c>
      <c r="L122" s="1" t="s">
        <v>2295</v>
      </c>
      <c r="M122" s="1" t="s">
        <v>3323</v>
      </c>
      <c r="N122" s="1" t="s">
        <v>3324</v>
      </c>
      <c r="O122" s="1" t="s">
        <v>3325</v>
      </c>
      <c r="P122" s="1" t="s">
        <v>3326</v>
      </c>
      <c r="Q122" s="1" t="s">
        <v>3327</v>
      </c>
      <c r="R122" s="1" t="s">
        <v>3328</v>
      </c>
      <c r="S122" s="1" t="s">
        <v>3329</v>
      </c>
      <c r="T122" s="1" t="s">
        <v>3330</v>
      </c>
      <c r="U122" s="1" t="s">
        <v>3331</v>
      </c>
      <c r="V122" s="1" t="s">
        <v>3332</v>
      </c>
      <c r="W122" s="1" t="s">
        <v>3333</v>
      </c>
      <c r="X122" s="1" t="s">
        <v>3334</v>
      </c>
      <c r="Y122" s="1" t="s">
        <v>3335</v>
      </c>
      <c r="Z122" s="1" t="s">
        <v>3336</v>
      </c>
      <c r="AA122" s="1" t="s">
        <v>3337</v>
      </c>
      <c r="AB122" s="1" t="s">
        <v>572</v>
      </c>
      <c r="AC122" s="1" t="s">
        <v>2716</v>
      </c>
    </row>
    <row r="123" spans="1:29" ht="71.25" x14ac:dyDescent="0.45">
      <c r="A123" s="5" t="s">
        <v>117</v>
      </c>
      <c r="B123" s="2">
        <v>4209632</v>
      </c>
      <c r="C123" s="1" t="s">
        <v>3338</v>
      </c>
      <c r="D123" s="1" t="s">
        <v>3339</v>
      </c>
      <c r="E123" s="1" t="s">
        <v>3340</v>
      </c>
      <c r="F123" s="1" t="s">
        <v>3341</v>
      </c>
      <c r="G123" s="1" t="s">
        <v>3342</v>
      </c>
      <c r="H123" s="1" t="s">
        <v>3343</v>
      </c>
      <c r="I123" s="1" t="s">
        <v>3344</v>
      </c>
      <c r="J123" s="1" t="s">
        <v>1630</v>
      </c>
      <c r="K123" s="1" t="s">
        <v>3345</v>
      </c>
      <c r="L123" s="1" t="s">
        <v>1172</v>
      </c>
      <c r="M123" s="1" t="s">
        <v>951</v>
      </c>
      <c r="N123" s="1" t="s">
        <v>3346</v>
      </c>
      <c r="O123" s="1" t="s">
        <v>3347</v>
      </c>
      <c r="P123" s="1" t="s">
        <v>3348</v>
      </c>
      <c r="Q123" s="1" t="s">
        <v>1505</v>
      </c>
      <c r="R123" s="1" t="s">
        <v>3349</v>
      </c>
      <c r="S123" s="1" t="s">
        <v>3350</v>
      </c>
      <c r="T123" s="1" t="s">
        <v>3351</v>
      </c>
      <c r="U123" s="1" t="s">
        <v>3352</v>
      </c>
      <c r="V123" s="1" t="s">
        <v>1444</v>
      </c>
      <c r="W123" s="1" t="s">
        <v>3353</v>
      </c>
      <c r="X123" s="1" t="s">
        <v>3354</v>
      </c>
      <c r="Y123" s="1" t="s">
        <v>3355</v>
      </c>
      <c r="Z123" s="1" t="s">
        <v>3356</v>
      </c>
      <c r="AA123" s="1" t="s">
        <v>3357</v>
      </c>
      <c r="AB123" s="1" t="s">
        <v>3358</v>
      </c>
      <c r="AC123" s="1" t="s">
        <v>3359</v>
      </c>
    </row>
    <row r="124" spans="1:29" ht="57" x14ac:dyDescent="0.45">
      <c r="A124" s="5" t="s">
        <v>118</v>
      </c>
      <c r="B124" s="2">
        <v>4990366</v>
      </c>
      <c r="C124" s="1" t="s">
        <v>3360</v>
      </c>
      <c r="D124" s="1" t="s">
        <v>3361</v>
      </c>
      <c r="E124" s="1" t="s">
        <v>2046</v>
      </c>
      <c r="F124" s="1" t="s">
        <v>3362</v>
      </c>
      <c r="G124" s="1" t="s">
        <v>3363</v>
      </c>
      <c r="H124" s="1" t="s">
        <v>3364</v>
      </c>
      <c r="I124" s="1" t="s">
        <v>3365</v>
      </c>
      <c r="J124" s="1" t="s">
        <v>3366</v>
      </c>
      <c r="K124" s="1" t="s">
        <v>3367</v>
      </c>
      <c r="L124" s="1" t="s">
        <v>3368</v>
      </c>
      <c r="M124" s="1" t="s">
        <v>3136</v>
      </c>
      <c r="N124" s="1" t="s">
        <v>3369</v>
      </c>
      <c r="O124" s="1" t="s">
        <v>3370</v>
      </c>
      <c r="P124" s="1" t="s">
        <v>2360</v>
      </c>
      <c r="Q124" s="1" t="s">
        <v>3371</v>
      </c>
      <c r="R124" s="1" t="s">
        <v>3372</v>
      </c>
      <c r="S124" s="1" t="s">
        <v>3373</v>
      </c>
      <c r="T124" s="1" t="s">
        <v>3374</v>
      </c>
      <c r="U124" s="1" t="s">
        <v>3375</v>
      </c>
      <c r="V124" s="1" t="s">
        <v>3376</v>
      </c>
      <c r="W124" s="1" t="s">
        <v>3377</v>
      </c>
      <c r="X124" s="1" t="s">
        <v>3378</v>
      </c>
      <c r="Y124" s="1" t="s">
        <v>3379</v>
      </c>
      <c r="Z124" s="1" t="s">
        <v>2323</v>
      </c>
      <c r="AA124" s="1" t="s">
        <v>3380</v>
      </c>
      <c r="AB124" s="1" t="s">
        <v>3381</v>
      </c>
      <c r="AC124" s="1" t="s">
        <v>3382</v>
      </c>
    </row>
    <row r="125" spans="1:29" ht="42.75" x14ac:dyDescent="0.45">
      <c r="A125" s="5" t="s">
        <v>119</v>
      </c>
      <c r="B125" s="2">
        <v>4075105</v>
      </c>
      <c r="C125" s="1" t="s">
        <v>3383</v>
      </c>
      <c r="D125" s="1" t="s">
        <v>3384</v>
      </c>
      <c r="E125" s="1" t="s">
        <v>3385</v>
      </c>
      <c r="F125" s="1" t="s">
        <v>3386</v>
      </c>
      <c r="G125" s="1" t="s">
        <v>3387</v>
      </c>
      <c r="H125" s="1" t="s">
        <v>3388</v>
      </c>
      <c r="I125" s="1" t="s">
        <v>3389</v>
      </c>
      <c r="J125" s="1" t="s">
        <v>3390</v>
      </c>
      <c r="K125" s="1" t="s">
        <v>1830</v>
      </c>
      <c r="L125" s="1" t="s">
        <v>3391</v>
      </c>
      <c r="M125" s="1" t="s">
        <v>2281</v>
      </c>
      <c r="N125" s="1" t="s">
        <v>3392</v>
      </c>
      <c r="O125" s="1" t="s">
        <v>3393</v>
      </c>
      <c r="P125" s="1" t="s">
        <v>3394</v>
      </c>
      <c r="Q125" s="1" t="s">
        <v>3395</v>
      </c>
      <c r="R125" s="1" t="s">
        <v>3396</v>
      </c>
      <c r="S125" s="1" t="s">
        <v>3397</v>
      </c>
      <c r="T125" s="1" t="s">
        <v>3398</v>
      </c>
      <c r="U125" s="1" t="s">
        <v>3399</v>
      </c>
      <c r="V125" s="1" t="s">
        <v>3400</v>
      </c>
      <c r="W125" s="1" t="s">
        <v>3401</v>
      </c>
      <c r="X125" s="1" t="s">
        <v>3402</v>
      </c>
      <c r="Y125" s="1" t="s">
        <v>3403</v>
      </c>
      <c r="Z125" s="1" t="s">
        <v>3404</v>
      </c>
      <c r="AA125" s="1" t="s">
        <v>3405</v>
      </c>
      <c r="AB125" s="1" t="s">
        <v>3406</v>
      </c>
      <c r="AC125" s="1" t="s">
        <v>3407</v>
      </c>
    </row>
    <row r="126" spans="1:29" ht="42.75" x14ac:dyDescent="0.45">
      <c r="A126" s="5" t="s">
        <v>120</v>
      </c>
      <c r="B126" s="2">
        <v>4062407</v>
      </c>
      <c r="C126" s="1" t="s">
        <v>3408</v>
      </c>
      <c r="D126" s="1" t="s">
        <v>3409</v>
      </c>
      <c r="E126" s="1" t="s">
        <v>3410</v>
      </c>
      <c r="F126" s="1" t="s">
        <v>3411</v>
      </c>
      <c r="G126" s="1" t="s">
        <v>3412</v>
      </c>
      <c r="H126" s="1" t="s">
        <v>3413</v>
      </c>
      <c r="I126" s="1" t="s">
        <v>3414</v>
      </c>
      <c r="J126" s="1" t="s">
        <v>3415</v>
      </c>
      <c r="K126" s="1" t="s">
        <v>3416</v>
      </c>
      <c r="L126" s="1" t="s">
        <v>3417</v>
      </c>
      <c r="M126" s="1" t="s">
        <v>3418</v>
      </c>
      <c r="N126" s="1" t="s">
        <v>1615</v>
      </c>
      <c r="O126" s="1" t="s">
        <v>3419</v>
      </c>
      <c r="P126" s="1" t="s">
        <v>3420</v>
      </c>
      <c r="Q126" s="1" t="s">
        <v>3421</v>
      </c>
      <c r="R126" s="1" t="s">
        <v>3422</v>
      </c>
      <c r="S126" s="1" t="s">
        <v>3423</v>
      </c>
      <c r="T126" s="1" t="s">
        <v>3424</v>
      </c>
      <c r="U126" s="1" t="s">
        <v>3425</v>
      </c>
      <c r="V126" s="1" t="s">
        <v>3426</v>
      </c>
      <c r="W126" s="1" t="s">
        <v>3427</v>
      </c>
      <c r="X126" s="1" t="s">
        <v>3428</v>
      </c>
      <c r="Y126" s="1" t="s">
        <v>3429</v>
      </c>
      <c r="Z126" s="1" t="s">
        <v>3430</v>
      </c>
      <c r="AA126" s="1" t="s">
        <v>3431</v>
      </c>
      <c r="AB126" s="1" t="s">
        <v>3432</v>
      </c>
      <c r="AC126" s="1" t="s">
        <v>3413</v>
      </c>
    </row>
    <row r="127" spans="1:29" ht="57" x14ac:dyDescent="0.45">
      <c r="A127" s="5" t="s">
        <v>121</v>
      </c>
      <c r="B127" s="2">
        <v>4633618</v>
      </c>
      <c r="C127" s="1" t="s">
        <v>3433</v>
      </c>
      <c r="D127" s="1" t="s">
        <v>3434</v>
      </c>
      <c r="E127" s="1" t="s">
        <v>3435</v>
      </c>
      <c r="F127" s="1" t="s">
        <v>3436</v>
      </c>
      <c r="G127" s="1" t="s">
        <v>3437</v>
      </c>
      <c r="H127" s="1" t="s">
        <v>3438</v>
      </c>
      <c r="I127" s="1" t="s">
        <v>3439</v>
      </c>
      <c r="J127" s="1" t="s">
        <v>3440</v>
      </c>
      <c r="K127" s="1" t="s">
        <v>3441</v>
      </c>
      <c r="L127" s="1" t="s">
        <v>3442</v>
      </c>
      <c r="M127" s="1" t="s">
        <v>3443</v>
      </c>
      <c r="N127" s="1" t="s">
        <v>3444</v>
      </c>
      <c r="O127" s="1" t="s">
        <v>3445</v>
      </c>
      <c r="P127" s="1" t="s">
        <v>2344</v>
      </c>
      <c r="Q127" s="1" t="s">
        <v>590</v>
      </c>
      <c r="R127" s="1" t="s">
        <v>3446</v>
      </c>
      <c r="S127" s="1" t="s">
        <v>3447</v>
      </c>
      <c r="T127" s="1" t="s">
        <v>2445</v>
      </c>
      <c r="U127" s="1" t="s">
        <v>3448</v>
      </c>
      <c r="V127" s="1" t="s">
        <v>3449</v>
      </c>
      <c r="W127" s="1" t="s">
        <v>3450</v>
      </c>
      <c r="X127" s="1" t="s">
        <v>3451</v>
      </c>
      <c r="Y127" s="1" t="s">
        <v>3452</v>
      </c>
      <c r="Z127" s="1" t="s">
        <v>3453</v>
      </c>
      <c r="AA127" s="1" t="s">
        <v>2360</v>
      </c>
      <c r="AB127" s="1" t="s">
        <v>3454</v>
      </c>
      <c r="AC127" s="1" t="s">
        <v>3455</v>
      </c>
    </row>
    <row r="128" spans="1:29" ht="57" x14ac:dyDescent="0.45">
      <c r="A128" s="5" t="s">
        <v>122</v>
      </c>
      <c r="B128" s="2">
        <v>103094</v>
      </c>
      <c r="C128" s="1" t="s">
        <v>3456</v>
      </c>
      <c r="D128" s="1" t="s">
        <v>3457</v>
      </c>
      <c r="E128" s="1" t="s">
        <v>1950</v>
      </c>
      <c r="F128" s="1" t="s">
        <v>3458</v>
      </c>
      <c r="G128" s="1" t="s">
        <v>1049</v>
      </c>
      <c r="H128" s="1" t="s">
        <v>1605</v>
      </c>
      <c r="I128" s="1" t="s">
        <v>3459</v>
      </c>
      <c r="J128" s="1" t="s">
        <v>3460</v>
      </c>
      <c r="K128" s="1" t="s">
        <v>3461</v>
      </c>
      <c r="L128" s="1" t="s">
        <v>2312</v>
      </c>
      <c r="M128" s="1" t="s">
        <v>3462</v>
      </c>
      <c r="N128" s="1" t="s">
        <v>3463</v>
      </c>
      <c r="O128" s="1" t="s">
        <v>685</v>
      </c>
      <c r="P128" s="1" t="s">
        <v>3464</v>
      </c>
      <c r="Q128" s="1" t="s">
        <v>1068</v>
      </c>
      <c r="R128" s="1" t="s">
        <v>744</v>
      </c>
      <c r="S128" s="1" t="s">
        <v>745</v>
      </c>
      <c r="T128" s="1" t="s">
        <v>1447</v>
      </c>
      <c r="U128" s="1" t="s">
        <v>3465</v>
      </c>
      <c r="V128" s="1" t="s">
        <v>553</v>
      </c>
      <c r="W128" s="1" t="s">
        <v>3466</v>
      </c>
      <c r="X128" s="1" t="s">
        <v>1429</v>
      </c>
      <c r="Y128" s="1" t="s">
        <v>3467</v>
      </c>
      <c r="Z128" s="1" t="s">
        <v>3468</v>
      </c>
      <c r="AA128" s="1" t="s">
        <v>3469</v>
      </c>
      <c r="AB128" s="1" t="s">
        <v>3470</v>
      </c>
      <c r="AC128" s="1" t="s">
        <v>3471</v>
      </c>
    </row>
    <row r="129" spans="1:29" ht="71.25" x14ac:dyDescent="0.45">
      <c r="A129" s="5" t="s">
        <v>123</v>
      </c>
      <c r="B129" s="2">
        <v>4318651</v>
      </c>
      <c r="C129" s="1" t="s">
        <v>3472</v>
      </c>
      <c r="D129" s="1" t="s">
        <v>3473</v>
      </c>
      <c r="E129" s="1" t="s">
        <v>835</v>
      </c>
      <c r="F129" s="1" t="s">
        <v>2422</v>
      </c>
      <c r="G129" s="1" t="s">
        <v>3474</v>
      </c>
      <c r="H129" s="1" t="s">
        <v>3475</v>
      </c>
      <c r="I129" s="1" t="s">
        <v>3476</v>
      </c>
      <c r="J129" s="1" t="s">
        <v>3477</v>
      </c>
      <c r="K129" s="1" t="s">
        <v>3478</v>
      </c>
      <c r="L129" s="1" t="s">
        <v>3479</v>
      </c>
      <c r="M129" s="1" t="s">
        <v>3480</v>
      </c>
      <c r="N129" s="1" t="s">
        <v>3481</v>
      </c>
      <c r="O129" s="1" t="s">
        <v>2442</v>
      </c>
      <c r="P129" s="1" t="s">
        <v>3482</v>
      </c>
      <c r="Q129" s="1" t="s">
        <v>3483</v>
      </c>
      <c r="R129" s="1" t="s">
        <v>3153</v>
      </c>
      <c r="S129" s="1" t="s">
        <v>3484</v>
      </c>
      <c r="T129" s="1" t="s">
        <v>3485</v>
      </c>
      <c r="U129" s="1" t="s">
        <v>3486</v>
      </c>
      <c r="V129" s="1" t="s">
        <v>3375</v>
      </c>
      <c r="W129" s="1" t="s">
        <v>3487</v>
      </c>
      <c r="X129" s="1" t="s">
        <v>3488</v>
      </c>
      <c r="Y129" s="1" t="s">
        <v>2638</v>
      </c>
      <c r="Z129" s="1" t="s">
        <v>3489</v>
      </c>
      <c r="AA129" s="1" t="s">
        <v>3490</v>
      </c>
      <c r="AB129" s="1" t="s">
        <v>3491</v>
      </c>
      <c r="AC129" s="1" t="s">
        <v>1167</v>
      </c>
    </row>
    <row r="130" spans="1:29" ht="71.25" x14ac:dyDescent="0.45">
      <c r="A130" s="5" t="s">
        <v>124</v>
      </c>
      <c r="B130" s="2">
        <v>4276840</v>
      </c>
      <c r="C130" s="1" t="s">
        <v>3492</v>
      </c>
      <c r="D130" s="1" t="s">
        <v>3493</v>
      </c>
      <c r="E130" s="1" t="s">
        <v>3494</v>
      </c>
      <c r="F130" s="1" t="s">
        <v>3495</v>
      </c>
      <c r="G130" s="1" t="s">
        <v>3495</v>
      </c>
      <c r="H130" s="1" t="s">
        <v>3496</v>
      </c>
      <c r="I130" s="1" t="s">
        <v>1663</v>
      </c>
      <c r="J130" s="1" t="s">
        <v>3497</v>
      </c>
      <c r="K130" s="1" t="s">
        <v>3498</v>
      </c>
      <c r="L130" s="1" t="s">
        <v>3499</v>
      </c>
      <c r="M130" s="1" t="s">
        <v>1833</v>
      </c>
      <c r="N130" s="1" t="s">
        <v>3500</v>
      </c>
      <c r="O130" s="1" t="s">
        <v>3501</v>
      </c>
      <c r="P130" s="1" t="s">
        <v>3502</v>
      </c>
      <c r="Q130" s="1" t="s">
        <v>3503</v>
      </c>
      <c r="R130" s="1" t="s">
        <v>3504</v>
      </c>
      <c r="S130" s="1" t="s">
        <v>3505</v>
      </c>
      <c r="T130" s="1" t="s">
        <v>3506</v>
      </c>
      <c r="U130" s="1" t="s">
        <v>1331</v>
      </c>
      <c r="V130" s="1" t="s">
        <v>3507</v>
      </c>
      <c r="W130" s="1" t="s">
        <v>2449</v>
      </c>
      <c r="X130" s="1" t="s">
        <v>3508</v>
      </c>
      <c r="Y130" s="1" t="s">
        <v>3509</v>
      </c>
      <c r="Z130" s="1" t="s">
        <v>3510</v>
      </c>
      <c r="AA130" s="1" t="s">
        <v>1680</v>
      </c>
      <c r="AB130" s="1" t="s">
        <v>2814</v>
      </c>
      <c r="AC130" s="1" t="s">
        <v>3511</v>
      </c>
    </row>
    <row r="131" spans="1:29" ht="57" x14ac:dyDescent="0.45">
      <c r="A131" s="5" t="s">
        <v>125</v>
      </c>
      <c r="B131" s="2">
        <v>4812263</v>
      </c>
      <c r="C131" s="1" t="s">
        <v>3512</v>
      </c>
      <c r="D131" s="1" t="s">
        <v>3513</v>
      </c>
      <c r="E131" s="1" t="s">
        <v>994</v>
      </c>
      <c r="F131" s="1" t="s">
        <v>3514</v>
      </c>
      <c r="G131" s="1" t="s">
        <v>2937</v>
      </c>
      <c r="H131" s="1" t="s">
        <v>3515</v>
      </c>
      <c r="I131" s="1" t="s">
        <v>3516</v>
      </c>
      <c r="J131" s="1" t="s">
        <v>2793</v>
      </c>
      <c r="K131" s="1" t="s">
        <v>3517</v>
      </c>
      <c r="L131" s="1" t="s">
        <v>3518</v>
      </c>
      <c r="M131" s="1" t="s">
        <v>3519</v>
      </c>
      <c r="N131" s="1" t="s">
        <v>1329</v>
      </c>
      <c r="O131" s="1" t="s">
        <v>1678</v>
      </c>
      <c r="P131" s="1" t="s">
        <v>3520</v>
      </c>
      <c r="Q131" s="1" t="s">
        <v>3521</v>
      </c>
      <c r="R131" s="1" t="s">
        <v>3522</v>
      </c>
      <c r="S131" s="1" t="s">
        <v>3523</v>
      </c>
      <c r="T131" s="1" t="s">
        <v>3524</v>
      </c>
      <c r="U131" s="1" t="s">
        <v>3525</v>
      </c>
      <c r="V131" s="1" t="s">
        <v>3526</v>
      </c>
      <c r="W131" s="1" t="s">
        <v>3527</v>
      </c>
      <c r="X131" s="1" t="s">
        <v>3528</v>
      </c>
      <c r="Y131" s="1" t="s">
        <v>3529</v>
      </c>
      <c r="Z131" s="1" t="s">
        <v>3530</v>
      </c>
      <c r="AA131" s="1" t="s">
        <v>3531</v>
      </c>
      <c r="AB131" s="1" t="s">
        <v>2805</v>
      </c>
      <c r="AC131" s="1" t="s">
        <v>3532</v>
      </c>
    </row>
    <row r="132" spans="1:29" ht="57" x14ac:dyDescent="0.45">
      <c r="A132" s="5" t="s">
        <v>126</v>
      </c>
      <c r="B132" s="2">
        <v>103118</v>
      </c>
      <c r="C132" s="1" t="s">
        <v>3533</v>
      </c>
      <c r="D132" s="1" t="s">
        <v>3534</v>
      </c>
      <c r="E132" s="1" t="s">
        <v>2147</v>
      </c>
      <c r="F132" s="1" t="s">
        <v>1470</v>
      </c>
      <c r="G132" s="1" t="s">
        <v>3535</v>
      </c>
      <c r="H132" s="1" t="s">
        <v>3536</v>
      </c>
      <c r="I132" s="1" t="s">
        <v>3537</v>
      </c>
      <c r="J132" s="1" t="s">
        <v>3538</v>
      </c>
      <c r="K132" s="1" t="s">
        <v>3539</v>
      </c>
      <c r="L132" s="1" t="s">
        <v>3540</v>
      </c>
      <c r="M132" s="1" t="s">
        <v>3541</v>
      </c>
      <c r="N132" s="1" t="s">
        <v>3542</v>
      </c>
      <c r="O132" s="1" t="s">
        <v>3543</v>
      </c>
      <c r="P132" s="1" t="s">
        <v>3544</v>
      </c>
      <c r="Q132" s="1" t="s">
        <v>3545</v>
      </c>
      <c r="R132" s="1" t="s">
        <v>3546</v>
      </c>
      <c r="S132" s="1" t="s">
        <v>3547</v>
      </c>
      <c r="T132" s="1" t="s">
        <v>3548</v>
      </c>
      <c r="U132" s="1" t="s">
        <v>1689</v>
      </c>
      <c r="V132" s="1" t="s">
        <v>3549</v>
      </c>
      <c r="W132" s="1" t="s">
        <v>3550</v>
      </c>
      <c r="X132" s="1" t="s">
        <v>3551</v>
      </c>
      <c r="Y132" s="1" t="s">
        <v>3552</v>
      </c>
      <c r="Z132" s="1" t="s">
        <v>3553</v>
      </c>
      <c r="AA132" s="1" t="s">
        <v>3554</v>
      </c>
      <c r="AB132" s="1" t="s">
        <v>3521</v>
      </c>
      <c r="AC132" s="1" t="s">
        <v>3555</v>
      </c>
    </row>
    <row r="133" spans="1:29" ht="71.25" x14ac:dyDescent="0.45">
      <c r="A133" s="5" t="s">
        <v>127</v>
      </c>
      <c r="B133" s="2">
        <v>4062496</v>
      </c>
      <c r="C133" s="1" t="s">
        <v>3556</v>
      </c>
      <c r="D133" s="1" t="s">
        <v>3557</v>
      </c>
      <c r="E133" s="1" t="s">
        <v>2321</v>
      </c>
      <c r="F133" s="1" t="s">
        <v>3558</v>
      </c>
      <c r="G133" s="1" t="s">
        <v>3559</v>
      </c>
      <c r="H133" s="1" t="s">
        <v>3560</v>
      </c>
      <c r="I133" s="1" t="s">
        <v>3561</v>
      </c>
      <c r="J133" s="1" t="s">
        <v>3562</v>
      </c>
      <c r="K133" s="1" t="s">
        <v>3563</v>
      </c>
      <c r="L133" s="1" t="s">
        <v>3564</v>
      </c>
      <c r="M133" s="1" t="s">
        <v>3565</v>
      </c>
      <c r="N133" s="1" t="s">
        <v>3566</v>
      </c>
      <c r="O133" s="1" t="s">
        <v>1038</v>
      </c>
      <c r="P133" s="1" t="s">
        <v>3077</v>
      </c>
      <c r="Q133" s="1" t="s">
        <v>1374</v>
      </c>
      <c r="R133" s="1" t="s">
        <v>3567</v>
      </c>
      <c r="S133" s="1" t="s">
        <v>3568</v>
      </c>
      <c r="T133" s="1" t="s">
        <v>3544</v>
      </c>
      <c r="U133" s="1" t="s">
        <v>3569</v>
      </c>
      <c r="V133" s="1" t="s">
        <v>3238</v>
      </c>
      <c r="W133" s="1" t="s">
        <v>3570</v>
      </c>
      <c r="X133" s="1" t="s">
        <v>3571</v>
      </c>
      <c r="Y133" s="1" t="s">
        <v>3572</v>
      </c>
      <c r="Z133" s="1" t="s">
        <v>3573</v>
      </c>
      <c r="AA133" s="1" t="s">
        <v>804</v>
      </c>
      <c r="AB133" s="1" t="s">
        <v>3574</v>
      </c>
      <c r="AC133" s="1" t="s">
        <v>3575</v>
      </c>
    </row>
    <row r="134" spans="1:29" ht="57" x14ac:dyDescent="0.45">
      <c r="A134" s="5" t="s">
        <v>128</v>
      </c>
      <c r="B134" s="2">
        <v>4096376</v>
      </c>
      <c r="C134" s="1" t="s">
        <v>3576</v>
      </c>
      <c r="D134" s="1" t="s">
        <v>3577</v>
      </c>
      <c r="E134" s="1" t="s">
        <v>2604</v>
      </c>
      <c r="F134" s="1" t="s">
        <v>3578</v>
      </c>
      <c r="G134" s="1" t="s">
        <v>3579</v>
      </c>
      <c r="H134" s="1" t="s">
        <v>3580</v>
      </c>
      <c r="I134" s="1" t="s">
        <v>3581</v>
      </c>
      <c r="J134" s="1" t="s">
        <v>3582</v>
      </c>
      <c r="K134" s="1" t="s">
        <v>3583</v>
      </c>
      <c r="L134" s="1" t="s">
        <v>3584</v>
      </c>
      <c r="M134" s="1" t="s">
        <v>2987</v>
      </c>
      <c r="N134" s="1" t="s">
        <v>3585</v>
      </c>
      <c r="O134" s="1" t="s">
        <v>3586</v>
      </c>
      <c r="P134" s="1" t="s">
        <v>3587</v>
      </c>
      <c r="Q134" s="1" t="s">
        <v>3588</v>
      </c>
      <c r="R134" s="1" t="s">
        <v>3589</v>
      </c>
      <c r="S134" s="1" t="s">
        <v>3590</v>
      </c>
      <c r="T134" s="1" t="s">
        <v>3591</v>
      </c>
      <c r="U134" s="1" t="s">
        <v>3592</v>
      </c>
      <c r="V134" s="1" t="s">
        <v>3593</v>
      </c>
      <c r="W134" s="1" t="s">
        <v>3594</v>
      </c>
      <c r="X134" s="1" t="s">
        <v>3595</v>
      </c>
      <c r="Y134" s="1" t="s">
        <v>3596</v>
      </c>
      <c r="Z134" s="1" t="s">
        <v>3597</v>
      </c>
      <c r="AA134" s="1" t="s">
        <v>3594</v>
      </c>
      <c r="AB134" s="1" t="s">
        <v>3598</v>
      </c>
      <c r="AC134" s="1" t="s">
        <v>3599</v>
      </c>
    </row>
    <row r="135" spans="1:29" ht="42.75" x14ac:dyDescent="0.45">
      <c r="A135" s="5" t="s">
        <v>129</v>
      </c>
      <c r="B135" s="2">
        <v>4048287</v>
      </c>
      <c r="C135" s="1" t="s">
        <v>3600</v>
      </c>
      <c r="D135" s="1" t="s">
        <v>3601</v>
      </c>
      <c r="E135" s="1" t="s">
        <v>914</v>
      </c>
      <c r="F135" s="1" t="s">
        <v>3602</v>
      </c>
      <c r="G135" s="1" t="s">
        <v>3603</v>
      </c>
      <c r="H135" s="1" t="s">
        <v>3604</v>
      </c>
      <c r="I135" s="1" t="s">
        <v>3605</v>
      </c>
      <c r="J135" s="1" t="s">
        <v>3606</v>
      </c>
      <c r="K135" s="1" t="s">
        <v>3607</v>
      </c>
      <c r="L135" s="1" t="s">
        <v>3608</v>
      </c>
      <c r="M135" s="1" t="s">
        <v>3609</v>
      </c>
      <c r="N135" s="1" t="s">
        <v>3610</v>
      </c>
      <c r="O135" s="1" t="s">
        <v>3611</v>
      </c>
      <c r="P135" s="1" t="s">
        <v>3612</v>
      </c>
      <c r="Q135" s="1" t="s">
        <v>3613</v>
      </c>
      <c r="R135" s="1" t="s">
        <v>3614</v>
      </c>
      <c r="S135" s="1" t="s">
        <v>3615</v>
      </c>
      <c r="T135" s="1" t="s">
        <v>3616</v>
      </c>
      <c r="U135" s="1" t="s">
        <v>3617</v>
      </c>
      <c r="V135" s="1" t="s">
        <v>3618</v>
      </c>
      <c r="W135" s="1" t="s">
        <v>3619</v>
      </c>
      <c r="X135" s="1" t="s">
        <v>3620</v>
      </c>
      <c r="Y135" s="1" t="s">
        <v>3621</v>
      </c>
      <c r="Z135" s="1" t="s">
        <v>3622</v>
      </c>
      <c r="AA135" s="1" t="s">
        <v>3623</v>
      </c>
      <c r="AB135" s="1" t="s">
        <v>3624</v>
      </c>
      <c r="AC135" s="1" t="s">
        <v>3625</v>
      </c>
    </row>
    <row r="136" spans="1:29" ht="71.25" x14ac:dyDescent="0.45">
      <c r="A136" s="5" t="s">
        <v>130</v>
      </c>
      <c r="B136" s="2">
        <v>4071659</v>
      </c>
      <c r="C136" s="1" t="s">
        <v>3626</v>
      </c>
      <c r="D136" s="1" t="s">
        <v>3627</v>
      </c>
      <c r="E136" s="1" t="s">
        <v>3628</v>
      </c>
      <c r="F136" s="1" t="s">
        <v>3629</v>
      </c>
      <c r="G136" s="1" t="s">
        <v>2510</v>
      </c>
      <c r="H136" s="1" t="s">
        <v>3630</v>
      </c>
      <c r="I136" s="1" t="s">
        <v>3631</v>
      </c>
      <c r="J136" s="1" t="s">
        <v>3632</v>
      </c>
      <c r="K136" s="1" t="s">
        <v>3633</v>
      </c>
      <c r="L136" s="1" t="s">
        <v>3634</v>
      </c>
      <c r="M136" s="1" t="s">
        <v>3635</v>
      </c>
      <c r="N136" s="1" t="s">
        <v>3636</v>
      </c>
      <c r="O136" s="1" t="s">
        <v>3637</v>
      </c>
      <c r="P136" s="1" t="s">
        <v>3638</v>
      </c>
      <c r="Q136" s="1" t="s">
        <v>3639</v>
      </c>
      <c r="R136" s="1" t="s">
        <v>3640</v>
      </c>
      <c r="S136" s="1" t="s">
        <v>3641</v>
      </c>
      <c r="T136" s="1" t="s">
        <v>3642</v>
      </c>
      <c r="U136" s="1" t="s">
        <v>2529</v>
      </c>
      <c r="V136" s="1" t="s">
        <v>3643</v>
      </c>
      <c r="W136" s="1" t="s">
        <v>3644</v>
      </c>
      <c r="X136" s="1" t="s">
        <v>3645</v>
      </c>
      <c r="Y136" s="1" t="s">
        <v>3646</v>
      </c>
      <c r="Z136" s="1" t="s">
        <v>3647</v>
      </c>
      <c r="AA136" s="1" t="s">
        <v>1499</v>
      </c>
      <c r="AB136" s="1" t="s">
        <v>3648</v>
      </c>
      <c r="AC136" s="1" t="s">
        <v>3649</v>
      </c>
    </row>
    <row r="137" spans="1:29" ht="28.5" x14ac:dyDescent="0.45">
      <c r="A137" s="5" t="s">
        <v>131</v>
      </c>
      <c r="B137" s="2">
        <v>112885</v>
      </c>
      <c r="C137" s="1" t="s">
        <v>3650</v>
      </c>
      <c r="D137" s="1" t="s">
        <v>3651</v>
      </c>
      <c r="E137" s="1" t="s">
        <v>3652</v>
      </c>
      <c r="F137" s="1" t="s">
        <v>2606</v>
      </c>
      <c r="G137" s="1" t="s">
        <v>3653</v>
      </c>
      <c r="H137" s="1" t="s">
        <v>3654</v>
      </c>
      <c r="I137" s="1" t="s">
        <v>3655</v>
      </c>
      <c r="J137" s="1" t="s">
        <v>3656</v>
      </c>
      <c r="K137" s="1" t="s">
        <v>3657</v>
      </c>
      <c r="L137" s="1" t="s">
        <v>3658</v>
      </c>
      <c r="M137" s="1" t="s">
        <v>3659</v>
      </c>
      <c r="N137" s="1" t="s">
        <v>3660</v>
      </c>
      <c r="O137" s="1" t="s">
        <v>3661</v>
      </c>
      <c r="P137" s="1" t="s">
        <v>3662</v>
      </c>
      <c r="Q137" s="1" t="s">
        <v>3663</v>
      </c>
      <c r="R137" s="1" t="s">
        <v>2614</v>
      </c>
      <c r="S137" s="1" t="s">
        <v>3664</v>
      </c>
      <c r="T137" s="1" t="s">
        <v>3665</v>
      </c>
      <c r="U137" s="1" t="s">
        <v>3666</v>
      </c>
      <c r="V137" s="1" t="s">
        <v>3667</v>
      </c>
      <c r="W137" s="1" t="s">
        <v>3668</v>
      </c>
      <c r="X137" s="1" t="s">
        <v>3669</v>
      </c>
      <c r="Y137" s="1" t="s">
        <v>3670</v>
      </c>
      <c r="Z137" s="1" t="s">
        <v>3671</v>
      </c>
      <c r="AA137" s="1" t="s">
        <v>3672</v>
      </c>
      <c r="AB137" s="1" t="s">
        <v>2386</v>
      </c>
      <c r="AC137" s="1" t="s">
        <v>3673</v>
      </c>
    </row>
    <row r="138" spans="1:29" ht="57" x14ac:dyDescent="0.45">
      <c r="A138" s="5" t="s">
        <v>132</v>
      </c>
      <c r="B138" s="2">
        <v>4087927</v>
      </c>
      <c r="C138" s="1" t="s">
        <v>3674</v>
      </c>
      <c r="D138" s="1" t="s">
        <v>3675</v>
      </c>
      <c r="E138" s="1" t="s">
        <v>1800</v>
      </c>
      <c r="F138" s="1" t="s">
        <v>686</v>
      </c>
      <c r="G138" s="1" t="s">
        <v>3676</v>
      </c>
      <c r="H138" s="1" t="s">
        <v>3282</v>
      </c>
      <c r="I138" s="1" t="s">
        <v>3677</v>
      </c>
      <c r="J138" s="1" t="s">
        <v>3678</v>
      </c>
      <c r="K138" s="1" t="s">
        <v>2526</v>
      </c>
      <c r="L138" s="1" t="s">
        <v>1536</v>
      </c>
      <c r="M138" s="1" t="s">
        <v>3679</v>
      </c>
      <c r="N138" s="1" t="s">
        <v>3680</v>
      </c>
      <c r="O138" s="1" t="s">
        <v>3681</v>
      </c>
      <c r="P138" s="1" t="s">
        <v>3682</v>
      </c>
      <c r="Q138" s="1" t="s">
        <v>1539</v>
      </c>
      <c r="R138" s="1" t="s">
        <v>3683</v>
      </c>
      <c r="S138" s="1" t="s">
        <v>3684</v>
      </c>
      <c r="T138" s="1" t="s">
        <v>3685</v>
      </c>
      <c r="U138" s="1" t="s">
        <v>2884</v>
      </c>
      <c r="V138" s="1" t="s">
        <v>3686</v>
      </c>
      <c r="W138" s="1" t="s">
        <v>3687</v>
      </c>
      <c r="X138" s="1" t="s">
        <v>2140</v>
      </c>
      <c r="Y138" s="1" t="s">
        <v>3688</v>
      </c>
      <c r="Z138" s="1" t="s">
        <v>3689</v>
      </c>
      <c r="AA138" s="1" t="s">
        <v>3690</v>
      </c>
      <c r="AB138" s="1" t="s">
        <v>3691</v>
      </c>
      <c r="AC138" s="1" t="s">
        <v>3692</v>
      </c>
    </row>
    <row r="139" spans="1:29" ht="71.25" x14ac:dyDescent="0.45">
      <c r="A139" s="5" t="s">
        <v>133</v>
      </c>
      <c r="B139" s="2">
        <v>4219024</v>
      </c>
      <c r="C139" s="1" t="s">
        <v>3693</v>
      </c>
      <c r="D139" s="1" t="s">
        <v>3694</v>
      </c>
      <c r="E139" s="1" t="s">
        <v>2604</v>
      </c>
      <c r="F139" s="1" t="s">
        <v>3695</v>
      </c>
      <c r="G139" s="1" t="s">
        <v>3696</v>
      </c>
      <c r="H139" s="1" t="s">
        <v>3697</v>
      </c>
      <c r="I139" s="1" t="s">
        <v>3071</v>
      </c>
      <c r="J139" s="1" t="s">
        <v>3698</v>
      </c>
      <c r="K139" s="1" t="s">
        <v>3699</v>
      </c>
      <c r="L139" s="1" t="s">
        <v>3554</v>
      </c>
      <c r="M139" s="1" t="s">
        <v>3700</v>
      </c>
      <c r="N139" s="1" t="s">
        <v>3701</v>
      </c>
      <c r="O139" s="1" t="s">
        <v>1484</v>
      </c>
      <c r="P139" s="1" t="s">
        <v>1688</v>
      </c>
      <c r="Q139" s="1" t="s">
        <v>3702</v>
      </c>
      <c r="R139" s="1" t="s">
        <v>3703</v>
      </c>
      <c r="S139" s="1" t="s">
        <v>3704</v>
      </c>
      <c r="T139" s="1" t="s">
        <v>3705</v>
      </c>
      <c r="U139" s="1" t="s">
        <v>3706</v>
      </c>
      <c r="V139" s="1" t="s">
        <v>3707</v>
      </c>
      <c r="W139" s="1" t="s">
        <v>3708</v>
      </c>
      <c r="X139" s="1" t="s">
        <v>3497</v>
      </c>
      <c r="Y139" s="1" t="s">
        <v>3067</v>
      </c>
      <c r="Z139" s="1" t="s">
        <v>3250</v>
      </c>
      <c r="AA139" s="1" t="s">
        <v>3126</v>
      </c>
      <c r="AB139" s="1" t="s">
        <v>3709</v>
      </c>
      <c r="AC139" s="1" t="s">
        <v>588</v>
      </c>
    </row>
    <row r="140" spans="1:29" ht="42.75" x14ac:dyDescent="0.45">
      <c r="A140" s="5" t="s">
        <v>134</v>
      </c>
      <c r="B140" s="2">
        <v>4069640</v>
      </c>
      <c r="C140" s="1" t="s">
        <v>3710</v>
      </c>
      <c r="D140" s="1" t="s">
        <v>3711</v>
      </c>
      <c r="E140" s="1" t="s">
        <v>1596</v>
      </c>
      <c r="F140" s="1" t="s">
        <v>819</v>
      </c>
      <c r="G140" s="1" t="s">
        <v>3712</v>
      </c>
      <c r="H140" s="1" t="s">
        <v>3713</v>
      </c>
      <c r="I140" s="1" t="s">
        <v>3714</v>
      </c>
      <c r="J140" s="1" t="s">
        <v>3715</v>
      </c>
      <c r="K140" s="1" t="s">
        <v>3716</v>
      </c>
      <c r="L140" s="1" t="s">
        <v>3717</v>
      </c>
      <c r="M140" s="1" t="s">
        <v>3718</v>
      </c>
      <c r="N140" s="1" t="s">
        <v>3719</v>
      </c>
      <c r="O140" s="1" t="s">
        <v>3720</v>
      </c>
      <c r="P140" s="1" t="s">
        <v>3721</v>
      </c>
      <c r="Q140" s="1" t="s">
        <v>3722</v>
      </c>
      <c r="R140" s="1" t="s">
        <v>3723</v>
      </c>
      <c r="S140" s="1" t="s">
        <v>3724</v>
      </c>
      <c r="T140" s="1" t="s">
        <v>3725</v>
      </c>
      <c r="U140" s="1" t="s">
        <v>3726</v>
      </c>
      <c r="V140" s="1" t="s">
        <v>3727</v>
      </c>
      <c r="W140" s="1" t="s">
        <v>3728</v>
      </c>
      <c r="X140" s="1" t="s">
        <v>3729</v>
      </c>
      <c r="Y140" s="1" t="s">
        <v>3730</v>
      </c>
      <c r="Z140" s="1" t="s">
        <v>3731</v>
      </c>
      <c r="AA140" s="1" t="s">
        <v>3732</v>
      </c>
      <c r="AB140" s="1" t="s">
        <v>3733</v>
      </c>
      <c r="AC140" s="1" t="s">
        <v>3734</v>
      </c>
    </row>
    <row r="141" spans="1:29" ht="42.75" x14ac:dyDescent="0.45">
      <c r="A141" s="5" t="s">
        <v>135</v>
      </c>
      <c r="B141" s="2">
        <v>4054537</v>
      </c>
      <c r="C141" s="1" t="s">
        <v>3735</v>
      </c>
      <c r="D141" s="1" t="s">
        <v>3736</v>
      </c>
      <c r="E141" s="1" t="s">
        <v>1117</v>
      </c>
      <c r="F141" s="1" t="s">
        <v>1371</v>
      </c>
      <c r="G141" s="1" t="s">
        <v>3737</v>
      </c>
      <c r="H141" s="1" t="s">
        <v>3738</v>
      </c>
      <c r="I141" s="1" t="s">
        <v>2449</v>
      </c>
      <c r="J141" s="1" t="s">
        <v>3739</v>
      </c>
      <c r="K141" s="1" t="s">
        <v>3740</v>
      </c>
      <c r="L141" s="1" t="s">
        <v>3741</v>
      </c>
      <c r="M141" s="1" t="s">
        <v>3007</v>
      </c>
      <c r="N141" s="1" t="s">
        <v>3742</v>
      </c>
      <c r="O141" s="1" t="s">
        <v>3743</v>
      </c>
      <c r="P141" s="1" t="s">
        <v>3744</v>
      </c>
      <c r="Q141" s="1" t="s">
        <v>3745</v>
      </c>
      <c r="R141" s="1" t="s">
        <v>1690</v>
      </c>
      <c r="S141" s="1" t="s">
        <v>3746</v>
      </c>
      <c r="T141" s="1" t="s">
        <v>1808</v>
      </c>
      <c r="U141" s="1" t="s">
        <v>3747</v>
      </c>
      <c r="V141" s="1" t="s">
        <v>3748</v>
      </c>
      <c r="W141" s="1" t="s">
        <v>3749</v>
      </c>
      <c r="X141" s="1" t="s">
        <v>3750</v>
      </c>
      <c r="Y141" s="1" t="s">
        <v>3751</v>
      </c>
      <c r="Z141" s="1" t="s">
        <v>2816</v>
      </c>
      <c r="AA141" s="1" t="s">
        <v>3752</v>
      </c>
      <c r="AB141" s="1" t="s">
        <v>2806</v>
      </c>
      <c r="AC141" s="1" t="s">
        <v>3753</v>
      </c>
    </row>
    <row r="142" spans="1:29" ht="57" x14ac:dyDescent="0.45">
      <c r="A142" s="5" t="s">
        <v>136</v>
      </c>
      <c r="B142" s="2">
        <v>4290489</v>
      </c>
      <c r="C142" s="1" t="s">
        <v>3754</v>
      </c>
      <c r="D142" s="1" t="s">
        <v>3755</v>
      </c>
      <c r="E142" s="1" t="s">
        <v>1400</v>
      </c>
      <c r="F142" s="1" t="s">
        <v>3756</v>
      </c>
      <c r="G142" s="1" t="s">
        <v>3757</v>
      </c>
      <c r="H142" s="1" t="s">
        <v>3758</v>
      </c>
      <c r="I142" s="1" t="s">
        <v>3759</v>
      </c>
      <c r="J142" s="1" t="s">
        <v>3760</v>
      </c>
      <c r="K142" s="1" t="s">
        <v>3761</v>
      </c>
      <c r="L142" s="1" t="s">
        <v>3762</v>
      </c>
      <c r="M142" s="1" t="s">
        <v>3763</v>
      </c>
      <c r="N142" s="1" t="s">
        <v>3764</v>
      </c>
      <c r="O142" s="1" t="s">
        <v>3765</v>
      </c>
      <c r="P142" s="1" t="s">
        <v>3766</v>
      </c>
      <c r="Q142" s="1" t="s">
        <v>3767</v>
      </c>
      <c r="R142" s="1" t="s">
        <v>3768</v>
      </c>
      <c r="S142" s="1" t="s">
        <v>3769</v>
      </c>
      <c r="T142" s="1" t="s">
        <v>3770</v>
      </c>
      <c r="U142" s="1" t="s">
        <v>3771</v>
      </c>
      <c r="V142" s="1" t="s">
        <v>1515</v>
      </c>
      <c r="W142" s="1" t="s">
        <v>3772</v>
      </c>
      <c r="X142" s="1" t="s">
        <v>3773</v>
      </c>
      <c r="Y142" s="1" t="s">
        <v>3774</v>
      </c>
      <c r="Z142" s="1" t="s">
        <v>3775</v>
      </c>
      <c r="AA142" s="1" t="s">
        <v>3776</v>
      </c>
      <c r="AB142" s="1" t="s">
        <v>3777</v>
      </c>
      <c r="AC142" s="1" t="s">
        <v>3778</v>
      </c>
    </row>
    <row r="143" spans="1:29" ht="57" x14ac:dyDescent="0.45">
      <c r="A143" s="5" t="s">
        <v>137</v>
      </c>
      <c r="B143" s="2">
        <v>4101861</v>
      </c>
      <c r="C143" s="1" t="s">
        <v>3779</v>
      </c>
      <c r="D143" s="1" t="s">
        <v>3780</v>
      </c>
      <c r="E143" s="1" t="s">
        <v>2604</v>
      </c>
      <c r="F143" s="1" t="s">
        <v>3781</v>
      </c>
      <c r="G143" s="1" t="s">
        <v>3197</v>
      </c>
      <c r="H143" s="1" t="s">
        <v>3782</v>
      </c>
      <c r="I143" s="1" t="s">
        <v>1693</v>
      </c>
      <c r="J143" s="1" t="s">
        <v>3783</v>
      </c>
      <c r="K143" s="1" t="s">
        <v>1372</v>
      </c>
      <c r="L143" s="1" t="s">
        <v>3784</v>
      </c>
      <c r="M143" s="1" t="s">
        <v>3740</v>
      </c>
      <c r="N143" s="1" t="s">
        <v>3785</v>
      </c>
      <c r="O143" s="1" t="s">
        <v>3786</v>
      </c>
      <c r="P143" s="1" t="s">
        <v>3509</v>
      </c>
      <c r="Q143" s="1" t="s">
        <v>3787</v>
      </c>
      <c r="R143" s="1" t="s">
        <v>3788</v>
      </c>
      <c r="S143" s="1" t="s">
        <v>3789</v>
      </c>
      <c r="T143" s="1" t="s">
        <v>3790</v>
      </c>
      <c r="U143" s="1" t="s">
        <v>3791</v>
      </c>
      <c r="V143" s="1" t="s">
        <v>3792</v>
      </c>
      <c r="W143" s="1" t="s">
        <v>3793</v>
      </c>
      <c r="X143" s="1" t="s">
        <v>3794</v>
      </c>
      <c r="Y143" s="1" t="s">
        <v>590</v>
      </c>
      <c r="Z143" s="1" t="s">
        <v>3795</v>
      </c>
      <c r="AA143" s="1" t="s">
        <v>3796</v>
      </c>
      <c r="AB143" s="1" t="s">
        <v>2092</v>
      </c>
      <c r="AC143" s="1" t="s">
        <v>3797</v>
      </c>
    </row>
    <row r="144" spans="1:29" ht="57" x14ac:dyDescent="0.45">
      <c r="A144" s="5" t="s">
        <v>138</v>
      </c>
      <c r="B144" s="2">
        <v>4094286</v>
      </c>
      <c r="C144" s="1" t="s">
        <v>3798</v>
      </c>
      <c r="D144" s="1" t="s">
        <v>3799</v>
      </c>
      <c r="E144" s="1" t="s">
        <v>2321</v>
      </c>
      <c r="F144" s="1" t="s">
        <v>3800</v>
      </c>
      <c r="G144" s="1" t="s">
        <v>3801</v>
      </c>
      <c r="H144" s="1" t="s">
        <v>3802</v>
      </c>
      <c r="I144" s="1" t="s">
        <v>3803</v>
      </c>
      <c r="J144" s="1" t="s">
        <v>3804</v>
      </c>
      <c r="K144" s="1" t="s">
        <v>3805</v>
      </c>
      <c r="L144" s="1" t="s">
        <v>3806</v>
      </c>
      <c r="M144" s="1" t="s">
        <v>3807</v>
      </c>
      <c r="N144" s="1" t="s">
        <v>3808</v>
      </c>
      <c r="O144" s="1" t="s">
        <v>3808</v>
      </c>
      <c r="P144" s="1" t="s">
        <v>3809</v>
      </c>
      <c r="Q144" s="1" t="s">
        <v>3810</v>
      </c>
      <c r="R144" s="1" t="s">
        <v>3811</v>
      </c>
      <c r="S144" s="1" t="s">
        <v>3812</v>
      </c>
      <c r="T144" s="1" t="s">
        <v>3813</v>
      </c>
      <c r="U144" s="1" t="s">
        <v>3814</v>
      </c>
      <c r="V144" s="1" t="s">
        <v>3815</v>
      </c>
      <c r="W144" s="1" t="s">
        <v>3816</v>
      </c>
      <c r="X144" s="1" t="s">
        <v>3816</v>
      </c>
      <c r="Y144" s="1" t="s">
        <v>3815</v>
      </c>
      <c r="Z144" s="1" t="s">
        <v>3815</v>
      </c>
      <c r="AA144" s="1" t="s">
        <v>3817</v>
      </c>
      <c r="AB144" s="1" t="s">
        <v>3817</v>
      </c>
      <c r="AC144" s="1" t="s">
        <v>3818</v>
      </c>
    </row>
    <row r="145" spans="1:29" ht="85.5" x14ac:dyDescent="0.45">
      <c r="A145" s="5" t="s">
        <v>139</v>
      </c>
      <c r="B145" s="2">
        <v>1031164</v>
      </c>
      <c r="C145" s="1" t="s">
        <v>3819</v>
      </c>
      <c r="D145" s="1" t="s">
        <v>3820</v>
      </c>
      <c r="E145" s="1" t="s">
        <v>3821</v>
      </c>
      <c r="F145" s="1" t="s">
        <v>3822</v>
      </c>
      <c r="G145" s="1" t="s">
        <v>3823</v>
      </c>
      <c r="H145" s="1" t="s">
        <v>3824</v>
      </c>
      <c r="I145" s="1" t="s">
        <v>3825</v>
      </c>
      <c r="J145" s="1" t="s">
        <v>970</v>
      </c>
      <c r="K145" s="1" t="s">
        <v>3826</v>
      </c>
      <c r="L145" s="1" t="s">
        <v>3827</v>
      </c>
      <c r="M145" s="1" t="s">
        <v>3828</v>
      </c>
      <c r="N145" s="1" t="s">
        <v>3829</v>
      </c>
      <c r="O145" s="1" t="s">
        <v>3830</v>
      </c>
      <c r="P145" s="1" t="s">
        <v>3831</v>
      </c>
      <c r="Q145" s="1" t="s">
        <v>3679</v>
      </c>
      <c r="R145" s="1" t="s">
        <v>3832</v>
      </c>
      <c r="S145" s="1" t="s">
        <v>3833</v>
      </c>
      <c r="T145" s="1" t="s">
        <v>3834</v>
      </c>
      <c r="U145" s="1" t="s">
        <v>3835</v>
      </c>
      <c r="V145" s="1" t="s">
        <v>547</v>
      </c>
      <c r="W145" s="1" t="s">
        <v>3836</v>
      </c>
      <c r="X145" s="1" t="s">
        <v>3837</v>
      </c>
      <c r="Y145" s="1" t="s">
        <v>3838</v>
      </c>
      <c r="Z145" s="1" t="s">
        <v>3839</v>
      </c>
      <c r="AA145" s="1" t="s">
        <v>3840</v>
      </c>
      <c r="AB145" s="1" t="s">
        <v>3841</v>
      </c>
      <c r="AC145" s="1" t="s">
        <v>3284</v>
      </c>
    </row>
    <row r="146" spans="1:29" ht="57" x14ac:dyDescent="0.45">
      <c r="A146" s="5" t="s">
        <v>140</v>
      </c>
      <c r="B146" s="2">
        <v>4010841</v>
      </c>
      <c r="C146" s="1" t="s">
        <v>3842</v>
      </c>
      <c r="D146" s="1" t="s">
        <v>3843</v>
      </c>
      <c r="E146" s="1" t="s">
        <v>728</v>
      </c>
      <c r="F146" s="1" t="s">
        <v>3844</v>
      </c>
      <c r="G146" s="1" t="s">
        <v>3845</v>
      </c>
      <c r="H146" s="1" t="s">
        <v>2971</v>
      </c>
      <c r="I146" s="1" t="s">
        <v>3846</v>
      </c>
      <c r="J146" s="1" t="s">
        <v>3847</v>
      </c>
      <c r="K146" s="1" t="s">
        <v>3848</v>
      </c>
      <c r="L146" s="1" t="s">
        <v>3849</v>
      </c>
      <c r="M146" s="1" t="s">
        <v>1579</v>
      </c>
      <c r="N146" s="1" t="s">
        <v>3850</v>
      </c>
      <c r="O146" s="1" t="s">
        <v>3851</v>
      </c>
      <c r="P146" s="1" t="s">
        <v>3852</v>
      </c>
      <c r="Q146" s="1" t="s">
        <v>3265</v>
      </c>
      <c r="R146" s="1" t="s">
        <v>3853</v>
      </c>
      <c r="S146" s="1" t="s">
        <v>3854</v>
      </c>
      <c r="T146" s="1" t="s">
        <v>977</v>
      </c>
      <c r="U146" s="1" t="s">
        <v>3855</v>
      </c>
      <c r="V146" s="1" t="s">
        <v>1534</v>
      </c>
      <c r="W146" s="1" t="s">
        <v>3856</v>
      </c>
      <c r="X146" s="1" t="s">
        <v>3857</v>
      </c>
      <c r="Y146" s="1" t="s">
        <v>1098</v>
      </c>
      <c r="Z146" s="1" t="s">
        <v>3854</v>
      </c>
      <c r="AA146" s="1" t="s">
        <v>3858</v>
      </c>
      <c r="AB146" s="1" t="s">
        <v>3859</v>
      </c>
      <c r="AC146" s="1" t="s">
        <v>3860</v>
      </c>
    </row>
    <row r="147" spans="1:29" ht="85.5" x14ac:dyDescent="0.45">
      <c r="A147" s="5" t="s">
        <v>141</v>
      </c>
      <c r="B147" s="2">
        <v>4765589</v>
      </c>
      <c r="C147" s="1" t="s">
        <v>3861</v>
      </c>
      <c r="D147" s="1" t="s">
        <v>3862</v>
      </c>
      <c r="E147" s="1" t="s">
        <v>595</v>
      </c>
      <c r="F147" s="1" t="s">
        <v>3863</v>
      </c>
      <c r="G147" s="1" t="s">
        <v>1466</v>
      </c>
      <c r="H147" s="1" t="s">
        <v>3592</v>
      </c>
      <c r="I147" s="1" t="s">
        <v>3864</v>
      </c>
      <c r="J147" s="1" t="s">
        <v>3865</v>
      </c>
      <c r="K147" s="1" t="s">
        <v>3866</v>
      </c>
      <c r="L147" s="1" t="s">
        <v>1648</v>
      </c>
      <c r="M147" s="1" t="s">
        <v>3867</v>
      </c>
      <c r="N147" s="1" t="s">
        <v>3868</v>
      </c>
      <c r="O147" s="1" t="s">
        <v>3869</v>
      </c>
      <c r="P147" s="1" t="s">
        <v>3870</v>
      </c>
      <c r="Q147" s="1" t="s">
        <v>3871</v>
      </c>
      <c r="R147" s="1" t="s">
        <v>3872</v>
      </c>
      <c r="S147" s="1" t="s">
        <v>3873</v>
      </c>
      <c r="T147" s="1" t="s">
        <v>3868</v>
      </c>
      <c r="U147" s="1" t="s">
        <v>3698</v>
      </c>
      <c r="V147" s="1" t="s">
        <v>3874</v>
      </c>
      <c r="W147" s="1" t="s">
        <v>3875</v>
      </c>
      <c r="X147" s="1" t="s">
        <v>3876</v>
      </c>
      <c r="Y147" s="1" t="s">
        <v>3877</v>
      </c>
      <c r="Z147" s="1" t="s">
        <v>3878</v>
      </c>
      <c r="AA147" s="1" t="s">
        <v>3879</v>
      </c>
      <c r="AB147" s="1" t="s">
        <v>3880</v>
      </c>
      <c r="AC147" s="1" t="s">
        <v>2407</v>
      </c>
    </row>
    <row r="148" spans="1:29" ht="57" x14ac:dyDescent="0.45">
      <c r="A148" s="5" t="s">
        <v>142</v>
      </c>
      <c r="B148" s="2">
        <v>4010846</v>
      </c>
      <c r="C148" s="1" t="s">
        <v>3881</v>
      </c>
      <c r="D148" s="1" t="s">
        <v>3882</v>
      </c>
      <c r="E148" s="1" t="s">
        <v>3883</v>
      </c>
      <c r="F148" s="1" t="s">
        <v>3884</v>
      </c>
      <c r="G148" s="1" t="s">
        <v>3885</v>
      </c>
      <c r="H148" s="1" t="s">
        <v>3886</v>
      </c>
      <c r="I148" s="1" t="s">
        <v>3887</v>
      </c>
      <c r="J148" s="1" t="s">
        <v>3033</v>
      </c>
      <c r="K148" s="1" t="s">
        <v>3888</v>
      </c>
      <c r="L148" s="1" t="s">
        <v>2054</v>
      </c>
      <c r="M148" s="1" t="s">
        <v>3889</v>
      </c>
      <c r="N148" s="1" t="s">
        <v>3890</v>
      </c>
      <c r="O148" s="1" t="s">
        <v>2844</v>
      </c>
      <c r="P148" s="1" t="s">
        <v>1477</v>
      </c>
      <c r="Q148" s="1" t="s">
        <v>3891</v>
      </c>
      <c r="R148" s="1" t="s">
        <v>3892</v>
      </c>
      <c r="S148" s="1" t="s">
        <v>3370</v>
      </c>
      <c r="T148" s="1" t="s">
        <v>3893</v>
      </c>
      <c r="U148" s="1" t="s">
        <v>1382</v>
      </c>
      <c r="V148" s="1" t="s">
        <v>3894</v>
      </c>
      <c r="W148" s="1" t="s">
        <v>2446</v>
      </c>
      <c r="X148" s="1" t="s">
        <v>3895</v>
      </c>
      <c r="Y148" s="1" t="s">
        <v>3896</v>
      </c>
      <c r="Z148" s="1" t="s">
        <v>3897</v>
      </c>
      <c r="AA148" s="1" t="s">
        <v>1038</v>
      </c>
      <c r="AB148" s="1" t="s">
        <v>3898</v>
      </c>
      <c r="AC148" s="1" t="s">
        <v>3753</v>
      </c>
    </row>
    <row r="149" spans="1:29" ht="57" x14ac:dyDescent="0.45">
      <c r="A149" s="5" t="s">
        <v>143</v>
      </c>
      <c r="B149" s="2">
        <v>4051574</v>
      </c>
      <c r="C149" s="1" t="s">
        <v>3899</v>
      </c>
      <c r="D149" s="1" t="s">
        <v>3900</v>
      </c>
      <c r="E149" s="1" t="s">
        <v>3901</v>
      </c>
      <c r="F149" s="1" t="s">
        <v>3902</v>
      </c>
      <c r="G149" s="1" t="s">
        <v>3903</v>
      </c>
      <c r="H149" s="1" t="s">
        <v>3904</v>
      </c>
      <c r="I149" s="1" t="s">
        <v>602</v>
      </c>
      <c r="J149" s="1" t="s">
        <v>3905</v>
      </c>
      <c r="K149" s="1" t="s">
        <v>3906</v>
      </c>
      <c r="L149" s="1" t="s">
        <v>3907</v>
      </c>
      <c r="M149" s="1" t="s">
        <v>3908</v>
      </c>
      <c r="N149" s="1" t="s">
        <v>3909</v>
      </c>
      <c r="O149" s="1" t="s">
        <v>3910</v>
      </c>
      <c r="P149" s="1" t="s">
        <v>3911</v>
      </c>
      <c r="Q149" s="1" t="s">
        <v>3912</v>
      </c>
      <c r="R149" s="1" t="s">
        <v>3913</v>
      </c>
      <c r="S149" s="1" t="s">
        <v>3914</v>
      </c>
      <c r="T149" s="1" t="s">
        <v>3915</v>
      </c>
      <c r="U149" s="1" t="s">
        <v>3916</v>
      </c>
      <c r="V149" s="1" t="s">
        <v>3767</v>
      </c>
      <c r="W149" s="1" t="s">
        <v>1712</v>
      </c>
      <c r="X149" s="1" t="s">
        <v>3917</v>
      </c>
      <c r="Y149" s="1" t="s">
        <v>3918</v>
      </c>
      <c r="Z149" s="1" t="s">
        <v>3919</v>
      </c>
      <c r="AA149" s="1" t="s">
        <v>3920</v>
      </c>
      <c r="AB149" s="1" t="s">
        <v>3921</v>
      </c>
      <c r="AC149" s="1" t="s">
        <v>3922</v>
      </c>
    </row>
    <row r="150" spans="1:29" ht="99.75" x14ac:dyDescent="0.45">
      <c r="A150" s="5" t="s">
        <v>144</v>
      </c>
      <c r="B150" s="2">
        <v>4001586</v>
      </c>
      <c r="C150" s="1" t="s">
        <v>3923</v>
      </c>
      <c r="D150" s="1" t="s">
        <v>3924</v>
      </c>
      <c r="E150" s="1" t="s">
        <v>1722</v>
      </c>
      <c r="F150" s="1" t="s">
        <v>3925</v>
      </c>
      <c r="G150" s="1" t="s">
        <v>3926</v>
      </c>
      <c r="H150" s="1" t="s">
        <v>3249</v>
      </c>
      <c r="I150" s="1" t="s">
        <v>3927</v>
      </c>
      <c r="J150" s="1" t="s">
        <v>3928</v>
      </c>
      <c r="K150" s="1" t="s">
        <v>590</v>
      </c>
      <c r="L150" s="1" t="s">
        <v>3929</v>
      </c>
      <c r="M150" s="1" t="s">
        <v>3930</v>
      </c>
      <c r="N150" s="1" t="s">
        <v>2782</v>
      </c>
      <c r="O150" s="1" t="s">
        <v>3931</v>
      </c>
      <c r="P150" s="1" t="s">
        <v>3932</v>
      </c>
      <c r="Q150" s="1" t="s">
        <v>3933</v>
      </c>
      <c r="R150" s="1" t="s">
        <v>3934</v>
      </c>
      <c r="S150" s="1" t="s">
        <v>3935</v>
      </c>
      <c r="T150" s="1" t="s">
        <v>3936</v>
      </c>
      <c r="U150" s="1" t="s">
        <v>3937</v>
      </c>
      <c r="V150" s="1" t="s">
        <v>3938</v>
      </c>
      <c r="W150" s="1" t="s">
        <v>3939</v>
      </c>
      <c r="X150" s="1" t="s">
        <v>3745</v>
      </c>
      <c r="Y150" s="1" t="s">
        <v>3940</v>
      </c>
      <c r="Z150" s="1" t="s">
        <v>3941</v>
      </c>
      <c r="AA150" s="1" t="s">
        <v>3786</v>
      </c>
      <c r="AB150" s="1" t="s">
        <v>3705</v>
      </c>
      <c r="AC150" s="1" t="s">
        <v>3942</v>
      </c>
    </row>
    <row r="151" spans="1:29" ht="71.25" x14ac:dyDescent="0.45">
      <c r="A151" s="5" t="s">
        <v>145</v>
      </c>
      <c r="B151" s="2">
        <v>4204256</v>
      </c>
      <c r="C151" s="1" t="s">
        <v>3943</v>
      </c>
      <c r="D151" s="1" t="s">
        <v>3944</v>
      </c>
      <c r="E151" s="1" t="s">
        <v>914</v>
      </c>
      <c r="F151" s="1" t="s">
        <v>847</v>
      </c>
      <c r="G151" s="1" t="s">
        <v>1565</v>
      </c>
      <c r="H151" s="1" t="s">
        <v>3381</v>
      </c>
      <c r="I151" s="1" t="s">
        <v>3945</v>
      </c>
      <c r="J151" s="1" t="s">
        <v>1154</v>
      </c>
      <c r="K151" s="1" t="s">
        <v>3946</v>
      </c>
      <c r="L151" s="1" t="s">
        <v>3947</v>
      </c>
      <c r="M151" s="1" t="s">
        <v>3382</v>
      </c>
      <c r="N151" s="1" t="s">
        <v>3948</v>
      </c>
      <c r="O151" s="1" t="s">
        <v>3949</v>
      </c>
      <c r="P151" s="1" t="s">
        <v>3950</v>
      </c>
      <c r="Q151" s="1" t="s">
        <v>3951</v>
      </c>
      <c r="R151" s="1" t="s">
        <v>3952</v>
      </c>
      <c r="S151" s="1" t="s">
        <v>3953</v>
      </c>
      <c r="T151" s="1" t="s">
        <v>3954</v>
      </c>
      <c r="U151" s="1" t="s">
        <v>3955</v>
      </c>
      <c r="V151" s="1" t="s">
        <v>3956</v>
      </c>
      <c r="W151" s="1" t="s">
        <v>3957</v>
      </c>
      <c r="X151" s="1" t="s">
        <v>3958</v>
      </c>
      <c r="Y151" s="1" t="s">
        <v>3959</v>
      </c>
      <c r="Z151" s="1" t="s">
        <v>2413</v>
      </c>
      <c r="AA151" s="1" t="s">
        <v>3960</v>
      </c>
      <c r="AB151" s="1" t="s">
        <v>3961</v>
      </c>
      <c r="AC151" s="1" t="s">
        <v>3962</v>
      </c>
    </row>
    <row r="152" spans="1:29" ht="42.75" x14ac:dyDescent="0.45">
      <c r="A152" s="5" t="s">
        <v>146</v>
      </c>
      <c r="B152" s="2">
        <v>4001616</v>
      </c>
      <c r="C152" s="1" t="s">
        <v>3963</v>
      </c>
      <c r="D152" s="1" t="s">
        <v>3964</v>
      </c>
      <c r="E152" s="1" t="s">
        <v>755</v>
      </c>
      <c r="F152" s="1" t="s">
        <v>3965</v>
      </c>
      <c r="G152" s="1" t="s">
        <v>3966</v>
      </c>
      <c r="H152" s="1" t="s">
        <v>3967</v>
      </c>
      <c r="I152" s="1" t="s">
        <v>3968</v>
      </c>
      <c r="J152" s="1" t="s">
        <v>3122</v>
      </c>
      <c r="K152" s="1" t="s">
        <v>3857</v>
      </c>
      <c r="L152" s="1" t="s">
        <v>2001</v>
      </c>
      <c r="M152" s="1" t="s">
        <v>3470</v>
      </c>
      <c r="N152" s="1" t="s">
        <v>3969</v>
      </c>
      <c r="O152" s="1" t="s">
        <v>786</v>
      </c>
      <c r="P152" s="1" t="s">
        <v>2128</v>
      </c>
      <c r="Q152" s="1" t="s">
        <v>3970</v>
      </c>
      <c r="R152" s="1" t="s">
        <v>936</v>
      </c>
      <c r="S152" s="1" t="s">
        <v>3971</v>
      </c>
      <c r="T152" s="1" t="s">
        <v>3972</v>
      </c>
      <c r="U152" s="1" t="s">
        <v>3973</v>
      </c>
      <c r="V152" s="1" t="s">
        <v>554</v>
      </c>
      <c r="W152" s="1" t="s">
        <v>3974</v>
      </c>
      <c r="X152" s="1" t="s">
        <v>3975</v>
      </c>
      <c r="Y152" s="1" t="s">
        <v>3976</v>
      </c>
      <c r="Z152" s="1" t="s">
        <v>3977</v>
      </c>
      <c r="AA152" s="1" t="s">
        <v>3978</v>
      </c>
      <c r="AB152" s="1" t="s">
        <v>3979</v>
      </c>
      <c r="AC152" s="1" t="s">
        <v>1095</v>
      </c>
    </row>
    <row r="153" spans="1:29" ht="85.5" x14ac:dyDescent="0.45">
      <c r="A153" s="5" t="s">
        <v>147</v>
      </c>
      <c r="B153" s="2">
        <v>4112734</v>
      </c>
      <c r="C153" s="1" t="s">
        <v>3980</v>
      </c>
      <c r="D153" s="1" t="s">
        <v>3981</v>
      </c>
      <c r="E153" s="1" t="s">
        <v>2321</v>
      </c>
      <c r="F153" s="1" t="s">
        <v>3982</v>
      </c>
      <c r="G153" s="1" t="s">
        <v>2127</v>
      </c>
      <c r="H153" s="1" t="s">
        <v>2879</v>
      </c>
      <c r="I153" s="1" t="s">
        <v>3983</v>
      </c>
      <c r="J153" s="1" t="s">
        <v>556</v>
      </c>
      <c r="K153" s="1" t="s">
        <v>3984</v>
      </c>
      <c r="L153" s="1" t="s">
        <v>2987</v>
      </c>
      <c r="M153" s="1" t="s">
        <v>1470</v>
      </c>
      <c r="N153" s="1" t="s">
        <v>3985</v>
      </c>
      <c r="O153" s="1" t="s">
        <v>3986</v>
      </c>
      <c r="P153" s="1" t="s">
        <v>3987</v>
      </c>
      <c r="Q153" s="1" t="s">
        <v>3988</v>
      </c>
      <c r="R153" s="1" t="s">
        <v>3989</v>
      </c>
      <c r="S153" s="1" t="s">
        <v>3990</v>
      </c>
      <c r="T153" s="1" t="s">
        <v>3991</v>
      </c>
      <c r="U153" s="1" t="s">
        <v>3992</v>
      </c>
      <c r="V153" s="1" t="s">
        <v>3993</v>
      </c>
      <c r="W153" s="1" t="s">
        <v>3994</v>
      </c>
      <c r="X153" s="1" t="s">
        <v>3995</v>
      </c>
      <c r="Y153" s="1" t="s">
        <v>3996</v>
      </c>
      <c r="Z153" s="1" t="s">
        <v>3997</v>
      </c>
      <c r="AA153" s="1" t="s">
        <v>3998</v>
      </c>
      <c r="AB153" s="1" t="s">
        <v>3999</v>
      </c>
      <c r="AC153" s="1" t="s">
        <v>4000</v>
      </c>
    </row>
    <row r="154" spans="1:29" ht="42.75" x14ac:dyDescent="0.45">
      <c r="A154" s="5" t="s">
        <v>148</v>
      </c>
      <c r="B154" s="2">
        <v>3007562</v>
      </c>
      <c r="C154" s="1" t="s">
        <v>4001</v>
      </c>
      <c r="D154" s="1" t="s">
        <v>4002</v>
      </c>
      <c r="E154" s="1" t="s">
        <v>728</v>
      </c>
      <c r="F154" s="1" t="s">
        <v>4003</v>
      </c>
      <c r="G154" s="1" t="s">
        <v>3313</v>
      </c>
      <c r="H154" s="1" t="s">
        <v>4004</v>
      </c>
      <c r="I154" s="1" t="s">
        <v>4005</v>
      </c>
      <c r="J154" s="1" t="s">
        <v>4006</v>
      </c>
      <c r="K154" s="1" t="s">
        <v>3826</v>
      </c>
      <c r="L154" s="1" t="s">
        <v>4007</v>
      </c>
      <c r="M154" s="1" t="s">
        <v>4008</v>
      </c>
      <c r="N154" s="1" t="s">
        <v>4009</v>
      </c>
      <c r="O154" s="1" t="s">
        <v>4010</v>
      </c>
      <c r="P154" s="1" t="s">
        <v>1598</v>
      </c>
      <c r="Q154" s="1" t="s">
        <v>4011</v>
      </c>
      <c r="R154" s="1" t="s">
        <v>4012</v>
      </c>
      <c r="S154" s="1" t="s">
        <v>4013</v>
      </c>
      <c r="T154" s="1" t="s">
        <v>4014</v>
      </c>
      <c r="U154" s="1" t="s">
        <v>4015</v>
      </c>
      <c r="V154" s="1" t="s">
        <v>4016</v>
      </c>
      <c r="W154" s="1" t="s">
        <v>4017</v>
      </c>
      <c r="X154" s="1" t="s">
        <v>690</v>
      </c>
      <c r="Y154" s="1" t="s">
        <v>4018</v>
      </c>
      <c r="Z154" s="1" t="s">
        <v>4019</v>
      </c>
      <c r="AA154" s="1" t="s">
        <v>4020</v>
      </c>
      <c r="AB154" s="1" t="s">
        <v>4021</v>
      </c>
      <c r="AC154" s="1" t="s">
        <v>4022</v>
      </c>
    </row>
    <row r="155" spans="1:29" ht="42.75" x14ac:dyDescent="0.45">
      <c r="A155" s="5" t="s">
        <v>149</v>
      </c>
      <c r="B155" s="2">
        <v>103025</v>
      </c>
      <c r="C155" s="1" t="s">
        <v>4023</v>
      </c>
      <c r="D155" s="1" t="s">
        <v>4024</v>
      </c>
      <c r="E155" s="1" t="s">
        <v>1950</v>
      </c>
      <c r="F155" s="1" t="s">
        <v>4025</v>
      </c>
      <c r="G155" s="1" t="s">
        <v>4026</v>
      </c>
      <c r="H155" s="1" t="s">
        <v>4027</v>
      </c>
      <c r="I155" s="1" t="s">
        <v>4028</v>
      </c>
      <c r="J155" s="1" t="s">
        <v>4029</v>
      </c>
      <c r="K155" s="1" t="s">
        <v>3330</v>
      </c>
      <c r="L155" s="1" t="s">
        <v>4030</v>
      </c>
      <c r="M155" s="1" t="s">
        <v>4031</v>
      </c>
      <c r="N155" s="1" t="s">
        <v>4032</v>
      </c>
      <c r="O155" s="1" t="s">
        <v>4033</v>
      </c>
      <c r="P155" s="1" t="s">
        <v>4034</v>
      </c>
      <c r="Q155" s="1" t="s">
        <v>4035</v>
      </c>
      <c r="R155" s="1" t="s">
        <v>4036</v>
      </c>
      <c r="S155" s="1" t="s">
        <v>4037</v>
      </c>
      <c r="T155" s="1" t="s">
        <v>2076</v>
      </c>
      <c r="U155" s="1" t="s">
        <v>3444</v>
      </c>
      <c r="V155" s="1" t="s">
        <v>4038</v>
      </c>
      <c r="W155" s="1" t="s">
        <v>4039</v>
      </c>
      <c r="X155" s="1" t="s">
        <v>3136</v>
      </c>
      <c r="Y155" s="1" t="s">
        <v>1216</v>
      </c>
      <c r="Z155" s="1" t="s">
        <v>1381</v>
      </c>
      <c r="AA155" s="1" t="s">
        <v>3223</v>
      </c>
      <c r="AB155" s="1" t="s">
        <v>3137</v>
      </c>
      <c r="AC155" s="1" t="s">
        <v>4040</v>
      </c>
    </row>
    <row r="156" spans="1:29" ht="85.5" x14ac:dyDescent="0.45">
      <c r="A156" s="5" t="s">
        <v>150</v>
      </c>
      <c r="B156" s="2">
        <v>4133448</v>
      </c>
      <c r="C156" s="1" t="s">
        <v>4041</v>
      </c>
      <c r="D156" s="1" t="s">
        <v>4042</v>
      </c>
      <c r="E156" s="1" t="s">
        <v>2321</v>
      </c>
      <c r="F156" s="1" t="s">
        <v>4043</v>
      </c>
      <c r="G156" s="1" t="s">
        <v>4044</v>
      </c>
      <c r="H156" s="1" t="s">
        <v>4045</v>
      </c>
      <c r="I156" s="1" t="s">
        <v>4046</v>
      </c>
      <c r="J156" s="1" t="s">
        <v>4047</v>
      </c>
      <c r="K156" s="1" t="s">
        <v>2347</v>
      </c>
      <c r="L156" s="1" t="s">
        <v>4048</v>
      </c>
      <c r="M156" s="1" t="s">
        <v>4049</v>
      </c>
      <c r="N156" s="1" t="s">
        <v>4050</v>
      </c>
      <c r="O156" s="1" t="s">
        <v>3085</v>
      </c>
      <c r="P156" s="1" t="s">
        <v>4051</v>
      </c>
      <c r="Q156" s="1" t="s">
        <v>2352</v>
      </c>
      <c r="R156" s="1" t="s">
        <v>4052</v>
      </c>
      <c r="S156" s="1" t="s">
        <v>4048</v>
      </c>
      <c r="T156" s="1" t="s">
        <v>1390</v>
      </c>
      <c r="U156" s="1" t="s">
        <v>4053</v>
      </c>
      <c r="V156" s="1" t="s">
        <v>4054</v>
      </c>
      <c r="W156" s="1" t="s">
        <v>1148</v>
      </c>
      <c r="X156" s="1" t="s">
        <v>4055</v>
      </c>
      <c r="Y156" s="1" t="s">
        <v>4056</v>
      </c>
      <c r="Z156" s="1" t="s">
        <v>4057</v>
      </c>
      <c r="AA156" s="1" t="s">
        <v>4058</v>
      </c>
      <c r="AB156" s="1" t="s">
        <v>4059</v>
      </c>
      <c r="AC156" s="1" t="s">
        <v>4060</v>
      </c>
    </row>
    <row r="157" spans="1:29" ht="57" x14ac:dyDescent="0.45">
      <c r="A157" s="5" t="s">
        <v>151</v>
      </c>
      <c r="B157" s="2">
        <v>4025308</v>
      </c>
      <c r="C157" s="1" t="s">
        <v>4061</v>
      </c>
      <c r="D157" s="1" t="s">
        <v>4062</v>
      </c>
      <c r="E157" s="1" t="s">
        <v>2070</v>
      </c>
      <c r="F157" s="1" t="s">
        <v>4063</v>
      </c>
      <c r="G157" s="1" t="s">
        <v>4064</v>
      </c>
      <c r="H157" s="1" t="s">
        <v>4065</v>
      </c>
      <c r="I157" s="1" t="s">
        <v>4066</v>
      </c>
      <c r="J157" s="1" t="s">
        <v>2452</v>
      </c>
      <c r="K157" s="1" t="s">
        <v>4067</v>
      </c>
      <c r="L157" s="1" t="s">
        <v>4068</v>
      </c>
      <c r="M157" s="1" t="s">
        <v>4069</v>
      </c>
      <c r="N157" s="1" t="s">
        <v>3389</v>
      </c>
      <c r="O157" s="1" t="s">
        <v>4070</v>
      </c>
      <c r="P157" s="1" t="s">
        <v>4071</v>
      </c>
      <c r="Q157" s="1" t="s">
        <v>4072</v>
      </c>
      <c r="R157" s="1" t="s">
        <v>4073</v>
      </c>
      <c r="S157" s="1" t="s">
        <v>3081</v>
      </c>
      <c r="T157" s="1" t="s">
        <v>4074</v>
      </c>
      <c r="U157" s="1" t="s">
        <v>4075</v>
      </c>
      <c r="V157" s="1" t="s">
        <v>2588</v>
      </c>
      <c r="W157" s="1" t="s">
        <v>3797</v>
      </c>
      <c r="X157" s="1" t="s">
        <v>4076</v>
      </c>
      <c r="Y157" s="1" t="s">
        <v>4077</v>
      </c>
      <c r="Z157" s="1" t="s">
        <v>4078</v>
      </c>
      <c r="AA157" s="1" t="s">
        <v>4079</v>
      </c>
      <c r="AB157" s="1" t="s">
        <v>2831</v>
      </c>
      <c r="AC157" s="1" t="s">
        <v>4030</v>
      </c>
    </row>
    <row r="158" spans="1:29" ht="57" x14ac:dyDescent="0.45">
      <c r="A158" s="5" t="s">
        <v>152</v>
      </c>
      <c r="B158" s="2">
        <v>102700</v>
      </c>
      <c r="C158" s="1" t="s">
        <v>4080</v>
      </c>
      <c r="D158" s="1" t="s">
        <v>4081</v>
      </c>
      <c r="E158" s="1" t="s">
        <v>648</v>
      </c>
      <c r="F158" s="1" t="s">
        <v>4082</v>
      </c>
      <c r="G158" s="1" t="s">
        <v>4083</v>
      </c>
      <c r="H158" s="1" t="s">
        <v>3642</v>
      </c>
      <c r="I158" s="1" t="s">
        <v>4084</v>
      </c>
      <c r="J158" s="1" t="s">
        <v>4085</v>
      </c>
      <c r="K158" s="1" t="s">
        <v>2980</v>
      </c>
      <c r="L158" s="1" t="s">
        <v>2986</v>
      </c>
      <c r="M158" s="1" t="s">
        <v>4086</v>
      </c>
      <c r="N158" s="1" t="s">
        <v>4087</v>
      </c>
      <c r="O158" s="1" t="s">
        <v>1931</v>
      </c>
      <c r="P158" s="1" t="s">
        <v>3596</v>
      </c>
      <c r="Q158" s="1" t="s">
        <v>4088</v>
      </c>
      <c r="R158" s="1" t="s">
        <v>4089</v>
      </c>
      <c r="S158" s="1" t="s">
        <v>4090</v>
      </c>
      <c r="T158" s="1" t="s">
        <v>4091</v>
      </c>
      <c r="U158" s="1" t="s">
        <v>4092</v>
      </c>
      <c r="V158" s="1" t="s">
        <v>4093</v>
      </c>
      <c r="W158" s="1" t="s">
        <v>4094</v>
      </c>
      <c r="X158" s="1" t="s">
        <v>4095</v>
      </c>
      <c r="Y158" s="1" t="s">
        <v>1575</v>
      </c>
      <c r="Z158" s="1" t="s">
        <v>2877</v>
      </c>
      <c r="AA158" s="1" t="s">
        <v>1991</v>
      </c>
      <c r="AB158" s="1" t="s">
        <v>4096</v>
      </c>
      <c r="AC158" s="1" t="s">
        <v>2905</v>
      </c>
    </row>
    <row r="159" spans="1:29" ht="71.25" x14ac:dyDescent="0.45">
      <c r="A159" s="5" t="s">
        <v>153</v>
      </c>
      <c r="B159" s="2">
        <v>4578418</v>
      </c>
      <c r="C159" s="1" t="s">
        <v>4097</v>
      </c>
      <c r="D159" s="1" t="s">
        <v>4098</v>
      </c>
      <c r="E159" s="1" t="s">
        <v>1171</v>
      </c>
      <c r="F159" s="1" t="s">
        <v>4099</v>
      </c>
      <c r="G159" s="1" t="s">
        <v>4100</v>
      </c>
      <c r="H159" s="1" t="s">
        <v>2814</v>
      </c>
      <c r="I159" s="1" t="s">
        <v>1371</v>
      </c>
      <c r="J159" s="1" t="s">
        <v>4101</v>
      </c>
      <c r="K159" s="1" t="s">
        <v>4102</v>
      </c>
      <c r="L159" s="1" t="s">
        <v>3005</v>
      </c>
      <c r="M159" s="1" t="s">
        <v>3321</v>
      </c>
      <c r="N159" s="1" t="s">
        <v>779</v>
      </c>
      <c r="O159" s="1" t="s">
        <v>3388</v>
      </c>
      <c r="P159" s="1" t="s">
        <v>2289</v>
      </c>
      <c r="Q159" s="1" t="s">
        <v>3155</v>
      </c>
      <c r="R159" s="1" t="s">
        <v>4103</v>
      </c>
      <c r="S159" s="1" t="s">
        <v>4104</v>
      </c>
      <c r="T159" s="1" t="s">
        <v>4105</v>
      </c>
      <c r="U159" s="1" t="s">
        <v>4106</v>
      </c>
      <c r="V159" s="1" t="s">
        <v>4107</v>
      </c>
      <c r="W159" s="1" t="s">
        <v>4108</v>
      </c>
      <c r="X159" s="1" t="s">
        <v>4109</v>
      </c>
      <c r="Y159" s="1" t="s">
        <v>4110</v>
      </c>
      <c r="Z159" s="1" t="s">
        <v>4111</v>
      </c>
      <c r="AA159" s="1" t="s">
        <v>3700</v>
      </c>
      <c r="AB159" s="1" t="s">
        <v>4112</v>
      </c>
      <c r="AC159" s="1" t="s">
        <v>4113</v>
      </c>
    </row>
    <row r="160" spans="1:29" ht="28.5" x14ac:dyDescent="0.45">
      <c r="A160" s="5" t="s">
        <v>154</v>
      </c>
      <c r="B160" s="2">
        <v>4810920</v>
      </c>
      <c r="C160" s="1" t="s">
        <v>4114</v>
      </c>
      <c r="D160" s="1" t="s">
        <v>4115</v>
      </c>
      <c r="E160" s="1" t="s">
        <v>940</v>
      </c>
      <c r="F160" s="1" t="s">
        <v>4116</v>
      </c>
      <c r="G160" s="1" t="s">
        <v>4117</v>
      </c>
      <c r="H160" s="1" t="s">
        <v>3255</v>
      </c>
      <c r="I160" s="1" t="s">
        <v>4118</v>
      </c>
      <c r="J160" s="1" t="s">
        <v>2902</v>
      </c>
      <c r="K160" s="1" t="s">
        <v>1937</v>
      </c>
      <c r="L160" s="1" t="s">
        <v>1458</v>
      </c>
      <c r="M160" s="1" t="s">
        <v>4119</v>
      </c>
      <c r="N160" s="1" t="s">
        <v>784</v>
      </c>
      <c r="O160" s="1" t="s">
        <v>4119</v>
      </c>
      <c r="P160" s="1" t="s">
        <v>4120</v>
      </c>
      <c r="Q160" s="1" t="s">
        <v>1925</v>
      </c>
      <c r="R160" s="1" t="s">
        <v>2009</v>
      </c>
      <c r="S160" s="1" t="s">
        <v>745</v>
      </c>
      <c r="T160" s="1" t="s">
        <v>4121</v>
      </c>
      <c r="U160" s="1" t="s">
        <v>4122</v>
      </c>
      <c r="V160" s="1" t="s">
        <v>2405</v>
      </c>
      <c r="W160" s="1" t="s">
        <v>4123</v>
      </c>
      <c r="X160" s="1" t="s">
        <v>4124</v>
      </c>
      <c r="Y160" s="1" t="s">
        <v>4125</v>
      </c>
      <c r="Z160" s="1" t="s">
        <v>661</v>
      </c>
      <c r="AA160" s="1" t="s">
        <v>4126</v>
      </c>
      <c r="AB160" s="1" t="s">
        <v>4127</v>
      </c>
      <c r="AC160" s="1" t="s">
        <v>4128</v>
      </c>
    </row>
    <row r="161" spans="1:29" ht="71.25" x14ac:dyDescent="0.45">
      <c r="A161" s="5" t="s">
        <v>155</v>
      </c>
      <c r="B161" s="2">
        <v>4070417</v>
      </c>
      <c r="C161" s="1" t="s">
        <v>4129</v>
      </c>
      <c r="D161" s="1" t="s">
        <v>4130</v>
      </c>
      <c r="E161" s="1" t="s">
        <v>3103</v>
      </c>
      <c r="F161" s="1" t="s">
        <v>4131</v>
      </c>
      <c r="G161" s="1" t="s">
        <v>4132</v>
      </c>
      <c r="H161" s="1" t="s">
        <v>1605</v>
      </c>
      <c r="I161" s="1" t="s">
        <v>4133</v>
      </c>
      <c r="J161" s="1" t="s">
        <v>1256</v>
      </c>
      <c r="K161" s="1" t="s">
        <v>4134</v>
      </c>
      <c r="L161" s="1" t="s">
        <v>4135</v>
      </c>
      <c r="M161" s="1" t="s">
        <v>548</v>
      </c>
      <c r="N161" s="1" t="s">
        <v>1533</v>
      </c>
      <c r="O161" s="1" t="s">
        <v>2131</v>
      </c>
      <c r="P161" s="1" t="s">
        <v>1022</v>
      </c>
      <c r="Q161" s="1" t="s">
        <v>4136</v>
      </c>
      <c r="R161" s="1" t="s">
        <v>4137</v>
      </c>
      <c r="S161" s="1" t="s">
        <v>3574</v>
      </c>
      <c r="T161" s="1" t="s">
        <v>4138</v>
      </c>
      <c r="U161" s="1" t="s">
        <v>2985</v>
      </c>
      <c r="V161" s="1" t="s">
        <v>4139</v>
      </c>
      <c r="W161" s="1" t="s">
        <v>4140</v>
      </c>
      <c r="X161" s="1" t="s">
        <v>4141</v>
      </c>
      <c r="Y161" s="1" t="s">
        <v>4142</v>
      </c>
      <c r="Z161" s="1" t="s">
        <v>564</v>
      </c>
      <c r="AA161" s="1" t="s">
        <v>4143</v>
      </c>
      <c r="AB161" s="1" t="s">
        <v>4144</v>
      </c>
      <c r="AC161" s="1" t="s">
        <v>4145</v>
      </c>
    </row>
    <row r="162" spans="1:29" ht="57" x14ac:dyDescent="0.45">
      <c r="A162" s="5" t="s">
        <v>156</v>
      </c>
      <c r="B162" s="2">
        <v>4167462</v>
      </c>
      <c r="C162" s="1" t="s">
        <v>4146</v>
      </c>
      <c r="D162" s="1" t="s">
        <v>4147</v>
      </c>
      <c r="E162" s="1" t="s">
        <v>809</v>
      </c>
      <c r="F162" s="1" t="s">
        <v>4148</v>
      </c>
      <c r="G162" s="1" t="s">
        <v>4149</v>
      </c>
      <c r="H162" s="1" t="s">
        <v>3643</v>
      </c>
      <c r="I162" s="1" t="s">
        <v>4150</v>
      </c>
      <c r="J162" s="1" t="s">
        <v>4151</v>
      </c>
      <c r="K162" s="1" t="s">
        <v>4152</v>
      </c>
      <c r="L162" s="1" t="s">
        <v>4153</v>
      </c>
      <c r="M162" s="1" t="s">
        <v>4017</v>
      </c>
      <c r="N162" s="1" t="s">
        <v>983</v>
      </c>
      <c r="O162" s="1" t="s">
        <v>1111</v>
      </c>
      <c r="P162" s="1" t="s">
        <v>3470</v>
      </c>
      <c r="Q162" s="1" t="s">
        <v>4154</v>
      </c>
      <c r="R162" s="1" t="s">
        <v>4155</v>
      </c>
      <c r="S162" s="1" t="s">
        <v>4156</v>
      </c>
      <c r="T162" s="1" t="s">
        <v>4157</v>
      </c>
      <c r="U162" s="1" t="s">
        <v>4158</v>
      </c>
      <c r="V162" s="1" t="s">
        <v>1034</v>
      </c>
      <c r="W162" s="1" t="s">
        <v>4159</v>
      </c>
      <c r="X162" s="1" t="s">
        <v>4160</v>
      </c>
      <c r="Y162" s="1" t="s">
        <v>4161</v>
      </c>
      <c r="Z162" s="1" t="s">
        <v>924</v>
      </c>
      <c r="AA162" s="1" t="s">
        <v>4162</v>
      </c>
      <c r="AB162" s="1" t="s">
        <v>2496</v>
      </c>
      <c r="AC162" s="1" t="s">
        <v>3506</v>
      </c>
    </row>
    <row r="163" spans="1:29" ht="71.25" x14ac:dyDescent="0.45">
      <c r="A163" s="5" t="s">
        <v>157</v>
      </c>
      <c r="B163" s="2">
        <v>103042</v>
      </c>
      <c r="C163" s="1" t="s">
        <v>4163</v>
      </c>
      <c r="D163" s="1" t="s">
        <v>4164</v>
      </c>
      <c r="E163" s="1" t="s">
        <v>3318</v>
      </c>
      <c r="F163" s="1" t="s">
        <v>4165</v>
      </c>
      <c r="G163" s="1" t="s">
        <v>3939</v>
      </c>
      <c r="H163" s="1" t="s">
        <v>3149</v>
      </c>
      <c r="I163" s="1" t="s">
        <v>4166</v>
      </c>
      <c r="J163" s="1" t="s">
        <v>2847</v>
      </c>
      <c r="K163" s="1" t="s">
        <v>4167</v>
      </c>
      <c r="L163" s="1" t="s">
        <v>3475</v>
      </c>
      <c r="M163" s="1" t="s">
        <v>4168</v>
      </c>
      <c r="N163" s="1" t="s">
        <v>4169</v>
      </c>
      <c r="O163" s="1" t="s">
        <v>3481</v>
      </c>
      <c r="P163" s="1" t="s">
        <v>4170</v>
      </c>
      <c r="Q163" s="1" t="s">
        <v>1207</v>
      </c>
      <c r="R163" s="1" t="s">
        <v>4171</v>
      </c>
      <c r="S163" s="1" t="s">
        <v>2826</v>
      </c>
      <c r="T163" s="1" t="s">
        <v>2425</v>
      </c>
      <c r="U163" s="1" t="s">
        <v>4172</v>
      </c>
      <c r="V163" s="1" t="s">
        <v>3893</v>
      </c>
      <c r="W163" s="1" t="s">
        <v>1664</v>
      </c>
      <c r="X163" s="1" t="s">
        <v>4173</v>
      </c>
      <c r="Y163" s="1" t="s">
        <v>1335</v>
      </c>
      <c r="Z163" s="1" t="s">
        <v>4174</v>
      </c>
      <c r="AA163" s="1" t="s">
        <v>768</v>
      </c>
      <c r="AB163" s="1" t="s">
        <v>4175</v>
      </c>
      <c r="AC163" s="1" t="s">
        <v>4176</v>
      </c>
    </row>
    <row r="164" spans="1:29" ht="85.5" x14ac:dyDescent="0.45">
      <c r="A164" s="5" t="s">
        <v>158</v>
      </c>
      <c r="B164" s="2">
        <v>4232236</v>
      </c>
      <c r="C164" s="1" t="s">
        <v>4177</v>
      </c>
      <c r="D164" s="1" t="s">
        <v>4178</v>
      </c>
      <c r="E164" s="1" t="s">
        <v>1426</v>
      </c>
      <c r="F164" s="1" t="s">
        <v>4179</v>
      </c>
      <c r="G164" s="1" t="s">
        <v>4180</v>
      </c>
      <c r="H164" s="1" t="s">
        <v>4181</v>
      </c>
      <c r="I164" s="1" t="s">
        <v>4182</v>
      </c>
      <c r="J164" s="1" t="s">
        <v>4026</v>
      </c>
      <c r="K164" s="1" t="s">
        <v>4183</v>
      </c>
      <c r="L164" s="1" t="s">
        <v>2453</v>
      </c>
      <c r="M164" s="1" t="s">
        <v>4184</v>
      </c>
      <c r="N164" s="1" t="s">
        <v>3189</v>
      </c>
      <c r="O164" s="1" t="s">
        <v>3055</v>
      </c>
      <c r="P164" s="1" t="s">
        <v>4185</v>
      </c>
      <c r="Q164" s="1" t="s">
        <v>4186</v>
      </c>
      <c r="R164" s="1" t="s">
        <v>4187</v>
      </c>
      <c r="S164" s="1" t="s">
        <v>1933</v>
      </c>
      <c r="T164" s="1" t="s">
        <v>2980</v>
      </c>
      <c r="U164" s="1" t="s">
        <v>4188</v>
      </c>
      <c r="V164" s="1" t="s">
        <v>1930</v>
      </c>
      <c r="W164" s="1" t="s">
        <v>4189</v>
      </c>
      <c r="X164" s="1" t="s">
        <v>3205</v>
      </c>
      <c r="Y164" s="1" t="s">
        <v>4190</v>
      </c>
      <c r="Z164" s="1" t="s">
        <v>3202</v>
      </c>
      <c r="AA164" s="1" t="s">
        <v>4191</v>
      </c>
      <c r="AB164" s="1" t="s">
        <v>4192</v>
      </c>
      <c r="AC164" s="1" t="s">
        <v>4193</v>
      </c>
    </row>
    <row r="165" spans="1:29" ht="71.25" x14ac:dyDescent="0.45">
      <c r="A165" s="5" t="s">
        <v>159</v>
      </c>
      <c r="B165" s="2">
        <v>4055767</v>
      </c>
      <c r="C165" s="1" t="s">
        <v>4194</v>
      </c>
      <c r="D165" s="1" t="s">
        <v>4195</v>
      </c>
      <c r="E165" s="1" t="s">
        <v>914</v>
      </c>
      <c r="F165" s="1" t="s">
        <v>4196</v>
      </c>
      <c r="G165" s="1" t="s">
        <v>4197</v>
      </c>
      <c r="H165" s="1" t="s">
        <v>4198</v>
      </c>
      <c r="I165" s="1" t="s">
        <v>4199</v>
      </c>
      <c r="J165" s="1" t="s">
        <v>556</v>
      </c>
      <c r="K165" s="1" t="s">
        <v>4200</v>
      </c>
      <c r="L165" s="1" t="s">
        <v>4201</v>
      </c>
      <c r="M165" s="1" t="s">
        <v>4202</v>
      </c>
      <c r="N165" s="1" t="s">
        <v>4203</v>
      </c>
      <c r="O165" s="1" t="s">
        <v>4204</v>
      </c>
      <c r="P165" s="1" t="s">
        <v>4154</v>
      </c>
      <c r="Q165" s="1" t="s">
        <v>4205</v>
      </c>
      <c r="R165" s="1" t="s">
        <v>2515</v>
      </c>
      <c r="S165" s="1" t="s">
        <v>3466</v>
      </c>
      <c r="T165" s="1" t="s">
        <v>1096</v>
      </c>
      <c r="U165" s="1" t="s">
        <v>936</v>
      </c>
      <c r="V165" s="1" t="s">
        <v>2400</v>
      </c>
      <c r="W165" s="1" t="s">
        <v>656</v>
      </c>
      <c r="X165" s="1" t="s">
        <v>4206</v>
      </c>
      <c r="Y165" s="1" t="s">
        <v>4207</v>
      </c>
      <c r="Z165" s="1" t="s">
        <v>4208</v>
      </c>
      <c r="AA165" s="1" t="s">
        <v>4209</v>
      </c>
      <c r="AB165" s="1" t="s">
        <v>4210</v>
      </c>
      <c r="AC165" s="1" t="s">
        <v>4211</v>
      </c>
    </row>
    <row r="166" spans="1:29" ht="71.25" x14ac:dyDescent="0.45">
      <c r="A166" s="5" t="s">
        <v>160</v>
      </c>
      <c r="B166" s="2">
        <v>4121346</v>
      </c>
      <c r="C166" s="1" t="s">
        <v>4212</v>
      </c>
      <c r="D166" s="1" t="s">
        <v>4213</v>
      </c>
      <c r="E166" s="1" t="s">
        <v>4214</v>
      </c>
      <c r="F166" s="1" t="s">
        <v>4215</v>
      </c>
      <c r="G166" s="1" t="s">
        <v>4216</v>
      </c>
      <c r="H166" s="1" t="s">
        <v>4217</v>
      </c>
      <c r="I166" s="1" t="s">
        <v>4218</v>
      </c>
      <c r="J166" s="1" t="s">
        <v>4219</v>
      </c>
      <c r="K166" s="1" t="s">
        <v>4220</v>
      </c>
      <c r="L166" s="1" t="s">
        <v>4221</v>
      </c>
      <c r="M166" s="1" t="s">
        <v>4222</v>
      </c>
      <c r="N166" s="1" t="s">
        <v>4223</v>
      </c>
      <c r="O166" s="1" t="s">
        <v>4224</v>
      </c>
      <c r="P166" s="1" t="s">
        <v>4225</v>
      </c>
      <c r="Q166" s="1" t="s">
        <v>4226</v>
      </c>
      <c r="R166" s="1" t="s">
        <v>4227</v>
      </c>
      <c r="S166" s="1" t="s">
        <v>4224</v>
      </c>
      <c r="T166" s="1" t="s">
        <v>4228</v>
      </c>
      <c r="U166" s="1" t="s">
        <v>3278</v>
      </c>
      <c r="V166" s="1" t="s">
        <v>4229</v>
      </c>
      <c r="W166" s="1" t="s">
        <v>4230</v>
      </c>
      <c r="X166" s="1" t="s">
        <v>4231</v>
      </c>
      <c r="Y166" s="1" t="s">
        <v>4232</v>
      </c>
      <c r="Z166" s="1" t="s">
        <v>4233</v>
      </c>
      <c r="AA166" s="1" t="s">
        <v>4234</v>
      </c>
      <c r="AB166" s="1" t="s">
        <v>4235</v>
      </c>
      <c r="AC166" s="1" t="s">
        <v>4236</v>
      </c>
    </row>
    <row r="167" spans="1:29" ht="57" x14ac:dyDescent="0.45">
      <c r="A167" s="5" t="s">
        <v>161</v>
      </c>
      <c r="B167" s="2">
        <v>4911259</v>
      </c>
      <c r="C167" s="1" t="s">
        <v>4237</v>
      </c>
      <c r="D167" s="1" t="s">
        <v>4238</v>
      </c>
      <c r="E167" s="1" t="s">
        <v>2000</v>
      </c>
      <c r="F167" s="1" t="s">
        <v>682</v>
      </c>
      <c r="G167" s="1" t="s">
        <v>1175</v>
      </c>
      <c r="H167" s="1" t="s">
        <v>4239</v>
      </c>
      <c r="I167" s="1" t="s">
        <v>4240</v>
      </c>
      <c r="J167" s="1" t="s">
        <v>4241</v>
      </c>
      <c r="K167" s="1" t="s">
        <v>4242</v>
      </c>
      <c r="L167" s="1" t="s">
        <v>1498</v>
      </c>
      <c r="M167" s="1" t="s">
        <v>4243</v>
      </c>
      <c r="N167" s="1" t="s">
        <v>1993</v>
      </c>
      <c r="O167" s="1" t="s">
        <v>4244</v>
      </c>
      <c r="P167" s="1" t="s">
        <v>4245</v>
      </c>
      <c r="Q167" s="1" t="s">
        <v>1736</v>
      </c>
      <c r="R167" s="1" t="s">
        <v>4246</v>
      </c>
      <c r="S167" s="1" t="s">
        <v>4247</v>
      </c>
      <c r="T167" s="1" t="s">
        <v>4248</v>
      </c>
      <c r="U167" s="1" t="s">
        <v>4249</v>
      </c>
      <c r="V167" s="1" t="s">
        <v>4250</v>
      </c>
      <c r="W167" s="1" t="s">
        <v>4251</v>
      </c>
      <c r="X167" s="1" t="s">
        <v>4252</v>
      </c>
      <c r="Y167" s="1" t="s">
        <v>2202</v>
      </c>
      <c r="Z167" s="1" t="s">
        <v>3471</v>
      </c>
      <c r="AA167" s="1" t="s">
        <v>1451</v>
      </c>
      <c r="AB167" s="1" t="s">
        <v>4253</v>
      </c>
      <c r="AC167" s="1" t="s">
        <v>4254</v>
      </c>
    </row>
    <row r="168" spans="1:29" ht="71.25" x14ac:dyDescent="0.45">
      <c r="A168" s="5" t="s">
        <v>162</v>
      </c>
      <c r="B168" s="2">
        <v>4203993</v>
      </c>
      <c r="C168" s="1" t="s">
        <v>4255</v>
      </c>
      <c r="D168" s="1" t="s">
        <v>4256</v>
      </c>
      <c r="E168" s="1" t="s">
        <v>2321</v>
      </c>
      <c r="F168" s="1" t="s">
        <v>4257</v>
      </c>
      <c r="G168" s="1" t="s">
        <v>3176</v>
      </c>
      <c r="H168" s="1" t="s">
        <v>1008</v>
      </c>
      <c r="I168" s="1" t="s">
        <v>736</v>
      </c>
      <c r="J168" s="1" t="s">
        <v>4021</v>
      </c>
      <c r="K168" s="1" t="s">
        <v>4258</v>
      </c>
      <c r="L168" s="1" t="s">
        <v>1725</v>
      </c>
      <c r="M168" s="1" t="s">
        <v>1633</v>
      </c>
      <c r="N168" s="1" t="s">
        <v>1049</v>
      </c>
      <c r="O168" s="1" t="s">
        <v>2529</v>
      </c>
      <c r="P168" s="1" t="s">
        <v>4259</v>
      </c>
      <c r="Q168" s="1" t="s">
        <v>4260</v>
      </c>
      <c r="R168" s="1" t="s">
        <v>4261</v>
      </c>
      <c r="S168" s="1" t="s">
        <v>4262</v>
      </c>
      <c r="T168" s="1" t="s">
        <v>4263</v>
      </c>
      <c r="U168" s="1" t="s">
        <v>1601</v>
      </c>
      <c r="V168" s="1" t="s">
        <v>4264</v>
      </c>
      <c r="W168" s="1" t="s">
        <v>2370</v>
      </c>
      <c r="X168" s="1" t="s">
        <v>4265</v>
      </c>
      <c r="Y168" s="1" t="s">
        <v>4222</v>
      </c>
      <c r="Z168" s="1" t="s">
        <v>4266</v>
      </c>
      <c r="AA168" s="1" t="s">
        <v>3915</v>
      </c>
      <c r="AB168" s="1" t="s">
        <v>4267</v>
      </c>
      <c r="AC168" s="1" t="s">
        <v>4268</v>
      </c>
    </row>
    <row r="169" spans="1:29" ht="42.75" x14ac:dyDescent="0.45">
      <c r="A169" s="5" t="s">
        <v>163</v>
      </c>
      <c r="B169" s="2">
        <v>4206348</v>
      </c>
      <c r="C169" s="1" t="s">
        <v>4269</v>
      </c>
      <c r="D169" s="1" t="s">
        <v>4270</v>
      </c>
      <c r="E169" s="1" t="s">
        <v>3103</v>
      </c>
      <c r="F169" s="1" t="s">
        <v>4271</v>
      </c>
      <c r="G169" s="1" t="s">
        <v>4272</v>
      </c>
      <c r="H169" s="1" t="s">
        <v>4273</v>
      </c>
      <c r="I169" s="1" t="s">
        <v>4274</v>
      </c>
      <c r="J169" s="1" t="s">
        <v>4275</v>
      </c>
      <c r="K169" s="1" t="s">
        <v>4276</v>
      </c>
      <c r="L169" s="1" t="s">
        <v>4277</v>
      </c>
      <c r="M169" s="1" t="s">
        <v>4278</v>
      </c>
      <c r="N169" s="1" t="s">
        <v>4279</v>
      </c>
      <c r="O169" s="1" t="s">
        <v>4280</v>
      </c>
      <c r="P169" s="1" t="s">
        <v>4281</v>
      </c>
      <c r="Q169" s="1" t="s">
        <v>4282</v>
      </c>
      <c r="R169" s="1" t="s">
        <v>4283</v>
      </c>
      <c r="S169" s="1" t="s">
        <v>4284</v>
      </c>
      <c r="T169" s="1" t="s">
        <v>4285</v>
      </c>
      <c r="U169" s="1" t="s">
        <v>4286</v>
      </c>
      <c r="V169" s="1" t="s">
        <v>4287</v>
      </c>
      <c r="W169" s="1" t="s">
        <v>4288</v>
      </c>
      <c r="X169" s="1" t="s">
        <v>4289</v>
      </c>
      <c r="Y169" s="1" t="s">
        <v>4290</v>
      </c>
      <c r="Z169" s="1" t="s">
        <v>4291</v>
      </c>
      <c r="AA169" s="1" t="s">
        <v>4292</v>
      </c>
      <c r="AB169" s="1" t="s">
        <v>4293</v>
      </c>
      <c r="AC169" s="1" t="s">
        <v>4294</v>
      </c>
    </row>
    <row r="170" spans="1:29" ht="57" x14ac:dyDescent="0.45">
      <c r="A170" s="5" t="s">
        <v>164</v>
      </c>
      <c r="B170" s="2">
        <v>4062397</v>
      </c>
      <c r="C170" s="1" t="s">
        <v>4295</v>
      </c>
      <c r="D170" s="1" t="s">
        <v>4296</v>
      </c>
      <c r="E170" s="1" t="s">
        <v>1497</v>
      </c>
      <c r="F170" s="1" t="s">
        <v>4297</v>
      </c>
      <c r="G170" s="1" t="s">
        <v>736</v>
      </c>
      <c r="H170" s="1" t="s">
        <v>4298</v>
      </c>
      <c r="I170" s="1" t="s">
        <v>1047</v>
      </c>
      <c r="J170" s="1" t="s">
        <v>4299</v>
      </c>
      <c r="K170" s="1" t="s">
        <v>4300</v>
      </c>
      <c r="L170" s="1" t="s">
        <v>4301</v>
      </c>
      <c r="M170" s="1" t="s">
        <v>4302</v>
      </c>
      <c r="N170" s="1" t="s">
        <v>4303</v>
      </c>
      <c r="O170" s="1" t="s">
        <v>4304</v>
      </c>
      <c r="P170" s="1" t="s">
        <v>4305</v>
      </c>
      <c r="Q170" s="1" t="s">
        <v>4306</v>
      </c>
      <c r="R170" s="1" t="s">
        <v>4307</v>
      </c>
      <c r="S170" s="1" t="s">
        <v>4308</v>
      </c>
      <c r="T170" s="1" t="s">
        <v>4309</v>
      </c>
      <c r="U170" s="1" t="s">
        <v>1588</v>
      </c>
      <c r="V170" s="1" t="s">
        <v>4310</v>
      </c>
      <c r="W170" s="1" t="s">
        <v>4311</v>
      </c>
      <c r="X170" s="1" t="s">
        <v>4312</v>
      </c>
      <c r="Y170" s="1" t="s">
        <v>4313</v>
      </c>
      <c r="Z170" s="1" t="s">
        <v>4314</v>
      </c>
      <c r="AA170" s="1" t="s">
        <v>4315</v>
      </c>
      <c r="AB170" s="1" t="s">
        <v>4316</v>
      </c>
      <c r="AC170" s="1" t="s">
        <v>3418</v>
      </c>
    </row>
    <row r="171" spans="1:29" ht="57" x14ac:dyDescent="0.45">
      <c r="A171" s="5" t="s">
        <v>165</v>
      </c>
      <c r="B171" s="2">
        <v>4914369</v>
      </c>
      <c r="C171" s="1" t="s">
        <v>4317</v>
      </c>
      <c r="D171" s="1" t="s">
        <v>4318</v>
      </c>
      <c r="E171" s="1" t="s">
        <v>2604</v>
      </c>
      <c r="F171" s="1" t="s">
        <v>3905</v>
      </c>
      <c r="G171" s="1" t="s">
        <v>4287</v>
      </c>
      <c r="H171" s="1" t="s">
        <v>4319</v>
      </c>
      <c r="I171" s="1" t="s">
        <v>4320</v>
      </c>
      <c r="J171" s="1" t="s">
        <v>4321</v>
      </c>
      <c r="K171" s="1" t="s">
        <v>4322</v>
      </c>
      <c r="L171" s="1" t="s">
        <v>601</v>
      </c>
      <c r="M171" s="1" t="s">
        <v>4323</v>
      </c>
      <c r="N171" s="1" t="s">
        <v>4324</v>
      </c>
      <c r="O171" s="1" t="s">
        <v>988</v>
      </c>
      <c r="P171" s="1" t="s">
        <v>4325</v>
      </c>
      <c r="Q171" s="1" t="s">
        <v>4326</v>
      </c>
      <c r="R171" s="1" t="s">
        <v>1401</v>
      </c>
      <c r="S171" s="1" t="s">
        <v>4327</v>
      </c>
      <c r="T171" s="1" t="s">
        <v>4328</v>
      </c>
      <c r="U171" s="1" t="s">
        <v>4329</v>
      </c>
      <c r="V171" s="1" t="s">
        <v>4330</v>
      </c>
      <c r="W171" s="1" t="s">
        <v>4331</v>
      </c>
      <c r="X171" s="1" t="s">
        <v>4332</v>
      </c>
      <c r="Y171" s="1" t="s">
        <v>4333</v>
      </c>
      <c r="Z171" s="1" t="s">
        <v>4334</v>
      </c>
      <c r="AA171" s="1" t="s">
        <v>4335</v>
      </c>
      <c r="AB171" s="1" t="s">
        <v>4336</v>
      </c>
      <c r="AC171" s="1" t="s">
        <v>4337</v>
      </c>
    </row>
    <row r="172" spans="1:29" ht="71.25" x14ac:dyDescent="0.45">
      <c r="A172" s="5" t="s">
        <v>166</v>
      </c>
      <c r="B172" s="2">
        <v>3008229</v>
      </c>
      <c r="C172" s="1" t="s">
        <v>4338</v>
      </c>
      <c r="D172" s="1" t="s">
        <v>4339</v>
      </c>
      <c r="E172" s="1" t="s">
        <v>648</v>
      </c>
      <c r="F172" s="1" t="s">
        <v>4340</v>
      </c>
      <c r="G172" s="1" t="s">
        <v>4341</v>
      </c>
      <c r="H172" s="1" t="s">
        <v>1745</v>
      </c>
      <c r="I172" s="1" t="s">
        <v>4342</v>
      </c>
      <c r="J172" s="1" t="s">
        <v>4343</v>
      </c>
      <c r="K172" s="1" t="s">
        <v>4344</v>
      </c>
      <c r="L172" s="1" t="s">
        <v>4345</v>
      </c>
      <c r="M172" s="1" t="s">
        <v>1408</v>
      </c>
      <c r="N172" s="1" t="s">
        <v>4346</v>
      </c>
      <c r="O172" s="1" t="s">
        <v>4347</v>
      </c>
      <c r="P172" s="1" t="s">
        <v>4267</v>
      </c>
      <c r="Q172" s="1" t="s">
        <v>4348</v>
      </c>
      <c r="R172" s="1" t="s">
        <v>1600</v>
      </c>
      <c r="S172" s="1" t="s">
        <v>684</v>
      </c>
      <c r="T172" s="1" t="s">
        <v>1428</v>
      </c>
      <c r="U172" s="1" t="s">
        <v>1103</v>
      </c>
      <c r="V172" s="1" t="s">
        <v>4349</v>
      </c>
      <c r="W172" s="1" t="s">
        <v>2884</v>
      </c>
      <c r="X172" s="1" t="s">
        <v>4350</v>
      </c>
      <c r="Y172" s="1" t="s">
        <v>4351</v>
      </c>
      <c r="Z172" s="1" t="s">
        <v>4352</v>
      </c>
      <c r="AA172" s="1" t="s">
        <v>2123</v>
      </c>
      <c r="AB172" s="1" t="s">
        <v>4353</v>
      </c>
      <c r="AC172" s="1" t="s">
        <v>1466</v>
      </c>
    </row>
    <row r="173" spans="1:29" ht="57" x14ac:dyDescent="0.45">
      <c r="A173" s="5" t="s">
        <v>167</v>
      </c>
      <c r="B173" s="2">
        <v>4280272</v>
      </c>
      <c r="C173" s="1" t="s">
        <v>4354</v>
      </c>
      <c r="D173" s="1" t="s">
        <v>4355</v>
      </c>
      <c r="E173" s="1" t="s">
        <v>1144</v>
      </c>
      <c r="F173" s="1" t="s">
        <v>1258</v>
      </c>
      <c r="G173" s="1" t="s">
        <v>4356</v>
      </c>
      <c r="H173" s="1" t="s">
        <v>3465</v>
      </c>
      <c r="I173" s="1" t="s">
        <v>4357</v>
      </c>
      <c r="J173" s="1" t="s">
        <v>4358</v>
      </c>
      <c r="K173" s="1" t="s">
        <v>4359</v>
      </c>
      <c r="L173" s="1" t="s">
        <v>661</v>
      </c>
      <c r="M173" s="1" t="s">
        <v>4360</v>
      </c>
      <c r="N173" s="1" t="s">
        <v>4361</v>
      </c>
      <c r="O173" s="1" t="s">
        <v>4362</v>
      </c>
      <c r="P173" s="1" t="s">
        <v>4363</v>
      </c>
      <c r="Q173" s="1" t="s">
        <v>784</v>
      </c>
      <c r="R173" s="1" t="s">
        <v>1180</v>
      </c>
      <c r="S173" s="1" t="s">
        <v>4364</v>
      </c>
      <c r="T173" s="1" t="s">
        <v>4365</v>
      </c>
      <c r="U173" s="1" t="s">
        <v>4366</v>
      </c>
      <c r="V173" s="1" t="s">
        <v>4367</v>
      </c>
      <c r="W173" s="1" t="s">
        <v>1470</v>
      </c>
      <c r="X173" s="1" t="s">
        <v>4368</v>
      </c>
      <c r="Y173" s="1" t="s">
        <v>4369</v>
      </c>
      <c r="Z173" s="1" t="s">
        <v>4370</v>
      </c>
      <c r="AA173" s="1" t="s">
        <v>922</v>
      </c>
      <c r="AB173" s="1" t="s">
        <v>4371</v>
      </c>
      <c r="AC173" s="1" t="s">
        <v>1190</v>
      </c>
    </row>
    <row r="174" spans="1:29" ht="42.75" x14ac:dyDescent="0.45">
      <c r="A174" s="5" t="s">
        <v>168</v>
      </c>
      <c r="B174" s="2">
        <v>4064204</v>
      </c>
      <c r="C174" s="1" t="s">
        <v>4372</v>
      </c>
      <c r="D174" s="1" t="s">
        <v>4373</v>
      </c>
      <c r="E174" s="1" t="s">
        <v>4374</v>
      </c>
      <c r="F174" s="1" t="s">
        <v>3535</v>
      </c>
      <c r="G174" s="1" t="s">
        <v>4375</v>
      </c>
      <c r="H174" s="1" t="s">
        <v>2806</v>
      </c>
      <c r="I174" s="1" t="s">
        <v>4376</v>
      </c>
      <c r="J174" s="1" t="s">
        <v>4377</v>
      </c>
      <c r="K174" s="1" t="s">
        <v>4378</v>
      </c>
      <c r="L174" s="1" t="s">
        <v>1835</v>
      </c>
      <c r="M174" s="1" t="s">
        <v>570</v>
      </c>
      <c r="N174" s="1" t="s">
        <v>1486</v>
      </c>
      <c r="O174" s="1" t="s">
        <v>4379</v>
      </c>
      <c r="P174" s="1" t="s">
        <v>2949</v>
      </c>
      <c r="Q174" s="1" t="s">
        <v>4380</v>
      </c>
      <c r="R174" s="1" t="s">
        <v>3006</v>
      </c>
      <c r="S174" s="1" t="s">
        <v>4100</v>
      </c>
      <c r="T174" s="1" t="s">
        <v>4381</v>
      </c>
      <c r="U174" s="1" t="s">
        <v>4382</v>
      </c>
      <c r="V174" s="1" t="s">
        <v>4383</v>
      </c>
      <c r="W174" s="1" t="s">
        <v>4384</v>
      </c>
      <c r="X174" s="1" t="s">
        <v>4385</v>
      </c>
      <c r="Y174" s="1" t="s">
        <v>3200</v>
      </c>
      <c r="Z174" s="1" t="s">
        <v>4386</v>
      </c>
      <c r="AA174" s="1" t="s">
        <v>1336</v>
      </c>
      <c r="AB174" s="1" t="s">
        <v>4387</v>
      </c>
      <c r="AC174" s="1" t="s">
        <v>4388</v>
      </c>
    </row>
    <row r="175" spans="1:29" ht="99.75" x14ac:dyDescent="0.45">
      <c r="A175" s="5" t="s">
        <v>169</v>
      </c>
      <c r="B175" s="2">
        <v>4074303</v>
      </c>
      <c r="C175" s="1" t="s">
        <v>4389</v>
      </c>
      <c r="D175" s="1" t="s">
        <v>4390</v>
      </c>
      <c r="E175" s="1" t="s">
        <v>1722</v>
      </c>
      <c r="F175" s="1" t="s">
        <v>4391</v>
      </c>
      <c r="G175" s="1" t="s">
        <v>4392</v>
      </c>
      <c r="H175" s="1" t="s">
        <v>4393</v>
      </c>
      <c r="I175" s="1" t="s">
        <v>2613</v>
      </c>
      <c r="J175" s="1" t="s">
        <v>4394</v>
      </c>
      <c r="K175" s="1" t="s">
        <v>4395</v>
      </c>
      <c r="L175" s="1" t="s">
        <v>4396</v>
      </c>
      <c r="M175" s="1" t="s">
        <v>4397</v>
      </c>
      <c r="N175" s="1" t="s">
        <v>4398</v>
      </c>
      <c r="O175" s="1" t="s">
        <v>4399</v>
      </c>
      <c r="P175" s="1" t="s">
        <v>4400</v>
      </c>
      <c r="Q175" s="1" t="s">
        <v>4401</v>
      </c>
      <c r="R175" s="1" t="s">
        <v>4402</v>
      </c>
      <c r="S175" s="1" t="s">
        <v>4403</v>
      </c>
      <c r="T175" s="1" t="s">
        <v>4404</v>
      </c>
      <c r="U175" s="1" t="s">
        <v>602</v>
      </c>
      <c r="V175" s="1" t="s">
        <v>4405</v>
      </c>
      <c r="W175" s="1" t="s">
        <v>4406</v>
      </c>
      <c r="X175" s="1" t="s">
        <v>4407</v>
      </c>
      <c r="Y175" s="1" t="s">
        <v>4408</v>
      </c>
      <c r="Z175" s="1" t="s">
        <v>4409</v>
      </c>
      <c r="AA175" s="1" t="s">
        <v>4410</v>
      </c>
      <c r="AB175" s="1" t="s">
        <v>4411</v>
      </c>
      <c r="AC175" s="1" t="s">
        <v>4412</v>
      </c>
    </row>
    <row r="176" spans="1:29" ht="28.5" x14ac:dyDescent="0.45">
      <c r="A176" s="5" t="s">
        <v>170</v>
      </c>
      <c r="B176" s="2">
        <v>111564</v>
      </c>
      <c r="C176" s="1" t="s">
        <v>4413</v>
      </c>
      <c r="D176" s="1" t="s">
        <v>4414</v>
      </c>
      <c r="E176" s="1" t="s">
        <v>888</v>
      </c>
      <c r="F176" s="1" t="s">
        <v>4415</v>
      </c>
      <c r="G176" s="1" t="s">
        <v>4416</v>
      </c>
      <c r="H176" s="1" t="s">
        <v>4417</v>
      </c>
      <c r="I176" s="1" t="s">
        <v>4418</v>
      </c>
      <c r="J176" s="1" t="s">
        <v>4419</v>
      </c>
      <c r="K176" s="1" t="s">
        <v>4420</v>
      </c>
      <c r="L176" s="1" t="s">
        <v>1869</v>
      </c>
      <c r="M176" s="1" t="s">
        <v>4421</v>
      </c>
      <c r="N176" s="1" t="s">
        <v>4422</v>
      </c>
      <c r="O176" s="1" t="s">
        <v>4423</v>
      </c>
      <c r="P176" s="1" t="s">
        <v>4424</v>
      </c>
      <c r="Q176" s="1" t="s">
        <v>4425</v>
      </c>
      <c r="R176" s="1" t="s">
        <v>4426</v>
      </c>
      <c r="S176" s="1" t="s">
        <v>4427</v>
      </c>
      <c r="T176" s="1" t="s">
        <v>4428</v>
      </c>
      <c r="U176" s="1" t="s">
        <v>4429</v>
      </c>
      <c r="V176" s="1" t="s">
        <v>4430</v>
      </c>
      <c r="W176" s="1" t="s">
        <v>4431</v>
      </c>
      <c r="X176" s="1" t="s">
        <v>4432</v>
      </c>
      <c r="Y176" s="1" t="s">
        <v>4433</v>
      </c>
      <c r="Z176" s="1" t="s">
        <v>4434</v>
      </c>
      <c r="AA176" s="1" t="s">
        <v>4435</v>
      </c>
      <c r="AB176" s="1" t="s">
        <v>4436</v>
      </c>
      <c r="AC176" s="1" t="s">
        <v>4437</v>
      </c>
    </row>
    <row r="177" spans="1:29" ht="57" x14ac:dyDescent="0.45">
      <c r="A177" s="5" t="s">
        <v>171</v>
      </c>
      <c r="B177" s="2">
        <v>4040823</v>
      </c>
      <c r="C177" s="1" t="s">
        <v>4438</v>
      </c>
      <c r="D177" s="1" t="s">
        <v>4439</v>
      </c>
      <c r="E177" s="1" t="s">
        <v>3494</v>
      </c>
      <c r="F177" s="1" t="s">
        <v>598</v>
      </c>
      <c r="G177" s="1" t="s">
        <v>4440</v>
      </c>
      <c r="H177" s="1" t="s">
        <v>4441</v>
      </c>
      <c r="I177" s="1" t="s">
        <v>4442</v>
      </c>
      <c r="J177" s="1" t="s">
        <v>4443</v>
      </c>
      <c r="K177" s="1" t="s">
        <v>4444</v>
      </c>
      <c r="L177" s="1" t="s">
        <v>4445</v>
      </c>
      <c r="M177" s="1" t="s">
        <v>4446</v>
      </c>
      <c r="N177" s="1" t="s">
        <v>4447</v>
      </c>
      <c r="O177" s="1" t="s">
        <v>4448</v>
      </c>
      <c r="P177" s="1" t="s">
        <v>4449</v>
      </c>
      <c r="Q177" s="1" t="s">
        <v>4450</v>
      </c>
      <c r="R177" s="1" t="s">
        <v>4451</v>
      </c>
      <c r="S177" s="1" t="s">
        <v>730</v>
      </c>
      <c r="T177" s="1" t="s">
        <v>4452</v>
      </c>
      <c r="U177" s="1" t="s">
        <v>538</v>
      </c>
      <c r="V177" s="1" t="s">
        <v>4453</v>
      </c>
      <c r="W177" s="1" t="s">
        <v>4454</v>
      </c>
      <c r="X177" s="1" t="s">
        <v>4455</v>
      </c>
      <c r="Y177" s="1" t="s">
        <v>4287</v>
      </c>
      <c r="Z177" s="1" t="s">
        <v>4456</v>
      </c>
      <c r="AA177" s="1" t="s">
        <v>4457</v>
      </c>
      <c r="AB177" s="1" t="s">
        <v>4458</v>
      </c>
      <c r="AC177" s="1" t="s">
        <v>4459</v>
      </c>
    </row>
    <row r="178" spans="1:29" ht="71.25" x14ac:dyDescent="0.45">
      <c r="A178" s="5" t="s">
        <v>172</v>
      </c>
      <c r="B178" s="2">
        <v>4046286</v>
      </c>
      <c r="C178" s="1" t="s">
        <v>4460</v>
      </c>
      <c r="D178" s="1" t="s">
        <v>4461</v>
      </c>
      <c r="E178" s="1" t="s">
        <v>1426</v>
      </c>
      <c r="F178" s="1" t="s">
        <v>4462</v>
      </c>
      <c r="G178" s="1" t="s">
        <v>1450</v>
      </c>
      <c r="H178" s="1" t="s">
        <v>1817</v>
      </c>
      <c r="I178" s="1" t="s">
        <v>4463</v>
      </c>
      <c r="J178" s="1" t="s">
        <v>1925</v>
      </c>
      <c r="K178" s="1" t="s">
        <v>2400</v>
      </c>
      <c r="L178" s="1" t="s">
        <v>4464</v>
      </c>
      <c r="M178" s="1" t="s">
        <v>4465</v>
      </c>
      <c r="N178" s="1" t="s">
        <v>4466</v>
      </c>
      <c r="O178" s="1" t="s">
        <v>4467</v>
      </c>
      <c r="P178" s="1" t="s">
        <v>2131</v>
      </c>
      <c r="Q178" s="1" t="s">
        <v>4468</v>
      </c>
      <c r="R178" s="1" t="s">
        <v>4469</v>
      </c>
      <c r="S178" s="1" t="s">
        <v>4470</v>
      </c>
      <c r="T178" s="1" t="s">
        <v>4471</v>
      </c>
      <c r="U178" s="1" t="s">
        <v>4472</v>
      </c>
      <c r="V178" s="1" t="s">
        <v>4473</v>
      </c>
      <c r="W178" s="1" t="s">
        <v>2883</v>
      </c>
      <c r="X178" s="1" t="s">
        <v>4474</v>
      </c>
      <c r="Y178" s="1" t="s">
        <v>4253</v>
      </c>
      <c r="Z178" s="1" t="s">
        <v>1100</v>
      </c>
      <c r="AA178" s="1" t="s">
        <v>4475</v>
      </c>
      <c r="AB178" s="1" t="s">
        <v>4476</v>
      </c>
      <c r="AC178" s="1" t="s">
        <v>4477</v>
      </c>
    </row>
    <row r="179" spans="1:29" ht="71.25" x14ac:dyDescent="0.45">
      <c r="A179" s="5" t="s">
        <v>173</v>
      </c>
      <c r="B179" s="2">
        <v>4217596</v>
      </c>
      <c r="C179" s="1" t="s">
        <v>4478</v>
      </c>
      <c r="D179" s="1" t="s">
        <v>4479</v>
      </c>
      <c r="E179" s="1" t="s">
        <v>2970</v>
      </c>
      <c r="F179" s="1" t="s">
        <v>4480</v>
      </c>
      <c r="G179" s="1" t="s">
        <v>4481</v>
      </c>
      <c r="H179" s="1" t="s">
        <v>4482</v>
      </c>
      <c r="I179" s="1" t="s">
        <v>3393</v>
      </c>
      <c r="J179" s="1" t="s">
        <v>4483</v>
      </c>
      <c r="K179" s="1" t="s">
        <v>4484</v>
      </c>
      <c r="L179" s="1" t="s">
        <v>4481</v>
      </c>
      <c r="M179" s="1" t="s">
        <v>4485</v>
      </c>
      <c r="N179" s="1" t="s">
        <v>4486</v>
      </c>
      <c r="O179" s="1" t="s">
        <v>4487</v>
      </c>
      <c r="P179" s="1" t="s">
        <v>4055</v>
      </c>
      <c r="Q179" s="1" t="s">
        <v>1163</v>
      </c>
      <c r="R179" s="1" t="s">
        <v>4169</v>
      </c>
      <c r="S179" s="1" t="s">
        <v>4488</v>
      </c>
      <c r="T179" s="1" t="s">
        <v>4489</v>
      </c>
      <c r="U179" s="1" t="s">
        <v>4490</v>
      </c>
      <c r="V179" s="1" t="s">
        <v>4491</v>
      </c>
      <c r="W179" s="1" t="s">
        <v>4492</v>
      </c>
      <c r="X179" s="1" t="s">
        <v>4493</v>
      </c>
      <c r="Y179" s="1" t="s">
        <v>4166</v>
      </c>
      <c r="Z179" s="1" t="s">
        <v>4494</v>
      </c>
      <c r="AA179" s="1" t="s">
        <v>4495</v>
      </c>
      <c r="AB179" s="1" t="s">
        <v>4496</v>
      </c>
      <c r="AC179" s="1" t="s">
        <v>4497</v>
      </c>
    </row>
    <row r="180" spans="1:29" ht="57" x14ac:dyDescent="0.45">
      <c r="A180" s="5" t="s">
        <v>174</v>
      </c>
      <c r="B180" s="2">
        <v>4056951</v>
      </c>
      <c r="C180" s="1" t="s">
        <v>4498</v>
      </c>
      <c r="D180" s="1" t="s">
        <v>4499</v>
      </c>
      <c r="E180" s="1" t="s">
        <v>2070</v>
      </c>
      <c r="F180" s="1" t="s">
        <v>1745</v>
      </c>
      <c r="G180" s="1" t="s">
        <v>2127</v>
      </c>
      <c r="H180" s="1" t="s">
        <v>3859</v>
      </c>
      <c r="I180" s="1" t="s">
        <v>977</v>
      </c>
      <c r="J180" s="1" t="s">
        <v>2976</v>
      </c>
      <c r="K180" s="1" t="s">
        <v>2868</v>
      </c>
      <c r="L180" s="1" t="s">
        <v>4500</v>
      </c>
      <c r="M180" s="1" t="s">
        <v>4501</v>
      </c>
      <c r="N180" s="1" t="s">
        <v>4502</v>
      </c>
      <c r="O180" s="1" t="s">
        <v>4503</v>
      </c>
      <c r="P180" s="1" t="s">
        <v>4504</v>
      </c>
      <c r="Q180" s="1" t="s">
        <v>4505</v>
      </c>
      <c r="R180" s="1" t="s">
        <v>4506</v>
      </c>
      <c r="S180" s="1" t="s">
        <v>4507</v>
      </c>
      <c r="T180" s="1" t="s">
        <v>2492</v>
      </c>
      <c r="U180" s="1" t="s">
        <v>2999</v>
      </c>
      <c r="V180" s="1" t="s">
        <v>4508</v>
      </c>
      <c r="W180" s="1" t="s">
        <v>4509</v>
      </c>
      <c r="X180" s="1" t="s">
        <v>4510</v>
      </c>
      <c r="Y180" s="1" t="s">
        <v>4511</v>
      </c>
      <c r="Z180" s="1" t="s">
        <v>3590</v>
      </c>
      <c r="AA180" s="1" t="s">
        <v>4465</v>
      </c>
      <c r="AB180" s="1" t="s">
        <v>3864</v>
      </c>
      <c r="AC180" s="1" t="s">
        <v>4512</v>
      </c>
    </row>
    <row r="181" spans="1:29" ht="71.25" x14ac:dyDescent="0.45">
      <c r="A181" s="5" t="s">
        <v>175</v>
      </c>
      <c r="B181" s="2">
        <v>4133271</v>
      </c>
      <c r="C181" s="1" t="s">
        <v>4513</v>
      </c>
      <c r="D181" s="1" t="s">
        <v>4514</v>
      </c>
      <c r="E181" s="1" t="s">
        <v>940</v>
      </c>
      <c r="F181" s="1" t="s">
        <v>4515</v>
      </c>
      <c r="G181" s="1" t="s">
        <v>4516</v>
      </c>
      <c r="H181" s="1" t="s">
        <v>4517</v>
      </c>
      <c r="I181" s="1" t="s">
        <v>4518</v>
      </c>
      <c r="J181" s="1" t="s">
        <v>4519</v>
      </c>
      <c r="K181" s="1" t="s">
        <v>4520</v>
      </c>
      <c r="L181" s="1" t="s">
        <v>4521</v>
      </c>
      <c r="M181" s="1" t="s">
        <v>4522</v>
      </c>
      <c r="N181" s="1" t="s">
        <v>4523</v>
      </c>
      <c r="O181" s="1" t="s">
        <v>4524</v>
      </c>
      <c r="P181" s="1" t="s">
        <v>4525</v>
      </c>
      <c r="Q181" s="1" t="s">
        <v>4526</v>
      </c>
      <c r="R181" s="1" t="s">
        <v>4527</v>
      </c>
      <c r="S181" s="1" t="s">
        <v>4528</v>
      </c>
      <c r="T181" s="1" t="s">
        <v>4529</v>
      </c>
      <c r="U181" s="1" t="s">
        <v>4530</v>
      </c>
      <c r="V181" s="1" t="s">
        <v>4531</v>
      </c>
      <c r="W181" s="1" t="s">
        <v>4532</v>
      </c>
      <c r="X181" s="1" t="s">
        <v>4533</v>
      </c>
      <c r="Y181" s="1" t="s">
        <v>4534</v>
      </c>
      <c r="Z181" s="1" t="s">
        <v>4535</v>
      </c>
      <c r="AA181" s="1" t="s">
        <v>4536</v>
      </c>
      <c r="AB181" s="1" t="s">
        <v>4537</v>
      </c>
      <c r="AC181" s="1" t="s">
        <v>4538</v>
      </c>
    </row>
    <row r="182" spans="1:29" ht="71.25" x14ac:dyDescent="0.45">
      <c r="A182" s="5" t="s">
        <v>176</v>
      </c>
      <c r="B182" s="2">
        <v>4071364</v>
      </c>
      <c r="C182" s="1" t="s">
        <v>4539</v>
      </c>
      <c r="D182" s="1" t="s">
        <v>4540</v>
      </c>
      <c r="E182" s="1" t="s">
        <v>4541</v>
      </c>
      <c r="F182" s="1" t="s">
        <v>2574</v>
      </c>
      <c r="G182" s="1" t="s">
        <v>4542</v>
      </c>
      <c r="H182" s="1" t="s">
        <v>2327</v>
      </c>
      <c r="I182" s="1" t="s">
        <v>4543</v>
      </c>
      <c r="J182" s="1" t="s">
        <v>4544</v>
      </c>
      <c r="K182" s="1" t="s">
        <v>1168</v>
      </c>
      <c r="L182" s="1" t="s">
        <v>1156</v>
      </c>
      <c r="M182" s="1" t="s">
        <v>4545</v>
      </c>
      <c r="N182" s="1" t="s">
        <v>4546</v>
      </c>
      <c r="O182" s="1" t="s">
        <v>4547</v>
      </c>
      <c r="P182" s="1" t="s">
        <v>4548</v>
      </c>
      <c r="Q182" s="1" t="s">
        <v>4549</v>
      </c>
      <c r="R182" s="1" t="s">
        <v>4550</v>
      </c>
      <c r="S182" s="1" t="s">
        <v>1133</v>
      </c>
      <c r="T182" s="1" t="s">
        <v>4551</v>
      </c>
      <c r="U182" s="1" t="s">
        <v>4552</v>
      </c>
      <c r="V182" s="1" t="s">
        <v>2563</v>
      </c>
      <c r="W182" s="1" t="s">
        <v>2337</v>
      </c>
      <c r="X182" s="1" t="s">
        <v>4553</v>
      </c>
      <c r="Y182" s="1" t="s">
        <v>1879</v>
      </c>
      <c r="Z182" s="1" t="s">
        <v>4554</v>
      </c>
      <c r="AA182" s="1" t="s">
        <v>4555</v>
      </c>
      <c r="AB182" s="1" t="s">
        <v>1887</v>
      </c>
      <c r="AC182" s="1" t="s">
        <v>4556</v>
      </c>
    </row>
    <row r="183" spans="1:29" ht="42.75" x14ac:dyDescent="0.45">
      <c r="A183" s="5" t="s">
        <v>177</v>
      </c>
      <c r="B183" s="2">
        <v>4069059</v>
      </c>
      <c r="C183" s="1" t="s">
        <v>4557</v>
      </c>
      <c r="D183" s="1" t="s">
        <v>4558</v>
      </c>
      <c r="E183" s="1" t="s">
        <v>1924</v>
      </c>
      <c r="F183" s="1" t="s">
        <v>4559</v>
      </c>
      <c r="G183" s="1" t="s">
        <v>4560</v>
      </c>
      <c r="H183" s="1" t="s">
        <v>4561</v>
      </c>
      <c r="I183" s="1" t="s">
        <v>4562</v>
      </c>
      <c r="J183" s="1" t="s">
        <v>4563</v>
      </c>
      <c r="K183" s="1" t="s">
        <v>4564</v>
      </c>
      <c r="L183" s="1" t="s">
        <v>4565</v>
      </c>
      <c r="M183" s="1" t="s">
        <v>4566</v>
      </c>
      <c r="N183" s="1" t="s">
        <v>4567</v>
      </c>
      <c r="O183" s="1" t="s">
        <v>4568</v>
      </c>
      <c r="P183" s="1" t="s">
        <v>4569</v>
      </c>
      <c r="Q183" s="1" t="s">
        <v>3087</v>
      </c>
      <c r="R183" s="1" t="s">
        <v>4570</v>
      </c>
      <c r="S183" s="1" t="s">
        <v>4571</v>
      </c>
      <c r="T183" s="1" t="s">
        <v>4572</v>
      </c>
      <c r="U183" s="1" t="s">
        <v>4573</v>
      </c>
      <c r="V183" s="1" t="s">
        <v>4545</v>
      </c>
      <c r="W183" s="1" t="s">
        <v>4574</v>
      </c>
      <c r="X183" s="1" t="s">
        <v>4575</v>
      </c>
      <c r="Y183" s="1" t="s">
        <v>4576</v>
      </c>
      <c r="Z183" s="1" t="s">
        <v>1140</v>
      </c>
      <c r="AA183" s="1" t="s">
        <v>4577</v>
      </c>
      <c r="AB183" s="1" t="s">
        <v>3380</v>
      </c>
      <c r="AC183" s="1" t="s">
        <v>1567</v>
      </c>
    </row>
    <row r="184" spans="1:29" ht="57" x14ac:dyDescent="0.45">
      <c r="A184" s="5" t="s">
        <v>178</v>
      </c>
      <c r="B184" s="2">
        <v>4587650</v>
      </c>
      <c r="C184" s="1" t="s">
        <v>4578</v>
      </c>
      <c r="D184" s="1" t="s">
        <v>4579</v>
      </c>
      <c r="E184" s="1" t="s">
        <v>835</v>
      </c>
      <c r="F184" s="1" t="s">
        <v>4580</v>
      </c>
      <c r="G184" s="1" t="s">
        <v>4581</v>
      </c>
      <c r="H184" s="1" t="s">
        <v>4582</v>
      </c>
      <c r="I184" s="1" t="s">
        <v>4580</v>
      </c>
      <c r="J184" s="1" t="s">
        <v>2332</v>
      </c>
      <c r="K184" s="1" t="s">
        <v>4583</v>
      </c>
      <c r="L184" s="1" t="s">
        <v>2926</v>
      </c>
      <c r="M184" s="1" t="s">
        <v>4584</v>
      </c>
      <c r="N184" s="1" t="s">
        <v>4585</v>
      </c>
      <c r="O184" s="1" t="s">
        <v>2912</v>
      </c>
      <c r="P184" s="1" t="s">
        <v>4586</v>
      </c>
      <c r="Q184" s="1" t="s">
        <v>4587</v>
      </c>
      <c r="R184" s="1" t="s">
        <v>2417</v>
      </c>
      <c r="S184" s="1" t="s">
        <v>4588</v>
      </c>
      <c r="T184" s="1" t="s">
        <v>4589</v>
      </c>
      <c r="U184" s="1" t="s">
        <v>4590</v>
      </c>
      <c r="V184" s="1" t="s">
        <v>4591</v>
      </c>
      <c r="W184" s="1" t="s">
        <v>4592</v>
      </c>
      <c r="X184" s="1" t="s">
        <v>4593</v>
      </c>
      <c r="Y184" s="1" t="s">
        <v>4594</v>
      </c>
      <c r="Z184" s="1" t="s">
        <v>4595</v>
      </c>
      <c r="AA184" s="1" t="s">
        <v>4596</v>
      </c>
      <c r="AB184" s="1" t="s">
        <v>4597</v>
      </c>
      <c r="AC184" s="1" t="s">
        <v>1754</v>
      </c>
    </row>
    <row r="185" spans="1:29" ht="42.75" x14ac:dyDescent="0.45">
      <c r="A185" s="5" t="s">
        <v>179</v>
      </c>
      <c r="B185" s="2">
        <v>4135450</v>
      </c>
      <c r="C185" s="1" t="s">
        <v>4598</v>
      </c>
      <c r="D185" s="1" t="s">
        <v>4599</v>
      </c>
      <c r="E185" s="1" t="s">
        <v>1144</v>
      </c>
      <c r="F185" s="1" t="s">
        <v>4600</v>
      </c>
      <c r="G185" s="1" t="s">
        <v>4601</v>
      </c>
      <c r="H185" s="1" t="s">
        <v>4602</v>
      </c>
      <c r="I185" s="1" t="s">
        <v>4603</v>
      </c>
      <c r="J185" s="1" t="s">
        <v>4604</v>
      </c>
      <c r="K185" s="1" t="s">
        <v>4605</v>
      </c>
      <c r="L185" s="1" t="s">
        <v>4606</v>
      </c>
      <c r="M185" s="1" t="s">
        <v>4607</v>
      </c>
      <c r="N185" s="1" t="s">
        <v>4608</v>
      </c>
      <c r="O185" s="1" t="s">
        <v>693</v>
      </c>
      <c r="P185" s="1" t="s">
        <v>4609</v>
      </c>
      <c r="Q185" s="1" t="s">
        <v>4278</v>
      </c>
      <c r="R185" s="1" t="s">
        <v>4610</v>
      </c>
      <c r="S185" s="1" t="s">
        <v>4611</v>
      </c>
      <c r="T185" s="1" t="s">
        <v>4612</v>
      </c>
      <c r="U185" s="1" t="s">
        <v>4613</v>
      </c>
      <c r="V185" s="1" t="s">
        <v>4614</v>
      </c>
      <c r="W185" s="1" t="s">
        <v>4615</v>
      </c>
      <c r="X185" s="1" t="s">
        <v>4616</v>
      </c>
      <c r="Y185" s="1" t="s">
        <v>4617</v>
      </c>
      <c r="Z185" s="1" t="s">
        <v>4618</v>
      </c>
      <c r="AA185" s="1" t="s">
        <v>4619</v>
      </c>
      <c r="AB185" s="1" t="s">
        <v>4620</v>
      </c>
      <c r="AC185" s="1" t="s">
        <v>4621</v>
      </c>
    </row>
    <row r="186" spans="1:29" ht="85.5" x14ac:dyDescent="0.45">
      <c r="A186" s="5" t="s">
        <v>180</v>
      </c>
      <c r="B186" s="2">
        <v>4992897</v>
      </c>
      <c r="C186" s="1" t="s">
        <v>4622</v>
      </c>
      <c r="D186" s="1" t="s">
        <v>4623</v>
      </c>
      <c r="E186" s="1" t="s">
        <v>595</v>
      </c>
      <c r="F186" s="1" t="s">
        <v>4624</v>
      </c>
      <c r="G186" s="1" t="s">
        <v>4625</v>
      </c>
      <c r="H186" s="1" t="s">
        <v>4626</v>
      </c>
      <c r="I186" s="1" t="s">
        <v>4627</v>
      </c>
      <c r="J186" s="1" t="s">
        <v>4628</v>
      </c>
      <c r="K186" s="1" t="s">
        <v>2197</v>
      </c>
      <c r="L186" s="1" t="s">
        <v>4629</v>
      </c>
      <c r="M186" s="1" t="s">
        <v>4630</v>
      </c>
      <c r="N186" s="1" t="s">
        <v>4631</v>
      </c>
      <c r="O186" s="1" t="s">
        <v>4096</v>
      </c>
      <c r="P186" s="1" t="s">
        <v>2488</v>
      </c>
      <c r="Q186" s="1" t="s">
        <v>681</v>
      </c>
      <c r="R186" s="1" t="s">
        <v>1725</v>
      </c>
      <c r="S186" s="1" t="s">
        <v>3676</v>
      </c>
      <c r="T186" s="1" t="s">
        <v>3677</v>
      </c>
      <c r="U186" s="1" t="s">
        <v>4632</v>
      </c>
      <c r="V186" s="1" t="s">
        <v>4633</v>
      </c>
      <c r="W186" s="1" t="s">
        <v>3019</v>
      </c>
      <c r="X186" s="1" t="s">
        <v>4634</v>
      </c>
      <c r="Y186" s="1" t="s">
        <v>3645</v>
      </c>
      <c r="Z186" s="1" t="s">
        <v>4635</v>
      </c>
      <c r="AA186" s="1" t="s">
        <v>4636</v>
      </c>
      <c r="AB186" s="1" t="s">
        <v>4637</v>
      </c>
      <c r="AC186" s="1" t="s">
        <v>4638</v>
      </c>
    </row>
    <row r="187" spans="1:29" ht="42.75" x14ac:dyDescent="0.45">
      <c r="A187" s="5" t="s">
        <v>181</v>
      </c>
      <c r="B187" s="2">
        <v>4107929</v>
      </c>
      <c r="C187" s="1" t="s">
        <v>4639</v>
      </c>
      <c r="D187" s="1" t="s">
        <v>4640</v>
      </c>
      <c r="E187" s="1" t="s">
        <v>4641</v>
      </c>
      <c r="F187" s="1" t="s">
        <v>2802</v>
      </c>
      <c r="G187" s="1" t="s">
        <v>4642</v>
      </c>
      <c r="H187" s="1" t="s">
        <v>1492</v>
      </c>
      <c r="I187" s="1" t="s">
        <v>4643</v>
      </c>
      <c r="J187" s="1" t="s">
        <v>4644</v>
      </c>
      <c r="K187" s="1" t="s">
        <v>1843</v>
      </c>
      <c r="L187" s="1" t="s">
        <v>4645</v>
      </c>
      <c r="M187" s="1" t="s">
        <v>4646</v>
      </c>
      <c r="N187" s="1" t="s">
        <v>2275</v>
      </c>
      <c r="O187" s="1" t="s">
        <v>4647</v>
      </c>
      <c r="P187" s="1" t="s">
        <v>4648</v>
      </c>
      <c r="Q187" s="1" t="s">
        <v>4649</v>
      </c>
      <c r="R187" s="1" t="s">
        <v>4650</v>
      </c>
      <c r="S187" s="1" t="s">
        <v>4184</v>
      </c>
      <c r="T187" s="1" t="s">
        <v>1038</v>
      </c>
      <c r="U187" s="1" t="s">
        <v>4651</v>
      </c>
      <c r="V187" s="1" t="s">
        <v>4652</v>
      </c>
      <c r="W187" s="1" t="s">
        <v>4653</v>
      </c>
      <c r="X187" s="1" t="s">
        <v>2808</v>
      </c>
      <c r="Y187" s="1" t="s">
        <v>4654</v>
      </c>
      <c r="Z187" s="1" t="s">
        <v>4655</v>
      </c>
      <c r="AA187" s="1" t="s">
        <v>1487</v>
      </c>
      <c r="AB187" s="1" t="s">
        <v>4656</v>
      </c>
      <c r="AC187" s="1" t="s">
        <v>1040</v>
      </c>
    </row>
    <row r="188" spans="1:29" ht="42.75" x14ac:dyDescent="0.45">
      <c r="A188" s="5" t="s">
        <v>182</v>
      </c>
      <c r="B188" s="2">
        <v>4001600</v>
      </c>
      <c r="C188" s="1" t="s">
        <v>4657</v>
      </c>
      <c r="D188" s="1" t="s">
        <v>4658</v>
      </c>
      <c r="E188" s="1" t="s">
        <v>1223</v>
      </c>
      <c r="F188" s="1" t="s">
        <v>4659</v>
      </c>
      <c r="G188" s="1" t="s">
        <v>4660</v>
      </c>
      <c r="H188" s="1" t="s">
        <v>4661</v>
      </c>
      <c r="I188" s="1" t="s">
        <v>4662</v>
      </c>
      <c r="J188" s="1" t="s">
        <v>1614</v>
      </c>
      <c r="K188" s="1" t="s">
        <v>4663</v>
      </c>
      <c r="L188" s="1" t="s">
        <v>4664</v>
      </c>
      <c r="M188" s="1" t="s">
        <v>4665</v>
      </c>
      <c r="N188" s="1" t="s">
        <v>4666</v>
      </c>
      <c r="O188" s="1" t="s">
        <v>4667</v>
      </c>
      <c r="P188" s="1" t="s">
        <v>4668</v>
      </c>
      <c r="Q188" s="1" t="s">
        <v>4402</v>
      </c>
      <c r="R188" s="1" t="s">
        <v>4262</v>
      </c>
      <c r="S188" s="1" t="s">
        <v>4669</v>
      </c>
      <c r="T188" s="1" t="s">
        <v>4670</v>
      </c>
      <c r="U188" s="1" t="s">
        <v>1607</v>
      </c>
      <c r="V188" s="1" t="s">
        <v>4671</v>
      </c>
      <c r="W188" s="1" t="s">
        <v>4672</v>
      </c>
      <c r="X188" s="1" t="s">
        <v>4673</v>
      </c>
      <c r="Y188" s="1" t="s">
        <v>4674</v>
      </c>
      <c r="Z188" s="1" t="s">
        <v>4675</v>
      </c>
      <c r="AA188" s="1" t="s">
        <v>4676</v>
      </c>
      <c r="AB188" s="1" t="s">
        <v>4677</v>
      </c>
      <c r="AC188" s="1" t="s">
        <v>4678</v>
      </c>
    </row>
    <row r="189" spans="1:29" ht="42.75" x14ac:dyDescent="0.45">
      <c r="A189" s="5" t="s">
        <v>183</v>
      </c>
      <c r="B189" s="2">
        <v>4007308</v>
      </c>
      <c r="C189" s="1" t="s">
        <v>4679</v>
      </c>
      <c r="D189" s="1" t="s">
        <v>4680</v>
      </c>
      <c r="E189" s="1" t="s">
        <v>755</v>
      </c>
      <c r="F189" s="1" t="s">
        <v>4681</v>
      </c>
      <c r="G189" s="1" t="s">
        <v>4682</v>
      </c>
      <c r="H189" s="1" t="s">
        <v>4683</v>
      </c>
      <c r="I189" s="1" t="s">
        <v>3319</v>
      </c>
      <c r="J189" s="1" t="s">
        <v>4684</v>
      </c>
      <c r="K189" s="1" t="s">
        <v>4685</v>
      </c>
      <c r="L189" s="1" t="s">
        <v>4686</v>
      </c>
      <c r="M189" s="1" t="s">
        <v>1808</v>
      </c>
      <c r="N189" s="1" t="s">
        <v>1693</v>
      </c>
      <c r="O189" s="1" t="s">
        <v>4192</v>
      </c>
      <c r="P189" s="1" t="s">
        <v>4687</v>
      </c>
      <c r="Q189" s="1" t="s">
        <v>4688</v>
      </c>
      <c r="R189" s="1" t="s">
        <v>4689</v>
      </c>
      <c r="S189" s="1" t="s">
        <v>1337</v>
      </c>
      <c r="T189" s="1" t="s">
        <v>4690</v>
      </c>
      <c r="U189" s="1" t="s">
        <v>3193</v>
      </c>
      <c r="V189" s="1" t="s">
        <v>4691</v>
      </c>
      <c r="W189" s="1" t="s">
        <v>4692</v>
      </c>
      <c r="X189" s="1" t="s">
        <v>4033</v>
      </c>
      <c r="Y189" s="1" t="s">
        <v>3066</v>
      </c>
      <c r="Z189" s="1" t="s">
        <v>3321</v>
      </c>
      <c r="AA189" s="1" t="s">
        <v>4693</v>
      </c>
      <c r="AB189" s="1" t="s">
        <v>4694</v>
      </c>
      <c r="AC189" s="1" t="s">
        <v>2816</v>
      </c>
    </row>
    <row r="190" spans="1:29" ht="71.25" x14ac:dyDescent="0.45">
      <c r="A190" s="5" t="s">
        <v>184</v>
      </c>
      <c r="B190" s="2">
        <v>4241337</v>
      </c>
      <c r="C190" s="1" t="s">
        <v>4695</v>
      </c>
      <c r="D190" s="1" t="s">
        <v>4696</v>
      </c>
      <c r="E190" s="1" t="s">
        <v>809</v>
      </c>
      <c r="F190" s="1" t="s">
        <v>4697</v>
      </c>
      <c r="G190" s="1" t="s">
        <v>4698</v>
      </c>
      <c r="H190" s="1" t="s">
        <v>4699</v>
      </c>
      <c r="I190" s="1" t="s">
        <v>4700</v>
      </c>
      <c r="J190" s="1" t="s">
        <v>3459</v>
      </c>
      <c r="K190" s="1" t="s">
        <v>4701</v>
      </c>
      <c r="L190" s="1" t="s">
        <v>984</v>
      </c>
      <c r="M190" s="1" t="s">
        <v>3118</v>
      </c>
      <c r="N190" s="1" t="s">
        <v>1259</v>
      </c>
      <c r="O190" s="1" t="s">
        <v>2001</v>
      </c>
      <c r="P190" s="1" t="s">
        <v>4702</v>
      </c>
      <c r="Q190" s="1" t="s">
        <v>2203</v>
      </c>
      <c r="R190" s="1" t="s">
        <v>4703</v>
      </c>
      <c r="S190" s="1" t="s">
        <v>4704</v>
      </c>
      <c r="T190" s="1" t="s">
        <v>4705</v>
      </c>
      <c r="U190" s="1" t="s">
        <v>4706</v>
      </c>
      <c r="V190" s="1" t="s">
        <v>4707</v>
      </c>
      <c r="W190" s="1" t="s">
        <v>4708</v>
      </c>
      <c r="X190" s="1" t="s">
        <v>4709</v>
      </c>
      <c r="Y190" s="1" t="s">
        <v>1820</v>
      </c>
      <c r="Z190" s="1" t="s">
        <v>2047</v>
      </c>
      <c r="AA190" s="1" t="s">
        <v>4710</v>
      </c>
      <c r="AB190" s="1" t="s">
        <v>4089</v>
      </c>
      <c r="AC190" s="1" t="s">
        <v>4711</v>
      </c>
    </row>
    <row r="191" spans="1:29" ht="42.75" x14ac:dyDescent="0.45">
      <c r="A191" s="5" t="s">
        <v>185</v>
      </c>
      <c r="B191" s="2">
        <v>4094401</v>
      </c>
      <c r="C191" s="1" t="s">
        <v>4712</v>
      </c>
      <c r="D191" s="1" t="s">
        <v>4713</v>
      </c>
      <c r="E191" s="1" t="s">
        <v>1117</v>
      </c>
      <c r="F191" s="1" t="s">
        <v>4714</v>
      </c>
      <c r="G191" s="1" t="s">
        <v>4715</v>
      </c>
      <c r="H191" s="1" t="s">
        <v>4716</v>
      </c>
      <c r="I191" s="1" t="s">
        <v>4717</v>
      </c>
      <c r="J191" s="1" t="s">
        <v>4718</v>
      </c>
      <c r="K191" s="1" t="s">
        <v>4719</v>
      </c>
      <c r="L191" s="1" t="s">
        <v>4720</v>
      </c>
      <c r="M191" s="1" t="s">
        <v>4721</v>
      </c>
      <c r="N191" s="1" t="s">
        <v>4722</v>
      </c>
      <c r="O191" s="1" t="s">
        <v>4723</v>
      </c>
      <c r="P191" s="1" t="s">
        <v>4724</v>
      </c>
      <c r="Q191" s="1" t="s">
        <v>4725</v>
      </c>
      <c r="R191" s="1" t="s">
        <v>4726</v>
      </c>
      <c r="S191" s="1" t="s">
        <v>4727</v>
      </c>
      <c r="T191" s="1" t="s">
        <v>4728</v>
      </c>
      <c r="U191" s="1" t="s">
        <v>4729</v>
      </c>
      <c r="V191" s="1" t="s">
        <v>4730</v>
      </c>
      <c r="W191" s="1" t="s">
        <v>4731</v>
      </c>
      <c r="X191" s="1" t="s">
        <v>4732</v>
      </c>
      <c r="Y191" s="1" t="s">
        <v>4733</v>
      </c>
      <c r="Z191" s="1" t="s">
        <v>4734</v>
      </c>
      <c r="AA191" s="1" t="s">
        <v>4735</v>
      </c>
      <c r="AB191" s="1" t="s">
        <v>4736</v>
      </c>
      <c r="AC191" s="1" t="s">
        <v>4737</v>
      </c>
    </row>
    <row r="192" spans="1:29" ht="42.75" x14ac:dyDescent="0.45">
      <c r="A192" s="5" t="s">
        <v>186</v>
      </c>
      <c r="B192" s="2">
        <v>4152157</v>
      </c>
      <c r="C192" s="1" t="s">
        <v>4738</v>
      </c>
      <c r="D192" s="1" t="s">
        <v>4739</v>
      </c>
      <c r="E192" s="1" t="s">
        <v>2457</v>
      </c>
      <c r="F192" s="1" t="s">
        <v>4740</v>
      </c>
      <c r="G192" s="1" t="s">
        <v>4741</v>
      </c>
      <c r="H192" s="1" t="s">
        <v>4742</v>
      </c>
      <c r="I192" s="1" t="s">
        <v>4743</v>
      </c>
      <c r="J192" s="1" t="s">
        <v>4744</v>
      </c>
      <c r="K192" s="1" t="s">
        <v>4745</v>
      </c>
      <c r="L192" s="1" t="s">
        <v>4746</v>
      </c>
      <c r="M192" s="1" t="s">
        <v>4747</v>
      </c>
      <c r="N192" s="1" t="s">
        <v>4748</v>
      </c>
      <c r="O192" s="1" t="s">
        <v>4749</v>
      </c>
      <c r="P192" s="1" t="s">
        <v>4750</v>
      </c>
      <c r="Q192" s="1" t="s">
        <v>4751</v>
      </c>
      <c r="R192" s="1" t="s">
        <v>4752</v>
      </c>
      <c r="S192" s="1" t="s">
        <v>4753</v>
      </c>
      <c r="T192" s="1" t="s">
        <v>4754</v>
      </c>
      <c r="U192" s="1" t="s">
        <v>4755</v>
      </c>
      <c r="V192" s="1" t="s">
        <v>4756</v>
      </c>
      <c r="W192" s="1" t="s">
        <v>4757</v>
      </c>
      <c r="X192" s="1" t="s">
        <v>4758</v>
      </c>
      <c r="Y192" s="1" t="s">
        <v>4759</v>
      </c>
      <c r="Z192" s="1" t="s">
        <v>4760</v>
      </c>
      <c r="AA192" s="1" t="s">
        <v>4761</v>
      </c>
      <c r="AB192" s="1" t="s">
        <v>4762</v>
      </c>
      <c r="AC192" s="1" t="s">
        <v>4763</v>
      </c>
    </row>
    <row r="193" spans="1:29" ht="71.25" x14ac:dyDescent="0.45">
      <c r="A193" s="5" t="s">
        <v>187</v>
      </c>
      <c r="B193" s="2">
        <v>4276821</v>
      </c>
      <c r="C193" s="1" t="s">
        <v>4764</v>
      </c>
      <c r="D193" s="1" t="s">
        <v>4765</v>
      </c>
      <c r="E193" s="1" t="s">
        <v>3628</v>
      </c>
      <c r="F193" s="1" t="s">
        <v>4766</v>
      </c>
      <c r="G193" s="1" t="s">
        <v>4767</v>
      </c>
      <c r="H193" s="1" t="s">
        <v>4768</v>
      </c>
      <c r="I193" s="1" t="s">
        <v>4769</v>
      </c>
      <c r="J193" s="1" t="s">
        <v>4770</v>
      </c>
      <c r="K193" s="1" t="s">
        <v>4771</v>
      </c>
      <c r="L193" s="1" t="s">
        <v>4772</v>
      </c>
      <c r="M193" s="1" t="s">
        <v>4773</v>
      </c>
      <c r="N193" s="1" t="s">
        <v>4774</v>
      </c>
      <c r="O193" s="1" t="s">
        <v>4775</v>
      </c>
      <c r="P193" s="1" t="s">
        <v>4775</v>
      </c>
      <c r="Q193" s="1" t="s">
        <v>4776</v>
      </c>
      <c r="R193" s="1" t="s">
        <v>4777</v>
      </c>
      <c r="S193" s="1" t="s">
        <v>4778</v>
      </c>
      <c r="T193" s="1" t="s">
        <v>4779</v>
      </c>
      <c r="U193" s="1" t="s">
        <v>4780</v>
      </c>
      <c r="V193" s="1" t="s">
        <v>4780</v>
      </c>
      <c r="W193" s="1" t="s">
        <v>4781</v>
      </c>
      <c r="X193" s="1" t="s">
        <v>4766</v>
      </c>
      <c r="Y193" s="1" t="s">
        <v>4782</v>
      </c>
      <c r="Z193" s="1" t="s">
        <v>4783</v>
      </c>
      <c r="AA193" s="1" t="s">
        <v>4784</v>
      </c>
      <c r="AB193" s="1" t="s">
        <v>4785</v>
      </c>
      <c r="AC193" s="1" t="s">
        <v>4786</v>
      </c>
    </row>
    <row r="194" spans="1:29" ht="57" x14ac:dyDescent="0.45">
      <c r="A194" s="5" t="s">
        <v>188</v>
      </c>
      <c r="B194" s="2">
        <v>4004350</v>
      </c>
      <c r="C194" s="1" t="s">
        <v>4787</v>
      </c>
      <c r="D194" s="1" t="s">
        <v>4788</v>
      </c>
      <c r="E194" s="1" t="s">
        <v>3275</v>
      </c>
      <c r="F194" s="1" t="s">
        <v>4789</v>
      </c>
      <c r="G194" s="1" t="s">
        <v>4790</v>
      </c>
      <c r="H194" s="1" t="s">
        <v>4791</v>
      </c>
      <c r="I194" s="1" t="s">
        <v>4792</v>
      </c>
      <c r="J194" s="1" t="s">
        <v>4793</v>
      </c>
      <c r="K194" s="1" t="s">
        <v>4794</v>
      </c>
      <c r="L194" s="1" t="s">
        <v>4795</v>
      </c>
      <c r="M194" s="1" t="s">
        <v>4796</v>
      </c>
      <c r="N194" s="1" t="s">
        <v>2727</v>
      </c>
      <c r="O194" s="1" t="s">
        <v>4797</v>
      </c>
      <c r="P194" s="1" t="s">
        <v>4798</v>
      </c>
      <c r="Q194" s="1" t="s">
        <v>4799</v>
      </c>
      <c r="R194" s="1" t="s">
        <v>4800</v>
      </c>
      <c r="S194" s="1" t="s">
        <v>4801</v>
      </c>
      <c r="T194" s="1" t="s">
        <v>4802</v>
      </c>
      <c r="U194" s="1" t="s">
        <v>628</v>
      </c>
      <c r="V194" s="1" t="s">
        <v>4803</v>
      </c>
      <c r="W194" s="1" t="s">
        <v>4804</v>
      </c>
      <c r="X194" s="1" t="s">
        <v>2729</v>
      </c>
      <c r="Y194" s="1" t="s">
        <v>2743</v>
      </c>
      <c r="Z194" s="1" t="s">
        <v>2958</v>
      </c>
      <c r="AA194" s="1" t="s">
        <v>4805</v>
      </c>
      <c r="AB194" s="1" t="s">
        <v>4806</v>
      </c>
      <c r="AC194" s="1" t="s">
        <v>2184</v>
      </c>
    </row>
    <row r="195" spans="1:29" ht="57" x14ac:dyDescent="0.45">
      <c r="A195" s="5" t="s">
        <v>189</v>
      </c>
      <c r="B195" s="2">
        <v>4040505</v>
      </c>
      <c r="C195" s="1" t="s">
        <v>4807</v>
      </c>
      <c r="D195" s="1" t="s">
        <v>4808</v>
      </c>
      <c r="E195" s="1" t="s">
        <v>1223</v>
      </c>
      <c r="F195" s="1" t="s">
        <v>4809</v>
      </c>
      <c r="G195" s="1" t="s">
        <v>4810</v>
      </c>
      <c r="H195" s="1" t="s">
        <v>4811</v>
      </c>
      <c r="I195" s="1" t="s">
        <v>4812</v>
      </c>
      <c r="J195" s="1" t="s">
        <v>4813</v>
      </c>
      <c r="K195" s="1" t="s">
        <v>4814</v>
      </c>
      <c r="L195" s="1" t="s">
        <v>4815</v>
      </c>
      <c r="M195" s="1" t="s">
        <v>4816</v>
      </c>
      <c r="N195" s="1" t="s">
        <v>4817</v>
      </c>
      <c r="O195" s="1" t="s">
        <v>4818</v>
      </c>
      <c r="P195" s="1" t="s">
        <v>4819</v>
      </c>
      <c r="Q195" s="1" t="s">
        <v>4820</v>
      </c>
      <c r="R195" s="1" t="s">
        <v>4821</v>
      </c>
      <c r="S195" s="1" t="s">
        <v>4822</v>
      </c>
      <c r="T195" s="1" t="s">
        <v>4823</v>
      </c>
      <c r="U195" s="1" t="s">
        <v>4824</v>
      </c>
      <c r="V195" s="1" t="s">
        <v>4825</v>
      </c>
      <c r="W195" s="1" t="s">
        <v>4826</v>
      </c>
      <c r="X195" s="1" t="s">
        <v>3657</v>
      </c>
      <c r="Y195" s="1" t="s">
        <v>4827</v>
      </c>
      <c r="Z195" s="1" t="s">
        <v>4828</v>
      </c>
      <c r="AA195" s="1" t="s">
        <v>4829</v>
      </c>
      <c r="AB195" s="1" t="s">
        <v>4830</v>
      </c>
      <c r="AC195" s="1" t="s">
        <v>4831</v>
      </c>
    </row>
    <row r="196" spans="1:29" ht="42.75" x14ac:dyDescent="0.45">
      <c r="A196" s="5" t="s">
        <v>190</v>
      </c>
      <c r="B196" s="2">
        <v>4104060</v>
      </c>
      <c r="C196" s="1" t="s">
        <v>4832</v>
      </c>
      <c r="D196" s="1" t="s">
        <v>4833</v>
      </c>
      <c r="E196" s="1" t="s">
        <v>4834</v>
      </c>
      <c r="F196" s="1" t="s">
        <v>4835</v>
      </c>
      <c r="G196" s="1" t="s">
        <v>4836</v>
      </c>
      <c r="H196" s="1" t="s">
        <v>4837</v>
      </c>
      <c r="I196" s="1" t="s">
        <v>2734</v>
      </c>
      <c r="J196" s="1" t="s">
        <v>4838</v>
      </c>
      <c r="K196" s="1" t="s">
        <v>4839</v>
      </c>
      <c r="L196" s="1" t="s">
        <v>4840</v>
      </c>
      <c r="M196" s="1" t="s">
        <v>4841</v>
      </c>
      <c r="N196" s="1" t="s">
        <v>4842</v>
      </c>
      <c r="O196" s="1" t="s">
        <v>4843</v>
      </c>
      <c r="P196" s="1" t="s">
        <v>2766</v>
      </c>
      <c r="Q196" s="1" t="s">
        <v>4844</v>
      </c>
      <c r="R196" s="1" t="s">
        <v>4845</v>
      </c>
      <c r="S196" s="1" t="s">
        <v>4846</v>
      </c>
      <c r="T196" s="1" t="s">
        <v>2184</v>
      </c>
      <c r="U196" s="1" t="s">
        <v>4847</v>
      </c>
      <c r="V196" s="1" t="s">
        <v>4848</v>
      </c>
      <c r="W196" s="1" t="s">
        <v>2743</v>
      </c>
      <c r="X196" s="1" t="s">
        <v>626</v>
      </c>
      <c r="Y196" s="1" t="s">
        <v>4849</v>
      </c>
      <c r="Z196" s="1" t="s">
        <v>4850</v>
      </c>
      <c r="AA196" s="1" t="s">
        <v>4851</v>
      </c>
      <c r="AB196" s="1" t="s">
        <v>4852</v>
      </c>
      <c r="AC196" s="1" t="s">
        <v>4853</v>
      </c>
    </row>
    <row r="197" spans="1:29" ht="57" x14ac:dyDescent="0.45">
      <c r="A197" s="5" t="s">
        <v>191</v>
      </c>
      <c r="B197" s="2">
        <v>4225889</v>
      </c>
      <c r="C197" s="1" t="s">
        <v>4854</v>
      </c>
      <c r="D197" s="1" t="s">
        <v>4855</v>
      </c>
      <c r="E197" s="1" t="s">
        <v>4856</v>
      </c>
      <c r="F197" s="1" t="s">
        <v>4857</v>
      </c>
      <c r="G197" s="1" t="s">
        <v>4858</v>
      </c>
      <c r="H197" s="1" t="s">
        <v>4859</v>
      </c>
      <c r="I197" s="1" t="s">
        <v>4797</v>
      </c>
      <c r="J197" s="1" t="s">
        <v>4860</v>
      </c>
      <c r="K197" s="1" t="s">
        <v>4861</v>
      </c>
      <c r="L197" s="1" t="s">
        <v>632</v>
      </c>
      <c r="M197" s="1" t="s">
        <v>2727</v>
      </c>
      <c r="N197" s="1" t="s">
        <v>644</v>
      </c>
      <c r="O197" s="1" t="s">
        <v>4862</v>
      </c>
      <c r="P197" s="1" t="s">
        <v>2761</v>
      </c>
      <c r="Q197" s="1" t="s">
        <v>627</v>
      </c>
      <c r="R197" s="1" t="s">
        <v>625</v>
      </c>
      <c r="S197" s="1" t="s">
        <v>4863</v>
      </c>
      <c r="T197" s="1" t="s">
        <v>2174</v>
      </c>
      <c r="U197" s="1" t="s">
        <v>1754</v>
      </c>
      <c r="V197" s="1" t="s">
        <v>4864</v>
      </c>
      <c r="W197" s="1" t="s">
        <v>4865</v>
      </c>
      <c r="X197" s="1" t="s">
        <v>2178</v>
      </c>
      <c r="Y197" s="1" t="s">
        <v>4866</v>
      </c>
      <c r="Z197" s="1" t="s">
        <v>4867</v>
      </c>
      <c r="AA197" s="1" t="s">
        <v>4868</v>
      </c>
      <c r="AB197" s="1" t="s">
        <v>4869</v>
      </c>
      <c r="AC197" s="1" t="s">
        <v>4870</v>
      </c>
    </row>
    <row r="198" spans="1:29" ht="114" x14ac:dyDescent="0.45">
      <c r="A198" s="5" t="s">
        <v>192</v>
      </c>
      <c r="B198" s="2">
        <v>4248534</v>
      </c>
      <c r="C198" s="1" t="s">
        <v>4871</v>
      </c>
      <c r="D198" s="1" t="s">
        <v>4872</v>
      </c>
      <c r="E198" s="1" t="s">
        <v>1621</v>
      </c>
      <c r="F198" s="1" t="s">
        <v>4873</v>
      </c>
      <c r="G198" s="1" t="s">
        <v>4874</v>
      </c>
      <c r="H198" s="1" t="s">
        <v>4875</v>
      </c>
      <c r="I198" s="1" t="s">
        <v>4876</v>
      </c>
      <c r="J198" s="1" t="s">
        <v>4877</v>
      </c>
      <c r="K198" s="1" t="s">
        <v>4878</v>
      </c>
      <c r="L198" s="1" t="s">
        <v>4879</v>
      </c>
      <c r="M198" s="1" t="s">
        <v>4880</v>
      </c>
      <c r="N198" s="1" t="s">
        <v>4881</v>
      </c>
      <c r="O198" s="1" t="s">
        <v>4882</v>
      </c>
      <c r="P198" s="1" t="s">
        <v>1906</v>
      </c>
      <c r="Q198" s="1" t="s">
        <v>4883</v>
      </c>
      <c r="R198" s="1" t="s">
        <v>4884</v>
      </c>
      <c r="S198" s="1" t="s">
        <v>2164</v>
      </c>
      <c r="T198" s="1" t="s">
        <v>4885</v>
      </c>
      <c r="U198" s="1" t="s">
        <v>4886</v>
      </c>
      <c r="V198" s="1" t="s">
        <v>4660</v>
      </c>
      <c r="W198" s="1" t="s">
        <v>4887</v>
      </c>
      <c r="X198" s="1" t="s">
        <v>4888</v>
      </c>
      <c r="Y198" s="1" t="s">
        <v>4889</v>
      </c>
      <c r="Z198" s="1" t="s">
        <v>4890</v>
      </c>
      <c r="AA198" s="1" t="s">
        <v>4891</v>
      </c>
      <c r="AB198" s="1" t="s">
        <v>4892</v>
      </c>
      <c r="AC198" s="1" t="s">
        <v>1283</v>
      </c>
    </row>
    <row r="199" spans="1:29" ht="57" x14ac:dyDescent="0.45">
      <c r="A199" s="5" t="s">
        <v>193</v>
      </c>
      <c r="B199" s="2">
        <v>4980342</v>
      </c>
      <c r="C199" s="1" t="s">
        <v>4893</v>
      </c>
      <c r="D199" s="1" t="s">
        <v>4894</v>
      </c>
      <c r="E199" s="1" t="s">
        <v>1522</v>
      </c>
      <c r="F199" s="1" t="s">
        <v>4895</v>
      </c>
      <c r="G199" s="1" t="s">
        <v>4896</v>
      </c>
      <c r="H199" s="1" t="s">
        <v>4897</v>
      </c>
      <c r="I199" s="1" t="s">
        <v>671</v>
      </c>
      <c r="J199" s="1" t="s">
        <v>3706</v>
      </c>
      <c r="K199" s="1" t="s">
        <v>4898</v>
      </c>
      <c r="L199" s="1" t="s">
        <v>4899</v>
      </c>
      <c r="M199" s="1" t="s">
        <v>1694</v>
      </c>
      <c r="N199" s="1" t="s">
        <v>1330</v>
      </c>
      <c r="O199" s="1" t="s">
        <v>4900</v>
      </c>
      <c r="P199" s="1" t="s">
        <v>3929</v>
      </c>
      <c r="Q199" s="1" t="s">
        <v>4901</v>
      </c>
      <c r="R199" s="1" t="s">
        <v>4902</v>
      </c>
      <c r="S199" s="1" t="s">
        <v>3596</v>
      </c>
      <c r="T199" s="1" t="s">
        <v>4903</v>
      </c>
      <c r="U199" s="1" t="s">
        <v>3897</v>
      </c>
      <c r="V199" s="1" t="s">
        <v>4904</v>
      </c>
      <c r="W199" s="1" t="s">
        <v>4683</v>
      </c>
      <c r="X199" s="1" t="s">
        <v>4905</v>
      </c>
      <c r="Y199" s="1" t="s">
        <v>4906</v>
      </c>
      <c r="Z199" s="1" t="s">
        <v>4349</v>
      </c>
      <c r="AA199" s="1" t="s">
        <v>4907</v>
      </c>
      <c r="AB199" s="1" t="s">
        <v>2142</v>
      </c>
      <c r="AC199" s="1" t="s">
        <v>4908</v>
      </c>
    </row>
    <row r="200" spans="1:29" ht="71.25" x14ac:dyDescent="0.45">
      <c r="A200" s="5" t="s">
        <v>194</v>
      </c>
      <c r="B200" s="2">
        <v>4136907</v>
      </c>
      <c r="C200" s="1" t="s">
        <v>4909</v>
      </c>
      <c r="D200" s="1" t="s">
        <v>4910</v>
      </c>
      <c r="E200" s="1" t="s">
        <v>4911</v>
      </c>
      <c r="F200" s="1" t="s">
        <v>1492</v>
      </c>
      <c r="G200" s="1" t="s">
        <v>4912</v>
      </c>
      <c r="H200" s="1" t="s">
        <v>3995</v>
      </c>
      <c r="I200" s="1" t="s">
        <v>2209</v>
      </c>
      <c r="J200" s="1" t="s">
        <v>3528</v>
      </c>
      <c r="K200" s="1" t="s">
        <v>4913</v>
      </c>
      <c r="L200" s="1" t="s">
        <v>3547</v>
      </c>
      <c r="M200" s="1" t="s">
        <v>4914</v>
      </c>
      <c r="N200" s="1" t="s">
        <v>4915</v>
      </c>
      <c r="O200" s="1" t="s">
        <v>4916</v>
      </c>
      <c r="P200" s="1" t="s">
        <v>1341</v>
      </c>
      <c r="Q200" s="1" t="s">
        <v>4917</v>
      </c>
      <c r="R200" s="1" t="s">
        <v>2946</v>
      </c>
      <c r="S200" s="1" t="s">
        <v>3004</v>
      </c>
      <c r="T200" s="1" t="s">
        <v>3062</v>
      </c>
      <c r="U200" s="1" t="s">
        <v>4918</v>
      </c>
      <c r="V200" s="1" t="s">
        <v>4919</v>
      </c>
      <c r="W200" s="1" t="s">
        <v>4920</v>
      </c>
      <c r="X200" s="1" t="s">
        <v>4921</v>
      </c>
      <c r="Y200" s="1" t="s">
        <v>4922</v>
      </c>
      <c r="Z200" s="1" t="s">
        <v>4923</v>
      </c>
      <c r="AA200" s="1" t="s">
        <v>3591</v>
      </c>
      <c r="AB200" s="1" t="s">
        <v>3039</v>
      </c>
      <c r="AC200" s="1" t="s">
        <v>4924</v>
      </c>
    </row>
    <row r="201" spans="1:29" ht="85.5" x14ac:dyDescent="0.45">
      <c r="A201" s="5" t="s">
        <v>195</v>
      </c>
      <c r="B201" s="2">
        <v>4007403</v>
      </c>
      <c r="C201" s="1" t="s">
        <v>4925</v>
      </c>
      <c r="D201" s="1" t="s">
        <v>4926</v>
      </c>
      <c r="E201" s="1" t="s">
        <v>595</v>
      </c>
      <c r="F201" s="1" t="s">
        <v>4927</v>
      </c>
      <c r="G201" s="1" t="s">
        <v>4928</v>
      </c>
      <c r="H201" s="1" t="s">
        <v>4929</v>
      </c>
      <c r="I201" s="1" t="s">
        <v>4930</v>
      </c>
      <c r="J201" s="1" t="s">
        <v>4931</v>
      </c>
      <c r="K201" s="1" t="s">
        <v>2675</v>
      </c>
      <c r="L201" s="1" t="s">
        <v>4932</v>
      </c>
      <c r="M201" s="1" t="s">
        <v>4933</v>
      </c>
      <c r="N201" s="1" t="s">
        <v>4934</v>
      </c>
      <c r="O201" s="1" t="s">
        <v>4935</v>
      </c>
      <c r="P201" s="1" t="s">
        <v>4936</v>
      </c>
      <c r="Q201" s="1" t="s">
        <v>4937</v>
      </c>
      <c r="R201" s="1" t="s">
        <v>4938</v>
      </c>
      <c r="S201" s="1" t="s">
        <v>4939</v>
      </c>
      <c r="T201" s="1" t="s">
        <v>4425</v>
      </c>
      <c r="U201" s="1" t="s">
        <v>488</v>
      </c>
      <c r="V201" s="1" t="s">
        <v>2152</v>
      </c>
      <c r="W201" s="1" t="s">
        <v>4940</v>
      </c>
      <c r="X201" s="1" t="s">
        <v>4941</v>
      </c>
      <c r="Y201" s="1" t="s">
        <v>4942</v>
      </c>
      <c r="Z201" s="1" t="s">
        <v>4943</v>
      </c>
      <c r="AA201" s="1" t="s">
        <v>4944</v>
      </c>
      <c r="AB201" s="1" t="s">
        <v>4945</v>
      </c>
      <c r="AC201" s="1" t="s">
        <v>1079</v>
      </c>
    </row>
    <row r="202" spans="1:29" ht="71.25" x14ac:dyDescent="0.45">
      <c r="A202" s="5" t="s">
        <v>196</v>
      </c>
      <c r="B202" s="2">
        <v>4060931</v>
      </c>
      <c r="C202" s="1" t="s">
        <v>4946</v>
      </c>
      <c r="D202" s="1" t="s">
        <v>4947</v>
      </c>
      <c r="E202" s="1" t="s">
        <v>2604</v>
      </c>
      <c r="F202" s="1" t="s">
        <v>4948</v>
      </c>
      <c r="G202" s="1" t="s">
        <v>4949</v>
      </c>
      <c r="H202" s="1" t="s">
        <v>3191</v>
      </c>
      <c r="I202" s="1" t="s">
        <v>1680</v>
      </c>
      <c r="J202" s="1" t="s">
        <v>1657</v>
      </c>
      <c r="K202" s="1" t="s">
        <v>4067</v>
      </c>
      <c r="L202" s="1" t="s">
        <v>4950</v>
      </c>
      <c r="M202" s="1" t="s">
        <v>4951</v>
      </c>
      <c r="N202" s="1" t="s">
        <v>4952</v>
      </c>
      <c r="O202" s="1" t="s">
        <v>3391</v>
      </c>
      <c r="P202" s="1" t="s">
        <v>4953</v>
      </c>
      <c r="Q202" s="1" t="s">
        <v>4954</v>
      </c>
      <c r="R202" s="1" t="s">
        <v>762</v>
      </c>
      <c r="S202" s="1" t="s">
        <v>4955</v>
      </c>
      <c r="T202" s="1" t="s">
        <v>4956</v>
      </c>
      <c r="U202" s="1" t="s">
        <v>4957</v>
      </c>
      <c r="V202" s="1" t="s">
        <v>4694</v>
      </c>
      <c r="W202" s="1" t="s">
        <v>3228</v>
      </c>
      <c r="X202" s="1" t="s">
        <v>2449</v>
      </c>
      <c r="Y202" s="1" t="s">
        <v>4958</v>
      </c>
      <c r="Z202" s="1" t="s">
        <v>4959</v>
      </c>
      <c r="AA202" s="1" t="s">
        <v>3323</v>
      </c>
      <c r="AB202" s="1" t="s">
        <v>2721</v>
      </c>
      <c r="AC202" s="1" t="s">
        <v>2587</v>
      </c>
    </row>
    <row r="203" spans="1:29" ht="85.5" x14ac:dyDescent="0.45">
      <c r="A203" s="5" t="s">
        <v>197</v>
      </c>
      <c r="B203" s="2">
        <v>4094582</v>
      </c>
      <c r="C203" s="1" t="s">
        <v>4960</v>
      </c>
      <c r="D203" s="1" t="s">
        <v>4961</v>
      </c>
      <c r="E203" s="1" t="s">
        <v>4641</v>
      </c>
      <c r="F203" s="1" t="s">
        <v>1200</v>
      </c>
      <c r="G203" s="1" t="s">
        <v>4962</v>
      </c>
      <c r="H203" s="1" t="s">
        <v>4963</v>
      </c>
      <c r="I203" s="1" t="s">
        <v>4964</v>
      </c>
      <c r="J203" s="1" t="s">
        <v>4052</v>
      </c>
      <c r="K203" s="1" t="s">
        <v>4965</v>
      </c>
      <c r="L203" s="1" t="s">
        <v>4966</v>
      </c>
      <c r="M203" s="1" t="s">
        <v>4481</v>
      </c>
      <c r="N203" s="1" t="s">
        <v>4967</v>
      </c>
      <c r="O203" s="1" t="s">
        <v>4968</v>
      </c>
      <c r="P203" s="1" t="s">
        <v>3397</v>
      </c>
      <c r="Q203" s="1" t="s">
        <v>1556</v>
      </c>
      <c r="R203" s="1" t="s">
        <v>4969</v>
      </c>
      <c r="S203" s="1" t="s">
        <v>4970</v>
      </c>
      <c r="T203" s="1" t="s">
        <v>4971</v>
      </c>
      <c r="U203" s="1" t="s">
        <v>4546</v>
      </c>
      <c r="V203" s="1" t="s">
        <v>1141</v>
      </c>
      <c r="W203" s="1" t="s">
        <v>1568</v>
      </c>
      <c r="X203" s="1" t="s">
        <v>4972</v>
      </c>
      <c r="Y203" s="1" t="s">
        <v>4973</v>
      </c>
      <c r="Z203" s="1" t="s">
        <v>4974</v>
      </c>
      <c r="AA203" s="1" t="s">
        <v>4975</v>
      </c>
      <c r="AB203" s="1" t="s">
        <v>4976</v>
      </c>
      <c r="AC203" s="1" t="s">
        <v>4977</v>
      </c>
    </row>
    <row r="204" spans="1:29" ht="71.25" x14ac:dyDescent="0.45">
      <c r="A204" s="5" t="s">
        <v>198</v>
      </c>
      <c r="B204" s="2">
        <v>4144156</v>
      </c>
      <c r="C204" s="1" t="s">
        <v>4978</v>
      </c>
      <c r="D204" s="1" t="s">
        <v>4979</v>
      </c>
      <c r="E204" s="1" t="s">
        <v>3435</v>
      </c>
      <c r="F204" s="1" t="s">
        <v>4618</v>
      </c>
      <c r="G204" s="1" t="s">
        <v>4980</v>
      </c>
      <c r="H204" s="1" t="s">
        <v>4981</v>
      </c>
      <c r="I204" s="1" t="s">
        <v>4982</v>
      </c>
      <c r="J204" s="1" t="s">
        <v>4983</v>
      </c>
      <c r="K204" s="1" t="s">
        <v>4984</v>
      </c>
      <c r="L204" s="1" t="s">
        <v>4985</v>
      </c>
      <c r="M204" s="1" t="s">
        <v>4674</v>
      </c>
      <c r="N204" s="1" t="s">
        <v>4986</v>
      </c>
      <c r="O204" s="1" t="s">
        <v>4987</v>
      </c>
      <c r="P204" s="1" t="s">
        <v>4988</v>
      </c>
      <c r="Q204" s="1" t="s">
        <v>4989</v>
      </c>
      <c r="R204" s="1" t="s">
        <v>4990</v>
      </c>
      <c r="S204" s="1" t="s">
        <v>4991</v>
      </c>
      <c r="T204" s="1" t="s">
        <v>695</v>
      </c>
      <c r="U204" s="1" t="s">
        <v>4992</v>
      </c>
      <c r="V204" s="1" t="s">
        <v>4993</v>
      </c>
      <c r="W204" s="1" t="s">
        <v>4994</v>
      </c>
      <c r="X204" s="1" t="s">
        <v>4152</v>
      </c>
      <c r="Y204" s="1" t="s">
        <v>4995</v>
      </c>
      <c r="Z204" s="1" t="s">
        <v>4996</v>
      </c>
      <c r="AA204" s="1" t="s">
        <v>4997</v>
      </c>
      <c r="AB204" s="1" t="s">
        <v>4998</v>
      </c>
      <c r="AC204" s="1" t="s">
        <v>4999</v>
      </c>
    </row>
    <row r="205" spans="1:29" ht="42.75" x14ac:dyDescent="0.45">
      <c r="A205" s="5" t="s">
        <v>199</v>
      </c>
      <c r="B205" s="2">
        <v>103455</v>
      </c>
      <c r="C205" s="1" t="s">
        <v>5000</v>
      </c>
      <c r="D205" s="1" t="s">
        <v>5001</v>
      </c>
      <c r="E205" s="1" t="s">
        <v>1250</v>
      </c>
      <c r="F205" s="1" t="s">
        <v>2053</v>
      </c>
      <c r="G205" s="1" t="s">
        <v>5002</v>
      </c>
      <c r="H205" s="1" t="s">
        <v>4899</v>
      </c>
      <c r="I205" s="1" t="s">
        <v>5003</v>
      </c>
      <c r="J205" s="1" t="s">
        <v>5004</v>
      </c>
      <c r="K205" s="1" t="s">
        <v>1686</v>
      </c>
      <c r="L205" s="1" t="s">
        <v>5005</v>
      </c>
      <c r="M205" s="1" t="s">
        <v>5006</v>
      </c>
      <c r="N205" s="1" t="s">
        <v>2454</v>
      </c>
      <c r="O205" s="1" t="s">
        <v>3323</v>
      </c>
      <c r="P205" s="1" t="s">
        <v>5007</v>
      </c>
      <c r="Q205" s="1" t="s">
        <v>5008</v>
      </c>
      <c r="R205" s="1" t="s">
        <v>4900</v>
      </c>
      <c r="S205" s="1" t="s">
        <v>1829</v>
      </c>
      <c r="T205" s="1" t="s">
        <v>4073</v>
      </c>
      <c r="U205" s="1" t="s">
        <v>5009</v>
      </c>
      <c r="V205" s="1" t="s">
        <v>5010</v>
      </c>
      <c r="W205" s="1" t="s">
        <v>2823</v>
      </c>
      <c r="X205" s="1" t="s">
        <v>5011</v>
      </c>
      <c r="Y205" s="1" t="s">
        <v>4112</v>
      </c>
      <c r="Z205" s="1" t="s">
        <v>3510</v>
      </c>
      <c r="AA205" s="1" t="s">
        <v>5012</v>
      </c>
      <c r="AB205" s="1" t="s">
        <v>3321</v>
      </c>
      <c r="AC205" s="1" t="s">
        <v>5013</v>
      </c>
    </row>
    <row r="206" spans="1:29" ht="57" x14ac:dyDescent="0.45">
      <c r="A206" s="5" t="s">
        <v>200</v>
      </c>
      <c r="B206" s="2">
        <v>4094305</v>
      </c>
      <c r="C206" s="1" t="s">
        <v>5014</v>
      </c>
      <c r="D206" s="1" t="s">
        <v>5015</v>
      </c>
      <c r="E206" s="1" t="s">
        <v>2000</v>
      </c>
      <c r="F206" s="1" t="s">
        <v>2487</v>
      </c>
      <c r="G206" s="1" t="s">
        <v>5016</v>
      </c>
      <c r="H206" s="1" t="s">
        <v>565</v>
      </c>
      <c r="I206" s="1" t="s">
        <v>5017</v>
      </c>
      <c r="J206" s="1" t="s">
        <v>5018</v>
      </c>
      <c r="K206" s="1" t="s">
        <v>5019</v>
      </c>
      <c r="L206" s="1" t="s">
        <v>1943</v>
      </c>
      <c r="M206" s="1" t="s">
        <v>5020</v>
      </c>
      <c r="N206" s="1" t="s">
        <v>5021</v>
      </c>
      <c r="O206" s="1" t="s">
        <v>5022</v>
      </c>
      <c r="P206" s="1" t="s">
        <v>5023</v>
      </c>
      <c r="Q206" s="1" t="s">
        <v>3850</v>
      </c>
      <c r="R206" s="1" t="s">
        <v>3355</v>
      </c>
      <c r="S206" s="1" t="s">
        <v>5024</v>
      </c>
      <c r="T206" s="1" t="s">
        <v>5025</v>
      </c>
      <c r="U206" s="1" t="s">
        <v>5026</v>
      </c>
      <c r="V206" s="1" t="s">
        <v>5027</v>
      </c>
      <c r="W206" s="1" t="s">
        <v>5028</v>
      </c>
      <c r="X206" s="1" t="s">
        <v>5029</v>
      </c>
      <c r="Y206" s="1" t="s">
        <v>5030</v>
      </c>
      <c r="Z206" s="1" t="s">
        <v>5031</v>
      </c>
      <c r="AA206" s="1" t="s">
        <v>3308</v>
      </c>
      <c r="AB206" s="1" t="s">
        <v>5032</v>
      </c>
      <c r="AC206" s="1" t="s">
        <v>5033</v>
      </c>
    </row>
    <row r="207" spans="1:29" ht="85.5" x14ac:dyDescent="0.45">
      <c r="A207" s="5" t="s">
        <v>201</v>
      </c>
      <c r="B207" s="2">
        <v>4222286</v>
      </c>
      <c r="C207" s="1" t="s">
        <v>5034</v>
      </c>
      <c r="D207" s="1" t="s">
        <v>5035</v>
      </c>
      <c r="E207" s="1" t="s">
        <v>5036</v>
      </c>
      <c r="F207" s="1" t="s">
        <v>5037</v>
      </c>
      <c r="G207" s="1" t="s">
        <v>5038</v>
      </c>
      <c r="H207" s="1" t="s">
        <v>5039</v>
      </c>
      <c r="I207" s="1" t="s">
        <v>5040</v>
      </c>
      <c r="J207" s="1" t="s">
        <v>5041</v>
      </c>
      <c r="K207" s="1" t="s">
        <v>5042</v>
      </c>
      <c r="L207" s="1" t="s">
        <v>5043</v>
      </c>
      <c r="M207" s="1" t="s">
        <v>5044</v>
      </c>
      <c r="N207" s="1" t="s">
        <v>5045</v>
      </c>
      <c r="O207" s="1" t="s">
        <v>5046</v>
      </c>
      <c r="P207" s="1" t="s">
        <v>3535</v>
      </c>
      <c r="Q207" s="1" t="s">
        <v>3578</v>
      </c>
      <c r="R207" s="1" t="s">
        <v>4160</v>
      </c>
      <c r="S207" s="1" t="s">
        <v>5047</v>
      </c>
      <c r="T207" s="1" t="s">
        <v>5048</v>
      </c>
      <c r="U207" s="1" t="s">
        <v>5049</v>
      </c>
      <c r="V207" s="1" t="s">
        <v>2134</v>
      </c>
      <c r="W207" s="1" t="s">
        <v>2132</v>
      </c>
      <c r="X207" s="1" t="s">
        <v>5050</v>
      </c>
      <c r="Y207" s="1" t="s">
        <v>5051</v>
      </c>
      <c r="Z207" s="1" t="s">
        <v>5052</v>
      </c>
      <c r="AA207" s="1" t="s">
        <v>4350</v>
      </c>
      <c r="AB207" s="1" t="s">
        <v>5053</v>
      </c>
      <c r="AC207" s="1" t="s">
        <v>5054</v>
      </c>
    </row>
    <row r="208" spans="1:29" ht="57" x14ac:dyDescent="0.45">
      <c r="A208" s="5" t="s">
        <v>202</v>
      </c>
      <c r="B208" s="2">
        <v>4004124</v>
      </c>
      <c r="C208" s="1" t="s">
        <v>5055</v>
      </c>
      <c r="D208" s="1" t="s">
        <v>5056</v>
      </c>
      <c r="E208" s="1" t="s">
        <v>782</v>
      </c>
      <c r="F208" s="1" t="s">
        <v>5057</v>
      </c>
      <c r="G208" s="1" t="s">
        <v>3832</v>
      </c>
      <c r="H208" s="1" t="s">
        <v>5058</v>
      </c>
      <c r="I208" s="1" t="s">
        <v>5059</v>
      </c>
      <c r="J208" s="1" t="s">
        <v>4462</v>
      </c>
      <c r="K208" s="1" t="s">
        <v>1427</v>
      </c>
      <c r="L208" s="1" t="s">
        <v>1602</v>
      </c>
      <c r="M208" s="1" t="s">
        <v>5060</v>
      </c>
      <c r="N208" s="1" t="s">
        <v>5061</v>
      </c>
      <c r="O208" s="1" t="s">
        <v>5030</v>
      </c>
      <c r="P208" s="1" t="s">
        <v>5062</v>
      </c>
      <c r="Q208" s="1" t="s">
        <v>5063</v>
      </c>
      <c r="R208" s="1" t="s">
        <v>1528</v>
      </c>
      <c r="S208" s="1" t="s">
        <v>2894</v>
      </c>
      <c r="T208" s="1" t="s">
        <v>5064</v>
      </c>
      <c r="U208" s="1" t="s">
        <v>2899</v>
      </c>
      <c r="V208" s="1" t="s">
        <v>5065</v>
      </c>
      <c r="W208" s="1" t="s">
        <v>1816</v>
      </c>
      <c r="X208" s="1" t="s">
        <v>5066</v>
      </c>
      <c r="Y208" s="1" t="s">
        <v>4247</v>
      </c>
      <c r="Z208" s="1" t="s">
        <v>5067</v>
      </c>
      <c r="AA208" s="1" t="s">
        <v>5068</v>
      </c>
      <c r="AB208" s="1" t="s">
        <v>4356</v>
      </c>
      <c r="AC208" s="1" t="s">
        <v>5069</v>
      </c>
    </row>
    <row r="209" spans="1:29" ht="57" x14ac:dyDescent="0.45">
      <c r="A209" s="5" t="s">
        <v>203</v>
      </c>
      <c r="B209" s="2">
        <v>103330</v>
      </c>
      <c r="C209" s="1" t="s">
        <v>5070</v>
      </c>
      <c r="D209" s="1" t="s">
        <v>5071</v>
      </c>
      <c r="E209" s="1" t="s">
        <v>1250</v>
      </c>
      <c r="F209" s="1" t="s">
        <v>5072</v>
      </c>
      <c r="G209" s="1" t="s">
        <v>5073</v>
      </c>
      <c r="H209" s="1" t="s">
        <v>1189</v>
      </c>
      <c r="I209" s="1" t="s">
        <v>5074</v>
      </c>
      <c r="J209" s="1" t="s">
        <v>3873</v>
      </c>
      <c r="K209" s="1" t="s">
        <v>2804</v>
      </c>
      <c r="L209" s="1" t="s">
        <v>1840</v>
      </c>
      <c r="M209" s="1" t="s">
        <v>5075</v>
      </c>
      <c r="N209" s="1" t="s">
        <v>5076</v>
      </c>
      <c r="O209" s="1" t="s">
        <v>5077</v>
      </c>
      <c r="P209" s="1" t="s">
        <v>5078</v>
      </c>
      <c r="Q209" s="1" t="s">
        <v>5079</v>
      </c>
      <c r="R209" s="1" t="s">
        <v>2518</v>
      </c>
      <c r="S209" s="1" t="s">
        <v>5080</v>
      </c>
      <c r="T209" s="1" t="s">
        <v>5081</v>
      </c>
      <c r="U209" s="1" t="s">
        <v>5082</v>
      </c>
      <c r="V209" s="1" t="s">
        <v>5083</v>
      </c>
      <c r="W209" s="1" t="s">
        <v>2522</v>
      </c>
      <c r="X209" s="1" t="s">
        <v>3052</v>
      </c>
      <c r="Y209" s="1" t="s">
        <v>5084</v>
      </c>
      <c r="Z209" s="1" t="s">
        <v>4191</v>
      </c>
      <c r="AA209" s="1" t="s">
        <v>2408</v>
      </c>
      <c r="AB209" s="1" t="s">
        <v>3565</v>
      </c>
      <c r="AC209" s="1" t="s">
        <v>2062</v>
      </c>
    </row>
    <row r="210" spans="1:29" ht="57" x14ac:dyDescent="0.45">
      <c r="A210" s="5" t="s">
        <v>204</v>
      </c>
      <c r="B210" s="2">
        <v>4025774</v>
      </c>
      <c r="C210" s="1" t="s">
        <v>5085</v>
      </c>
      <c r="D210" s="1" t="s">
        <v>5086</v>
      </c>
      <c r="E210" s="1" t="s">
        <v>1548</v>
      </c>
      <c r="F210" s="1" t="s">
        <v>5087</v>
      </c>
      <c r="G210" s="1" t="s">
        <v>5088</v>
      </c>
      <c r="H210" s="1" t="s">
        <v>5089</v>
      </c>
      <c r="I210" s="1" t="s">
        <v>5090</v>
      </c>
      <c r="J210" s="1" t="s">
        <v>1203</v>
      </c>
      <c r="K210" s="1" t="s">
        <v>5091</v>
      </c>
      <c r="L210" s="1" t="s">
        <v>5092</v>
      </c>
      <c r="M210" s="1" t="s">
        <v>2636</v>
      </c>
      <c r="N210" s="1" t="s">
        <v>2358</v>
      </c>
      <c r="O210" s="1" t="s">
        <v>4496</v>
      </c>
      <c r="P210" s="1" t="s">
        <v>3475</v>
      </c>
      <c r="Q210" s="1" t="s">
        <v>5093</v>
      </c>
      <c r="R210" s="1" t="s">
        <v>2280</v>
      </c>
      <c r="S210" s="1" t="s">
        <v>5094</v>
      </c>
      <c r="T210" s="1" t="s">
        <v>5095</v>
      </c>
      <c r="U210" s="1" t="s">
        <v>5096</v>
      </c>
      <c r="V210" s="1" t="s">
        <v>5097</v>
      </c>
      <c r="W210" s="1" t="s">
        <v>5098</v>
      </c>
      <c r="X210" s="1" t="s">
        <v>768</v>
      </c>
      <c r="Y210" s="1" t="s">
        <v>5099</v>
      </c>
      <c r="Z210" s="1" t="s">
        <v>2292</v>
      </c>
      <c r="AA210" s="1" t="s">
        <v>2821</v>
      </c>
      <c r="AB210" s="1" t="s">
        <v>2082</v>
      </c>
      <c r="AC210" s="1" t="s">
        <v>5100</v>
      </c>
    </row>
    <row r="211" spans="1:29" ht="42.75" x14ac:dyDescent="0.45">
      <c r="A211" s="5" t="s">
        <v>205</v>
      </c>
      <c r="B211" s="2">
        <v>4070013</v>
      </c>
      <c r="C211" s="1" t="s">
        <v>5101</v>
      </c>
      <c r="D211" s="1" t="s">
        <v>5102</v>
      </c>
      <c r="E211" s="1" t="s">
        <v>5103</v>
      </c>
      <c r="F211" s="1" t="s">
        <v>5104</v>
      </c>
      <c r="G211" s="1" t="s">
        <v>5105</v>
      </c>
      <c r="H211" s="1" t="s">
        <v>5106</v>
      </c>
      <c r="I211" s="1" t="s">
        <v>5107</v>
      </c>
      <c r="J211" s="1" t="s">
        <v>5108</v>
      </c>
      <c r="K211" s="1" t="s">
        <v>5109</v>
      </c>
      <c r="L211" s="1" t="s">
        <v>5110</v>
      </c>
      <c r="M211" s="1" t="s">
        <v>5111</v>
      </c>
      <c r="N211" s="1" t="s">
        <v>5112</v>
      </c>
      <c r="O211" s="1" t="s">
        <v>5113</v>
      </c>
      <c r="P211" s="1" t="s">
        <v>5114</v>
      </c>
      <c r="Q211" s="1" t="s">
        <v>1579</v>
      </c>
      <c r="R211" s="1" t="s">
        <v>5115</v>
      </c>
      <c r="S211" s="1" t="s">
        <v>5116</v>
      </c>
      <c r="T211" s="1" t="s">
        <v>4364</v>
      </c>
      <c r="U211" s="1" t="s">
        <v>5117</v>
      </c>
      <c r="V211" s="1" t="s">
        <v>5118</v>
      </c>
      <c r="W211" s="1" t="s">
        <v>5119</v>
      </c>
      <c r="X211" s="1" t="s">
        <v>556</v>
      </c>
      <c r="Y211" s="1" t="s">
        <v>5120</v>
      </c>
      <c r="Z211" s="1" t="s">
        <v>5121</v>
      </c>
      <c r="AA211" s="1" t="s">
        <v>5122</v>
      </c>
      <c r="AB211" s="1" t="s">
        <v>4704</v>
      </c>
      <c r="AC211" s="1" t="s">
        <v>5123</v>
      </c>
    </row>
    <row r="212" spans="1:29" ht="57" x14ac:dyDescent="0.45">
      <c r="A212" s="5" t="s">
        <v>206</v>
      </c>
      <c r="B212" s="2">
        <v>4811795</v>
      </c>
      <c r="C212" s="1" t="s">
        <v>5124</v>
      </c>
      <c r="D212" s="1" t="s">
        <v>5125</v>
      </c>
      <c r="E212" s="1" t="s">
        <v>1596</v>
      </c>
      <c r="F212" s="1" t="s">
        <v>5126</v>
      </c>
      <c r="G212" s="1" t="s">
        <v>5127</v>
      </c>
      <c r="H212" s="1" t="s">
        <v>5128</v>
      </c>
      <c r="I212" s="1" t="s">
        <v>5129</v>
      </c>
      <c r="J212" s="1" t="s">
        <v>5130</v>
      </c>
      <c r="K212" s="1" t="s">
        <v>5131</v>
      </c>
      <c r="L212" s="1" t="s">
        <v>1412</v>
      </c>
      <c r="M212" s="1" t="s">
        <v>5132</v>
      </c>
      <c r="N212" s="1" t="s">
        <v>5109</v>
      </c>
      <c r="O212" s="1" t="s">
        <v>5133</v>
      </c>
      <c r="P212" s="1" t="s">
        <v>5134</v>
      </c>
      <c r="Q212" s="1" t="s">
        <v>5135</v>
      </c>
      <c r="R212" s="1" t="s">
        <v>5106</v>
      </c>
      <c r="S212" s="1" t="s">
        <v>1059</v>
      </c>
      <c r="T212" s="1" t="s">
        <v>2893</v>
      </c>
      <c r="U212" s="1" t="s">
        <v>5136</v>
      </c>
      <c r="V212" s="1" t="s">
        <v>929</v>
      </c>
      <c r="W212" s="1" t="s">
        <v>5137</v>
      </c>
      <c r="X212" s="1" t="s">
        <v>1430</v>
      </c>
      <c r="Y212" s="1" t="s">
        <v>5138</v>
      </c>
      <c r="Z212" s="1" t="s">
        <v>5139</v>
      </c>
      <c r="AA212" s="1" t="s">
        <v>5140</v>
      </c>
      <c r="AB212" s="1" t="s">
        <v>5141</v>
      </c>
      <c r="AC212" s="1" t="s">
        <v>5142</v>
      </c>
    </row>
    <row r="213" spans="1:29" ht="57" x14ac:dyDescent="0.45">
      <c r="A213" s="5" t="s">
        <v>207</v>
      </c>
      <c r="B213" s="2">
        <v>4811052</v>
      </c>
      <c r="C213" s="1" t="s">
        <v>5143</v>
      </c>
      <c r="D213" s="1" t="s">
        <v>5144</v>
      </c>
      <c r="E213" s="1" t="s">
        <v>940</v>
      </c>
      <c r="F213" s="1" t="s">
        <v>5145</v>
      </c>
      <c r="G213" s="1" t="s">
        <v>3936</v>
      </c>
      <c r="H213" s="1" t="s">
        <v>5146</v>
      </c>
      <c r="I213" s="1" t="s">
        <v>766</v>
      </c>
      <c r="J213" s="1" t="s">
        <v>5147</v>
      </c>
      <c r="K213" s="1" t="s">
        <v>3442</v>
      </c>
      <c r="L213" s="1" t="s">
        <v>5148</v>
      </c>
      <c r="M213" s="1" t="s">
        <v>2427</v>
      </c>
      <c r="N213" s="1" t="s">
        <v>5149</v>
      </c>
      <c r="O213" s="1" t="s">
        <v>2281</v>
      </c>
      <c r="P213" s="1" t="s">
        <v>5150</v>
      </c>
      <c r="Q213" s="1" t="s">
        <v>5151</v>
      </c>
      <c r="R213" s="1" t="s">
        <v>1335</v>
      </c>
      <c r="S213" s="1" t="s">
        <v>5152</v>
      </c>
      <c r="T213" s="1" t="s">
        <v>2856</v>
      </c>
      <c r="U213" s="1" t="s">
        <v>4049</v>
      </c>
      <c r="V213" s="1" t="s">
        <v>5153</v>
      </c>
      <c r="W213" s="1" t="s">
        <v>5154</v>
      </c>
      <c r="X213" s="1" t="s">
        <v>5155</v>
      </c>
      <c r="Y213" s="1" t="s">
        <v>2412</v>
      </c>
      <c r="Z213" s="1" t="s">
        <v>5156</v>
      </c>
      <c r="AA213" s="1" t="s">
        <v>5157</v>
      </c>
      <c r="AB213" s="1" t="s">
        <v>1204</v>
      </c>
      <c r="AC213" s="1" t="s">
        <v>5158</v>
      </c>
    </row>
    <row r="214" spans="1:29" ht="57" x14ac:dyDescent="0.45">
      <c r="A214" s="5" t="s">
        <v>208</v>
      </c>
      <c r="B214" s="2">
        <v>4104164</v>
      </c>
      <c r="C214" s="1" t="s">
        <v>5159</v>
      </c>
      <c r="D214" s="1" t="s">
        <v>5160</v>
      </c>
      <c r="E214" s="1" t="s">
        <v>1223</v>
      </c>
      <c r="F214" s="1" t="s">
        <v>5161</v>
      </c>
      <c r="G214" s="1" t="s">
        <v>5162</v>
      </c>
      <c r="H214" s="1" t="s">
        <v>5163</v>
      </c>
      <c r="I214" s="1" t="s">
        <v>3310</v>
      </c>
      <c r="J214" s="1" t="s">
        <v>5164</v>
      </c>
      <c r="K214" s="1" t="s">
        <v>5165</v>
      </c>
      <c r="L214" s="1" t="s">
        <v>5166</v>
      </c>
      <c r="M214" s="1" t="s">
        <v>5167</v>
      </c>
      <c r="N214" s="1" t="s">
        <v>5168</v>
      </c>
      <c r="O214" s="1" t="s">
        <v>5169</v>
      </c>
      <c r="P214" s="1" t="s">
        <v>5170</v>
      </c>
      <c r="Q214" s="1" t="s">
        <v>5171</v>
      </c>
      <c r="R214" s="1" t="s">
        <v>687</v>
      </c>
      <c r="S214" s="1" t="s">
        <v>5172</v>
      </c>
      <c r="T214" s="1" t="s">
        <v>678</v>
      </c>
      <c r="U214" s="1" t="s">
        <v>5173</v>
      </c>
      <c r="V214" s="1" t="s">
        <v>1096</v>
      </c>
      <c r="W214" s="1" t="s">
        <v>5174</v>
      </c>
      <c r="X214" s="1" t="s">
        <v>5175</v>
      </c>
      <c r="Y214" s="1" t="s">
        <v>683</v>
      </c>
      <c r="Z214" s="1" t="s">
        <v>997</v>
      </c>
      <c r="AA214" s="1" t="s">
        <v>4135</v>
      </c>
      <c r="AB214" s="1" t="s">
        <v>5176</v>
      </c>
      <c r="AC214" s="1" t="s">
        <v>5136</v>
      </c>
    </row>
    <row r="215" spans="1:29" ht="28.5" x14ac:dyDescent="0.45">
      <c r="A215" s="5" t="s">
        <v>209</v>
      </c>
      <c r="B215" s="2">
        <v>3009080</v>
      </c>
      <c r="C215" s="1" t="s">
        <v>5177</v>
      </c>
      <c r="D215" s="1" t="s">
        <v>5178</v>
      </c>
      <c r="E215" s="1" t="s">
        <v>5179</v>
      </c>
      <c r="F215" s="1" t="s">
        <v>5180</v>
      </c>
      <c r="G215" s="1" t="s">
        <v>5181</v>
      </c>
      <c r="H215" s="1" t="s">
        <v>5182</v>
      </c>
      <c r="I215" s="1" t="s">
        <v>5183</v>
      </c>
      <c r="J215" s="1" t="s">
        <v>5184</v>
      </c>
      <c r="K215" s="1" t="s">
        <v>2344</v>
      </c>
      <c r="L215" s="1" t="s">
        <v>3082</v>
      </c>
      <c r="M215" s="1" t="s">
        <v>592</v>
      </c>
      <c r="N215" s="1" t="s">
        <v>5185</v>
      </c>
      <c r="O215" s="1" t="s">
        <v>5158</v>
      </c>
      <c r="P215" s="1" t="s">
        <v>1200</v>
      </c>
      <c r="Q215" s="1" t="s">
        <v>5186</v>
      </c>
      <c r="R215" s="1" t="s">
        <v>3218</v>
      </c>
      <c r="S215" s="1" t="s">
        <v>4077</v>
      </c>
      <c r="T215" s="1" t="s">
        <v>5187</v>
      </c>
      <c r="U215" s="1" t="s">
        <v>5188</v>
      </c>
      <c r="V215" s="1" t="s">
        <v>2847</v>
      </c>
      <c r="W215" s="1" t="s">
        <v>2091</v>
      </c>
      <c r="X215" s="1" t="s">
        <v>5189</v>
      </c>
      <c r="Y215" s="1" t="s">
        <v>5190</v>
      </c>
      <c r="Z215" s="1" t="s">
        <v>776</v>
      </c>
      <c r="AA215" s="1" t="s">
        <v>5009</v>
      </c>
      <c r="AB215" s="1" t="s">
        <v>5191</v>
      </c>
      <c r="AC215" s="1" t="s">
        <v>5192</v>
      </c>
    </row>
    <row r="216" spans="1:29" ht="71.25" x14ac:dyDescent="0.45">
      <c r="A216" s="5" t="s">
        <v>210</v>
      </c>
      <c r="B216" s="2">
        <v>5234450</v>
      </c>
      <c r="C216" s="1" t="s">
        <v>5193</v>
      </c>
      <c r="D216" s="1" t="s">
        <v>5194</v>
      </c>
      <c r="E216" s="1" t="s">
        <v>514</v>
      </c>
      <c r="F216" s="1" t="s">
        <v>5195</v>
      </c>
      <c r="G216" s="1" t="s">
        <v>5196</v>
      </c>
      <c r="H216" s="1" t="s">
        <v>4380</v>
      </c>
      <c r="I216" s="1" t="s">
        <v>4110</v>
      </c>
      <c r="J216" s="1" t="s">
        <v>4067</v>
      </c>
      <c r="K216" s="1" t="s">
        <v>1654</v>
      </c>
      <c r="L216" s="1" t="s">
        <v>3551</v>
      </c>
      <c r="M216" s="1" t="s">
        <v>1660</v>
      </c>
      <c r="N216" s="1" t="s">
        <v>5197</v>
      </c>
      <c r="O216" s="1" t="s">
        <v>5198</v>
      </c>
      <c r="P216" s="1" t="s">
        <v>1482</v>
      </c>
      <c r="Q216" s="1" t="s">
        <v>769</v>
      </c>
      <c r="R216" s="1" t="s">
        <v>5199</v>
      </c>
      <c r="S216" s="1" t="s">
        <v>5200</v>
      </c>
      <c r="T216" s="1" t="s">
        <v>5201</v>
      </c>
      <c r="U216" s="1" t="s">
        <v>3329</v>
      </c>
      <c r="V216" s="1" t="s">
        <v>5202</v>
      </c>
      <c r="W216" s="1" t="s">
        <v>5203</v>
      </c>
      <c r="X216" s="1" t="s">
        <v>5204</v>
      </c>
      <c r="Y216" s="1" t="s">
        <v>5205</v>
      </c>
      <c r="Z216" s="1" t="s">
        <v>5206</v>
      </c>
      <c r="AA216" s="1" t="s">
        <v>5207</v>
      </c>
      <c r="AB216" s="1" t="s">
        <v>5208</v>
      </c>
      <c r="AC216" s="1" t="s">
        <v>5209</v>
      </c>
    </row>
    <row r="217" spans="1:29" ht="57" x14ac:dyDescent="0.45">
      <c r="A217" s="5" t="s">
        <v>211</v>
      </c>
      <c r="B217" s="2">
        <v>4276708</v>
      </c>
      <c r="C217" s="1" t="s">
        <v>5210</v>
      </c>
      <c r="D217" s="1" t="s">
        <v>5211</v>
      </c>
      <c r="E217" s="1" t="s">
        <v>5212</v>
      </c>
      <c r="F217" s="1" t="s">
        <v>5213</v>
      </c>
      <c r="G217" s="1" t="s">
        <v>5214</v>
      </c>
      <c r="H217" s="1" t="s">
        <v>5215</v>
      </c>
      <c r="I217" s="1" t="s">
        <v>5216</v>
      </c>
      <c r="J217" s="1" t="s">
        <v>5217</v>
      </c>
      <c r="K217" s="1" t="s">
        <v>5218</v>
      </c>
      <c r="L217" s="1" t="s">
        <v>5219</v>
      </c>
      <c r="M217" s="1" t="s">
        <v>5220</v>
      </c>
      <c r="N217" s="1" t="s">
        <v>5221</v>
      </c>
      <c r="O217" s="1" t="s">
        <v>5222</v>
      </c>
      <c r="P217" s="1" t="s">
        <v>5223</v>
      </c>
      <c r="Q217" s="1" t="s">
        <v>5224</v>
      </c>
      <c r="R217" s="1" t="s">
        <v>5225</v>
      </c>
      <c r="S217" s="1" t="s">
        <v>5226</v>
      </c>
      <c r="T217" s="1" t="s">
        <v>5227</v>
      </c>
      <c r="U217" s="1" t="s">
        <v>5228</v>
      </c>
      <c r="V217" s="1" t="s">
        <v>5229</v>
      </c>
      <c r="W217" s="1" t="s">
        <v>5230</v>
      </c>
      <c r="X217" s="1" t="s">
        <v>5231</v>
      </c>
      <c r="Y217" s="1" t="s">
        <v>5232</v>
      </c>
      <c r="Z217" s="1" t="s">
        <v>5233</v>
      </c>
      <c r="AA217" s="1" t="s">
        <v>5234</v>
      </c>
      <c r="AB217" s="1" t="s">
        <v>5235</v>
      </c>
      <c r="AC217" s="1" t="s">
        <v>5236</v>
      </c>
    </row>
    <row r="218" spans="1:29" ht="71.25" x14ac:dyDescent="0.45">
      <c r="A218" s="5" t="s">
        <v>212</v>
      </c>
      <c r="B218" s="2">
        <v>4253262</v>
      </c>
      <c r="C218" s="1" t="s">
        <v>5237</v>
      </c>
      <c r="D218" s="1" t="s">
        <v>5238</v>
      </c>
      <c r="E218" s="1" t="s">
        <v>2797</v>
      </c>
      <c r="F218" s="1" t="s">
        <v>5239</v>
      </c>
      <c r="G218" s="1" t="s">
        <v>1534</v>
      </c>
      <c r="H218" s="1" t="s">
        <v>5240</v>
      </c>
      <c r="I218" s="1" t="s">
        <v>2980</v>
      </c>
      <c r="J218" s="1" t="s">
        <v>4138</v>
      </c>
      <c r="K218" s="1" t="s">
        <v>800</v>
      </c>
      <c r="L218" s="1" t="s">
        <v>5241</v>
      </c>
      <c r="M218" s="1" t="s">
        <v>5081</v>
      </c>
      <c r="N218" s="1" t="s">
        <v>1494</v>
      </c>
      <c r="O218" s="1" t="s">
        <v>1926</v>
      </c>
      <c r="P218" s="1" t="s">
        <v>5242</v>
      </c>
      <c r="Q218" s="1" t="s">
        <v>800</v>
      </c>
      <c r="R218" s="1" t="s">
        <v>5243</v>
      </c>
      <c r="S218" s="1" t="s">
        <v>2008</v>
      </c>
      <c r="T218" s="1" t="s">
        <v>5244</v>
      </c>
      <c r="U218" s="1" t="s">
        <v>5245</v>
      </c>
      <c r="V218" s="1" t="s">
        <v>5246</v>
      </c>
      <c r="W218" s="1" t="s">
        <v>5049</v>
      </c>
      <c r="X218" s="1" t="s">
        <v>2051</v>
      </c>
      <c r="Y218" s="1" t="s">
        <v>3630</v>
      </c>
      <c r="Z218" s="1" t="s">
        <v>3186</v>
      </c>
      <c r="AA218" s="1" t="s">
        <v>5247</v>
      </c>
      <c r="AB218" s="1" t="s">
        <v>5248</v>
      </c>
      <c r="AC218" s="1" t="s">
        <v>3691</v>
      </c>
    </row>
    <row r="219" spans="1:29" ht="42.75" x14ac:dyDescent="0.45">
      <c r="A219" s="5" t="s">
        <v>213</v>
      </c>
      <c r="B219" s="2">
        <v>100382</v>
      </c>
      <c r="C219" s="1" t="s">
        <v>5249</v>
      </c>
      <c r="D219" s="1" t="s">
        <v>5250</v>
      </c>
      <c r="E219" s="1" t="s">
        <v>3058</v>
      </c>
      <c r="F219" s="1" t="s">
        <v>2137</v>
      </c>
      <c r="G219" s="1" t="s">
        <v>5251</v>
      </c>
      <c r="H219" s="1" t="s">
        <v>2817</v>
      </c>
      <c r="I219" s="1" t="s">
        <v>3703</v>
      </c>
      <c r="J219" s="1" t="s">
        <v>4683</v>
      </c>
      <c r="K219" s="1" t="s">
        <v>1688</v>
      </c>
      <c r="L219" s="1" t="s">
        <v>3503</v>
      </c>
      <c r="M219" s="1" t="s">
        <v>4683</v>
      </c>
      <c r="N219" s="1" t="s">
        <v>2945</v>
      </c>
      <c r="O219" s="1" t="s">
        <v>1689</v>
      </c>
      <c r="P219" s="1" t="s">
        <v>5252</v>
      </c>
      <c r="Q219" s="1" t="s">
        <v>5253</v>
      </c>
      <c r="R219" s="1" t="s">
        <v>5254</v>
      </c>
      <c r="S219" s="1" t="s">
        <v>5255</v>
      </c>
      <c r="T219" s="1" t="s">
        <v>3003</v>
      </c>
      <c r="U219" s="1" t="s">
        <v>5256</v>
      </c>
      <c r="V219" s="1" t="s">
        <v>5257</v>
      </c>
      <c r="W219" s="1" t="s">
        <v>5258</v>
      </c>
      <c r="X219" s="1" t="s">
        <v>3235</v>
      </c>
      <c r="Y219" s="1" t="s">
        <v>5259</v>
      </c>
      <c r="Z219" s="1" t="s">
        <v>1672</v>
      </c>
      <c r="AA219" s="1" t="s">
        <v>5260</v>
      </c>
      <c r="AB219" s="1" t="s">
        <v>5261</v>
      </c>
      <c r="AC219" s="1" t="s">
        <v>5262</v>
      </c>
    </row>
    <row r="220" spans="1:29" ht="85.5" x14ac:dyDescent="0.45">
      <c r="A220" s="5" t="s">
        <v>214</v>
      </c>
      <c r="B220" s="2">
        <v>4068060</v>
      </c>
      <c r="C220" s="1" t="s">
        <v>5263</v>
      </c>
      <c r="D220" s="1" t="s">
        <v>5264</v>
      </c>
      <c r="E220" s="1" t="s">
        <v>595</v>
      </c>
      <c r="F220" s="1" t="s">
        <v>5265</v>
      </c>
      <c r="G220" s="1" t="s">
        <v>5266</v>
      </c>
      <c r="H220" s="1" t="s">
        <v>5267</v>
      </c>
      <c r="I220" s="1" t="s">
        <v>5268</v>
      </c>
      <c r="J220" s="1" t="s">
        <v>5269</v>
      </c>
      <c r="K220" s="1" t="s">
        <v>1456</v>
      </c>
      <c r="L220" s="1" t="s">
        <v>3984</v>
      </c>
      <c r="M220" s="1" t="s">
        <v>5270</v>
      </c>
      <c r="N220" s="1" t="s">
        <v>925</v>
      </c>
      <c r="O220" s="1" t="s">
        <v>5246</v>
      </c>
      <c r="P220" s="1" t="s">
        <v>5271</v>
      </c>
      <c r="Q220" s="1" t="s">
        <v>5272</v>
      </c>
      <c r="R220" s="1" t="s">
        <v>5273</v>
      </c>
      <c r="S220" s="1" t="s">
        <v>556</v>
      </c>
      <c r="T220" s="1" t="s">
        <v>2993</v>
      </c>
      <c r="U220" s="1" t="s">
        <v>3210</v>
      </c>
      <c r="V220" s="1" t="s">
        <v>5274</v>
      </c>
      <c r="W220" s="1" t="s">
        <v>5275</v>
      </c>
      <c r="X220" s="1" t="s">
        <v>3267</v>
      </c>
      <c r="Y220" s="1" t="s">
        <v>3271</v>
      </c>
      <c r="Z220" s="1" t="s">
        <v>5276</v>
      </c>
      <c r="AA220" s="1" t="s">
        <v>3583</v>
      </c>
      <c r="AB220" s="1" t="s">
        <v>5277</v>
      </c>
      <c r="AC220" s="1" t="s">
        <v>5278</v>
      </c>
    </row>
    <row r="221" spans="1:29" ht="57" x14ac:dyDescent="0.45">
      <c r="A221" s="5" t="s">
        <v>215</v>
      </c>
      <c r="B221" s="2">
        <v>100438</v>
      </c>
      <c r="C221" s="1" t="s">
        <v>5279</v>
      </c>
      <c r="D221" s="1" t="s">
        <v>5280</v>
      </c>
      <c r="E221" s="1" t="s">
        <v>3058</v>
      </c>
      <c r="F221" s="1" t="s">
        <v>3045</v>
      </c>
      <c r="G221" s="1" t="s">
        <v>5281</v>
      </c>
      <c r="H221" s="1" t="s">
        <v>3439</v>
      </c>
      <c r="I221" s="1" t="s">
        <v>1482</v>
      </c>
      <c r="J221" s="1" t="s">
        <v>4105</v>
      </c>
      <c r="K221" s="1" t="s">
        <v>2783</v>
      </c>
      <c r="L221" s="1" t="s">
        <v>5282</v>
      </c>
      <c r="M221" s="1" t="s">
        <v>5283</v>
      </c>
      <c r="N221" s="1" t="s">
        <v>4103</v>
      </c>
      <c r="O221" s="1" t="s">
        <v>5284</v>
      </c>
      <c r="P221" s="1" t="s">
        <v>2072</v>
      </c>
      <c r="Q221" s="1" t="s">
        <v>5285</v>
      </c>
      <c r="R221" s="1" t="s">
        <v>1335</v>
      </c>
      <c r="S221" s="1" t="s">
        <v>4112</v>
      </c>
      <c r="T221" s="1" t="s">
        <v>5286</v>
      </c>
      <c r="U221" s="1" t="s">
        <v>2345</v>
      </c>
      <c r="V221" s="1" t="s">
        <v>5287</v>
      </c>
      <c r="W221" s="1" t="s">
        <v>2818</v>
      </c>
      <c r="X221" s="1" t="s">
        <v>5288</v>
      </c>
      <c r="Y221" s="1" t="s">
        <v>5289</v>
      </c>
      <c r="Z221" s="1" t="s">
        <v>5008</v>
      </c>
      <c r="AA221" s="1" t="s">
        <v>1666</v>
      </c>
      <c r="AB221" s="1" t="s">
        <v>5290</v>
      </c>
      <c r="AC221" s="1" t="s">
        <v>5291</v>
      </c>
    </row>
    <row r="222" spans="1:29" ht="57" x14ac:dyDescent="0.45">
      <c r="A222" s="5" t="s">
        <v>216</v>
      </c>
      <c r="B222" s="2">
        <v>4206221</v>
      </c>
      <c r="C222" s="1" t="s">
        <v>5292</v>
      </c>
      <c r="D222" s="1" t="s">
        <v>5293</v>
      </c>
      <c r="E222" s="1" t="s">
        <v>4856</v>
      </c>
      <c r="F222" s="1" t="s">
        <v>5294</v>
      </c>
      <c r="G222" s="1" t="s">
        <v>4519</v>
      </c>
      <c r="H222" s="1" t="s">
        <v>5295</v>
      </c>
      <c r="I222" s="1" t="s">
        <v>5296</v>
      </c>
      <c r="J222" s="1" t="s">
        <v>5297</v>
      </c>
      <c r="K222" s="1" t="s">
        <v>5298</v>
      </c>
      <c r="L222" s="1" t="s">
        <v>5299</v>
      </c>
      <c r="M222" s="1" t="s">
        <v>5300</v>
      </c>
      <c r="N222" s="1" t="s">
        <v>5301</v>
      </c>
      <c r="O222" s="1" t="s">
        <v>5302</v>
      </c>
      <c r="P222" s="1" t="s">
        <v>5303</v>
      </c>
      <c r="Q222" s="1" t="s">
        <v>5304</v>
      </c>
      <c r="R222" s="1" t="s">
        <v>5305</v>
      </c>
      <c r="S222" s="1" t="s">
        <v>5306</v>
      </c>
      <c r="T222" s="1" t="s">
        <v>5307</v>
      </c>
      <c r="U222" s="1" t="s">
        <v>5308</v>
      </c>
      <c r="V222" s="1" t="s">
        <v>5309</v>
      </c>
      <c r="W222" s="1" t="s">
        <v>5310</v>
      </c>
      <c r="X222" s="1" t="s">
        <v>4288</v>
      </c>
      <c r="Y222" s="1" t="s">
        <v>5311</v>
      </c>
      <c r="Z222" s="1" t="s">
        <v>4663</v>
      </c>
      <c r="AA222" s="1" t="s">
        <v>5312</v>
      </c>
      <c r="AB222" s="1" t="s">
        <v>5313</v>
      </c>
      <c r="AC222" s="1" t="s">
        <v>5314</v>
      </c>
    </row>
    <row r="223" spans="1:29" ht="57" x14ac:dyDescent="0.45">
      <c r="A223" s="5" t="s">
        <v>217</v>
      </c>
      <c r="B223" s="2">
        <v>100260</v>
      </c>
      <c r="C223" s="1" t="s">
        <v>5315</v>
      </c>
      <c r="D223" s="1" t="s">
        <v>5316</v>
      </c>
      <c r="E223" s="1" t="s">
        <v>3058</v>
      </c>
      <c r="F223" s="1" t="s">
        <v>5317</v>
      </c>
      <c r="G223" s="1" t="s">
        <v>5318</v>
      </c>
      <c r="H223" s="1" t="s">
        <v>5319</v>
      </c>
      <c r="I223" s="1" t="s">
        <v>5320</v>
      </c>
      <c r="J223" s="1" t="s">
        <v>1550</v>
      </c>
      <c r="K223" s="1" t="s">
        <v>5321</v>
      </c>
      <c r="L223" s="1" t="s">
        <v>4555</v>
      </c>
      <c r="M223" s="1" t="s">
        <v>5322</v>
      </c>
      <c r="N223" s="1" t="s">
        <v>1878</v>
      </c>
      <c r="O223" s="1" t="s">
        <v>2336</v>
      </c>
      <c r="P223" s="1" t="s">
        <v>2569</v>
      </c>
      <c r="Q223" s="1" t="s">
        <v>1880</v>
      </c>
      <c r="R223" s="1" t="s">
        <v>5323</v>
      </c>
      <c r="S223" s="1" t="s">
        <v>5324</v>
      </c>
      <c r="T223" s="1" t="s">
        <v>2353</v>
      </c>
      <c r="U223" s="1" t="s">
        <v>5325</v>
      </c>
      <c r="V223" s="1" t="s">
        <v>846</v>
      </c>
      <c r="W223" s="1" t="s">
        <v>5326</v>
      </c>
      <c r="X223" s="1" t="s">
        <v>5327</v>
      </c>
      <c r="Y223" s="1" t="s">
        <v>1131</v>
      </c>
      <c r="Z223" s="1" t="s">
        <v>5328</v>
      </c>
      <c r="AA223" s="1" t="s">
        <v>1124</v>
      </c>
      <c r="AB223" s="1" t="s">
        <v>4545</v>
      </c>
      <c r="AC223" s="1" t="s">
        <v>5329</v>
      </c>
    </row>
    <row r="224" spans="1:29" ht="42.75" x14ac:dyDescent="0.45">
      <c r="A224" s="5" t="s">
        <v>218</v>
      </c>
      <c r="B224" s="2">
        <v>4007889</v>
      </c>
      <c r="C224" s="1" t="s">
        <v>5330</v>
      </c>
      <c r="D224" s="1" t="s">
        <v>5331</v>
      </c>
      <c r="E224" s="1" t="s">
        <v>2070</v>
      </c>
      <c r="F224" s="1" t="s">
        <v>3222</v>
      </c>
      <c r="G224" s="1" t="s">
        <v>2089</v>
      </c>
      <c r="H224" s="1" t="s">
        <v>3709</v>
      </c>
      <c r="I224" s="1" t="s">
        <v>2718</v>
      </c>
      <c r="J224" s="1" t="s">
        <v>5332</v>
      </c>
      <c r="K224" s="1" t="s">
        <v>766</v>
      </c>
      <c r="L224" s="1" t="s">
        <v>5333</v>
      </c>
      <c r="M224" s="1" t="s">
        <v>2285</v>
      </c>
      <c r="N224" s="1" t="s">
        <v>5334</v>
      </c>
      <c r="O224" s="1" t="s">
        <v>1335</v>
      </c>
      <c r="P224" s="1" t="s">
        <v>4030</v>
      </c>
      <c r="Q224" s="1" t="s">
        <v>3133</v>
      </c>
      <c r="R224" s="1" t="s">
        <v>5335</v>
      </c>
      <c r="S224" s="1" t="s">
        <v>5336</v>
      </c>
      <c r="T224" s="1" t="s">
        <v>2294</v>
      </c>
      <c r="U224" s="1" t="s">
        <v>1199</v>
      </c>
      <c r="V224" s="1" t="s">
        <v>5337</v>
      </c>
      <c r="W224" s="1" t="s">
        <v>2286</v>
      </c>
      <c r="X224" s="1" t="s">
        <v>771</v>
      </c>
      <c r="Y224" s="1" t="s">
        <v>5099</v>
      </c>
      <c r="Z224" s="1" t="s">
        <v>5338</v>
      </c>
      <c r="AA224" s="1" t="s">
        <v>3216</v>
      </c>
      <c r="AB224" s="1" t="s">
        <v>4181</v>
      </c>
      <c r="AC224" s="1" t="s">
        <v>4193</v>
      </c>
    </row>
    <row r="225" spans="1:29" ht="57" x14ac:dyDescent="0.45">
      <c r="A225" s="5" t="s">
        <v>219</v>
      </c>
      <c r="B225" s="2">
        <v>4071231</v>
      </c>
      <c r="C225" s="1" t="s">
        <v>5339</v>
      </c>
      <c r="D225" s="1" t="s">
        <v>5340</v>
      </c>
      <c r="E225" s="1" t="s">
        <v>622</v>
      </c>
      <c r="F225" s="1" t="s">
        <v>5341</v>
      </c>
      <c r="G225" s="1" t="s">
        <v>5342</v>
      </c>
      <c r="H225" s="1" t="s">
        <v>5343</v>
      </c>
      <c r="I225" s="1" t="s">
        <v>5344</v>
      </c>
      <c r="J225" s="1" t="s">
        <v>4974</v>
      </c>
      <c r="K225" s="1" t="s">
        <v>1147</v>
      </c>
      <c r="L225" s="1" t="s">
        <v>5345</v>
      </c>
      <c r="M225" s="1" t="s">
        <v>1891</v>
      </c>
      <c r="N225" s="1" t="s">
        <v>5346</v>
      </c>
      <c r="O225" s="1" t="s">
        <v>1123</v>
      </c>
      <c r="P225" s="1" t="s">
        <v>5347</v>
      </c>
      <c r="Q225" s="1" t="s">
        <v>5348</v>
      </c>
      <c r="R225" s="1" t="s">
        <v>1165</v>
      </c>
      <c r="S225" s="1" t="s">
        <v>5349</v>
      </c>
      <c r="T225" s="1" t="s">
        <v>2420</v>
      </c>
      <c r="U225" s="1" t="s">
        <v>845</v>
      </c>
      <c r="V225" s="1" t="s">
        <v>5350</v>
      </c>
      <c r="W225" s="1" t="s">
        <v>3397</v>
      </c>
      <c r="X225" s="1" t="s">
        <v>2561</v>
      </c>
      <c r="Y225" s="1" t="s">
        <v>5351</v>
      </c>
      <c r="Z225" s="1" t="s">
        <v>1559</v>
      </c>
      <c r="AA225" s="1" t="s">
        <v>1124</v>
      </c>
      <c r="AB225" s="1" t="s">
        <v>1557</v>
      </c>
      <c r="AC225" s="1" t="s">
        <v>5352</v>
      </c>
    </row>
    <row r="226" spans="1:29" ht="85.5" x14ac:dyDescent="0.45">
      <c r="A226" s="5" t="s">
        <v>220</v>
      </c>
      <c r="B226" s="2">
        <v>4298336</v>
      </c>
      <c r="C226" s="1" t="s">
        <v>5353</v>
      </c>
      <c r="D226" s="1" t="s">
        <v>5354</v>
      </c>
      <c r="E226" s="1" t="s">
        <v>595</v>
      </c>
      <c r="F226" s="1" t="s">
        <v>5355</v>
      </c>
      <c r="G226" s="1" t="s">
        <v>5356</v>
      </c>
      <c r="H226" s="1" t="s">
        <v>5357</v>
      </c>
      <c r="I226" s="1" t="s">
        <v>5358</v>
      </c>
      <c r="J226" s="1" t="s">
        <v>5359</v>
      </c>
      <c r="K226" s="1" t="s">
        <v>3312</v>
      </c>
      <c r="L226" s="1" t="s">
        <v>4133</v>
      </c>
      <c r="M226" s="1" t="s">
        <v>5360</v>
      </c>
      <c r="N226" s="1" t="s">
        <v>4635</v>
      </c>
      <c r="O226" s="1" t="s">
        <v>5361</v>
      </c>
      <c r="P226" s="1" t="s">
        <v>3269</v>
      </c>
      <c r="Q226" s="1" t="s">
        <v>5362</v>
      </c>
      <c r="R226" s="1" t="s">
        <v>3641</v>
      </c>
      <c r="S226" s="1" t="s">
        <v>2876</v>
      </c>
      <c r="T226" s="1" t="s">
        <v>5363</v>
      </c>
      <c r="U226" s="1" t="s">
        <v>5364</v>
      </c>
      <c r="V226" s="1" t="s">
        <v>4248</v>
      </c>
      <c r="W226" s="1" t="s">
        <v>5365</v>
      </c>
      <c r="X226" s="1" t="s">
        <v>5366</v>
      </c>
      <c r="Y226" s="1" t="s">
        <v>5367</v>
      </c>
      <c r="Z226" s="1" t="s">
        <v>5368</v>
      </c>
      <c r="AA226" s="1" t="s">
        <v>5369</v>
      </c>
      <c r="AB226" s="1" t="s">
        <v>3967</v>
      </c>
      <c r="AC226" s="1" t="s">
        <v>5138</v>
      </c>
    </row>
    <row r="227" spans="1:29" ht="42.75" x14ac:dyDescent="0.45">
      <c r="A227" s="5" t="s">
        <v>221</v>
      </c>
      <c r="B227" s="2">
        <v>4044333</v>
      </c>
      <c r="C227" s="1" t="s">
        <v>5370</v>
      </c>
      <c r="D227" s="1" t="s">
        <v>5371</v>
      </c>
      <c r="E227" s="1" t="s">
        <v>5179</v>
      </c>
      <c r="F227" s="1" t="s">
        <v>5372</v>
      </c>
      <c r="G227" s="1" t="s">
        <v>5304</v>
      </c>
      <c r="H227" s="1" t="s">
        <v>5373</v>
      </c>
      <c r="I227" s="1" t="s">
        <v>2619</v>
      </c>
      <c r="J227" s="1" t="s">
        <v>5374</v>
      </c>
      <c r="K227" s="1" t="s">
        <v>5375</v>
      </c>
      <c r="L227" s="1" t="s">
        <v>5376</v>
      </c>
      <c r="M227" s="1" t="s">
        <v>5377</v>
      </c>
      <c r="N227" s="1" t="s">
        <v>5378</v>
      </c>
      <c r="O227" s="1" t="s">
        <v>4403</v>
      </c>
      <c r="P227" s="1" t="s">
        <v>5379</v>
      </c>
      <c r="Q227" s="1" t="s">
        <v>5380</v>
      </c>
      <c r="R227" s="1" t="s">
        <v>5309</v>
      </c>
      <c r="S227" s="1" t="s">
        <v>5381</v>
      </c>
      <c r="T227" s="1" t="s">
        <v>5382</v>
      </c>
      <c r="U227" s="1" t="s">
        <v>5383</v>
      </c>
      <c r="V227" s="1" t="s">
        <v>5384</v>
      </c>
      <c r="W227" s="1" t="s">
        <v>5385</v>
      </c>
      <c r="X227" s="1" t="s">
        <v>5386</v>
      </c>
      <c r="Y227" s="1" t="s">
        <v>1008</v>
      </c>
      <c r="Z227" s="1" t="s">
        <v>5387</v>
      </c>
      <c r="AA227" s="1" t="s">
        <v>5388</v>
      </c>
      <c r="AB227" s="1" t="s">
        <v>4287</v>
      </c>
      <c r="AC227" s="1" t="s">
        <v>5389</v>
      </c>
    </row>
    <row r="228" spans="1:29" ht="57" x14ac:dyDescent="0.45">
      <c r="A228" s="5" t="s">
        <v>222</v>
      </c>
      <c r="B228" s="2">
        <v>4107935</v>
      </c>
      <c r="C228" s="1" t="s">
        <v>5390</v>
      </c>
      <c r="D228" s="1" t="s">
        <v>5391</v>
      </c>
      <c r="E228" s="1" t="s">
        <v>4541</v>
      </c>
      <c r="F228" s="1" t="s">
        <v>5392</v>
      </c>
      <c r="G228" s="1" t="s">
        <v>5393</v>
      </c>
      <c r="H228" s="1" t="s">
        <v>5394</v>
      </c>
      <c r="I228" s="1" t="s">
        <v>5395</v>
      </c>
      <c r="J228" s="1" t="s">
        <v>5396</v>
      </c>
      <c r="K228" s="1" t="s">
        <v>5397</v>
      </c>
      <c r="L228" s="1" t="s">
        <v>5398</v>
      </c>
      <c r="M228" s="1" t="s">
        <v>5399</v>
      </c>
      <c r="N228" s="1" t="s">
        <v>5400</v>
      </c>
      <c r="O228" s="1" t="s">
        <v>5401</v>
      </c>
      <c r="P228" s="1" t="s">
        <v>5402</v>
      </c>
      <c r="Q228" s="1" t="s">
        <v>5403</v>
      </c>
      <c r="R228" s="1" t="s">
        <v>5404</v>
      </c>
      <c r="S228" s="1" t="s">
        <v>5405</v>
      </c>
      <c r="T228" s="1" t="s">
        <v>5406</v>
      </c>
      <c r="U228" s="1" t="s">
        <v>5407</v>
      </c>
      <c r="V228" s="1" t="s">
        <v>5408</v>
      </c>
      <c r="W228" s="1" t="s">
        <v>5409</v>
      </c>
      <c r="X228" s="1" t="s">
        <v>5410</v>
      </c>
      <c r="Y228" s="1" t="s">
        <v>5411</v>
      </c>
      <c r="Z228" s="1" t="s">
        <v>5412</v>
      </c>
      <c r="AA228" s="1" t="s">
        <v>5413</v>
      </c>
      <c r="AB228" s="1" t="s">
        <v>5414</v>
      </c>
      <c r="AC228" s="1" t="s">
        <v>5415</v>
      </c>
    </row>
    <row r="229" spans="1:29" ht="57" x14ac:dyDescent="0.45">
      <c r="A229" s="5" t="s">
        <v>223</v>
      </c>
      <c r="B229" s="2">
        <v>4913068</v>
      </c>
      <c r="C229" s="1" t="s">
        <v>5416</v>
      </c>
      <c r="D229" s="1" t="s">
        <v>5417</v>
      </c>
      <c r="E229" s="1" t="s">
        <v>5418</v>
      </c>
      <c r="F229" s="1" t="s">
        <v>4278</v>
      </c>
      <c r="G229" s="1" t="s">
        <v>5419</v>
      </c>
      <c r="H229" s="1" t="s">
        <v>5420</v>
      </c>
      <c r="I229" s="1" t="s">
        <v>5421</v>
      </c>
      <c r="J229" s="1" t="s">
        <v>5422</v>
      </c>
      <c r="K229" s="1" t="s">
        <v>5423</v>
      </c>
      <c r="L229" s="1" t="s">
        <v>1739</v>
      </c>
      <c r="M229" s="1" t="s">
        <v>5424</v>
      </c>
      <c r="N229" s="1" t="s">
        <v>5425</v>
      </c>
      <c r="O229" s="1" t="s">
        <v>5426</v>
      </c>
      <c r="P229" s="1" t="s">
        <v>1514</v>
      </c>
      <c r="Q229" s="1" t="s">
        <v>5427</v>
      </c>
      <c r="R229" s="1" t="s">
        <v>5428</v>
      </c>
      <c r="S229" s="1" t="s">
        <v>3827</v>
      </c>
      <c r="T229" s="1" t="s">
        <v>5429</v>
      </c>
      <c r="U229" s="1" t="s">
        <v>5430</v>
      </c>
      <c r="V229" s="1" t="s">
        <v>1098</v>
      </c>
      <c r="W229" s="1" t="s">
        <v>5431</v>
      </c>
      <c r="X229" s="1" t="s">
        <v>5432</v>
      </c>
      <c r="Y229" s="1" t="s">
        <v>5433</v>
      </c>
      <c r="Z229" s="1" t="s">
        <v>561</v>
      </c>
      <c r="AA229" s="1" t="s">
        <v>542</v>
      </c>
      <c r="AB229" s="1" t="s">
        <v>5434</v>
      </c>
      <c r="AC229" s="1" t="s">
        <v>5435</v>
      </c>
    </row>
    <row r="230" spans="1:29" ht="85.5" x14ac:dyDescent="0.45">
      <c r="A230" s="5" t="s">
        <v>224</v>
      </c>
      <c r="B230" s="2">
        <v>4438507</v>
      </c>
      <c r="C230" s="1" t="s">
        <v>5436</v>
      </c>
      <c r="D230" s="1" t="s">
        <v>5437</v>
      </c>
      <c r="E230" s="1" t="s">
        <v>914</v>
      </c>
      <c r="F230" s="1" t="s">
        <v>5438</v>
      </c>
      <c r="G230" s="1" t="s">
        <v>5439</v>
      </c>
      <c r="H230" s="1" t="s">
        <v>5440</v>
      </c>
      <c r="I230" s="1" t="s">
        <v>1129</v>
      </c>
      <c r="J230" s="1" t="s">
        <v>1168</v>
      </c>
      <c r="K230" s="1" t="s">
        <v>5441</v>
      </c>
      <c r="L230" s="1" t="s">
        <v>1757</v>
      </c>
      <c r="M230" s="1" t="s">
        <v>4591</v>
      </c>
      <c r="N230" s="1" t="s">
        <v>4591</v>
      </c>
      <c r="O230" s="1" t="s">
        <v>5442</v>
      </c>
      <c r="P230" s="1" t="s">
        <v>5443</v>
      </c>
      <c r="Q230" s="1" t="s">
        <v>5444</v>
      </c>
      <c r="R230" s="1" t="s">
        <v>5445</v>
      </c>
      <c r="S230" s="1" t="s">
        <v>1753</v>
      </c>
      <c r="T230" s="1" t="s">
        <v>5446</v>
      </c>
      <c r="U230" s="1" t="s">
        <v>2324</v>
      </c>
      <c r="V230" s="1" t="s">
        <v>5447</v>
      </c>
      <c r="W230" s="1" t="s">
        <v>5448</v>
      </c>
      <c r="X230" s="1" t="s">
        <v>5449</v>
      </c>
      <c r="Y230" s="1" t="s">
        <v>1568</v>
      </c>
      <c r="Z230" s="1" t="s">
        <v>5439</v>
      </c>
      <c r="AA230" s="1" t="s">
        <v>5450</v>
      </c>
      <c r="AB230" s="1" t="s">
        <v>5451</v>
      </c>
      <c r="AC230" s="1" t="s">
        <v>5452</v>
      </c>
    </row>
    <row r="231" spans="1:29" ht="71.25" x14ac:dyDescent="0.45">
      <c r="A231" s="5" t="s">
        <v>225</v>
      </c>
      <c r="B231" s="2">
        <v>4072879</v>
      </c>
      <c r="C231" s="1" t="s">
        <v>5453</v>
      </c>
      <c r="D231" s="1" t="s">
        <v>5454</v>
      </c>
      <c r="E231" s="1" t="s">
        <v>994</v>
      </c>
      <c r="F231" s="1" t="s">
        <v>4536</v>
      </c>
      <c r="G231" s="1" t="s">
        <v>5455</v>
      </c>
      <c r="H231" s="1" t="s">
        <v>5456</v>
      </c>
      <c r="I231" s="1" t="s">
        <v>5457</v>
      </c>
      <c r="J231" s="1" t="s">
        <v>5458</v>
      </c>
      <c r="K231" s="1" t="s">
        <v>5459</v>
      </c>
      <c r="L231" s="1" t="s">
        <v>819</v>
      </c>
      <c r="M231" s="1" t="s">
        <v>5460</v>
      </c>
      <c r="N231" s="1" t="s">
        <v>5461</v>
      </c>
      <c r="O231" s="1" t="s">
        <v>5462</v>
      </c>
      <c r="P231" s="1" t="s">
        <v>5463</v>
      </c>
      <c r="Q231" s="1" t="s">
        <v>897</v>
      </c>
      <c r="R231" s="1" t="s">
        <v>910</v>
      </c>
      <c r="S231" s="1" t="s">
        <v>5464</v>
      </c>
      <c r="T231" s="1" t="s">
        <v>5465</v>
      </c>
      <c r="U231" s="1" t="s">
        <v>1294</v>
      </c>
      <c r="V231" s="1" t="s">
        <v>5466</v>
      </c>
      <c r="W231" s="1" t="s">
        <v>505</v>
      </c>
      <c r="X231" s="1" t="s">
        <v>5467</v>
      </c>
      <c r="Y231" s="1" t="s">
        <v>5468</v>
      </c>
      <c r="Z231" s="1" t="s">
        <v>5469</v>
      </c>
      <c r="AA231" s="1" t="s">
        <v>5470</v>
      </c>
      <c r="AB231" s="1" t="s">
        <v>2099</v>
      </c>
      <c r="AC231" s="1" t="s">
        <v>5471</v>
      </c>
    </row>
    <row r="232" spans="1:29" ht="42.75" x14ac:dyDescent="0.45">
      <c r="A232" s="5" t="s">
        <v>226</v>
      </c>
      <c r="B232" s="2">
        <v>4868602</v>
      </c>
      <c r="C232" s="1" t="s">
        <v>5472</v>
      </c>
      <c r="D232" s="1" t="s">
        <v>5473</v>
      </c>
      <c r="E232" s="1" t="s">
        <v>835</v>
      </c>
      <c r="F232" s="1" t="s">
        <v>5474</v>
      </c>
      <c r="G232" s="1" t="s">
        <v>5475</v>
      </c>
      <c r="H232" s="1" t="s">
        <v>638</v>
      </c>
      <c r="I232" s="1" t="s">
        <v>5476</v>
      </c>
      <c r="J232" s="1" t="s">
        <v>5477</v>
      </c>
      <c r="K232" s="1" t="s">
        <v>5478</v>
      </c>
      <c r="L232" s="1" t="s">
        <v>5475</v>
      </c>
      <c r="M232" s="1" t="s">
        <v>5479</v>
      </c>
      <c r="N232" s="1" t="s">
        <v>5480</v>
      </c>
      <c r="O232" s="1" t="s">
        <v>5481</v>
      </c>
      <c r="P232" s="1" t="s">
        <v>5482</v>
      </c>
      <c r="Q232" s="1" t="s">
        <v>5483</v>
      </c>
      <c r="R232" s="1" t="s">
        <v>5484</v>
      </c>
      <c r="S232" s="1" t="s">
        <v>5485</v>
      </c>
      <c r="T232" s="1" t="s">
        <v>5486</v>
      </c>
      <c r="U232" s="1" t="s">
        <v>5487</v>
      </c>
      <c r="V232" s="1" t="s">
        <v>5488</v>
      </c>
      <c r="W232" s="1" t="s">
        <v>5489</v>
      </c>
      <c r="X232" s="1" t="s">
        <v>4860</v>
      </c>
      <c r="Y232" s="1" t="s">
        <v>641</v>
      </c>
      <c r="Z232" s="1" t="s">
        <v>5490</v>
      </c>
      <c r="AA232" s="1" t="s">
        <v>5491</v>
      </c>
      <c r="AB232" s="1" t="s">
        <v>5492</v>
      </c>
      <c r="AC232" s="1" t="s">
        <v>5493</v>
      </c>
    </row>
    <row r="233" spans="1:29" ht="42.75" x14ac:dyDescent="0.45">
      <c r="A233" s="5" t="s">
        <v>227</v>
      </c>
      <c r="B233" s="2">
        <v>4025819</v>
      </c>
      <c r="C233" s="1" t="s">
        <v>5494</v>
      </c>
      <c r="D233" s="1" t="s">
        <v>5495</v>
      </c>
      <c r="E233" s="1" t="s">
        <v>4856</v>
      </c>
      <c r="F233" s="1" t="s">
        <v>5241</v>
      </c>
      <c r="G233" s="1" t="s">
        <v>4507</v>
      </c>
      <c r="H233" s="1" t="s">
        <v>5496</v>
      </c>
      <c r="I233" s="1" t="s">
        <v>5497</v>
      </c>
      <c r="J233" s="1" t="s">
        <v>5498</v>
      </c>
      <c r="K233" s="1" t="s">
        <v>5499</v>
      </c>
      <c r="L233" s="1" t="s">
        <v>5500</v>
      </c>
      <c r="M233" s="1" t="s">
        <v>5501</v>
      </c>
      <c r="N233" s="1" t="s">
        <v>2523</v>
      </c>
      <c r="O233" s="1" t="s">
        <v>1600</v>
      </c>
      <c r="P233" s="1" t="s">
        <v>5502</v>
      </c>
      <c r="Q233" s="1" t="s">
        <v>3848</v>
      </c>
      <c r="R233" s="1" t="s">
        <v>5503</v>
      </c>
      <c r="S233" s="1" t="s">
        <v>5504</v>
      </c>
      <c r="T233" s="1" t="s">
        <v>553</v>
      </c>
      <c r="U233" s="1" t="s">
        <v>2391</v>
      </c>
      <c r="V233" s="1" t="s">
        <v>1576</v>
      </c>
      <c r="W233" s="1" t="s">
        <v>5505</v>
      </c>
      <c r="X233" s="1" t="s">
        <v>5506</v>
      </c>
      <c r="Y233" s="1" t="s">
        <v>5507</v>
      </c>
      <c r="Z233" s="1" t="s">
        <v>5508</v>
      </c>
      <c r="AA233" s="1" t="s">
        <v>5029</v>
      </c>
      <c r="AB233" s="1" t="s">
        <v>5509</v>
      </c>
      <c r="AC233" s="1" t="s">
        <v>5510</v>
      </c>
    </row>
    <row r="234" spans="1:29" ht="85.5" x14ac:dyDescent="0.45">
      <c r="A234" s="5" t="s">
        <v>228</v>
      </c>
      <c r="B234" s="2">
        <v>4133677</v>
      </c>
      <c r="C234" s="1" t="s">
        <v>5511</v>
      </c>
      <c r="D234" s="1" t="s">
        <v>5512</v>
      </c>
      <c r="E234" s="1" t="s">
        <v>2321</v>
      </c>
      <c r="F234" s="1" t="s">
        <v>5513</v>
      </c>
      <c r="G234" s="1" t="s">
        <v>5514</v>
      </c>
      <c r="H234" s="1" t="s">
        <v>5515</v>
      </c>
      <c r="I234" s="1" t="s">
        <v>5516</v>
      </c>
      <c r="J234" s="1" t="s">
        <v>5517</v>
      </c>
      <c r="K234" s="1" t="s">
        <v>4843</v>
      </c>
      <c r="L234" s="1" t="s">
        <v>2727</v>
      </c>
      <c r="M234" s="1" t="s">
        <v>2919</v>
      </c>
      <c r="N234" s="1" t="s">
        <v>4862</v>
      </c>
      <c r="O234" s="1" t="s">
        <v>5518</v>
      </c>
      <c r="P234" s="1" t="s">
        <v>2738</v>
      </c>
      <c r="Q234" s="1" t="s">
        <v>5519</v>
      </c>
      <c r="R234" s="1" t="s">
        <v>2918</v>
      </c>
      <c r="S234" s="1" t="s">
        <v>5520</v>
      </c>
      <c r="T234" s="1" t="s">
        <v>5521</v>
      </c>
      <c r="U234" s="1" t="s">
        <v>5518</v>
      </c>
      <c r="V234" s="1" t="s">
        <v>5522</v>
      </c>
      <c r="W234" s="1" t="s">
        <v>5523</v>
      </c>
      <c r="X234" s="1" t="s">
        <v>5524</v>
      </c>
      <c r="Y234" s="1" t="s">
        <v>5525</v>
      </c>
      <c r="Z234" s="1" t="s">
        <v>5526</v>
      </c>
      <c r="AA234" s="1" t="s">
        <v>5527</v>
      </c>
      <c r="AB234" s="1" t="s">
        <v>5528</v>
      </c>
      <c r="AC234" s="1" t="s">
        <v>5529</v>
      </c>
    </row>
    <row r="235" spans="1:29" ht="57" x14ac:dyDescent="0.45">
      <c r="A235" s="5" t="s">
        <v>229</v>
      </c>
      <c r="B235" s="2">
        <v>103647</v>
      </c>
      <c r="C235" s="1" t="s">
        <v>5530</v>
      </c>
      <c r="D235" s="1" t="s">
        <v>5531</v>
      </c>
      <c r="E235" s="1" t="s">
        <v>1250</v>
      </c>
      <c r="F235" s="1" t="s">
        <v>5532</v>
      </c>
      <c r="G235" s="1" t="s">
        <v>5533</v>
      </c>
      <c r="H235" s="1" t="s">
        <v>5534</v>
      </c>
      <c r="I235" s="1" t="s">
        <v>5535</v>
      </c>
      <c r="J235" s="1" t="s">
        <v>3012</v>
      </c>
      <c r="K235" s="1" t="s">
        <v>3334</v>
      </c>
      <c r="L235" s="1" t="s">
        <v>5536</v>
      </c>
      <c r="M235" s="1" t="s">
        <v>5537</v>
      </c>
      <c r="N235" s="1" t="s">
        <v>5538</v>
      </c>
      <c r="O235" s="1" t="s">
        <v>5539</v>
      </c>
      <c r="P235" s="1" t="s">
        <v>5540</v>
      </c>
      <c r="Q235" s="1" t="s">
        <v>5541</v>
      </c>
      <c r="R235" s="1" t="s">
        <v>4165</v>
      </c>
      <c r="S235" s="1" t="s">
        <v>5542</v>
      </c>
      <c r="T235" s="1" t="s">
        <v>5543</v>
      </c>
      <c r="U235" s="1" t="s">
        <v>5544</v>
      </c>
      <c r="V235" s="1" t="s">
        <v>5544</v>
      </c>
      <c r="W235" s="1" t="s">
        <v>5545</v>
      </c>
      <c r="X235" s="1" t="s">
        <v>5546</v>
      </c>
      <c r="Y235" s="1" t="s">
        <v>5547</v>
      </c>
      <c r="Z235" s="1" t="s">
        <v>766</v>
      </c>
      <c r="AA235" s="1" t="s">
        <v>1827</v>
      </c>
      <c r="AB235" s="1" t="s">
        <v>4898</v>
      </c>
      <c r="AC235" s="1" t="s">
        <v>5548</v>
      </c>
    </row>
    <row r="236" spans="1:29" ht="71.25" x14ac:dyDescent="0.45">
      <c r="A236" s="5" t="s">
        <v>230</v>
      </c>
      <c r="B236" s="2">
        <v>4039450</v>
      </c>
      <c r="C236" s="1" t="s">
        <v>5549</v>
      </c>
      <c r="D236" s="1" t="s">
        <v>5550</v>
      </c>
      <c r="E236" s="1" t="s">
        <v>3318</v>
      </c>
      <c r="F236" s="1" t="s">
        <v>5551</v>
      </c>
      <c r="G236" s="1" t="s">
        <v>1237</v>
      </c>
      <c r="H236" s="1" t="s">
        <v>5552</v>
      </c>
      <c r="I236" s="1" t="s">
        <v>5553</v>
      </c>
      <c r="J236" s="1" t="s">
        <v>5554</v>
      </c>
      <c r="K236" s="1" t="s">
        <v>5555</v>
      </c>
      <c r="L236" s="1" t="s">
        <v>503</v>
      </c>
      <c r="M236" s="1" t="s">
        <v>5556</v>
      </c>
      <c r="N236" s="1" t="s">
        <v>5557</v>
      </c>
      <c r="O236" s="1" t="s">
        <v>5558</v>
      </c>
      <c r="P236" s="1" t="s">
        <v>2155</v>
      </c>
      <c r="Q236" s="1" t="s">
        <v>4937</v>
      </c>
      <c r="R236" s="1" t="s">
        <v>5559</v>
      </c>
      <c r="S236" s="1" t="s">
        <v>5560</v>
      </c>
      <c r="T236" s="1" t="s">
        <v>5561</v>
      </c>
      <c r="U236" s="1" t="s">
        <v>5562</v>
      </c>
      <c r="V236" s="1" t="s">
        <v>5563</v>
      </c>
      <c r="W236" s="1" t="s">
        <v>5564</v>
      </c>
      <c r="X236" s="1" t="s">
        <v>5565</v>
      </c>
      <c r="Y236" s="1" t="s">
        <v>5566</v>
      </c>
      <c r="Z236" s="1" t="s">
        <v>5567</v>
      </c>
      <c r="AA236" s="1" t="s">
        <v>5568</v>
      </c>
      <c r="AB236" s="1" t="s">
        <v>5569</v>
      </c>
      <c r="AC236" s="1" t="s">
        <v>4521</v>
      </c>
    </row>
    <row r="237" spans="1:29" ht="57" x14ac:dyDescent="0.45">
      <c r="A237" s="5" t="s">
        <v>231</v>
      </c>
      <c r="B237" s="2">
        <v>4057056</v>
      </c>
      <c r="C237" s="1" t="s">
        <v>5570</v>
      </c>
      <c r="D237" s="1" t="s">
        <v>5571</v>
      </c>
      <c r="E237" s="1" t="s">
        <v>2070</v>
      </c>
      <c r="F237" s="1" t="s">
        <v>5572</v>
      </c>
      <c r="G237" s="1" t="s">
        <v>5573</v>
      </c>
      <c r="H237" s="1" t="s">
        <v>5574</v>
      </c>
      <c r="I237" s="1" t="s">
        <v>5575</v>
      </c>
      <c r="J237" s="1" t="s">
        <v>5576</v>
      </c>
      <c r="K237" s="1" t="s">
        <v>5577</v>
      </c>
      <c r="L237" s="1" t="s">
        <v>2778</v>
      </c>
      <c r="M237" s="1" t="s">
        <v>3132</v>
      </c>
      <c r="N237" s="1" t="s">
        <v>5578</v>
      </c>
      <c r="O237" s="1" t="s">
        <v>5579</v>
      </c>
      <c r="P237" s="1" t="s">
        <v>2595</v>
      </c>
      <c r="Q237" s="1" t="s">
        <v>3156</v>
      </c>
      <c r="R237" s="1" t="s">
        <v>5580</v>
      </c>
      <c r="S237" s="1" t="s">
        <v>5093</v>
      </c>
      <c r="T237" s="1" t="s">
        <v>5581</v>
      </c>
      <c r="U237" s="1" t="s">
        <v>5582</v>
      </c>
      <c r="V237" s="1" t="s">
        <v>2848</v>
      </c>
      <c r="W237" s="1" t="s">
        <v>5583</v>
      </c>
      <c r="X237" s="1" t="s">
        <v>5150</v>
      </c>
      <c r="Y237" s="1" t="s">
        <v>5584</v>
      </c>
      <c r="Z237" s="1" t="s">
        <v>3144</v>
      </c>
      <c r="AA237" s="1" t="s">
        <v>2073</v>
      </c>
      <c r="AB237" s="1" t="s">
        <v>5585</v>
      </c>
      <c r="AC237" s="1" t="s">
        <v>4175</v>
      </c>
    </row>
    <row r="238" spans="1:29" ht="85.5" x14ac:dyDescent="0.45">
      <c r="A238" s="5" t="s">
        <v>232</v>
      </c>
      <c r="B238" s="2">
        <v>4963284</v>
      </c>
      <c r="C238" s="1" t="s">
        <v>5586</v>
      </c>
      <c r="D238" s="1" t="s">
        <v>5587</v>
      </c>
      <c r="E238" s="1" t="s">
        <v>487</v>
      </c>
      <c r="F238" s="1" t="s">
        <v>5588</v>
      </c>
      <c r="G238" s="1" t="s">
        <v>5589</v>
      </c>
      <c r="H238" s="1" t="s">
        <v>3393</v>
      </c>
      <c r="I238" s="1" t="s">
        <v>3892</v>
      </c>
      <c r="J238" s="1" t="s">
        <v>5590</v>
      </c>
      <c r="K238" s="1" t="s">
        <v>4970</v>
      </c>
      <c r="L238" s="1" t="s">
        <v>5591</v>
      </c>
      <c r="M238" s="1" t="s">
        <v>3482</v>
      </c>
      <c r="N238" s="1" t="s">
        <v>5592</v>
      </c>
      <c r="O238" s="1" t="s">
        <v>5593</v>
      </c>
      <c r="P238" s="1" t="s">
        <v>5594</v>
      </c>
      <c r="Q238" s="1" t="s">
        <v>1550</v>
      </c>
      <c r="R238" s="1" t="s">
        <v>5595</v>
      </c>
      <c r="S238" s="1" t="s">
        <v>5596</v>
      </c>
      <c r="T238" s="1" t="s">
        <v>5597</v>
      </c>
      <c r="U238" s="1" t="s">
        <v>849</v>
      </c>
      <c r="V238" s="1" t="s">
        <v>5328</v>
      </c>
      <c r="W238" s="1" t="s">
        <v>5598</v>
      </c>
      <c r="X238" s="1" t="s">
        <v>3398</v>
      </c>
      <c r="Y238" s="1" t="s">
        <v>5599</v>
      </c>
      <c r="Z238" s="1" t="s">
        <v>5600</v>
      </c>
      <c r="AA238" s="1" t="s">
        <v>5601</v>
      </c>
      <c r="AB238" s="1" t="s">
        <v>5602</v>
      </c>
      <c r="AC238" s="1" t="s">
        <v>5603</v>
      </c>
    </row>
    <row r="239" spans="1:29" ht="85.5" x14ac:dyDescent="0.45">
      <c r="A239" s="5" t="s">
        <v>233</v>
      </c>
      <c r="B239" s="2">
        <v>103462</v>
      </c>
      <c r="C239" s="1" t="s">
        <v>5604</v>
      </c>
      <c r="D239" s="1" t="s">
        <v>5605</v>
      </c>
      <c r="E239" s="1" t="s">
        <v>5606</v>
      </c>
      <c r="F239" s="1" t="s">
        <v>5607</v>
      </c>
      <c r="G239" s="1" t="s">
        <v>5608</v>
      </c>
      <c r="H239" s="1" t="s">
        <v>5609</v>
      </c>
      <c r="I239" s="1" t="s">
        <v>5610</v>
      </c>
      <c r="J239" s="1" t="s">
        <v>5611</v>
      </c>
      <c r="K239" s="1" t="s">
        <v>5612</v>
      </c>
      <c r="L239" s="1" t="s">
        <v>5613</v>
      </c>
      <c r="M239" s="1" t="s">
        <v>5614</v>
      </c>
      <c r="N239" s="1" t="s">
        <v>5615</v>
      </c>
      <c r="O239" s="1" t="s">
        <v>5616</v>
      </c>
      <c r="P239" s="1" t="s">
        <v>5617</v>
      </c>
      <c r="Q239" s="1" t="s">
        <v>5618</v>
      </c>
      <c r="R239" s="1" t="s">
        <v>5619</v>
      </c>
      <c r="S239" s="1" t="s">
        <v>5620</v>
      </c>
      <c r="T239" s="1" t="s">
        <v>5621</v>
      </c>
      <c r="U239" s="1" t="s">
        <v>5622</v>
      </c>
      <c r="V239" s="1" t="s">
        <v>5623</v>
      </c>
      <c r="W239" s="1" t="s">
        <v>5624</v>
      </c>
      <c r="X239" s="1" t="s">
        <v>5625</v>
      </c>
      <c r="Y239" s="1" t="s">
        <v>5626</v>
      </c>
      <c r="Z239" s="1" t="s">
        <v>5627</v>
      </c>
      <c r="AA239" s="1" t="s">
        <v>5628</v>
      </c>
      <c r="AB239" s="1" t="s">
        <v>5629</v>
      </c>
      <c r="AC239" s="1" t="s">
        <v>5630</v>
      </c>
    </row>
    <row r="240" spans="1:29" ht="42.75" x14ac:dyDescent="0.45">
      <c r="A240" s="5" t="s">
        <v>234</v>
      </c>
      <c r="B240" s="2">
        <v>4057057</v>
      </c>
      <c r="C240" s="1" t="s">
        <v>5631</v>
      </c>
      <c r="D240" s="1" t="s">
        <v>5632</v>
      </c>
      <c r="E240" s="1" t="s">
        <v>2070</v>
      </c>
      <c r="F240" s="1" t="s">
        <v>5633</v>
      </c>
      <c r="G240" s="1" t="s">
        <v>3586</v>
      </c>
      <c r="H240" s="1" t="s">
        <v>5634</v>
      </c>
      <c r="I240" s="1" t="s">
        <v>2208</v>
      </c>
      <c r="J240" s="1" t="s">
        <v>5635</v>
      </c>
      <c r="K240" s="1" t="s">
        <v>923</v>
      </c>
      <c r="L240" s="1" t="s">
        <v>1490</v>
      </c>
      <c r="M240" s="1" t="s">
        <v>5636</v>
      </c>
      <c r="N240" s="1" t="s">
        <v>5637</v>
      </c>
      <c r="O240" s="1" t="s">
        <v>3999</v>
      </c>
      <c r="P240" s="1" t="s">
        <v>3588</v>
      </c>
      <c r="Q240" s="1" t="s">
        <v>4656</v>
      </c>
      <c r="R240" s="1" t="s">
        <v>5638</v>
      </c>
      <c r="S240" s="1" t="s">
        <v>5639</v>
      </c>
      <c r="T240" s="1" t="s">
        <v>5640</v>
      </c>
      <c r="U240" s="1" t="s">
        <v>5641</v>
      </c>
      <c r="V240" s="1" t="s">
        <v>5642</v>
      </c>
      <c r="W240" s="1" t="s">
        <v>5643</v>
      </c>
      <c r="X240" s="1" t="s">
        <v>5644</v>
      </c>
      <c r="Y240" s="1" t="s">
        <v>2804</v>
      </c>
      <c r="Z240" s="1" t="s">
        <v>5645</v>
      </c>
      <c r="AA240" s="1" t="s">
        <v>3514</v>
      </c>
      <c r="AB240" s="1" t="s">
        <v>5646</v>
      </c>
      <c r="AC240" s="1" t="s">
        <v>5647</v>
      </c>
    </row>
    <row r="241" spans="1:29" ht="57" x14ac:dyDescent="0.45">
      <c r="A241" s="5" t="s">
        <v>235</v>
      </c>
      <c r="B241" s="2">
        <v>4023623</v>
      </c>
      <c r="C241" s="1" t="s">
        <v>5648</v>
      </c>
      <c r="D241" s="1" t="s">
        <v>5649</v>
      </c>
      <c r="E241" s="1" t="s">
        <v>809</v>
      </c>
      <c r="F241" s="1" t="s">
        <v>5650</v>
      </c>
      <c r="G241" s="1" t="s">
        <v>5651</v>
      </c>
      <c r="H241" s="1" t="s">
        <v>5652</v>
      </c>
      <c r="I241" s="1" t="s">
        <v>5653</v>
      </c>
      <c r="J241" s="1" t="s">
        <v>5654</v>
      </c>
      <c r="K241" s="1" t="s">
        <v>5655</v>
      </c>
      <c r="L241" s="1" t="s">
        <v>5656</v>
      </c>
      <c r="M241" s="1" t="s">
        <v>5657</v>
      </c>
      <c r="N241" s="1" t="s">
        <v>4225</v>
      </c>
      <c r="O241" s="1" t="s">
        <v>5658</v>
      </c>
      <c r="P241" s="1" t="s">
        <v>5659</v>
      </c>
      <c r="Q241" s="1" t="s">
        <v>1588</v>
      </c>
      <c r="R241" s="1" t="s">
        <v>5660</v>
      </c>
      <c r="S241" s="1" t="s">
        <v>5661</v>
      </c>
      <c r="T241" s="1" t="s">
        <v>1742</v>
      </c>
      <c r="U241" s="1" t="s">
        <v>2526</v>
      </c>
      <c r="V241" s="1" t="s">
        <v>4236</v>
      </c>
      <c r="W241" s="1" t="s">
        <v>5662</v>
      </c>
      <c r="X241" s="1" t="s">
        <v>5663</v>
      </c>
      <c r="Y241" s="1" t="s">
        <v>5664</v>
      </c>
      <c r="Z241" s="1" t="s">
        <v>3173</v>
      </c>
      <c r="AA241" s="1" t="s">
        <v>5665</v>
      </c>
      <c r="AB241" s="1" t="s">
        <v>1047</v>
      </c>
      <c r="AC241" s="1" t="s">
        <v>5666</v>
      </c>
    </row>
    <row r="242" spans="1:29" ht="85.5" x14ac:dyDescent="0.45">
      <c r="A242" s="5" t="s">
        <v>236</v>
      </c>
      <c r="B242" s="2">
        <v>103442</v>
      </c>
      <c r="C242" s="1" t="s">
        <v>5667</v>
      </c>
      <c r="D242" s="1" t="s">
        <v>5668</v>
      </c>
      <c r="E242" s="1" t="s">
        <v>1621</v>
      </c>
      <c r="F242" s="1" t="s">
        <v>3977</v>
      </c>
      <c r="G242" s="1" t="s">
        <v>4205</v>
      </c>
      <c r="H242" s="1" t="s">
        <v>5669</v>
      </c>
      <c r="I242" s="1" t="s">
        <v>5670</v>
      </c>
      <c r="J242" s="1" t="s">
        <v>4349</v>
      </c>
      <c r="K242" s="1" t="s">
        <v>5671</v>
      </c>
      <c r="L242" s="1" t="s">
        <v>5672</v>
      </c>
      <c r="M242" s="1" t="s">
        <v>4506</v>
      </c>
      <c r="N242" s="1" t="s">
        <v>1941</v>
      </c>
      <c r="O242" s="1" t="s">
        <v>3232</v>
      </c>
      <c r="P242" s="1" t="s">
        <v>1467</v>
      </c>
      <c r="Q242" s="1" t="s">
        <v>3236</v>
      </c>
      <c r="R242" s="1" t="s">
        <v>5673</v>
      </c>
      <c r="S242" s="1" t="s">
        <v>5674</v>
      </c>
      <c r="T242" s="1" t="s">
        <v>5675</v>
      </c>
      <c r="U242" s="1" t="s">
        <v>5676</v>
      </c>
      <c r="V242" s="1" t="s">
        <v>3598</v>
      </c>
      <c r="W242" s="1" t="s">
        <v>3999</v>
      </c>
      <c r="X242" s="1" t="s">
        <v>5677</v>
      </c>
      <c r="Y242" s="1" t="s">
        <v>5678</v>
      </c>
      <c r="Z242" s="1" t="s">
        <v>5679</v>
      </c>
      <c r="AA242" s="1" t="s">
        <v>2137</v>
      </c>
      <c r="AB242" s="1" t="s">
        <v>5680</v>
      </c>
      <c r="AC242" s="1" t="s">
        <v>1673</v>
      </c>
    </row>
    <row r="243" spans="1:29" ht="42.75" x14ac:dyDescent="0.45">
      <c r="A243" s="5" t="s">
        <v>237</v>
      </c>
      <c r="B243" s="2">
        <v>4004086</v>
      </c>
      <c r="C243" s="1" t="s">
        <v>5681</v>
      </c>
      <c r="D243" s="1" t="s">
        <v>5682</v>
      </c>
      <c r="E243" s="1" t="s">
        <v>1223</v>
      </c>
      <c r="F243" s="1" t="s">
        <v>5683</v>
      </c>
      <c r="G243" s="1" t="s">
        <v>5684</v>
      </c>
      <c r="H243" s="1" t="s">
        <v>5685</v>
      </c>
      <c r="I243" s="1" t="s">
        <v>5686</v>
      </c>
      <c r="J243" s="1" t="s">
        <v>5687</v>
      </c>
      <c r="K243" s="1" t="s">
        <v>5688</v>
      </c>
      <c r="L243" s="1" t="s">
        <v>5689</v>
      </c>
      <c r="M243" s="1" t="s">
        <v>5690</v>
      </c>
      <c r="N243" s="1" t="s">
        <v>1703</v>
      </c>
      <c r="O243" s="1" t="s">
        <v>5691</v>
      </c>
      <c r="P243" s="1" t="s">
        <v>5692</v>
      </c>
      <c r="Q243" s="1" t="s">
        <v>5693</v>
      </c>
      <c r="R243" s="1" t="s">
        <v>5694</v>
      </c>
      <c r="S243" s="1" t="s">
        <v>5695</v>
      </c>
      <c r="T243" s="1" t="s">
        <v>5696</v>
      </c>
      <c r="U243" s="1" t="s">
        <v>5697</v>
      </c>
      <c r="V243" s="1" t="s">
        <v>5698</v>
      </c>
      <c r="W243" s="1" t="s">
        <v>5699</v>
      </c>
      <c r="X243" s="1" t="s">
        <v>5700</v>
      </c>
      <c r="Y243" s="1" t="s">
        <v>4534</v>
      </c>
      <c r="Z243" s="1" t="s">
        <v>5701</v>
      </c>
      <c r="AA243" s="1" t="s">
        <v>518</v>
      </c>
      <c r="AB243" s="1" t="s">
        <v>5702</v>
      </c>
      <c r="AC243" s="1" t="s">
        <v>5703</v>
      </c>
    </row>
    <row r="244" spans="1:29" ht="42.75" x14ac:dyDescent="0.45">
      <c r="A244" s="5" t="s">
        <v>238</v>
      </c>
      <c r="B244" s="2">
        <v>4057051</v>
      </c>
      <c r="C244" s="1" t="s">
        <v>5704</v>
      </c>
      <c r="D244" s="1" t="s">
        <v>5705</v>
      </c>
      <c r="E244" s="1" t="s">
        <v>755</v>
      </c>
      <c r="F244" s="1" t="s">
        <v>3402</v>
      </c>
      <c r="G244" s="1" t="s">
        <v>2322</v>
      </c>
      <c r="H244" s="1" t="s">
        <v>5706</v>
      </c>
      <c r="I244" s="1" t="s">
        <v>5707</v>
      </c>
      <c r="J244" s="1" t="s">
        <v>5708</v>
      </c>
      <c r="K244" s="1" t="s">
        <v>2190</v>
      </c>
      <c r="L244" s="1" t="s">
        <v>4963</v>
      </c>
      <c r="M244" s="1" t="s">
        <v>4570</v>
      </c>
      <c r="N244" s="1" t="s">
        <v>5709</v>
      </c>
      <c r="O244" s="1" t="s">
        <v>1139</v>
      </c>
      <c r="P244" s="1" t="s">
        <v>5710</v>
      </c>
      <c r="Q244" s="1" t="s">
        <v>5711</v>
      </c>
      <c r="R244" s="1" t="s">
        <v>5348</v>
      </c>
      <c r="S244" s="1" t="s">
        <v>5712</v>
      </c>
      <c r="T244" s="1" t="s">
        <v>5713</v>
      </c>
      <c r="U244" s="1" t="s">
        <v>1132</v>
      </c>
      <c r="V244" s="1" t="s">
        <v>5714</v>
      </c>
      <c r="W244" s="1" t="s">
        <v>5715</v>
      </c>
      <c r="X244" s="1" t="s">
        <v>1362</v>
      </c>
      <c r="Y244" s="1" t="s">
        <v>4902</v>
      </c>
      <c r="Z244" s="1" t="s">
        <v>5716</v>
      </c>
      <c r="AA244" s="1" t="s">
        <v>5717</v>
      </c>
      <c r="AB244" s="1" t="s">
        <v>3008</v>
      </c>
      <c r="AC244" s="1" t="s">
        <v>5718</v>
      </c>
    </row>
    <row r="245" spans="1:29" ht="42.75" x14ac:dyDescent="0.45">
      <c r="A245" s="5" t="s">
        <v>239</v>
      </c>
      <c r="B245" s="2">
        <v>4057052</v>
      </c>
      <c r="C245" s="1" t="s">
        <v>5719</v>
      </c>
      <c r="D245" s="1" t="s">
        <v>5720</v>
      </c>
      <c r="E245" s="1" t="s">
        <v>2070</v>
      </c>
      <c r="F245" s="1" t="s">
        <v>5721</v>
      </c>
      <c r="G245" s="1" t="s">
        <v>5722</v>
      </c>
      <c r="H245" s="1" t="s">
        <v>1342</v>
      </c>
      <c r="I245" s="1" t="s">
        <v>5723</v>
      </c>
      <c r="J245" s="1" t="s">
        <v>5724</v>
      </c>
      <c r="K245" s="1" t="s">
        <v>5725</v>
      </c>
      <c r="L245" s="1" t="s">
        <v>5726</v>
      </c>
      <c r="M245" s="1" t="s">
        <v>5727</v>
      </c>
      <c r="N245" s="1" t="s">
        <v>3236</v>
      </c>
      <c r="O245" s="1" t="s">
        <v>1487</v>
      </c>
      <c r="P245" s="1" t="s">
        <v>5728</v>
      </c>
      <c r="Q245" s="1" t="s">
        <v>664</v>
      </c>
      <c r="R245" s="1" t="s">
        <v>5729</v>
      </c>
      <c r="S245" s="1" t="s">
        <v>5730</v>
      </c>
      <c r="T245" s="1" t="s">
        <v>5731</v>
      </c>
      <c r="U245" s="1" t="s">
        <v>5732</v>
      </c>
      <c r="V245" s="1" t="s">
        <v>5733</v>
      </c>
      <c r="W245" s="1" t="s">
        <v>5206</v>
      </c>
      <c r="X245" s="1" t="s">
        <v>5734</v>
      </c>
      <c r="Y245" s="1" t="s">
        <v>5735</v>
      </c>
      <c r="Z245" s="1" t="s">
        <v>3871</v>
      </c>
      <c r="AA245" s="1" t="s">
        <v>3032</v>
      </c>
      <c r="AB245" s="1" t="s">
        <v>5736</v>
      </c>
      <c r="AC245" s="1" t="s">
        <v>2502</v>
      </c>
    </row>
    <row r="246" spans="1:29" ht="57" x14ac:dyDescent="0.45">
      <c r="A246" s="5" t="s">
        <v>240</v>
      </c>
      <c r="B246" s="2">
        <v>103577</v>
      </c>
      <c r="C246" s="1" t="s">
        <v>5737</v>
      </c>
      <c r="D246" s="1" t="s">
        <v>5738</v>
      </c>
      <c r="E246" s="1" t="s">
        <v>1250</v>
      </c>
      <c r="F246" s="1" t="s">
        <v>5739</v>
      </c>
      <c r="G246" s="1" t="s">
        <v>3365</v>
      </c>
      <c r="H246" s="1" t="s">
        <v>5740</v>
      </c>
      <c r="I246" s="1" t="s">
        <v>5089</v>
      </c>
      <c r="J246" s="1" t="s">
        <v>1391</v>
      </c>
      <c r="K246" s="1" t="s">
        <v>5741</v>
      </c>
      <c r="L246" s="1" t="s">
        <v>5742</v>
      </c>
      <c r="M246" s="1" t="s">
        <v>4577</v>
      </c>
      <c r="N246" s="1" t="s">
        <v>5743</v>
      </c>
      <c r="O246" s="1" t="s">
        <v>5744</v>
      </c>
      <c r="P246" s="1" t="s">
        <v>5745</v>
      </c>
      <c r="Q246" s="1" t="s">
        <v>5744</v>
      </c>
      <c r="R246" s="1" t="s">
        <v>5746</v>
      </c>
      <c r="S246" s="1" t="s">
        <v>5747</v>
      </c>
      <c r="T246" s="1" t="s">
        <v>5748</v>
      </c>
      <c r="U246" s="1" t="s">
        <v>858</v>
      </c>
      <c r="V246" s="1" t="s">
        <v>2188</v>
      </c>
      <c r="W246" s="1" t="s">
        <v>5749</v>
      </c>
      <c r="X246" s="1" t="s">
        <v>4573</v>
      </c>
      <c r="Y246" s="1" t="s">
        <v>5750</v>
      </c>
      <c r="Z246" s="1" t="s">
        <v>1566</v>
      </c>
      <c r="AA246" s="1" t="s">
        <v>4575</v>
      </c>
      <c r="AB246" s="1" t="s">
        <v>5751</v>
      </c>
      <c r="AC246" s="1" t="s">
        <v>5752</v>
      </c>
    </row>
    <row r="247" spans="1:29" ht="42.75" x14ac:dyDescent="0.45">
      <c r="A247" s="5" t="s">
        <v>241</v>
      </c>
      <c r="B247" s="2">
        <v>4080680</v>
      </c>
      <c r="C247" s="1" t="s">
        <v>5753</v>
      </c>
      <c r="D247" s="1" t="s">
        <v>5754</v>
      </c>
      <c r="E247" s="1" t="s">
        <v>940</v>
      </c>
      <c r="F247" s="1" t="s">
        <v>5012</v>
      </c>
      <c r="G247" s="1" t="s">
        <v>5755</v>
      </c>
      <c r="H247" s="1" t="s">
        <v>3196</v>
      </c>
      <c r="I247" s="1" t="s">
        <v>5756</v>
      </c>
      <c r="J247" s="1" t="s">
        <v>5548</v>
      </c>
      <c r="K247" s="1" t="s">
        <v>5757</v>
      </c>
      <c r="L247" s="1" t="s">
        <v>3937</v>
      </c>
      <c r="M247" s="1" t="s">
        <v>5758</v>
      </c>
      <c r="N247" s="1" t="s">
        <v>3368</v>
      </c>
      <c r="O247" s="1" t="s">
        <v>4078</v>
      </c>
      <c r="P247" s="1" t="s">
        <v>5759</v>
      </c>
      <c r="Q247" s="1" t="s">
        <v>5760</v>
      </c>
      <c r="R247" s="1" t="s">
        <v>5761</v>
      </c>
      <c r="S247" s="1" t="s">
        <v>3745</v>
      </c>
      <c r="T247" s="1" t="s">
        <v>3337</v>
      </c>
      <c r="U247" s="1" t="s">
        <v>5762</v>
      </c>
      <c r="V247" s="1" t="s">
        <v>2454</v>
      </c>
      <c r="W247" s="1" t="s">
        <v>5763</v>
      </c>
      <c r="X247" s="1" t="s">
        <v>5764</v>
      </c>
      <c r="Y247" s="1" t="s">
        <v>5765</v>
      </c>
      <c r="Z247" s="1" t="s">
        <v>2713</v>
      </c>
      <c r="AA247" s="1" t="s">
        <v>2088</v>
      </c>
      <c r="AB247" s="1" t="s">
        <v>1480</v>
      </c>
      <c r="AC247" s="1" t="s">
        <v>3326</v>
      </c>
    </row>
    <row r="248" spans="1:29" ht="85.5" x14ac:dyDescent="0.45">
      <c r="A248" s="5" t="s">
        <v>242</v>
      </c>
      <c r="B248" s="2">
        <v>4095936</v>
      </c>
      <c r="C248" s="1" t="s">
        <v>5766</v>
      </c>
      <c r="D248" s="1" t="s">
        <v>5767</v>
      </c>
      <c r="E248" s="1" t="s">
        <v>3901</v>
      </c>
      <c r="F248" s="1" t="s">
        <v>5768</v>
      </c>
      <c r="G248" s="1" t="s">
        <v>5769</v>
      </c>
      <c r="H248" s="1" t="s">
        <v>5770</v>
      </c>
      <c r="I248" s="1" t="s">
        <v>1817</v>
      </c>
      <c r="J248" s="1" t="s">
        <v>554</v>
      </c>
      <c r="K248" s="1" t="s">
        <v>5771</v>
      </c>
      <c r="L248" s="1" t="s">
        <v>3355</v>
      </c>
      <c r="M248" s="1" t="s">
        <v>1604</v>
      </c>
      <c r="N248" s="1" t="s">
        <v>5772</v>
      </c>
      <c r="O248" s="1" t="s">
        <v>1534</v>
      </c>
      <c r="P248" s="1" t="s">
        <v>2125</v>
      </c>
      <c r="Q248" s="1" t="s">
        <v>5773</v>
      </c>
      <c r="R248" s="1" t="s">
        <v>3691</v>
      </c>
      <c r="S248" s="1" t="s">
        <v>928</v>
      </c>
      <c r="T248" s="1" t="s">
        <v>1460</v>
      </c>
      <c r="U248" s="1" t="s">
        <v>3113</v>
      </c>
      <c r="V248" s="1" t="s">
        <v>5774</v>
      </c>
      <c r="W248" s="1" t="s">
        <v>1937</v>
      </c>
      <c r="X248" s="1" t="s">
        <v>3563</v>
      </c>
      <c r="Y248" s="1" t="s">
        <v>1270</v>
      </c>
      <c r="Z248" s="1" t="s">
        <v>5775</v>
      </c>
      <c r="AA248" s="1" t="s">
        <v>1446</v>
      </c>
      <c r="AB248" s="1" t="s">
        <v>5776</v>
      </c>
      <c r="AC248" s="1" t="s">
        <v>4473</v>
      </c>
    </row>
    <row r="249" spans="1:29" ht="42.75" x14ac:dyDescent="0.45">
      <c r="A249" s="5" t="s">
        <v>243</v>
      </c>
      <c r="B249" s="2">
        <v>4057058</v>
      </c>
      <c r="C249" s="1" t="s">
        <v>5777</v>
      </c>
      <c r="D249" s="1" t="s">
        <v>5778</v>
      </c>
      <c r="E249" s="1" t="s">
        <v>2070</v>
      </c>
      <c r="F249" s="1" t="s">
        <v>5779</v>
      </c>
      <c r="G249" s="1" t="s">
        <v>771</v>
      </c>
      <c r="H249" s="1" t="s">
        <v>778</v>
      </c>
      <c r="I249" s="1" t="s">
        <v>3893</v>
      </c>
      <c r="J249" s="1" t="s">
        <v>2092</v>
      </c>
      <c r="K249" s="1" t="s">
        <v>3081</v>
      </c>
      <c r="L249" s="1" t="s">
        <v>5780</v>
      </c>
      <c r="M249" s="1" t="s">
        <v>5152</v>
      </c>
      <c r="N249" s="1" t="s">
        <v>4384</v>
      </c>
      <c r="O249" s="1" t="s">
        <v>5781</v>
      </c>
      <c r="P249" s="1" t="s">
        <v>5782</v>
      </c>
      <c r="Q249" s="1" t="s">
        <v>4079</v>
      </c>
      <c r="R249" s="1" t="s">
        <v>2077</v>
      </c>
      <c r="S249" s="1" t="s">
        <v>2825</v>
      </c>
      <c r="T249" s="1" t="s">
        <v>2092</v>
      </c>
      <c r="U249" s="1" t="s">
        <v>5783</v>
      </c>
      <c r="V249" s="1" t="s">
        <v>5784</v>
      </c>
      <c r="W249" s="1" t="s">
        <v>5785</v>
      </c>
      <c r="X249" s="1" t="s">
        <v>5786</v>
      </c>
      <c r="Y249" s="1" t="s">
        <v>5787</v>
      </c>
      <c r="Z249" s="1" t="s">
        <v>5181</v>
      </c>
      <c r="AA249" s="1" t="s">
        <v>778</v>
      </c>
      <c r="AB249" s="1" t="s">
        <v>5788</v>
      </c>
      <c r="AC249" s="1" t="s">
        <v>5789</v>
      </c>
    </row>
    <row r="250" spans="1:29" ht="42.75" x14ac:dyDescent="0.45">
      <c r="A250" s="5" t="s">
        <v>244</v>
      </c>
      <c r="B250" s="2">
        <v>4156047</v>
      </c>
      <c r="C250" s="1" t="s">
        <v>5790</v>
      </c>
      <c r="D250" s="1" t="s">
        <v>5791</v>
      </c>
      <c r="E250" s="1" t="s">
        <v>5792</v>
      </c>
      <c r="F250" s="1" t="s">
        <v>5793</v>
      </c>
      <c r="G250" s="1" t="s">
        <v>2800</v>
      </c>
      <c r="H250" s="1" t="s">
        <v>5794</v>
      </c>
      <c r="I250" s="1" t="s">
        <v>5795</v>
      </c>
      <c r="J250" s="1" t="s">
        <v>5796</v>
      </c>
      <c r="K250" s="1" t="s">
        <v>5797</v>
      </c>
      <c r="L250" s="1" t="s">
        <v>3896</v>
      </c>
      <c r="M250" s="1" t="s">
        <v>5798</v>
      </c>
      <c r="N250" s="1" t="s">
        <v>5799</v>
      </c>
      <c r="O250" s="1" t="s">
        <v>5800</v>
      </c>
      <c r="P250" s="1" t="s">
        <v>3738</v>
      </c>
      <c r="Q250" s="1" t="s">
        <v>2089</v>
      </c>
      <c r="R250" s="1" t="s">
        <v>5198</v>
      </c>
      <c r="S250" s="1" t="s">
        <v>5801</v>
      </c>
      <c r="T250" s="1" t="s">
        <v>5802</v>
      </c>
      <c r="U250" s="1" t="s">
        <v>3894</v>
      </c>
      <c r="V250" s="1" t="s">
        <v>5803</v>
      </c>
      <c r="W250" s="1" t="s">
        <v>3496</v>
      </c>
      <c r="X250" s="1" t="s">
        <v>5804</v>
      </c>
      <c r="Y250" s="1" t="s">
        <v>5805</v>
      </c>
      <c r="Z250" s="1" t="s">
        <v>4650</v>
      </c>
      <c r="AA250" s="1" t="s">
        <v>2057</v>
      </c>
      <c r="AB250" s="1" t="s">
        <v>5642</v>
      </c>
      <c r="AC250" s="1" t="s">
        <v>5806</v>
      </c>
    </row>
    <row r="251" spans="1:29" ht="42.75" x14ac:dyDescent="0.45">
      <c r="A251" s="5" t="s">
        <v>245</v>
      </c>
      <c r="B251" s="2">
        <v>4004135</v>
      </c>
      <c r="C251" s="1" t="s">
        <v>5807</v>
      </c>
      <c r="D251" s="1" t="s">
        <v>5808</v>
      </c>
      <c r="E251" s="1" t="s">
        <v>5809</v>
      </c>
      <c r="F251" s="1" t="s">
        <v>5810</v>
      </c>
      <c r="G251" s="1" t="s">
        <v>2385</v>
      </c>
      <c r="H251" s="1" t="s">
        <v>5811</v>
      </c>
      <c r="I251" s="1" t="s">
        <v>5812</v>
      </c>
      <c r="J251" s="1" t="s">
        <v>898</v>
      </c>
      <c r="K251" s="1" t="s">
        <v>5813</v>
      </c>
      <c r="L251" s="1" t="s">
        <v>5814</v>
      </c>
      <c r="M251" s="1" t="s">
        <v>5815</v>
      </c>
      <c r="N251" s="1" t="s">
        <v>5816</v>
      </c>
      <c r="O251" s="1" t="s">
        <v>5817</v>
      </c>
      <c r="P251" s="1" t="s">
        <v>5818</v>
      </c>
      <c r="Q251" s="1" t="s">
        <v>5819</v>
      </c>
      <c r="R251" s="1" t="s">
        <v>5820</v>
      </c>
      <c r="S251" s="1" t="s">
        <v>5821</v>
      </c>
      <c r="T251" s="1" t="s">
        <v>5822</v>
      </c>
      <c r="U251" s="1" t="s">
        <v>5823</v>
      </c>
      <c r="V251" s="1" t="s">
        <v>536</v>
      </c>
      <c r="W251" s="1" t="s">
        <v>5824</v>
      </c>
      <c r="X251" s="1" t="s">
        <v>4223</v>
      </c>
      <c r="Y251" s="1" t="s">
        <v>5825</v>
      </c>
      <c r="Z251" s="1" t="s">
        <v>5826</v>
      </c>
      <c r="AA251" s="1" t="s">
        <v>5827</v>
      </c>
      <c r="AB251" s="1" t="s">
        <v>5828</v>
      </c>
      <c r="AC251" s="1" t="s">
        <v>5829</v>
      </c>
    </row>
    <row r="252" spans="1:29" ht="42.75" x14ac:dyDescent="0.45">
      <c r="A252" s="5" t="s">
        <v>246</v>
      </c>
      <c r="B252" s="2">
        <v>4004136</v>
      </c>
      <c r="C252" s="1" t="s">
        <v>5830</v>
      </c>
      <c r="D252" s="1" t="s">
        <v>5831</v>
      </c>
      <c r="E252" s="1" t="s">
        <v>5832</v>
      </c>
      <c r="F252" s="1" t="s">
        <v>5833</v>
      </c>
      <c r="G252" s="1" t="s">
        <v>5834</v>
      </c>
      <c r="H252" s="1" t="s">
        <v>5835</v>
      </c>
      <c r="I252" s="1" t="s">
        <v>5836</v>
      </c>
      <c r="J252" s="1" t="s">
        <v>5837</v>
      </c>
      <c r="K252" s="1" t="s">
        <v>4039</v>
      </c>
      <c r="L252" s="1" t="s">
        <v>5838</v>
      </c>
      <c r="M252" s="1" t="s">
        <v>3151</v>
      </c>
      <c r="N252" s="1" t="s">
        <v>3444</v>
      </c>
      <c r="O252" s="1" t="s">
        <v>3323</v>
      </c>
      <c r="P252" s="1" t="s">
        <v>5839</v>
      </c>
      <c r="Q252" s="1" t="s">
        <v>2453</v>
      </c>
      <c r="R252" s="1" t="s">
        <v>3201</v>
      </c>
      <c r="S252" s="1" t="s">
        <v>3011</v>
      </c>
      <c r="T252" s="1" t="s">
        <v>5840</v>
      </c>
      <c r="U252" s="1" t="s">
        <v>5841</v>
      </c>
      <c r="V252" s="1" t="s">
        <v>5842</v>
      </c>
      <c r="W252" s="1" t="s">
        <v>764</v>
      </c>
      <c r="X252" s="1" t="s">
        <v>5843</v>
      </c>
      <c r="Y252" s="1" t="s">
        <v>2705</v>
      </c>
      <c r="Z252" s="1" t="s">
        <v>5844</v>
      </c>
      <c r="AA252" s="1" t="s">
        <v>3636</v>
      </c>
      <c r="AB252" s="1" t="s">
        <v>4075</v>
      </c>
      <c r="AC252" s="1" t="s">
        <v>2854</v>
      </c>
    </row>
    <row r="253" spans="1:29" ht="42.75" x14ac:dyDescent="0.45">
      <c r="A253" s="5" t="s">
        <v>247</v>
      </c>
      <c r="B253" s="2">
        <v>103323</v>
      </c>
      <c r="C253" s="1" t="s">
        <v>5845</v>
      </c>
      <c r="D253" s="1" t="s">
        <v>5846</v>
      </c>
      <c r="E253" s="1" t="s">
        <v>1324</v>
      </c>
      <c r="F253" s="1" t="s">
        <v>1539</v>
      </c>
      <c r="G253" s="1" t="s">
        <v>983</v>
      </c>
      <c r="H253" s="1" t="s">
        <v>5847</v>
      </c>
      <c r="I253" s="1" t="s">
        <v>5848</v>
      </c>
      <c r="J253" s="1" t="s">
        <v>4906</v>
      </c>
      <c r="K253" s="1" t="s">
        <v>5849</v>
      </c>
      <c r="L253" s="1" t="s">
        <v>5850</v>
      </c>
      <c r="M253" s="1" t="s">
        <v>5851</v>
      </c>
      <c r="N253" s="1" t="s">
        <v>5675</v>
      </c>
      <c r="O253" s="1" t="s">
        <v>5852</v>
      </c>
      <c r="P253" s="1" t="s">
        <v>5853</v>
      </c>
      <c r="Q253" s="1" t="s">
        <v>3211</v>
      </c>
      <c r="R253" s="1" t="s">
        <v>5854</v>
      </c>
      <c r="S253" s="1" t="s">
        <v>5855</v>
      </c>
      <c r="T253" s="1" t="s">
        <v>5856</v>
      </c>
      <c r="U253" s="1" t="s">
        <v>5857</v>
      </c>
      <c r="V253" s="1" t="s">
        <v>5858</v>
      </c>
      <c r="W253" s="1" t="s">
        <v>5859</v>
      </c>
      <c r="X253" s="1" t="s">
        <v>5860</v>
      </c>
      <c r="Y253" s="1" t="s">
        <v>5861</v>
      </c>
      <c r="Z253" s="1" t="s">
        <v>5862</v>
      </c>
      <c r="AA253" s="1" t="s">
        <v>5863</v>
      </c>
      <c r="AB253" s="1" t="s">
        <v>5864</v>
      </c>
      <c r="AC253" s="1" t="s">
        <v>5865</v>
      </c>
    </row>
    <row r="254" spans="1:29" ht="71.25" x14ac:dyDescent="0.45">
      <c r="A254" s="5" t="s">
        <v>248</v>
      </c>
      <c r="B254" s="2">
        <v>4073448</v>
      </c>
      <c r="C254" s="1" t="s">
        <v>5866</v>
      </c>
      <c r="D254" s="1" t="s">
        <v>5867</v>
      </c>
      <c r="E254" s="1" t="s">
        <v>514</v>
      </c>
      <c r="F254" s="1" t="s">
        <v>5868</v>
      </c>
      <c r="G254" s="1" t="s">
        <v>5869</v>
      </c>
      <c r="H254" s="1" t="s">
        <v>5870</v>
      </c>
      <c r="I254" s="1" t="s">
        <v>5871</v>
      </c>
      <c r="J254" s="1" t="s">
        <v>5872</v>
      </c>
      <c r="K254" s="1" t="s">
        <v>5873</v>
      </c>
      <c r="L254" s="1" t="s">
        <v>5874</v>
      </c>
      <c r="M254" s="1" t="s">
        <v>5875</v>
      </c>
      <c r="N254" s="1" t="s">
        <v>5876</v>
      </c>
      <c r="O254" s="1" t="s">
        <v>5877</v>
      </c>
      <c r="P254" s="1" t="s">
        <v>641</v>
      </c>
      <c r="Q254" s="1" t="s">
        <v>4860</v>
      </c>
      <c r="R254" s="1" t="s">
        <v>4806</v>
      </c>
      <c r="S254" s="1" t="s">
        <v>5878</v>
      </c>
      <c r="T254" s="1" t="s">
        <v>5879</v>
      </c>
      <c r="U254" s="1" t="s">
        <v>5880</v>
      </c>
      <c r="V254" s="1" t="s">
        <v>5881</v>
      </c>
      <c r="W254" s="1" t="s">
        <v>5882</v>
      </c>
      <c r="X254" s="1" t="s">
        <v>5883</v>
      </c>
      <c r="Y254" s="1" t="s">
        <v>5884</v>
      </c>
      <c r="Z254" s="1" t="s">
        <v>5885</v>
      </c>
      <c r="AA254" s="1" t="s">
        <v>5478</v>
      </c>
      <c r="AB254" s="1" t="s">
        <v>5481</v>
      </c>
      <c r="AC254" s="1" t="s">
        <v>5886</v>
      </c>
    </row>
    <row r="255" spans="1:29" ht="57" x14ac:dyDescent="0.45">
      <c r="A255" s="5" t="s">
        <v>249</v>
      </c>
      <c r="B255" s="2">
        <v>4402486</v>
      </c>
      <c r="C255" s="1" t="s">
        <v>5887</v>
      </c>
      <c r="D255" s="1" t="s">
        <v>5888</v>
      </c>
      <c r="E255" s="1" t="s">
        <v>514</v>
      </c>
      <c r="F255" s="1" t="s">
        <v>5889</v>
      </c>
      <c r="G255" s="1" t="s">
        <v>1068</v>
      </c>
      <c r="H255" s="1" t="s">
        <v>3022</v>
      </c>
      <c r="I255" s="1" t="s">
        <v>5890</v>
      </c>
      <c r="J255" s="1" t="s">
        <v>5891</v>
      </c>
      <c r="K255" s="1" t="s">
        <v>4351</v>
      </c>
      <c r="L255" s="1" t="s">
        <v>658</v>
      </c>
      <c r="M255" s="1" t="s">
        <v>3975</v>
      </c>
      <c r="N255" s="1" t="s">
        <v>3258</v>
      </c>
      <c r="O255" s="1" t="s">
        <v>1470</v>
      </c>
      <c r="P255" s="1" t="s">
        <v>1193</v>
      </c>
      <c r="Q255" s="1" t="s">
        <v>5892</v>
      </c>
      <c r="R255" s="1" t="s">
        <v>5082</v>
      </c>
      <c r="S255" s="1" t="s">
        <v>5893</v>
      </c>
      <c r="T255" s="1" t="s">
        <v>2994</v>
      </c>
      <c r="U255" s="1" t="s">
        <v>1339</v>
      </c>
      <c r="V255" s="1" t="s">
        <v>3874</v>
      </c>
      <c r="W255" s="1" t="s">
        <v>2886</v>
      </c>
      <c r="X255" s="1" t="s">
        <v>4139</v>
      </c>
      <c r="Y255" s="1" t="s">
        <v>3354</v>
      </c>
      <c r="Z255" s="1" t="s">
        <v>5894</v>
      </c>
      <c r="AA255" s="1" t="s">
        <v>2489</v>
      </c>
      <c r="AB255" s="1" t="s">
        <v>2521</v>
      </c>
      <c r="AC255" s="1" t="s">
        <v>5894</v>
      </c>
    </row>
    <row r="256" spans="1:29" ht="57" x14ac:dyDescent="0.45">
      <c r="A256" s="5" t="s">
        <v>250</v>
      </c>
      <c r="B256" s="2">
        <v>4071032</v>
      </c>
      <c r="C256" s="1" t="s">
        <v>5895</v>
      </c>
      <c r="D256" s="1" t="s">
        <v>5896</v>
      </c>
      <c r="E256" s="1" t="s">
        <v>4856</v>
      </c>
      <c r="F256" s="1" t="s">
        <v>5897</v>
      </c>
      <c r="G256" s="1" t="s">
        <v>5050</v>
      </c>
      <c r="H256" s="1" t="s">
        <v>3997</v>
      </c>
      <c r="I256" s="1" t="s">
        <v>5898</v>
      </c>
      <c r="J256" s="1" t="s">
        <v>5899</v>
      </c>
      <c r="K256" s="1" t="s">
        <v>5900</v>
      </c>
      <c r="L256" s="1" t="s">
        <v>5901</v>
      </c>
      <c r="M256" s="1" t="s">
        <v>3522</v>
      </c>
      <c r="N256" s="1" t="s">
        <v>3003</v>
      </c>
      <c r="O256" s="1" t="s">
        <v>5902</v>
      </c>
      <c r="P256" s="1" t="s">
        <v>5903</v>
      </c>
      <c r="Q256" s="1" t="s">
        <v>5904</v>
      </c>
      <c r="R256" s="1" t="s">
        <v>5905</v>
      </c>
      <c r="S256" s="1" t="s">
        <v>5906</v>
      </c>
      <c r="T256" s="1" t="s">
        <v>5907</v>
      </c>
      <c r="U256" s="1" t="s">
        <v>5908</v>
      </c>
      <c r="V256" s="1" t="s">
        <v>5909</v>
      </c>
      <c r="W256" s="1" t="s">
        <v>3999</v>
      </c>
      <c r="X256" s="1" t="s">
        <v>5910</v>
      </c>
      <c r="Y256" s="1" t="s">
        <v>4000</v>
      </c>
      <c r="Z256" s="1" t="s">
        <v>5911</v>
      </c>
      <c r="AA256" s="1" t="s">
        <v>5644</v>
      </c>
      <c r="AB256" s="1" t="s">
        <v>4101</v>
      </c>
      <c r="AC256" s="1" t="s">
        <v>4193</v>
      </c>
    </row>
    <row r="257" spans="1:29" ht="71.25" x14ac:dyDescent="0.45">
      <c r="A257" s="5" t="s">
        <v>251</v>
      </c>
      <c r="B257" s="2">
        <v>4070114</v>
      </c>
      <c r="C257" s="1" t="s">
        <v>5912</v>
      </c>
      <c r="D257" s="1" t="s">
        <v>5913</v>
      </c>
      <c r="E257" s="1" t="s">
        <v>3821</v>
      </c>
      <c r="F257" s="1" t="s">
        <v>5240</v>
      </c>
      <c r="G257" s="1" t="s">
        <v>5859</v>
      </c>
      <c r="H257" s="1" t="s">
        <v>1806</v>
      </c>
      <c r="I257" s="1" t="s">
        <v>4368</v>
      </c>
      <c r="J257" s="1" t="s">
        <v>2208</v>
      </c>
      <c r="K257" s="1" t="s">
        <v>5914</v>
      </c>
      <c r="L257" s="1" t="s">
        <v>1488</v>
      </c>
      <c r="M257" s="1" t="s">
        <v>2804</v>
      </c>
      <c r="N257" s="1" t="s">
        <v>5915</v>
      </c>
      <c r="O257" s="1" t="s">
        <v>5916</v>
      </c>
      <c r="P257" s="1" t="s">
        <v>5641</v>
      </c>
      <c r="Q257" s="1" t="s">
        <v>2057</v>
      </c>
      <c r="R257" s="1" t="s">
        <v>3040</v>
      </c>
      <c r="S257" s="1" t="s">
        <v>5917</v>
      </c>
      <c r="T257" s="1" t="s">
        <v>5918</v>
      </c>
      <c r="U257" s="1" t="s">
        <v>5919</v>
      </c>
      <c r="V257" s="1" t="s">
        <v>1371</v>
      </c>
      <c r="W257" s="1" t="s">
        <v>5920</v>
      </c>
      <c r="X257" s="1" t="s">
        <v>5921</v>
      </c>
      <c r="Y257" s="1" t="s">
        <v>5922</v>
      </c>
      <c r="Z257" s="1" t="s">
        <v>4687</v>
      </c>
      <c r="AA257" s="1" t="s">
        <v>3568</v>
      </c>
      <c r="AB257" s="1" t="s">
        <v>3071</v>
      </c>
      <c r="AC257" s="1" t="s">
        <v>5923</v>
      </c>
    </row>
    <row r="258" spans="1:29" ht="57" x14ac:dyDescent="0.45">
      <c r="A258" s="5" t="s">
        <v>252</v>
      </c>
      <c r="B258" s="2">
        <v>103383</v>
      </c>
      <c r="C258" s="1" t="s">
        <v>5924</v>
      </c>
      <c r="D258" s="1" t="s">
        <v>5925</v>
      </c>
      <c r="E258" s="1" t="s">
        <v>1250</v>
      </c>
      <c r="F258" s="1" t="s">
        <v>3250</v>
      </c>
      <c r="G258" s="1" t="s">
        <v>5926</v>
      </c>
      <c r="H258" s="1" t="s">
        <v>3136</v>
      </c>
      <c r="I258" s="1" t="s">
        <v>5927</v>
      </c>
      <c r="J258" s="1" t="s">
        <v>5284</v>
      </c>
      <c r="K258" s="1" t="s">
        <v>5928</v>
      </c>
      <c r="L258" s="1" t="s">
        <v>5929</v>
      </c>
      <c r="M258" s="1" t="s">
        <v>5930</v>
      </c>
      <c r="N258" s="1" t="s">
        <v>2079</v>
      </c>
      <c r="O258" s="1" t="s">
        <v>5931</v>
      </c>
      <c r="P258" s="1" t="s">
        <v>3219</v>
      </c>
      <c r="Q258" s="1" t="s">
        <v>1480</v>
      </c>
      <c r="R258" s="1" t="s">
        <v>587</v>
      </c>
      <c r="S258" s="1" t="s">
        <v>1199</v>
      </c>
      <c r="T258" s="1" t="s">
        <v>3373</v>
      </c>
      <c r="U258" s="1" t="s">
        <v>5932</v>
      </c>
      <c r="V258" s="1" t="s">
        <v>5933</v>
      </c>
      <c r="W258" s="1" t="s">
        <v>5934</v>
      </c>
      <c r="X258" s="1" t="s">
        <v>5935</v>
      </c>
      <c r="Y258" s="1" t="s">
        <v>5936</v>
      </c>
      <c r="Z258" s="1" t="s">
        <v>3455</v>
      </c>
      <c r="AA258" s="1" t="s">
        <v>5581</v>
      </c>
      <c r="AB258" s="1" t="s">
        <v>5937</v>
      </c>
      <c r="AC258" s="1" t="s">
        <v>5938</v>
      </c>
    </row>
    <row r="259" spans="1:29" ht="57" x14ac:dyDescent="0.45">
      <c r="A259" s="5" t="s">
        <v>253</v>
      </c>
      <c r="B259" s="2">
        <v>102965</v>
      </c>
      <c r="C259" s="1" t="s">
        <v>5939</v>
      </c>
      <c r="D259" s="1" t="s">
        <v>5940</v>
      </c>
      <c r="E259" s="1" t="s">
        <v>2147</v>
      </c>
      <c r="F259" s="1" t="s">
        <v>2438</v>
      </c>
      <c r="G259" s="1" t="s">
        <v>5941</v>
      </c>
      <c r="H259" s="1" t="s">
        <v>5942</v>
      </c>
      <c r="I259" s="1" t="s">
        <v>2412</v>
      </c>
      <c r="J259" s="1" t="s">
        <v>5943</v>
      </c>
      <c r="K259" s="1" t="s">
        <v>5944</v>
      </c>
      <c r="L259" s="1" t="s">
        <v>5945</v>
      </c>
      <c r="M259" s="1" t="s">
        <v>5581</v>
      </c>
      <c r="N259" s="1" t="s">
        <v>5946</v>
      </c>
      <c r="O259" s="1" t="s">
        <v>5947</v>
      </c>
      <c r="P259" s="1" t="s">
        <v>5948</v>
      </c>
      <c r="Q259" s="1" t="s">
        <v>2338</v>
      </c>
      <c r="R259" s="1" t="s">
        <v>2861</v>
      </c>
      <c r="S259" s="1" t="s">
        <v>5949</v>
      </c>
      <c r="T259" s="1" t="s">
        <v>5942</v>
      </c>
      <c r="U259" s="1" t="s">
        <v>1159</v>
      </c>
      <c r="V259" s="1" t="s">
        <v>853</v>
      </c>
      <c r="W259" s="1" t="s">
        <v>5950</v>
      </c>
      <c r="X259" s="1" t="s">
        <v>5951</v>
      </c>
      <c r="Y259" s="1" t="s">
        <v>5952</v>
      </c>
      <c r="Z259" s="1" t="s">
        <v>5749</v>
      </c>
      <c r="AA259" s="1" t="s">
        <v>5953</v>
      </c>
      <c r="AB259" s="1" t="s">
        <v>5954</v>
      </c>
      <c r="AC259" s="1" t="s">
        <v>5955</v>
      </c>
    </row>
    <row r="260" spans="1:29" ht="42.75" x14ac:dyDescent="0.45">
      <c r="A260" s="5" t="s">
        <v>254</v>
      </c>
      <c r="B260" s="2">
        <v>4057757</v>
      </c>
      <c r="C260" s="1" t="s">
        <v>5956</v>
      </c>
      <c r="D260" s="1" t="s">
        <v>5957</v>
      </c>
      <c r="E260" s="1" t="s">
        <v>2797</v>
      </c>
      <c r="F260" s="1" t="s">
        <v>3474</v>
      </c>
      <c r="G260" s="1" t="s">
        <v>3405</v>
      </c>
      <c r="H260" s="1" t="s">
        <v>5958</v>
      </c>
      <c r="I260" s="1" t="s">
        <v>5959</v>
      </c>
      <c r="J260" s="1" t="s">
        <v>4055</v>
      </c>
      <c r="K260" s="1" t="s">
        <v>5596</v>
      </c>
      <c r="L260" s="1" t="s">
        <v>4562</v>
      </c>
      <c r="M260" s="1" t="s">
        <v>5710</v>
      </c>
      <c r="N260" s="1" t="s">
        <v>5348</v>
      </c>
      <c r="O260" s="1" t="s">
        <v>5960</v>
      </c>
      <c r="P260" s="1" t="s">
        <v>5711</v>
      </c>
      <c r="Q260" s="1" t="s">
        <v>5961</v>
      </c>
      <c r="R260" s="1" t="s">
        <v>1875</v>
      </c>
      <c r="S260" s="1" t="s">
        <v>842</v>
      </c>
      <c r="T260" s="1" t="s">
        <v>5962</v>
      </c>
      <c r="U260" s="1" t="s">
        <v>5603</v>
      </c>
      <c r="V260" s="1" t="s">
        <v>2563</v>
      </c>
      <c r="W260" s="1" t="s">
        <v>5447</v>
      </c>
      <c r="X260" s="1" t="s">
        <v>5963</v>
      </c>
      <c r="Y260" s="1" t="s">
        <v>1887</v>
      </c>
      <c r="Z260" s="1" t="s">
        <v>5964</v>
      </c>
      <c r="AA260" s="1" t="s">
        <v>1564</v>
      </c>
      <c r="AB260" s="1" t="s">
        <v>5965</v>
      </c>
      <c r="AC260" s="1" t="s">
        <v>5966</v>
      </c>
    </row>
    <row r="261" spans="1:29" ht="71.25" x14ac:dyDescent="0.45">
      <c r="A261" s="5" t="s">
        <v>255</v>
      </c>
      <c r="B261" s="2">
        <v>4992018</v>
      </c>
      <c r="C261" s="1" t="s">
        <v>5967</v>
      </c>
      <c r="D261" s="1" t="s">
        <v>5968</v>
      </c>
      <c r="E261" s="1" t="s">
        <v>4911</v>
      </c>
      <c r="F261" s="1" t="s">
        <v>5969</v>
      </c>
      <c r="G261" s="1" t="s">
        <v>5970</v>
      </c>
      <c r="H261" s="1" t="s">
        <v>4227</v>
      </c>
      <c r="I261" s="1" t="s">
        <v>5971</v>
      </c>
      <c r="J261" s="1" t="s">
        <v>5972</v>
      </c>
      <c r="K261" s="1" t="s">
        <v>5973</v>
      </c>
      <c r="L261" s="1" t="s">
        <v>5974</v>
      </c>
      <c r="M261" s="1" t="s">
        <v>1608</v>
      </c>
      <c r="N261" s="1" t="s">
        <v>4664</v>
      </c>
      <c r="O261" s="1" t="s">
        <v>5975</v>
      </c>
      <c r="P261" s="1" t="s">
        <v>5976</v>
      </c>
      <c r="Q261" s="1" t="s">
        <v>1982</v>
      </c>
      <c r="R261" s="1" t="s">
        <v>5977</v>
      </c>
      <c r="S261" s="1" t="s">
        <v>5978</v>
      </c>
      <c r="T261" s="1" t="s">
        <v>5979</v>
      </c>
      <c r="U261" s="1" t="s">
        <v>1513</v>
      </c>
      <c r="V261" s="1" t="s">
        <v>870</v>
      </c>
      <c r="W261" s="1" t="s">
        <v>5980</v>
      </c>
      <c r="X261" s="1" t="s">
        <v>5981</v>
      </c>
      <c r="Y261" s="1" t="s">
        <v>4988</v>
      </c>
      <c r="Z261" s="1" t="s">
        <v>5981</v>
      </c>
      <c r="AA261" s="1" t="s">
        <v>5982</v>
      </c>
      <c r="AB261" s="1" t="s">
        <v>5983</v>
      </c>
      <c r="AC261" s="1" t="s">
        <v>5984</v>
      </c>
    </row>
    <row r="262" spans="1:29" ht="42.75" x14ac:dyDescent="0.45">
      <c r="A262" s="5" t="s">
        <v>256</v>
      </c>
      <c r="B262" s="2">
        <v>4379438</v>
      </c>
      <c r="C262" s="1" t="s">
        <v>5985</v>
      </c>
      <c r="D262" s="1" t="s">
        <v>5986</v>
      </c>
      <c r="E262" s="1" t="s">
        <v>3901</v>
      </c>
      <c r="F262" s="1" t="s">
        <v>3727</v>
      </c>
      <c r="G262" s="1" t="s">
        <v>5987</v>
      </c>
      <c r="H262" s="1" t="s">
        <v>5988</v>
      </c>
      <c r="I262" s="1" t="s">
        <v>5989</v>
      </c>
      <c r="J262" s="1" t="s">
        <v>5990</v>
      </c>
      <c r="K262" s="1" t="s">
        <v>5991</v>
      </c>
      <c r="L262" s="1" t="s">
        <v>5992</v>
      </c>
      <c r="M262" s="1" t="s">
        <v>5993</v>
      </c>
      <c r="N262" s="1" t="s">
        <v>5994</v>
      </c>
      <c r="O262" s="1" t="s">
        <v>5995</v>
      </c>
      <c r="P262" s="1" t="s">
        <v>5996</v>
      </c>
      <c r="Q262" s="1" t="s">
        <v>5997</v>
      </c>
      <c r="R262" s="1" t="s">
        <v>5998</v>
      </c>
      <c r="S262" s="1" t="s">
        <v>5999</v>
      </c>
      <c r="T262" s="1" t="s">
        <v>5457</v>
      </c>
      <c r="U262" s="1" t="s">
        <v>6000</v>
      </c>
      <c r="V262" s="1" t="s">
        <v>6001</v>
      </c>
      <c r="W262" s="1" t="s">
        <v>6002</v>
      </c>
      <c r="X262" s="1" t="s">
        <v>6003</v>
      </c>
      <c r="Y262" s="1" t="s">
        <v>6004</v>
      </c>
      <c r="Z262" s="1" t="s">
        <v>6005</v>
      </c>
      <c r="AA262" s="1" t="s">
        <v>6006</v>
      </c>
      <c r="AB262" s="1" t="s">
        <v>4938</v>
      </c>
      <c r="AC262" s="1" t="s">
        <v>6007</v>
      </c>
    </row>
    <row r="263" spans="1:29" ht="28.5" x14ac:dyDescent="0.45">
      <c r="A263" s="5" t="s">
        <v>257</v>
      </c>
      <c r="B263" s="2">
        <v>4004236</v>
      </c>
      <c r="C263" s="1" t="s">
        <v>6008</v>
      </c>
      <c r="D263" s="1" t="s">
        <v>6009</v>
      </c>
      <c r="E263" s="1" t="s">
        <v>2724</v>
      </c>
      <c r="F263" s="1" t="s">
        <v>6010</v>
      </c>
      <c r="G263" s="1" t="s">
        <v>6011</v>
      </c>
      <c r="H263" s="1" t="s">
        <v>2810</v>
      </c>
      <c r="I263" s="1" t="s">
        <v>4920</v>
      </c>
      <c r="J263" s="1" t="s">
        <v>6012</v>
      </c>
      <c r="K263" s="1" t="s">
        <v>6013</v>
      </c>
      <c r="L263" s="1" t="s">
        <v>4681</v>
      </c>
      <c r="M263" s="1" t="s">
        <v>6014</v>
      </c>
      <c r="N263" s="1" t="s">
        <v>6015</v>
      </c>
      <c r="O263" s="1" t="s">
        <v>6016</v>
      </c>
      <c r="P263" s="1" t="s">
        <v>6017</v>
      </c>
      <c r="Q263" s="1" t="s">
        <v>2998</v>
      </c>
      <c r="R263" s="1" t="s">
        <v>6018</v>
      </c>
      <c r="S263" s="1" t="s">
        <v>6019</v>
      </c>
      <c r="T263" s="1" t="s">
        <v>4352</v>
      </c>
      <c r="U263" s="1" t="s">
        <v>6020</v>
      </c>
      <c r="V263" s="1" t="s">
        <v>6021</v>
      </c>
      <c r="W263" s="1" t="s">
        <v>5255</v>
      </c>
      <c r="X263" s="1" t="s">
        <v>2209</v>
      </c>
      <c r="Y263" s="1" t="s">
        <v>6022</v>
      </c>
      <c r="Z263" s="1" t="s">
        <v>6023</v>
      </c>
      <c r="AA263" s="1" t="s">
        <v>6024</v>
      </c>
      <c r="AB263" s="1" t="s">
        <v>6025</v>
      </c>
      <c r="AC263" s="1" t="s">
        <v>6026</v>
      </c>
    </row>
    <row r="264" spans="1:29" ht="42.75" x14ac:dyDescent="0.45">
      <c r="A264" s="5" t="s">
        <v>258</v>
      </c>
      <c r="B264" s="2">
        <v>100201</v>
      </c>
      <c r="C264" s="1" t="s">
        <v>6027</v>
      </c>
      <c r="D264" s="1" t="s">
        <v>6028</v>
      </c>
      <c r="E264" s="1" t="s">
        <v>3058</v>
      </c>
      <c r="F264" s="1" t="s">
        <v>6029</v>
      </c>
      <c r="G264" s="1" t="s">
        <v>1735</v>
      </c>
      <c r="H264" s="1" t="s">
        <v>6030</v>
      </c>
      <c r="I264" s="1" t="s">
        <v>6031</v>
      </c>
      <c r="J264" s="1" t="s">
        <v>6032</v>
      </c>
      <c r="K264" s="1" t="s">
        <v>6033</v>
      </c>
      <c r="L264" s="1" t="s">
        <v>5271</v>
      </c>
      <c r="M264" s="1" t="s">
        <v>6034</v>
      </c>
      <c r="N264" s="1" t="s">
        <v>6035</v>
      </c>
      <c r="O264" s="1" t="s">
        <v>5861</v>
      </c>
      <c r="P264" s="1" t="s">
        <v>6036</v>
      </c>
      <c r="Q264" s="1" t="s">
        <v>6037</v>
      </c>
      <c r="R264" s="1" t="s">
        <v>5244</v>
      </c>
      <c r="S264" s="1" t="s">
        <v>2130</v>
      </c>
      <c r="T264" s="1" t="s">
        <v>6038</v>
      </c>
      <c r="U264" s="1" t="s">
        <v>6039</v>
      </c>
      <c r="V264" s="1" t="s">
        <v>3258</v>
      </c>
      <c r="W264" s="1" t="s">
        <v>792</v>
      </c>
      <c r="X264" s="1" t="s">
        <v>6040</v>
      </c>
      <c r="Y264" s="1" t="s">
        <v>6041</v>
      </c>
      <c r="Z264" s="1" t="s">
        <v>2136</v>
      </c>
      <c r="AA264" s="1" t="s">
        <v>6042</v>
      </c>
      <c r="AB264" s="1" t="s">
        <v>6043</v>
      </c>
      <c r="AC264" s="1" t="s">
        <v>5898</v>
      </c>
    </row>
    <row r="265" spans="1:29" ht="71.25" x14ac:dyDescent="0.45">
      <c r="A265" s="5" t="s">
        <v>259</v>
      </c>
      <c r="B265" s="2">
        <v>4276678</v>
      </c>
      <c r="C265" s="1" t="s">
        <v>6044</v>
      </c>
      <c r="D265" s="1" t="s">
        <v>6045</v>
      </c>
      <c r="E265" s="1" t="s">
        <v>3883</v>
      </c>
      <c r="F265" s="1" t="s">
        <v>3863</v>
      </c>
      <c r="G265" s="1" t="s">
        <v>6046</v>
      </c>
      <c r="H265" s="1" t="s">
        <v>4108</v>
      </c>
      <c r="I265" s="1" t="s">
        <v>6047</v>
      </c>
      <c r="J265" s="1" t="s">
        <v>6048</v>
      </c>
      <c r="K265" s="1" t="s">
        <v>4106</v>
      </c>
      <c r="L265" s="1" t="s">
        <v>6049</v>
      </c>
      <c r="M265" s="1" t="s">
        <v>3787</v>
      </c>
      <c r="N265" s="1" t="s">
        <v>6050</v>
      </c>
      <c r="O265" s="1" t="s">
        <v>2844</v>
      </c>
      <c r="P265" s="1" t="s">
        <v>6051</v>
      </c>
      <c r="Q265" s="1" t="s">
        <v>6052</v>
      </c>
      <c r="R265" s="1" t="s">
        <v>6053</v>
      </c>
      <c r="S265" s="1" t="s">
        <v>6054</v>
      </c>
      <c r="T265" s="1" t="s">
        <v>6036</v>
      </c>
      <c r="U265" s="1" t="s">
        <v>6055</v>
      </c>
      <c r="V265" s="1" t="s">
        <v>6056</v>
      </c>
      <c r="W265" s="1" t="s">
        <v>6057</v>
      </c>
      <c r="X265" s="1" t="s">
        <v>1724</v>
      </c>
      <c r="Y265" s="1" t="s">
        <v>4275</v>
      </c>
      <c r="Z265" s="1" t="s">
        <v>6058</v>
      </c>
      <c r="AA265" s="1" t="s">
        <v>6059</v>
      </c>
      <c r="AB265" s="1" t="s">
        <v>6060</v>
      </c>
      <c r="AC265" s="1" t="s">
        <v>6061</v>
      </c>
    </row>
    <row r="266" spans="1:29" ht="85.5" x14ac:dyDescent="0.45">
      <c r="A266" s="5" t="s">
        <v>260</v>
      </c>
      <c r="B266" s="2">
        <v>4965854</v>
      </c>
      <c r="C266" s="1" t="s">
        <v>6062</v>
      </c>
      <c r="D266" s="1" t="s">
        <v>6063</v>
      </c>
      <c r="E266" s="1" t="s">
        <v>2390</v>
      </c>
      <c r="F266" s="1" t="s">
        <v>6064</v>
      </c>
      <c r="G266" s="1" t="s">
        <v>6065</v>
      </c>
      <c r="H266" s="1" t="s">
        <v>1658</v>
      </c>
      <c r="I266" s="1" t="s">
        <v>2816</v>
      </c>
      <c r="J266" s="1" t="s">
        <v>6066</v>
      </c>
      <c r="K266" s="1" t="s">
        <v>5289</v>
      </c>
      <c r="L266" s="1" t="s">
        <v>6067</v>
      </c>
      <c r="M266" s="1" t="s">
        <v>6068</v>
      </c>
      <c r="N266" s="1" t="s">
        <v>6069</v>
      </c>
      <c r="O266" s="1" t="s">
        <v>4386</v>
      </c>
      <c r="P266" s="1" t="s">
        <v>5838</v>
      </c>
      <c r="Q266" s="1" t="s">
        <v>5282</v>
      </c>
      <c r="R266" s="1" t="s">
        <v>2090</v>
      </c>
      <c r="S266" s="1" t="s">
        <v>6070</v>
      </c>
      <c r="T266" s="1" t="s">
        <v>2588</v>
      </c>
      <c r="U266" s="1" t="s">
        <v>2638</v>
      </c>
      <c r="V266" s="1" t="s">
        <v>1380</v>
      </c>
      <c r="W266" s="1" t="s">
        <v>774</v>
      </c>
      <c r="X266" s="1" t="s">
        <v>3376</v>
      </c>
      <c r="Y266" s="1" t="s">
        <v>1213</v>
      </c>
      <c r="Z266" s="1" t="s">
        <v>3100</v>
      </c>
      <c r="AA266" s="1" t="s">
        <v>6071</v>
      </c>
      <c r="AB266" s="1" t="s">
        <v>4169</v>
      </c>
      <c r="AC266" s="1" t="s">
        <v>3364</v>
      </c>
    </row>
    <row r="267" spans="1:29" ht="57" x14ac:dyDescent="0.45">
      <c r="A267" s="5" t="s">
        <v>261</v>
      </c>
      <c r="B267" s="2">
        <v>4091145</v>
      </c>
      <c r="C267" s="1" t="s">
        <v>6072</v>
      </c>
      <c r="D267" s="1" t="s">
        <v>6073</v>
      </c>
      <c r="E267" s="1" t="s">
        <v>6074</v>
      </c>
      <c r="F267" s="1" t="s">
        <v>660</v>
      </c>
      <c r="G267" s="1" t="s">
        <v>6075</v>
      </c>
      <c r="H267" s="1" t="s">
        <v>3320</v>
      </c>
      <c r="I267" s="1" t="s">
        <v>6076</v>
      </c>
      <c r="J267" s="1" t="s">
        <v>1348</v>
      </c>
      <c r="K267" s="1" t="s">
        <v>6077</v>
      </c>
      <c r="L267" s="1" t="s">
        <v>6078</v>
      </c>
      <c r="M267" s="1" t="s">
        <v>6079</v>
      </c>
      <c r="N267" s="1" t="s">
        <v>3390</v>
      </c>
      <c r="O267" s="1" t="s">
        <v>3250</v>
      </c>
      <c r="P267" s="1" t="s">
        <v>6067</v>
      </c>
      <c r="Q267" s="1" t="s">
        <v>2452</v>
      </c>
      <c r="R267" s="1" t="s">
        <v>3130</v>
      </c>
      <c r="S267" s="1" t="s">
        <v>6080</v>
      </c>
      <c r="T267" s="1" t="s">
        <v>6081</v>
      </c>
      <c r="U267" s="1" t="s">
        <v>6082</v>
      </c>
      <c r="V267" s="1" t="s">
        <v>4900</v>
      </c>
      <c r="W267" s="1" t="s">
        <v>6083</v>
      </c>
      <c r="X267" s="1" t="s">
        <v>1335</v>
      </c>
      <c r="Y267" s="1" t="s">
        <v>3440</v>
      </c>
      <c r="Z267" s="1" t="s">
        <v>5788</v>
      </c>
      <c r="AA267" s="1" t="s">
        <v>6084</v>
      </c>
      <c r="AB267" s="1" t="s">
        <v>4040</v>
      </c>
      <c r="AC267" s="1" t="s">
        <v>4494</v>
      </c>
    </row>
    <row r="268" spans="1:29" ht="57" x14ac:dyDescent="0.45">
      <c r="A268" s="5" t="s">
        <v>262</v>
      </c>
      <c r="B268" s="2">
        <v>4057229</v>
      </c>
      <c r="C268" s="1" t="s">
        <v>6085</v>
      </c>
      <c r="D268" s="1" t="s">
        <v>6086</v>
      </c>
      <c r="E268" s="1" t="s">
        <v>2629</v>
      </c>
      <c r="F268" s="1" t="s">
        <v>6087</v>
      </c>
      <c r="G268" s="1" t="s">
        <v>6088</v>
      </c>
      <c r="H268" s="1" t="s">
        <v>6089</v>
      </c>
      <c r="I268" s="1" t="s">
        <v>3995</v>
      </c>
      <c r="J268" s="1" t="s">
        <v>1397</v>
      </c>
      <c r="K268" s="1" t="s">
        <v>3074</v>
      </c>
      <c r="L268" s="1" t="s">
        <v>4191</v>
      </c>
      <c r="M268" s="1" t="s">
        <v>6090</v>
      </c>
      <c r="N268" s="1" t="s">
        <v>6091</v>
      </c>
      <c r="O268" s="1" t="s">
        <v>6092</v>
      </c>
      <c r="P268" s="1" t="s">
        <v>6024</v>
      </c>
      <c r="Q268" s="1" t="s">
        <v>3568</v>
      </c>
      <c r="R268" s="1" t="s">
        <v>3634</v>
      </c>
      <c r="S268" s="1" t="s">
        <v>6093</v>
      </c>
      <c r="T268" s="1" t="s">
        <v>1043</v>
      </c>
      <c r="U268" s="1" t="s">
        <v>6066</v>
      </c>
      <c r="V268" s="1" t="s">
        <v>6094</v>
      </c>
      <c r="W268" s="1" t="s">
        <v>6095</v>
      </c>
      <c r="X268" s="1" t="s">
        <v>1655</v>
      </c>
      <c r="Y268" s="1" t="s">
        <v>6096</v>
      </c>
      <c r="Z268" s="1" t="s">
        <v>3240</v>
      </c>
      <c r="AA268" s="1" t="s">
        <v>6097</v>
      </c>
      <c r="AB268" s="1" t="s">
        <v>6098</v>
      </c>
      <c r="AC268" s="1" t="s">
        <v>3532</v>
      </c>
    </row>
    <row r="269" spans="1:29" ht="42.75" x14ac:dyDescent="0.45">
      <c r="A269" s="5" t="s">
        <v>263</v>
      </c>
      <c r="B269" s="2">
        <v>4306801</v>
      </c>
      <c r="C269" s="1" t="s">
        <v>6099</v>
      </c>
      <c r="D269" s="1" t="s">
        <v>6100</v>
      </c>
      <c r="E269" s="1" t="s">
        <v>6101</v>
      </c>
      <c r="F269" s="1" t="s">
        <v>564</v>
      </c>
      <c r="G269" s="1" t="s">
        <v>6102</v>
      </c>
      <c r="H269" s="1" t="s">
        <v>4506</v>
      </c>
      <c r="I269" s="1" t="s">
        <v>4365</v>
      </c>
      <c r="J269" s="1" t="s">
        <v>6103</v>
      </c>
      <c r="K269" s="1" t="s">
        <v>6104</v>
      </c>
      <c r="L269" s="1" t="s">
        <v>6105</v>
      </c>
      <c r="M269" s="1" t="s">
        <v>929</v>
      </c>
      <c r="N269" s="1" t="s">
        <v>3979</v>
      </c>
      <c r="O269" s="1" t="s">
        <v>2996</v>
      </c>
      <c r="P269" s="1" t="s">
        <v>6106</v>
      </c>
      <c r="Q269" s="1" t="s">
        <v>6107</v>
      </c>
      <c r="R269" s="1" t="s">
        <v>6108</v>
      </c>
      <c r="S269" s="1" t="s">
        <v>5427</v>
      </c>
      <c r="T269" s="1" t="s">
        <v>3680</v>
      </c>
      <c r="U269" s="1" t="s">
        <v>6109</v>
      </c>
      <c r="V269" s="1" t="s">
        <v>5019</v>
      </c>
      <c r="W269" s="1" t="s">
        <v>1415</v>
      </c>
      <c r="X269" s="1" t="s">
        <v>3308</v>
      </c>
      <c r="Y269" s="1" t="s">
        <v>6110</v>
      </c>
      <c r="Z269" s="1" t="s">
        <v>1417</v>
      </c>
      <c r="AA269" s="1" t="s">
        <v>6111</v>
      </c>
      <c r="AB269" s="1" t="s">
        <v>3167</v>
      </c>
      <c r="AC269" s="1" t="s">
        <v>6112</v>
      </c>
    </row>
    <row r="270" spans="1:29" ht="57" x14ac:dyDescent="0.45">
      <c r="A270" s="5" t="s">
        <v>264</v>
      </c>
      <c r="B270" s="2">
        <v>4980730</v>
      </c>
      <c r="C270" s="1" t="s">
        <v>6113</v>
      </c>
      <c r="D270" s="1" t="s">
        <v>6114</v>
      </c>
      <c r="E270" s="1" t="s">
        <v>1426</v>
      </c>
      <c r="F270" s="1" t="s">
        <v>3522</v>
      </c>
      <c r="G270" s="1" t="s">
        <v>6115</v>
      </c>
      <c r="H270" s="1" t="s">
        <v>1462</v>
      </c>
      <c r="I270" s="1" t="s">
        <v>1678</v>
      </c>
      <c r="J270" s="1" t="s">
        <v>6116</v>
      </c>
      <c r="K270" s="1" t="s">
        <v>3783</v>
      </c>
      <c r="L270" s="1" t="s">
        <v>4689</v>
      </c>
      <c r="M270" s="1" t="s">
        <v>6117</v>
      </c>
      <c r="N270" s="1" t="s">
        <v>3062</v>
      </c>
      <c r="O270" s="1" t="s">
        <v>6118</v>
      </c>
      <c r="P270" s="1" t="s">
        <v>1690</v>
      </c>
      <c r="Q270" s="1" t="s">
        <v>6091</v>
      </c>
      <c r="R270" s="1" t="s">
        <v>5679</v>
      </c>
      <c r="S270" s="1" t="s">
        <v>6119</v>
      </c>
      <c r="T270" s="1" t="s">
        <v>1807</v>
      </c>
      <c r="U270" s="1" t="s">
        <v>6120</v>
      </c>
      <c r="V270" s="1" t="s">
        <v>6121</v>
      </c>
      <c r="W270" s="1" t="s">
        <v>3564</v>
      </c>
      <c r="X270" s="1" t="s">
        <v>3639</v>
      </c>
      <c r="Y270" s="1" t="s">
        <v>6122</v>
      </c>
      <c r="Z270" s="1" t="s">
        <v>4693</v>
      </c>
      <c r="AA270" s="1" t="s">
        <v>6120</v>
      </c>
      <c r="AB270" s="1" t="s">
        <v>6123</v>
      </c>
      <c r="AC270" s="1" t="s">
        <v>6124</v>
      </c>
    </row>
    <row r="271" spans="1:29" ht="57" x14ac:dyDescent="0.45">
      <c r="A271" s="5" t="s">
        <v>265</v>
      </c>
      <c r="B271" s="2">
        <v>4190757</v>
      </c>
      <c r="C271" s="1" t="s">
        <v>6125</v>
      </c>
      <c r="D271" s="1" t="s">
        <v>6126</v>
      </c>
      <c r="E271" s="1" t="s">
        <v>6127</v>
      </c>
      <c r="F271" s="1" t="s">
        <v>6128</v>
      </c>
      <c r="G271" s="1" t="s">
        <v>4686</v>
      </c>
      <c r="H271" s="1" t="s">
        <v>6129</v>
      </c>
      <c r="I271" s="1" t="s">
        <v>6066</v>
      </c>
      <c r="J271" s="1" t="s">
        <v>4387</v>
      </c>
      <c r="K271" s="1" t="s">
        <v>3927</v>
      </c>
      <c r="L271" s="1" t="s">
        <v>2067</v>
      </c>
      <c r="M271" s="1" t="s">
        <v>6130</v>
      </c>
      <c r="N271" s="1" t="s">
        <v>6131</v>
      </c>
      <c r="O271" s="1" t="s">
        <v>6132</v>
      </c>
      <c r="P271" s="1" t="s">
        <v>2061</v>
      </c>
      <c r="Q271" s="1" t="s">
        <v>2826</v>
      </c>
      <c r="R271" s="1" t="s">
        <v>6133</v>
      </c>
      <c r="S271" s="1" t="s">
        <v>1331</v>
      </c>
      <c r="T271" s="1" t="s">
        <v>3702</v>
      </c>
      <c r="U271" s="1" t="s">
        <v>4063</v>
      </c>
      <c r="V271" s="1" t="s">
        <v>6134</v>
      </c>
      <c r="W271" s="1" t="s">
        <v>3061</v>
      </c>
      <c r="X271" s="1" t="s">
        <v>6135</v>
      </c>
      <c r="Y271" s="1" t="s">
        <v>6136</v>
      </c>
      <c r="Z271" s="1" t="s">
        <v>6137</v>
      </c>
      <c r="AA271" s="1" t="s">
        <v>3569</v>
      </c>
      <c r="AB271" s="1" t="s">
        <v>6138</v>
      </c>
      <c r="AC271" s="1" t="s">
        <v>5078</v>
      </c>
    </row>
    <row r="272" spans="1:29" ht="57" x14ac:dyDescent="0.45">
      <c r="A272" s="5" t="s">
        <v>266</v>
      </c>
      <c r="B272" s="2">
        <v>4041363</v>
      </c>
      <c r="C272" s="1" t="s">
        <v>6139</v>
      </c>
      <c r="D272" s="1" t="s">
        <v>6140</v>
      </c>
      <c r="E272" s="1" t="s">
        <v>835</v>
      </c>
      <c r="F272" s="1" t="s">
        <v>766</v>
      </c>
      <c r="G272" s="1" t="s">
        <v>6141</v>
      </c>
      <c r="H272" s="1" t="s">
        <v>6142</v>
      </c>
      <c r="I272" s="1" t="s">
        <v>3389</v>
      </c>
      <c r="J272" s="1" t="s">
        <v>6143</v>
      </c>
      <c r="K272" s="1" t="s">
        <v>5202</v>
      </c>
      <c r="L272" s="1" t="s">
        <v>6144</v>
      </c>
      <c r="M272" s="1" t="s">
        <v>4901</v>
      </c>
      <c r="N272" s="1" t="s">
        <v>3222</v>
      </c>
      <c r="O272" s="1" t="s">
        <v>6145</v>
      </c>
      <c r="P272" s="1" t="s">
        <v>3200</v>
      </c>
      <c r="Q272" s="1" t="s">
        <v>1482</v>
      </c>
      <c r="R272" s="1" t="s">
        <v>3250</v>
      </c>
      <c r="S272" s="1" t="s">
        <v>6146</v>
      </c>
      <c r="T272" s="1" t="s">
        <v>6147</v>
      </c>
      <c r="U272" s="1" t="s">
        <v>4031</v>
      </c>
      <c r="V272" s="1" t="s">
        <v>6148</v>
      </c>
      <c r="W272" s="1" t="s">
        <v>5197</v>
      </c>
      <c r="X272" s="1" t="s">
        <v>6149</v>
      </c>
      <c r="Y272" s="1" t="s">
        <v>6150</v>
      </c>
      <c r="Z272" s="1" t="s">
        <v>6078</v>
      </c>
      <c r="AA272" s="1" t="s">
        <v>6151</v>
      </c>
      <c r="AB272" s="1" t="s">
        <v>1367</v>
      </c>
      <c r="AC272" s="1" t="s">
        <v>2452</v>
      </c>
    </row>
    <row r="273" spans="1:29" ht="28.5" x14ac:dyDescent="0.45">
      <c r="A273" s="5" t="s">
        <v>267</v>
      </c>
      <c r="B273" s="2">
        <v>4213375</v>
      </c>
      <c r="C273" s="1" t="s">
        <v>6152</v>
      </c>
      <c r="D273" s="1" t="s">
        <v>6153</v>
      </c>
      <c r="E273" s="1" t="s">
        <v>6154</v>
      </c>
      <c r="F273" s="1" t="s">
        <v>3247</v>
      </c>
      <c r="G273" s="1" t="s">
        <v>4034</v>
      </c>
      <c r="H273" s="1" t="s">
        <v>3368</v>
      </c>
      <c r="I273" s="1" t="s">
        <v>6155</v>
      </c>
      <c r="J273" s="1" t="s">
        <v>5189</v>
      </c>
      <c r="K273" s="1" t="s">
        <v>6156</v>
      </c>
      <c r="L273" s="1" t="s">
        <v>4486</v>
      </c>
      <c r="M273" s="1" t="s">
        <v>6157</v>
      </c>
      <c r="N273" s="1" t="s">
        <v>2412</v>
      </c>
      <c r="O273" s="1" t="s">
        <v>6158</v>
      </c>
      <c r="P273" s="1" t="s">
        <v>6159</v>
      </c>
      <c r="Q273" s="1" t="s">
        <v>4488</v>
      </c>
      <c r="R273" s="1" t="s">
        <v>6156</v>
      </c>
      <c r="S273" s="1" t="s">
        <v>3161</v>
      </c>
      <c r="T273" s="1" t="s">
        <v>6160</v>
      </c>
      <c r="U273" s="1" t="s">
        <v>6161</v>
      </c>
      <c r="V273" s="1" t="s">
        <v>6162</v>
      </c>
      <c r="W273" s="1" t="s">
        <v>6163</v>
      </c>
      <c r="X273" s="1" t="s">
        <v>6164</v>
      </c>
      <c r="Y273" s="1" t="s">
        <v>1389</v>
      </c>
      <c r="Z273" s="1" t="s">
        <v>6165</v>
      </c>
      <c r="AA273" s="1" t="s">
        <v>6166</v>
      </c>
      <c r="AB273" s="1" t="s">
        <v>5953</v>
      </c>
      <c r="AC273" s="1" t="s">
        <v>3100</v>
      </c>
    </row>
    <row r="274" spans="1:29" ht="42.75" x14ac:dyDescent="0.45">
      <c r="A274" s="5" t="s">
        <v>268</v>
      </c>
      <c r="B274" s="2">
        <v>4574287</v>
      </c>
      <c r="C274" s="1" t="s">
        <v>6167</v>
      </c>
      <c r="D274" s="1" t="s">
        <v>6168</v>
      </c>
      <c r="E274" s="1" t="s">
        <v>6169</v>
      </c>
      <c r="F274" s="1" t="s">
        <v>2180</v>
      </c>
      <c r="G274" s="1" t="s">
        <v>6170</v>
      </c>
      <c r="H274" s="1" t="s">
        <v>6171</v>
      </c>
      <c r="I274" s="1" t="s">
        <v>6172</v>
      </c>
      <c r="J274" s="1" t="s">
        <v>4864</v>
      </c>
      <c r="K274" s="1" t="s">
        <v>6173</v>
      </c>
      <c r="L274" s="1" t="s">
        <v>5878</v>
      </c>
      <c r="M274" s="1" t="s">
        <v>4595</v>
      </c>
      <c r="N274" s="1" t="s">
        <v>6173</v>
      </c>
      <c r="O274" s="1" t="s">
        <v>6174</v>
      </c>
      <c r="P274" s="1" t="s">
        <v>6175</v>
      </c>
      <c r="Q274" s="1" t="s">
        <v>6175</v>
      </c>
      <c r="R274" s="1" t="s">
        <v>6176</v>
      </c>
      <c r="S274" s="1" t="s">
        <v>844</v>
      </c>
      <c r="T274" s="1" t="s">
        <v>6177</v>
      </c>
      <c r="U274" s="1" t="s">
        <v>6178</v>
      </c>
      <c r="V274" s="1" t="s">
        <v>6179</v>
      </c>
      <c r="W274" s="1" t="s">
        <v>1126</v>
      </c>
      <c r="X274" s="1" t="s">
        <v>1126</v>
      </c>
      <c r="Y274" s="1" t="s">
        <v>2563</v>
      </c>
      <c r="Z274" s="1" t="s">
        <v>5966</v>
      </c>
      <c r="AA274" s="1" t="s">
        <v>6180</v>
      </c>
      <c r="AB274" s="1" t="s">
        <v>5513</v>
      </c>
      <c r="AC274" s="1" t="s">
        <v>1760</v>
      </c>
    </row>
    <row r="275" spans="1:29" ht="57" x14ac:dyDescent="0.45">
      <c r="A275" s="5" t="s">
        <v>269</v>
      </c>
      <c r="B275" s="2">
        <v>4010203</v>
      </c>
      <c r="C275" s="1" t="s">
        <v>6181</v>
      </c>
      <c r="D275" s="1" t="s">
        <v>6182</v>
      </c>
      <c r="E275" s="1" t="s">
        <v>1522</v>
      </c>
      <c r="F275" s="1" t="s">
        <v>6183</v>
      </c>
      <c r="G275" s="1" t="s">
        <v>4119</v>
      </c>
      <c r="H275" s="1" t="s">
        <v>6184</v>
      </c>
      <c r="I275" s="1" t="s">
        <v>6185</v>
      </c>
      <c r="J275" s="1" t="s">
        <v>5533</v>
      </c>
      <c r="K275" s="1" t="s">
        <v>6186</v>
      </c>
      <c r="L275" s="1" t="s">
        <v>6187</v>
      </c>
      <c r="M275" s="1" t="s">
        <v>4188</v>
      </c>
      <c r="N275" s="1" t="s">
        <v>4895</v>
      </c>
      <c r="O275" s="1" t="s">
        <v>1677</v>
      </c>
      <c r="P275" s="1" t="s">
        <v>3337</v>
      </c>
      <c r="Q275" s="1" t="s">
        <v>6188</v>
      </c>
      <c r="R275" s="1" t="s">
        <v>6189</v>
      </c>
      <c r="S275" s="1" t="s">
        <v>6190</v>
      </c>
      <c r="T275" s="1" t="s">
        <v>1360</v>
      </c>
      <c r="U275" s="1" t="s">
        <v>5800</v>
      </c>
      <c r="V275" s="1" t="s">
        <v>1657</v>
      </c>
      <c r="W275" s="1" t="s">
        <v>4688</v>
      </c>
      <c r="X275" s="1" t="s">
        <v>6191</v>
      </c>
      <c r="Y275" s="1" t="s">
        <v>2133</v>
      </c>
      <c r="Z275" s="1" t="s">
        <v>5017</v>
      </c>
      <c r="AA275" s="1" t="s">
        <v>5904</v>
      </c>
      <c r="AB275" s="1" t="s">
        <v>801</v>
      </c>
      <c r="AC275" s="1" t="s">
        <v>6192</v>
      </c>
    </row>
    <row r="276" spans="1:29" ht="71.25" x14ac:dyDescent="0.45">
      <c r="A276" s="5" t="s">
        <v>270</v>
      </c>
      <c r="B276" s="2">
        <v>4436418</v>
      </c>
      <c r="C276" s="1" t="s">
        <v>6193</v>
      </c>
      <c r="D276" s="1" t="s">
        <v>6194</v>
      </c>
      <c r="E276" s="1" t="s">
        <v>1223</v>
      </c>
      <c r="F276" s="1" t="s">
        <v>6195</v>
      </c>
      <c r="G276" s="1" t="s">
        <v>6196</v>
      </c>
      <c r="H276" s="1" t="s">
        <v>6197</v>
      </c>
      <c r="I276" s="1" t="s">
        <v>6198</v>
      </c>
      <c r="J276" s="1" t="s">
        <v>6199</v>
      </c>
      <c r="K276" s="1" t="s">
        <v>6200</v>
      </c>
      <c r="L276" s="1" t="s">
        <v>6201</v>
      </c>
      <c r="M276" s="1" t="s">
        <v>4935</v>
      </c>
      <c r="N276" s="1" t="s">
        <v>6202</v>
      </c>
      <c r="O276" s="1" t="s">
        <v>6203</v>
      </c>
      <c r="P276" s="1" t="s">
        <v>6204</v>
      </c>
      <c r="Q276" s="1" t="s">
        <v>6205</v>
      </c>
      <c r="R276" s="1" t="s">
        <v>6206</v>
      </c>
      <c r="S276" s="1" t="s">
        <v>6207</v>
      </c>
      <c r="T276" s="1" t="s">
        <v>6208</v>
      </c>
      <c r="U276" s="1" t="s">
        <v>6209</v>
      </c>
      <c r="V276" s="1" t="s">
        <v>6210</v>
      </c>
      <c r="W276" s="1" t="s">
        <v>6211</v>
      </c>
      <c r="X276" s="1" t="s">
        <v>949</v>
      </c>
      <c r="Y276" s="1" t="s">
        <v>4446</v>
      </c>
      <c r="Z276" s="1" t="s">
        <v>893</v>
      </c>
      <c r="AA276" s="1" t="s">
        <v>6212</v>
      </c>
      <c r="AB276" s="1" t="s">
        <v>6213</v>
      </c>
      <c r="AC276" s="1" t="s">
        <v>6214</v>
      </c>
    </row>
    <row r="277" spans="1:29" ht="71.25" x14ac:dyDescent="0.45">
      <c r="A277" s="5" t="s">
        <v>271</v>
      </c>
      <c r="B277" s="2">
        <v>4073928</v>
      </c>
      <c r="C277" s="1" t="s">
        <v>6215</v>
      </c>
      <c r="D277" s="1" t="s">
        <v>6216</v>
      </c>
      <c r="E277" s="1" t="s">
        <v>622</v>
      </c>
      <c r="F277" s="1" t="s">
        <v>6217</v>
      </c>
      <c r="G277" s="1" t="s">
        <v>3363</v>
      </c>
      <c r="H277" s="1" t="s">
        <v>2635</v>
      </c>
      <c r="I277" s="1" t="s">
        <v>2636</v>
      </c>
      <c r="J277" s="1" t="s">
        <v>3147</v>
      </c>
      <c r="K277" s="1" t="s">
        <v>6218</v>
      </c>
      <c r="L277" s="1" t="s">
        <v>6219</v>
      </c>
      <c r="M277" s="1" t="s">
        <v>858</v>
      </c>
      <c r="N277" s="1" t="s">
        <v>5328</v>
      </c>
      <c r="O277" s="1" t="s">
        <v>4967</v>
      </c>
      <c r="P277" s="1" t="s">
        <v>6220</v>
      </c>
      <c r="Q277" s="1" t="s">
        <v>6221</v>
      </c>
      <c r="R277" s="1" t="s">
        <v>6222</v>
      </c>
      <c r="S277" s="1" t="s">
        <v>6223</v>
      </c>
      <c r="T277" s="1" t="s">
        <v>6224</v>
      </c>
      <c r="U277" s="1" t="s">
        <v>6225</v>
      </c>
      <c r="V277" s="1" t="s">
        <v>2574</v>
      </c>
      <c r="W277" s="1" t="s">
        <v>1886</v>
      </c>
      <c r="X277" s="1" t="s">
        <v>4977</v>
      </c>
      <c r="Y277" s="1" t="s">
        <v>847</v>
      </c>
      <c r="Z277" s="1" t="s">
        <v>1147</v>
      </c>
      <c r="AA277" s="1" t="s">
        <v>6226</v>
      </c>
      <c r="AB277" s="1" t="s">
        <v>6227</v>
      </c>
      <c r="AC277" s="1" t="s">
        <v>3959</v>
      </c>
    </row>
    <row r="278" spans="1:29" ht="71.25" x14ac:dyDescent="0.45">
      <c r="A278" s="5" t="s">
        <v>272</v>
      </c>
      <c r="B278" s="2">
        <v>4014726</v>
      </c>
      <c r="C278" s="1" t="s">
        <v>6228</v>
      </c>
      <c r="D278" s="1" t="s">
        <v>6229</v>
      </c>
      <c r="E278" s="1" t="s">
        <v>3410</v>
      </c>
      <c r="F278" s="1" t="s">
        <v>6230</v>
      </c>
      <c r="G278" s="1" t="s">
        <v>6231</v>
      </c>
      <c r="H278" s="1" t="s">
        <v>6232</v>
      </c>
      <c r="I278" s="1" t="s">
        <v>6233</v>
      </c>
      <c r="J278" s="1" t="s">
        <v>6234</v>
      </c>
      <c r="K278" s="1" t="s">
        <v>6235</v>
      </c>
      <c r="L278" s="1" t="s">
        <v>6236</v>
      </c>
      <c r="M278" s="1" t="s">
        <v>6237</v>
      </c>
      <c r="N278" s="1" t="s">
        <v>6238</v>
      </c>
      <c r="O278" s="1" t="s">
        <v>6239</v>
      </c>
      <c r="P278" s="1" t="s">
        <v>6240</v>
      </c>
      <c r="Q278" s="1" t="s">
        <v>6241</v>
      </c>
      <c r="R278" s="1" t="s">
        <v>6242</v>
      </c>
      <c r="S278" s="1" t="s">
        <v>6243</v>
      </c>
      <c r="T278" s="1" t="s">
        <v>6244</v>
      </c>
      <c r="U278" s="1" t="s">
        <v>6245</v>
      </c>
      <c r="V278" s="1" t="s">
        <v>6246</v>
      </c>
      <c r="W278" s="1" t="s">
        <v>6247</v>
      </c>
      <c r="X278" s="1" t="s">
        <v>6248</v>
      </c>
      <c r="Y278" s="1" t="s">
        <v>6235</v>
      </c>
      <c r="Z278" s="1" t="s">
        <v>6249</v>
      </c>
      <c r="AA278" s="1" t="s">
        <v>6250</v>
      </c>
      <c r="AB278" s="1" t="s">
        <v>6251</v>
      </c>
      <c r="AC278" s="1" t="s">
        <v>6252</v>
      </c>
    </row>
    <row r="279" spans="1:29" ht="57" x14ac:dyDescent="0.45">
      <c r="A279" s="5" t="s">
        <v>273</v>
      </c>
      <c r="B279" s="2">
        <v>4094069</v>
      </c>
      <c r="C279" s="1" t="s">
        <v>6253</v>
      </c>
      <c r="D279" s="1" t="s">
        <v>6254</v>
      </c>
      <c r="E279" s="1" t="s">
        <v>5036</v>
      </c>
      <c r="F279" s="1" t="s">
        <v>879</v>
      </c>
      <c r="G279" s="1" t="s">
        <v>6255</v>
      </c>
      <c r="H279" s="1" t="s">
        <v>3348</v>
      </c>
      <c r="I279" s="1" t="s">
        <v>5172</v>
      </c>
      <c r="J279" s="1" t="s">
        <v>989</v>
      </c>
      <c r="K279" s="1" t="s">
        <v>6256</v>
      </c>
      <c r="L279" s="1" t="s">
        <v>6257</v>
      </c>
      <c r="M279" s="1" t="s">
        <v>5661</v>
      </c>
      <c r="N279" s="1" t="s">
        <v>4342</v>
      </c>
      <c r="O279" s="1" t="s">
        <v>6258</v>
      </c>
      <c r="P279" s="1" t="s">
        <v>972</v>
      </c>
      <c r="Q279" s="1" t="s">
        <v>6259</v>
      </c>
      <c r="R279" s="1" t="s">
        <v>5419</v>
      </c>
      <c r="S279" s="1" t="s">
        <v>6260</v>
      </c>
      <c r="T279" s="1" t="s">
        <v>6261</v>
      </c>
      <c r="U279" s="1" t="s">
        <v>6262</v>
      </c>
      <c r="V279" s="1" t="s">
        <v>3119</v>
      </c>
      <c r="W279" s="1" t="s">
        <v>5429</v>
      </c>
      <c r="X279" s="1" t="s">
        <v>6263</v>
      </c>
      <c r="Y279" s="1" t="s">
        <v>6264</v>
      </c>
      <c r="Z279" s="1" t="s">
        <v>6265</v>
      </c>
      <c r="AA279" s="1" t="s">
        <v>5132</v>
      </c>
      <c r="AB279" s="1" t="s">
        <v>6265</v>
      </c>
      <c r="AC279" s="1" t="s">
        <v>6266</v>
      </c>
    </row>
    <row r="280" spans="1:29" ht="42.75" x14ac:dyDescent="0.45">
      <c r="A280" s="5" t="s">
        <v>274</v>
      </c>
      <c r="B280" s="2">
        <v>4057044</v>
      </c>
      <c r="C280" s="1" t="s">
        <v>6267</v>
      </c>
      <c r="D280" s="1" t="s">
        <v>6268</v>
      </c>
      <c r="E280" s="1" t="s">
        <v>755</v>
      </c>
      <c r="F280" s="1" t="s">
        <v>6269</v>
      </c>
      <c r="G280" s="1" t="s">
        <v>6270</v>
      </c>
      <c r="H280" s="1" t="s">
        <v>6271</v>
      </c>
      <c r="I280" s="1" t="s">
        <v>6272</v>
      </c>
      <c r="J280" s="1" t="s">
        <v>1176</v>
      </c>
      <c r="K280" s="1" t="s">
        <v>6273</v>
      </c>
      <c r="L280" s="1" t="s">
        <v>6274</v>
      </c>
      <c r="M280" s="1" t="s">
        <v>6275</v>
      </c>
      <c r="N280" s="1" t="s">
        <v>1536</v>
      </c>
      <c r="O280" s="1" t="s">
        <v>1412</v>
      </c>
      <c r="P280" s="1" t="s">
        <v>6276</v>
      </c>
      <c r="Q280" s="1" t="s">
        <v>6277</v>
      </c>
      <c r="R280" s="1" t="s">
        <v>6278</v>
      </c>
      <c r="S280" s="1" t="s">
        <v>1445</v>
      </c>
      <c r="T280" s="1" t="s">
        <v>5434</v>
      </c>
      <c r="U280" s="1" t="s">
        <v>6279</v>
      </c>
      <c r="V280" s="1" t="s">
        <v>6280</v>
      </c>
      <c r="W280" s="1" t="s">
        <v>5106</v>
      </c>
      <c r="X280" s="1" t="s">
        <v>681</v>
      </c>
      <c r="Y280" s="1" t="s">
        <v>1050</v>
      </c>
      <c r="Z280" s="1" t="s">
        <v>6281</v>
      </c>
      <c r="AA280" s="1" t="s">
        <v>6282</v>
      </c>
      <c r="AB280" s="1" t="s">
        <v>6283</v>
      </c>
      <c r="AC280" s="1" t="s">
        <v>6284</v>
      </c>
    </row>
    <row r="281" spans="1:29" ht="57" x14ac:dyDescent="0.45">
      <c r="A281" s="5" t="s">
        <v>275</v>
      </c>
      <c r="B281" s="2">
        <v>4136924</v>
      </c>
      <c r="C281" s="1" t="s">
        <v>6285</v>
      </c>
      <c r="D281" s="1" t="s">
        <v>6286</v>
      </c>
      <c r="E281" s="1" t="s">
        <v>6287</v>
      </c>
      <c r="F281" s="1" t="s">
        <v>4915</v>
      </c>
      <c r="G281" s="1" t="s">
        <v>6091</v>
      </c>
      <c r="H281" s="1" t="s">
        <v>4111</v>
      </c>
      <c r="I281" s="1" t="s">
        <v>6288</v>
      </c>
      <c r="J281" s="1" t="s">
        <v>6289</v>
      </c>
      <c r="K281" s="1" t="s">
        <v>6290</v>
      </c>
      <c r="L281" s="1" t="s">
        <v>6291</v>
      </c>
      <c r="M281" s="1" t="s">
        <v>4044</v>
      </c>
      <c r="N281" s="1" t="s">
        <v>6292</v>
      </c>
      <c r="O281" s="1" t="s">
        <v>6293</v>
      </c>
      <c r="P281" s="1" t="s">
        <v>5336</v>
      </c>
      <c r="Q281" s="1" t="s">
        <v>3005</v>
      </c>
      <c r="R281" s="1" t="s">
        <v>6294</v>
      </c>
      <c r="S281" s="1" t="s">
        <v>3640</v>
      </c>
      <c r="T281" s="1" t="s">
        <v>3547</v>
      </c>
      <c r="U281" s="1" t="s">
        <v>4688</v>
      </c>
      <c r="V281" s="1" t="s">
        <v>5002</v>
      </c>
      <c r="W281" s="1" t="s">
        <v>6295</v>
      </c>
      <c r="X281" s="1" t="s">
        <v>6296</v>
      </c>
      <c r="Y281" s="1" t="s">
        <v>1036</v>
      </c>
      <c r="Z281" s="1" t="s">
        <v>1329</v>
      </c>
      <c r="AA281" s="1" t="s">
        <v>3068</v>
      </c>
      <c r="AB281" s="1" t="s">
        <v>6297</v>
      </c>
      <c r="AC281" s="1" t="s">
        <v>6298</v>
      </c>
    </row>
    <row r="282" spans="1:29" ht="42.75" x14ac:dyDescent="0.45">
      <c r="A282" s="5" t="s">
        <v>276</v>
      </c>
      <c r="B282" s="2">
        <v>4074390</v>
      </c>
      <c r="C282" s="1" t="s">
        <v>6299</v>
      </c>
      <c r="D282" s="1" t="s">
        <v>6300</v>
      </c>
      <c r="E282" s="1" t="s">
        <v>755</v>
      </c>
      <c r="F282" s="1" t="s">
        <v>3393</v>
      </c>
      <c r="G282" s="1" t="s">
        <v>6301</v>
      </c>
      <c r="H282" s="1" t="s">
        <v>3961</v>
      </c>
      <c r="I282" s="1" t="s">
        <v>4484</v>
      </c>
      <c r="J282" s="1" t="s">
        <v>6302</v>
      </c>
      <c r="K282" s="1" t="s">
        <v>5746</v>
      </c>
      <c r="L282" s="1" t="s">
        <v>5742</v>
      </c>
      <c r="M282" s="1" t="s">
        <v>5951</v>
      </c>
      <c r="N282" s="1" t="s">
        <v>1895</v>
      </c>
      <c r="O282" s="1" t="s">
        <v>6303</v>
      </c>
      <c r="P282" s="1" t="s">
        <v>6304</v>
      </c>
      <c r="Q282" s="1" t="s">
        <v>5346</v>
      </c>
      <c r="R282" s="1" t="s">
        <v>6305</v>
      </c>
      <c r="S282" s="1" t="s">
        <v>4582</v>
      </c>
      <c r="T282" s="1" t="s">
        <v>5452</v>
      </c>
      <c r="U282" s="1" t="s">
        <v>6306</v>
      </c>
      <c r="V282" s="1" t="s">
        <v>1132</v>
      </c>
      <c r="W282" s="1" t="s">
        <v>6307</v>
      </c>
      <c r="X282" s="1" t="s">
        <v>6308</v>
      </c>
      <c r="Y282" s="1" t="s">
        <v>1556</v>
      </c>
      <c r="Z282" s="1" t="s">
        <v>1895</v>
      </c>
      <c r="AA282" s="1" t="s">
        <v>6309</v>
      </c>
      <c r="AB282" s="1" t="s">
        <v>6310</v>
      </c>
      <c r="AC282" s="1" t="s">
        <v>6311</v>
      </c>
    </row>
    <row r="283" spans="1:29" ht="57" x14ac:dyDescent="0.45">
      <c r="A283" s="5" t="s">
        <v>277</v>
      </c>
      <c r="B283" s="2">
        <v>4057041</v>
      </c>
      <c r="C283" s="1" t="s">
        <v>6312</v>
      </c>
      <c r="D283" s="1" t="s">
        <v>6313</v>
      </c>
      <c r="E283" s="1" t="s">
        <v>755</v>
      </c>
      <c r="F283" s="1" t="s">
        <v>6314</v>
      </c>
      <c r="G283" s="1" t="s">
        <v>6315</v>
      </c>
      <c r="H283" s="1" t="s">
        <v>4239</v>
      </c>
      <c r="I283" s="1" t="s">
        <v>6316</v>
      </c>
      <c r="J283" s="1" t="s">
        <v>6317</v>
      </c>
      <c r="K283" s="1" t="s">
        <v>997</v>
      </c>
      <c r="L283" s="1" t="s">
        <v>6318</v>
      </c>
      <c r="M283" s="1" t="s">
        <v>6319</v>
      </c>
      <c r="N283" s="1" t="s">
        <v>6320</v>
      </c>
      <c r="O283" s="1" t="s">
        <v>545</v>
      </c>
      <c r="P283" s="1" t="s">
        <v>3559</v>
      </c>
      <c r="Q283" s="1" t="s">
        <v>4633</v>
      </c>
      <c r="R283" s="1" t="s">
        <v>6321</v>
      </c>
      <c r="S283" s="1" t="s">
        <v>4085</v>
      </c>
      <c r="T283" s="1" t="s">
        <v>6322</v>
      </c>
      <c r="U283" s="1" t="s">
        <v>4463</v>
      </c>
      <c r="V283" s="1" t="s">
        <v>5904</v>
      </c>
      <c r="W283" s="1" t="s">
        <v>1490</v>
      </c>
      <c r="X283" s="1" t="s">
        <v>3885</v>
      </c>
      <c r="Y283" s="1" t="s">
        <v>6323</v>
      </c>
      <c r="Z283" s="1" t="s">
        <v>6324</v>
      </c>
      <c r="AA283" s="1" t="s">
        <v>6325</v>
      </c>
      <c r="AB283" s="1" t="s">
        <v>6326</v>
      </c>
      <c r="AC283" s="1" t="s">
        <v>6327</v>
      </c>
    </row>
    <row r="284" spans="1:29" ht="71.25" x14ac:dyDescent="0.45">
      <c r="A284" s="5" t="s">
        <v>278</v>
      </c>
      <c r="B284" s="2">
        <v>4011165</v>
      </c>
      <c r="C284" s="1" t="s">
        <v>6328</v>
      </c>
      <c r="D284" s="1" t="s">
        <v>6329</v>
      </c>
      <c r="E284" s="1" t="s">
        <v>3883</v>
      </c>
      <c r="F284" s="1" t="s">
        <v>6084</v>
      </c>
      <c r="G284" s="1" t="s">
        <v>6330</v>
      </c>
      <c r="H284" s="1" t="s">
        <v>6331</v>
      </c>
      <c r="I284" s="1" t="s">
        <v>6332</v>
      </c>
      <c r="J284" s="1" t="s">
        <v>6333</v>
      </c>
      <c r="K284" s="1" t="s">
        <v>5707</v>
      </c>
      <c r="L284" s="1" t="s">
        <v>6334</v>
      </c>
      <c r="M284" s="1" t="s">
        <v>3477</v>
      </c>
      <c r="N284" s="1" t="s">
        <v>6335</v>
      </c>
      <c r="O284" s="1" t="s">
        <v>6336</v>
      </c>
      <c r="P284" s="1" t="s">
        <v>2181</v>
      </c>
      <c r="Q284" s="1" t="s">
        <v>1119</v>
      </c>
      <c r="R284" s="1" t="s">
        <v>3404</v>
      </c>
      <c r="S284" s="1" t="s">
        <v>4104</v>
      </c>
      <c r="T284" s="1" t="s">
        <v>3439</v>
      </c>
      <c r="U284" s="1" t="s">
        <v>6337</v>
      </c>
      <c r="V284" s="1" t="s">
        <v>6338</v>
      </c>
      <c r="W284" s="1" t="s">
        <v>4895</v>
      </c>
      <c r="X284" s="1" t="s">
        <v>6339</v>
      </c>
      <c r="Y284" s="1" t="s">
        <v>6340</v>
      </c>
      <c r="Z284" s="1" t="s">
        <v>3698</v>
      </c>
      <c r="AA284" s="1" t="s">
        <v>6341</v>
      </c>
      <c r="AB284" s="1" t="s">
        <v>3697</v>
      </c>
      <c r="AC284" s="1" t="s">
        <v>6342</v>
      </c>
    </row>
    <row r="285" spans="1:29" ht="71.25" x14ac:dyDescent="0.45">
      <c r="A285" s="5" t="s">
        <v>279</v>
      </c>
      <c r="B285" s="2">
        <v>4337452</v>
      </c>
      <c r="C285" s="1" t="s">
        <v>6343</v>
      </c>
      <c r="D285" s="1" t="s">
        <v>6344</v>
      </c>
      <c r="E285" s="1" t="s">
        <v>1522</v>
      </c>
      <c r="F285" s="1" t="s">
        <v>6345</v>
      </c>
      <c r="G285" s="1" t="s">
        <v>6346</v>
      </c>
      <c r="H285" s="1" t="s">
        <v>1004</v>
      </c>
      <c r="I285" s="1" t="s">
        <v>6347</v>
      </c>
      <c r="J285" s="1" t="s">
        <v>676</v>
      </c>
      <c r="K285" s="1" t="s">
        <v>1588</v>
      </c>
      <c r="L285" s="1" t="s">
        <v>6348</v>
      </c>
      <c r="M285" s="1" t="s">
        <v>6349</v>
      </c>
      <c r="N285" s="1" t="s">
        <v>6350</v>
      </c>
      <c r="O285" s="1" t="s">
        <v>546</v>
      </c>
      <c r="P285" s="1" t="s">
        <v>6351</v>
      </c>
      <c r="Q285" s="1" t="s">
        <v>3857</v>
      </c>
      <c r="R285" s="1" t="s">
        <v>6352</v>
      </c>
      <c r="S285" s="1" t="s">
        <v>6353</v>
      </c>
      <c r="T285" s="1" t="s">
        <v>6354</v>
      </c>
      <c r="U285" s="1" t="s">
        <v>6355</v>
      </c>
      <c r="V285" s="1" t="s">
        <v>3255</v>
      </c>
      <c r="W285" s="1" t="s">
        <v>6356</v>
      </c>
      <c r="X285" s="1" t="s">
        <v>5121</v>
      </c>
      <c r="Y285" s="1" t="s">
        <v>6357</v>
      </c>
      <c r="Z285" s="1" t="s">
        <v>5501</v>
      </c>
      <c r="AA285" s="1" t="s">
        <v>3117</v>
      </c>
      <c r="AB285" s="1" t="s">
        <v>6358</v>
      </c>
      <c r="AC285" s="1" t="s">
        <v>4472</v>
      </c>
    </row>
    <row r="286" spans="1:29" ht="57" x14ac:dyDescent="0.45">
      <c r="A286" s="5" t="s">
        <v>280</v>
      </c>
      <c r="B286" s="2">
        <v>4057157</v>
      </c>
      <c r="C286" s="1" t="s">
        <v>6359</v>
      </c>
      <c r="D286" s="1" t="s">
        <v>6360</v>
      </c>
      <c r="E286" s="1" t="s">
        <v>6361</v>
      </c>
      <c r="F286" s="1" t="s">
        <v>5066</v>
      </c>
      <c r="G286" s="1" t="s">
        <v>545</v>
      </c>
      <c r="H286" s="1" t="s">
        <v>6362</v>
      </c>
      <c r="I286" s="1" t="s">
        <v>6363</v>
      </c>
      <c r="J286" s="1" t="s">
        <v>562</v>
      </c>
      <c r="K286" s="1" t="s">
        <v>6364</v>
      </c>
      <c r="L286" s="1" t="s">
        <v>6365</v>
      </c>
      <c r="M286" s="1" t="s">
        <v>4137</v>
      </c>
      <c r="N286" s="1" t="s">
        <v>3852</v>
      </c>
      <c r="O286" s="1" t="s">
        <v>5033</v>
      </c>
      <c r="P286" s="1" t="s">
        <v>6366</v>
      </c>
      <c r="Q286" s="1" t="s">
        <v>6367</v>
      </c>
      <c r="R286" s="1" t="s">
        <v>2522</v>
      </c>
      <c r="S286" s="1" t="s">
        <v>6056</v>
      </c>
      <c r="T286" s="1" t="s">
        <v>4087</v>
      </c>
      <c r="U286" s="1" t="s">
        <v>6368</v>
      </c>
      <c r="V286" s="1" t="s">
        <v>6369</v>
      </c>
      <c r="W286" s="1" t="s">
        <v>5254</v>
      </c>
      <c r="X286" s="1" t="s">
        <v>1485</v>
      </c>
      <c r="Y286" s="1" t="s">
        <v>1672</v>
      </c>
      <c r="Z286" s="1" t="s">
        <v>3564</v>
      </c>
      <c r="AA286" s="1" t="s">
        <v>4368</v>
      </c>
      <c r="AB286" s="1" t="s">
        <v>6370</v>
      </c>
      <c r="AC286" s="1" t="s">
        <v>6046</v>
      </c>
    </row>
    <row r="287" spans="1:29" ht="71.25" x14ac:dyDescent="0.45">
      <c r="A287" s="5" t="s">
        <v>281</v>
      </c>
      <c r="B287" s="2">
        <v>4004387</v>
      </c>
      <c r="C287" s="1" t="s">
        <v>6371</v>
      </c>
      <c r="D287" s="1" t="s">
        <v>6372</v>
      </c>
      <c r="E287" s="1" t="s">
        <v>6373</v>
      </c>
      <c r="F287" s="1" t="s">
        <v>4142</v>
      </c>
      <c r="G287" s="1" t="s">
        <v>6374</v>
      </c>
      <c r="H287" s="1" t="s">
        <v>1058</v>
      </c>
      <c r="I287" s="1" t="s">
        <v>921</v>
      </c>
      <c r="J287" s="1" t="s">
        <v>4156</v>
      </c>
      <c r="K287" s="1" t="s">
        <v>2873</v>
      </c>
      <c r="L287" s="1" t="s">
        <v>2867</v>
      </c>
      <c r="M287" s="1" t="s">
        <v>921</v>
      </c>
      <c r="N287" s="1" t="s">
        <v>3582</v>
      </c>
      <c r="O287" s="1" t="s">
        <v>6375</v>
      </c>
      <c r="P287" s="1" t="s">
        <v>6376</v>
      </c>
      <c r="Q287" s="1" t="s">
        <v>5241</v>
      </c>
      <c r="R287" s="1" t="s">
        <v>3990</v>
      </c>
      <c r="S287" s="1" t="s">
        <v>3590</v>
      </c>
      <c r="T287" s="1" t="s">
        <v>3631</v>
      </c>
      <c r="U287" s="1" t="s">
        <v>3565</v>
      </c>
      <c r="V287" s="1" t="s">
        <v>6377</v>
      </c>
      <c r="W287" s="1" t="s">
        <v>1194</v>
      </c>
      <c r="X287" s="1" t="s">
        <v>6378</v>
      </c>
      <c r="Y287" s="1" t="s">
        <v>5898</v>
      </c>
      <c r="Z287" s="1" t="s">
        <v>3040</v>
      </c>
      <c r="AA287" s="1" t="s">
        <v>1465</v>
      </c>
      <c r="AB287" s="1" t="s">
        <v>5730</v>
      </c>
      <c r="AC287" s="1" t="s">
        <v>3237</v>
      </c>
    </row>
    <row r="288" spans="1:29" ht="57" x14ac:dyDescent="0.45">
      <c r="A288" s="5" t="s">
        <v>282</v>
      </c>
      <c r="B288" s="2">
        <v>4086110</v>
      </c>
      <c r="C288" s="1" t="s">
        <v>6379</v>
      </c>
      <c r="D288" s="1" t="s">
        <v>6380</v>
      </c>
      <c r="E288" s="1" t="s">
        <v>2533</v>
      </c>
      <c r="F288" s="1" t="s">
        <v>6381</v>
      </c>
      <c r="G288" s="1" t="s">
        <v>6382</v>
      </c>
      <c r="H288" s="1" t="s">
        <v>547</v>
      </c>
      <c r="I288" s="1" t="s">
        <v>544</v>
      </c>
      <c r="J288" s="1" t="s">
        <v>685</v>
      </c>
      <c r="K288" s="1" t="s">
        <v>6383</v>
      </c>
      <c r="L288" s="1" t="s">
        <v>793</v>
      </c>
      <c r="M288" s="1" t="s">
        <v>6019</v>
      </c>
      <c r="N288" s="1" t="s">
        <v>1938</v>
      </c>
      <c r="O288" s="1" t="s">
        <v>6384</v>
      </c>
      <c r="P288" s="1" t="s">
        <v>1042</v>
      </c>
      <c r="Q288" s="1" t="s">
        <v>6385</v>
      </c>
      <c r="R288" s="1" t="s">
        <v>3678</v>
      </c>
      <c r="S288" s="1" t="s">
        <v>1500</v>
      </c>
      <c r="T288" s="1" t="s">
        <v>6386</v>
      </c>
      <c r="U288" s="1" t="s">
        <v>6387</v>
      </c>
      <c r="V288" s="1" t="s">
        <v>6388</v>
      </c>
      <c r="W288" s="1" t="s">
        <v>6389</v>
      </c>
      <c r="X288" s="1" t="s">
        <v>6390</v>
      </c>
      <c r="Y288" s="1" t="s">
        <v>6391</v>
      </c>
      <c r="Z288" s="1" t="s">
        <v>6392</v>
      </c>
      <c r="AA288" s="1" t="s">
        <v>1498</v>
      </c>
      <c r="AB288" s="1" t="s">
        <v>1507</v>
      </c>
      <c r="AC288" s="1" t="s">
        <v>5110</v>
      </c>
    </row>
    <row r="289" spans="1:29" ht="42.75" x14ac:dyDescent="0.45">
      <c r="A289" s="5" t="s">
        <v>283</v>
      </c>
      <c r="B289" s="2">
        <v>103247</v>
      </c>
      <c r="C289" s="1" t="s">
        <v>6393</v>
      </c>
      <c r="D289" s="1" t="s">
        <v>6394</v>
      </c>
      <c r="E289" s="1" t="s">
        <v>1250</v>
      </c>
      <c r="F289" s="1" t="s">
        <v>6395</v>
      </c>
      <c r="G289" s="1" t="s">
        <v>2015</v>
      </c>
      <c r="H289" s="1" t="s">
        <v>2508</v>
      </c>
      <c r="I289" s="1" t="s">
        <v>3686</v>
      </c>
      <c r="J289" s="1" t="s">
        <v>6396</v>
      </c>
      <c r="K289" s="1" t="s">
        <v>5142</v>
      </c>
      <c r="L289" s="1" t="s">
        <v>6397</v>
      </c>
      <c r="M289" s="1" t="s">
        <v>6398</v>
      </c>
      <c r="N289" s="1" t="s">
        <v>6399</v>
      </c>
      <c r="O289" s="1" t="s">
        <v>6400</v>
      </c>
      <c r="P289" s="1" t="s">
        <v>4353</v>
      </c>
      <c r="Q289" s="1" t="s">
        <v>6401</v>
      </c>
      <c r="R289" s="1" t="s">
        <v>6402</v>
      </c>
      <c r="S289" s="1" t="s">
        <v>4352</v>
      </c>
      <c r="T289" s="1" t="s">
        <v>6403</v>
      </c>
      <c r="U289" s="1" t="s">
        <v>5858</v>
      </c>
      <c r="V289" s="1" t="s">
        <v>6404</v>
      </c>
      <c r="W289" s="1" t="s">
        <v>794</v>
      </c>
      <c r="X289" s="1" t="s">
        <v>6405</v>
      </c>
      <c r="Y289" s="1" t="s">
        <v>795</v>
      </c>
      <c r="Z289" s="1" t="s">
        <v>6406</v>
      </c>
      <c r="AA289" s="1" t="s">
        <v>6363</v>
      </c>
      <c r="AB289" s="1" t="s">
        <v>5018</v>
      </c>
      <c r="AC289" s="1" t="s">
        <v>6407</v>
      </c>
    </row>
    <row r="290" spans="1:29" ht="57" x14ac:dyDescent="0.45">
      <c r="A290" s="5" t="s">
        <v>284</v>
      </c>
      <c r="B290" s="2">
        <v>105135</v>
      </c>
      <c r="C290" s="1" t="s">
        <v>6408</v>
      </c>
      <c r="D290" s="1" t="s">
        <v>6409</v>
      </c>
      <c r="E290" s="1" t="s">
        <v>4214</v>
      </c>
      <c r="F290" s="1" t="s">
        <v>6410</v>
      </c>
      <c r="G290" s="1" t="s">
        <v>6411</v>
      </c>
      <c r="H290" s="1" t="s">
        <v>6412</v>
      </c>
      <c r="I290" s="1" t="s">
        <v>6413</v>
      </c>
      <c r="J290" s="1" t="s">
        <v>6414</v>
      </c>
      <c r="K290" s="1" t="s">
        <v>6415</v>
      </c>
      <c r="L290" s="1" t="s">
        <v>6416</v>
      </c>
      <c r="M290" s="1" t="s">
        <v>6417</v>
      </c>
      <c r="N290" s="1" t="s">
        <v>6418</v>
      </c>
      <c r="O290" s="1" t="s">
        <v>6419</v>
      </c>
      <c r="P290" s="1" t="s">
        <v>6420</v>
      </c>
      <c r="Q290" s="1" t="s">
        <v>6421</v>
      </c>
      <c r="R290" s="1" t="s">
        <v>6422</v>
      </c>
      <c r="S290" s="1" t="s">
        <v>6423</v>
      </c>
      <c r="T290" s="1" t="s">
        <v>6424</v>
      </c>
      <c r="U290" s="1" t="s">
        <v>6425</v>
      </c>
      <c r="V290" s="1" t="s">
        <v>6426</v>
      </c>
      <c r="W290" s="1" t="s">
        <v>6427</v>
      </c>
      <c r="X290" s="1" t="s">
        <v>6428</v>
      </c>
      <c r="Y290" s="1" t="s">
        <v>6429</v>
      </c>
      <c r="Z290" s="1" t="s">
        <v>518</v>
      </c>
      <c r="AA290" s="1" t="s">
        <v>6430</v>
      </c>
      <c r="AB290" s="1" t="s">
        <v>6431</v>
      </c>
      <c r="AC290" s="1" t="s">
        <v>6432</v>
      </c>
    </row>
    <row r="291" spans="1:29" ht="57" x14ac:dyDescent="0.45">
      <c r="A291" s="5" t="s">
        <v>285</v>
      </c>
      <c r="B291" s="2">
        <v>108462</v>
      </c>
      <c r="C291" s="1" t="s">
        <v>6433</v>
      </c>
      <c r="D291" s="1" t="s">
        <v>6434</v>
      </c>
      <c r="E291" s="1" t="s">
        <v>809</v>
      </c>
      <c r="F291" s="1" t="s">
        <v>6435</v>
      </c>
      <c r="G291" s="1" t="s">
        <v>6436</v>
      </c>
      <c r="H291" s="1" t="s">
        <v>734</v>
      </c>
      <c r="I291" s="1" t="s">
        <v>6437</v>
      </c>
      <c r="J291" s="1" t="s">
        <v>3914</v>
      </c>
      <c r="K291" s="1" t="s">
        <v>6438</v>
      </c>
      <c r="L291" s="1" t="s">
        <v>6439</v>
      </c>
      <c r="M291" s="1" t="s">
        <v>6440</v>
      </c>
      <c r="N291" s="1" t="s">
        <v>6441</v>
      </c>
      <c r="O291" s="1" t="s">
        <v>6442</v>
      </c>
      <c r="P291" s="1" t="s">
        <v>6029</v>
      </c>
      <c r="Q291" s="1" t="s">
        <v>6443</v>
      </c>
      <c r="R291" s="1" t="s">
        <v>6444</v>
      </c>
      <c r="S291" s="1" t="s">
        <v>968</v>
      </c>
      <c r="T291" s="1" t="s">
        <v>6445</v>
      </c>
      <c r="U291" s="1" t="s">
        <v>5420</v>
      </c>
      <c r="V291" s="1" t="s">
        <v>3181</v>
      </c>
      <c r="W291" s="1" t="s">
        <v>6446</v>
      </c>
      <c r="X291" s="1" t="s">
        <v>6447</v>
      </c>
      <c r="Y291" s="1" t="s">
        <v>6448</v>
      </c>
      <c r="Z291" s="1" t="s">
        <v>6449</v>
      </c>
      <c r="AA291" s="1" t="s">
        <v>6450</v>
      </c>
      <c r="AB291" s="1" t="s">
        <v>6451</v>
      </c>
      <c r="AC291" s="1" t="s">
        <v>6452</v>
      </c>
    </row>
    <row r="292" spans="1:29" ht="57" x14ac:dyDescent="0.45">
      <c r="A292" s="5" t="s">
        <v>286</v>
      </c>
      <c r="B292" s="2">
        <v>4004107</v>
      </c>
      <c r="C292" s="1" t="s">
        <v>6453</v>
      </c>
      <c r="D292" s="1" t="s">
        <v>6454</v>
      </c>
      <c r="E292" s="1" t="s">
        <v>6455</v>
      </c>
      <c r="F292" s="1" t="s">
        <v>6456</v>
      </c>
      <c r="G292" s="1" t="s">
        <v>6457</v>
      </c>
      <c r="H292" s="1" t="s">
        <v>4806</v>
      </c>
      <c r="I292" s="1" t="s">
        <v>6458</v>
      </c>
      <c r="J292" s="1" t="s">
        <v>6459</v>
      </c>
      <c r="K292" s="1" t="s">
        <v>6460</v>
      </c>
      <c r="L292" s="1" t="s">
        <v>624</v>
      </c>
      <c r="M292" s="1" t="s">
        <v>2915</v>
      </c>
      <c r="N292" s="1" t="s">
        <v>6461</v>
      </c>
      <c r="O292" s="1" t="s">
        <v>6462</v>
      </c>
      <c r="P292" s="1" t="s">
        <v>6463</v>
      </c>
      <c r="Q292" s="1" t="s">
        <v>6464</v>
      </c>
      <c r="R292" s="1" t="s">
        <v>5486</v>
      </c>
      <c r="S292" s="1" t="s">
        <v>6465</v>
      </c>
      <c r="T292" s="1" t="s">
        <v>6466</v>
      </c>
      <c r="U292" s="1" t="s">
        <v>2735</v>
      </c>
      <c r="V292" s="1" t="s">
        <v>6467</v>
      </c>
      <c r="W292" s="1" t="s">
        <v>6468</v>
      </c>
      <c r="X292" s="1" t="s">
        <v>6469</v>
      </c>
      <c r="Y292" s="1" t="s">
        <v>6470</v>
      </c>
      <c r="Z292" s="1" t="s">
        <v>6471</v>
      </c>
      <c r="AA292" s="1" t="s">
        <v>6472</v>
      </c>
      <c r="AB292" s="1" t="s">
        <v>6473</v>
      </c>
      <c r="AC292" s="1" t="s">
        <v>6474</v>
      </c>
    </row>
    <row r="293" spans="1:29" ht="57" x14ac:dyDescent="0.45">
      <c r="A293" s="5" t="s">
        <v>287</v>
      </c>
      <c r="B293" s="2">
        <v>4114659</v>
      </c>
      <c r="C293" s="1" t="s">
        <v>6475</v>
      </c>
      <c r="D293" s="1" t="s">
        <v>6476</v>
      </c>
      <c r="E293" s="1" t="s">
        <v>6477</v>
      </c>
      <c r="F293" s="1" t="s">
        <v>2800</v>
      </c>
      <c r="G293" s="1" t="s">
        <v>6138</v>
      </c>
      <c r="H293" s="1" t="s">
        <v>4950</v>
      </c>
      <c r="I293" s="1" t="s">
        <v>6478</v>
      </c>
      <c r="J293" s="1" t="s">
        <v>4108</v>
      </c>
      <c r="K293" s="1" t="s">
        <v>6079</v>
      </c>
      <c r="L293" s="1" t="s">
        <v>3159</v>
      </c>
      <c r="M293" s="1" t="s">
        <v>6479</v>
      </c>
      <c r="N293" s="1" t="s">
        <v>5572</v>
      </c>
      <c r="O293" s="1" t="s">
        <v>6480</v>
      </c>
      <c r="P293" s="1" t="s">
        <v>6480</v>
      </c>
      <c r="Q293" s="1" t="s">
        <v>6481</v>
      </c>
      <c r="R293" s="1" t="s">
        <v>3199</v>
      </c>
      <c r="S293" s="1" t="s">
        <v>6026</v>
      </c>
      <c r="T293" s="1" t="s">
        <v>6482</v>
      </c>
      <c r="U293" s="1" t="s">
        <v>5003</v>
      </c>
      <c r="V293" s="1" t="s">
        <v>3942</v>
      </c>
      <c r="W293" s="1" t="s">
        <v>6483</v>
      </c>
      <c r="X293" s="1" t="s">
        <v>5180</v>
      </c>
      <c r="Y293" s="1" t="s">
        <v>3388</v>
      </c>
      <c r="Z293" s="1" t="s">
        <v>6484</v>
      </c>
      <c r="AA293" s="1" t="s">
        <v>6485</v>
      </c>
      <c r="AB293" s="1" t="s">
        <v>1482</v>
      </c>
      <c r="AC293" s="1" t="s">
        <v>6486</v>
      </c>
    </row>
    <row r="294" spans="1:29" ht="71.25" x14ac:dyDescent="0.45">
      <c r="A294" s="5" t="s">
        <v>288</v>
      </c>
      <c r="B294" s="2">
        <v>4107063</v>
      </c>
      <c r="C294" s="1" t="s">
        <v>6487</v>
      </c>
      <c r="D294" s="1" t="s">
        <v>6488</v>
      </c>
      <c r="E294" s="1" t="s">
        <v>4911</v>
      </c>
      <c r="F294" s="1" t="s">
        <v>1485</v>
      </c>
      <c r="G294" s="1" t="s">
        <v>668</v>
      </c>
      <c r="H294" s="1" t="s">
        <v>6489</v>
      </c>
      <c r="I294" s="1" t="s">
        <v>1043</v>
      </c>
      <c r="J294" s="1" t="s">
        <v>6490</v>
      </c>
      <c r="K294" s="1" t="s">
        <v>5921</v>
      </c>
      <c r="L294" s="1" t="s">
        <v>3743</v>
      </c>
      <c r="M294" s="1" t="s">
        <v>3897</v>
      </c>
      <c r="N294" s="1" t="s">
        <v>4948</v>
      </c>
      <c r="O294" s="1" t="s">
        <v>4904</v>
      </c>
      <c r="P294" s="1" t="s">
        <v>1691</v>
      </c>
      <c r="Q294" s="1" t="s">
        <v>6491</v>
      </c>
      <c r="R294" s="1" t="s">
        <v>2800</v>
      </c>
      <c r="S294" s="1" t="s">
        <v>5247</v>
      </c>
      <c r="T294" s="1" t="s">
        <v>4190</v>
      </c>
      <c r="U294" s="1" t="s">
        <v>6492</v>
      </c>
      <c r="V294" s="1" t="s">
        <v>6493</v>
      </c>
      <c r="W294" s="1" t="s">
        <v>1464</v>
      </c>
      <c r="X294" s="1" t="s">
        <v>6494</v>
      </c>
      <c r="Y294" s="1" t="s">
        <v>6495</v>
      </c>
      <c r="Z294" s="1" t="s">
        <v>6297</v>
      </c>
      <c r="AA294" s="1" t="s">
        <v>6369</v>
      </c>
      <c r="AB294" s="1" t="s">
        <v>6496</v>
      </c>
      <c r="AC294" s="1" t="s">
        <v>6497</v>
      </c>
    </row>
    <row r="295" spans="1:29" ht="42.75" x14ac:dyDescent="0.45">
      <c r="A295" s="5" t="s">
        <v>289</v>
      </c>
      <c r="B295" s="2">
        <v>4020605</v>
      </c>
      <c r="C295" s="1" t="s">
        <v>6498</v>
      </c>
      <c r="D295" s="1" t="s">
        <v>6499</v>
      </c>
      <c r="E295" s="1" t="s">
        <v>514</v>
      </c>
      <c r="F295" s="1" t="s">
        <v>3548</v>
      </c>
      <c r="G295" s="1" t="s">
        <v>6500</v>
      </c>
      <c r="H295" s="1" t="s">
        <v>6501</v>
      </c>
      <c r="I295" s="1" t="s">
        <v>6502</v>
      </c>
      <c r="J295" s="1" t="s">
        <v>6503</v>
      </c>
      <c r="K295" s="1" t="s">
        <v>1348</v>
      </c>
      <c r="L295" s="1" t="s">
        <v>1660</v>
      </c>
      <c r="M295" s="1" t="s">
        <v>6143</v>
      </c>
      <c r="N295" s="1" t="s">
        <v>6504</v>
      </c>
      <c r="O295" s="1" t="s">
        <v>6505</v>
      </c>
      <c r="P295" s="1" t="s">
        <v>2779</v>
      </c>
      <c r="Q295" s="1" t="s">
        <v>6506</v>
      </c>
      <c r="R295" s="1" t="s">
        <v>6507</v>
      </c>
      <c r="S295" s="1" t="s">
        <v>3006</v>
      </c>
      <c r="T295" s="1" t="s">
        <v>6508</v>
      </c>
      <c r="U295" s="1" t="s">
        <v>5284</v>
      </c>
      <c r="V295" s="1" t="s">
        <v>2640</v>
      </c>
      <c r="W295" s="1" t="s">
        <v>777</v>
      </c>
      <c r="X295" s="1" t="s">
        <v>4074</v>
      </c>
      <c r="Y295" s="1" t="s">
        <v>6483</v>
      </c>
      <c r="Z295" s="1" t="s">
        <v>6509</v>
      </c>
      <c r="AA295" s="1" t="s">
        <v>5834</v>
      </c>
      <c r="AB295" s="1" t="s">
        <v>6510</v>
      </c>
      <c r="AC295" s="1" t="s">
        <v>1379</v>
      </c>
    </row>
    <row r="296" spans="1:29" ht="42.75" x14ac:dyDescent="0.45">
      <c r="A296" s="5" t="s">
        <v>290</v>
      </c>
      <c r="B296" s="2">
        <v>103448</v>
      </c>
      <c r="C296" s="1" t="s">
        <v>6511</v>
      </c>
      <c r="D296" s="1" t="s">
        <v>6512</v>
      </c>
      <c r="E296" s="1" t="s">
        <v>1621</v>
      </c>
      <c r="F296" s="1" t="s">
        <v>5343</v>
      </c>
      <c r="G296" s="1" t="s">
        <v>6513</v>
      </c>
      <c r="H296" s="1" t="s">
        <v>5452</v>
      </c>
      <c r="I296" s="1" t="s">
        <v>6514</v>
      </c>
      <c r="J296" s="1" t="s">
        <v>6515</v>
      </c>
      <c r="K296" s="1" t="s">
        <v>1168</v>
      </c>
      <c r="L296" s="1" t="s">
        <v>6516</v>
      </c>
      <c r="M296" s="1" t="s">
        <v>6517</v>
      </c>
      <c r="N296" s="1" t="s">
        <v>6518</v>
      </c>
      <c r="O296" s="1" t="s">
        <v>1887</v>
      </c>
      <c r="P296" s="1" t="s">
        <v>6519</v>
      </c>
      <c r="Q296" s="1" t="s">
        <v>3952</v>
      </c>
      <c r="R296" s="1" t="s">
        <v>6520</v>
      </c>
      <c r="S296" s="1" t="s">
        <v>6521</v>
      </c>
      <c r="T296" s="1" t="s">
        <v>6522</v>
      </c>
      <c r="U296" s="1" t="s">
        <v>6523</v>
      </c>
      <c r="V296" s="1" t="s">
        <v>3950</v>
      </c>
      <c r="W296" s="1" t="s">
        <v>6524</v>
      </c>
      <c r="X296" s="1" t="s">
        <v>3382</v>
      </c>
      <c r="Y296" s="1" t="s">
        <v>3948</v>
      </c>
      <c r="Z296" s="1" t="s">
        <v>6525</v>
      </c>
      <c r="AA296" s="1" t="s">
        <v>2967</v>
      </c>
      <c r="AB296" s="1" t="s">
        <v>6526</v>
      </c>
      <c r="AC296" s="1" t="s">
        <v>6527</v>
      </c>
    </row>
    <row r="297" spans="1:29" ht="71.25" x14ac:dyDescent="0.45">
      <c r="A297" s="5" t="s">
        <v>291</v>
      </c>
      <c r="B297" s="2">
        <v>4019144</v>
      </c>
      <c r="C297" s="1" t="s">
        <v>6528</v>
      </c>
      <c r="D297" s="1" t="s">
        <v>6529</v>
      </c>
      <c r="E297" s="1" t="s">
        <v>1426</v>
      </c>
      <c r="F297" s="1" t="s">
        <v>4013</v>
      </c>
      <c r="G297" s="1" t="s">
        <v>5368</v>
      </c>
      <c r="H297" s="1" t="s">
        <v>6396</v>
      </c>
      <c r="I297" s="1" t="s">
        <v>4466</v>
      </c>
      <c r="J297" s="1" t="s">
        <v>1578</v>
      </c>
      <c r="K297" s="1" t="s">
        <v>6530</v>
      </c>
      <c r="L297" s="1" t="s">
        <v>802</v>
      </c>
      <c r="M297" s="1" t="s">
        <v>6531</v>
      </c>
      <c r="N297" s="1" t="s">
        <v>6532</v>
      </c>
      <c r="O297" s="1" t="s">
        <v>6533</v>
      </c>
      <c r="P297" s="1" t="s">
        <v>6534</v>
      </c>
      <c r="Q297" s="1" t="s">
        <v>2501</v>
      </c>
      <c r="R297" s="1" t="s">
        <v>6535</v>
      </c>
      <c r="S297" s="1" t="s">
        <v>2530</v>
      </c>
      <c r="T297" s="1" t="s">
        <v>6536</v>
      </c>
      <c r="U297" s="1" t="s">
        <v>6537</v>
      </c>
      <c r="V297" s="1" t="s">
        <v>2012</v>
      </c>
      <c r="W297" s="1" t="s">
        <v>6538</v>
      </c>
      <c r="X297" s="1" t="s">
        <v>6539</v>
      </c>
      <c r="Y297" s="1" t="s">
        <v>6540</v>
      </c>
      <c r="Z297" s="1" t="s">
        <v>3016</v>
      </c>
      <c r="AA297" s="1" t="s">
        <v>3827</v>
      </c>
      <c r="AB297" s="1" t="s">
        <v>6541</v>
      </c>
      <c r="AC297" s="1" t="s">
        <v>6542</v>
      </c>
    </row>
    <row r="298" spans="1:29" ht="57" x14ac:dyDescent="0.45">
      <c r="A298" s="5" t="s">
        <v>292</v>
      </c>
      <c r="B298" s="2">
        <v>103117</v>
      </c>
      <c r="C298" s="1" t="s">
        <v>6543</v>
      </c>
      <c r="D298" s="1" t="s">
        <v>6544</v>
      </c>
      <c r="E298" s="1" t="s">
        <v>2147</v>
      </c>
      <c r="F298" s="1" t="s">
        <v>6545</v>
      </c>
      <c r="G298" s="1" t="s">
        <v>6546</v>
      </c>
      <c r="H298" s="1" t="s">
        <v>6547</v>
      </c>
      <c r="I298" s="1" t="s">
        <v>6548</v>
      </c>
      <c r="J298" s="1" t="s">
        <v>6549</v>
      </c>
      <c r="K298" s="1" t="s">
        <v>6550</v>
      </c>
      <c r="L298" s="1" t="s">
        <v>6551</v>
      </c>
      <c r="M298" s="1" t="s">
        <v>6552</v>
      </c>
      <c r="N298" s="1" t="s">
        <v>6553</v>
      </c>
      <c r="O298" s="1" t="s">
        <v>6554</v>
      </c>
      <c r="P298" s="1" t="s">
        <v>6555</v>
      </c>
      <c r="Q298" s="1" t="s">
        <v>6556</v>
      </c>
      <c r="R298" s="1" t="s">
        <v>6557</v>
      </c>
      <c r="S298" s="1" t="s">
        <v>6558</v>
      </c>
      <c r="T298" s="1" t="s">
        <v>6559</v>
      </c>
      <c r="U298" s="1" t="s">
        <v>6560</v>
      </c>
      <c r="V298" s="1" t="s">
        <v>6561</v>
      </c>
      <c r="W298" s="1" t="s">
        <v>6562</v>
      </c>
      <c r="X298" s="1" t="s">
        <v>6563</v>
      </c>
      <c r="Y298" s="1" t="s">
        <v>6564</v>
      </c>
      <c r="Z298" s="1" t="s">
        <v>6565</v>
      </c>
      <c r="AA298" s="1" t="s">
        <v>6566</v>
      </c>
      <c r="AB298" s="1" t="s">
        <v>6567</v>
      </c>
      <c r="AC298" s="1" t="s">
        <v>6568</v>
      </c>
    </row>
    <row r="299" spans="1:29" ht="99.75" x14ac:dyDescent="0.45">
      <c r="A299" s="5" t="s">
        <v>293</v>
      </c>
      <c r="B299" s="2">
        <v>114523</v>
      </c>
      <c r="C299" s="1" t="s">
        <v>6569</v>
      </c>
      <c r="D299" s="1" t="s">
        <v>6570</v>
      </c>
      <c r="E299" s="1" t="s">
        <v>1722</v>
      </c>
      <c r="F299" s="1" t="s">
        <v>6571</v>
      </c>
      <c r="G299" s="1" t="s">
        <v>3918</v>
      </c>
      <c r="H299" s="1" t="s">
        <v>5134</v>
      </c>
      <c r="I299" s="1" t="s">
        <v>1535</v>
      </c>
      <c r="J299" s="1" t="s">
        <v>6572</v>
      </c>
      <c r="K299" s="1" t="s">
        <v>1597</v>
      </c>
      <c r="L299" s="1" t="s">
        <v>6573</v>
      </c>
      <c r="M299" s="1" t="s">
        <v>3286</v>
      </c>
      <c r="N299" s="1" t="s">
        <v>4357</v>
      </c>
      <c r="O299" s="1" t="s">
        <v>1593</v>
      </c>
      <c r="P299" s="1" t="s">
        <v>6574</v>
      </c>
      <c r="Q299" s="1" t="s">
        <v>5775</v>
      </c>
      <c r="R299" s="1" t="s">
        <v>4123</v>
      </c>
      <c r="S299" s="1" t="s">
        <v>6575</v>
      </c>
      <c r="T299" s="1" t="s">
        <v>6576</v>
      </c>
      <c r="U299" s="1" t="s">
        <v>6577</v>
      </c>
      <c r="V299" s="1" t="s">
        <v>6578</v>
      </c>
      <c r="W299" s="1" t="s">
        <v>979</v>
      </c>
      <c r="X299" s="1" t="s">
        <v>5134</v>
      </c>
      <c r="Y299" s="1" t="s">
        <v>3681</v>
      </c>
      <c r="Z299" s="1" t="s">
        <v>3016</v>
      </c>
      <c r="AA299" s="1" t="s">
        <v>3459</v>
      </c>
      <c r="AB299" s="1" t="s">
        <v>4629</v>
      </c>
      <c r="AC299" s="1" t="s">
        <v>1179</v>
      </c>
    </row>
    <row r="300" spans="1:29" ht="57" x14ac:dyDescent="0.45">
      <c r="A300" s="5" t="s">
        <v>294</v>
      </c>
      <c r="B300" s="2">
        <v>4812781</v>
      </c>
      <c r="C300" s="1" t="s">
        <v>6579</v>
      </c>
      <c r="D300" s="1" t="s">
        <v>6580</v>
      </c>
      <c r="E300" s="1" t="s">
        <v>940</v>
      </c>
      <c r="F300" s="1" t="s">
        <v>2295</v>
      </c>
      <c r="G300" s="1" t="s">
        <v>6581</v>
      </c>
      <c r="H300" s="1" t="s">
        <v>3374</v>
      </c>
      <c r="I300" s="1" t="s">
        <v>2067</v>
      </c>
      <c r="J300" s="1" t="s">
        <v>6582</v>
      </c>
      <c r="K300" s="1" t="s">
        <v>6583</v>
      </c>
      <c r="L300" s="1" t="s">
        <v>6584</v>
      </c>
      <c r="M300" s="1" t="s">
        <v>6084</v>
      </c>
      <c r="N300" s="1" t="s">
        <v>2294</v>
      </c>
      <c r="O300" s="1" t="s">
        <v>2360</v>
      </c>
      <c r="P300" s="1" t="s">
        <v>2855</v>
      </c>
      <c r="Q300" s="1" t="s">
        <v>6585</v>
      </c>
      <c r="R300" s="1" t="s">
        <v>3451</v>
      </c>
      <c r="S300" s="1" t="s">
        <v>4167</v>
      </c>
      <c r="T300" s="1" t="s">
        <v>6586</v>
      </c>
      <c r="U300" s="1" t="s">
        <v>2421</v>
      </c>
      <c r="V300" s="1" t="s">
        <v>6587</v>
      </c>
      <c r="W300" s="1" t="s">
        <v>6588</v>
      </c>
      <c r="X300" s="1" t="s">
        <v>6589</v>
      </c>
      <c r="Y300" s="1" t="s">
        <v>5319</v>
      </c>
      <c r="Z300" s="1" t="s">
        <v>6590</v>
      </c>
      <c r="AA300" s="1" t="s">
        <v>6591</v>
      </c>
      <c r="AB300" s="1" t="s">
        <v>5710</v>
      </c>
      <c r="AC300" s="1" t="s">
        <v>842</v>
      </c>
    </row>
    <row r="301" spans="1:29" ht="57" x14ac:dyDescent="0.45">
      <c r="A301" s="5" t="s">
        <v>295</v>
      </c>
      <c r="B301" s="2">
        <v>4142760</v>
      </c>
      <c r="C301" s="1" t="s">
        <v>6592</v>
      </c>
      <c r="D301" s="1" t="s">
        <v>6593</v>
      </c>
      <c r="E301" s="1" t="s">
        <v>5036</v>
      </c>
      <c r="F301" s="1" t="s">
        <v>6594</v>
      </c>
      <c r="G301" s="1" t="s">
        <v>6595</v>
      </c>
      <c r="H301" s="1" t="s">
        <v>6596</v>
      </c>
      <c r="I301" s="1" t="s">
        <v>4405</v>
      </c>
      <c r="J301" s="1" t="s">
        <v>6597</v>
      </c>
      <c r="K301" s="1" t="s">
        <v>6598</v>
      </c>
      <c r="L301" s="1" t="s">
        <v>6599</v>
      </c>
      <c r="M301" s="1" t="s">
        <v>6600</v>
      </c>
      <c r="N301" s="1" t="s">
        <v>6601</v>
      </c>
      <c r="O301" s="1" t="s">
        <v>6602</v>
      </c>
      <c r="P301" s="1" t="s">
        <v>6603</v>
      </c>
      <c r="Q301" s="1" t="s">
        <v>605</v>
      </c>
      <c r="R301" s="1" t="s">
        <v>6604</v>
      </c>
      <c r="S301" s="1" t="s">
        <v>5983</v>
      </c>
      <c r="T301" s="1" t="s">
        <v>5981</v>
      </c>
      <c r="U301" s="1" t="s">
        <v>6605</v>
      </c>
      <c r="V301" s="1" t="s">
        <v>6606</v>
      </c>
      <c r="W301" s="1" t="s">
        <v>6607</v>
      </c>
      <c r="X301" s="1" t="s">
        <v>6608</v>
      </c>
      <c r="Y301" s="1" t="s">
        <v>6609</v>
      </c>
      <c r="Z301" s="1" t="s">
        <v>6610</v>
      </c>
      <c r="AA301" s="1" t="s">
        <v>6611</v>
      </c>
      <c r="AB301" s="1" t="s">
        <v>6612</v>
      </c>
      <c r="AC301" s="1" t="s">
        <v>6613</v>
      </c>
    </row>
    <row r="302" spans="1:29" ht="71.25" x14ac:dyDescent="0.45">
      <c r="A302" s="5" t="s">
        <v>296</v>
      </c>
      <c r="B302" s="2">
        <v>4153870</v>
      </c>
      <c r="C302" s="1" t="s">
        <v>6614</v>
      </c>
      <c r="D302" s="1" t="s">
        <v>6615</v>
      </c>
      <c r="E302" s="1" t="s">
        <v>3318</v>
      </c>
      <c r="F302" s="1" t="s">
        <v>6616</v>
      </c>
      <c r="G302" s="1" t="s">
        <v>2735</v>
      </c>
      <c r="H302" s="1" t="s">
        <v>629</v>
      </c>
      <c r="I302" s="1" t="s">
        <v>6617</v>
      </c>
      <c r="J302" s="1" t="s">
        <v>6618</v>
      </c>
      <c r="K302" s="1" t="s">
        <v>6619</v>
      </c>
      <c r="L302" s="1" t="s">
        <v>6620</v>
      </c>
      <c r="M302" s="1" t="s">
        <v>6621</v>
      </c>
      <c r="N302" s="1" t="s">
        <v>6622</v>
      </c>
      <c r="O302" s="1" t="s">
        <v>2731</v>
      </c>
      <c r="P302" s="1" t="s">
        <v>4842</v>
      </c>
      <c r="Q302" s="1" t="s">
        <v>6623</v>
      </c>
      <c r="R302" s="1" t="s">
        <v>6624</v>
      </c>
      <c r="S302" s="1" t="s">
        <v>6625</v>
      </c>
      <c r="T302" s="1" t="s">
        <v>6626</v>
      </c>
      <c r="U302" s="1" t="s">
        <v>625</v>
      </c>
      <c r="V302" s="1" t="s">
        <v>6627</v>
      </c>
      <c r="W302" s="1" t="s">
        <v>6628</v>
      </c>
      <c r="X302" s="1" t="s">
        <v>6626</v>
      </c>
      <c r="Y302" s="1" t="s">
        <v>6629</v>
      </c>
      <c r="Z302" s="1" t="s">
        <v>6630</v>
      </c>
      <c r="AA302" s="1" t="s">
        <v>4796</v>
      </c>
      <c r="AB302" s="1" t="s">
        <v>6631</v>
      </c>
      <c r="AC302" s="1" t="s">
        <v>6632</v>
      </c>
    </row>
    <row r="303" spans="1:29" ht="71.25" x14ac:dyDescent="0.45">
      <c r="A303" s="5" t="s">
        <v>297</v>
      </c>
      <c r="B303" s="2">
        <v>4060881</v>
      </c>
      <c r="C303" s="1" t="s">
        <v>6633</v>
      </c>
      <c r="D303" s="1" t="s">
        <v>6634</v>
      </c>
      <c r="E303" s="1" t="s">
        <v>782</v>
      </c>
      <c r="F303" s="1" t="s">
        <v>6635</v>
      </c>
      <c r="G303" s="1" t="s">
        <v>6636</v>
      </c>
      <c r="H303" s="1" t="s">
        <v>6637</v>
      </c>
      <c r="I303" s="1" t="s">
        <v>6638</v>
      </c>
      <c r="J303" s="1" t="s">
        <v>6639</v>
      </c>
      <c r="K303" s="1" t="s">
        <v>2099</v>
      </c>
      <c r="L303" s="1" t="s">
        <v>6640</v>
      </c>
      <c r="M303" s="1" t="s">
        <v>6641</v>
      </c>
      <c r="N303" s="1" t="s">
        <v>6642</v>
      </c>
      <c r="O303" s="1" t="s">
        <v>5468</v>
      </c>
      <c r="P303" s="1" t="s">
        <v>6643</v>
      </c>
      <c r="Q303" s="1" t="s">
        <v>6644</v>
      </c>
      <c r="R303" s="1" t="s">
        <v>6645</v>
      </c>
      <c r="S303" s="1" t="s">
        <v>6646</v>
      </c>
      <c r="T303" s="1" t="s">
        <v>6647</v>
      </c>
      <c r="U303" s="1" t="s">
        <v>6648</v>
      </c>
      <c r="V303" s="1" t="s">
        <v>6649</v>
      </c>
      <c r="W303" s="1" t="s">
        <v>6650</v>
      </c>
      <c r="X303" s="1" t="s">
        <v>6651</v>
      </c>
      <c r="Y303" s="1" t="s">
        <v>6652</v>
      </c>
      <c r="Z303" s="1" t="s">
        <v>3905</v>
      </c>
      <c r="AA303" s="1" t="s">
        <v>6653</v>
      </c>
      <c r="AB303" s="1" t="s">
        <v>1914</v>
      </c>
      <c r="AC303" s="1" t="s">
        <v>1719</v>
      </c>
    </row>
    <row r="304" spans="1:29" ht="28.5" x14ac:dyDescent="0.45">
      <c r="A304" s="5" t="s">
        <v>298</v>
      </c>
      <c r="B304" s="2">
        <v>4051243</v>
      </c>
      <c r="C304" s="1" t="s">
        <v>6654</v>
      </c>
      <c r="D304" s="1" t="s">
        <v>6655</v>
      </c>
      <c r="E304" s="1" t="s">
        <v>1497</v>
      </c>
      <c r="F304" s="1" t="s">
        <v>6656</v>
      </c>
      <c r="G304" s="1" t="s">
        <v>6657</v>
      </c>
      <c r="H304" s="1" t="s">
        <v>6658</v>
      </c>
      <c r="I304" s="1" t="s">
        <v>6659</v>
      </c>
      <c r="J304" s="1" t="s">
        <v>6660</v>
      </c>
      <c r="K304" s="1" t="s">
        <v>6661</v>
      </c>
      <c r="L304" s="1" t="s">
        <v>6662</v>
      </c>
      <c r="M304" s="1" t="s">
        <v>6663</v>
      </c>
      <c r="N304" s="1" t="s">
        <v>6664</v>
      </c>
      <c r="O304" s="1" t="s">
        <v>6665</v>
      </c>
      <c r="P304" s="1" t="s">
        <v>6666</v>
      </c>
      <c r="Q304" s="1" t="s">
        <v>6667</v>
      </c>
      <c r="R304" s="1" t="s">
        <v>6668</v>
      </c>
      <c r="S304" s="1" t="s">
        <v>6669</v>
      </c>
      <c r="T304" s="1" t="s">
        <v>5372</v>
      </c>
      <c r="U304" s="1" t="s">
        <v>6670</v>
      </c>
      <c r="V304" s="1" t="s">
        <v>6671</v>
      </c>
      <c r="W304" s="1" t="s">
        <v>6672</v>
      </c>
      <c r="X304" s="1" t="s">
        <v>6673</v>
      </c>
      <c r="Y304" s="1" t="s">
        <v>6674</v>
      </c>
      <c r="Z304" s="1" t="s">
        <v>6675</v>
      </c>
      <c r="AA304" s="1" t="s">
        <v>6676</v>
      </c>
      <c r="AB304" s="1" t="s">
        <v>5310</v>
      </c>
      <c r="AC304" s="1" t="s">
        <v>6677</v>
      </c>
    </row>
    <row r="305" spans="1:29" ht="85.5" x14ac:dyDescent="0.45">
      <c r="A305" s="5" t="s">
        <v>299</v>
      </c>
      <c r="B305" s="2">
        <v>4216584</v>
      </c>
      <c r="C305" s="1" t="s">
        <v>6678</v>
      </c>
      <c r="D305" s="1" t="s">
        <v>6679</v>
      </c>
      <c r="E305" s="1" t="s">
        <v>4834</v>
      </c>
      <c r="F305" s="1" t="s">
        <v>6680</v>
      </c>
      <c r="G305" s="1" t="s">
        <v>6681</v>
      </c>
      <c r="H305" s="1" t="s">
        <v>6682</v>
      </c>
      <c r="I305" s="1" t="s">
        <v>6683</v>
      </c>
      <c r="J305" s="1" t="s">
        <v>6684</v>
      </c>
      <c r="K305" s="1" t="s">
        <v>6685</v>
      </c>
      <c r="L305" s="1" t="s">
        <v>2435</v>
      </c>
      <c r="M305" s="1" t="s">
        <v>3377</v>
      </c>
      <c r="N305" s="1" t="s">
        <v>6686</v>
      </c>
      <c r="O305" s="1" t="s">
        <v>2643</v>
      </c>
      <c r="P305" s="1" t="s">
        <v>6687</v>
      </c>
      <c r="Q305" s="1" t="s">
        <v>6688</v>
      </c>
      <c r="R305" s="1" t="s">
        <v>6689</v>
      </c>
      <c r="S305" s="1" t="s">
        <v>2078</v>
      </c>
      <c r="T305" s="1" t="s">
        <v>2855</v>
      </c>
      <c r="U305" s="1" t="s">
        <v>1476</v>
      </c>
      <c r="V305" s="1" t="s">
        <v>6586</v>
      </c>
      <c r="W305" s="1" t="s">
        <v>6690</v>
      </c>
      <c r="X305" s="1" t="s">
        <v>6691</v>
      </c>
      <c r="Y305" s="1" t="s">
        <v>5758</v>
      </c>
      <c r="Z305" s="1" t="s">
        <v>576</v>
      </c>
      <c r="AA305" s="1" t="s">
        <v>6692</v>
      </c>
      <c r="AB305" s="1" t="s">
        <v>6693</v>
      </c>
      <c r="AC305" s="1" t="s">
        <v>2362</v>
      </c>
    </row>
    <row r="306" spans="1:29" ht="57" x14ac:dyDescent="0.45">
      <c r="A306" s="5" t="s">
        <v>300</v>
      </c>
      <c r="B306" s="2">
        <v>4004201</v>
      </c>
      <c r="C306" s="1" t="s">
        <v>6694</v>
      </c>
      <c r="D306" s="1" t="s">
        <v>6695</v>
      </c>
      <c r="E306" s="1" t="s">
        <v>1748</v>
      </c>
      <c r="F306" s="1" t="s">
        <v>5938</v>
      </c>
      <c r="G306" s="1" t="s">
        <v>6696</v>
      </c>
      <c r="H306" s="1" t="s">
        <v>4483</v>
      </c>
      <c r="I306" s="1" t="s">
        <v>6697</v>
      </c>
      <c r="J306" s="1" t="s">
        <v>6698</v>
      </c>
      <c r="K306" s="1" t="s">
        <v>3958</v>
      </c>
      <c r="L306" s="1" t="s">
        <v>1131</v>
      </c>
      <c r="M306" s="1" t="s">
        <v>6699</v>
      </c>
      <c r="N306" s="1" t="s">
        <v>1559</v>
      </c>
      <c r="O306" s="1" t="s">
        <v>847</v>
      </c>
      <c r="P306" s="1" t="s">
        <v>6700</v>
      </c>
      <c r="Q306" s="1" t="s">
        <v>6701</v>
      </c>
      <c r="R306" s="1" t="s">
        <v>6702</v>
      </c>
      <c r="S306" s="1" t="s">
        <v>5345</v>
      </c>
      <c r="T306" s="1" t="s">
        <v>6516</v>
      </c>
      <c r="U306" s="1" t="s">
        <v>6703</v>
      </c>
      <c r="V306" s="1" t="s">
        <v>6521</v>
      </c>
      <c r="W306" s="1" t="s">
        <v>1133</v>
      </c>
      <c r="X306" s="1" t="s">
        <v>6704</v>
      </c>
      <c r="Y306" s="1" t="s">
        <v>6705</v>
      </c>
      <c r="Z306" s="1" t="s">
        <v>6706</v>
      </c>
      <c r="AA306" s="1" t="s">
        <v>5596</v>
      </c>
      <c r="AB306" s="1" t="s">
        <v>4577</v>
      </c>
      <c r="AC306" s="1" t="s">
        <v>6707</v>
      </c>
    </row>
    <row r="307" spans="1:29" ht="28.5" x14ac:dyDescent="0.45">
      <c r="A307" s="5" t="s">
        <v>301</v>
      </c>
      <c r="B307" s="2">
        <v>4163620</v>
      </c>
      <c r="C307" s="1" t="s">
        <v>6708</v>
      </c>
      <c r="D307" s="1" t="s">
        <v>6709</v>
      </c>
      <c r="E307" s="1" t="s">
        <v>648</v>
      </c>
      <c r="F307" s="1" t="s">
        <v>5062</v>
      </c>
      <c r="G307" s="1" t="s">
        <v>1015</v>
      </c>
      <c r="H307" s="1" t="s">
        <v>6710</v>
      </c>
      <c r="I307" s="1" t="s">
        <v>6711</v>
      </c>
      <c r="J307" s="1" t="s">
        <v>6712</v>
      </c>
      <c r="K307" s="1" t="s">
        <v>6713</v>
      </c>
      <c r="L307" s="1" t="s">
        <v>3678</v>
      </c>
      <c r="M307" s="1" t="s">
        <v>927</v>
      </c>
      <c r="N307" s="1" t="s">
        <v>6714</v>
      </c>
      <c r="O307" s="1" t="s">
        <v>6715</v>
      </c>
      <c r="P307" s="1" t="s">
        <v>6716</v>
      </c>
      <c r="Q307" s="1" t="s">
        <v>6717</v>
      </c>
      <c r="R307" s="1" t="s">
        <v>6718</v>
      </c>
      <c r="S307" s="1" t="s">
        <v>6719</v>
      </c>
      <c r="T307" s="1" t="s">
        <v>6720</v>
      </c>
      <c r="U307" s="1" t="s">
        <v>3984</v>
      </c>
      <c r="V307" s="1" t="s">
        <v>6721</v>
      </c>
      <c r="W307" s="1" t="s">
        <v>6722</v>
      </c>
      <c r="X307" s="1" t="s">
        <v>6723</v>
      </c>
      <c r="Y307" s="1" t="s">
        <v>6724</v>
      </c>
      <c r="Z307" s="1" t="s">
        <v>1023</v>
      </c>
      <c r="AA307" s="1" t="s">
        <v>4125</v>
      </c>
      <c r="AB307" s="1" t="s">
        <v>918</v>
      </c>
      <c r="AC307" s="1" t="s">
        <v>5273</v>
      </c>
    </row>
    <row r="308" spans="1:29" ht="57" x14ac:dyDescent="0.45">
      <c r="A308" s="5" t="s">
        <v>302</v>
      </c>
      <c r="B308" s="2">
        <v>4337758</v>
      </c>
      <c r="C308" s="1" t="s">
        <v>6725</v>
      </c>
      <c r="D308" s="1" t="s">
        <v>6726</v>
      </c>
      <c r="E308" s="1" t="s">
        <v>994</v>
      </c>
      <c r="F308" s="1" t="s">
        <v>6727</v>
      </c>
      <c r="G308" s="1" t="s">
        <v>6728</v>
      </c>
      <c r="H308" s="1" t="s">
        <v>6729</v>
      </c>
      <c r="I308" s="1" t="s">
        <v>6730</v>
      </c>
      <c r="J308" s="1" t="s">
        <v>6731</v>
      </c>
      <c r="K308" s="1" t="s">
        <v>6732</v>
      </c>
      <c r="L308" s="1" t="s">
        <v>6733</v>
      </c>
      <c r="M308" s="1" t="s">
        <v>6734</v>
      </c>
      <c r="N308" s="1" t="s">
        <v>6735</v>
      </c>
      <c r="O308" s="1" t="s">
        <v>6736</v>
      </c>
      <c r="P308" s="1" t="s">
        <v>6737</v>
      </c>
      <c r="Q308" s="1" t="s">
        <v>6738</v>
      </c>
      <c r="R308" s="1" t="s">
        <v>6739</v>
      </c>
      <c r="S308" s="1" t="s">
        <v>6740</v>
      </c>
      <c r="T308" s="1" t="s">
        <v>6741</v>
      </c>
      <c r="U308" s="1" t="s">
        <v>6742</v>
      </c>
      <c r="V308" s="1" t="s">
        <v>6743</v>
      </c>
      <c r="W308" s="1" t="s">
        <v>6744</v>
      </c>
      <c r="X308" s="1" t="s">
        <v>2102</v>
      </c>
      <c r="Y308" s="1" t="s">
        <v>6745</v>
      </c>
      <c r="Z308" s="1" t="s">
        <v>6746</v>
      </c>
      <c r="AA308" s="1" t="s">
        <v>6747</v>
      </c>
      <c r="AB308" s="1" t="s">
        <v>6748</v>
      </c>
      <c r="AC308" s="1" t="s">
        <v>6749</v>
      </c>
    </row>
    <row r="309" spans="1:29" ht="57" x14ac:dyDescent="0.45">
      <c r="A309" s="5" t="s">
        <v>303</v>
      </c>
      <c r="B309" s="2">
        <v>4004205</v>
      </c>
      <c r="C309" s="1" t="s">
        <v>6750</v>
      </c>
      <c r="D309" s="1" t="s">
        <v>6751</v>
      </c>
      <c r="E309" s="1" t="s">
        <v>3628</v>
      </c>
      <c r="F309" s="1" t="s">
        <v>6752</v>
      </c>
      <c r="G309" s="1" t="s">
        <v>3488</v>
      </c>
      <c r="H309" s="1" t="s">
        <v>6753</v>
      </c>
      <c r="I309" s="1" t="s">
        <v>2643</v>
      </c>
      <c r="J309" s="1" t="s">
        <v>6754</v>
      </c>
      <c r="K309" s="1" t="s">
        <v>1476</v>
      </c>
      <c r="L309" s="1" t="s">
        <v>4970</v>
      </c>
      <c r="M309" s="1" t="s">
        <v>6755</v>
      </c>
      <c r="N309" s="1" t="s">
        <v>3379</v>
      </c>
      <c r="O309" s="1" t="s">
        <v>1207</v>
      </c>
      <c r="P309" s="1" t="s">
        <v>6756</v>
      </c>
      <c r="Q309" s="1" t="s">
        <v>6757</v>
      </c>
      <c r="R309" s="1" t="s">
        <v>6758</v>
      </c>
      <c r="S309" s="1" t="s">
        <v>6759</v>
      </c>
      <c r="T309" s="1" t="s">
        <v>6760</v>
      </c>
      <c r="U309" s="1" t="s">
        <v>6761</v>
      </c>
      <c r="V309" s="1" t="s">
        <v>6762</v>
      </c>
      <c r="W309" s="1" t="s">
        <v>5932</v>
      </c>
      <c r="X309" s="1" t="s">
        <v>1217</v>
      </c>
      <c r="Y309" s="1" t="s">
        <v>6763</v>
      </c>
      <c r="Z309" s="1" t="s">
        <v>6764</v>
      </c>
      <c r="AA309" s="1" t="s">
        <v>3374</v>
      </c>
      <c r="AB309" s="1" t="s">
        <v>6765</v>
      </c>
      <c r="AC309" s="1" t="s">
        <v>6766</v>
      </c>
    </row>
    <row r="310" spans="1:29" ht="57" x14ac:dyDescent="0.45">
      <c r="A310" s="5" t="s">
        <v>304</v>
      </c>
      <c r="B310" s="2">
        <v>103239</v>
      </c>
      <c r="C310" s="1" t="s">
        <v>6767</v>
      </c>
      <c r="D310" s="1" t="s">
        <v>6768</v>
      </c>
      <c r="E310" s="1" t="s">
        <v>6769</v>
      </c>
      <c r="F310" s="1" t="s">
        <v>6770</v>
      </c>
      <c r="G310" s="1" t="s">
        <v>2301</v>
      </c>
      <c r="H310" s="1" t="s">
        <v>1058</v>
      </c>
      <c r="I310" s="1" t="s">
        <v>6366</v>
      </c>
      <c r="J310" s="1" t="s">
        <v>6771</v>
      </c>
      <c r="K310" s="1" t="s">
        <v>3975</v>
      </c>
      <c r="L310" s="1" t="s">
        <v>5081</v>
      </c>
      <c r="M310" s="1" t="s">
        <v>6772</v>
      </c>
      <c r="N310" s="1" t="s">
        <v>6773</v>
      </c>
      <c r="O310" s="1" t="s">
        <v>802</v>
      </c>
      <c r="P310" s="1" t="s">
        <v>6774</v>
      </c>
      <c r="Q310" s="1" t="s">
        <v>6389</v>
      </c>
      <c r="R310" s="1" t="s">
        <v>4710</v>
      </c>
      <c r="S310" s="1" t="s">
        <v>1605</v>
      </c>
      <c r="T310" s="1" t="s">
        <v>3854</v>
      </c>
      <c r="U310" s="1" t="s">
        <v>5140</v>
      </c>
      <c r="V310" s="1" t="s">
        <v>6775</v>
      </c>
      <c r="W310" s="1" t="s">
        <v>6776</v>
      </c>
      <c r="X310" s="1" t="s">
        <v>6777</v>
      </c>
      <c r="Y310" s="1" t="s">
        <v>1063</v>
      </c>
      <c r="Z310" s="1" t="s">
        <v>5023</v>
      </c>
      <c r="AA310" s="1" t="s">
        <v>6778</v>
      </c>
      <c r="AB310" s="1" t="s">
        <v>6779</v>
      </c>
      <c r="AC310" s="1" t="s">
        <v>650</v>
      </c>
    </row>
    <row r="311" spans="1:29" ht="71.25" x14ac:dyDescent="0.45">
      <c r="A311" s="5" t="s">
        <v>305</v>
      </c>
      <c r="B311" s="2">
        <v>4218591</v>
      </c>
      <c r="C311" s="1" t="s">
        <v>6780</v>
      </c>
      <c r="D311" s="1" t="s">
        <v>6781</v>
      </c>
      <c r="E311" s="1" t="s">
        <v>2365</v>
      </c>
      <c r="F311" s="1" t="s">
        <v>800</v>
      </c>
      <c r="G311" s="1" t="s">
        <v>1931</v>
      </c>
      <c r="H311" s="1" t="s">
        <v>2503</v>
      </c>
      <c r="I311" s="1" t="s">
        <v>6782</v>
      </c>
      <c r="J311" s="1" t="s">
        <v>5504</v>
      </c>
      <c r="K311" s="1" t="s">
        <v>1818</v>
      </c>
      <c r="L311" s="1" t="s">
        <v>6783</v>
      </c>
      <c r="M311" s="1" t="s">
        <v>2993</v>
      </c>
      <c r="N311" s="1" t="s">
        <v>3258</v>
      </c>
      <c r="O311" s="1" t="s">
        <v>1944</v>
      </c>
      <c r="P311" s="1" t="s">
        <v>6784</v>
      </c>
      <c r="Q311" s="1" t="s">
        <v>1926</v>
      </c>
      <c r="R311" s="1" t="s">
        <v>6785</v>
      </c>
      <c r="S311" s="1" t="s">
        <v>1675</v>
      </c>
      <c r="T311" s="1" t="s">
        <v>6786</v>
      </c>
      <c r="U311" s="1" t="s">
        <v>4647</v>
      </c>
      <c r="V311" s="1" t="s">
        <v>6787</v>
      </c>
      <c r="W311" s="1" t="s">
        <v>6788</v>
      </c>
      <c r="X311" s="1" t="s">
        <v>6789</v>
      </c>
      <c r="Y311" s="1" t="s">
        <v>660</v>
      </c>
      <c r="Z311" s="1" t="s">
        <v>6790</v>
      </c>
      <c r="AA311" s="1" t="s">
        <v>6791</v>
      </c>
      <c r="AB311" s="1" t="s">
        <v>6792</v>
      </c>
      <c r="AC311" s="1" t="s">
        <v>6793</v>
      </c>
    </row>
    <row r="312" spans="1:29" ht="57" x14ac:dyDescent="0.45">
      <c r="A312" s="5" t="s">
        <v>306</v>
      </c>
      <c r="B312" s="2">
        <v>4810610</v>
      </c>
      <c r="C312" s="1" t="s">
        <v>6794</v>
      </c>
      <c r="D312" s="1" t="s">
        <v>6795</v>
      </c>
      <c r="E312" s="1" t="s">
        <v>994</v>
      </c>
      <c r="F312" s="1" t="s">
        <v>6796</v>
      </c>
      <c r="G312" s="1" t="s">
        <v>6053</v>
      </c>
      <c r="H312" s="1" t="s">
        <v>6797</v>
      </c>
      <c r="I312" s="1" t="s">
        <v>6796</v>
      </c>
      <c r="J312" s="1" t="s">
        <v>4169</v>
      </c>
      <c r="K312" s="1" t="s">
        <v>6798</v>
      </c>
      <c r="L312" s="1" t="s">
        <v>6799</v>
      </c>
      <c r="M312" s="1" t="s">
        <v>6800</v>
      </c>
      <c r="N312" s="1" t="s">
        <v>6801</v>
      </c>
      <c r="O312" s="1" t="s">
        <v>6802</v>
      </c>
      <c r="P312" s="1" t="s">
        <v>6803</v>
      </c>
      <c r="Q312" s="1" t="s">
        <v>5961</v>
      </c>
      <c r="R312" s="1" t="s">
        <v>4483</v>
      </c>
      <c r="S312" s="1" t="s">
        <v>6219</v>
      </c>
      <c r="T312" s="1" t="s">
        <v>6804</v>
      </c>
      <c r="U312" s="1" t="s">
        <v>2352</v>
      </c>
      <c r="V312" s="1" t="s">
        <v>2434</v>
      </c>
      <c r="W312" s="1" t="s">
        <v>3376</v>
      </c>
      <c r="X312" s="1" t="s">
        <v>6591</v>
      </c>
      <c r="Y312" s="1" t="s">
        <v>5342</v>
      </c>
      <c r="Z312" s="1" t="s">
        <v>4052</v>
      </c>
      <c r="AA312" s="1" t="s">
        <v>3393</v>
      </c>
      <c r="AB312" s="1" t="s">
        <v>857</v>
      </c>
      <c r="AC312" s="1" t="s">
        <v>3378</v>
      </c>
    </row>
    <row r="313" spans="1:29" ht="57" x14ac:dyDescent="0.45">
      <c r="A313" s="5" t="s">
        <v>307</v>
      </c>
      <c r="B313" s="2">
        <v>102953</v>
      </c>
      <c r="C313" s="1" t="s">
        <v>6805</v>
      </c>
      <c r="D313" s="1" t="s">
        <v>6806</v>
      </c>
      <c r="E313" s="1" t="s">
        <v>6807</v>
      </c>
      <c r="F313" s="1" t="s">
        <v>1217</v>
      </c>
      <c r="G313" s="1" t="s">
        <v>6808</v>
      </c>
      <c r="H313" s="1" t="s">
        <v>2076</v>
      </c>
      <c r="I313" s="1" t="s">
        <v>2581</v>
      </c>
      <c r="J313" s="1" t="s">
        <v>3010</v>
      </c>
      <c r="K313" s="1" t="s">
        <v>6809</v>
      </c>
      <c r="L313" s="1" t="s">
        <v>6810</v>
      </c>
      <c r="M313" s="1" t="s">
        <v>6811</v>
      </c>
      <c r="N313" s="1" t="s">
        <v>6811</v>
      </c>
      <c r="O313" s="1" t="s">
        <v>6812</v>
      </c>
      <c r="P313" s="1" t="s">
        <v>5148</v>
      </c>
      <c r="Q313" s="1" t="s">
        <v>6813</v>
      </c>
      <c r="R313" s="1" t="s">
        <v>6814</v>
      </c>
      <c r="S313" s="1" t="s">
        <v>3250</v>
      </c>
      <c r="T313" s="1" t="s">
        <v>6815</v>
      </c>
      <c r="U313" s="1" t="s">
        <v>6816</v>
      </c>
      <c r="V313" s="1" t="s">
        <v>6817</v>
      </c>
      <c r="W313" s="1" t="s">
        <v>6818</v>
      </c>
      <c r="X313" s="1" t="s">
        <v>2778</v>
      </c>
      <c r="Y313" s="1" t="s">
        <v>3010</v>
      </c>
      <c r="Z313" s="1" t="s">
        <v>6819</v>
      </c>
      <c r="AA313" s="1" t="s">
        <v>6820</v>
      </c>
      <c r="AB313" s="1" t="s">
        <v>3194</v>
      </c>
      <c r="AC313" s="1" t="s">
        <v>6821</v>
      </c>
    </row>
    <row r="314" spans="1:29" ht="71.25" x14ac:dyDescent="0.45">
      <c r="A314" s="5" t="s">
        <v>308</v>
      </c>
      <c r="B314" s="2">
        <v>4095241</v>
      </c>
      <c r="C314" s="1" t="s">
        <v>6822</v>
      </c>
      <c r="D314" s="1" t="s">
        <v>6823</v>
      </c>
      <c r="E314" s="1" t="s">
        <v>6154</v>
      </c>
      <c r="F314" s="1" t="s">
        <v>6824</v>
      </c>
      <c r="G314" s="1" t="s">
        <v>6825</v>
      </c>
      <c r="H314" s="1" t="s">
        <v>6826</v>
      </c>
      <c r="I314" s="1" t="s">
        <v>6827</v>
      </c>
      <c r="J314" s="1" t="s">
        <v>6828</v>
      </c>
      <c r="K314" s="1" t="s">
        <v>6829</v>
      </c>
      <c r="L314" s="1" t="s">
        <v>6830</v>
      </c>
      <c r="M314" s="1" t="s">
        <v>6831</v>
      </c>
      <c r="N314" s="1" t="s">
        <v>6832</v>
      </c>
      <c r="O314" s="1" t="s">
        <v>6833</v>
      </c>
      <c r="P314" s="1" t="s">
        <v>6834</v>
      </c>
      <c r="Q314" s="1" t="s">
        <v>2611</v>
      </c>
      <c r="R314" s="1" t="s">
        <v>6835</v>
      </c>
      <c r="S314" s="1" t="s">
        <v>6836</v>
      </c>
      <c r="T314" s="1" t="s">
        <v>6837</v>
      </c>
      <c r="U314" s="1" t="s">
        <v>6838</v>
      </c>
      <c r="V314" s="1" t="s">
        <v>6839</v>
      </c>
      <c r="W314" s="1" t="s">
        <v>6840</v>
      </c>
      <c r="X314" s="1" t="s">
        <v>6841</v>
      </c>
      <c r="Y314" s="1" t="s">
        <v>6842</v>
      </c>
      <c r="Z314" s="1" t="s">
        <v>6843</v>
      </c>
      <c r="AA314" s="1" t="s">
        <v>6844</v>
      </c>
      <c r="AB314" s="1" t="s">
        <v>6845</v>
      </c>
      <c r="AC314" s="1" t="s">
        <v>6846</v>
      </c>
    </row>
    <row r="315" spans="1:29" ht="71.25" x14ac:dyDescent="0.45">
      <c r="A315" s="5" t="s">
        <v>309</v>
      </c>
      <c r="B315" s="2">
        <v>111908</v>
      </c>
      <c r="C315" s="1" t="s">
        <v>6847</v>
      </c>
      <c r="D315" s="1" t="s">
        <v>6848</v>
      </c>
      <c r="E315" s="1" t="s">
        <v>6807</v>
      </c>
      <c r="F315" s="1" t="s">
        <v>6849</v>
      </c>
      <c r="G315" s="1" t="s">
        <v>6850</v>
      </c>
      <c r="H315" s="1" t="s">
        <v>6851</v>
      </c>
      <c r="I315" s="1" t="s">
        <v>6852</v>
      </c>
      <c r="J315" s="1" t="s">
        <v>6853</v>
      </c>
      <c r="K315" s="1" t="s">
        <v>868</v>
      </c>
      <c r="L315" s="1" t="s">
        <v>6854</v>
      </c>
      <c r="M315" s="1" t="s">
        <v>884</v>
      </c>
      <c r="N315" s="1" t="s">
        <v>6855</v>
      </c>
      <c r="O315" s="1" t="s">
        <v>6856</v>
      </c>
      <c r="P315" s="1" t="s">
        <v>1053</v>
      </c>
      <c r="Q315" s="1" t="s">
        <v>3643</v>
      </c>
      <c r="R315" s="1" t="s">
        <v>6857</v>
      </c>
      <c r="S315" s="1" t="s">
        <v>6858</v>
      </c>
      <c r="T315" s="1" t="s">
        <v>6859</v>
      </c>
      <c r="U315" s="1" t="s">
        <v>6860</v>
      </c>
      <c r="V315" s="1" t="s">
        <v>2198</v>
      </c>
      <c r="W315" s="1" t="s">
        <v>6861</v>
      </c>
      <c r="X315" s="1" t="s">
        <v>1258</v>
      </c>
      <c r="Y315" s="1" t="s">
        <v>6862</v>
      </c>
      <c r="Z315" s="1" t="s">
        <v>6863</v>
      </c>
      <c r="AA315" s="1" t="s">
        <v>6864</v>
      </c>
      <c r="AB315" s="1" t="s">
        <v>6865</v>
      </c>
      <c r="AC315" s="1" t="s">
        <v>6866</v>
      </c>
    </row>
    <row r="316" spans="1:29" ht="71.25" x14ac:dyDescent="0.45">
      <c r="A316" s="5" t="s">
        <v>310</v>
      </c>
      <c r="B316" s="2">
        <v>4309704</v>
      </c>
      <c r="C316" s="1" t="s">
        <v>6867</v>
      </c>
      <c r="D316" s="1" t="s">
        <v>6868</v>
      </c>
      <c r="E316" s="1" t="s">
        <v>5036</v>
      </c>
      <c r="F316" s="1" t="s">
        <v>6356</v>
      </c>
      <c r="G316" s="1" t="s">
        <v>3690</v>
      </c>
      <c r="H316" s="1" t="s">
        <v>6869</v>
      </c>
      <c r="I316" s="1" t="s">
        <v>6870</v>
      </c>
      <c r="J316" s="1" t="s">
        <v>6871</v>
      </c>
      <c r="K316" s="1" t="s">
        <v>6872</v>
      </c>
      <c r="L316" s="1" t="s">
        <v>937</v>
      </c>
      <c r="M316" s="1" t="s">
        <v>6873</v>
      </c>
      <c r="N316" s="1" t="s">
        <v>2973</v>
      </c>
      <c r="O316" s="1" t="s">
        <v>6874</v>
      </c>
      <c r="P316" s="1" t="s">
        <v>4145</v>
      </c>
      <c r="Q316" s="1" t="s">
        <v>6875</v>
      </c>
      <c r="R316" s="1" t="s">
        <v>6876</v>
      </c>
      <c r="S316" s="1" t="s">
        <v>6877</v>
      </c>
      <c r="T316" s="1" t="s">
        <v>1428</v>
      </c>
      <c r="U316" s="1" t="s">
        <v>5361</v>
      </c>
      <c r="V316" s="1" t="s">
        <v>2002</v>
      </c>
      <c r="W316" s="1" t="s">
        <v>5365</v>
      </c>
      <c r="X316" s="1" t="s">
        <v>6878</v>
      </c>
      <c r="Y316" s="1" t="s">
        <v>6879</v>
      </c>
      <c r="Z316" s="1" t="s">
        <v>6880</v>
      </c>
      <c r="AA316" s="1" t="s">
        <v>6881</v>
      </c>
      <c r="AB316" s="1" t="s">
        <v>3990</v>
      </c>
      <c r="AC316" s="1" t="s">
        <v>6882</v>
      </c>
    </row>
    <row r="317" spans="1:29" ht="57" x14ac:dyDescent="0.45">
      <c r="A317" s="5" t="s">
        <v>311</v>
      </c>
      <c r="B317" s="2">
        <v>4074192</v>
      </c>
      <c r="C317" s="1" t="s">
        <v>6883</v>
      </c>
      <c r="D317" s="1" t="s">
        <v>6884</v>
      </c>
      <c r="E317" s="1" t="s">
        <v>2931</v>
      </c>
      <c r="F317" s="1" t="s">
        <v>4383</v>
      </c>
      <c r="G317" s="1" t="s">
        <v>6885</v>
      </c>
      <c r="H317" s="1" t="s">
        <v>3443</v>
      </c>
      <c r="I317" s="1" t="s">
        <v>584</v>
      </c>
      <c r="J317" s="1" t="s">
        <v>6886</v>
      </c>
      <c r="K317" s="1" t="s">
        <v>3321</v>
      </c>
      <c r="L317" s="1" t="s">
        <v>4387</v>
      </c>
      <c r="M317" s="1" t="s">
        <v>5008</v>
      </c>
      <c r="N317" s="1" t="s">
        <v>6887</v>
      </c>
      <c r="O317" s="1" t="s">
        <v>6888</v>
      </c>
      <c r="P317" s="1" t="s">
        <v>2285</v>
      </c>
      <c r="Q317" s="1" t="s">
        <v>6889</v>
      </c>
      <c r="R317" s="1" t="s">
        <v>6293</v>
      </c>
      <c r="S317" s="1" t="s">
        <v>3249</v>
      </c>
      <c r="T317" s="1" t="s">
        <v>6890</v>
      </c>
      <c r="U317" s="1" t="s">
        <v>6891</v>
      </c>
      <c r="V317" s="1" t="s">
        <v>6892</v>
      </c>
      <c r="W317" s="1" t="s">
        <v>4034</v>
      </c>
      <c r="X317" s="1" t="s">
        <v>6893</v>
      </c>
      <c r="Y317" s="1" t="s">
        <v>3368</v>
      </c>
      <c r="Z317" s="1" t="s">
        <v>6894</v>
      </c>
      <c r="AA317" s="1" t="s">
        <v>2781</v>
      </c>
      <c r="AB317" s="1" t="s">
        <v>5191</v>
      </c>
      <c r="AC317" s="1" t="s">
        <v>6895</v>
      </c>
    </row>
    <row r="318" spans="1:29" ht="71.25" x14ac:dyDescent="0.45">
      <c r="A318" s="5" t="s">
        <v>312</v>
      </c>
      <c r="B318" s="2">
        <v>4000193</v>
      </c>
      <c r="C318" s="1" t="s">
        <v>6896</v>
      </c>
      <c r="D318" s="1" t="s">
        <v>6897</v>
      </c>
      <c r="E318" s="1" t="s">
        <v>5036</v>
      </c>
      <c r="F318" s="1" t="s">
        <v>6898</v>
      </c>
      <c r="G318" s="1" t="s">
        <v>6899</v>
      </c>
      <c r="H318" s="1" t="s">
        <v>6900</v>
      </c>
      <c r="I318" s="1" t="s">
        <v>6901</v>
      </c>
      <c r="J318" s="1" t="s">
        <v>6902</v>
      </c>
      <c r="K318" s="1" t="s">
        <v>6903</v>
      </c>
      <c r="L318" s="1" t="s">
        <v>5992</v>
      </c>
      <c r="M318" s="1" t="s">
        <v>6904</v>
      </c>
      <c r="N318" s="1" t="s">
        <v>6905</v>
      </c>
      <c r="O318" s="1" t="s">
        <v>6906</v>
      </c>
      <c r="P318" s="1" t="s">
        <v>6907</v>
      </c>
      <c r="Q318" s="1" t="s">
        <v>6908</v>
      </c>
      <c r="R318" s="1" t="s">
        <v>6909</v>
      </c>
      <c r="S318" s="1" t="s">
        <v>6910</v>
      </c>
      <c r="T318" s="1" t="s">
        <v>6425</v>
      </c>
      <c r="U318" s="1" t="s">
        <v>6911</v>
      </c>
      <c r="V318" s="1" t="s">
        <v>6912</v>
      </c>
      <c r="W318" s="1" t="s">
        <v>6913</v>
      </c>
      <c r="X318" s="1" t="s">
        <v>6914</v>
      </c>
      <c r="Y318" s="1" t="s">
        <v>6915</v>
      </c>
      <c r="Z318" s="1" t="s">
        <v>6916</v>
      </c>
      <c r="AA318" s="1" t="s">
        <v>6917</v>
      </c>
      <c r="AB318" s="1" t="s">
        <v>6918</v>
      </c>
      <c r="AC318" s="1" t="s">
        <v>6919</v>
      </c>
    </row>
    <row r="319" spans="1:29" ht="42.75" x14ac:dyDescent="0.45">
      <c r="A319" s="5" t="s">
        <v>313</v>
      </c>
      <c r="B319" s="2">
        <v>113873</v>
      </c>
      <c r="C319" s="1" t="s">
        <v>6920</v>
      </c>
      <c r="D319" s="1" t="s">
        <v>6921</v>
      </c>
      <c r="E319" s="1" t="s">
        <v>6169</v>
      </c>
      <c r="F319" s="1" t="s">
        <v>6922</v>
      </c>
      <c r="G319" s="1" t="s">
        <v>2745</v>
      </c>
      <c r="H319" s="1" t="s">
        <v>2922</v>
      </c>
      <c r="I319" s="1" t="s">
        <v>2912</v>
      </c>
      <c r="J319" s="1" t="s">
        <v>6923</v>
      </c>
      <c r="K319" s="1" t="s">
        <v>6924</v>
      </c>
      <c r="L319" s="1" t="s">
        <v>6925</v>
      </c>
      <c r="M319" s="1" t="s">
        <v>6926</v>
      </c>
      <c r="N319" s="1" t="s">
        <v>2925</v>
      </c>
      <c r="O319" s="1" t="s">
        <v>6927</v>
      </c>
      <c r="P319" s="1" t="s">
        <v>6928</v>
      </c>
      <c r="Q319" s="1" t="s">
        <v>6929</v>
      </c>
      <c r="R319" s="1" t="s">
        <v>2576</v>
      </c>
      <c r="S319" s="1" t="s">
        <v>6930</v>
      </c>
      <c r="T319" s="1" t="s">
        <v>6931</v>
      </c>
      <c r="U319" s="1" t="s">
        <v>6932</v>
      </c>
      <c r="V319" s="1" t="s">
        <v>6933</v>
      </c>
      <c r="W319" s="1" t="s">
        <v>2335</v>
      </c>
      <c r="X319" s="1" t="s">
        <v>6934</v>
      </c>
      <c r="Y319" s="1" t="s">
        <v>6935</v>
      </c>
      <c r="Z319" s="1" t="s">
        <v>6336</v>
      </c>
      <c r="AA319" s="1" t="s">
        <v>2334</v>
      </c>
      <c r="AB319" s="1" t="s">
        <v>4592</v>
      </c>
      <c r="AC319" s="1" t="s">
        <v>1761</v>
      </c>
    </row>
    <row r="320" spans="1:29" ht="42.75" x14ac:dyDescent="0.45">
      <c r="A320" s="5" t="s">
        <v>314</v>
      </c>
      <c r="B320" s="2">
        <v>6331137</v>
      </c>
      <c r="C320" s="1" t="s">
        <v>6936</v>
      </c>
      <c r="D320" s="1" t="s">
        <v>6937</v>
      </c>
      <c r="E320" s="1" t="s">
        <v>514</v>
      </c>
      <c r="F320" s="1" t="s">
        <v>4176</v>
      </c>
      <c r="G320" s="1" t="s">
        <v>6938</v>
      </c>
      <c r="H320" s="1" t="s">
        <v>6939</v>
      </c>
      <c r="I320" s="1" t="s">
        <v>6940</v>
      </c>
      <c r="J320" s="1" t="s">
        <v>3936</v>
      </c>
      <c r="K320" s="1" t="s">
        <v>6293</v>
      </c>
      <c r="L320" s="1" t="s">
        <v>6941</v>
      </c>
      <c r="M320" s="1" t="s">
        <v>3368</v>
      </c>
      <c r="N320" s="1" t="s">
        <v>1203</v>
      </c>
      <c r="O320" s="1" t="s">
        <v>5934</v>
      </c>
      <c r="P320" s="1" t="s">
        <v>6942</v>
      </c>
      <c r="Q320" s="1" t="s">
        <v>6943</v>
      </c>
      <c r="R320" s="1" t="s">
        <v>2827</v>
      </c>
      <c r="S320" s="1" t="s">
        <v>6944</v>
      </c>
      <c r="T320" s="1" t="s">
        <v>2845</v>
      </c>
      <c r="U320" s="1" t="s">
        <v>6945</v>
      </c>
      <c r="V320" s="1" t="s">
        <v>6946</v>
      </c>
      <c r="W320" s="1" t="s">
        <v>5588</v>
      </c>
      <c r="X320" s="1" t="s">
        <v>6947</v>
      </c>
      <c r="Y320" s="1" t="s">
        <v>6948</v>
      </c>
      <c r="Z320" s="1" t="s">
        <v>3404</v>
      </c>
      <c r="AA320" s="1" t="s">
        <v>1479</v>
      </c>
      <c r="AB320" s="1" t="s">
        <v>6949</v>
      </c>
      <c r="AC320" s="1" t="s">
        <v>6950</v>
      </c>
    </row>
    <row r="321" spans="1:29" ht="71.25" x14ac:dyDescent="0.45">
      <c r="A321" s="5" t="s">
        <v>315</v>
      </c>
      <c r="B321" s="2">
        <v>4066743</v>
      </c>
      <c r="C321" s="1" t="s">
        <v>6951</v>
      </c>
      <c r="D321" s="1" t="s">
        <v>6952</v>
      </c>
      <c r="E321" s="1" t="s">
        <v>2321</v>
      </c>
      <c r="F321" s="1" t="s">
        <v>2912</v>
      </c>
      <c r="G321" s="1" t="s">
        <v>626</v>
      </c>
      <c r="H321" s="1" t="s">
        <v>6953</v>
      </c>
      <c r="I321" s="1" t="s">
        <v>5479</v>
      </c>
      <c r="J321" s="1" t="s">
        <v>6954</v>
      </c>
      <c r="K321" s="1" t="s">
        <v>6955</v>
      </c>
      <c r="L321" s="1" t="s">
        <v>6956</v>
      </c>
      <c r="M321" s="1" t="s">
        <v>6957</v>
      </c>
      <c r="N321" s="1" t="s">
        <v>6958</v>
      </c>
      <c r="O321" s="1" t="s">
        <v>6959</v>
      </c>
      <c r="P321" s="1" t="s">
        <v>6960</v>
      </c>
      <c r="Q321" s="1" t="s">
        <v>6961</v>
      </c>
      <c r="R321" s="1" t="s">
        <v>6962</v>
      </c>
      <c r="S321" s="1" t="s">
        <v>6963</v>
      </c>
      <c r="T321" s="1" t="s">
        <v>6964</v>
      </c>
      <c r="U321" s="1" t="s">
        <v>6965</v>
      </c>
      <c r="V321" s="1" t="s">
        <v>3802</v>
      </c>
      <c r="W321" s="1" t="s">
        <v>6966</v>
      </c>
      <c r="X321" s="1" t="s">
        <v>6967</v>
      </c>
      <c r="Y321" s="1" t="s">
        <v>4769</v>
      </c>
      <c r="Z321" s="1" t="s">
        <v>6968</v>
      </c>
      <c r="AA321" s="1" t="s">
        <v>6969</v>
      </c>
      <c r="AB321" s="1" t="s">
        <v>6970</v>
      </c>
      <c r="AC321" s="1" t="s">
        <v>6971</v>
      </c>
    </row>
    <row r="322" spans="1:29" ht="57" x14ac:dyDescent="0.45">
      <c r="A322" s="5" t="s">
        <v>316</v>
      </c>
      <c r="B322" s="2">
        <v>4063773</v>
      </c>
      <c r="C322" s="1" t="s">
        <v>6972</v>
      </c>
      <c r="D322" s="1" t="s">
        <v>6973</v>
      </c>
      <c r="E322" s="1" t="s">
        <v>6154</v>
      </c>
      <c r="F322" s="1" t="s">
        <v>4444</v>
      </c>
      <c r="G322" s="1" t="s">
        <v>6974</v>
      </c>
      <c r="H322" s="1" t="s">
        <v>6214</v>
      </c>
      <c r="I322" s="1" t="s">
        <v>6975</v>
      </c>
      <c r="J322" s="1" t="s">
        <v>6976</v>
      </c>
      <c r="K322" s="1" t="s">
        <v>6594</v>
      </c>
      <c r="L322" s="1" t="s">
        <v>6977</v>
      </c>
      <c r="M322" s="1" t="s">
        <v>6978</v>
      </c>
      <c r="N322" s="1" t="s">
        <v>5978</v>
      </c>
      <c r="O322" s="1" t="s">
        <v>6979</v>
      </c>
      <c r="P322" s="1" t="s">
        <v>688</v>
      </c>
      <c r="Q322" s="1" t="s">
        <v>6980</v>
      </c>
      <c r="R322" s="1" t="s">
        <v>6981</v>
      </c>
      <c r="S322" s="1" t="s">
        <v>6982</v>
      </c>
      <c r="T322" s="1" t="s">
        <v>6983</v>
      </c>
      <c r="U322" s="1" t="s">
        <v>3311</v>
      </c>
      <c r="V322" s="1" t="s">
        <v>6441</v>
      </c>
      <c r="W322" s="1" t="s">
        <v>6984</v>
      </c>
      <c r="X322" s="1" t="s">
        <v>6985</v>
      </c>
      <c r="Y322" s="1" t="s">
        <v>6986</v>
      </c>
      <c r="Z322" s="1" t="s">
        <v>3308</v>
      </c>
      <c r="AA322" s="1" t="s">
        <v>3825</v>
      </c>
      <c r="AB322" s="1" t="s">
        <v>6987</v>
      </c>
      <c r="AC322" s="1" t="s">
        <v>5141</v>
      </c>
    </row>
    <row r="323" spans="1:29" ht="42.75" x14ac:dyDescent="0.45">
      <c r="A323" s="5" t="s">
        <v>317</v>
      </c>
      <c r="B323" s="2">
        <v>4087349</v>
      </c>
      <c r="C323" s="1" t="s">
        <v>6988</v>
      </c>
      <c r="D323" s="1" t="s">
        <v>6989</v>
      </c>
      <c r="E323" s="1" t="s">
        <v>5418</v>
      </c>
      <c r="F323" s="1" t="s">
        <v>6990</v>
      </c>
      <c r="G323" s="1" t="s">
        <v>6991</v>
      </c>
      <c r="H323" s="1" t="s">
        <v>6992</v>
      </c>
      <c r="I323" s="1" t="s">
        <v>1270</v>
      </c>
      <c r="J323" s="1" t="s">
        <v>4642</v>
      </c>
      <c r="K323" s="1" t="s">
        <v>4371</v>
      </c>
      <c r="L323" s="1" t="s">
        <v>6993</v>
      </c>
      <c r="M323" s="1" t="s">
        <v>2405</v>
      </c>
      <c r="N323" s="1" t="s">
        <v>6994</v>
      </c>
      <c r="O323" s="1" t="s">
        <v>6995</v>
      </c>
      <c r="P323" s="1" t="s">
        <v>5634</v>
      </c>
      <c r="Q323" s="1" t="s">
        <v>6996</v>
      </c>
      <c r="R323" s="1" t="s">
        <v>6997</v>
      </c>
      <c r="S323" s="1" t="s">
        <v>2133</v>
      </c>
      <c r="T323" s="1" t="s">
        <v>5050</v>
      </c>
      <c r="U323" s="1" t="s">
        <v>6998</v>
      </c>
      <c r="V323" s="1" t="s">
        <v>6119</v>
      </c>
      <c r="W323" s="1" t="s">
        <v>1672</v>
      </c>
      <c r="X323" s="1" t="s">
        <v>6999</v>
      </c>
      <c r="Y323" s="1" t="s">
        <v>7000</v>
      </c>
      <c r="Z323" s="1" t="s">
        <v>7001</v>
      </c>
      <c r="AA323" s="1" t="s">
        <v>6340</v>
      </c>
      <c r="AB323" s="1" t="s">
        <v>7002</v>
      </c>
      <c r="AC323" s="1" t="s">
        <v>3032</v>
      </c>
    </row>
    <row r="324" spans="1:29" ht="42.75" x14ac:dyDescent="0.45">
      <c r="A324" s="5" t="s">
        <v>318</v>
      </c>
      <c r="B324" s="2">
        <v>4121108</v>
      </c>
      <c r="C324" s="1" t="s">
        <v>7003</v>
      </c>
      <c r="D324" s="1" t="s">
        <v>7004</v>
      </c>
      <c r="E324" s="1" t="s">
        <v>7005</v>
      </c>
      <c r="F324" s="1" t="s">
        <v>7006</v>
      </c>
      <c r="G324" s="1" t="s">
        <v>4085</v>
      </c>
      <c r="H324" s="1" t="s">
        <v>7007</v>
      </c>
      <c r="I324" s="1" t="s">
        <v>4192</v>
      </c>
      <c r="J324" s="1" t="s">
        <v>1692</v>
      </c>
      <c r="K324" s="1" t="s">
        <v>2794</v>
      </c>
      <c r="L324" s="1" t="s">
        <v>7008</v>
      </c>
      <c r="M324" s="1" t="s">
        <v>7009</v>
      </c>
      <c r="N324" s="1" t="s">
        <v>7010</v>
      </c>
      <c r="O324" s="1" t="s">
        <v>7011</v>
      </c>
      <c r="P324" s="1" t="s">
        <v>5755</v>
      </c>
      <c r="Q324" s="1" t="s">
        <v>6288</v>
      </c>
      <c r="R324" s="1" t="s">
        <v>7012</v>
      </c>
      <c r="S324" s="1" t="s">
        <v>6123</v>
      </c>
      <c r="T324" s="1" t="s">
        <v>7013</v>
      </c>
      <c r="U324" s="1" t="s">
        <v>7014</v>
      </c>
      <c r="V324" s="1" t="s">
        <v>7015</v>
      </c>
      <c r="W324" s="1" t="s">
        <v>7016</v>
      </c>
      <c r="X324" s="1" t="s">
        <v>7017</v>
      </c>
      <c r="Y324" s="1" t="s">
        <v>3499</v>
      </c>
      <c r="Z324" s="1" t="s">
        <v>2945</v>
      </c>
      <c r="AA324" s="1" t="s">
        <v>7018</v>
      </c>
      <c r="AB324" s="1" t="s">
        <v>7019</v>
      </c>
      <c r="AC324" s="1" t="s">
        <v>7020</v>
      </c>
    </row>
    <row r="325" spans="1:29" ht="57" x14ac:dyDescent="0.45">
      <c r="A325" s="5" t="s">
        <v>319</v>
      </c>
      <c r="B325" s="2">
        <v>4097175</v>
      </c>
      <c r="C325" s="1" t="s">
        <v>7021</v>
      </c>
      <c r="D325" s="1" t="s">
        <v>7022</v>
      </c>
      <c r="E325" s="1" t="s">
        <v>4834</v>
      </c>
      <c r="F325" s="1" t="s">
        <v>7023</v>
      </c>
      <c r="G325" s="1" t="s">
        <v>7024</v>
      </c>
      <c r="H325" s="1" t="s">
        <v>7025</v>
      </c>
      <c r="I325" s="1" t="s">
        <v>5659</v>
      </c>
      <c r="J325" s="1" t="s">
        <v>7026</v>
      </c>
      <c r="K325" s="1" t="s">
        <v>3778</v>
      </c>
      <c r="L325" s="1" t="s">
        <v>7027</v>
      </c>
      <c r="M325" s="1" t="s">
        <v>7028</v>
      </c>
      <c r="N325" s="1" t="s">
        <v>3306</v>
      </c>
      <c r="O325" s="1" t="s">
        <v>6445</v>
      </c>
      <c r="P325" s="1" t="s">
        <v>7029</v>
      </c>
      <c r="Q325" s="1" t="s">
        <v>7030</v>
      </c>
      <c r="R325" s="1" t="s">
        <v>3757</v>
      </c>
      <c r="S325" s="1" t="s">
        <v>7031</v>
      </c>
      <c r="T325" s="1" t="s">
        <v>619</v>
      </c>
      <c r="U325" s="1" t="s">
        <v>3764</v>
      </c>
      <c r="V325" s="1" t="s">
        <v>1001</v>
      </c>
      <c r="W325" s="1" t="s">
        <v>5300</v>
      </c>
      <c r="X325" s="1" t="s">
        <v>7032</v>
      </c>
      <c r="Y325" s="1" t="s">
        <v>7033</v>
      </c>
      <c r="Z325" s="1" t="s">
        <v>7034</v>
      </c>
      <c r="AA325" s="1" t="s">
        <v>7035</v>
      </c>
      <c r="AB325" s="1" t="s">
        <v>7036</v>
      </c>
      <c r="AC325" s="1" t="s">
        <v>7037</v>
      </c>
    </row>
    <row r="326" spans="1:29" ht="57" x14ac:dyDescent="0.45">
      <c r="A326" s="5" t="s">
        <v>320</v>
      </c>
      <c r="B326" s="2">
        <v>4063852</v>
      </c>
      <c r="C326" s="1" t="s">
        <v>7038</v>
      </c>
      <c r="D326" s="1" t="s">
        <v>7039</v>
      </c>
      <c r="E326" s="1" t="s">
        <v>1646</v>
      </c>
      <c r="F326" s="1" t="s">
        <v>4016</v>
      </c>
      <c r="G326" s="1" t="s">
        <v>7040</v>
      </c>
      <c r="H326" s="1" t="s">
        <v>5073</v>
      </c>
      <c r="I326" s="1" t="s">
        <v>7041</v>
      </c>
      <c r="J326" s="1" t="s">
        <v>1926</v>
      </c>
      <c r="K326" s="1" t="s">
        <v>7042</v>
      </c>
      <c r="L326" s="1" t="s">
        <v>6376</v>
      </c>
      <c r="M326" s="1" t="s">
        <v>7043</v>
      </c>
      <c r="N326" s="1" t="s">
        <v>7044</v>
      </c>
      <c r="O326" s="1" t="s">
        <v>3504</v>
      </c>
      <c r="P326" s="1" t="s">
        <v>7045</v>
      </c>
      <c r="Q326" s="1" t="s">
        <v>7046</v>
      </c>
      <c r="R326" s="1" t="s">
        <v>7047</v>
      </c>
      <c r="S326" s="1" t="s">
        <v>5677</v>
      </c>
      <c r="T326" s="1" t="s">
        <v>6998</v>
      </c>
      <c r="U326" s="1" t="s">
        <v>7048</v>
      </c>
      <c r="V326" s="1" t="s">
        <v>7049</v>
      </c>
      <c r="W326" s="1" t="s">
        <v>7050</v>
      </c>
      <c r="X326" s="1" t="s">
        <v>7051</v>
      </c>
      <c r="Y326" s="1" t="s">
        <v>3994</v>
      </c>
      <c r="Z326" s="1" t="s">
        <v>7018</v>
      </c>
      <c r="AA326" s="1" t="s">
        <v>7052</v>
      </c>
      <c r="AB326" s="1" t="s">
        <v>2409</v>
      </c>
      <c r="AC326" s="1" t="s">
        <v>7053</v>
      </c>
    </row>
    <row r="327" spans="1:29" ht="42.75" x14ac:dyDescent="0.45">
      <c r="A327" s="5" t="s">
        <v>321</v>
      </c>
      <c r="B327" s="2">
        <v>3010401</v>
      </c>
      <c r="C327" s="1" t="s">
        <v>7054</v>
      </c>
      <c r="D327" s="1" t="s">
        <v>7055</v>
      </c>
      <c r="E327" s="1" t="s">
        <v>2070</v>
      </c>
      <c r="F327" s="1" t="s">
        <v>2085</v>
      </c>
      <c r="G327" s="1" t="s">
        <v>7056</v>
      </c>
      <c r="H327" s="1" t="s">
        <v>6895</v>
      </c>
      <c r="I327" s="1" t="s">
        <v>7057</v>
      </c>
      <c r="J327" s="1" t="s">
        <v>2829</v>
      </c>
      <c r="K327" s="1" t="s">
        <v>5837</v>
      </c>
      <c r="L327" s="1" t="s">
        <v>2634</v>
      </c>
      <c r="M327" s="1" t="s">
        <v>7058</v>
      </c>
      <c r="N327" s="1" t="s">
        <v>2362</v>
      </c>
      <c r="O327" s="1" t="s">
        <v>2639</v>
      </c>
      <c r="P327" s="1" t="s">
        <v>6942</v>
      </c>
      <c r="Q327" s="1" t="s">
        <v>580</v>
      </c>
      <c r="R327" s="1" t="s">
        <v>7059</v>
      </c>
      <c r="S327" s="1" t="s">
        <v>4169</v>
      </c>
      <c r="T327" s="1" t="s">
        <v>3097</v>
      </c>
      <c r="U327" s="1" t="s">
        <v>7060</v>
      </c>
      <c r="V327" s="1" t="s">
        <v>3481</v>
      </c>
      <c r="W327" s="1" t="s">
        <v>3455</v>
      </c>
      <c r="X327" s="1" t="s">
        <v>6950</v>
      </c>
      <c r="Y327" s="1" t="s">
        <v>7061</v>
      </c>
      <c r="Z327" s="1" t="s">
        <v>7062</v>
      </c>
      <c r="AA327" s="1" t="s">
        <v>7063</v>
      </c>
      <c r="AB327" s="1" t="s">
        <v>837</v>
      </c>
      <c r="AC327" s="1" t="s">
        <v>7064</v>
      </c>
    </row>
    <row r="328" spans="1:29" ht="57" x14ac:dyDescent="0.45">
      <c r="A328" s="5" t="s">
        <v>322</v>
      </c>
      <c r="B328" s="2">
        <v>3005566</v>
      </c>
      <c r="C328" s="1" t="s">
        <v>7065</v>
      </c>
      <c r="D328" s="1" t="s">
        <v>7066</v>
      </c>
      <c r="E328" s="1" t="s">
        <v>2000</v>
      </c>
      <c r="F328" s="1" t="s">
        <v>5952</v>
      </c>
      <c r="G328" s="1" t="s">
        <v>3482</v>
      </c>
      <c r="H328" s="1" t="s">
        <v>7067</v>
      </c>
      <c r="I328" s="1" t="s">
        <v>2193</v>
      </c>
      <c r="J328" s="1" t="s">
        <v>7068</v>
      </c>
      <c r="K328" s="1" t="s">
        <v>7069</v>
      </c>
      <c r="L328" s="1" t="s">
        <v>7070</v>
      </c>
      <c r="M328" s="1" t="s">
        <v>7071</v>
      </c>
      <c r="N328" s="1" t="s">
        <v>5958</v>
      </c>
      <c r="O328" s="1" t="s">
        <v>7072</v>
      </c>
      <c r="P328" s="1" t="s">
        <v>7073</v>
      </c>
      <c r="Q328" s="1" t="s">
        <v>7074</v>
      </c>
      <c r="R328" s="1" t="s">
        <v>7075</v>
      </c>
      <c r="S328" s="1" t="s">
        <v>1160</v>
      </c>
      <c r="T328" s="1" t="s">
        <v>7076</v>
      </c>
      <c r="U328" s="1" t="s">
        <v>7077</v>
      </c>
      <c r="V328" s="1" t="s">
        <v>1552</v>
      </c>
      <c r="W328" s="1" t="s">
        <v>2862</v>
      </c>
      <c r="X328" s="1" t="s">
        <v>2421</v>
      </c>
      <c r="Y328" s="1" t="s">
        <v>6945</v>
      </c>
      <c r="Z328" s="1" t="s">
        <v>7078</v>
      </c>
      <c r="AA328" s="1" t="s">
        <v>7079</v>
      </c>
      <c r="AB328" s="1" t="s">
        <v>7080</v>
      </c>
      <c r="AC328" s="1" t="s">
        <v>3454</v>
      </c>
    </row>
    <row r="329" spans="1:29" ht="57" x14ac:dyDescent="0.45">
      <c r="A329" s="5" t="s">
        <v>323</v>
      </c>
      <c r="B329" s="2">
        <v>4081442</v>
      </c>
      <c r="C329" s="1" t="s">
        <v>7081</v>
      </c>
      <c r="D329" s="1" t="s">
        <v>7082</v>
      </c>
      <c r="E329" s="1" t="s">
        <v>940</v>
      </c>
      <c r="F329" s="1" t="s">
        <v>5920</v>
      </c>
      <c r="G329" s="1" t="s">
        <v>3212</v>
      </c>
      <c r="H329" s="1" t="s">
        <v>7083</v>
      </c>
      <c r="I329" s="1" t="s">
        <v>6095</v>
      </c>
      <c r="J329" s="1" t="s">
        <v>2805</v>
      </c>
      <c r="K329" s="1" t="s">
        <v>7084</v>
      </c>
      <c r="L329" s="1" t="s">
        <v>7085</v>
      </c>
      <c r="M329" s="1" t="s">
        <v>5716</v>
      </c>
      <c r="N329" s="1" t="s">
        <v>3940</v>
      </c>
      <c r="O329" s="1" t="s">
        <v>3216</v>
      </c>
      <c r="P329" s="1" t="s">
        <v>5006</v>
      </c>
      <c r="Q329" s="1" t="s">
        <v>7086</v>
      </c>
      <c r="R329" s="1" t="s">
        <v>3224</v>
      </c>
      <c r="S329" s="1" t="s">
        <v>7087</v>
      </c>
      <c r="T329" s="1" t="s">
        <v>7088</v>
      </c>
      <c r="U329" s="1" t="s">
        <v>7089</v>
      </c>
      <c r="V329" s="1" t="s">
        <v>7090</v>
      </c>
      <c r="W329" s="1" t="s">
        <v>7091</v>
      </c>
      <c r="X329" s="1" t="s">
        <v>7092</v>
      </c>
      <c r="Y329" s="1" t="s">
        <v>4136</v>
      </c>
      <c r="Z329" s="1" t="s">
        <v>3022</v>
      </c>
      <c r="AA329" s="1" t="s">
        <v>7093</v>
      </c>
      <c r="AB329" s="1" t="s">
        <v>6537</v>
      </c>
      <c r="AC329" s="1" t="s">
        <v>936</v>
      </c>
    </row>
    <row r="330" spans="1:29" ht="85.5" x14ac:dyDescent="0.45">
      <c r="A330" s="5" t="s">
        <v>324</v>
      </c>
      <c r="B330" s="2">
        <v>4093074</v>
      </c>
      <c r="C330" s="1" t="s">
        <v>7094</v>
      </c>
      <c r="D330" s="1" t="s">
        <v>7095</v>
      </c>
      <c r="E330" s="1" t="s">
        <v>648</v>
      </c>
      <c r="F330" s="1" t="s">
        <v>2486</v>
      </c>
      <c r="G330" s="1" t="s">
        <v>2525</v>
      </c>
      <c r="H330" s="1" t="s">
        <v>6714</v>
      </c>
      <c r="I330" s="1" t="s">
        <v>551</v>
      </c>
      <c r="J330" s="1" t="s">
        <v>7096</v>
      </c>
      <c r="K330" s="1" t="s">
        <v>2529</v>
      </c>
      <c r="L330" s="1" t="s">
        <v>1108</v>
      </c>
      <c r="M330" s="1" t="s">
        <v>7097</v>
      </c>
      <c r="N330" s="1" t="s">
        <v>7098</v>
      </c>
      <c r="O330" s="1" t="s">
        <v>7099</v>
      </c>
      <c r="P330" s="1" t="s">
        <v>2499</v>
      </c>
      <c r="Q330" s="1" t="s">
        <v>7100</v>
      </c>
      <c r="R330" s="1" t="s">
        <v>7101</v>
      </c>
      <c r="S330" s="1" t="s">
        <v>3037</v>
      </c>
      <c r="T330" s="1" t="s">
        <v>1820</v>
      </c>
      <c r="U330" s="1" t="s">
        <v>5245</v>
      </c>
      <c r="V330" s="1" t="s">
        <v>7102</v>
      </c>
      <c r="W330" s="1" t="s">
        <v>7103</v>
      </c>
      <c r="X330" s="1" t="s">
        <v>7104</v>
      </c>
      <c r="Y330" s="1" t="s">
        <v>4087</v>
      </c>
      <c r="Z330" s="1" t="s">
        <v>7105</v>
      </c>
      <c r="AA330" s="1" t="s">
        <v>3852</v>
      </c>
      <c r="AB330" s="1" t="s">
        <v>6723</v>
      </c>
      <c r="AC330" s="1" t="s">
        <v>7106</v>
      </c>
    </row>
    <row r="331" spans="1:29" ht="42.75" x14ac:dyDescent="0.45">
      <c r="A331" s="5" t="s">
        <v>325</v>
      </c>
      <c r="B331" s="2">
        <v>4011047</v>
      </c>
      <c r="C331" s="1" t="s">
        <v>7107</v>
      </c>
      <c r="D331" s="1" t="s">
        <v>7108</v>
      </c>
      <c r="E331" s="1" t="s">
        <v>3209</v>
      </c>
      <c r="F331" s="1" t="s">
        <v>7109</v>
      </c>
      <c r="G331" s="1" t="s">
        <v>7110</v>
      </c>
      <c r="H331" s="1" t="s">
        <v>7111</v>
      </c>
      <c r="I331" s="1" t="s">
        <v>5061</v>
      </c>
      <c r="J331" s="1" t="s">
        <v>7112</v>
      </c>
      <c r="K331" s="1" t="s">
        <v>686</v>
      </c>
      <c r="L331" s="1" t="s">
        <v>1576</v>
      </c>
      <c r="M331" s="1" t="s">
        <v>6374</v>
      </c>
      <c r="N331" s="1" t="s">
        <v>7113</v>
      </c>
      <c r="O331" s="1" t="s">
        <v>1582</v>
      </c>
      <c r="P331" s="1" t="s">
        <v>7114</v>
      </c>
      <c r="Q331" s="1" t="s">
        <v>3678</v>
      </c>
      <c r="R331" s="1" t="s">
        <v>3584</v>
      </c>
      <c r="S331" s="1" t="s">
        <v>999</v>
      </c>
      <c r="T331" s="1" t="s">
        <v>7115</v>
      </c>
      <c r="U331" s="1" t="s">
        <v>5020</v>
      </c>
      <c r="V331" s="1" t="s">
        <v>7116</v>
      </c>
      <c r="W331" s="1" t="s">
        <v>1583</v>
      </c>
      <c r="X331" s="1" t="s">
        <v>7117</v>
      </c>
      <c r="Y331" s="1" t="s">
        <v>7118</v>
      </c>
      <c r="Z331" s="1" t="s">
        <v>7119</v>
      </c>
      <c r="AA331" s="1" t="s">
        <v>7120</v>
      </c>
      <c r="AB331" s="1" t="s">
        <v>7121</v>
      </c>
      <c r="AC331" s="1" t="s">
        <v>7122</v>
      </c>
    </row>
    <row r="332" spans="1:29" ht="57" x14ac:dyDescent="0.45">
      <c r="A332" s="5" t="s">
        <v>326</v>
      </c>
      <c r="B332" s="2">
        <v>4054016</v>
      </c>
      <c r="C332" s="1" t="s">
        <v>7123</v>
      </c>
      <c r="D332" s="1" t="s">
        <v>7124</v>
      </c>
      <c r="E332" s="1" t="s">
        <v>2797</v>
      </c>
      <c r="F332" s="1" t="s">
        <v>7125</v>
      </c>
      <c r="G332" s="1" t="s">
        <v>3413</v>
      </c>
      <c r="H332" s="1" t="s">
        <v>871</v>
      </c>
      <c r="I332" s="1" t="s">
        <v>7126</v>
      </c>
      <c r="J332" s="1" t="s">
        <v>7127</v>
      </c>
      <c r="K332" s="1" t="s">
        <v>7128</v>
      </c>
      <c r="L332" s="1" t="s">
        <v>7129</v>
      </c>
      <c r="M332" s="1" t="s">
        <v>7130</v>
      </c>
      <c r="N332" s="1" t="s">
        <v>7131</v>
      </c>
      <c r="O332" s="1" t="s">
        <v>7132</v>
      </c>
      <c r="P332" s="1" t="s">
        <v>7133</v>
      </c>
      <c r="Q332" s="1" t="s">
        <v>7134</v>
      </c>
      <c r="R332" s="1" t="s">
        <v>1636</v>
      </c>
      <c r="S332" s="1" t="s">
        <v>7135</v>
      </c>
      <c r="T332" s="1" t="s">
        <v>5425</v>
      </c>
      <c r="U332" s="1" t="s">
        <v>7136</v>
      </c>
      <c r="V332" s="1" t="s">
        <v>1978</v>
      </c>
      <c r="W332" s="1" t="s">
        <v>7137</v>
      </c>
      <c r="X332" s="1" t="s">
        <v>7138</v>
      </c>
      <c r="Y332" s="1" t="s">
        <v>7139</v>
      </c>
      <c r="Z332" s="1" t="s">
        <v>7140</v>
      </c>
      <c r="AA332" s="1" t="s">
        <v>4265</v>
      </c>
      <c r="AB332" s="1" t="s">
        <v>2366</v>
      </c>
      <c r="AC332" s="1" t="s">
        <v>3264</v>
      </c>
    </row>
    <row r="333" spans="1:29" ht="57" x14ac:dyDescent="0.45">
      <c r="A333" s="5" t="s">
        <v>327</v>
      </c>
      <c r="B333" s="2">
        <v>4011157</v>
      </c>
      <c r="C333" s="1" t="s">
        <v>7141</v>
      </c>
      <c r="D333" s="1" t="s">
        <v>7142</v>
      </c>
      <c r="E333" s="1" t="s">
        <v>6287</v>
      </c>
      <c r="F333" s="1" t="s">
        <v>7143</v>
      </c>
      <c r="G333" s="1" t="s">
        <v>6405</v>
      </c>
      <c r="H333" s="1" t="s">
        <v>3536</v>
      </c>
      <c r="I333" s="1" t="s">
        <v>5853</v>
      </c>
      <c r="J333" s="1" t="s">
        <v>7144</v>
      </c>
      <c r="K333" s="1" t="s">
        <v>5676</v>
      </c>
      <c r="L333" s="1" t="s">
        <v>7145</v>
      </c>
      <c r="M333" s="1" t="s">
        <v>7146</v>
      </c>
      <c r="N333" s="1" t="s">
        <v>663</v>
      </c>
      <c r="O333" s="1" t="s">
        <v>7147</v>
      </c>
      <c r="P333" s="1" t="s">
        <v>5274</v>
      </c>
      <c r="Q333" s="1" t="s">
        <v>7148</v>
      </c>
      <c r="R333" s="1" t="s">
        <v>785</v>
      </c>
      <c r="S333" s="1" t="s">
        <v>7149</v>
      </c>
      <c r="T333" s="1" t="s">
        <v>7150</v>
      </c>
      <c r="U333" s="1" t="s">
        <v>7151</v>
      </c>
      <c r="V333" s="1" t="s">
        <v>7152</v>
      </c>
      <c r="W333" s="1" t="s">
        <v>7153</v>
      </c>
      <c r="X333" s="1" t="s">
        <v>7154</v>
      </c>
      <c r="Y333" s="1" t="s">
        <v>5636</v>
      </c>
      <c r="Z333" s="1" t="s">
        <v>7155</v>
      </c>
      <c r="AA333" s="1" t="s">
        <v>7103</v>
      </c>
      <c r="AB333" s="1" t="s">
        <v>6995</v>
      </c>
      <c r="AC333" s="1" t="s">
        <v>4920</v>
      </c>
    </row>
    <row r="334" spans="1:29" ht="71.25" x14ac:dyDescent="0.45">
      <c r="A334" s="5" t="s">
        <v>328</v>
      </c>
      <c r="B334" s="2">
        <v>4121481</v>
      </c>
      <c r="C334" s="1" t="s">
        <v>7156</v>
      </c>
      <c r="D334" s="1" t="s">
        <v>7157</v>
      </c>
      <c r="E334" s="1" t="s">
        <v>6127</v>
      </c>
      <c r="F334" s="1" t="s">
        <v>7158</v>
      </c>
      <c r="G334" s="1" t="s">
        <v>7159</v>
      </c>
      <c r="H334" s="1" t="s">
        <v>7160</v>
      </c>
      <c r="I334" s="1" t="s">
        <v>7161</v>
      </c>
      <c r="J334" s="1" t="s">
        <v>7162</v>
      </c>
      <c r="K334" s="1" t="s">
        <v>7163</v>
      </c>
      <c r="L334" s="1" t="s">
        <v>7164</v>
      </c>
      <c r="M334" s="1" t="s">
        <v>7165</v>
      </c>
      <c r="N334" s="1" t="s">
        <v>7166</v>
      </c>
      <c r="O334" s="1" t="s">
        <v>7167</v>
      </c>
      <c r="P334" s="1" t="s">
        <v>7168</v>
      </c>
      <c r="Q334" s="1" t="s">
        <v>7169</v>
      </c>
      <c r="R334" s="1" t="s">
        <v>7170</v>
      </c>
      <c r="S334" s="1" t="s">
        <v>7171</v>
      </c>
      <c r="T334" s="1" t="s">
        <v>7172</v>
      </c>
      <c r="U334" s="1" t="s">
        <v>7173</v>
      </c>
      <c r="V334" s="1" t="s">
        <v>7174</v>
      </c>
      <c r="W334" s="1" t="s">
        <v>7175</v>
      </c>
      <c r="X334" s="1" t="s">
        <v>5561</v>
      </c>
      <c r="Y334" s="1" t="s">
        <v>7176</v>
      </c>
      <c r="Z334" s="1" t="s">
        <v>7177</v>
      </c>
      <c r="AA334" s="1" t="s">
        <v>7178</v>
      </c>
      <c r="AB334" s="1" t="s">
        <v>7179</v>
      </c>
      <c r="AC334" s="1" t="s">
        <v>7180</v>
      </c>
    </row>
    <row r="335" spans="1:29" ht="85.5" x14ac:dyDescent="0.45">
      <c r="A335" s="5" t="s">
        <v>329</v>
      </c>
      <c r="B335" s="2">
        <v>4102347</v>
      </c>
      <c r="C335" s="1" t="s">
        <v>7181</v>
      </c>
      <c r="D335" s="1" t="s">
        <v>7182</v>
      </c>
      <c r="E335" s="1" t="s">
        <v>595</v>
      </c>
      <c r="F335" s="1" t="s">
        <v>7183</v>
      </c>
      <c r="G335" s="1" t="s">
        <v>6638</v>
      </c>
      <c r="H335" s="1" t="s">
        <v>7184</v>
      </c>
      <c r="I335" s="1" t="s">
        <v>7185</v>
      </c>
      <c r="J335" s="1" t="s">
        <v>3411</v>
      </c>
      <c r="K335" s="1" t="s">
        <v>7186</v>
      </c>
      <c r="L335" s="1" t="s">
        <v>7187</v>
      </c>
      <c r="M335" s="1" t="s">
        <v>7188</v>
      </c>
      <c r="N335" s="1" t="s">
        <v>750</v>
      </c>
      <c r="O335" s="1" t="s">
        <v>7189</v>
      </c>
      <c r="P335" s="1" t="s">
        <v>7190</v>
      </c>
      <c r="Q335" s="1" t="s">
        <v>3767</v>
      </c>
      <c r="R335" s="1" t="s">
        <v>7191</v>
      </c>
      <c r="S335" s="1" t="s">
        <v>7192</v>
      </c>
      <c r="T335" s="1" t="s">
        <v>612</v>
      </c>
      <c r="U335" s="1" t="s">
        <v>7193</v>
      </c>
      <c r="V335" s="1" t="s">
        <v>7194</v>
      </c>
      <c r="W335" s="1" t="s">
        <v>7195</v>
      </c>
      <c r="X335" s="1" t="s">
        <v>7196</v>
      </c>
      <c r="Y335" s="1" t="s">
        <v>7197</v>
      </c>
      <c r="Z335" s="1" t="s">
        <v>4265</v>
      </c>
      <c r="AA335" s="1" t="s">
        <v>7198</v>
      </c>
      <c r="AB335" s="1" t="s">
        <v>7129</v>
      </c>
      <c r="AC335" s="1" t="s">
        <v>7199</v>
      </c>
    </row>
    <row r="336" spans="1:29" ht="71.25" x14ac:dyDescent="0.45">
      <c r="A336" s="5" t="s">
        <v>330</v>
      </c>
      <c r="B336" s="2">
        <v>4133211</v>
      </c>
      <c r="C336" s="1" t="s">
        <v>7200</v>
      </c>
      <c r="D336" s="1" t="s">
        <v>7201</v>
      </c>
      <c r="E336" s="1" t="s">
        <v>2604</v>
      </c>
      <c r="F336" s="1" t="s">
        <v>1927</v>
      </c>
      <c r="G336" s="1" t="s">
        <v>7202</v>
      </c>
      <c r="H336" s="1" t="s">
        <v>2938</v>
      </c>
      <c r="I336" s="1" t="s">
        <v>7203</v>
      </c>
      <c r="J336" s="1" t="s">
        <v>7204</v>
      </c>
      <c r="K336" s="1" t="s">
        <v>5053</v>
      </c>
      <c r="L336" s="1" t="s">
        <v>5073</v>
      </c>
      <c r="M336" s="1" t="s">
        <v>2141</v>
      </c>
      <c r="N336" s="1" t="s">
        <v>3233</v>
      </c>
      <c r="O336" s="1" t="s">
        <v>3563</v>
      </c>
      <c r="P336" s="1" t="s">
        <v>5848</v>
      </c>
      <c r="Q336" s="1" t="s">
        <v>6368</v>
      </c>
      <c r="R336" s="1" t="s">
        <v>7205</v>
      </c>
      <c r="S336" s="1" t="s">
        <v>7206</v>
      </c>
      <c r="T336" s="1" t="s">
        <v>2792</v>
      </c>
      <c r="U336" s="1" t="s">
        <v>7207</v>
      </c>
      <c r="V336" s="1" t="s">
        <v>7208</v>
      </c>
      <c r="W336" s="1" t="s">
        <v>7048</v>
      </c>
      <c r="X336" s="1" t="s">
        <v>7209</v>
      </c>
      <c r="Y336" s="1" t="s">
        <v>2946</v>
      </c>
      <c r="Z336" s="1" t="s">
        <v>4109</v>
      </c>
      <c r="AA336" s="1" t="s">
        <v>3202</v>
      </c>
      <c r="AB336" s="1" t="s">
        <v>4646</v>
      </c>
      <c r="AC336" s="1" t="s">
        <v>7210</v>
      </c>
    </row>
    <row r="337" spans="1:29" ht="71.25" x14ac:dyDescent="0.45">
      <c r="A337" s="5" t="s">
        <v>331</v>
      </c>
      <c r="B337" s="2">
        <v>4095448</v>
      </c>
      <c r="C337" s="1" t="s">
        <v>7211</v>
      </c>
      <c r="D337" s="1" t="s">
        <v>7212</v>
      </c>
      <c r="E337" s="1" t="s">
        <v>4911</v>
      </c>
      <c r="F337" s="1" t="s">
        <v>7213</v>
      </c>
      <c r="G337" s="1" t="s">
        <v>7214</v>
      </c>
      <c r="H337" s="1" t="s">
        <v>7215</v>
      </c>
      <c r="I337" s="1" t="s">
        <v>7216</v>
      </c>
      <c r="J337" s="1" t="s">
        <v>7217</v>
      </c>
      <c r="K337" s="1" t="s">
        <v>7218</v>
      </c>
      <c r="L337" s="1" t="s">
        <v>7219</v>
      </c>
      <c r="M337" s="1" t="s">
        <v>4313</v>
      </c>
      <c r="N337" s="1" t="s">
        <v>7220</v>
      </c>
      <c r="O337" s="1" t="s">
        <v>7221</v>
      </c>
      <c r="P337" s="1" t="s">
        <v>1627</v>
      </c>
      <c r="Q337" s="1" t="s">
        <v>3304</v>
      </c>
      <c r="R337" s="1" t="s">
        <v>7196</v>
      </c>
      <c r="S337" s="1" t="s">
        <v>7222</v>
      </c>
      <c r="T337" s="1" t="s">
        <v>7223</v>
      </c>
      <c r="U337" s="1" t="s">
        <v>4669</v>
      </c>
      <c r="V337" s="1" t="s">
        <v>7224</v>
      </c>
      <c r="W337" s="1" t="s">
        <v>7225</v>
      </c>
      <c r="X337" s="1" t="s">
        <v>7226</v>
      </c>
      <c r="Y337" s="1" t="s">
        <v>7227</v>
      </c>
      <c r="Z337" s="1" t="s">
        <v>6661</v>
      </c>
      <c r="AA337" s="1" t="s">
        <v>7228</v>
      </c>
      <c r="AB337" s="1" t="s">
        <v>7229</v>
      </c>
      <c r="AC337" s="1" t="s">
        <v>7230</v>
      </c>
    </row>
    <row r="338" spans="1:29" ht="42.75" x14ac:dyDescent="0.45">
      <c r="A338" s="5" t="s">
        <v>332</v>
      </c>
      <c r="B338" s="2">
        <v>4806212</v>
      </c>
      <c r="C338" s="1" t="s">
        <v>7231</v>
      </c>
      <c r="D338" s="1" t="s">
        <v>7232</v>
      </c>
      <c r="E338" s="1" t="s">
        <v>940</v>
      </c>
      <c r="F338" s="1" t="s">
        <v>3844</v>
      </c>
      <c r="G338" s="1" t="s">
        <v>7116</v>
      </c>
      <c r="H338" s="1" t="s">
        <v>7233</v>
      </c>
      <c r="I338" s="1" t="s">
        <v>7234</v>
      </c>
      <c r="J338" s="1" t="s">
        <v>7235</v>
      </c>
      <c r="K338" s="1" t="s">
        <v>7236</v>
      </c>
      <c r="L338" s="1" t="s">
        <v>7237</v>
      </c>
      <c r="M338" s="1" t="s">
        <v>7238</v>
      </c>
      <c r="N338" s="1" t="s">
        <v>4260</v>
      </c>
      <c r="O338" s="1" t="s">
        <v>2003</v>
      </c>
      <c r="P338" s="1" t="s">
        <v>1098</v>
      </c>
      <c r="Q338" s="1" t="s">
        <v>1990</v>
      </c>
      <c r="R338" s="1" t="s">
        <v>7239</v>
      </c>
      <c r="S338" s="1" t="s">
        <v>7240</v>
      </c>
      <c r="T338" s="1" t="s">
        <v>2047</v>
      </c>
      <c r="U338" s="1" t="s">
        <v>5270</v>
      </c>
      <c r="V338" s="1" t="s">
        <v>5138</v>
      </c>
      <c r="W338" s="1" t="s">
        <v>7241</v>
      </c>
      <c r="X338" s="1" t="s">
        <v>2971</v>
      </c>
      <c r="Y338" s="1" t="s">
        <v>1432</v>
      </c>
      <c r="Z338" s="1" t="s">
        <v>2012</v>
      </c>
      <c r="AA338" s="1" t="s">
        <v>7242</v>
      </c>
      <c r="AB338" s="1" t="s">
        <v>7243</v>
      </c>
      <c r="AC338" s="1" t="s">
        <v>1728</v>
      </c>
    </row>
    <row r="339" spans="1:29" ht="42.75" x14ac:dyDescent="0.45">
      <c r="A339" s="5" t="s">
        <v>333</v>
      </c>
      <c r="B339" s="2">
        <v>103146</v>
      </c>
      <c r="C339" s="1" t="s">
        <v>7244</v>
      </c>
      <c r="D339" s="1" t="s">
        <v>7245</v>
      </c>
      <c r="E339" s="1" t="s">
        <v>7246</v>
      </c>
      <c r="F339" s="1" t="s">
        <v>7247</v>
      </c>
      <c r="G339" s="1" t="s">
        <v>6010</v>
      </c>
      <c r="H339" s="1" t="s">
        <v>2214</v>
      </c>
      <c r="I339" s="1" t="s">
        <v>1673</v>
      </c>
      <c r="J339" s="1" t="s">
        <v>3869</v>
      </c>
      <c r="K339" s="1" t="s">
        <v>7248</v>
      </c>
      <c r="L339" s="1" t="s">
        <v>2947</v>
      </c>
      <c r="M339" s="1" t="s">
        <v>3993</v>
      </c>
      <c r="N339" s="1" t="s">
        <v>2060</v>
      </c>
      <c r="O339" s="1" t="s">
        <v>3742</v>
      </c>
      <c r="P339" s="1" t="s">
        <v>7249</v>
      </c>
      <c r="Q339" s="1" t="s">
        <v>7250</v>
      </c>
      <c r="R339" s="1" t="s">
        <v>7251</v>
      </c>
      <c r="S339" s="1" t="s">
        <v>7252</v>
      </c>
      <c r="T339" s="1" t="s">
        <v>5538</v>
      </c>
      <c r="U339" s="1" t="s">
        <v>3927</v>
      </c>
      <c r="V339" s="1" t="s">
        <v>7253</v>
      </c>
      <c r="W339" s="1" t="s">
        <v>7254</v>
      </c>
      <c r="X339" s="1" t="s">
        <v>7255</v>
      </c>
      <c r="Y339" s="1" t="s">
        <v>3216</v>
      </c>
      <c r="Z339" s="1" t="s">
        <v>7256</v>
      </c>
      <c r="AA339" s="1" t="s">
        <v>7257</v>
      </c>
      <c r="AB339" s="1" t="s">
        <v>5535</v>
      </c>
      <c r="AC339" s="1" t="s">
        <v>4951</v>
      </c>
    </row>
    <row r="340" spans="1:29" ht="28.5" x14ac:dyDescent="0.45">
      <c r="A340" s="5" t="s">
        <v>334</v>
      </c>
      <c r="B340" s="2">
        <v>4046115</v>
      </c>
      <c r="C340" s="1" t="s">
        <v>7258</v>
      </c>
      <c r="D340" s="1" t="s">
        <v>7259</v>
      </c>
      <c r="E340" s="1" t="s">
        <v>6807</v>
      </c>
      <c r="F340" s="1" t="s">
        <v>7260</v>
      </c>
      <c r="G340" s="1" t="s">
        <v>1268</v>
      </c>
      <c r="H340" s="1" t="s">
        <v>6407</v>
      </c>
      <c r="I340" s="1" t="s">
        <v>7261</v>
      </c>
      <c r="J340" s="1" t="s">
        <v>7262</v>
      </c>
      <c r="K340" s="1" t="s">
        <v>1446</v>
      </c>
      <c r="L340" s="1" t="s">
        <v>4205</v>
      </c>
      <c r="M340" s="1" t="s">
        <v>1532</v>
      </c>
      <c r="N340" s="1" t="s">
        <v>7263</v>
      </c>
      <c r="O340" s="1" t="s">
        <v>1190</v>
      </c>
      <c r="P340" s="1" t="s">
        <v>7264</v>
      </c>
      <c r="Q340" s="1" t="s">
        <v>5863</v>
      </c>
      <c r="R340" s="1" t="s">
        <v>3885</v>
      </c>
      <c r="S340" s="1" t="s">
        <v>3235</v>
      </c>
      <c r="T340" s="1" t="s">
        <v>2804</v>
      </c>
      <c r="U340" s="1" t="s">
        <v>7265</v>
      </c>
      <c r="V340" s="1" t="s">
        <v>1037</v>
      </c>
      <c r="W340" s="1" t="s">
        <v>3113</v>
      </c>
      <c r="X340" s="1" t="s">
        <v>7266</v>
      </c>
      <c r="Y340" s="1" t="s">
        <v>7267</v>
      </c>
      <c r="Z340" s="1" t="s">
        <v>7268</v>
      </c>
      <c r="AA340" s="1" t="s">
        <v>4121</v>
      </c>
      <c r="AB340" s="1" t="s">
        <v>4092</v>
      </c>
      <c r="AC340" s="1" t="s">
        <v>7269</v>
      </c>
    </row>
    <row r="341" spans="1:29" ht="57" x14ac:dyDescent="0.45">
      <c r="A341" s="5" t="s">
        <v>335</v>
      </c>
      <c r="B341" s="2">
        <v>4068867</v>
      </c>
      <c r="C341" s="1" t="s">
        <v>7270</v>
      </c>
      <c r="D341" s="1" t="s">
        <v>7271</v>
      </c>
      <c r="E341" s="1" t="s">
        <v>2604</v>
      </c>
      <c r="F341" s="1" t="s">
        <v>7272</v>
      </c>
      <c r="G341" s="1" t="s">
        <v>2779</v>
      </c>
      <c r="H341" s="1" t="s">
        <v>3224</v>
      </c>
      <c r="I341" s="1" t="s">
        <v>7273</v>
      </c>
      <c r="J341" s="1" t="s">
        <v>3160</v>
      </c>
      <c r="K341" s="1" t="s">
        <v>5781</v>
      </c>
      <c r="L341" s="1" t="s">
        <v>5287</v>
      </c>
      <c r="M341" s="1" t="s">
        <v>5758</v>
      </c>
      <c r="N341" s="1" t="s">
        <v>3336</v>
      </c>
      <c r="O341" s="1" t="s">
        <v>5147</v>
      </c>
      <c r="P341" s="1" t="s">
        <v>3939</v>
      </c>
      <c r="Q341" s="1" t="s">
        <v>7274</v>
      </c>
      <c r="R341" s="1" t="s">
        <v>7275</v>
      </c>
      <c r="S341" s="1" t="s">
        <v>4181</v>
      </c>
      <c r="T341" s="1" t="s">
        <v>3149</v>
      </c>
      <c r="U341" s="1" t="s">
        <v>3143</v>
      </c>
      <c r="V341" s="1" t="s">
        <v>7276</v>
      </c>
      <c r="W341" s="1" t="s">
        <v>7277</v>
      </c>
      <c r="X341" s="1" t="s">
        <v>1389</v>
      </c>
      <c r="Y341" s="1" t="s">
        <v>6163</v>
      </c>
      <c r="Z341" s="1" t="s">
        <v>7278</v>
      </c>
      <c r="AA341" s="1" t="s">
        <v>5786</v>
      </c>
      <c r="AB341" s="1" t="s">
        <v>7279</v>
      </c>
      <c r="AC341" s="1" t="s">
        <v>7280</v>
      </c>
    </row>
    <row r="342" spans="1:29" ht="71.25" x14ac:dyDescent="0.45">
      <c r="A342" s="5" t="s">
        <v>336</v>
      </c>
      <c r="B342" s="2">
        <v>4991196</v>
      </c>
      <c r="C342" s="1" t="s">
        <v>7281</v>
      </c>
      <c r="D342" s="1" t="s">
        <v>7282</v>
      </c>
      <c r="E342" s="1" t="s">
        <v>4911</v>
      </c>
      <c r="F342" s="1" t="s">
        <v>7283</v>
      </c>
      <c r="G342" s="1" t="s">
        <v>5540</v>
      </c>
      <c r="H342" s="1" t="s">
        <v>7284</v>
      </c>
      <c r="I342" s="1" t="s">
        <v>3795</v>
      </c>
      <c r="J342" s="1" t="s">
        <v>5007</v>
      </c>
      <c r="K342" s="1" t="s">
        <v>7086</v>
      </c>
      <c r="L342" s="1" t="s">
        <v>7285</v>
      </c>
      <c r="M342" s="1" t="s">
        <v>7286</v>
      </c>
      <c r="N342" s="1" t="s">
        <v>7287</v>
      </c>
      <c r="O342" s="1" t="s">
        <v>7288</v>
      </c>
      <c r="P342" s="1" t="s">
        <v>7289</v>
      </c>
      <c r="Q342" s="1" t="s">
        <v>7290</v>
      </c>
      <c r="R342" s="1" t="s">
        <v>3162</v>
      </c>
      <c r="S342" s="1" t="s">
        <v>4043</v>
      </c>
      <c r="T342" s="1" t="s">
        <v>7291</v>
      </c>
      <c r="U342" s="1" t="s">
        <v>5943</v>
      </c>
      <c r="V342" s="1" t="s">
        <v>1209</v>
      </c>
      <c r="W342" s="1" t="s">
        <v>3158</v>
      </c>
      <c r="X342" s="1" t="s">
        <v>5145</v>
      </c>
      <c r="Y342" s="1" t="s">
        <v>7292</v>
      </c>
      <c r="Z342" s="1" t="s">
        <v>7293</v>
      </c>
      <c r="AA342" s="1" t="s">
        <v>1650</v>
      </c>
      <c r="AB342" s="1" t="s">
        <v>3782</v>
      </c>
      <c r="AC342" s="1" t="s">
        <v>3789</v>
      </c>
    </row>
    <row r="343" spans="1:29" ht="57" x14ac:dyDescent="0.45">
      <c r="A343" s="5" t="s">
        <v>337</v>
      </c>
      <c r="B343" s="2">
        <v>4389036</v>
      </c>
      <c r="C343" s="1" t="s">
        <v>7294</v>
      </c>
      <c r="D343" s="1" t="s">
        <v>7295</v>
      </c>
      <c r="E343" s="1" t="s">
        <v>6769</v>
      </c>
      <c r="F343" s="1" t="s">
        <v>6081</v>
      </c>
      <c r="G343" s="1" t="s">
        <v>5833</v>
      </c>
      <c r="H343" s="1" t="s">
        <v>7279</v>
      </c>
      <c r="I343" s="1" t="s">
        <v>5936</v>
      </c>
      <c r="J343" s="1" t="s">
        <v>7296</v>
      </c>
      <c r="K343" s="1" t="s">
        <v>7080</v>
      </c>
      <c r="L343" s="1" t="s">
        <v>4058</v>
      </c>
      <c r="M343" s="1" t="s">
        <v>3487</v>
      </c>
      <c r="N343" s="1" t="s">
        <v>7297</v>
      </c>
      <c r="O343" s="1" t="s">
        <v>7298</v>
      </c>
      <c r="P343" s="1" t="s">
        <v>7299</v>
      </c>
      <c r="Q343" s="1" t="s">
        <v>7290</v>
      </c>
      <c r="R343" s="1" t="s">
        <v>7300</v>
      </c>
      <c r="S343" s="1" t="s">
        <v>5183</v>
      </c>
      <c r="T343" s="1" t="s">
        <v>1383</v>
      </c>
      <c r="U343" s="1" t="s">
        <v>1205</v>
      </c>
      <c r="V343" s="1" t="s">
        <v>7301</v>
      </c>
      <c r="W343" s="1" t="s">
        <v>7302</v>
      </c>
      <c r="X343" s="1" t="s">
        <v>7303</v>
      </c>
      <c r="Y343" s="1" t="s">
        <v>7301</v>
      </c>
      <c r="Z343" s="1" t="s">
        <v>5155</v>
      </c>
      <c r="AA343" s="1" t="s">
        <v>2644</v>
      </c>
      <c r="AB343" s="1" t="s">
        <v>3137</v>
      </c>
      <c r="AC343" s="1" t="s">
        <v>3156</v>
      </c>
    </row>
    <row r="344" spans="1:29" ht="71.25" x14ac:dyDescent="0.45">
      <c r="A344" s="5" t="s">
        <v>338</v>
      </c>
      <c r="B344" s="2">
        <v>4044801</v>
      </c>
      <c r="C344" s="1" t="s">
        <v>7304</v>
      </c>
      <c r="D344" s="1" t="s">
        <v>7305</v>
      </c>
      <c r="E344" s="1" t="s">
        <v>7306</v>
      </c>
      <c r="F344" s="1" t="s">
        <v>7307</v>
      </c>
      <c r="G344" s="1" t="s">
        <v>7308</v>
      </c>
      <c r="H344" s="1" t="s">
        <v>7309</v>
      </c>
      <c r="I344" s="1" t="s">
        <v>4957</v>
      </c>
      <c r="J344" s="1" t="s">
        <v>3794</v>
      </c>
      <c r="K344" s="1" t="s">
        <v>7310</v>
      </c>
      <c r="L344" s="1" t="s">
        <v>3005</v>
      </c>
      <c r="M344" s="1" t="s">
        <v>7311</v>
      </c>
      <c r="N344" s="1" t="s">
        <v>7312</v>
      </c>
      <c r="O344" s="1" t="s">
        <v>5759</v>
      </c>
      <c r="P344" s="1" t="s">
        <v>7313</v>
      </c>
      <c r="Q344" s="1" t="s">
        <v>7314</v>
      </c>
      <c r="R344" s="1" t="s">
        <v>7315</v>
      </c>
      <c r="S344" s="1" t="s">
        <v>4105</v>
      </c>
      <c r="T344" s="1" t="s">
        <v>1684</v>
      </c>
      <c r="U344" s="1" t="s">
        <v>2775</v>
      </c>
      <c r="V344" s="1" t="s">
        <v>7316</v>
      </c>
      <c r="W344" s="1" t="s">
        <v>7317</v>
      </c>
      <c r="X344" s="1" t="s">
        <v>2062</v>
      </c>
      <c r="Y344" s="1" t="s">
        <v>6010</v>
      </c>
      <c r="Z344" s="1" t="s">
        <v>6378</v>
      </c>
      <c r="AA344" s="1" t="s">
        <v>5794</v>
      </c>
      <c r="AB344" s="1" t="s">
        <v>7318</v>
      </c>
      <c r="AC344" s="1" t="s">
        <v>7319</v>
      </c>
    </row>
    <row r="345" spans="1:29" ht="57" x14ac:dyDescent="0.45">
      <c r="A345" s="5" t="s">
        <v>339</v>
      </c>
      <c r="B345" s="2">
        <v>4104752</v>
      </c>
      <c r="C345" s="1" t="s">
        <v>7320</v>
      </c>
      <c r="D345" s="1" t="s">
        <v>7321</v>
      </c>
      <c r="E345" s="1" t="s">
        <v>7322</v>
      </c>
      <c r="F345" s="1" t="s">
        <v>7323</v>
      </c>
      <c r="G345" s="1" t="s">
        <v>7324</v>
      </c>
      <c r="H345" s="1" t="s">
        <v>7325</v>
      </c>
      <c r="I345" s="1" t="s">
        <v>7326</v>
      </c>
      <c r="J345" s="1" t="s">
        <v>7327</v>
      </c>
      <c r="K345" s="1" t="s">
        <v>4231</v>
      </c>
      <c r="L345" s="1" t="s">
        <v>7328</v>
      </c>
      <c r="M345" s="1" t="s">
        <v>7329</v>
      </c>
      <c r="N345" s="1" t="s">
        <v>4701</v>
      </c>
      <c r="O345" s="1" t="s">
        <v>7330</v>
      </c>
      <c r="P345" s="1" t="s">
        <v>7331</v>
      </c>
      <c r="Q345" s="1" t="s">
        <v>7332</v>
      </c>
      <c r="R345" s="1" t="s">
        <v>7333</v>
      </c>
      <c r="S345" s="1" t="s">
        <v>4005</v>
      </c>
      <c r="T345" s="1" t="s">
        <v>975</v>
      </c>
      <c r="U345" s="1" t="s">
        <v>3972</v>
      </c>
      <c r="V345" s="1" t="s">
        <v>1107</v>
      </c>
      <c r="W345" s="1" t="s">
        <v>7334</v>
      </c>
      <c r="X345" s="1" t="s">
        <v>3267</v>
      </c>
      <c r="Y345" s="1" t="s">
        <v>7335</v>
      </c>
      <c r="Z345" s="1" t="s">
        <v>7336</v>
      </c>
      <c r="AA345" s="1" t="s">
        <v>4705</v>
      </c>
      <c r="AB345" s="1" t="s">
        <v>7337</v>
      </c>
      <c r="AC345" s="1" t="s">
        <v>7338</v>
      </c>
    </row>
    <row r="346" spans="1:29" ht="71.25" x14ac:dyDescent="0.45">
      <c r="A346" s="5" t="s">
        <v>340</v>
      </c>
      <c r="B346" s="2">
        <v>100144</v>
      </c>
      <c r="C346" s="1" t="s">
        <v>7339</v>
      </c>
      <c r="D346" s="1" t="s">
        <v>7340</v>
      </c>
      <c r="E346" s="1" t="s">
        <v>914</v>
      </c>
      <c r="F346" s="1" t="s">
        <v>1649</v>
      </c>
      <c r="G346" s="1" t="s">
        <v>7341</v>
      </c>
      <c r="H346" s="1" t="s">
        <v>7342</v>
      </c>
      <c r="I346" s="1" t="s">
        <v>7343</v>
      </c>
      <c r="J346" s="1" t="s">
        <v>7344</v>
      </c>
      <c r="K346" s="1" t="s">
        <v>7345</v>
      </c>
      <c r="L346" s="1" t="s">
        <v>7346</v>
      </c>
      <c r="M346" s="1" t="s">
        <v>7347</v>
      </c>
      <c r="N346" s="1" t="s">
        <v>7348</v>
      </c>
      <c r="O346" s="1" t="s">
        <v>2585</v>
      </c>
      <c r="P346" s="1" t="s">
        <v>7349</v>
      </c>
      <c r="Q346" s="1" t="s">
        <v>7350</v>
      </c>
      <c r="R346" s="1" t="s">
        <v>7351</v>
      </c>
      <c r="S346" s="1" t="s">
        <v>7352</v>
      </c>
      <c r="T346" s="1" t="s">
        <v>7353</v>
      </c>
      <c r="U346" s="1" t="s">
        <v>7354</v>
      </c>
      <c r="V346" s="1" t="s">
        <v>6481</v>
      </c>
      <c r="W346" s="1" t="s">
        <v>4693</v>
      </c>
      <c r="X346" s="1" t="s">
        <v>7355</v>
      </c>
      <c r="Y346" s="1" t="s">
        <v>7356</v>
      </c>
      <c r="Z346" s="1" t="s">
        <v>4694</v>
      </c>
      <c r="AA346" s="1" t="s">
        <v>5547</v>
      </c>
      <c r="AB346" s="1" t="s">
        <v>4113</v>
      </c>
      <c r="AC346" s="1" t="s">
        <v>2284</v>
      </c>
    </row>
    <row r="347" spans="1:29" ht="28.5" x14ac:dyDescent="0.45">
      <c r="A347" s="5" t="s">
        <v>341</v>
      </c>
      <c r="B347" s="2">
        <v>3002287</v>
      </c>
      <c r="C347" s="1" t="s">
        <v>7357</v>
      </c>
      <c r="D347" s="1" t="s">
        <v>7358</v>
      </c>
      <c r="E347" s="1" t="s">
        <v>1223</v>
      </c>
      <c r="F347" s="1" t="s">
        <v>6500</v>
      </c>
      <c r="G347" s="1" t="s">
        <v>5200</v>
      </c>
      <c r="H347" s="1" t="s">
        <v>3321</v>
      </c>
      <c r="I347" s="1" t="s">
        <v>4900</v>
      </c>
      <c r="J347" s="1" t="s">
        <v>7359</v>
      </c>
      <c r="K347" s="1" t="s">
        <v>7360</v>
      </c>
      <c r="L347" s="1" t="s">
        <v>6889</v>
      </c>
      <c r="M347" s="1" t="s">
        <v>5008</v>
      </c>
      <c r="N347" s="1" t="s">
        <v>7315</v>
      </c>
      <c r="O347" s="1" t="s">
        <v>3931</v>
      </c>
      <c r="P347" s="1" t="s">
        <v>5789</v>
      </c>
      <c r="Q347" s="1" t="s">
        <v>588</v>
      </c>
      <c r="R347" s="1" t="s">
        <v>3009</v>
      </c>
      <c r="S347" s="1" t="s">
        <v>1657</v>
      </c>
      <c r="T347" s="1" t="s">
        <v>6479</v>
      </c>
      <c r="U347" s="1" t="s">
        <v>6815</v>
      </c>
      <c r="V347" s="1" t="s">
        <v>1334</v>
      </c>
      <c r="W347" s="1" t="s">
        <v>7017</v>
      </c>
      <c r="X347" s="1" t="s">
        <v>3638</v>
      </c>
      <c r="Y347" s="1" t="s">
        <v>7361</v>
      </c>
      <c r="Z347" s="1" t="s">
        <v>7362</v>
      </c>
      <c r="AA347" s="1" t="s">
        <v>1832</v>
      </c>
      <c r="AB347" s="1" t="s">
        <v>7251</v>
      </c>
      <c r="AC347" s="1" t="s">
        <v>1683</v>
      </c>
    </row>
    <row r="348" spans="1:29" ht="42.75" x14ac:dyDescent="0.45">
      <c r="A348" s="5" t="s">
        <v>342</v>
      </c>
      <c r="B348" s="2">
        <v>4091914</v>
      </c>
      <c r="C348" s="1" t="s">
        <v>7363</v>
      </c>
      <c r="D348" s="1" t="s">
        <v>7364</v>
      </c>
      <c r="E348" s="1" t="s">
        <v>782</v>
      </c>
      <c r="F348" s="1" t="s">
        <v>7365</v>
      </c>
      <c r="G348" s="1" t="s">
        <v>7366</v>
      </c>
      <c r="H348" s="1" t="s">
        <v>1282</v>
      </c>
      <c r="I348" s="1" t="s">
        <v>7367</v>
      </c>
      <c r="J348" s="1" t="s">
        <v>1079</v>
      </c>
      <c r="K348" s="1" t="s">
        <v>7368</v>
      </c>
      <c r="L348" s="1" t="s">
        <v>7369</v>
      </c>
      <c r="M348" s="1" t="s">
        <v>7370</v>
      </c>
      <c r="N348" s="1" t="s">
        <v>7371</v>
      </c>
      <c r="O348" s="1" t="s">
        <v>507</v>
      </c>
      <c r="P348" s="1" t="s">
        <v>1274</v>
      </c>
      <c r="Q348" s="1" t="s">
        <v>7372</v>
      </c>
      <c r="R348" s="1" t="s">
        <v>7373</v>
      </c>
      <c r="S348" s="1" t="s">
        <v>7374</v>
      </c>
      <c r="T348" s="1" t="s">
        <v>7375</v>
      </c>
      <c r="U348" s="1" t="s">
        <v>7376</v>
      </c>
      <c r="V348" s="1" t="s">
        <v>7377</v>
      </c>
      <c r="W348" s="1" t="s">
        <v>7378</v>
      </c>
      <c r="X348" s="1" t="s">
        <v>7379</v>
      </c>
      <c r="Y348" s="1" t="s">
        <v>7380</v>
      </c>
      <c r="Z348" s="1" t="s">
        <v>7381</v>
      </c>
      <c r="AA348" s="1" t="s">
        <v>7382</v>
      </c>
      <c r="AB348" s="1" t="s">
        <v>7383</v>
      </c>
      <c r="AC348" s="1" t="s">
        <v>7384</v>
      </c>
    </row>
    <row r="349" spans="1:29" ht="71.25" x14ac:dyDescent="0.45">
      <c r="A349" s="5" t="s">
        <v>343</v>
      </c>
      <c r="B349" s="2">
        <v>4794937</v>
      </c>
      <c r="C349" s="1" t="s">
        <v>7385</v>
      </c>
      <c r="D349" s="1" t="s">
        <v>7386</v>
      </c>
      <c r="E349" s="1" t="s">
        <v>3628</v>
      </c>
      <c r="F349" s="1" t="s">
        <v>7387</v>
      </c>
      <c r="G349" s="1" t="s">
        <v>3496</v>
      </c>
      <c r="H349" s="1" t="s">
        <v>4044</v>
      </c>
      <c r="I349" s="1" t="s">
        <v>3390</v>
      </c>
      <c r="J349" s="1" t="s">
        <v>7388</v>
      </c>
      <c r="K349" s="1" t="s">
        <v>5096</v>
      </c>
      <c r="L349" s="1" t="s">
        <v>7389</v>
      </c>
      <c r="M349" s="1" t="s">
        <v>1896</v>
      </c>
      <c r="N349" s="1" t="s">
        <v>4563</v>
      </c>
      <c r="O349" s="1" t="s">
        <v>5585</v>
      </c>
      <c r="P349" s="1" t="s">
        <v>7390</v>
      </c>
      <c r="Q349" s="1" t="s">
        <v>7391</v>
      </c>
      <c r="R349" s="1" t="s">
        <v>3081</v>
      </c>
      <c r="S349" s="1" t="s">
        <v>4651</v>
      </c>
      <c r="T349" s="1" t="s">
        <v>7392</v>
      </c>
      <c r="U349" s="1" t="s">
        <v>3007</v>
      </c>
      <c r="V349" s="1" t="s">
        <v>7393</v>
      </c>
      <c r="W349" s="1" t="s">
        <v>7394</v>
      </c>
      <c r="X349" s="1" t="s">
        <v>7395</v>
      </c>
      <c r="Y349" s="1" t="s">
        <v>7396</v>
      </c>
      <c r="Z349" s="1" t="s">
        <v>3535</v>
      </c>
      <c r="AA349" s="1" t="s">
        <v>5640</v>
      </c>
      <c r="AB349" s="1" t="s">
        <v>7397</v>
      </c>
      <c r="AC349" s="1" t="s">
        <v>5728</v>
      </c>
    </row>
    <row r="350" spans="1:29" ht="71.25" x14ac:dyDescent="0.45">
      <c r="A350" s="5" t="s">
        <v>344</v>
      </c>
      <c r="B350" s="2">
        <v>102775</v>
      </c>
      <c r="C350" s="1" t="s">
        <v>7398</v>
      </c>
      <c r="D350" s="1" t="s">
        <v>7399</v>
      </c>
      <c r="E350" s="1" t="s">
        <v>3318</v>
      </c>
      <c r="F350" s="1" t="s">
        <v>7400</v>
      </c>
      <c r="G350" s="1" t="s">
        <v>3321</v>
      </c>
      <c r="H350" s="1" t="s">
        <v>3449</v>
      </c>
      <c r="I350" s="1" t="s">
        <v>7401</v>
      </c>
      <c r="J350" s="1" t="s">
        <v>7402</v>
      </c>
      <c r="K350" s="1" t="s">
        <v>2828</v>
      </c>
      <c r="L350" s="1" t="s">
        <v>7403</v>
      </c>
      <c r="M350" s="1" t="s">
        <v>7404</v>
      </c>
      <c r="N350" s="1" t="s">
        <v>7299</v>
      </c>
      <c r="O350" s="1" t="s">
        <v>2851</v>
      </c>
      <c r="P350" s="1" t="s">
        <v>5342</v>
      </c>
      <c r="Q350" s="1" t="s">
        <v>7405</v>
      </c>
      <c r="R350" s="1" t="s">
        <v>7406</v>
      </c>
      <c r="S350" s="1" t="s">
        <v>4027</v>
      </c>
      <c r="T350" s="1" t="s">
        <v>5192</v>
      </c>
      <c r="U350" s="1" t="s">
        <v>7407</v>
      </c>
      <c r="V350" s="1" t="s">
        <v>2829</v>
      </c>
      <c r="W350" s="1" t="s">
        <v>3150</v>
      </c>
      <c r="X350" s="1" t="s">
        <v>7408</v>
      </c>
      <c r="Y350" s="1" t="s">
        <v>4038</v>
      </c>
      <c r="Z350" s="1" t="s">
        <v>7409</v>
      </c>
      <c r="AA350" s="1" t="s">
        <v>7410</v>
      </c>
      <c r="AB350" s="1" t="s">
        <v>3372</v>
      </c>
      <c r="AC350" s="1" t="s">
        <v>6687</v>
      </c>
    </row>
    <row r="351" spans="1:29" ht="57" x14ac:dyDescent="0.45">
      <c r="A351" s="5" t="s">
        <v>345</v>
      </c>
      <c r="B351" s="2">
        <v>4873611</v>
      </c>
      <c r="C351" s="1" t="s">
        <v>7411</v>
      </c>
      <c r="D351" s="1" t="s">
        <v>7412</v>
      </c>
      <c r="E351" s="1" t="s">
        <v>1497</v>
      </c>
      <c r="F351" s="1" t="s">
        <v>7413</v>
      </c>
      <c r="G351" s="1" t="s">
        <v>1776</v>
      </c>
      <c r="H351" s="1" t="s">
        <v>7414</v>
      </c>
      <c r="I351" s="1" t="s">
        <v>7415</v>
      </c>
      <c r="J351" s="1" t="s">
        <v>7416</v>
      </c>
      <c r="K351" s="1" t="s">
        <v>7417</v>
      </c>
      <c r="L351" s="1" t="s">
        <v>5696</v>
      </c>
      <c r="M351" s="1" t="s">
        <v>7418</v>
      </c>
      <c r="N351" s="1" t="s">
        <v>7419</v>
      </c>
      <c r="O351" s="1" t="s">
        <v>7420</v>
      </c>
      <c r="P351" s="1" t="s">
        <v>7421</v>
      </c>
      <c r="Q351" s="1" t="s">
        <v>7422</v>
      </c>
      <c r="R351" s="1" t="s">
        <v>7423</v>
      </c>
      <c r="S351" s="1" t="s">
        <v>7180</v>
      </c>
      <c r="T351" s="1" t="s">
        <v>7424</v>
      </c>
      <c r="U351" s="1" t="s">
        <v>7425</v>
      </c>
      <c r="V351" s="1" t="s">
        <v>5686</v>
      </c>
      <c r="W351" s="1" t="s">
        <v>7426</v>
      </c>
      <c r="X351" s="1" t="s">
        <v>7419</v>
      </c>
      <c r="Y351" s="1" t="s">
        <v>7427</v>
      </c>
      <c r="Z351" s="1" t="s">
        <v>5992</v>
      </c>
      <c r="AA351" s="1" t="s">
        <v>7428</v>
      </c>
      <c r="AB351" s="1" t="s">
        <v>7429</v>
      </c>
      <c r="AC351" s="1" t="s">
        <v>7430</v>
      </c>
    </row>
    <row r="352" spans="1:29" ht="42.75" x14ac:dyDescent="0.45">
      <c r="A352" s="5" t="s">
        <v>346</v>
      </c>
      <c r="B352" s="2">
        <v>4761964</v>
      </c>
      <c r="C352" s="1" t="s">
        <v>7431</v>
      </c>
      <c r="D352" s="1" t="s">
        <v>7432</v>
      </c>
      <c r="E352" s="1" t="s">
        <v>5179</v>
      </c>
      <c r="F352" s="1" t="s">
        <v>7433</v>
      </c>
      <c r="G352" s="1" t="s">
        <v>5152</v>
      </c>
      <c r="H352" s="1" t="s">
        <v>7434</v>
      </c>
      <c r="I352" s="1" t="s">
        <v>7088</v>
      </c>
      <c r="J352" s="1" t="s">
        <v>7435</v>
      </c>
      <c r="K352" s="1" t="s">
        <v>3632</v>
      </c>
      <c r="L352" s="1" t="s">
        <v>6124</v>
      </c>
      <c r="M352" s="1" t="s">
        <v>6124</v>
      </c>
      <c r="N352" s="1" t="s">
        <v>766</v>
      </c>
      <c r="O352" s="1" t="s">
        <v>3741</v>
      </c>
      <c r="P352" s="1" t="s">
        <v>7436</v>
      </c>
      <c r="Q352" s="1" t="s">
        <v>7437</v>
      </c>
      <c r="R352" s="1" t="s">
        <v>7438</v>
      </c>
      <c r="S352" s="1" t="s">
        <v>7439</v>
      </c>
      <c r="T352" s="1" t="s">
        <v>4951</v>
      </c>
      <c r="U352" s="1" t="s">
        <v>3216</v>
      </c>
      <c r="V352" s="1" t="s">
        <v>7440</v>
      </c>
      <c r="W352" s="1" t="s">
        <v>2498</v>
      </c>
      <c r="X352" s="1" t="s">
        <v>6356</v>
      </c>
      <c r="Y352" s="1" t="s">
        <v>1102</v>
      </c>
      <c r="Z352" s="1" t="s">
        <v>804</v>
      </c>
      <c r="AA352" s="1" t="s">
        <v>7441</v>
      </c>
      <c r="AB352" s="1" t="s">
        <v>7442</v>
      </c>
      <c r="AC352" s="1" t="s">
        <v>7443</v>
      </c>
    </row>
    <row r="353" spans="1:29" ht="57" x14ac:dyDescent="0.45">
      <c r="A353" s="5" t="s">
        <v>347</v>
      </c>
      <c r="B353" s="2">
        <v>113901</v>
      </c>
      <c r="C353" s="1" t="s">
        <v>7444</v>
      </c>
      <c r="D353" s="1" t="s">
        <v>7445</v>
      </c>
      <c r="E353" s="1" t="s">
        <v>914</v>
      </c>
      <c r="F353" s="1" t="s">
        <v>2619</v>
      </c>
      <c r="G353" s="1" t="s">
        <v>4616</v>
      </c>
      <c r="H353" s="1" t="s">
        <v>7446</v>
      </c>
      <c r="I353" s="1" t="s">
        <v>7447</v>
      </c>
      <c r="J353" s="1" t="s">
        <v>7448</v>
      </c>
      <c r="K353" s="1" t="s">
        <v>7449</v>
      </c>
      <c r="L353" s="1" t="s">
        <v>7450</v>
      </c>
      <c r="M353" s="1" t="s">
        <v>5357</v>
      </c>
      <c r="N353" s="1" t="s">
        <v>7451</v>
      </c>
      <c r="O353" s="1" t="s">
        <v>7452</v>
      </c>
      <c r="P353" s="1" t="s">
        <v>7453</v>
      </c>
      <c r="Q353" s="1" t="s">
        <v>738</v>
      </c>
      <c r="R353" s="1" t="s">
        <v>7454</v>
      </c>
      <c r="S353" s="1" t="s">
        <v>7455</v>
      </c>
      <c r="T353" s="1" t="s">
        <v>7456</v>
      </c>
      <c r="U353" s="1" t="s">
        <v>7457</v>
      </c>
      <c r="V353" s="1" t="s">
        <v>7458</v>
      </c>
      <c r="W353" s="1" t="s">
        <v>7459</v>
      </c>
      <c r="X353" s="1" t="s">
        <v>7460</v>
      </c>
      <c r="Y353" s="1" t="s">
        <v>1080</v>
      </c>
      <c r="Z353" s="1" t="s">
        <v>7461</v>
      </c>
      <c r="AA353" s="1" t="s">
        <v>7462</v>
      </c>
      <c r="AB353" s="1" t="s">
        <v>7463</v>
      </c>
      <c r="AC353" s="1" t="s">
        <v>7464</v>
      </c>
    </row>
    <row r="354" spans="1:29" ht="57" x14ac:dyDescent="0.45">
      <c r="A354" s="5" t="s">
        <v>348</v>
      </c>
      <c r="B354" s="2">
        <v>102952</v>
      </c>
      <c r="C354" s="1" t="s">
        <v>7465</v>
      </c>
      <c r="D354" s="1" t="s">
        <v>7466</v>
      </c>
      <c r="E354" s="1" t="s">
        <v>6807</v>
      </c>
      <c r="F354" s="1" t="s">
        <v>2902</v>
      </c>
      <c r="G354" s="1" t="s">
        <v>4248</v>
      </c>
      <c r="H354" s="1" t="s">
        <v>2318</v>
      </c>
      <c r="I354" s="1" t="s">
        <v>2971</v>
      </c>
      <c r="J354" s="1" t="s">
        <v>4094</v>
      </c>
      <c r="K354" s="1" t="s">
        <v>7467</v>
      </c>
      <c r="L354" s="1" t="s">
        <v>7468</v>
      </c>
      <c r="M354" s="1" t="s">
        <v>791</v>
      </c>
      <c r="N354" s="1" t="s">
        <v>7267</v>
      </c>
      <c r="O354" s="1" t="s">
        <v>6112</v>
      </c>
      <c r="P354" s="1" t="s">
        <v>1026</v>
      </c>
      <c r="Q354" s="1" t="s">
        <v>7469</v>
      </c>
      <c r="R354" s="1" t="s">
        <v>7470</v>
      </c>
      <c r="S354" s="1" t="s">
        <v>806</v>
      </c>
      <c r="T354" s="1" t="s">
        <v>4085</v>
      </c>
      <c r="U354" s="1" t="s">
        <v>7471</v>
      </c>
      <c r="V354" s="1" t="s">
        <v>7472</v>
      </c>
      <c r="W354" s="1" t="s">
        <v>7473</v>
      </c>
      <c r="X354" s="1" t="s">
        <v>2982</v>
      </c>
      <c r="Y354" s="1" t="s">
        <v>5510</v>
      </c>
      <c r="Z354" s="1" t="s">
        <v>1946</v>
      </c>
      <c r="AA354" s="1" t="s">
        <v>3835</v>
      </c>
      <c r="AB354" s="1" t="s">
        <v>6575</v>
      </c>
      <c r="AC354" s="1" t="s">
        <v>5122</v>
      </c>
    </row>
    <row r="355" spans="1:29" ht="57" x14ac:dyDescent="0.45">
      <c r="A355" s="5" t="s">
        <v>349</v>
      </c>
      <c r="B355" s="2">
        <v>4297825</v>
      </c>
      <c r="C355" s="1" t="s">
        <v>7474</v>
      </c>
      <c r="D355" s="1" t="s">
        <v>7475</v>
      </c>
      <c r="E355" s="1" t="s">
        <v>4856</v>
      </c>
      <c r="F355" s="1" t="s">
        <v>7476</v>
      </c>
      <c r="G355" s="1" t="s">
        <v>548</v>
      </c>
      <c r="H355" s="1" t="s">
        <v>6535</v>
      </c>
      <c r="I355" s="1" t="s">
        <v>7477</v>
      </c>
      <c r="J355" s="1" t="s">
        <v>3640</v>
      </c>
      <c r="K355" s="1" t="s">
        <v>6020</v>
      </c>
      <c r="L355" s="1" t="s">
        <v>1928</v>
      </c>
      <c r="M355" s="1" t="s">
        <v>7478</v>
      </c>
      <c r="N355" s="1" t="s">
        <v>7479</v>
      </c>
      <c r="O355" s="1" t="s">
        <v>7480</v>
      </c>
      <c r="P355" s="1" t="s">
        <v>1947</v>
      </c>
      <c r="Q355" s="1" t="s">
        <v>3570</v>
      </c>
      <c r="R355" s="1" t="s">
        <v>7481</v>
      </c>
      <c r="S355" s="1" t="s">
        <v>7482</v>
      </c>
      <c r="T355" s="1" t="s">
        <v>6403</v>
      </c>
      <c r="U355" s="1" t="s">
        <v>7483</v>
      </c>
      <c r="V355" s="1" t="s">
        <v>7484</v>
      </c>
      <c r="W355" s="1" t="s">
        <v>7485</v>
      </c>
      <c r="X355" s="1" t="s">
        <v>7486</v>
      </c>
      <c r="Y355" s="1" t="s">
        <v>7487</v>
      </c>
      <c r="Z355" s="1" t="s">
        <v>7488</v>
      </c>
      <c r="AA355" s="1" t="s">
        <v>804</v>
      </c>
      <c r="AB355" s="1" t="s">
        <v>7489</v>
      </c>
      <c r="AC355" s="1" t="s">
        <v>1933</v>
      </c>
    </row>
    <row r="356" spans="1:29" ht="57" x14ac:dyDescent="0.45">
      <c r="A356" s="5" t="s">
        <v>350</v>
      </c>
      <c r="B356" s="2">
        <v>4094311</v>
      </c>
      <c r="C356" s="1" t="s">
        <v>7490</v>
      </c>
      <c r="D356" s="1" t="s">
        <v>7491</v>
      </c>
      <c r="E356" s="1" t="s">
        <v>7492</v>
      </c>
      <c r="F356" s="1" t="s">
        <v>7493</v>
      </c>
      <c r="G356" s="1" t="s">
        <v>7494</v>
      </c>
      <c r="H356" s="1" t="s">
        <v>7495</v>
      </c>
      <c r="I356" s="1" t="s">
        <v>7496</v>
      </c>
      <c r="J356" s="1" t="s">
        <v>7497</v>
      </c>
      <c r="K356" s="1" t="s">
        <v>7498</v>
      </c>
      <c r="L356" s="1" t="s">
        <v>7499</v>
      </c>
      <c r="M356" s="1" t="s">
        <v>7449</v>
      </c>
      <c r="N356" s="1" t="s">
        <v>7500</v>
      </c>
      <c r="O356" s="1" t="s">
        <v>7501</v>
      </c>
      <c r="P356" s="1" t="s">
        <v>7502</v>
      </c>
      <c r="Q356" s="1" t="s">
        <v>7503</v>
      </c>
      <c r="R356" s="1" t="s">
        <v>4471</v>
      </c>
      <c r="S356" s="1" t="s">
        <v>6573</v>
      </c>
      <c r="T356" s="1" t="s">
        <v>3468</v>
      </c>
      <c r="U356" s="1" t="s">
        <v>3000</v>
      </c>
      <c r="V356" s="1" t="s">
        <v>7504</v>
      </c>
      <c r="W356" s="1" t="s">
        <v>7505</v>
      </c>
      <c r="X356" s="1" t="s">
        <v>5773</v>
      </c>
      <c r="Y356" s="1" t="s">
        <v>797</v>
      </c>
      <c r="Z356" s="1" t="s">
        <v>7506</v>
      </c>
      <c r="AA356" s="1" t="s">
        <v>3022</v>
      </c>
      <c r="AB356" s="1" t="s">
        <v>7507</v>
      </c>
      <c r="AC356" s="1" t="s">
        <v>2511</v>
      </c>
    </row>
    <row r="357" spans="1:29" ht="42.75" x14ac:dyDescent="0.45">
      <c r="A357" s="5" t="s">
        <v>351</v>
      </c>
      <c r="B357" s="2">
        <v>4165107</v>
      </c>
      <c r="C357" s="1" t="s">
        <v>7508</v>
      </c>
      <c r="D357" s="1" t="s">
        <v>7509</v>
      </c>
      <c r="E357" s="1" t="s">
        <v>914</v>
      </c>
      <c r="F357" s="1" t="s">
        <v>7510</v>
      </c>
      <c r="G357" s="1" t="s">
        <v>7511</v>
      </c>
      <c r="H357" s="1" t="s">
        <v>7512</v>
      </c>
      <c r="I357" s="1" t="s">
        <v>1757</v>
      </c>
      <c r="J357" s="1" t="s">
        <v>6174</v>
      </c>
      <c r="K357" s="1" t="s">
        <v>7513</v>
      </c>
      <c r="L357" s="1" t="s">
        <v>7514</v>
      </c>
      <c r="M357" s="1" t="s">
        <v>7515</v>
      </c>
      <c r="N357" s="1" t="s">
        <v>7516</v>
      </c>
      <c r="O357" s="1" t="s">
        <v>7517</v>
      </c>
      <c r="P357" s="1" t="s">
        <v>7518</v>
      </c>
      <c r="Q357" s="1" t="s">
        <v>7519</v>
      </c>
      <c r="R357" s="1" t="s">
        <v>7520</v>
      </c>
      <c r="S357" s="1" t="s">
        <v>7521</v>
      </c>
      <c r="T357" s="1" t="s">
        <v>7522</v>
      </c>
      <c r="U357" s="1" t="s">
        <v>1750</v>
      </c>
      <c r="V357" s="1" t="s">
        <v>7523</v>
      </c>
      <c r="W357" s="1" t="s">
        <v>7524</v>
      </c>
      <c r="X357" s="1" t="s">
        <v>7525</v>
      </c>
      <c r="Y357" s="1" t="s">
        <v>7526</v>
      </c>
      <c r="Z357" s="1" t="s">
        <v>3960</v>
      </c>
      <c r="AA357" s="1" t="s">
        <v>2421</v>
      </c>
      <c r="AB357" s="1" t="s">
        <v>4966</v>
      </c>
      <c r="AC357" s="1" t="s">
        <v>7527</v>
      </c>
    </row>
    <row r="358" spans="1:29" ht="57" x14ac:dyDescent="0.45">
      <c r="A358" s="5" t="s">
        <v>352</v>
      </c>
      <c r="B358" s="2">
        <v>4810597</v>
      </c>
      <c r="C358" s="1" t="s">
        <v>7528</v>
      </c>
      <c r="D358" s="1" t="s">
        <v>7529</v>
      </c>
      <c r="E358" s="1" t="s">
        <v>940</v>
      </c>
      <c r="F358" s="1" t="s">
        <v>7530</v>
      </c>
      <c r="G358" s="1" t="s">
        <v>7531</v>
      </c>
      <c r="H358" s="1" t="s">
        <v>7532</v>
      </c>
      <c r="I358" s="1" t="s">
        <v>3100</v>
      </c>
      <c r="J358" s="1" t="s">
        <v>7533</v>
      </c>
      <c r="K358" s="1" t="s">
        <v>7534</v>
      </c>
      <c r="L358" s="1" t="s">
        <v>6697</v>
      </c>
      <c r="M358" s="1" t="s">
        <v>7535</v>
      </c>
      <c r="N358" s="1" t="s">
        <v>7536</v>
      </c>
      <c r="O358" s="1" t="s">
        <v>1558</v>
      </c>
      <c r="P358" s="1" t="s">
        <v>7537</v>
      </c>
      <c r="Q358" s="1" t="s">
        <v>6517</v>
      </c>
      <c r="R358" s="1" t="s">
        <v>7538</v>
      </c>
      <c r="S358" s="1" t="s">
        <v>7076</v>
      </c>
      <c r="T358" s="1" t="s">
        <v>7539</v>
      </c>
      <c r="U358" s="1" t="s">
        <v>1153</v>
      </c>
      <c r="V358" s="1" t="s">
        <v>2571</v>
      </c>
      <c r="W358" s="1" t="s">
        <v>2840</v>
      </c>
      <c r="X358" s="1" t="s">
        <v>4547</v>
      </c>
      <c r="Y358" s="1" t="s">
        <v>7540</v>
      </c>
      <c r="Z358" s="1" t="s">
        <v>2419</v>
      </c>
      <c r="AA358" s="1" t="s">
        <v>1558</v>
      </c>
      <c r="AB358" s="1" t="s">
        <v>7541</v>
      </c>
      <c r="AC358" s="1" t="s">
        <v>7542</v>
      </c>
    </row>
    <row r="359" spans="1:29" ht="85.5" x14ac:dyDescent="0.45">
      <c r="A359" s="5" t="s">
        <v>353</v>
      </c>
      <c r="B359" s="2">
        <v>4994529</v>
      </c>
      <c r="C359" s="1" t="s">
        <v>7543</v>
      </c>
      <c r="D359" s="1" t="s">
        <v>7544</v>
      </c>
      <c r="E359" s="1" t="s">
        <v>1351</v>
      </c>
      <c r="F359" s="1" t="s">
        <v>7545</v>
      </c>
      <c r="G359" s="1" t="s">
        <v>1537</v>
      </c>
      <c r="H359" s="1" t="s">
        <v>7546</v>
      </c>
      <c r="I359" s="1" t="s">
        <v>7547</v>
      </c>
      <c r="J359" s="1" t="s">
        <v>1805</v>
      </c>
      <c r="K359" s="1" t="s">
        <v>3553</v>
      </c>
      <c r="L359" s="1" t="s">
        <v>3438</v>
      </c>
      <c r="M359" s="1" t="s">
        <v>7548</v>
      </c>
      <c r="N359" s="1" t="s">
        <v>7549</v>
      </c>
      <c r="O359" s="1" t="s">
        <v>1191</v>
      </c>
      <c r="P359" s="1" t="s">
        <v>3054</v>
      </c>
      <c r="Q359" s="1" t="s">
        <v>7550</v>
      </c>
      <c r="R359" s="1" t="s">
        <v>7551</v>
      </c>
      <c r="S359" s="1" t="s">
        <v>7552</v>
      </c>
      <c r="T359" s="1" t="s">
        <v>2495</v>
      </c>
      <c r="U359" s="1" t="s">
        <v>3546</v>
      </c>
      <c r="V359" s="1" t="s">
        <v>1186</v>
      </c>
      <c r="W359" s="1" t="s">
        <v>7553</v>
      </c>
      <c r="X359" s="1" t="s">
        <v>2214</v>
      </c>
      <c r="Y359" s="1" t="s">
        <v>7554</v>
      </c>
      <c r="Z359" s="1" t="s">
        <v>7555</v>
      </c>
      <c r="AA359" s="1" t="s">
        <v>6019</v>
      </c>
      <c r="AB359" s="1" t="s">
        <v>7556</v>
      </c>
      <c r="AC359" s="1" t="s">
        <v>7557</v>
      </c>
    </row>
    <row r="360" spans="1:29" ht="71.25" x14ac:dyDescent="0.45">
      <c r="A360" s="5" t="s">
        <v>354</v>
      </c>
      <c r="B360" s="2">
        <v>4055530</v>
      </c>
      <c r="C360" s="1" t="s">
        <v>7558</v>
      </c>
      <c r="D360" s="1" t="s">
        <v>7559</v>
      </c>
      <c r="E360" s="1" t="s">
        <v>1250</v>
      </c>
      <c r="F360" s="1" t="s">
        <v>7560</v>
      </c>
      <c r="G360" s="1" t="s">
        <v>7561</v>
      </c>
      <c r="H360" s="1" t="s">
        <v>7562</v>
      </c>
      <c r="I360" s="1" t="s">
        <v>7563</v>
      </c>
      <c r="J360" s="1" t="s">
        <v>7564</v>
      </c>
      <c r="K360" s="1" t="s">
        <v>7565</v>
      </c>
      <c r="L360" s="1" t="s">
        <v>7566</v>
      </c>
      <c r="M360" s="1" t="s">
        <v>1615</v>
      </c>
      <c r="N360" s="1" t="s">
        <v>7567</v>
      </c>
      <c r="O360" s="1" t="s">
        <v>7568</v>
      </c>
      <c r="P360" s="1" t="s">
        <v>7569</v>
      </c>
      <c r="Q360" s="1" t="s">
        <v>7570</v>
      </c>
      <c r="R360" s="1" t="s">
        <v>7571</v>
      </c>
      <c r="S360" s="1" t="s">
        <v>7572</v>
      </c>
      <c r="T360" s="1" t="s">
        <v>3276</v>
      </c>
      <c r="U360" s="1" t="s">
        <v>7573</v>
      </c>
      <c r="V360" s="1" t="s">
        <v>7574</v>
      </c>
      <c r="W360" s="1" t="s">
        <v>7575</v>
      </c>
      <c r="X360" s="1" t="s">
        <v>7576</v>
      </c>
      <c r="Y360" s="1" t="s">
        <v>7577</v>
      </c>
      <c r="Z360" s="1" t="s">
        <v>3291</v>
      </c>
      <c r="AA360" s="1" t="s">
        <v>7578</v>
      </c>
      <c r="AB360" s="1" t="s">
        <v>1627</v>
      </c>
      <c r="AC360" s="1" t="s">
        <v>7579</v>
      </c>
    </row>
    <row r="361" spans="1:29" ht="71.25" x14ac:dyDescent="0.45">
      <c r="A361" s="5" t="s">
        <v>355</v>
      </c>
      <c r="B361" s="2">
        <v>4915639</v>
      </c>
      <c r="C361" s="1" t="s">
        <v>7580</v>
      </c>
      <c r="D361" s="1" t="s">
        <v>7581</v>
      </c>
      <c r="E361" s="1" t="s">
        <v>7582</v>
      </c>
      <c r="F361" s="1" t="s">
        <v>6226</v>
      </c>
      <c r="G361" s="1" t="s">
        <v>3100</v>
      </c>
      <c r="H361" s="1" t="s">
        <v>7583</v>
      </c>
      <c r="I361" s="1" t="s">
        <v>7069</v>
      </c>
      <c r="J361" s="1" t="s">
        <v>6687</v>
      </c>
      <c r="K361" s="1" t="s">
        <v>7584</v>
      </c>
      <c r="L361" s="1" t="s">
        <v>7585</v>
      </c>
      <c r="M361" s="1" t="s">
        <v>3098</v>
      </c>
      <c r="N361" s="1" t="s">
        <v>7586</v>
      </c>
      <c r="O361" s="1" t="s">
        <v>3478</v>
      </c>
      <c r="P361" s="1" t="s">
        <v>7587</v>
      </c>
      <c r="Q361" s="1" t="s">
        <v>3961</v>
      </c>
      <c r="R361" s="1" t="s">
        <v>4059</v>
      </c>
      <c r="S361" s="1" t="s">
        <v>6943</v>
      </c>
      <c r="T361" s="1" t="s">
        <v>3378</v>
      </c>
      <c r="U361" s="1" t="s">
        <v>7588</v>
      </c>
      <c r="V361" s="1" t="s">
        <v>3378</v>
      </c>
      <c r="W361" s="1" t="s">
        <v>4964</v>
      </c>
      <c r="X361" s="1" t="s">
        <v>7072</v>
      </c>
      <c r="Y361" s="1" t="s">
        <v>7589</v>
      </c>
      <c r="Z361" s="1" t="s">
        <v>7535</v>
      </c>
      <c r="AA361" s="1" t="s">
        <v>7590</v>
      </c>
      <c r="AB361" s="1" t="s">
        <v>7591</v>
      </c>
      <c r="AC361" s="1" t="s">
        <v>5450</v>
      </c>
    </row>
    <row r="362" spans="1:29" ht="57" x14ac:dyDescent="0.45">
      <c r="A362" s="5" t="s">
        <v>356</v>
      </c>
      <c r="B362" s="2">
        <v>4970473</v>
      </c>
      <c r="C362" s="1" t="s">
        <v>7592</v>
      </c>
      <c r="D362" s="1" t="s">
        <v>7593</v>
      </c>
      <c r="E362" s="1" t="s">
        <v>2321</v>
      </c>
      <c r="F362" s="1" t="s">
        <v>2337</v>
      </c>
      <c r="G362" s="1" t="s">
        <v>7594</v>
      </c>
      <c r="H362" s="1" t="s">
        <v>3401</v>
      </c>
      <c r="I362" s="1" t="s">
        <v>3946</v>
      </c>
      <c r="J362" s="1" t="s">
        <v>1889</v>
      </c>
      <c r="K362" s="1" t="s">
        <v>7595</v>
      </c>
      <c r="L362" s="1" t="s">
        <v>7596</v>
      </c>
      <c r="M362" s="1" t="s">
        <v>7597</v>
      </c>
      <c r="N362" s="1" t="s">
        <v>7598</v>
      </c>
      <c r="O362" s="1" t="s">
        <v>7599</v>
      </c>
      <c r="P362" s="1" t="s">
        <v>5872</v>
      </c>
      <c r="Q362" s="1" t="s">
        <v>1768</v>
      </c>
      <c r="R362" s="1" t="s">
        <v>7600</v>
      </c>
      <c r="S362" s="1" t="s">
        <v>7601</v>
      </c>
      <c r="T362" s="1" t="s">
        <v>7602</v>
      </c>
      <c r="U362" s="1" t="s">
        <v>7603</v>
      </c>
      <c r="V362" s="1" t="s">
        <v>7604</v>
      </c>
      <c r="W362" s="1" t="s">
        <v>6924</v>
      </c>
      <c r="X362" s="1" t="s">
        <v>7605</v>
      </c>
      <c r="Y362" s="1" t="s">
        <v>7606</v>
      </c>
      <c r="Z362" s="1" t="s">
        <v>7607</v>
      </c>
      <c r="AA362" s="1" t="s">
        <v>7518</v>
      </c>
      <c r="AB362" s="1" t="s">
        <v>7608</v>
      </c>
      <c r="AC362" s="1" t="s">
        <v>7609</v>
      </c>
    </row>
    <row r="363" spans="1:29" ht="42.75" x14ac:dyDescent="0.45">
      <c r="A363" s="5" t="s">
        <v>357</v>
      </c>
      <c r="B363" s="2">
        <v>4157397</v>
      </c>
      <c r="C363" s="1" t="s">
        <v>7610</v>
      </c>
      <c r="D363" s="1" t="s">
        <v>7611</v>
      </c>
      <c r="E363" s="1" t="s">
        <v>914</v>
      </c>
      <c r="F363" s="1" t="s">
        <v>7612</v>
      </c>
      <c r="G363" s="1" t="s">
        <v>6796</v>
      </c>
      <c r="H363" s="1" t="s">
        <v>838</v>
      </c>
      <c r="I363" s="1" t="s">
        <v>3892</v>
      </c>
      <c r="J363" s="1" t="s">
        <v>2851</v>
      </c>
      <c r="K363" s="1" t="s">
        <v>7613</v>
      </c>
      <c r="L363" s="1" t="s">
        <v>6591</v>
      </c>
      <c r="M363" s="1" t="s">
        <v>6218</v>
      </c>
      <c r="N363" s="1" t="s">
        <v>7584</v>
      </c>
      <c r="O363" s="1" t="s">
        <v>7614</v>
      </c>
      <c r="P363" s="1" t="s">
        <v>7059</v>
      </c>
      <c r="Q363" s="1" t="s">
        <v>5942</v>
      </c>
      <c r="R363" s="1" t="s">
        <v>7615</v>
      </c>
      <c r="S363" s="1" t="s">
        <v>7303</v>
      </c>
      <c r="T363" s="1" t="s">
        <v>7616</v>
      </c>
      <c r="U363" s="1" t="s">
        <v>2832</v>
      </c>
      <c r="V363" s="1" t="s">
        <v>2854</v>
      </c>
      <c r="W363" s="1" t="s">
        <v>6481</v>
      </c>
      <c r="X363" s="1" t="s">
        <v>7617</v>
      </c>
      <c r="Y363" s="1" t="s">
        <v>7618</v>
      </c>
      <c r="Z363" s="1" t="s">
        <v>7619</v>
      </c>
      <c r="AA363" s="1" t="s">
        <v>7620</v>
      </c>
      <c r="AB363" s="1" t="s">
        <v>3249</v>
      </c>
      <c r="AC363" s="1" t="s">
        <v>7621</v>
      </c>
    </row>
    <row r="364" spans="1:29" ht="42.75" x14ac:dyDescent="0.45">
      <c r="A364" s="5" t="s">
        <v>358</v>
      </c>
      <c r="B364" s="2">
        <v>4095021</v>
      </c>
      <c r="C364" s="1" t="s">
        <v>7622</v>
      </c>
      <c r="D364" s="1" t="s">
        <v>7623</v>
      </c>
      <c r="E364" s="1" t="s">
        <v>6287</v>
      </c>
      <c r="F364" s="1" t="s">
        <v>7624</v>
      </c>
      <c r="G364" s="1" t="s">
        <v>4698</v>
      </c>
      <c r="H364" s="1" t="s">
        <v>7625</v>
      </c>
      <c r="I364" s="1" t="s">
        <v>7626</v>
      </c>
      <c r="J364" s="1" t="s">
        <v>7627</v>
      </c>
      <c r="K364" s="1" t="s">
        <v>5128</v>
      </c>
      <c r="L364" s="1" t="s">
        <v>7628</v>
      </c>
      <c r="M364" s="1" t="s">
        <v>7629</v>
      </c>
      <c r="N364" s="1" t="s">
        <v>7630</v>
      </c>
      <c r="O364" s="1" t="s">
        <v>7631</v>
      </c>
      <c r="P364" s="1" t="s">
        <v>5113</v>
      </c>
      <c r="Q364" s="1" t="s">
        <v>1597</v>
      </c>
      <c r="R364" s="1" t="s">
        <v>981</v>
      </c>
      <c r="S364" s="1" t="s">
        <v>7632</v>
      </c>
      <c r="T364" s="1" t="s">
        <v>7633</v>
      </c>
      <c r="U364" s="1" t="s">
        <v>4094</v>
      </c>
      <c r="V364" s="1" t="s">
        <v>4636</v>
      </c>
      <c r="W364" s="1" t="s">
        <v>7634</v>
      </c>
      <c r="X364" s="1" t="s">
        <v>7238</v>
      </c>
      <c r="Y364" s="1" t="s">
        <v>1418</v>
      </c>
      <c r="Z364" s="1" t="s">
        <v>2894</v>
      </c>
      <c r="AA364" s="1" t="s">
        <v>6283</v>
      </c>
      <c r="AB364" s="1" t="s">
        <v>5116</v>
      </c>
      <c r="AC364" s="1" t="s">
        <v>7635</v>
      </c>
    </row>
    <row r="365" spans="1:29" ht="57" x14ac:dyDescent="0.45">
      <c r="A365" s="5" t="s">
        <v>359</v>
      </c>
      <c r="B365" s="2">
        <v>4275772</v>
      </c>
      <c r="C365" s="1" t="s">
        <v>7636</v>
      </c>
      <c r="D365" s="1" t="s">
        <v>7637</v>
      </c>
      <c r="E365" s="1" t="s">
        <v>3883</v>
      </c>
      <c r="F365" s="1" t="s">
        <v>7638</v>
      </c>
      <c r="G365" s="1" t="s">
        <v>6226</v>
      </c>
      <c r="H365" s="1" t="s">
        <v>7639</v>
      </c>
      <c r="I365" s="1" t="s">
        <v>853</v>
      </c>
      <c r="J365" s="1" t="s">
        <v>7640</v>
      </c>
      <c r="K365" s="1" t="s">
        <v>5438</v>
      </c>
      <c r="L365" s="1" t="s">
        <v>1125</v>
      </c>
      <c r="M365" s="1" t="s">
        <v>7641</v>
      </c>
      <c r="N365" s="1" t="s">
        <v>1563</v>
      </c>
      <c r="O365" s="1" t="s">
        <v>7642</v>
      </c>
      <c r="P365" s="1" t="s">
        <v>7540</v>
      </c>
      <c r="Q365" s="1" t="s">
        <v>7643</v>
      </c>
      <c r="R365" s="1" t="s">
        <v>7644</v>
      </c>
      <c r="S365" s="1" t="s">
        <v>7645</v>
      </c>
      <c r="T365" s="1" t="s">
        <v>7646</v>
      </c>
      <c r="U365" s="1" t="s">
        <v>7646</v>
      </c>
      <c r="V365" s="1" t="s">
        <v>5182</v>
      </c>
      <c r="W365" s="1" t="s">
        <v>7647</v>
      </c>
      <c r="X365" s="1" t="s">
        <v>5548</v>
      </c>
      <c r="Y365" s="1" t="s">
        <v>7648</v>
      </c>
      <c r="Z365" s="1" t="s">
        <v>7649</v>
      </c>
      <c r="AA365" s="1" t="s">
        <v>7650</v>
      </c>
      <c r="AB365" s="1" t="s">
        <v>3321</v>
      </c>
      <c r="AC365" s="1" t="s">
        <v>5199</v>
      </c>
    </row>
    <row r="366" spans="1:29" ht="57" x14ac:dyDescent="0.45">
      <c r="A366" s="5" t="s">
        <v>360</v>
      </c>
      <c r="B366" s="2">
        <v>4305562</v>
      </c>
      <c r="C366" s="1" t="s">
        <v>7651</v>
      </c>
      <c r="D366" s="1" t="s">
        <v>7652</v>
      </c>
      <c r="E366" s="1" t="s">
        <v>3628</v>
      </c>
      <c r="F366" s="1" t="s">
        <v>3249</v>
      </c>
      <c r="G366" s="1" t="s">
        <v>4036</v>
      </c>
      <c r="H366" s="1" t="s">
        <v>7653</v>
      </c>
      <c r="I366" s="1" t="s">
        <v>7654</v>
      </c>
      <c r="J366" s="1" t="s">
        <v>7655</v>
      </c>
      <c r="K366" s="1" t="s">
        <v>7656</v>
      </c>
      <c r="L366" s="1" t="s">
        <v>7657</v>
      </c>
      <c r="M366" s="1" t="s">
        <v>7658</v>
      </c>
      <c r="N366" s="1" t="s">
        <v>7659</v>
      </c>
      <c r="O366" s="1" t="s">
        <v>7584</v>
      </c>
      <c r="P366" s="1" t="s">
        <v>5747</v>
      </c>
      <c r="Q366" s="1" t="s">
        <v>1896</v>
      </c>
      <c r="R366" s="1" t="s">
        <v>3375</v>
      </c>
      <c r="S366" s="1" t="s">
        <v>7660</v>
      </c>
      <c r="T366" s="1" t="s">
        <v>7661</v>
      </c>
      <c r="U366" s="1" t="s">
        <v>5153</v>
      </c>
      <c r="V366" s="1" t="s">
        <v>2087</v>
      </c>
      <c r="W366" s="1" t="s">
        <v>2631</v>
      </c>
      <c r="X366" s="1" t="s">
        <v>7662</v>
      </c>
      <c r="Y366" s="1" t="s">
        <v>7663</v>
      </c>
      <c r="Z366" s="1" t="s">
        <v>5009</v>
      </c>
      <c r="AA366" s="1" t="s">
        <v>2344</v>
      </c>
      <c r="AB366" s="1" t="s">
        <v>5338</v>
      </c>
      <c r="AC366" s="1" t="s">
        <v>6070</v>
      </c>
    </row>
    <row r="367" spans="1:29" ht="57" x14ac:dyDescent="0.45">
      <c r="A367" s="5" t="s">
        <v>361</v>
      </c>
      <c r="B367" s="2">
        <v>4089979</v>
      </c>
      <c r="C367" s="1" t="s">
        <v>7664</v>
      </c>
      <c r="D367" s="1" t="s">
        <v>7665</v>
      </c>
      <c r="E367" s="1" t="s">
        <v>487</v>
      </c>
      <c r="F367" s="1" t="s">
        <v>7666</v>
      </c>
      <c r="G367" s="1" t="s">
        <v>7667</v>
      </c>
      <c r="H367" s="1" t="s">
        <v>7668</v>
      </c>
      <c r="I367" s="1" t="s">
        <v>7669</v>
      </c>
      <c r="J367" s="1" t="s">
        <v>7670</v>
      </c>
      <c r="K367" s="1" t="s">
        <v>6138</v>
      </c>
      <c r="L367" s="1" t="s">
        <v>3040</v>
      </c>
      <c r="M367" s="1" t="s">
        <v>3515</v>
      </c>
      <c r="N367" s="1" t="s">
        <v>7436</v>
      </c>
      <c r="O367" s="1" t="s">
        <v>7671</v>
      </c>
      <c r="P367" s="1" t="s">
        <v>1844</v>
      </c>
      <c r="Q367" s="1" t="s">
        <v>2060</v>
      </c>
      <c r="R367" s="1" t="s">
        <v>5920</v>
      </c>
      <c r="S367" s="1" t="s">
        <v>5205</v>
      </c>
      <c r="T367" s="1" t="s">
        <v>1650</v>
      </c>
      <c r="U367" s="1" t="s">
        <v>7672</v>
      </c>
      <c r="V367" s="1" t="s">
        <v>1374</v>
      </c>
      <c r="W367" s="1" t="s">
        <v>3567</v>
      </c>
      <c r="X367" s="1" t="s">
        <v>7673</v>
      </c>
      <c r="Y367" s="1" t="s">
        <v>7674</v>
      </c>
      <c r="Z367" s="1" t="s">
        <v>7675</v>
      </c>
      <c r="AA367" s="1" t="s">
        <v>7676</v>
      </c>
      <c r="AB367" s="1" t="s">
        <v>7677</v>
      </c>
      <c r="AC367" s="1" t="s">
        <v>3705</v>
      </c>
    </row>
    <row r="368" spans="1:29" ht="71.25" x14ac:dyDescent="0.45">
      <c r="A368" s="5" t="s">
        <v>362</v>
      </c>
      <c r="B368" s="2">
        <v>4991395</v>
      </c>
      <c r="C368" s="1" t="s">
        <v>7678</v>
      </c>
      <c r="D368" s="1" t="s">
        <v>7679</v>
      </c>
      <c r="E368" s="1" t="s">
        <v>4911</v>
      </c>
      <c r="F368" s="1" t="s">
        <v>7680</v>
      </c>
      <c r="G368" s="1" t="s">
        <v>1460</v>
      </c>
      <c r="H368" s="1" t="s">
        <v>7681</v>
      </c>
      <c r="I368" s="1" t="s">
        <v>7682</v>
      </c>
      <c r="J368" s="1" t="s">
        <v>7683</v>
      </c>
      <c r="K368" s="1" t="s">
        <v>1188</v>
      </c>
      <c r="L368" s="1" t="s">
        <v>7684</v>
      </c>
      <c r="M368" s="1" t="s">
        <v>5851</v>
      </c>
      <c r="N368" s="1" t="s">
        <v>7685</v>
      </c>
      <c r="O368" s="1" t="s">
        <v>7686</v>
      </c>
      <c r="P368" s="1" t="s">
        <v>5079</v>
      </c>
      <c r="Q368" s="1" t="s">
        <v>7547</v>
      </c>
      <c r="R368" s="1" t="s">
        <v>5646</v>
      </c>
      <c r="S368" s="1" t="s">
        <v>5046</v>
      </c>
      <c r="T368" s="1" t="s">
        <v>7396</v>
      </c>
      <c r="U368" s="1" t="s">
        <v>7687</v>
      </c>
      <c r="V368" s="1" t="s">
        <v>3517</v>
      </c>
      <c r="W368" s="1" t="s">
        <v>3505</v>
      </c>
      <c r="X368" s="1" t="s">
        <v>4371</v>
      </c>
      <c r="Y368" s="1" t="s">
        <v>1537</v>
      </c>
      <c r="Z368" s="1" t="s">
        <v>7688</v>
      </c>
      <c r="AA368" s="1" t="s">
        <v>1728</v>
      </c>
      <c r="AB368" s="1" t="s">
        <v>7689</v>
      </c>
      <c r="AC368" s="1" t="s">
        <v>2494</v>
      </c>
    </row>
    <row r="369" spans="1:29" ht="42.75" x14ac:dyDescent="0.45">
      <c r="A369" s="5" t="s">
        <v>363</v>
      </c>
      <c r="B369" s="2">
        <v>4059821</v>
      </c>
      <c r="C369" s="1" t="s">
        <v>7690</v>
      </c>
      <c r="D369" s="1" t="s">
        <v>7691</v>
      </c>
      <c r="E369" s="1" t="s">
        <v>5179</v>
      </c>
      <c r="F369" s="1" t="s">
        <v>2878</v>
      </c>
      <c r="G369" s="1" t="s">
        <v>1937</v>
      </c>
      <c r="H369" s="1" t="s">
        <v>1604</v>
      </c>
      <c r="I369" s="1" t="s">
        <v>6718</v>
      </c>
      <c r="J369" s="1" t="s">
        <v>7692</v>
      </c>
      <c r="K369" s="1" t="s">
        <v>7693</v>
      </c>
      <c r="L369" s="1" t="s">
        <v>4252</v>
      </c>
      <c r="M369" s="1" t="s">
        <v>5019</v>
      </c>
      <c r="N369" s="1" t="s">
        <v>7694</v>
      </c>
      <c r="O369" s="1" t="s">
        <v>2884</v>
      </c>
      <c r="P369" s="1" t="s">
        <v>2199</v>
      </c>
      <c r="Q369" s="1" t="s">
        <v>3284</v>
      </c>
      <c r="R369" s="1" t="s">
        <v>7695</v>
      </c>
      <c r="S369" s="1" t="s">
        <v>4005</v>
      </c>
      <c r="T369" s="1" t="s">
        <v>1056</v>
      </c>
      <c r="U369" s="1" t="s">
        <v>7696</v>
      </c>
      <c r="V369" s="1" t="s">
        <v>4207</v>
      </c>
      <c r="W369" s="1" t="s">
        <v>7697</v>
      </c>
      <c r="X369" s="1" t="s">
        <v>7698</v>
      </c>
      <c r="Y369" s="1" t="s">
        <v>7699</v>
      </c>
      <c r="Z369" s="1" t="s">
        <v>7700</v>
      </c>
      <c r="AA369" s="1" t="s">
        <v>7701</v>
      </c>
      <c r="AB369" s="1" t="s">
        <v>6724</v>
      </c>
      <c r="AC369" s="1" t="s">
        <v>3971</v>
      </c>
    </row>
    <row r="370" spans="1:29" ht="85.5" x14ac:dyDescent="0.45">
      <c r="A370" s="5" t="s">
        <v>364</v>
      </c>
      <c r="B370" s="2">
        <v>4829067</v>
      </c>
      <c r="C370" s="1" t="s">
        <v>7702</v>
      </c>
      <c r="D370" s="1" t="s">
        <v>7703</v>
      </c>
      <c r="E370" s="1" t="s">
        <v>1400</v>
      </c>
      <c r="F370" s="1" t="s">
        <v>7704</v>
      </c>
      <c r="G370" s="1" t="s">
        <v>7705</v>
      </c>
      <c r="H370" s="1" t="s">
        <v>7706</v>
      </c>
      <c r="I370" s="1" t="s">
        <v>7707</v>
      </c>
      <c r="J370" s="1" t="s">
        <v>7708</v>
      </c>
      <c r="K370" s="1" t="s">
        <v>7709</v>
      </c>
      <c r="L370" s="1" t="s">
        <v>7710</v>
      </c>
      <c r="M370" s="1" t="s">
        <v>7711</v>
      </c>
      <c r="N370" s="1" t="s">
        <v>7712</v>
      </c>
      <c r="O370" s="1" t="s">
        <v>7713</v>
      </c>
      <c r="P370" s="1" t="s">
        <v>7714</v>
      </c>
      <c r="Q370" s="1" t="s">
        <v>7715</v>
      </c>
      <c r="R370" s="1" t="s">
        <v>3906</v>
      </c>
      <c r="S370" s="1" t="s">
        <v>7716</v>
      </c>
      <c r="T370" s="1" t="s">
        <v>7717</v>
      </c>
      <c r="U370" s="1" t="s">
        <v>748</v>
      </c>
      <c r="V370" s="1" t="s">
        <v>7718</v>
      </c>
      <c r="W370" s="1" t="s">
        <v>7125</v>
      </c>
      <c r="X370" s="1" t="s">
        <v>7719</v>
      </c>
      <c r="Y370" s="1" t="s">
        <v>7720</v>
      </c>
      <c r="Z370" s="1" t="s">
        <v>7721</v>
      </c>
      <c r="AA370" s="1" t="s">
        <v>7722</v>
      </c>
      <c r="AB370" s="1" t="s">
        <v>7723</v>
      </c>
      <c r="AC370" s="1" t="s">
        <v>7724</v>
      </c>
    </row>
    <row r="371" spans="1:29" ht="71.25" x14ac:dyDescent="0.45">
      <c r="A371" s="5" t="s">
        <v>365</v>
      </c>
      <c r="B371" s="2">
        <v>4623856</v>
      </c>
      <c r="C371" s="1" t="s">
        <v>7725</v>
      </c>
      <c r="D371" s="1" t="s">
        <v>7726</v>
      </c>
      <c r="E371" s="1" t="s">
        <v>5179</v>
      </c>
      <c r="F371" s="1" t="s">
        <v>7727</v>
      </c>
      <c r="G371" s="1" t="s">
        <v>4912</v>
      </c>
      <c r="H371" s="1" t="s">
        <v>7728</v>
      </c>
      <c r="I371" s="1" t="s">
        <v>3598</v>
      </c>
      <c r="J371" s="1" t="s">
        <v>4368</v>
      </c>
      <c r="K371" s="1" t="s">
        <v>7729</v>
      </c>
      <c r="L371" s="1" t="s">
        <v>4706</v>
      </c>
      <c r="M371" s="1" t="s">
        <v>3112</v>
      </c>
      <c r="N371" s="1" t="s">
        <v>657</v>
      </c>
      <c r="O371" s="1" t="s">
        <v>7730</v>
      </c>
      <c r="P371" s="1" t="s">
        <v>7731</v>
      </c>
      <c r="Q371" s="1" t="s">
        <v>7098</v>
      </c>
      <c r="R371" s="1" t="s">
        <v>7732</v>
      </c>
      <c r="S371" s="1" t="s">
        <v>4502</v>
      </c>
      <c r="T371" s="1" t="s">
        <v>806</v>
      </c>
      <c r="U371" s="1" t="s">
        <v>5914</v>
      </c>
      <c r="V371" s="1" t="s">
        <v>3589</v>
      </c>
      <c r="W371" s="1" t="s">
        <v>4352</v>
      </c>
      <c r="X371" s="1" t="s">
        <v>7733</v>
      </c>
      <c r="Y371" s="1" t="s">
        <v>7734</v>
      </c>
      <c r="Z371" s="1" t="s">
        <v>7735</v>
      </c>
      <c r="AA371" s="1" t="s">
        <v>7736</v>
      </c>
      <c r="AB371" s="1" t="s">
        <v>7737</v>
      </c>
      <c r="AC371" s="1" t="s">
        <v>3232</v>
      </c>
    </row>
    <row r="372" spans="1:29" ht="57" x14ac:dyDescent="0.45">
      <c r="A372" s="5" t="s">
        <v>366</v>
      </c>
      <c r="B372" s="2">
        <v>4272273</v>
      </c>
      <c r="C372" s="1" t="s">
        <v>7738</v>
      </c>
      <c r="D372" s="1" t="s">
        <v>7739</v>
      </c>
      <c r="E372" s="1" t="s">
        <v>6169</v>
      </c>
      <c r="F372" s="1" t="s">
        <v>2783</v>
      </c>
      <c r="G372" s="1" t="s">
        <v>7314</v>
      </c>
      <c r="H372" s="1" t="s">
        <v>6894</v>
      </c>
      <c r="I372" s="1" t="s">
        <v>5945</v>
      </c>
      <c r="J372" s="1" t="s">
        <v>6692</v>
      </c>
      <c r="K372" s="1" t="s">
        <v>4172</v>
      </c>
      <c r="L372" s="1" t="s">
        <v>2642</v>
      </c>
      <c r="M372" s="1" t="s">
        <v>6510</v>
      </c>
      <c r="N372" s="1" t="s">
        <v>4047</v>
      </c>
      <c r="O372" s="1" t="s">
        <v>1209</v>
      </c>
      <c r="P372" s="1" t="s">
        <v>7740</v>
      </c>
      <c r="Q372" s="1" t="s">
        <v>7741</v>
      </c>
      <c r="R372" s="1" t="s">
        <v>1219</v>
      </c>
      <c r="S372" s="1" t="s">
        <v>4959</v>
      </c>
      <c r="T372" s="1" t="s">
        <v>5190</v>
      </c>
      <c r="U372" s="1" t="s">
        <v>3326</v>
      </c>
      <c r="V372" s="1" t="s">
        <v>2648</v>
      </c>
      <c r="W372" s="1" t="s">
        <v>4166</v>
      </c>
      <c r="X372" s="1" t="s">
        <v>5930</v>
      </c>
      <c r="Y372" s="1" t="s">
        <v>7742</v>
      </c>
      <c r="Z372" s="1" t="s">
        <v>7743</v>
      </c>
      <c r="AA372" s="1" t="s">
        <v>4113</v>
      </c>
      <c r="AB372" s="1" t="s">
        <v>2584</v>
      </c>
      <c r="AC372" s="1" t="s">
        <v>4076</v>
      </c>
    </row>
    <row r="373" spans="1:29" ht="57" x14ac:dyDescent="0.45">
      <c r="A373" s="5" t="s">
        <v>367</v>
      </c>
      <c r="B373" s="2">
        <v>4122573</v>
      </c>
      <c r="C373" s="1" t="s">
        <v>7744</v>
      </c>
      <c r="D373" s="1" t="s">
        <v>7745</v>
      </c>
      <c r="E373" s="1" t="s">
        <v>1426</v>
      </c>
      <c r="F373" s="1" t="s">
        <v>7746</v>
      </c>
      <c r="G373" s="1" t="s">
        <v>7747</v>
      </c>
      <c r="H373" s="1" t="s">
        <v>7748</v>
      </c>
      <c r="I373" s="1" t="s">
        <v>4659</v>
      </c>
      <c r="J373" s="1" t="s">
        <v>4304</v>
      </c>
      <c r="K373" s="1" t="s">
        <v>7749</v>
      </c>
      <c r="L373" s="1" t="s">
        <v>1613</v>
      </c>
      <c r="M373" s="1" t="s">
        <v>7750</v>
      </c>
      <c r="N373" s="1" t="s">
        <v>949</v>
      </c>
      <c r="O373" s="1" t="s">
        <v>7751</v>
      </c>
      <c r="P373" s="1" t="s">
        <v>869</v>
      </c>
      <c r="Q373" s="1" t="s">
        <v>7379</v>
      </c>
      <c r="R373" s="1" t="s">
        <v>7752</v>
      </c>
      <c r="S373" s="1" t="s">
        <v>7753</v>
      </c>
      <c r="T373" s="1" t="s">
        <v>6734</v>
      </c>
      <c r="U373" s="1" t="s">
        <v>6749</v>
      </c>
      <c r="V373" s="1" t="s">
        <v>4986</v>
      </c>
      <c r="W373" s="1" t="s">
        <v>600</v>
      </c>
      <c r="X373" s="1" t="s">
        <v>7754</v>
      </c>
      <c r="Y373" s="1" t="s">
        <v>7755</v>
      </c>
      <c r="Z373" s="1" t="s">
        <v>956</v>
      </c>
      <c r="AA373" s="1" t="s">
        <v>7756</v>
      </c>
      <c r="AB373" s="1" t="s">
        <v>7757</v>
      </c>
      <c r="AC373" s="1" t="s">
        <v>4342</v>
      </c>
    </row>
    <row r="374" spans="1:29" ht="57" x14ac:dyDescent="0.45">
      <c r="A374" s="5" t="s">
        <v>368</v>
      </c>
      <c r="B374" s="2">
        <v>4202062</v>
      </c>
      <c r="C374" s="1" t="s">
        <v>7758</v>
      </c>
      <c r="D374" s="1" t="s">
        <v>7759</v>
      </c>
      <c r="E374" s="1" t="s">
        <v>7582</v>
      </c>
      <c r="F374" s="1" t="s">
        <v>4693</v>
      </c>
      <c r="G374" s="1" t="s">
        <v>3064</v>
      </c>
      <c r="H374" s="1" t="s">
        <v>7760</v>
      </c>
      <c r="I374" s="1" t="s">
        <v>760</v>
      </c>
      <c r="J374" s="1" t="s">
        <v>6078</v>
      </c>
      <c r="K374" s="1" t="s">
        <v>1358</v>
      </c>
      <c r="L374" s="1" t="s">
        <v>7761</v>
      </c>
      <c r="M374" s="1" t="s">
        <v>3888</v>
      </c>
      <c r="N374" s="1" t="s">
        <v>7762</v>
      </c>
      <c r="O374" s="1" t="s">
        <v>7763</v>
      </c>
      <c r="P374" s="1" t="s">
        <v>7764</v>
      </c>
      <c r="Q374" s="1" t="s">
        <v>1685</v>
      </c>
      <c r="R374" s="1" t="s">
        <v>7017</v>
      </c>
      <c r="S374" s="1" t="s">
        <v>7310</v>
      </c>
      <c r="T374" s="1" t="s">
        <v>7765</v>
      </c>
      <c r="U374" s="1" t="s">
        <v>7766</v>
      </c>
      <c r="V374" s="1" t="s">
        <v>3938</v>
      </c>
      <c r="W374" s="1" t="s">
        <v>4692</v>
      </c>
      <c r="X374" s="1" t="s">
        <v>6147</v>
      </c>
      <c r="Y374" s="1" t="s">
        <v>5546</v>
      </c>
      <c r="Z374" s="1" t="s">
        <v>2789</v>
      </c>
      <c r="AA374" s="1" t="s">
        <v>3006</v>
      </c>
      <c r="AB374" s="1" t="s">
        <v>3005</v>
      </c>
      <c r="AC374" s="1" t="s">
        <v>7767</v>
      </c>
    </row>
    <row r="375" spans="1:29" ht="57" x14ac:dyDescent="0.45">
      <c r="A375" s="5" t="s">
        <v>369</v>
      </c>
      <c r="B375" s="2">
        <v>103145</v>
      </c>
      <c r="C375" s="1" t="s">
        <v>7768</v>
      </c>
      <c r="D375" s="1" t="s">
        <v>7769</v>
      </c>
      <c r="E375" s="1" t="s">
        <v>1950</v>
      </c>
      <c r="F375" s="1" t="s">
        <v>7770</v>
      </c>
      <c r="G375" s="1" t="s">
        <v>7771</v>
      </c>
      <c r="H375" s="1" t="s">
        <v>7772</v>
      </c>
      <c r="I375" s="1" t="s">
        <v>7773</v>
      </c>
      <c r="J375" s="1" t="s">
        <v>7774</v>
      </c>
      <c r="K375" s="1" t="s">
        <v>7775</v>
      </c>
      <c r="L375" s="1" t="s">
        <v>7776</v>
      </c>
      <c r="M375" s="1" t="s">
        <v>7777</v>
      </c>
      <c r="N375" s="1" t="s">
        <v>7778</v>
      </c>
      <c r="O375" s="1" t="s">
        <v>7779</v>
      </c>
      <c r="P375" s="1" t="s">
        <v>7780</v>
      </c>
      <c r="Q375" s="1" t="s">
        <v>7781</v>
      </c>
      <c r="R375" s="1" t="s">
        <v>7782</v>
      </c>
      <c r="S375" s="1" t="s">
        <v>7783</v>
      </c>
      <c r="T375" s="1" t="s">
        <v>7784</v>
      </c>
      <c r="U375" s="1" t="s">
        <v>7785</v>
      </c>
      <c r="V375" s="1" t="s">
        <v>906</v>
      </c>
      <c r="W375" s="1" t="s">
        <v>7786</v>
      </c>
      <c r="X375" s="1" t="s">
        <v>7787</v>
      </c>
      <c r="Y375" s="1" t="s">
        <v>7788</v>
      </c>
      <c r="Z375" s="1" t="s">
        <v>7789</v>
      </c>
      <c r="AA375" s="1" t="s">
        <v>7790</v>
      </c>
      <c r="AB375" s="1" t="s">
        <v>7791</v>
      </c>
      <c r="AC375" s="1" t="s">
        <v>7792</v>
      </c>
    </row>
    <row r="376" spans="1:29" ht="71.25" x14ac:dyDescent="0.45">
      <c r="A376" s="5" t="s">
        <v>370</v>
      </c>
      <c r="B376" s="2">
        <v>103262</v>
      </c>
      <c r="C376" s="1" t="s">
        <v>7793</v>
      </c>
      <c r="D376" s="1" t="s">
        <v>7794</v>
      </c>
      <c r="E376" s="1" t="s">
        <v>1250</v>
      </c>
      <c r="F376" s="1" t="s">
        <v>678</v>
      </c>
      <c r="G376" s="1" t="s">
        <v>7242</v>
      </c>
      <c r="H376" s="1" t="s">
        <v>7795</v>
      </c>
      <c r="I376" s="1" t="s">
        <v>7796</v>
      </c>
      <c r="J376" s="1" t="s">
        <v>7797</v>
      </c>
      <c r="K376" s="1" t="s">
        <v>7798</v>
      </c>
      <c r="L376" s="1" t="s">
        <v>7799</v>
      </c>
      <c r="M376" s="1" t="s">
        <v>4359</v>
      </c>
      <c r="N376" s="1" t="s">
        <v>7800</v>
      </c>
      <c r="O376" s="1" t="s">
        <v>6534</v>
      </c>
      <c r="P376" s="1" t="s">
        <v>7801</v>
      </c>
      <c r="Q376" s="1" t="s">
        <v>7802</v>
      </c>
      <c r="R376" s="1" t="s">
        <v>660</v>
      </c>
      <c r="S376" s="1" t="s">
        <v>5669</v>
      </c>
      <c r="T376" s="1" t="s">
        <v>1493</v>
      </c>
      <c r="U376" s="1" t="s">
        <v>7803</v>
      </c>
      <c r="V376" s="1" t="s">
        <v>7804</v>
      </c>
      <c r="W376" s="1" t="s">
        <v>7805</v>
      </c>
      <c r="X376" s="1" t="s">
        <v>6096</v>
      </c>
      <c r="Y376" s="1" t="s">
        <v>3187</v>
      </c>
      <c r="Z376" s="1" t="s">
        <v>4185</v>
      </c>
      <c r="AA376" s="1" t="s">
        <v>1035</v>
      </c>
      <c r="AB376" s="1" t="s">
        <v>1842</v>
      </c>
      <c r="AC376" s="1" t="s">
        <v>1463</v>
      </c>
    </row>
    <row r="377" spans="1:29" ht="85.5" x14ac:dyDescent="0.45">
      <c r="A377" s="5" t="s">
        <v>371</v>
      </c>
      <c r="B377" s="2">
        <v>4992234</v>
      </c>
      <c r="C377" s="1" t="s">
        <v>7806</v>
      </c>
      <c r="D377" s="1" t="s">
        <v>7807</v>
      </c>
      <c r="E377" s="1" t="s">
        <v>595</v>
      </c>
      <c r="F377" s="1" t="s">
        <v>7808</v>
      </c>
      <c r="G377" s="1" t="s">
        <v>7809</v>
      </c>
      <c r="H377" s="1" t="s">
        <v>7810</v>
      </c>
      <c r="I377" s="1" t="s">
        <v>616</v>
      </c>
      <c r="J377" s="1" t="s">
        <v>7811</v>
      </c>
      <c r="K377" s="1" t="s">
        <v>6214</v>
      </c>
      <c r="L377" s="1" t="s">
        <v>7812</v>
      </c>
      <c r="M377" s="1" t="s">
        <v>7813</v>
      </c>
      <c r="N377" s="1" t="s">
        <v>6864</v>
      </c>
      <c r="O377" s="1" t="s">
        <v>7814</v>
      </c>
      <c r="P377" s="1" t="s">
        <v>7815</v>
      </c>
      <c r="Q377" s="1" t="s">
        <v>4627</v>
      </c>
      <c r="R377" s="1" t="s">
        <v>7816</v>
      </c>
      <c r="S377" s="1" t="s">
        <v>872</v>
      </c>
      <c r="T377" s="1" t="s">
        <v>7817</v>
      </c>
      <c r="U377" s="1" t="s">
        <v>7818</v>
      </c>
      <c r="V377" s="1" t="s">
        <v>991</v>
      </c>
      <c r="W377" s="1" t="s">
        <v>5131</v>
      </c>
      <c r="X377" s="1" t="s">
        <v>7819</v>
      </c>
      <c r="Y377" s="1" t="s">
        <v>1738</v>
      </c>
      <c r="Z377" s="1" t="s">
        <v>7820</v>
      </c>
      <c r="AA377" s="1" t="s">
        <v>7821</v>
      </c>
      <c r="AB377" s="1" t="s">
        <v>7822</v>
      </c>
      <c r="AC377" s="1" t="s">
        <v>7823</v>
      </c>
    </row>
    <row r="378" spans="1:29" ht="57" x14ac:dyDescent="0.45">
      <c r="A378" s="5" t="s">
        <v>372</v>
      </c>
      <c r="B378" s="2">
        <v>4438978</v>
      </c>
      <c r="C378" s="1" t="s">
        <v>7824</v>
      </c>
      <c r="D378" s="1" t="s">
        <v>7825</v>
      </c>
      <c r="E378" s="1" t="s">
        <v>782</v>
      </c>
      <c r="F378" s="1" t="s">
        <v>4956</v>
      </c>
      <c r="G378" s="1" t="s">
        <v>4099</v>
      </c>
      <c r="H378" s="1" t="s">
        <v>5796</v>
      </c>
      <c r="I378" s="1" t="s">
        <v>7826</v>
      </c>
      <c r="J378" s="1" t="s">
        <v>6786</v>
      </c>
      <c r="K378" s="1" t="s">
        <v>3782</v>
      </c>
      <c r="L378" s="1" t="s">
        <v>6022</v>
      </c>
      <c r="M378" s="1" t="s">
        <v>7018</v>
      </c>
      <c r="N378" s="1" t="s">
        <v>7252</v>
      </c>
      <c r="O378" s="1" t="s">
        <v>7252</v>
      </c>
      <c r="P378" s="1" t="s">
        <v>7827</v>
      </c>
      <c r="Q378" s="1" t="s">
        <v>7828</v>
      </c>
      <c r="R378" s="1" t="s">
        <v>1367</v>
      </c>
      <c r="S378" s="1" t="s">
        <v>5537</v>
      </c>
      <c r="T378" s="1" t="s">
        <v>7829</v>
      </c>
      <c r="U378" s="1" t="s">
        <v>7830</v>
      </c>
      <c r="V378" s="1" t="s">
        <v>3201</v>
      </c>
      <c r="W378" s="1" t="s">
        <v>3214</v>
      </c>
      <c r="X378" s="1" t="s">
        <v>766</v>
      </c>
      <c r="Y378" s="1" t="s">
        <v>1828</v>
      </c>
      <c r="Z378" s="1" t="s">
        <v>4107</v>
      </c>
      <c r="AA378" s="1" t="s">
        <v>7831</v>
      </c>
      <c r="AB378" s="1" t="s">
        <v>5147</v>
      </c>
      <c r="AC378" s="1" t="s">
        <v>7832</v>
      </c>
    </row>
    <row r="379" spans="1:29" ht="42.75" x14ac:dyDescent="0.45">
      <c r="A379" s="5" t="s">
        <v>373</v>
      </c>
      <c r="B379" s="2">
        <v>4047176</v>
      </c>
      <c r="C379" s="1" t="s">
        <v>7833</v>
      </c>
      <c r="D379" s="1" t="s">
        <v>7834</v>
      </c>
      <c r="E379" s="1" t="s">
        <v>3058</v>
      </c>
      <c r="F379" s="1" t="s">
        <v>7203</v>
      </c>
      <c r="G379" s="1" t="s">
        <v>1397</v>
      </c>
      <c r="H379" s="1" t="s">
        <v>7835</v>
      </c>
      <c r="I379" s="1" t="s">
        <v>3192</v>
      </c>
      <c r="J379" s="1" t="s">
        <v>7836</v>
      </c>
      <c r="K379" s="1" t="s">
        <v>7837</v>
      </c>
      <c r="L379" s="1" t="s">
        <v>7838</v>
      </c>
      <c r="M379" s="1" t="s">
        <v>3787</v>
      </c>
      <c r="N379" s="1" t="s">
        <v>1333</v>
      </c>
      <c r="O379" s="1" t="s">
        <v>7087</v>
      </c>
      <c r="P379" s="1" t="s">
        <v>4181</v>
      </c>
      <c r="Q379" s="1" t="s">
        <v>1331</v>
      </c>
      <c r="R379" s="1" t="s">
        <v>7362</v>
      </c>
      <c r="S379" s="1" t="s">
        <v>7839</v>
      </c>
      <c r="T379" s="1" t="s">
        <v>1828</v>
      </c>
      <c r="U379" s="1" t="s">
        <v>7840</v>
      </c>
      <c r="V379" s="1" t="s">
        <v>7841</v>
      </c>
      <c r="W379" s="1" t="s">
        <v>7842</v>
      </c>
      <c r="X379" s="1" t="s">
        <v>6078</v>
      </c>
      <c r="Y379" s="1" t="s">
        <v>4693</v>
      </c>
      <c r="Z379" s="1" t="s">
        <v>7843</v>
      </c>
      <c r="AA379" s="1" t="s">
        <v>3702</v>
      </c>
      <c r="AB379" s="1" t="s">
        <v>3502</v>
      </c>
      <c r="AC379" s="1" t="s">
        <v>3708</v>
      </c>
    </row>
    <row r="380" spans="1:29" ht="57" x14ac:dyDescent="0.45">
      <c r="A380" s="5" t="s">
        <v>374</v>
      </c>
      <c r="B380" s="2">
        <v>4810794</v>
      </c>
      <c r="C380" s="1" t="s">
        <v>7844</v>
      </c>
      <c r="D380" s="1" t="s">
        <v>7845</v>
      </c>
      <c r="E380" s="1" t="s">
        <v>2457</v>
      </c>
      <c r="F380" s="1" t="s">
        <v>7846</v>
      </c>
      <c r="G380" s="1" t="s">
        <v>6852</v>
      </c>
      <c r="H380" s="1" t="s">
        <v>7847</v>
      </c>
      <c r="I380" s="1" t="s">
        <v>7848</v>
      </c>
      <c r="J380" s="1" t="s">
        <v>2013</v>
      </c>
      <c r="K380" s="1" t="s">
        <v>7849</v>
      </c>
      <c r="L380" s="1" t="s">
        <v>6279</v>
      </c>
      <c r="M380" s="1" t="s">
        <v>972</v>
      </c>
      <c r="N380" s="1" t="s">
        <v>1801</v>
      </c>
      <c r="O380" s="1" t="s">
        <v>7850</v>
      </c>
      <c r="P380" s="1" t="s">
        <v>2485</v>
      </c>
      <c r="Q380" s="1" t="s">
        <v>2513</v>
      </c>
      <c r="R380" s="1" t="s">
        <v>7851</v>
      </c>
      <c r="S380" s="1" t="s">
        <v>7852</v>
      </c>
      <c r="T380" s="1" t="s">
        <v>7853</v>
      </c>
      <c r="U380" s="1" t="s">
        <v>7854</v>
      </c>
      <c r="V380" s="1" t="s">
        <v>7855</v>
      </c>
      <c r="W380" s="1" t="s">
        <v>735</v>
      </c>
      <c r="X380" s="1" t="s">
        <v>7856</v>
      </c>
      <c r="Y380" s="1" t="s">
        <v>7857</v>
      </c>
      <c r="Z380" s="1" t="s">
        <v>7858</v>
      </c>
      <c r="AA380" s="1" t="s">
        <v>7859</v>
      </c>
      <c r="AB380" s="1" t="s">
        <v>3462</v>
      </c>
      <c r="AC380" s="1" t="s">
        <v>7860</v>
      </c>
    </row>
    <row r="381" spans="1:29" ht="42.75" x14ac:dyDescent="0.45">
      <c r="A381" s="5" t="s">
        <v>375</v>
      </c>
      <c r="B381" s="2">
        <v>4500439</v>
      </c>
      <c r="C381" s="1" t="s">
        <v>7861</v>
      </c>
      <c r="D381" s="1" t="s">
        <v>7862</v>
      </c>
      <c r="E381" s="1" t="s">
        <v>7306</v>
      </c>
      <c r="F381" s="1" t="s">
        <v>7863</v>
      </c>
      <c r="G381" s="1" t="s">
        <v>7864</v>
      </c>
      <c r="H381" s="1" t="s">
        <v>3562</v>
      </c>
      <c r="I381" s="1" t="s">
        <v>3594</v>
      </c>
      <c r="J381" s="1" t="s">
        <v>7865</v>
      </c>
      <c r="K381" s="1" t="s">
        <v>2982</v>
      </c>
      <c r="L381" s="1" t="s">
        <v>7802</v>
      </c>
      <c r="M381" s="1" t="s">
        <v>3037</v>
      </c>
      <c r="N381" s="1" t="s">
        <v>1326</v>
      </c>
      <c r="O381" s="1" t="s">
        <v>4921</v>
      </c>
      <c r="P381" s="1" t="s">
        <v>7866</v>
      </c>
      <c r="Q381" s="1" t="s">
        <v>2998</v>
      </c>
      <c r="R381" s="1" t="s">
        <v>1943</v>
      </c>
      <c r="S381" s="1" t="s">
        <v>7867</v>
      </c>
      <c r="T381" s="1" t="s">
        <v>7868</v>
      </c>
      <c r="U381" s="1" t="s">
        <v>7869</v>
      </c>
      <c r="V381" s="1" t="s">
        <v>3026</v>
      </c>
      <c r="W381" s="1" t="s">
        <v>7870</v>
      </c>
      <c r="X381" s="1" t="s">
        <v>7871</v>
      </c>
      <c r="Y381" s="1" t="s">
        <v>7132</v>
      </c>
      <c r="Z381" s="1" t="s">
        <v>7872</v>
      </c>
      <c r="AA381" s="1" t="s">
        <v>3282</v>
      </c>
      <c r="AB381" s="1" t="s">
        <v>7873</v>
      </c>
      <c r="AC381" s="1" t="s">
        <v>7874</v>
      </c>
    </row>
    <row r="382" spans="1:29" ht="85.5" x14ac:dyDescent="0.45">
      <c r="A382" s="5" t="s">
        <v>376</v>
      </c>
      <c r="B382" s="2">
        <v>4298644</v>
      </c>
      <c r="C382" s="1" t="s">
        <v>7875</v>
      </c>
      <c r="D382" s="1" t="s">
        <v>7876</v>
      </c>
      <c r="E382" s="1" t="s">
        <v>1046</v>
      </c>
      <c r="F382" s="1" t="s">
        <v>6760</v>
      </c>
      <c r="G382" s="1" t="s">
        <v>7877</v>
      </c>
      <c r="H382" s="1" t="s">
        <v>3892</v>
      </c>
      <c r="I382" s="1" t="s">
        <v>6698</v>
      </c>
      <c r="J382" s="1" t="s">
        <v>7527</v>
      </c>
      <c r="K382" s="1" t="s">
        <v>7878</v>
      </c>
      <c r="L382" s="1" t="s">
        <v>5451</v>
      </c>
      <c r="M382" s="1" t="s">
        <v>5351</v>
      </c>
      <c r="N382" s="1" t="s">
        <v>7879</v>
      </c>
      <c r="O382" s="1" t="s">
        <v>4966</v>
      </c>
      <c r="P382" s="1" t="s">
        <v>1561</v>
      </c>
      <c r="Q382" s="1" t="s">
        <v>7880</v>
      </c>
      <c r="R382" s="1" t="s">
        <v>7881</v>
      </c>
      <c r="S382" s="1" t="s">
        <v>2416</v>
      </c>
      <c r="T382" s="1" t="s">
        <v>7882</v>
      </c>
      <c r="U382" s="1" t="s">
        <v>1565</v>
      </c>
      <c r="V382" s="1" t="s">
        <v>7883</v>
      </c>
      <c r="W382" s="1" t="s">
        <v>7884</v>
      </c>
      <c r="X382" s="1" t="s">
        <v>4481</v>
      </c>
      <c r="Y382" s="1" t="s">
        <v>7885</v>
      </c>
      <c r="Z382" s="1" t="s">
        <v>7886</v>
      </c>
      <c r="AA382" s="1" t="s">
        <v>2441</v>
      </c>
      <c r="AB382" s="1" t="s">
        <v>4049</v>
      </c>
      <c r="AC382" s="1" t="s">
        <v>5593</v>
      </c>
    </row>
    <row r="383" spans="1:29" ht="99.75" x14ac:dyDescent="0.45">
      <c r="A383" s="5" t="s">
        <v>377</v>
      </c>
      <c r="B383" s="2">
        <v>4077460</v>
      </c>
      <c r="C383" s="1" t="s">
        <v>7887</v>
      </c>
      <c r="D383" s="1" t="s">
        <v>7888</v>
      </c>
      <c r="E383" s="1" t="s">
        <v>3901</v>
      </c>
      <c r="F383" s="1" t="s">
        <v>7889</v>
      </c>
      <c r="G383" s="1" t="s">
        <v>7890</v>
      </c>
      <c r="H383" s="1" t="s">
        <v>6296</v>
      </c>
      <c r="I383" s="1" t="s">
        <v>1328</v>
      </c>
      <c r="J383" s="1" t="s">
        <v>7891</v>
      </c>
      <c r="K383" s="1" t="s">
        <v>7018</v>
      </c>
      <c r="L383" s="1" t="s">
        <v>2947</v>
      </c>
      <c r="M383" s="1" t="s">
        <v>7892</v>
      </c>
      <c r="N383" s="1" t="s">
        <v>3500</v>
      </c>
      <c r="O383" s="1" t="s">
        <v>1677</v>
      </c>
      <c r="P383" s="1" t="s">
        <v>7893</v>
      </c>
      <c r="Q383" s="1" t="s">
        <v>4184</v>
      </c>
      <c r="R383" s="1" t="s">
        <v>7011</v>
      </c>
      <c r="S383" s="1" t="s">
        <v>7894</v>
      </c>
      <c r="T383" s="1" t="s">
        <v>7895</v>
      </c>
      <c r="U383" s="1" t="s">
        <v>1811</v>
      </c>
      <c r="V383" s="1" t="s">
        <v>3227</v>
      </c>
      <c r="W383" s="1" t="s">
        <v>1340</v>
      </c>
      <c r="X383" s="1" t="s">
        <v>7677</v>
      </c>
      <c r="Y383" s="1" t="s">
        <v>7827</v>
      </c>
      <c r="Z383" s="1" t="s">
        <v>3701</v>
      </c>
      <c r="AA383" s="1" t="s">
        <v>3548</v>
      </c>
      <c r="AB383" s="1" t="s">
        <v>7896</v>
      </c>
      <c r="AC383" s="1" t="s">
        <v>7760</v>
      </c>
    </row>
    <row r="384" spans="1:29" ht="71.25" x14ac:dyDescent="0.45">
      <c r="A384" s="5" t="s">
        <v>378</v>
      </c>
      <c r="B384" s="2">
        <v>103091</v>
      </c>
      <c r="C384" s="1" t="s">
        <v>7897</v>
      </c>
      <c r="D384" s="1" t="s">
        <v>7898</v>
      </c>
      <c r="E384" s="1" t="s">
        <v>2147</v>
      </c>
      <c r="F384" s="1" t="s">
        <v>4709</v>
      </c>
      <c r="G384" s="1" t="s">
        <v>2884</v>
      </c>
      <c r="H384" s="1" t="s">
        <v>7899</v>
      </c>
      <c r="I384" s="1" t="s">
        <v>3847</v>
      </c>
      <c r="J384" s="1" t="s">
        <v>5022</v>
      </c>
      <c r="K384" s="1" t="s">
        <v>7900</v>
      </c>
      <c r="L384" s="1" t="s">
        <v>7901</v>
      </c>
      <c r="M384" s="1" t="s">
        <v>7902</v>
      </c>
      <c r="N384" s="1" t="s">
        <v>7903</v>
      </c>
      <c r="O384" s="1" t="s">
        <v>2883</v>
      </c>
      <c r="P384" s="1" t="s">
        <v>1062</v>
      </c>
      <c r="Q384" s="1" t="s">
        <v>7904</v>
      </c>
      <c r="R384" s="1" t="s">
        <v>7148</v>
      </c>
      <c r="S384" s="1" t="s">
        <v>7905</v>
      </c>
      <c r="T384" s="1" t="s">
        <v>7906</v>
      </c>
      <c r="U384" s="1" t="s">
        <v>7907</v>
      </c>
      <c r="V384" s="1" t="s">
        <v>7908</v>
      </c>
      <c r="W384" s="1" t="s">
        <v>7909</v>
      </c>
      <c r="X384" s="1" t="s">
        <v>7908</v>
      </c>
      <c r="Y384" s="1" t="s">
        <v>5242</v>
      </c>
      <c r="Z384" s="1" t="s">
        <v>7910</v>
      </c>
      <c r="AA384" s="1" t="s">
        <v>7732</v>
      </c>
      <c r="AB384" s="1" t="s">
        <v>3000</v>
      </c>
      <c r="AC384" s="1" t="s">
        <v>3113</v>
      </c>
    </row>
    <row r="385" spans="1:29" ht="57" x14ac:dyDescent="0.45">
      <c r="A385" s="5" t="s">
        <v>379</v>
      </c>
      <c r="B385" s="2">
        <v>4334777</v>
      </c>
      <c r="C385" s="1" t="s">
        <v>7911</v>
      </c>
      <c r="D385" s="1" t="s">
        <v>7912</v>
      </c>
      <c r="E385" s="1" t="s">
        <v>487</v>
      </c>
      <c r="F385" s="1" t="s">
        <v>7913</v>
      </c>
      <c r="G385" s="1" t="s">
        <v>7914</v>
      </c>
      <c r="H385" s="1" t="s">
        <v>7915</v>
      </c>
      <c r="I385" s="1" t="s">
        <v>7916</v>
      </c>
      <c r="J385" s="1" t="s">
        <v>7917</v>
      </c>
      <c r="K385" s="1" t="s">
        <v>3676</v>
      </c>
      <c r="L385" s="1" t="s">
        <v>4999</v>
      </c>
      <c r="M385" s="1" t="s">
        <v>4083</v>
      </c>
      <c r="N385" s="1" t="s">
        <v>7918</v>
      </c>
      <c r="O385" s="1" t="s">
        <v>7919</v>
      </c>
      <c r="P385" s="1" t="s">
        <v>7920</v>
      </c>
      <c r="Q385" s="1" t="s">
        <v>7921</v>
      </c>
      <c r="R385" s="1" t="s">
        <v>6778</v>
      </c>
      <c r="S385" s="1" t="s">
        <v>7922</v>
      </c>
      <c r="T385" s="1" t="s">
        <v>7923</v>
      </c>
      <c r="U385" s="1" t="s">
        <v>4159</v>
      </c>
      <c r="V385" s="1" t="s">
        <v>7148</v>
      </c>
      <c r="W385" s="1" t="s">
        <v>3287</v>
      </c>
      <c r="X385" s="1" t="s">
        <v>1096</v>
      </c>
      <c r="Y385" s="1" t="s">
        <v>3017</v>
      </c>
      <c r="Z385" s="1" t="s">
        <v>7924</v>
      </c>
      <c r="AA385" s="1" t="s">
        <v>1588</v>
      </c>
      <c r="AB385" s="1" t="s">
        <v>1067</v>
      </c>
      <c r="AC385" s="1" t="s">
        <v>7925</v>
      </c>
    </row>
    <row r="386" spans="1:29" ht="42.75" x14ac:dyDescent="0.45">
      <c r="A386" s="5" t="s">
        <v>380</v>
      </c>
      <c r="B386" s="2">
        <v>4570011</v>
      </c>
      <c r="C386" s="1" t="s">
        <v>7926</v>
      </c>
      <c r="D386" s="1" t="s">
        <v>7927</v>
      </c>
      <c r="E386" s="1" t="s">
        <v>7492</v>
      </c>
      <c r="F386" s="1" t="s">
        <v>7928</v>
      </c>
      <c r="G386" s="1" t="s">
        <v>7929</v>
      </c>
      <c r="H386" s="1" t="s">
        <v>7930</v>
      </c>
      <c r="I386" s="1" t="s">
        <v>7931</v>
      </c>
      <c r="J386" s="1" t="s">
        <v>7932</v>
      </c>
      <c r="K386" s="1" t="s">
        <v>7933</v>
      </c>
      <c r="L386" s="1" t="s">
        <v>7934</v>
      </c>
      <c r="M386" s="1" t="s">
        <v>7935</v>
      </c>
      <c r="N386" s="1" t="s">
        <v>7936</v>
      </c>
      <c r="O386" s="1" t="s">
        <v>7937</v>
      </c>
      <c r="P386" s="1" t="s">
        <v>7938</v>
      </c>
      <c r="Q386" s="1" t="s">
        <v>7939</v>
      </c>
      <c r="R386" s="1" t="s">
        <v>7940</v>
      </c>
      <c r="S386" s="1" t="s">
        <v>7941</v>
      </c>
      <c r="T386" s="1" t="s">
        <v>7942</v>
      </c>
      <c r="U386" s="1" t="s">
        <v>7943</v>
      </c>
      <c r="V386" s="1" t="s">
        <v>7944</v>
      </c>
      <c r="W386" s="1" t="s">
        <v>7945</v>
      </c>
      <c r="X386" s="1" t="s">
        <v>7946</v>
      </c>
      <c r="Y386" s="1" t="s">
        <v>7947</v>
      </c>
      <c r="Z386" s="1" t="s">
        <v>7948</v>
      </c>
      <c r="AA386" s="1" t="s">
        <v>7949</v>
      </c>
      <c r="AB386" s="1" t="s">
        <v>7950</v>
      </c>
      <c r="AC386" s="1" t="s">
        <v>7951</v>
      </c>
    </row>
    <row r="387" spans="1:29" ht="42.75" x14ac:dyDescent="0.45">
      <c r="A387" s="5" t="s">
        <v>381</v>
      </c>
      <c r="B387" s="2">
        <v>4004092</v>
      </c>
      <c r="C387" s="1" t="s">
        <v>7952</v>
      </c>
      <c r="D387" s="1" t="s">
        <v>7953</v>
      </c>
      <c r="E387" s="1" t="s">
        <v>940</v>
      </c>
      <c r="F387" s="1" t="s">
        <v>7954</v>
      </c>
      <c r="G387" s="1" t="s">
        <v>6133</v>
      </c>
      <c r="H387" s="1" t="s">
        <v>7955</v>
      </c>
      <c r="I387" s="1" t="s">
        <v>7956</v>
      </c>
      <c r="J387" s="1" t="s">
        <v>7957</v>
      </c>
      <c r="K387" s="1" t="s">
        <v>4108</v>
      </c>
      <c r="L387" s="1" t="s">
        <v>7249</v>
      </c>
      <c r="M387" s="1" t="s">
        <v>7958</v>
      </c>
      <c r="N387" s="1" t="s">
        <v>572</v>
      </c>
      <c r="O387" s="1" t="s">
        <v>5202</v>
      </c>
      <c r="P387" s="1" t="s">
        <v>3334</v>
      </c>
      <c r="Q387" s="1" t="s">
        <v>7346</v>
      </c>
      <c r="R387" s="1" t="s">
        <v>7959</v>
      </c>
      <c r="S387" s="1" t="s">
        <v>3633</v>
      </c>
      <c r="T387" s="1" t="s">
        <v>7960</v>
      </c>
      <c r="U387" s="1" t="s">
        <v>3195</v>
      </c>
      <c r="V387" s="1" t="s">
        <v>761</v>
      </c>
      <c r="W387" s="1" t="s">
        <v>1651</v>
      </c>
      <c r="X387" s="1" t="s">
        <v>7961</v>
      </c>
      <c r="Y387" s="1" t="s">
        <v>6385</v>
      </c>
      <c r="Z387" s="1" t="s">
        <v>7962</v>
      </c>
      <c r="AA387" s="1" t="s">
        <v>7963</v>
      </c>
      <c r="AB387" s="1" t="s">
        <v>1836</v>
      </c>
      <c r="AC387" s="1" t="s">
        <v>2060</v>
      </c>
    </row>
    <row r="388" spans="1:29" ht="57" x14ac:dyDescent="0.45">
      <c r="A388" s="5" t="s">
        <v>382</v>
      </c>
      <c r="B388" s="2">
        <v>4004099</v>
      </c>
      <c r="C388" s="1" t="s">
        <v>7964</v>
      </c>
      <c r="D388" s="1" t="s">
        <v>7965</v>
      </c>
      <c r="E388" s="1" t="s">
        <v>3275</v>
      </c>
      <c r="F388" s="1" t="s">
        <v>7966</v>
      </c>
      <c r="G388" s="1" t="s">
        <v>7967</v>
      </c>
      <c r="H388" s="1" t="s">
        <v>7968</v>
      </c>
      <c r="I388" s="1" t="s">
        <v>7969</v>
      </c>
      <c r="J388" s="1" t="s">
        <v>7970</v>
      </c>
      <c r="K388" s="1" t="s">
        <v>7971</v>
      </c>
      <c r="L388" s="1" t="s">
        <v>6277</v>
      </c>
      <c r="M388" s="1" t="s">
        <v>7972</v>
      </c>
      <c r="N388" s="1" t="s">
        <v>7973</v>
      </c>
      <c r="O388" s="1" t="s">
        <v>6713</v>
      </c>
      <c r="P388" s="1" t="s">
        <v>5122</v>
      </c>
      <c r="Q388" s="1" t="s">
        <v>1512</v>
      </c>
      <c r="R388" s="1" t="s">
        <v>7974</v>
      </c>
      <c r="S388" s="1" t="s">
        <v>7975</v>
      </c>
      <c r="T388" s="1" t="s">
        <v>7976</v>
      </c>
      <c r="U388" s="1" t="s">
        <v>5666</v>
      </c>
      <c r="V388" s="1" t="s">
        <v>7977</v>
      </c>
      <c r="W388" s="1" t="s">
        <v>7978</v>
      </c>
      <c r="X388" s="1" t="s">
        <v>7979</v>
      </c>
      <c r="Y388" s="1" t="s">
        <v>7980</v>
      </c>
      <c r="Z388" s="1" t="s">
        <v>7981</v>
      </c>
      <c r="AA388" s="1" t="s">
        <v>3759</v>
      </c>
      <c r="AB388" s="1" t="s">
        <v>7982</v>
      </c>
      <c r="AC388" s="1" t="s">
        <v>7983</v>
      </c>
    </row>
    <row r="389" spans="1:29" ht="57" x14ac:dyDescent="0.45">
      <c r="A389" s="5" t="s">
        <v>383</v>
      </c>
      <c r="B389" s="2">
        <v>4010469</v>
      </c>
      <c r="C389" s="1" t="s">
        <v>7984</v>
      </c>
      <c r="D389" s="1" t="s">
        <v>7985</v>
      </c>
      <c r="E389" s="1" t="s">
        <v>1522</v>
      </c>
      <c r="F389" s="1" t="s">
        <v>7986</v>
      </c>
      <c r="G389" s="1" t="s">
        <v>7987</v>
      </c>
      <c r="H389" s="1" t="s">
        <v>1157</v>
      </c>
      <c r="I389" s="1" t="s">
        <v>6588</v>
      </c>
      <c r="J389" s="1" t="s">
        <v>1477</v>
      </c>
      <c r="K389" s="1" t="s">
        <v>7988</v>
      </c>
      <c r="L389" s="1" t="s">
        <v>7989</v>
      </c>
      <c r="M389" s="1" t="s">
        <v>7990</v>
      </c>
      <c r="N389" s="1" t="s">
        <v>7991</v>
      </c>
      <c r="O389" s="1" t="s">
        <v>7992</v>
      </c>
      <c r="P389" s="1" t="s">
        <v>849</v>
      </c>
      <c r="Q389" s="1" t="s">
        <v>7993</v>
      </c>
      <c r="R389" s="1" t="s">
        <v>7994</v>
      </c>
      <c r="S389" s="1" t="s">
        <v>7995</v>
      </c>
      <c r="T389" s="1" t="s">
        <v>1555</v>
      </c>
      <c r="U389" s="1" t="s">
        <v>3380</v>
      </c>
      <c r="V389" s="1" t="s">
        <v>7996</v>
      </c>
      <c r="W389" s="1" t="s">
        <v>7997</v>
      </c>
      <c r="X389" s="1" t="s">
        <v>7998</v>
      </c>
      <c r="Y389" s="1" t="s">
        <v>7999</v>
      </c>
      <c r="Z389" s="1" t="s">
        <v>8000</v>
      </c>
      <c r="AA389" s="1" t="s">
        <v>8001</v>
      </c>
      <c r="AB389" s="1" t="s">
        <v>8002</v>
      </c>
      <c r="AC389" s="1" t="s">
        <v>2437</v>
      </c>
    </row>
    <row r="390" spans="1:29" ht="42.75" x14ac:dyDescent="0.45">
      <c r="A390" s="5" t="s">
        <v>384</v>
      </c>
      <c r="B390" s="2">
        <v>4073702</v>
      </c>
      <c r="C390" s="1" t="s">
        <v>8003</v>
      </c>
      <c r="D390" s="1" t="s">
        <v>8004</v>
      </c>
      <c r="E390" s="1" t="s">
        <v>648</v>
      </c>
      <c r="F390" s="1" t="s">
        <v>8005</v>
      </c>
      <c r="G390" s="1" t="s">
        <v>533</v>
      </c>
      <c r="H390" s="1" t="s">
        <v>8006</v>
      </c>
      <c r="I390" s="1" t="s">
        <v>8007</v>
      </c>
      <c r="J390" s="1" t="s">
        <v>1977</v>
      </c>
      <c r="K390" s="1" t="s">
        <v>8008</v>
      </c>
      <c r="L390" s="1" t="s">
        <v>8009</v>
      </c>
      <c r="M390" s="1" t="s">
        <v>4242</v>
      </c>
      <c r="N390" s="1" t="s">
        <v>8010</v>
      </c>
      <c r="O390" s="1" t="s">
        <v>4276</v>
      </c>
      <c r="P390" s="1" t="s">
        <v>687</v>
      </c>
      <c r="Q390" s="1" t="s">
        <v>7329</v>
      </c>
      <c r="R390" s="1" t="s">
        <v>5422</v>
      </c>
      <c r="S390" s="1" t="s">
        <v>8011</v>
      </c>
      <c r="T390" s="1" t="s">
        <v>4297</v>
      </c>
      <c r="U390" s="1" t="s">
        <v>7633</v>
      </c>
      <c r="V390" s="1" t="s">
        <v>8012</v>
      </c>
      <c r="W390" s="1" t="s">
        <v>4265</v>
      </c>
      <c r="X390" s="1" t="s">
        <v>6861</v>
      </c>
      <c r="Y390" s="1" t="s">
        <v>8013</v>
      </c>
      <c r="Z390" s="1" t="s">
        <v>8014</v>
      </c>
      <c r="AA390" s="1" t="s">
        <v>8015</v>
      </c>
      <c r="AB390" s="1" t="s">
        <v>8016</v>
      </c>
      <c r="AC390" s="1" t="s">
        <v>8017</v>
      </c>
    </row>
    <row r="391" spans="1:29" ht="71.25" x14ac:dyDescent="0.45">
      <c r="A391" s="5" t="s">
        <v>385</v>
      </c>
      <c r="B391" s="2">
        <v>4930128</v>
      </c>
      <c r="C391" s="1" t="s">
        <v>8018</v>
      </c>
      <c r="D391" s="1" t="s">
        <v>8019</v>
      </c>
      <c r="E391" s="1" t="s">
        <v>701</v>
      </c>
      <c r="F391" s="1" t="s">
        <v>8020</v>
      </c>
      <c r="G391" s="1" t="s">
        <v>8021</v>
      </c>
      <c r="H391" s="1" t="s">
        <v>8022</v>
      </c>
      <c r="I391" s="1" t="s">
        <v>5449</v>
      </c>
      <c r="J391" s="1" t="s">
        <v>8023</v>
      </c>
      <c r="K391" s="1" t="s">
        <v>8024</v>
      </c>
      <c r="L391" s="1" t="s">
        <v>8025</v>
      </c>
      <c r="M391" s="1" t="s">
        <v>4555</v>
      </c>
      <c r="N391" s="1" t="s">
        <v>8026</v>
      </c>
      <c r="O391" s="1" t="s">
        <v>8027</v>
      </c>
      <c r="P391" s="1" t="s">
        <v>3945</v>
      </c>
      <c r="Q391" s="1" t="s">
        <v>8028</v>
      </c>
      <c r="R391" s="1" t="s">
        <v>8029</v>
      </c>
      <c r="S391" s="1" t="s">
        <v>7540</v>
      </c>
      <c r="T391" s="1" t="s">
        <v>1154</v>
      </c>
      <c r="U391" s="1" t="s">
        <v>8030</v>
      </c>
      <c r="V391" s="1" t="s">
        <v>8031</v>
      </c>
      <c r="W391" s="1" t="s">
        <v>7595</v>
      </c>
      <c r="X391" s="1" t="s">
        <v>5442</v>
      </c>
      <c r="Y391" s="1" t="s">
        <v>2962</v>
      </c>
      <c r="Z391" s="1" t="s">
        <v>2576</v>
      </c>
      <c r="AA391" s="1" t="s">
        <v>2335</v>
      </c>
      <c r="AB391" s="1" t="s">
        <v>8032</v>
      </c>
      <c r="AC391" s="1" t="s">
        <v>2954</v>
      </c>
    </row>
    <row r="392" spans="1:29" ht="42.75" x14ac:dyDescent="0.45">
      <c r="A392" s="5" t="s">
        <v>386</v>
      </c>
      <c r="B392" s="2">
        <v>4321488</v>
      </c>
      <c r="C392" s="1" t="s">
        <v>8033</v>
      </c>
      <c r="D392" s="1" t="s">
        <v>8034</v>
      </c>
      <c r="E392" s="1" t="s">
        <v>940</v>
      </c>
      <c r="F392" s="1" t="s">
        <v>8035</v>
      </c>
      <c r="G392" s="1" t="s">
        <v>8036</v>
      </c>
      <c r="H392" s="1" t="s">
        <v>1912</v>
      </c>
      <c r="I392" s="1" t="s">
        <v>5233</v>
      </c>
      <c r="J392" s="1" t="s">
        <v>8037</v>
      </c>
      <c r="K392" s="1" t="s">
        <v>8038</v>
      </c>
      <c r="L392" s="1" t="s">
        <v>8039</v>
      </c>
      <c r="M392" s="1" t="s">
        <v>7221</v>
      </c>
      <c r="N392" s="1" t="s">
        <v>7324</v>
      </c>
      <c r="O392" s="1" t="s">
        <v>8040</v>
      </c>
      <c r="P392" s="1" t="s">
        <v>7980</v>
      </c>
      <c r="Q392" s="1" t="s">
        <v>8041</v>
      </c>
      <c r="R392" s="1" t="s">
        <v>8042</v>
      </c>
      <c r="S392" s="1" t="s">
        <v>8043</v>
      </c>
      <c r="T392" s="1" t="s">
        <v>8044</v>
      </c>
      <c r="U392" s="1" t="s">
        <v>8045</v>
      </c>
      <c r="V392" s="1" t="s">
        <v>8046</v>
      </c>
      <c r="W392" s="1" t="s">
        <v>8047</v>
      </c>
      <c r="X392" s="1" t="s">
        <v>8048</v>
      </c>
      <c r="Y392" s="1" t="s">
        <v>8049</v>
      </c>
      <c r="Z392" s="1" t="s">
        <v>6984</v>
      </c>
      <c r="AA392" s="1" t="s">
        <v>3778</v>
      </c>
      <c r="AB392" s="1" t="s">
        <v>8050</v>
      </c>
      <c r="AC392" s="1" t="s">
        <v>7446</v>
      </c>
    </row>
    <row r="393" spans="1:29" ht="71.25" x14ac:dyDescent="0.45">
      <c r="A393" s="5" t="s">
        <v>387</v>
      </c>
      <c r="B393" s="2">
        <v>103619</v>
      </c>
      <c r="C393" s="1" t="s">
        <v>8051</v>
      </c>
      <c r="D393" s="1" t="s">
        <v>8052</v>
      </c>
      <c r="E393" s="1" t="s">
        <v>1250</v>
      </c>
      <c r="F393" s="1" t="s">
        <v>8053</v>
      </c>
      <c r="G393" s="1" t="s">
        <v>8054</v>
      </c>
      <c r="H393" s="1" t="s">
        <v>3915</v>
      </c>
      <c r="I393" s="1" t="s">
        <v>8055</v>
      </c>
      <c r="J393" s="1" t="s">
        <v>8056</v>
      </c>
      <c r="K393" s="1" t="s">
        <v>8057</v>
      </c>
      <c r="L393" s="1" t="s">
        <v>4281</v>
      </c>
      <c r="M393" s="1" t="s">
        <v>1251</v>
      </c>
      <c r="N393" s="1" t="s">
        <v>8058</v>
      </c>
      <c r="O393" s="1" t="s">
        <v>3833</v>
      </c>
      <c r="P393" s="1" t="s">
        <v>7190</v>
      </c>
      <c r="Q393" s="1" t="s">
        <v>8059</v>
      </c>
      <c r="R393" s="1" t="s">
        <v>6270</v>
      </c>
      <c r="S393" s="1" t="s">
        <v>8060</v>
      </c>
      <c r="T393" s="1" t="s">
        <v>8061</v>
      </c>
      <c r="U393" s="1" t="s">
        <v>8062</v>
      </c>
      <c r="V393" s="1" t="s">
        <v>8063</v>
      </c>
      <c r="W393" s="1" t="s">
        <v>8064</v>
      </c>
      <c r="X393" s="1" t="s">
        <v>8065</v>
      </c>
      <c r="Y393" s="1" t="s">
        <v>8066</v>
      </c>
      <c r="Z393" s="1" t="s">
        <v>1745</v>
      </c>
      <c r="AA393" s="1" t="s">
        <v>8067</v>
      </c>
      <c r="AB393" s="1" t="s">
        <v>2526</v>
      </c>
      <c r="AC393" s="1" t="s">
        <v>8068</v>
      </c>
    </row>
    <row r="394" spans="1:29" ht="57" x14ac:dyDescent="0.45">
      <c r="A394" s="5" t="s">
        <v>388</v>
      </c>
      <c r="B394" s="2">
        <v>4069312</v>
      </c>
      <c r="C394" s="1" t="s">
        <v>8069</v>
      </c>
      <c r="D394" s="1" t="s">
        <v>8070</v>
      </c>
      <c r="E394" s="1" t="s">
        <v>3103</v>
      </c>
      <c r="F394" s="1" t="s">
        <v>8071</v>
      </c>
      <c r="G394" s="1" t="s">
        <v>8072</v>
      </c>
      <c r="H394" s="1" t="s">
        <v>8073</v>
      </c>
      <c r="I394" s="1" t="s">
        <v>8074</v>
      </c>
      <c r="J394" s="1" t="s">
        <v>8075</v>
      </c>
      <c r="K394" s="1" t="s">
        <v>8076</v>
      </c>
      <c r="L394" s="1" t="s">
        <v>7368</v>
      </c>
      <c r="M394" s="1" t="s">
        <v>8077</v>
      </c>
      <c r="N394" s="1" t="s">
        <v>618</v>
      </c>
      <c r="O394" s="1" t="s">
        <v>8078</v>
      </c>
      <c r="P394" s="1" t="s">
        <v>8079</v>
      </c>
      <c r="Q394" s="1" t="s">
        <v>8080</v>
      </c>
      <c r="R394" s="1" t="s">
        <v>8081</v>
      </c>
      <c r="S394" s="1" t="s">
        <v>8082</v>
      </c>
      <c r="T394" s="1" t="s">
        <v>8083</v>
      </c>
      <c r="U394" s="1" t="s">
        <v>7710</v>
      </c>
      <c r="V394" s="1" t="s">
        <v>8084</v>
      </c>
      <c r="W394" s="1" t="s">
        <v>8085</v>
      </c>
      <c r="X394" s="1" t="s">
        <v>8086</v>
      </c>
      <c r="Y394" s="1" t="s">
        <v>8087</v>
      </c>
      <c r="Z394" s="1" t="s">
        <v>8088</v>
      </c>
      <c r="AA394" s="1" t="s">
        <v>8089</v>
      </c>
      <c r="AB394" s="1" t="s">
        <v>948</v>
      </c>
      <c r="AC394" s="1" t="s">
        <v>4678</v>
      </c>
    </row>
    <row r="395" spans="1:29" ht="85.5" x14ac:dyDescent="0.45">
      <c r="A395" s="5" t="s">
        <v>389</v>
      </c>
      <c r="B395" s="2">
        <v>4317520</v>
      </c>
      <c r="C395" s="1" t="s">
        <v>8090</v>
      </c>
      <c r="D395" s="1" t="s">
        <v>8091</v>
      </c>
      <c r="E395" s="1" t="s">
        <v>595</v>
      </c>
      <c r="F395" s="1" t="s">
        <v>8092</v>
      </c>
      <c r="G395" s="1" t="s">
        <v>1809</v>
      </c>
      <c r="H395" s="1" t="s">
        <v>6098</v>
      </c>
      <c r="I395" s="1" t="s">
        <v>8093</v>
      </c>
      <c r="J395" s="1" t="s">
        <v>8094</v>
      </c>
      <c r="K395" s="1" t="s">
        <v>8095</v>
      </c>
      <c r="L395" s="1" t="s">
        <v>1366</v>
      </c>
      <c r="M395" s="1" t="s">
        <v>1368</v>
      </c>
      <c r="N395" s="1" t="s">
        <v>7250</v>
      </c>
      <c r="O395" s="1" t="s">
        <v>7256</v>
      </c>
      <c r="P395" s="1" t="s">
        <v>3246</v>
      </c>
      <c r="Q395" s="1" t="s">
        <v>768</v>
      </c>
      <c r="R395" s="1" t="s">
        <v>3709</v>
      </c>
      <c r="S395" s="1" t="s">
        <v>6050</v>
      </c>
      <c r="T395" s="1" t="s">
        <v>6337</v>
      </c>
      <c r="U395" s="1" t="s">
        <v>7089</v>
      </c>
      <c r="V395" s="1" t="s">
        <v>8096</v>
      </c>
      <c r="W395" s="1" t="s">
        <v>2076</v>
      </c>
      <c r="X395" s="1" t="s">
        <v>7287</v>
      </c>
      <c r="Y395" s="1" t="s">
        <v>3330</v>
      </c>
      <c r="Z395" s="1" t="s">
        <v>7621</v>
      </c>
      <c r="AA395" s="1" t="s">
        <v>2781</v>
      </c>
      <c r="AB395" s="1" t="s">
        <v>2280</v>
      </c>
      <c r="AC395" s="1" t="s">
        <v>8097</v>
      </c>
    </row>
    <row r="396" spans="1:29" ht="99.75" x14ac:dyDescent="0.45">
      <c r="A396" s="5" t="s">
        <v>390</v>
      </c>
      <c r="B396" s="2">
        <v>4050911</v>
      </c>
      <c r="C396" s="1" t="s">
        <v>8098</v>
      </c>
      <c r="D396" s="1" t="s">
        <v>8099</v>
      </c>
      <c r="E396" s="1" t="s">
        <v>755</v>
      </c>
      <c r="F396" s="1" t="s">
        <v>1348</v>
      </c>
      <c r="G396" s="1" t="s">
        <v>1367</v>
      </c>
      <c r="H396" s="1" t="s">
        <v>8100</v>
      </c>
      <c r="I396" s="1" t="s">
        <v>2822</v>
      </c>
      <c r="J396" s="1" t="s">
        <v>7013</v>
      </c>
      <c r="K396" s="1" t="s">
        <v>3525</v>
      </c>
      <c r="L396" s="1" t="s">
        <v>3212</v>
      </c>
      <c r="M396" s="1" t="s">
        <v>1366</v>
      </c>
      <c r="N396" s="1" t="s">
        <v>8101</v>
      </c>
      <c r="O396" s="1" t="s">
        <v>7677</v>
      </c>
      <c r="P396" s="1" t="s">
        <v>2066</v>
      </c>
      <c r="Q396" s="1" t="s">
        <v>3064</v>
      </c>
      <c r="R396" s="1" t="s">
        <v>5761</v>
      </c>
      <c r="S396" s="1" t="s">
        <v>8102</v>
      </c>
      <c r="T396" s="1" t="s">
        <v>8103</v>
      </c>
      <c r="U396" s="1" t="s">
        <v>3194</v>
      </c>
      <c r="V396" s="1" t="s">
        <v>767</v>
      </c>
      <c r="W396" s="1" t="s">
        <v>3221</v>
      </c>
      <c r="X396" s="1" t="s">
        <v>7345</v>
      </c>
      <c r="Y396" s="1" t="s">
        <v>2720</v>
      </c>
      <c r="Z396" s="1" t="s">
        <v>7012</v>
      </c>
      <c r="AA396" s="1" t="s">
        <v>5195</v>
      </c>
      <c r="AB396" s="1" t="s">
        <v>4952</v>
      </c>
      <c r="AC396" s="1" t="s">
        <v>7648</v>
      </c>
    </row>
    <row r="397" spans="1:29" ht="42.75" x14ac:dyDescent="0.45">
      <c r="A397" s="5" t="s">
        <v>391</v>
      </c>
      <c r="B397" s="2">
        <v>113881</v>
      </c>
      <c r="C397" s="1" t="s">
        <v>8104</v>
      </c>
      <c r="D397" s="1" t="s">
        <v>8105</v>
      </c>
      <c r="E397" s="1" t="s">
        <v>861</v>
      </c>
      <c r="F397" s="1" t="s">
        <v>8106</v>
      </c>
      <c r="G397" s="1" t="s">
        <v>8107</v>
      </c>
      <c r="H397" s="1" t="s">
        <v>8108</v>
      </c>
      <c r="I397" s="1" t="s">
        <v>8109</v>
      </c>
      <c r="J397" s="1" t="s">
        <v>8110</v>
      </c>
      <c r="K397" s="1" t="s">
        <v>2501</v>
      </c>
      <c r="L397" s="1" t="s">
        <v>8111</v>
      </c>
      <c r="M397" s="1" t="s">
        <v>8112</v>
      </c>
      <c r="N397" s="1" t="s">
        <v>8113</v>
      </c>
      <c r="O397" s="1" t="s">
        <v>4644</v>
      </c>
      <c r="P397" s="1" t="s">
        <v>1329</v>
      </c>
      <c r="Q397" s="1" t="s">
        <v>6047</v>
      </c>
      <c r="R397" s="1" t="s">
        <v>2811</v>
      </c>
      <c r="S397" s="1" t="s">
        <v>7053</v>
      </c>
      <c r="T397" s="1" t="s">
        <v>8114</v>
      </c>
      <c r="U397" s="1" t="s">
        <v>8115</v>
      </c>
      <c r="V397" s="1" t="s">
        <v>8116</v>
      </c>
      <c r="W397" s="1" t="s">
        <v>6188</v>
      </c>
      <c r="X397" s="1" t="s">
        <v>4692</v>
      </c>
      <c r="Y397" s="1" t="s">
        <v>8117</v>
      </c>
      <c r="Z397" s="1" t="s">
        <v>6485</v>
      </c>
      <c r="AA397" s="1" t="s">
        <v>3438</v>
      </c>
      <c r="AB397" s="1" t="s">
        <v>1335</v>
      </c>
      <c r="AC397" s="1" t="s">
        <v>8118</v>
      </c>
    </row>
    <row r="398" spans="1:29" ht="85.5" x14ac:dyDescent="0.45">
      <c r="A398" s="5" t="s">
        <v>392</v>
      </c>
      <c r="B398" s="2">
        <v>4987124</v>
      </c>
      <c r="C398" s="1" t="s">
        <v>8119</v>
      </c>
      <c r="D398" s="1" t="s">
        <v>8120</v>
      </c>
      <c r="E398" s="1" t="s">
        <v>8121</v>
      </c>
      <c r="F398" s="1" t="s">
        <v>8122</v>
      </c>
      <c r="G398" s="1" t="s">
        <v>8123</v>
      </c>
      <c r="H398" s="1" t="s">
        <v>8124</v>
      </c>
      <c r="I398" s="1" t="s">
        <v>8125</v>
      </c>
      <c r="J398" s="1" t="s">
        <v>612</v>
      </c>
      <c r="K398" s="1" t="s">
        <v>8126</v>
      </c>
      <c r="L398" s="1" t="s">
        <v>1439</v>
      </c>
      <c r="M398" s="1" t="s">
        <v>7822</v>
      </c>
      <c r="N398" s="1" t="s">
        <v>6855</v>
      </c>
      <c r="O398" s="1" t="s">
        <v>8127</v>
      </c>
      <c r="P398" s="1" t="s">
        <v>8128</v>
      </c>
      <c r="Q398" s="1" t="s">
        <v>8129</v>
      </c>
      <c r="R398" s="1" t="s">
        <v>8130</v>
      </c>
      <c r="S398" s="1" t="s">
        <v>8131</v>
      </c>
      <c r="T398" s="1" t="s">
        <v>8132</v>
      </c>
      <c r="U398" s="1" t="s">
        <v>7450</v>
      </c>
      <c r="V398" s="1" t="s">
        <v>8133</v>
      </c>
      <c r="W398" s="1" t="s">
        <v>8134</v>
      </c>
      <c r="X398" s="1" t="s">
        <v>3343</v>
      </c>
      <c r="Y398" s="1" t="s">
        <v>3182</v>
      </c>
      <c r="Z398" s="1" t="s">
        <v>6058</v>
      </c>
      <c r="AA398" s="1" t="s">
        <v>8135</v>
      </c>
      <c r="AB398" s="1" t="s">
        <v>8136</v>
      </c>
      <c r="AC398" s="1" t="s">
        <v>7133</v>
      </c>
    </row>
    <row r="399" spans="1:29" ht="71.25" x14ac:dyDescent="0.45">
      <c r="A399" s="5" t="s">
        <v>393</v>
      </c>
      <c r="B399" s="2">
        <v>4047857</v>
      </c>
      <c r="C399" s="1" t="s">
        <v>8137</v>
      </c>
      <c r="D399" s="1" t="s">
        <v>8138</v>
      </c>
      <c r="E399" s="1" t="s">
        <v>1144</v>
      </c>
      <c r="F399" s="1" t="s">
        <v>6692</v>
      </c>
      <c r="G399" s="1" t="s">
        <v>5150</v>
      </c>
      <c r="H399" s="1" t="s">
        <v>6759</v>
      </c>
      <c r="I399" s="1" t="s">
        <v>7402</v>
      </c>
      <c r="J399" s="1" t="s">
        <v>2631</v>
      </c>
      <c r="K399" s="1" t="s">
        <v>8139</v>
      </c>
      <c r="L399" s="1" t="s">
        <v>8140</v>
      </c>
      <c r="M399" s="1" t="s">
        <v>8141</v>
      </c>
      <c r="N399" s="1" t="s">
        <v>8142</v>
      </c>
      <c r="O399" s="1" t="s">
        <v>2357</v>
      </c>
      <c r="P399" s="1" t="s">
        <v>8143</v>
      </c>
      <c r="Q399" s="1" t="s">
        <v>3489</v>
      </c>
      <c r="R399" s="1" t="s">
        <v>2357</v>
      </c>
      <c r="S399" s="1" t="s">
        <v>8144</v>
      </c>
      <c r="T399" s="1" t="s">
        <v>2594</v>
      </c>
      <c r="U399" s="1" t="s">
        <v>8145</v>
      </c>
      <c r="V399" s="1" t="s">
        <v>8146</v>
      </c>
      <c r="W399" s="1" t="s">
        <v>8147</v>
      </c>
      <c r="X399" s="1" t="s">
        <v>4488</v>
      </c>
      <c r="Y399" s="1" t="s">
        <v>2359</v>
      </c>
      <c r="Z399" s="1" t="s">
        <v>3369</v>
      </c>
      <c r="AA399" s="1" t="s">
        <v>8148</v>
      </c>
      <c r="AB399" s="1" t="s">
        <v>3364</v>
      </c>
      <c r="AC399" s="1" t="s">
        <v>8149</v>
      </c>
    </row>
    <row r="400" spans="1:29" ht="71.25" x14ac:dyDescent="0.45">
      <c r="A400" s="5" t="s">
        <v>394</v>
      </c>
      <c r="B400" s="2">
        <v>4967090</v>
      </c>
      <c r="C400" s="1" t="s">
        <v>8150</v>
      </c>
      <c r="D400" s="1" t="s">
        <v>8151</v>
      </c>
      <c r="E400" s="1" t="s">
        <v>2321</v>
      </c>
      <c r="F400" s="1" t="s">
        <v>982</v>
      </c>
      <c r="G400" s="1" t="s">
        <v>2870</v>
      </c>
      <c r="H400" s="1" t="s">
        <v>6779</v>
      </c>
      <c r="I400" s="1" t="s">
        <v>1259</v>
      </c>
      <c r="J400" s="1" t="s">
        <v>6715</v>
      </c>
      <c r="K400" s="1" t="s">
        <v>8152</v>
      </c>
      <c r="L400" s="1" t="s">
        <v>8153</v>
      </c>
      <c r="M400" s="1" t="s">
        <v>5241</v>
      </c>
      <c r="N400" s="1" t="s">
        <v>3877</v>
      </c>
      <c r="O400" s="1" t="s">
        <v>8154</v>
      </c>
      <c r="P400" s="1" t="s">
        <v>8155</v>
      </c>
      <c r="Q400" s="1" t="s">
        <v>8156</v>
      </c>
      <c r="R400" s="1" t="s">
        <v>8157</v>
      </c>
      <c r="S400" s="1" t="s">
        <v>4345</v>
      </c>
      <c r="T400" s="1" t="s">
        <v>698</v>
      </c>
      <c r="U400" s="1" t="s">
        <v>991</v>
      </c>
      <c r="V400" s="1" t="s">
        <v>8158</v>
      </c>
      <c r="W400" s="1" t="s">
        <v>8159</v>
      </c>
      <c r="X400" s="1" t="s">
        <v>8160</v>
      </c>
      <c r="Y400" s="1" t="s">
        <v>8161</v>
      </c>
      <c r="Z400" s="1" t="s">
        <v>7819</v>
      </c>
      <c r="AA400" s="1" t="s">
        <v>8162</v>
      </c>
      <c r="AB400" s="1" t="s">
        <v>8163</v>
      </c>
      <c r="AC400" s="1" t="s">
        <v>8164</v>
      </c>
    </row>
    <row r="401" spans="1:29" ht="42.75" x14ac:dyDescent="0.45">
      <c r="A401" s="5" t="s">
        <v>395</v>
      </c>
      <c r="B401" s="2">
        <v>4095638</v>
      </c>
      <c r="C401" s="1" t="s">
        <v>8165</v>
      </c>
      <c r="D401" s="1" t="s">
        <v>8166</v>
      </c>
      <c r="E401" s="1" t="s">
        <v>4856</v>
      </c>
      <c r="F401" s="1" t="s">
        <v>8167</v>
      </c>
      <c r="G401" s="1" t="s">
        <v>8168</v>
      </c>
      <c r="H401" s="1" t="s">
        <v>8169</v>
      </c>
      <c r="I401" s="1" t="s">
        <v>8170</v>
      </c>
      <c r="J401" s="1" t="s">
        <v>8037</v>
      </c>
      <c r="K401" s="1" t="s">
        <v>5304</v>
      </c>
      <c r="L401" s="1" t="s">
        <v>6743</v>
      </c>
      <c r="M401" s="1" t="s">
        <v>8171</v>
      </c>
      <c r="N401" s="1" t="s">
        <v>8172</v>
      </c>
      <c r="O401" s="1" t="s">
        <v>8173</v>
      </c>
      <c r="P401" s="1" t="s">
        <v>8174</v>
      </c>
      <c r="Q401" s="1" t="s">
        <v>8175</v>
      </c>
      <c r="R401" s="1" t="s">
        <v>8176</v>
      </c>
      <c r="S401" s="1" t="s">
        <v>8177</v>
      </c>
      <c r="T401" s="1" t="s">
        <v>8178</v>
      </c>
      <c r="U401" s="1" t="s">
        <v>8179</v>
      </c>
      <c r="V401" s="1" t="s">
        <v>1502</v>
      </c>
      <c r="W401" s="1" t="s">
        <v>4662</v>
      </c>
      <c r="X401" s="1" t="s">
        <v>1543</v>
      </c>
      <c r="Y401" s="1" t="s">
        <v>8133</v>
      </c>
      <c r="Z401" s="1" t="s">
        <v>8180</v>
      </c>
      <c r="AA401" s="1" t="s">
        <v>688</v>
      </c>
      <c r="AB401" s="1" t="s">
        <v>8181</v>
      </c>
      <c r="AC401" s="1" t="s">
        <v>8182</v>
      </c>
    </row>
    <row r="402" spans="1:29" ht="28.5" x14ac:dyDescent="0.45">
      <c r="A402" s="5" t="s">
        <v>396</v>
      </c>
      <c r="B402" s="2">
        <v>4987299</v>
      </c>
      <c r="C402" s="1" t="s">
        <v>8183</v>
      </c>
      <c r="D402" s="1" t="s">
        <v>8184</v>
      </c>
      <c r="E402" s="1" t="s">
        <v>514</v>
      </c>
      <c r="F402" s="1" t="s">
        <v>1183</v>
      </c>
      <c r="G402" s="1" t="s">
        <v>2900</v>
      </c>
      <c r="H402" s="1" t="s">
        <v>8185</v>
      </c>
      <c r="I402" s="1" t="s">
        <v>8186</v>
      </c>
      <c r="J402" s="1" t="s">
        <v>4632</v>
      </c>
      <c r="K402" s="1" t="s">
        <v>8187</v>
      </c>
      <c r="L402" s="1" t="s">
        <v>8188</v>
      </c>
      <c r="M402" s="1" t="s">
        <v>1181</v>
      </c>
      <c r="N402" s="1" t="s">
        <v>3864</v>
      </c>
      <c r="O402" s="1" t="s">
        <v>8189</v>
      </c>
      <c r="P402" s="1" t="s">
        <v>5275</v>
      </c>
      <c r="Q402" s="1" t="s">
        <v>8190</v>
      </c>
      <c r="R402" s="1" t="s">
        <v>6104</v>
      </c>
      <c r="S402" s="1" t="s">
        <v>4154</v>
      </c>
      <c r="T402" s="1" t="s">
        <v>1733</v>
      </c>
      <c r="U402" s="1" t="s">
        <v>1030</v>
      </c>
      <c r="V402" s="1" t="s">
        <v>8191</v>
      </c>
      <c r="W402" s="1" t="s">
        <v>923</v>
      </c>
      <c r="X402" s="1" t="s">
        <v>3541</v>
      </c>
      <c r="Y402" s="1" t="s">
        <v>8192</v>
      </c>
      <c r="Z402" s="1" t="s">
        <v>1493</v>
      </c>
      <c r="AA402" s="1" t="s">
        <v>8193</v>
      </c>
      <c r="AB402" s="1" t="s">
        <v>8194</v>
      </c>
      <c r="AC402" s="1" t="s">
        <v>8195</v>
      </c>
    </row>
    <row r="403" spans="1:29" ht="71.25" x14ac:dyDescent="0.45">
      <c r="A403" s="5" t="s">
        <v>397</v>
      </c>
      <c r="B403" s="2">
        <v>111568</v>
      </c>
      <c r="C403" s="1" t="s">
        <v>8196</v>
      </c>
      <c r="D403" s="1" t="s">
        <v>8197</v>
      </c>
      <c r="E403" s="1" t="s">
        <v>888</v>
      </c>
      <c r="F403" s="1" t="s">
        <v>8198</v>
      </c>
      <c r="G403" s="1" t="s">
        <v>8199</v>
      </c>
      <c r="H403" s="1" t="s">
        <v>8200</v>
      </c>
      <c r="I403" s="1" t="s">
        <v>8201</v>
      </c>
      <c r="J403" s="1" t="s">
        <v>897</v>
      </c>
      <c r="K403" s="1" t="s">
        <v>8202</v>
      </c>
      <c r="L403" s="1" t="s">
        <v>8203</v>
      </c>
      <c r="M403" s="1" t="s">
        <v>8204</v>
      </c>
      <c r="N403" s="1" t="s">
        <v>5814</v>
      </c>
      <c r="O403" s="1" t="s">
        <v>8205</v>
      </c>
      <c r="P403" s="1" t="s">
        <v>8206</v>
      </c>
      <c r="Q403" s="1" t="s">
        <v>8207</v>
      </c>
      <c r="R403" s="1" t="s">
        <v>8208</v>
      </c>
      <c r="S403" s="1" t="s">
        <v>8209</v>
      </c>
      <c r="T403" s="1" t="s">
        <v>3413</v>
      </c>
      <c r="U403" s="1" t="s">
        <v>960</v>
      </c>
      <c r="V403" s="1" t="s">
        <v>8210</v>
      </c>
      <c r="W403" s="1" t="s">
        <v>8211</v>
      </c>
      <c r="X403" s="1" t="s">
        <v>8212</v>
      </c>
      <c r="Y403" s="1" t="s">
        <v>8212</v>
      </c>
      <c r="Z403" s="1" t="s">
        <v>8213</v>
      </c>
      <c r="AA403" s="1" t="s">
        <v>3296</v>
      </c>
      <c r="AB403" s="1" t="s">
        <v>8214</v>
      </c>
      <c r="AC403" s="1" t="s">
        <v>8215</v>
      </c>
    </row>
    <row r="404" spans="1:29" ht="28.5" x14ac:dyDescent="0.45">
      <c r="A404" s="5" t="s">
        <v>398</v>
      </c>
      <c r="B404" s="2">
        <v>100334</v>
      </c>
      <c r="C404" s="1" t="s">
        <v>8216</v>
      </c>
      <c r="D404" s="1" t="s">
        <v>8217</v>
      </c>
      <c r="E404" s="1" t="s">
        <v>3058</v>
      </c>
      <c r="F404" s="1" t="s">
        <v>8021</v>
      </c>
      <c r="G404" s="1" t="s">
        <v>4972</v>
      </c>
      <c r="H404" s="1" t="s">
        <v>8218</v>
      </c>
      <c r="I404" s="1" t="s">
        <v>2911</v>
      </c>
      <c r="J404" s="1" t="s">
        <v>5527</v>
      </c>
      <c r="K404" s="1" t="s">
        <v>8219</v>
      </c>
      <c r="L404" s="1" t="s">
        <v>8220</v>
      </c>
      <c r="M404" s="1" t="s">
        <v>6928</v>
      </c>
      <c r="N404" s="1" t="s">
        <v>2175</v>
      </c>
      <c r="O404" s="1" t="s">
        <v>5517</v>
      </c>
      <c r="P404" s="1" t="s">
        <v>8221</v>
      </c>
      <c r="Q404" s="1" t="s">
        <v>8222</v>
      </c>
      <c r="R404" s="1" t="s">
        <v>7515</v>
      </c>
      <c r="S404" s="1" t="s">
        <v>8223</v>
      </c>
      <c r="T404" s="1" t="s">
        <v>8224</v>
      </c>
      <c r="U404" s="1" t="s">
        <v>8225</v>
      </c>
      <c r="V404" s="1" t="s">
        <v>8226</v>
      </c>
      <c r="W404" s="1" t="s">
        <v>6931</v>
      </c>
      <c r="X404" s="1" t="s">
        <v>6934</v>
      </c>
      <c r="Y404" s="1" t="s">
        <v>8227</v>
      </c>
      <c r="Z404" s="1" t="s">
        <v>1754</v>
      </c>
      <c r="AA404" s="1" t="s">
        <v>2182</v>
      </c>
      <c r="AB404" s="1" t="s">
        <v>8228</v>
      </c>
      <c r="AC404" s="1" t="s">
        <v>8229</v>
      </c>
    </row>
    <row r="405" spans="1:29" ht="71.25" x14ac:dyDescent="0.45">
      <c r="A405" s="5" t="s">
        <v>399</v>
      </c>
      <c r="B405" s="2">
        <v>100406</v>
      </c>
      <c r="C405" s="1" t="s">
        <v>8230</v>
      </c>
      <c r="D405" s="1" t="s">
        <v>8231</v>
      </c>
      <c r="E405" s="1" t="s">
        <v>3058</v>
      </c>
      <c r="F405" s="1" t="s">
        <v>8232</v>
      </c>
      <c r="G405" s="1" t="s">
        <v>8233</v>
      </c>
      <c r="H405" s="1" t="s">
        <v>8234</v>
      </c>
      <c r="I405" s="1" t="s">
        <v>8235</v>
      </c>
      <c r="J405" s="1" t="s">
        <v>8236</v>
      </c>
      <c r="K405" s="1" t="s">
        <v>1056</v>
      </c>
      <c r="L405" s="1" t="s">
        <v>8237</v>
      </c>
      <c r="M405" s="1" t="s">
        <v>8238</v>
      </c>
      <c r="N405" s="1" t="s">
        <v>8239</v>
      </c>
      <c r="O405" s="1" t="s">
        <v>4347</v>
      </c>
      <c r="P405" s="1" t="s">
        <v>8240</v>
      </c>
      <c r="Q405" s="1" t="s">
        <v>1006</v>
      </c>
      <c r="R405" s="1" t="s">
        <v>8241</v>
      </c>
      <c r="S405" s="1" t="s">
        <v>3918</v>
      </c>
      <c r="T405" s="1" t="s">
        <v>8242</v>
      </c>
      <c r="U405" s="1" t="s">
        <v>3311</v>
      </c>
      <c r="V405" s="1" t="s">
        <v>4243</v>
      </c>
      <c r="W405" s="1" t="s">
        <v>7574</v>
      </c>
      <c r="X405" s="1" t="s">
        <v>3778</v>
      </c>
      <c r="Y405" s="1" t="s">
        <v>611</v>
      </c>
      <c r="Z405" s="1" t="s">
        <v>6986</v>
      </c>
      <c r="AA405" s="1" t="s">
        <v>7858</v>
      </c>
      <c r="AB405" s="1" t="s">
        <v>8243</v>
      </c>
      <c r="AC405" s="1" t="s">
        <v>5111</v>
      </c>
    </row>
    <row r="406" spans="1:29" ht="57" x14ac:dyDescent="0.45">
      <c r="A406" s="5" t="s">
        <v>400</v>
      </c>
      <c r="B406" s="2">
        <v>4008247</v>
      </c>
      <c r="C406" s="1" t="s">
        <v>8244</v>
      </c>
      <c r="D406" s="1" t="s">
        <v>8245</v>
      </c>
      <c r="E406" s="1" t="s">
        <v>8246</v>
      </c>
      <c r="F406" s="1" t="s">
        <v>8247</v>
      </c>
      <c r="G406" s="1" t="s">
        <v>7740</v>
      </c>
      <c r="H406" s="1" t="s">
        <v>3485</v>
      </c>
      <c r="I406" s="1" t="s">
        <v>8248</v>
      </c>
      <c r="J406" s="1" t="s">
        <v>8249</v>
      </c>
      <c r="K406" s="1" t="s">
        <v>8142</v>
      </c>
      <c r="L406" s="1" t="s">
        <v>1477</v>
      </c>
      <c r="M406" s="1" t="s">
        <v>7067</v>
      </c>
      <c r="N406" s="1" t="s">
        <v>7640</v>
      </c>
      <c r="O406" s="1" t="s">
        <v>8250</v>
      </c>
      <c r="P406" s="1" t="s">
        <v>7589</v>
      </c>
      <c r="Q406" s="1" t="s">
        <v>5319</v>
      </c>
      <c r="R406" s="1" t="s">
        <v>6587</v>
      </c>
      <c r="S406" s="1" t="s">
        <v>5741</v>
      </c>
      <c r="T406" s="1" t="s">
        <v>8251</v>
      </c>
      <c r="U406" s="1" t="s">
        <v>8252</v>
      </c>
      <c r="V406" s="1" t="s">
        <v>4054</v>
      </c>
      <c r="W406" s="1" t="s">
        <v>8253</v>
      </c>
      <c r="X406" s="1" t="s">
        <v>8254</v>
      </c>
      <c r="Y406" s="1" t="s">
        <v>8255</v>
      </c>
      <c r="Z406" s="1" t="s">
        <v>1875</v>
      </c>
      <c r="AA406" s="1" t="s">
        <v>6309</v>
      </c>
      <c r="AB406" s="1" t="s">
        <v>1554</v>
      </c>
      <c r="AC406" s="1" t="s">
        <v>3397</v>
      </c>
    </row>
    <row r="407" spans="1:29" ht="42.75" x14ac:dyDescent="0.45">
      <c r="A407" s="5" t="s">
        <v>401</v>
      </c>
      <c r="B407" s="2">
        <v>4073203</v>
      </c>
      <c r="C407" s="1" t="s">
        <v>8256</v>
      </c>
      <c r="D407" s="1" t="s">
        <v>8257</v>
      </c>
      <c r="E407" s="1" t="s">
        <v>1596</v>
      </c>
      <c r="F407" s="1" t="s">
        <v>8258</v>
      </c>
      <c r="G407" s="1" t="s">
        <v>2901</v>
      </c>
      <c r="H407" s="1" t="s">
        <v>3354</v>
      </c>
      <c r="I407" s="1" t="s">
        <v>8259</v>
      </c>
      <c r="J407" s="1" t="s">
        <v>2905</v>
      </c>
      <c r="K407" s="1" t="s">
        <v>1585</v>
      </c>
      <c r="L407" s="1" t="s">
        <v>5066</v>
      </c>
      <c r="M407" s="1" t="s">
        <v>4704</v>
      </c>
      <c r="N407" s="1" t="s">
        <v>8260</v>
      </c>
      <c r="O407" s="1" t="s">
        <v>7634</v>
      </c>
      <c r="P407" s="1" t="s">
        <v>6262</v>
      </c>
      <c r="Q407" s="1" t="s">
        <v>8261</v>
      </c>
      <c r="R407" s="1" t="s">
        <v>1401</v>
      </c>
      <c r="S407" s="1" t="s">
        <v>8262</v>
      </c>
      <c r="T407" s="1" t="s">
        <v>4149</v>
      </c>
      <c r="U407" s="1" t="s">
        <v>7902</v>
      </c>
      <c r="V407" s="1" t="s">
        <v>8263</v>
      </c>
      <c r="W407" s="1" t="s">
        <v>8264</v>
      </c>
      <c r="X407" s="1" t="s">
        <v>8265</v>
      </c>
      <c r="Y407" s="1" t="s">
        <v>2527</v>
      </c>
      <c r="Z407" s="1" t="s">
        <v>8266</v>
      </c>
      <c r="AA407" s="1" t="s">
        <v>8267</v>
      </c>
      <c r="AB407" s="1" t="s">
        <v>3825</v>
      </c>
      <c r="AC407" s="1" t="s">
        <v>2866</v>
      </c>
    </row>
    <row r="408" spans="1:29" ht="57" x14ac:dyDescent="0.45">
      <c r="A408" s="5" t="s">
        <v>402</v>
      </c>
      <c r="B408" s="2">
        <v>4270258</v>
      </c>
      <c r="C408" s="1" t="s">
        <v>8268</v>
      </c>
      <c r="D408" s="1" t="s">
        <v>8269</v>
      </c>
      <c r="E408" s="1" t="s">
        <v>940</v>
      </c>
      <c r="F408" s="1" t="s">
        <v>8270</v>
      </c>
      <c r="G408" s="1" t="s">
        <v>2562</v>
      </c>
      <c r="H408" s="1" t="s">
        <v>1875</v>
      </c>
      <c r="I408" s="1" t="s">
        <v>8271</v>
      </c>
      <c r="J408" s="1" t="s">
        <v>7991</v>
      </c>
      <c r="K408" s="1" t="s">
        <v>7659</v>
      </c>
      <c r="L408" s="1" t="s">
        <v>1549</v>
      </c>
      <c r="M408" s="1" t="s">
        <v>2567</v>
      </c>
      <c r="N408" s="1" t="s">
        <v>2569</v>
      </c>
      <c r="O408" s="1" t="s">
        <v>5965</v>
      </c>
      <c r="P408" s="1" t="s">
        <v>8272</v>
      </c>
      <c r="Q408" s="1" t="s">
        <v>4588</v>
      </c>
      <c r="R408" s="1" t="s">
        <v>8273</v>
      </c>
      <c r="S408" s="1" t="s">
        <v>1140</v>
      </c>
      <c r="T408" s="1" t="s">
        <v>4974</v>
      </c>
      <c r="U408" s="1" t="s">
        <v>8274</v>
      </c>
      <c r="V408" s="1" t="s">
        <v>8275</v>
      </c>
      <c r="W408" s="1" t="s">
        <v>5595</v>
      </c>
      <c r="X408" s="1" t="s">
        <v>8276</v>
      </c>
      <c r="Y408" s="1" t="s">
        <v>1569</v>
      </c>
      <c r="Z408" s="1" t="s">
        <v>8277</v>
      </c>
      <c r="AA408" s="1" t="s">
        <v>8278</v>
      </c>
      <c r="AB408" s="1" t="s">
        <v>8279</v>
      </c>
      <c r="AC408" s="1" t="s">
        <v>8280</v>
      </c>
    </row>
    <row r="409" spans="1:29" ht="57" x14ac:dyDescent="0.45">
      <c r="A409" s="5" t="s">
        <v>403</v>
      </c>
      <c r="B409" s="2">
        <v>4113211</v>
      </c>
      <c r="C409" s="1" t="s">
        <v>8281</v>
      </c>
      <c r="D409" s="1" t="s">
        <v>8282</v>
      </c>
      <c r="E409" s="1" t="s">
        <v>2321</v>
      </c>
      <c r="F409" s="1" t="s">
        <v>2893</v>
      </c>
      <c r="G409" s="1" t="s">
        <v>980</v>
      </c>
      <c r="H409" s="1" t="s">
        <v>8283</v>
      </c>
      <c r="I409" s="1" t="s">
        <v>658</v>
      </c>
      <c r="J409" s="1" t="s">
        <v>6403</v>
      </c>
      <c r="K409" s="1" t="s">
        <v>3866</v>
      </c>
      <c r="L409" s="1" t="s">
        <v>2408</v>
      </c>
      <c r="M409" s="1" t="s">
        <v>8284</v>
      </c>
      <c r="N409" s="1" t="s">
        <v>6494</v>
      </c>
      <c r="O409" s="1" t="s">
        <v>8285</v>
      </c>
      <c r="P409" s="1" t="s">
        <v>8286</v>
      </c>
      <c r="Q409" s="1" t="s">
        <v>8287</v>
      </c>
      <c r="R409" s="1" t="s">
        <v>3517</v>
      </c>
      <c r="S409" s="1" t="s">
        <v>3877</v>
      </c>
      <c r="T409" s="1" t="s">
        <v>2133</v>
      </c>
      <c r="U409" s="1" t="s">
        <v>5675</v>
      </c>
      <c r="V409" s="1" t="s">
        <v>8288</v>
      </c>
      <c r="W409" s="1" t="s">
        <v>7669</v>
      </c>
      <c r="X409" s="1" t="s">
        <v>8289</v>
      </c>
      <c r="Y409" s="1" t="s">
        <v>791</v>
      </c>
      <c r="Z409" s="1" t="s">
        <v>7685</v>
      </c>
      <c r="AA409" s="1" t="s">
        <v>2491</v>
      </c>
      <c r="AB409" s="1" t="s">
        <v>2137</v>
      </c>
      <c r="AC409" s="1" t="s">
        <v>5736</v>
      </c>
    </row>
    <row r="410" spans="1:29" ht="57" x14ac:dyDescent="0.45">
      <c r="A410" s="5" t="s">
        <v>404</v>
      </c>
      <c r="B410" s="2">
        <v>4783703</v>
      </c>
      <c r="C410" s="1" t="s">
        <v>8290</v>
      </c>
      <c r="D410" s="1" t="s">
        <v>8291</v>
      </c>
      <c r="E410" s="1" t="s">
        <v>1522</v>
      </c>
      <c r="F410" s="1" t="s">
        <v>8292</v>
      </c>
      <c r="G410" s="1" t="s">
        <v>2076</v>
      </c>
      <c r="H410" s="1" t="s">
        <v>2443</v>
      </c>
      <c r="I410" s="1" t="s">
        <v>3404</v>
      </c>
      <c r="J410" s="1" t="s">
        <v>8293</v>
      </c>
      <c r="K410" s="1" t="s">
        <v>1749</v>
      </c>
      <c r="L410" s="1" t="s">
        <v>6516</v>
      </c>
      <c r="M410" s="1" t="s">
        <v>1120</v>
      </c>
      <c r="N410" s="1" t="s">
        <v>1153</v>
      </c>
      <c r="O410" s="1" t="s">
        <v>4542</v>
      </c>
      <c r="P410" s="1" t="s">
        <v>8294</v>
      </c>
      <c r="Q410" s="1" t="s">
        <v>8295</v>
      </c>
      <c r="R410" s="1" t="s">
        <v>8296</v>
      </c>
      <c r="S410" s="1" t="s">
        <v>5715</v>
      </c>
      <c r="T410" s="1" t="s">
        <v>8277</v>
      </c>
      <c r="U410" s="1" t="s">
        <v>4594</v>
      </c>
      <c r="V410" s="1" t="s">
        <v>6175</v>
      </c>
      <c r="W410" s="1" t="s">
        <v>8297</v>
      </c>
      <c r="X410" s="1" t="s">
        <v>8298</v>
      </c>
      <c r="Y410" s="1" t="s">
        <v>2563</v>
      </c>
      <c r="Z410" s="1" t="s">
        <v>8299</v>
      </c>
      <c r="AA410" s="1" t="s">
        <v>8300</v>
      </c>
      <c r="AB410" s="1" t="s">
        <v>8301</v>
      </c>
      <c r="AC410" s="1" t="s">
        <v>5528</v>
      </c>
    </row>
    <row r="411" spans="1:29" ht="57" x14ac:dyDescent="0.45">
      <c r="A411" s="5" t="s">
        <v>405</v>
      </c>
      <c r="B411" s="2">
        <v>4075849</v>
      </c>
      <c r="C411" s="1" t="s">
        <v>8302</v>
      </c>
      <c r="D411" s="1" t="s">
        <v>8303</v>
      </c>
      <c r="E411" s="1" t="s">
        <v>994</v>
      </c>
      <c r="F411" s="1" t="s">
        <v>8304</v>
      </c>
      <c r="G411" s="1" t="s">
        <v>7051</v>
      </c>
      <c r="H411" s="1" t="s">
        <v>7309</v>
      </c>
      <c r="I411" s="1" t="s">
        <v>6821</v>
      </c>
      <c r="J411" s="1" t="s">
        <v>7893</v>
      </c>
      <c r="K411" s="1" t="s">
        <v>8305</v>
      </c>
      <c r="L411" s="1" t="s">
        <v>4109</v>
      </c>
      <c r="M411" s="1" t="s">
        <v>2790</v>
      </c>
      <c r="N411" s="1" t="s">
        <v>6131</v>
      </c>
      <c r="O411" s="1" t="s">
        <v>8306</v>
      </c>
      <c r="P411" s="1" t="s">
        <v>8307</v>
      </c>
      <c r="Q411" s="1" t="s">
        <v>1682</v>
      </c>
      <c r="R411" s="1" t="s">
        <v>1663</v>
      </c>
      <c r="S411" s="1" t="s">
        <v>4918</v>
      </c>
      <c r="T411" s="1" t="s">
        <v>2712</v>
      </c>
      <c r="U411" s="1" t="s">
        <v>3893</v>
      </c>
      <c r="V411" s="1" t="s">
        <v>8308</v>
      </c>
      <c r="W411" s="1" t="s">
        <v>8309</v>
      </c>
      <c r="X411" s="1" t="s">
        <v>1334</v>
      </c>
      <c r="Y411" s="1" t="s">
        <v>3436</v>
      </c>
      <c r="Z411" s="1" t="s">
        <v>3438</v>
      </c>
      <c r="AA411" s="1" t="s">
        <v>3009</v>
      </c>
      <c r="AB411" s="1" t="s">
        <v>8310</v>
      </c>
      <c r="AC411" s="1" t="s">
        <v>8311</v>
      </c>
    </row>
    <row r="412" spans="1:29" ht="57" x14ac:dyDescent="0.45">
      <c r="A412" s="5" t="s">
        <v>406</v>
      </c>
      <c r="B412" s="2">
        <v>4004298</v>
      </c>
      <c r="C412" s="1" t="s">
        <v>8312</v>
      </c>
      <c r="D412" s="1" t="s">
        <v>8313</v>
      </c>
      <c r="E412" s="1" t="s">
        <v>2070</v>
      </c>
      <c r="F412" s="1" t="s">
        <v>1352</v>
      </c>
      <c r="G412" s="1" t="s">
        <v>5911</v>
      </c>
      <c r="H412" s="1" t="s">
        <v>1842</v>
      </c>
      <c r="I412" s="1" t="s">
        <v>1347</v>
      </c>
      <c r="J412" s="1" t="s">
        <v>1343</v>
      </c>
      <c r="K412" s="1" t="s">
        <v>8314</v>
      </c>
      <c r="L412" s="1" t="s">
        <v>8315</v>
      </c>
      <c r="M412" s="1" t="s">
        <v>8316</v>
      </c>
      <c r="N412" s="1" t="s">
        <v>3697</v>
      </c>
      <c r="O412" s="1" t="s">
        <v>8317</v>
      </c>
      <c r="P412" s="1" t="s">
        <v>5865</v>
      </c>
      <c r="Q412" s="1" t="s">
        <v>8318</v>
      </c>
      <c r="R412" s="1" t="s">
        <v>7896</v>
      </c>
      <c r="S412" s="1" t="s">
        <v>1811</v>
      </c>
      <c r="T412" s="1" t="s">
        <v>7308</v>
      </c>
      <c r="U412" s="1" t="s">
        <v>4108</v>
      </c>
      <c r="V412" s="1" t="s">
        <v>5538</v>
      </c>
      <c r="W412" s="1" t="s">
        <v>3532</v>
      </c>
      <c r="X412" s="1" t="s">
        <v>7956</v>
      </c>
      <c r="Y412" s="1" t="s">
        <v>8319</v>
      </c>
      <c r="Z412" s="1" t="s">
        <v>8320</v>
      </c>
      <c r="AA412" s="1" t="s">
        <v>8321</v>
      </c>
      <c r="AB412" s="1" t="s">
        <v>7835</v>
      </c>
      <c r="AC412" s="1" t="s">
        <v>8108</v>
      </c>
    </row>
    <row r="413" spans="1:29" ht="71.25" x14ac:dyDescent="0.45">
      <c r="A413" s="5" t="s">
        <v>407</v>
      </c>
      <c r="B413" s="2">
        <v>4120616</v>
      </c>
      <c r="C413" s="1" t="s">
        <v>8322</v>
      </c>
      <c r="D413" s="1" t="s">
        <v>8323</v>
      </c>
      <c r="E413" s="1" t="s">
        <v>7005</v>
      </c>
      <c r="F413" s="1" t="s">
        <v>8324</v>
      </c>
      <c r="G413" s="1" t="s">
        <v>1482</v>
      </c>
      <c r="H413" s="1" t="s">
        <v>8325</v>
      </c>
      <c r="I413" s="1" t="s">
        <v>8326</v>
      </c>
      <c r="J413" s="1" t="s">
        <v>1477</v>
      </c>
      <c r="K413" s="1" t="s">
        <v>8142</v>
      </c>
      <c r="L413" s="1" t="s">
        <v>8327</v>
      </c>
      <c r="M413" s="1" t="s">
        <v>8328</v>
      </c>
      <c r="N413" s="1" t="s">
        <v>8329</v>
      </c>
      <c r="O413" s="1" t="s">
        <v>6803</v>
      </c>
      <c r="P413" s="1" t="s">
        <v>8023</v>
      </c>
      <c r="Q413" s="1" t="s">
        <v>5322</v>
      </c>
      <c r="R413" s="1" t="s">
        <v>8330</v>
      </c>
      <c r="S413" s="1" t="s">
        <v>8331</v>
      </c>
      <c r="T413" s="1" t="s">
        <v>2337</v>
      </c>
      <c r="U413" s="1" t="s">
        <v>3955</v>
      </c>
      <c r="V413" s="1" t="s">
        <v>8332</v>
      </c>
      <c r="W413" s="1" t="s">
        <v>7881</v>
      </c>
      <c r="X413" s="1" t="s">
        <v>4967</v>
      </c>
      <c r="Y413" s="1" t="s">
        <v>8333</v>
      </c>
      <c r="Z413" s="1" t="s">
        <v>5710</v>
      </c>
      <c r="AA413" s="1" t="s">
        <v>8334</v>
      </c>
      <c r="AB413" s="1" t="s">
        <v>7641</v>
      </c>
      <c r="AC413" s="1" t="s">
        <v>8277</v>
      </c>
    </row>
    <row r="414" spans="1:29" ht="42.75" x14ac:dyDescent="0.45">
      <c r="A414" s="5" t="s">
        <v>408</v>
      </c>
      <c r="B414" s="2">
        <v>103016</v>
      </c>
      <c r="C414" s="1" t="s">
        <v>8335</v>
      </c>
      <c r="D414" s="1" t="s">
        <v>8336</v>
      </c>
      <c r="E414" s="1" t="s">
        <v>8337</v>
      </c>
      <c r="F414" s="1" t="s">
        <v>5395</v>
      </c>
      <c r="G414" s="1" t="s">
        <v>8338</v>
      </c>
      <c r="H414" s="1" t="s">
        <v>1235</v>
      </c>
      <c r="I414" s="1" t="s">
        <v>8339</v>
      </c>
      <c r="J414" s="1" t="s">
        <v>8340</v>
      </c>
      <c r="K414" s="1" t="s">
        <v>8341</v>
      </c>
      <c r="L414" s="1" t="s">
        <v>8342</v>
      </c>
      <c r="M414" s="1" t="s">
        <v>8343</v>
      </c>
      <c r="N414" s="1" t="s">
        <v>8344</v>
      </c>
      <c r="O414" s="1" t="s">
        <v>8345</v>
      </c>
      <c r="P414" s="1" t="s">
        <v>8346</v>
      </c>
      <c r="Q414" s="1" t="s">
        <v>8347</v>
      </c>
      <c r="R414" s="1" t="s">
        <v>8348</v>
      </c>
      <c r="S414" s="1" t="s">
        <v>8349</v>
      </c>
      <c r="T414" s="1" t="s">
        <v>8350</v>
      </c>
      <c r="U414" s="1" t="s">
        <v>8351</v>
      </c>
      <c r="V414" s="1" t="s">
        <v>8352</v>
      </c>
      <c r="W414" s="1" t="s">
        <v>8353</v>
      </c>
      <c r="X414" s="1" t="s">
        <v>8354</v>
      </c>
      <c r="Y414" s="1" t="s">
        <v>8355</v>
      </c>
      <c r="Z414" s="1" t="s">
        <v>8356</v>
      </c>
      <c r="AA414" s="1" t="s">
        <v>8357</v>
      </c>
      <c r="AB414" s="1" t="s">
        <v>8358</v>
      </c>
      <c r="AC414" s="1" t="s">
        <v>8359</v>
      </c>
    </row>
    <row r="415" spans="1:29" ht="57" x14ac:dyDescent="0.45">
      <c r="A415" s="5" t="s">
        <v>409</v>
      </c>
      <c r="B415" s="2">
        <v>4097833</v>
      </c>
      <c r="C415" s="1" t="s">
        <v>8360</v>
      </c>
      <c r="D415" s="1" t="s">
        <v>8361</v>
      </c>
      <c r="E415" s="1" t="s">
        <v>1473</v>
      </c>
      <c r="F415" s="1" t="s">
        <v>1214</v>
      </c>
      <c r="G415" s="1" t="s">
        <v>2846</v>
      </c>
      <c r="H415" s="1" t="s">
        <v>7590</v>
      </c>
      <c r="I415" s="1" t="s">
        <v>4577</v>
      </c>
      <c r="J415" s="1" t="s">
        <v>2427</v>
      </c>
      <c r="K415" s="1" t="s">
        <v>5941</v>
      </c>
      <c r="L415" s="1" t="s">
        <v>8362</v>
      </c>
      <c r="M415" s="1" t="s">
        <v>8363</v>
      </c>
      <c r="N415" s="1" t="s">
        <v>8364</v>
      </c>
      <c r="O415" s="1" t="s">
        <v>5740</v>
      </c>
      <c r="P415" s="1" t="s">
        <v>8365</v>
      </c>
      <c r="Q415" s="1" t="s">
        <v>8366</v>
      </c>
      <c r="R415" s="1" t="s">
        <v>8367</v>
      </c>
      <c r="S415" s="1" t="s">
        <v>4176</v>
      </c>
      <c r="T415" s="1" t="s">
        <v>5578</v>
      </c>
      <c r="U415" s="1" t="s">
        <v>8368</v>
      </c>
      <c r="V415" s="1" t="s">
        <v>2818</v>
      </c>
      <c r="W415" s="1" t="s">
        <v>8369</v>
      </c>
      <c r="X415" s="1" t="s">
        <v>3033</v>
      </c>
      <c r="Y415" s="1" t="s">
        <v>8370</v>
      </c>
      <c r="Z415" s="1" t="s">
        <v>8371</v>
      </c>
      <c r="AA415" s="1" t="s">
        <v>8372</v>
      </c>
      <c r="AB415" s="1" t="s">
        <v>4895</v>
      </c>
      <c r="AC415" s="1" t="s">
        <v>7963</v>
      </c>
    </row>
    <row r="416" spans="1:29" ht="42.75" x14ac:dyDescent="0.45">
      <c r="A416" s="5" t="s">
        <v>410</v>
      </c>
      <c r="B416" s="2">
        <v>103661</v>
      </c>
      <c r="C416" s="1" t="s">
        <v>8373</v>
      </c>
      <c r="D416" s="1" t="s">
        <v>8374</v>
      </c>
      <c r="E416" s="1" t="s">
        <v>914</v>
      </c>
      <c r="F416" s="1" t="s">
        <v>8375</v>
      </c>
      <c r="G416" s="1" t="s">
        <v>5575</v>
      </c>
      <c r="H416" s="1" t="s">
        <v>6681</v>
      </c>
      <c r="I416" s="1" t="s">
        <v>5155</v>
      </c>
      <c r="J416" s="1" t="s">
        <v>8376</v>
      </c>
      <c r="K416" s="1" t="s">
        <v>8377</v>
      </c>
      <c r="L416" s="1" t="s">
        <v>8378</v>
      </c>
      <c r="M416" s="1" t="s">
        <v>5150</v>
      </c>
      <c r="N416" s="1" t="s">
        <v>8379</v>
      </c>
      <c r="O416" s="1" t="s">
        <v>7056</v>
      </c>
      <c r="P416" s="1" t="s">
        <v>5948</v>
      </c>
      <c r="Q416" s="1" t="s">
        <v>8380</v>
      </c>
      <c r="R416" s="1" t="s">
        <v>7661</v>
      </c>
      <c r="S416" s="1" t="s">
        <v>2284</v>
      </c>
      <c r="T416" s="1" t="s">
        <v>582</v>
      </c>
      <c r="U416" s="1" t="s">
        <v>8376</v>
      </c>
      <c r="V416" s="1" t="s">
        <v>1210</v>
      </c>
      <c r="W416" s="1" t="s">
        <v>4037</v>
      </c>
      <c r="X416" s="1" t="s">
        <v>3336</v>
      </c>
      <c r="Y416" s="1" t="s">
        <v>1666</v>
      </c>
      <c r="Z416" s="1" t="s">
        <v>5005</v>
      </c>
      <c r="AA416" s="1" t="s">
        <v>3438</v>
      </c>
      <c r="AB416" s="1" t="s">
        <v>7256</v>
      </c>
      <c r="AC416" s="1" t="s">
        <v>2708</v>
      </c>
    </row>
    <row r="417" spans="1:29" ht="85.5" x14ac:dyDescent="0.45">
      <c r="A417" s="5" t="s">
        <v>411</v>
      </c>
      <c r="B417" s="2">
        <v>4014079</v>
      </c>
      <c r="C417" s="1" t="s">
        <v>8381</v>
      </c>
      <c r="D417" s="1" t="s">
        <v>8382</v>
      </c>
      <c r="E417" s="1" t="s">
        <v>8383</v>
      </c>
      <c r="F417" s="1" t="s">
        <v>2277</v>
      </c>
      <c r="G417" s="1" t="s">
        <v>571</v>
      </c>
      <c r="H417" s="1" t="s">
        <v>1664</v>
      </c>
      <c r="I417" s="1" t="s">
        <v>2818</v>
      </c>
      <c r="J417" s="1" t="s">
        <v>764</v>
      </c>
      <c r="K417" s="1" t="s">
        <v>588</v>
      </c>
      <c r="L417" s="1" t="s">
        <v>5843</v>
      </c>
      <c r="M417" s="1" t="s">
        <v>8384</v>
      </c>
      <c r="N417" s="1" t="s">
        <v>3937</v>
      </c>
      <c r="O417" s="1" t="s">
        <v>4044</v>
      </c>
      <c r="P417" s="1" t="s">
        <v>8385</v>
      </c>
      <c r="Q417" s="1" t="s">
        <v>2592</v>
      </c>
      <c r="R417" s="1" t="s">
        <v>6070</v>
      </c>
      <c r="S417" s="1" t="s">
        <v>8386</v>
      </c>
      <c r="T417" s="1" t="s">
        <v>8387</v>
      </c>
      <c r="U417" s="1" t="s">
        <v>3325</v>
      </c>
      <c r="V417" s="1" t="s">
        <v>7301</v>
      </c>
      <c r="W417" s="1" t="s">
        <v>8388</v>
      </c>
      <c r="X417" s="1" t="s">
        <v>5579</v>
      </c>
      <c r="Y417" s="1" t="s">
        <v>2585</v>
      </c>
      <c r="Z417" s="1" t="s">
        <v>3935</v>
      </c>
      <c r="AA417" s="1" t="s">
        <v>2630</v>
      </c>
      <c r="AB417" s="1" t="s">
        <v>7289</v>
      </c>
      <c r="AC417" s="1" t="s">
        <v>1205</v>
      </c>
    </row>
    <row r="418" spans="1:29" ht="57" x14ac:dyDescent="0.45">
      <c r="A418" s="5" t="s">
        <v>412</v>
      </c>
      <c r="B418" s="2">
        <v>4010561</v>
      </c>
      <c r="C418" s="1" t="s">
        <v>8389</v>
      </c>
      <c r="D418" s="1" t="s">
        <v>8390</v>
      </c>
      <c r="E418" s="1" t="s">
        <v>1522</v>
      </c>
      <c r="F418" s="1" t="s">
        <v>2065</v>
      </c>
      <c r="G418" s="1" t="s">
        <v>3887</v>
      </c>
      <c r="H418" s="1" t="s">
        <v>5011</v>
      </c>
      <c r="I418" s="1" t="s">
        <v>8391</v>
      </c>
      <c r="J418" s="1" t="s">
        <v>8369</v>
      </c>
      <c r="K418" s="1" t="s">
        <v>8392</v>
      </c>
      <c r="L418" s="1" t="s">
        <v>2091</v>
      </c>
      <c r="M418" s="1" t="s">
        <v>8393</v>
      </c>
      <c r="N418" s="1" t="s">
        <v>8394</v>
      </c>
      <c r="O418" s="1" t="s">
        <v>6585</v>
      </c>
      <c r="P418" s="1" t="s">
        <v>8395</v>
      </c>
      <c r="Q418" s="1" t="s">
        <v>8396</v>
      </c>
      <c r="R418" s="1" t="s">
        <v>4040</v>
      </c>
      <c r="S418" s="1" t="s">
        <v>3871</v>
      </c>
      <c r="T418" s="1" t="s">
        <v>6141</v>
      </c>
      <c r="U418" s="1" t="s">
        <v>8397</v>
      </c>
      <c r="V418" s="1" t="s">
        <v>3705</v>
      </c>
      <c r="W418" s="1" t="s">
        <v>1837</v>
      </c>
      <c r="X418" s="1" t="s">
        <v>8398</v>
      </c>
      <c r="Y418" s="1" t="s">
        <v>8399</v>
      </c>
      <c r="Z418" s="1" t="s">
        <v>8400</v>
      </c>
      <c r="AA418" s="1" t="s">
        <v>8401</v>
      </c>
      <c r="AB418" s="1" t="s">
        <v>7686</v>
      </c>
      <c r="AC418" s="1" t="s">
        <v>3232</v>
      </c>
    </row>
    <row r="419" spans="1:29" ht="57" x14ac:dyDescent="0.45">
      <c r="A419" s="5" t="s">
        <v>413</v>
      </c>
      <c r="B419" s="2">
        <v>4004396</v>
      </c>
      <c r="C419" s="1" t="s">
        <v>8402</v>
      </c>
      <c r="D419" s="1" t="s">
        <v>8403</v>
      </c>
      <c r="E419" s="1" t="s">
        <v>1646</v>
      </c>
      <c r="F419" s="1" t="s">
        <v>2418</v>
      </c>
      <c r="G419" s="1" t="s">
        <v>8404</v>
      </c>
      <c r="H419" s="1" t="s">
        <v>8405</v>
      </c>
      <c r="I419" s="1" t="s">
        <v>8406</v>
      </c>
      <c r="J419" s="1" t="s">
        <v>5880</v>
      </c>
      <c r="K419" s="1" t="s">
        <v>2751</v>
      </c>
      <c r="L419" s="1" t="s">
        <v>6180</v>
      </c>
      <c r="M419" s="1" t="s">
        <v>4789</v>
      </c>
      <c r="N419" s="1" t="s">
        <v>8407</v>
      </c>
      <c r="O419" s="1" t="s">
        <v>8408</v>
      </c>
      <c r="P419" s="1" t="s">
        <v>8224</v>
      </c>
      <c r="Q419" s="1" t="s">
        <v>6925</v>
      </c>
      <c r="R419" s="1" t="s">
        <v>8409</v>
      </c>
      <c r="S419" s="1" t="s">
        <v>1763</v>
      </c>
      <c r="T419" s="1" t="s">
        <v>8410</v>
      </c>
      <c r="U419" s="1" t="s">
        <v>8411</v>
      </c>
      <c r="V419" s="1" t="s">
        <v>8412</v>
      </c>
      <c r="W419" s="1" t="s">
        <v>4846</v>
      </c>
      <c r="X419" s="1" t="s">
        <v>7608</v>
      </c>
      <c r="Y419" s="1" t="s">
        <v>8413</v>
      </c>
      <c r="Z419" s="1" t="s">
        <v>2730</v>
      </c>
      <c r="AA419" s="1" t="s">
        <v>8414</v>
      </c>
      <c r="AB419" s="1" t="s">
        <v>8415</v>
      </c>
      <c r="AC419" s="1" t="s">
        <v>2739</v>
      </c>
    </row>
    <row r="420" spans="1:29" ht="57" x14ac:dyDescent="0.45">
      <c r="A420" s="5" t="s">
        <v>414</v>
      </c>
      <c r="B420" s="2">
        <v>4004397</v>
      </c>
      <c r="C420" s="1" t="s">
        <v>8416</v>
      </c>
      <c r="D420" s="1" t="s">
        <v>8417</v>
      </c>
      <c r="E420" s="1" t="s">
        <v>7322</v>
      </c>
      <c r="F420" s="1" t="s">
        <v>8418</v>
      </c>
      <c r="G420" s="1" t="s">
        <v>8419</v>
      </c>
      <c r="H420" s="1" t="s">
        <v>8420</v>
      </c>
      <c r="I420" s="1" t="s">
        <v>8421</v>
      </c>
      <c r="J420" s="1" t="s">
        <v>1639</v>
      </c>
      <c r="K420" s="1" t="s">
        <v>7128</v>
      </c>
      <c r="L420" s="1" t="s">
        <v>8422</v>
      </c>
      <c r="M420" s="1" t="s">
        <v>8423</v>
      </c>
      <c r="N420" s="1" t="s">
        <v>1514</v>
      </c>
      <c r="O420" s="1" t="s">
        <v>8424</v>
      </c>
      <c r="P420" s="1" t="s">
        <v>8425</v>
      </c>
      <c r="Q420" s="1" t="s">
        <v>1410</v>
      </c>
      <c r="R420" s="1" t="s">
        <v>8426</v>
      </c>
      <c r="S420" s="1" t="s">
        <v>8427</v>
      </c>
      <c r="T420" s="1" t="s">
        <v>8428</v>
      </c>
      <c r="U420" s="1" t="s">
        <v>8429</v>
      </c>
      <c r="V420" s="1" t="s">
        <v>4149</v>
      </c>
      <c r="W420" s="1" t="s">
        <v>8430</v>
      </c>
      <c r="X420" s="1" t="s">
        <v>8016</v>
      </c>
      <c r="Y420" s="1" t="s">
        <v>8431</v>
      </c>
      <c r="Z420" s="1" t="s">
        <v>8432</v>
      </c>
      <c r="AA420" s="1" t="s">
        <v>8433</v>
      </c>
      <c r="AB420" s="1" t="s">
        <v>8434</v>
      </c>
      <c r="AC420" s="1" t="s">
        <v>8435</v>
      </c>
    </row>
    <row r="421" spans="1:29" ht="42.75" x14ac:dyDescent="0.45">
      <c r="A421" s="5" t="s">
        <v>415</v>
      </c>
      <c r="B421" s="2">
        <v>4121199</v>
      </c>
      <c r="C421" s="1" t="s">
        <v>8436</v>
      </c>
      <c r="D421" s="1" t="s">
        <v>8437</v>
      </c>
      <c r="E421" s="1" t="s">
        <v>1351</v>
      </c>
      <c r="F421" s="1" t="s">
        <v>6088</v>
      </c>
      <c r="G421" s="1" t="s">
        <v>8438</v>
      </c>
      <c r="H421" s="1" t="s">
        <v>8439</v>
      </c>
      <c r="I421" s="1" t="s">
        <v>8440</v>
      </c>
      <c r="J421" s="1" t="s">
        <v>4386</v>
      </c>
      <c r="K421" s="1" t="s">
        <v>8441</v>
      </c>
      <c r="L421" s="1" t="s">
        <v>8442</v>
      </c>
      <c r="M421" s="1" t="s">
        <v>3064</v>
      </c>
      <c r="N421" s="1" t="s">
        <v>8443</v>
      </c>
      <c r="O421" s="1" t="s">
        <v>8444</v>
      </c>
      <c r="P421" s="1" t="s">
        <v>3005</v>
      </c>
      <c r="Q421" s="1" t="s">
        <v>4387</v>
      </c>
      <c r="R421" s="1" t="s">
        <v>2060</v>
      </c>
      <c r="S421" s="1" t="s">
        <v>1678</v>
      </c>
      <c r="T421" s="1" t="s">
        <v>2817</v>
      </c>
      <c r="U421" s="1" t="s">
        <v>8445</v>
      </c>
      <c r="V421" s="1" t="s">
        <v>3322</v>
      </c>
      <c r="W421" s="1" t="s">
        <v>7742</v>
      </c>
      <c r="X421" s="1" t="s">
        <v>2084</v>
      </c>
      <c r="Y421" s="1" t="s">
        <v>2581</v>
      </c>
      <c r="Z421" s="1" t="s">
        <v>2789</v>
      </c>
      <c r="AA421" s="1" t="s">
        <v>5203</v>
      </c>
      <c r="AB421" s="1" t="s">
        <v>4063</v>
      </c>
      <c r="AC421" s="1" t="s">
        <v>4165</v>
      </c>
    </row>
    <row r="422" spans="1:29" ht="71.25" x14ac:dyDescent="0.45">
      <c r="A422" s="5" t="s">
        <v>416</v>
      </c>
      <c r="B422" s="2">
        <v>4811348</v>
      </c>
      <c r="C422" s="1" t="s">
        <v>8446</v>
      </c>
      <c r="D422" s="1" t="s">
        <v>8447</v>
      </c>
      <c r="E422" s="1" t="s">
        <v>940</v>
      </c>
      <c r="F422" s="1" t="s">
        <v>8448</v>
      </c>
      <c r="G422" s="1" t="s">
        <v>8449</v>
      </c>
      <c r="H422" s="1" t="s">
        <v>8450</v>
      </c>
      <c r="I422" s="1" t="s">
        <v>8451</v>
      </c>
      <c r="J422" s="1" t="s">
        <v>949</v>
      </c>
      <c r="K422" s="1" t="s">
        <v>8452</v>
      </c>
      <c r="L422" s="1" t="s">
        <v>1505</v>
      </c>
      <c r="M422" s="1" t="s">
        <v>5172</v>
      </c>
      <c r="N422" s="1" t="s">
        <v>5109</v>
      </c>
      <c r="O422" s="1" t="s">
        <v>6575</v>
      </c>
      <c r="P422" s="1" t="s">
        <v>680</v>
      </c>
      <c r="Q422" s="1" t="s">
        <v>8453</v>
      </c>
      <c r="R422" s="1" t="s">
        <v>2882</v>
      </c>
      <c r="S422" s="1" t="s">
        <v>2047</v>
      </c>
      <c r="T422" s="1" t="s">
        <v>8454</v>
      </c>
      <c r="U422" s="1" t="s">
        <v>3122</v>
      </c>
      <c r="V422" s="1" t="s">
        <v>564</v>
      </c>
      <c r="W422" s="1" t="s">
        <v>6319</v>
      </c>
      <c r="X422" s="1" t="s">
        <v>3688</v>
      </c>
      <c r="Y422" s="1" t="s">
        <v>8455</v>
      </c>
      <c r="Z422" s="1" t="s">
        <v>8456</v>
      </c>
      <c r="AA422" s="1" t="s">
        <v>8457</v>
      </c>
      <c r="AB422" s="1" t="s">
        <v>5366</v>
      </c>
      <c r="AC422" s="1" t="s">
        <v>1990</v>
      </c>
    </row>
    <row r="423" spans="1:29" ht="28.5" x14ac:dyDescent="0.45">
      <c r="A423" s="5" t="s">
        <v>417</v>
      </c>
      <c r="B423" s="2">
        <v>4811222</v>
      </c>
      <c r="C423" s="1" t="s">
        <v>8458</v>
      </c>
      <c r="D423" s="1" t="s">
        <v>8459</v>
      </c>
      <c r="E423" s="1" t="s">
        <v>940</v>
      </c>
      <c r="F423" s="1" t="s">
        <v>3107</v>
      </c>
      <c r="G423" s="1" t="s">
        <v>8460</v>
      </c>
      <c r="H423" s="1" t="s">
        <v>1813</v>
      </c>
      <c r="I423" s="1" t="s">
        <v>7800</v>
      </c>
      <c r="J423" s="1" t="s">
        <v>8461</v>
      </c>
      <c r="K423" s="1" t="s">
        <v>5672</v>
      </c>
      <c r="L423" s="1" t="s">
        <v>8193</v>
      </c>
      <c r="M423" s="1" t="s">
        <v>8462</v>
      </c>
      <c r="N423" s="1" t="s">
        <v>2804</v>
      </c>
      <c r="O423" s="1" t="s">
        <v>8463</v>
      </c>
      <c r="P423" s="1" t="s">
        <v>8464</v>
      </c>
      <c r="Q423" s="1" t="s">
        <v>1934</v>
      </c>
      <c r="R423" s="1" t="s">
        <v>4088</v>
      </c>
      <c r="S423" s="1" t="s">
        <v>6042</v>
      </c>
      <c r="T423" s="1" t="s">
        <v>8465</v>
      </c>
      <c r="U423" s="1" t="s">
        <v>1345</v>
      </c>
      <c r="V423" s="1" t="s">
        <v>6377</v>
      </c>
      <c r="W423" s="1" t="s">
        <v>3535</v>
      </c>
      <c r="X423" s="1" t="s">
        <v>2940</v>
      </c>
      <c r="Y423" s="1" t="s">
        <v>5903</v>
      </c>
      <c r="Z423" s="1" t="s">
        <v>2132</v>
      </c>
      <c r="AA423" s="1" t="s">
        <v>654</v>
      </c>
      <c r="AB423" s="1" t="s">
        <v>8466</v>
      </c>
      <c r="AC423" s="1" t="s">
        <v>2936</v>
      </c>
    </row>
    <row r="424" spans="1:29" ht="57" x14ac:dyDescent="0.45">
      <c r="A424" s="5" t="s">
        <v>418</v>
      </c>
      <c r="B424" s="2">
        <v>105223</v>
      </c>
      <c r="C424" s="1" t="s">
        <v>8467</v>
      </c>
      <c r="D424" s="1" t="s">
        <v>8468</v>
      </c>
      <c r="E424" s="1" t="s">
        <v>3628</v>
      </c>
      <c r="F424" s="1" t="s">
        <v>8469</v>
      </c>
      <c r="G424" s="1" t="s">
        <v>4592</v>
      </c>
      <c r="H424" s="1" t="s">
        <v>5881</v>
      </c>
      <c r="I424" s="1" t="s">
        <v>6935</v>
      </c>
      <c r="J424" s="1" t="s">
        <v>8470</v>
      </c>
      <c r="K424" s="1" t="s">
        <v>8471</v>
      </c>
      <c r="L424" s="1" t="s">
        <v>6923</v>
      </c>
      <c r="M424" s="1" t="s">
        <v>1760</v>
      </c>
      <c r="N424" s="1" t="s">
        <v>2922</v>
      </c>
      <c r="O424" s="1" t="s">
        <v>2928</v>
      </c>
      <c r="P424" s="1" t="s">
        <v>8472</v>
      </c>
      <c r="Q424" s="1" t="s">
        <v>4801</v>
      </c>
      <c r="R424" s="1" t="s">
        <v>8473</v>
      </c>
      <c r="S424" s="1" t="s">
        <v>7516</v>
      </c>
      <c r="T424" s="1" t="s">
        <v>8474</v>
      </c>
      <c r="U424" s="1" t="s">
        <v>6588</v>
      </c>
      <c r="V424" s="1" t="s">
        <v>8325</v>
      </c>
      <c r="W424" s="1" t="s">
        <v>8475</v>
      </c>
      <c r="X424" s="1" t="s">
        <v>8476</v>
      </c>
      <c r="Y424" s="1" t="s">
        <v>7663</v>
      </c>
      <c r="Z424" s="1" t="s">
        <v>8477</v>
      </c>
      <c r="AA424" s="1" t="s">
        <v>8478</v>
      </c>
      <c r="AB424" s="1" t="s">
        <v>2716</v>
      </c>
      <c r="AC424" s="1" t="s">
        <v>6891</v>
      </c>
    </row>
    <row r="425" spans="1:29" ht="57" x14ac:dyDescent="0.45">
      <c r="A425" s="5" t="s">
        <v>419</v>
      </c>
      <c r="B425" s="2">
        <v>4025746</v>
      </c>
      <c r="C425" s="1" t="s">
        <v>8479</v>
      </c>
      <c r="D425" s="1" t="s">
        <v>8480</v>
      </c>
      <c r="E425" s="1" t="s">
        <v>2321</v>
      </c>
      <c r="F425" s="1" t="s">
        <v>6081</v>
      </c>
      <c r="G425" s="1" t="s">
        <v>8481</v>
      </c>
      <c r="H425" s="1" t="s">
        <v>8482</v>
      </c>
      <c r="I425" s="1" t="s">
        <v>5803</v>
      </c>
      <c r="J425" s="1" t="s">
        <v>4026</v>
      </c>
      <c r="K425" s="1" t="s">
        <v>2092</v>
      </c>
      <c r="L425" s="1" t="s">
        <v>8483</v>
      </c>
      <c r="M425" s="1" t="s">
        <v>2641</v>
      </c>
      <c r="N425" s="1" t="s">
        <v>8484</v>
      </c>
      <c r="O425" s="1" t="s">
        <v>8485</v>
      </c>
      <c r="P425" s="1" t="s">
        <v>7409</v>
      </c>
      <c r="Q425" s="1" t="s">
        <v>5096</v>
      </c>
      <c r="R425" s="1" t="s">
        <v>8486</v>
      </c>
      <c r="S425" s="1" t="s">
        <v>8487</v>
      </c>
      <c r="T425" s="1" t="s">
        <v>2776</v>
      </c>
      <c r="U425" s="1" t="s">
        <v>2714</v>
      </c>
      <c r="V425" s="1" t="s">
        <v>2642</v>
      </c>
      <c r="W425" s="1" t="s">
        <v>3139</v>
      </c>
      <c r="X425" s="1" t="s">
        <v>1200</v>
      </c>
      <c r="Y425" s="1" t="s">
        <v>8488</v>
      </c>
      <c r="Z425" s="1" t="s">
        <v>5149</v>
      </c>
      <c r="AA425" s="1" t="s">
        <v>8489</v>
      </c>
      <c r="AB425" s="1" t="s">
        <v>3331</v>
      </c>
      <c r="AC425" s="1" t="s">
        <v>1381</v>
      </c>
    </row>
    <row r="426" spans="1:29" ht="42.75" x14ac:dyDescent="0.45">
      <c r="A426" s="5" t="s">
        <v>420</v>
      </c>
      <c r="B426" s="2">
        <v>4558282</v>
      </c>
      <c r="C426" s="1" t="s">
        <v>8490</v>
      </c>
      <c r="D426" s="1" t="s">
        <v>8491</v>
      </c>
      <c r="E426" s="1" t="s">
        <v>2457</v>
      </c>
      <c r="F426" s="1" t="s">
        <v>6533</v>
      </c>
      <c r="G426" s="1" t="s">
        <v>5775</v>
      </c>
      <c r="H426" s="1" t="s">
        <v>8492</v>
      </c>
      <c r="I426" s="1" t="s">
        <v>659</v>
      </c>
      <c r="J426" s="1" t="s">
        <v>7469</v>
      </c>
      <c r="K426" s="1" t="s">
        <v>3855</v>
      </c>
      <c r="L426" s="1" t="s">
        <v>8493</v>
      </c>
      <c r="M426" s="1" t="s">
        <v>3580</v>
      </c>
      <c r="N426" s="1" t="s">
        <v>7802</v>
      </c>
      <c r="O426" s="1" t="s">
        <v>8494</v>
      </c>
      <c r="P426" s="1" t="s">
        <v>1839</v>
      </c>
      <c r="Q426" s="1" t="s">
        <v>5680</v>
      </c>
      <c r="R426" s="1" t="s">
        <v>7477</v>
      </c>
      <c r="S426" s="1" t="s">
        <v>3875</v>
      </c>
      <c r="T426" s="1" t="s">
        <v>2396</v>
      </c>
      <c r="U426" s="1" t="s">
        <v>6998</v>
      </c>
      <c r="V426" s="1" t="s">
        <v>8495</v>
      </c>
      <c r="W426" s="1" t="s">
        <v>2489</v>
      </c>
      <c r="X426" s="1" t="s">
        <v>8496</v>
      </c>
      <c r="Y426" s="1" t="s">
        <v>4349</v>
      </c>
      <c r="Z426" s="1" t="s">
        <v>6532</v>
      </c>
      <c r="AA426" s="1" t="s">
        <v>8497</v>
      </c>
      <c r="AB426" s="1" t="s">
        <v>4187</v>
      </c>
      <c r="AC426" s="1" t="s">
        <v>8498</v>
      </c>
    </row>
    <row r="427" spans="1:29" ht="42.75" x14ac:dyDescent="0.45">
      <c r="A427" s="5" t="s">
        <v>421</v>
      </c>
      <c r="B427" s="2">
        <v>4009725</v>
      </c>
      <c r="C427" s="1" t="s">
        <v>8499</v>
      </c>
      <c r="D427" s="1" t="s">
        <v>8500</v>
      </c>
      <c r="E427" s="1" t="s">
        <v>755</v>
      </c>
      <c r="F427" s="1" t="s">
        <v>5635</v>
      </c>
      <c r="G427" s="1" t="s">
        <v>8501</v>
      </c>
      <c r="H427" s="1" t="s">
        <v>8497</v>
      </c>
      <c r="I427" s="1" t="s">
        <v>8502</v>
      </c>
      <c r="J427" s="1" t="s">
        <v>8503</v>
      </c>
      <c r="K427" s="1" t="s">
        <v>8504</v>
      </c>
      <c r="L427" s="1" t="s">
        <v>1947</v>
      </c>
      <c r="M427" s="1" t="s">
        <v>1647</v>
      </c>
      <c r="N427" s="1" t="s">
        <v>7155</v>
      </c>
      <c r="O427" s="1" t="s">
        <v>8505</v>
      </c>
      <c r="P427" s="1" t="s">
        <v>8506</v>
      </c>
      <c r="Q427" s="1" t="s">
        <v>7553</v>
      </c>
      <c r="R427" s="1" t="s">
        <v>4655</v>
      </c>
      <c r="S427" s="1" t="s">
        <v>7547</v>
      </c>
      <c r="T427" s="1" t="s">
        <v>8507</v>
      </c>
      <c r="U427" s="1" t="s">
        <v>5676</v>
      </c>
      <c r="V427" s="1" t="s">
        <v>8508</v>
      </c>
      <c r="W427" s="1" t="s">
        <v>5865</v>
      </c>
      <c r="X427" s="1" t="s">
        <v>4650</v>
      </c>
      <c r="Y427" s="1" t="s">
        <v>4192</v>
      </c>
      <c r="Z427" s="1" t="s">
        <v>4904</v>
      </c>
      <c r="AA427" s="1" t="s">
        <v>2273</v>
      </c>
      <c r="AB427" s="1" t="s">
        <v>7673</v>
      </c>
      <c r="AC427" s="1" t="s">
        <v>3514</v>
      </c>
    </row>
    <row r="428" spans="1:29" ht="42.75" x14ac:dyDescent="0.45">
      <c r="A428" s="5" t="s">
        <v>422</v>
      </c>
      <c r="B428" s="2">
        <v>4104139</v>
      </c>
      <c r="C428" s="1" t="s">
        <v>8509</v>
      </c>
      <c r="D428" s="1" t="s">
        <v>8510</v>
      </c>
      <c r="E428" s="1" t="s">
        <v>487</v>
      </c>
      <c r="F428" s="1" t="s">
        <v>5185</v>
      </c>
      <c r="G428" s="1" t="s">
        <v>8511</v>
      </c>
      <c r="H428" s="1" t="s">
        <v>8512</v>
      </c>
      <c r="I428" s="1" t="s">
        <v>8513</v>
      </c>
      <c r="J428" s="1" t="s">
        <v>8514</v>
      </c>
      <c r="K428" s="1" t="s">
        <v>3404</v>
      </c>
      <c r="L428" s="1" t="s">
        <v>7389</v>
      </c>
      <c r="M428" s="1" t="s">
        <v>8515</v>
      </c>
      <c r="N428" s="1" t="s">
        <v>7526</v>
      </c>
      <c r="O428" s="1" t="s">
        <v>8516</v>
      </c>
      <c r="P428" s="1" t="s">
        <v>5746</v>
      </c>
      <c r="Q428" s="1" t="s">
        <v>1121</v>
      </c>
      <c r="R428" s="1" t="s">
        <v>8517</v>
      </c>
      <c r="S428" s="1" t="s">
        <v>1388</v>
      </c>
      <c r="T428" s="1" t="s">
        <v>8518</v>
      </c>
      <c r="U428" s="1" t="s">
        <v>8519</v>
      </c>
      <c r="V428" s="1" t="s">
        <v>6516</v>
      </c>
      <c r="W428" s="1" t="s">
        <v>7526</v>
      </c>
      <c r="X428" s="1" t="s">
        <v>8520</v>
      </c>
      <c r="Y428" s="1" t="s">
        <v>7068</v>
      </c>
      <c r="Z428" s="1" t="s">
        <v>2435</v>
      </c>
      <c r="AA428" s="1" t="s">
        <v>8521</v>
      </c>
      <c r="AB428" s="1" t="s">
        <v>7061</v>
      </c>
      <c r="AC428" s="1" t="s">
        <v>8522</v>
      </c>
    </row>
    <row r="429" spans="1:29" ht="42.75" x14ac:dyDescent="0.45">
      <c r="A429" s="5" t="s">
        <v>423</v>
      </c>
      <c r="B429" s="2">
        <v>4047847</v>
      </c>
      <c r="C429" s="1" t="s">
        <v>8523</v>
      </c>
      <c r="D429" s="1" t="s">
        <v>8524</v>
      </c>
      <c r="E429" s="1" t="s">
        <v>487</v>
      </c>
      <c r="F429" s="1" t="s">
        <v>8525</v>
      </c>
      <c r="G429" s="1" t="s">
        <v>8526</v>
      </c>
      <c r="H429" s="1" t="s">
        <v>7380</v>
      </c>
      <c r="I429" s="1" t="s">
        <v>8527</v>
      </c>
      <c r="J429" s="1" t="s">
        <v>8528</v>
      </c>
      <c r="K429" s="1" t="s">
        <v>6983</v>
      </c>
      <c r="L429" s="1" t="s">
        <v>8529</v>
      </c>
      <c r="M429" s="1" t="s">
        <v>8530</v>
      </c>
      <c r="N429" s="1" t="s">
        <v>8531</v>
      </c>
      <c r="O429" s="1" t="s">
        <v>8532</v>
      </c>
      <c r="P429" s="1" t="s">
        <v>8533</v>
      </c>
      <c r="Q429" s="1" t="s">
        <v>8534</v>
      </c>
      <c r="R429" s="1" t="s">
        <v>8535</v>
      </c>
      <c r="S429" s="1" t="s">
        <v>4457</v>
      </c>
      <c r="T429" s="1" t="s">
        <v>8536</v>
      </c>
      <c r="U429" s="1" t="s">
        <v>4210</v>
      </c>
      <c r="V429" s="1" t="s">
        <v>1428</v>
      </c>
      <c r="W429" s="1" t="s">
        <v>8537</v>
      </c>
      <c r="X429" s="1" t="s">
        <v>3469</v>
      </c>
      <c r="Y429" s="1" t="s">
        <v>686</v>
      </c>
      <c r="Z429" s="1" t="s">
        <v>4364</v>
      </c>
      <c r="AA429" s="1" t="s">
        <v>7902</v>
      </c>
      <c r="AB429" s="1" t="s">
        <v>4634</v>
      </c>
      <c r="AC429" s="1" t="s">
        <v>8538</v>
      </c>
    </row>
    <row r="430" spans="1:29" ht="57" x14ac:dyDescent="0.45">
      <c r="A430" s="5" t="s">
        <v>424</v>
      </c>
      <c r="B430" s="2">
        <v>4004166</v>
      </c>
      <c r="C430" s="1" t="s">
        <v>8539</v>
      </c>
      <c r="D430" s="1" t="s">
        <v>8540</v>
      </c>
      <c r="E430" s="1" t="s">
        <v>7582</v>
      </c>
      <c r="F430" s="1" t="s">
        <v>4322</v>
      </c>
      <c r="G430" s="1" t="s">
        <v>8541</v>
      </c>
      <c r="H430" s="1" t="s">
        <v>8005</v>
      </c>
      <c r="I430" s="1" t="s">
        <v>6852</v>
      </c>
      <c r="J430" s="1" t="s">
        <v>8542</v>
      </c>
      <c r="K430" s="1" t="s">
        <v>8543</v>
      </c>
      <c r="L430" s="1" t="s">
        <v>8544</v>
      </c>
      <c r="M430" s="1" t="s">
        <v>8545</v>
      </c>
      <c r="N430" s="1" t="s">
        <v>8546</v>
      </c>
      <c r="O430" s="1" t="s">
        <v>2368</v>
      </c>
      <c r="P430" s="1" t="s">
        <v>8547</v>
      </c>
      <c r="Q430" s="1" t="s">
        <v>8548</v>
      </c>
      <c r="R430" s="1" t="s">
        <v>8549</v>
      </c>
      <c r="S430" s="1" t="s">
        <v>8550</v>
      </c>
      <c r="T430" s="1" t="s">
        <v>8551</v>
      </c>
      <c r="U430" s="1" t="s">
        <v>8050</v>
      </c>
      <c r="V430" s="1" t="s">
        <v>8552</v>
      </c>
      <c r="W430" s="1" t="s">
        <v>6611</v>
      </c>
      <c r="X430" s="1" t="s">
        <v>1514</v>
      </c>
      <c r="Y430" s="1" t="s">
        <v>8553</v>
      </c>
      <c r="Z430" s="1" t="s">
        <v>4298</v>
      </c>
      <c r="AA430" s="1" t="s">
        <v>8554</v>
      </c>
      <c r="AB430" s="1" t="s">
        <v>1518</v>
      </c>
      <c r="AC430" s="1" t="s">
        <v>4401</v>
      </c>
    </row>
    <row r="431" spans="1:29" ht="57" x14ac:dyDescent="0.45">
      <c r="A431" s="5" t="s">
        <v>425</v>
      </c>
      <c r="B431" s="2">
        <v>4121693</v>
      </c>
      <c r="C431" s="1" t="s">
        <v>8555</v>
      </c>
      <c r="D431" s="1" t="s">
        <v>8556</v>
      </c>
      <c r="E431" s="1" t="s">
        <v>4834</v>
      </c>
      <c r="F431" s="1" t="s">
        <v>8557</v>
      </c>
      <c r="G431" s="1" t="s">
        <v>3371</v>
      </c>
      <c r="H431" s="1" t="s">
        <v>2339</v>
      </c>
      <c r="I431" s="1" t="s">
        <v>8474</v>
      </c>
      <c r="J431" s="1" t="s">
        <v>6166</v>
      </c>
      <c r="K431" s="1" t="s">
        <v>8558</v>
      </c>
      <c r="L431" s="1" t="s">
        <v>3085</v>
      </c>
      <c r="M431" s="1" t="s">
        <v>1478</v>
      </c>
      <c r="N431" s="1" t="s">
        <v>8559</v>
      </c>
      <c r="O431" s="1" t="s">
        <v>3380</v>
      </c>
      <c r="P431" s="1" t="s">
        <v>5951</v>
      </c>
      <c r="Q431" s="1" t="s">
        <v>7591</v>
      </c>
      <c r="R431" s="1" t="s">
        <v>8560</v>
      </c>
      <c r="S431" s="1" t="s">
        <v>2440</v>
      </c>
      <c r="T431" s="1" t="s">
        <v>6051</v>
      </c>
      <c r="U431" s="1" t="s">
        <v>7990</v>
      </c>
      <c r="V431" s="1" t="s">
        <v>1164</v>
      </c>
      <c r="W431" s="1" t="s">
        <v>8561</v>
      </c>
      <c r="X431" s="1" t="s">
        <v>6800</v>
      </c>
      <c r="Y431" s="1" t="s">
        <v>2827</v>
      </c>
      <c r="Z431" s="1" t="s">
        <v>4056</v>
      </c>
      <c r="AA431" s="1" t="s">
        <v>8562</v>
      </c>
      <c r="AB431" s="1" t="s">
        <v>5590</v>
      </c>
      <c r="AC431" s="1" t="s">
        <v>6707</v>
      </c>
    </row>
    <row r="432" spans="1:29" ht="85.5" x14ac:dyDescent="0.45">
      <c r="A432" s="5" t="s">
        <v>426</v>
      </c>
      <c r="B432" s="2">
        <v>100307</v>
      </c>
      <c r="C432" s="1" t="s">
        <v>8563</v>
      </c>
      <c r="D432" s="1" t="s">
        <v>8564</v>
      </c>
      <c r="E432" s="1" t="s">
        <v>3058</v>
      </c>
      <c r="F432" s="1" t="s">
        <v>8295</v>
      </c>
      <c r="G432" s="1" t="s">
        <v>8565</v>
      </c>
      <c r="H432" s="1" t="s">
        <v>2754</v>
      </c>
      <c r="I432" s="1" t="s">
        <v>2734</v>
      </c>
      <c r="J432" s="1" t="s">
        <v>4843</v>
      </c>
      <c r="K432" s="1" t="s">
        <v>8566</v>
      </c>
      <c r="L432" s="1" t="s">
        <v>6618</v>
      </c>
      <c r="M432" s="1" t="s">
        <v>2328</v>
      </c>
      <c r="N432" s="1" t="s">
        <v>2919</v>
      </c>
      <c r="O432" s="1" t="s">
        <v>8567</v>
      </c>
      <c r="P432" s="1" t="s">
        <v>6618</v>
      </c>
      <c r="Q432" s="1" t="s">
        <v>8568</v>
      </c>
      <c r="R432" s="1" t="s">
        <v>8569</v>
      </c>
      <c r="S432" s="1" t="s">
        <v>4836</v>
      </c>
      <c r="T432" s="1" t="s">
        <v>8220</v>
      </c>
      <c r="U432" s="1" t="s">
        <v>6467</v>
      </c>
      <c r="V432" s="1" t="s">
        <v>2916</v>
      </c>
      <c r="W432" s="1" t="s">
        <v>8570</v>
      </c>
      <c r="X432" s="1" t="s">
        <v>8571</v>
      </c>
      <c r="Y432" s="1" t="s">
        <v>8572</v>
      </c>
      <c r="Z432" s="1" t="s">
        <v>2176</v>
      </c>
      <c r="AA432" s="1" t="s">
        <v>5526</v>
      </c>
      <c r="AB432" s="1" t="s">
        <v>8573</v>
      </c>
      <c r="AC432" s="1" t="s">
        <v>2764</v>
      </c>
    </row>
    <row r="433" spans="1:29" ht="71.25" x14ac:dyDescent="0.45">
      <c r="A433" s="5" t="s">
        <v>427</v>
      </c>
      <c r="B433" s="2">
        <v>4126080</v>
      </c>
      <c r="C433" s="1" t="s">
        <v>8574</v>
      </c>
      <c r="D433" s="1" t="s">
        <v>8575</v>
      </c>
      <c r="E433" s="1" t="s">
        <v>2000</v>
      </c>
      <c r="F433" s="1" t="s">
        <v>8576</v>
      </c>
      <c r="G433" s="1" t="s">
        <v>8577</v>
      </c>
      <c r="H433" s="1" t="s">
        <v>8578</v>
      </c>
      <c r="I433" s="1" t="s">
        <v>8579</v>
      </c>
      <c r="J433" s="1" t="s">
        <v>4933</v>
      </c>
      <c r="K433" s="1" t="s">
        <v>8580</v>
      </c>
      <c r="L433" s="1" t="s">
        <v>8581</v>
      </c>
      <c r="M433" s="1" t="s">
        <v>8582</v>
      </c>
      <c r="N433" s="1" t="s">
        <v>8583</v>
      </c>
      <c r="O433" s="1" t="s">
        <v>8584</v>
      </c>
      <c r="P433" s="1" t="s">
        <v>8585</v>
      </c>
      <c r="Q433" s="1" t="s">
        <v>8586</v>
      </c>
      <c r="R433" s="1" t="s">
        <v>2261</v>
      </c>
      <c r="S433" s="1" t="s">
        <v>8587</v>
      </c>
      <c r="T433" s="1" t="s">
        <v>8588</v>
      </c>
      <c r="U433" s="1" t="s">
        <v>8589</v>
      </c>
      <c r="V433" s="1" t="s">
        <v>8590</v>
      </c>
      <c r="W433" s="1" t="s">
        <v>8591</v>
      </c>
      <c r="X433" s="1" t="s">
        <v>3655</v>
      </c>
      <c r="Y433" s="1" t="s">
        <v>8592</v>
      </c>
      <c r="Z433" s="1" t="s">
        <v>8593</v>
      </c>
      <c r="AA433" s="1" t="s">
        <v>8594</v>
      </c>
      <c r="AB433" s="1" t="s">
        <v>8595</v>
      </c>
      <c r="AC433" s="1" t="s">
        <v>6733</v>
      </c>
    </row>
    <row r="434" spans="1:29" ht="85.5" x14ac:dyDescent="0.45">
      <c r="A434" s="5" t="s">
        <v>428</v>
      </c>
      <c r="B434" s="2">
        <v>4388431</v>
      </c>
      <c r="C434" s="1" t="s">
        <v>8596</v>
      </c>
      <c r="D434" s="1" t="s">
        <v>8597</v>
      </c>
      <c r="E434" s="1" t="s">
        <v>994</v>
      </c>
      <c r="F434" s="1" t="s">
        <v>8598</v>
      </c>
      <c r="G434" s="1" t="s">
        <v>5503</v>
      </c>
      <c r="H434" s="1" t="s">
        <v>931</v>
      </c>
      <c r="I434" s="1" t="s">
        <v>1417</v>
      </c>
      <c r="J434" s="1" t="s">
        <v>8599</v>
      </c>
      <c r="K434" s="1" t="s">
        <v>5172</v>
      </c>
      <c r="L434" s="1" t="s">
        <v>6111</v>
      </c>
      <c r="M434" s="1" t="s">
        <v>8600</v>
      </c>
      <c r="N434" s="1" t="s">
        <v>2974</v>
      </c>
      <c r="O434" s="1" t="s">
        <v>1429</v>
      </c>
      <c r="P434" s="1" t="s">
        <v>977</v>
      </c>
      <c r="Q434" s="1" t="s">
        <v>8601</v>
      </c>
      <c r="R434" s="1" t="s">
        <v>6987</v>
      </c>
      <c r="S434" s="1" t="s">
        <v>3270</v>
      </c>
      <c r="T434" s="1" t="s">
        <v>4199</v>
      </c>
      <c r="U434" s="1" t="s">
        <v>8602</v>
      </c>
      <c r="V434" s="1" t="s">
        <v>8603</v>
      </c>
      <c r="W434" s="1" t="s">
        <v>1997</v>
      </c>
      <c r="X434" s="1" t="s">
        <v>8604</v>
      </c>
      <c r="Y434" s="1" t="s">
        <v>789</v>
      </c>
      <c r="Z434" s="1" t="s">
        <v>8455</v>
      </c>
      <c r="AA434" s="1" t="s">
        <v>978</v>
      </c>
      <c r="AB434" s="1" t="s">
        <v>2895</v>
      </c>
      <c r="AC434" s="1" t="s">
        <v>8605</v>
      </c>
    </row>
    <row r="435" spans="1:29" ht="42.75" x14ac:dyDescent="0.45">
      <c r="A435" s="5" t="s">
        <v>429</v>
      </c>
      <c r="B435" s="2">
        <v>100447</v>
      </c>
      <c r="C435" s="1" t="s">
        <v>8606</v>
      </c>
      <c r="D435" s="1" t="s">
        <v>8607</v>
      </c>
      <c r="E435" s="1" t="s">
        <v>914</v>
      </c>
      <c r="F435" s="1" t="s">
        <v>8608</v>
      </c>
      <c r="G435" s="1" t="s">
        <v>4149</v>
      </c>
      <c r="H435" s="1" t="s">
        <v>6990</v>
      </c>
      <c r="I435" s="1" t="s">
        <v>2508</v>
      </c>
      <c r="J435" s="1" t="s">
        <v>8609</v>
      </c>
      <c r="K435" s="1" t="s">
        <v>2885</v>
      </c>
      <c r="L435" s="1" t="s">
        <v>3055</v>
      </c>
      <c r="M435" s="1" t="s">
        <v>8610</v>
      </c>
      <c r="N435" s="1" t="s">
        <v>8611</v>
      </c>
      <c r="O435" s="1" t="s">
        <v>8612</v>
      </c>
      <c r="P435" s="1" t="s">
        <v>4924</v>
      </c>
      <c r="Q435" s="1" t="s">
        <v>8613</v>
      </c>
      <c r="R435" s="1" t="s">
        <v>5017</v>
      </c>
      <c r="S435" s="1" t="s">
        <v>3271</v>
      </c>
      <c r="T435" s="1" t="s">
        <v>4123</v>
      </c>
      <c r="U435" s="1" t="s">
        <v>2510</v>
      </c>
      <c r="V435" s="1" t="s">
        <v>3687</v>
      </c>
      <c r="W435" s="1" t="s">
        <v>3357</v>
      </c>
      <c r="X435" s="1" t="s">
        <v>8259</v>
      </c>
      <c r="Y435" s="1" t="s">
        <v>8614</v>
      </c>
      <c r="Z435" s="1" t="s">
        <v>7476</v>
      </c>
      <c r="AA435" s="1" t="s">
        <v>8615</v>
      </c>
      <c r="AB435" s="1" t="s">
        <v>8616</v>
      </c>
      <c r="AC435" s="1" t="s">
        <v>7732</v>
      </c>
    </row>
    <row r="436" spans="1:29" ht="71.25" x14ac:dyDescent="0.45">
      <c r="A436" s="5" t="s">
        <v>430</v>
      </c>
      <c r="B436" s="2">
        <v>4062146</v>
      </c>
      <c r="C436" s="1" t="s">
        <v>8617</v>
      </c>
      <c r="D436" s="1" t="s">
        <v>8618</v>
      </c>
      <c r="E436" s="1" t="s">
        <v>2970</v>
      </c>
      <c r="F436" s="1" t="s">
        <v>3281</v>
      </c>
      <c r="G436" s="1" t="s">
        <v>3461</v>
      </c>
      <c r="H436" s="1" t="s">
        <v>8619</v>
      </c>
      <c r="I436" s="1" t="s">
        <v>2313</v>
      </c>
      <c r="J436" s="1" t="s">
        <v>1725</v>
      </c>
      <c r="K436" s="1" t="s">
        <v>8620</v>
      </c>
      <c r="L436" s="1" t="s">
        <v>3037</v>
      </c>
      <c r="M436" s="1" t="s">
        <v>8186</v>
      </c>
      <c r="N436" s="1" t="s">
        <v>8621</v>
      </c>
      <c r="O436" s="1" t="s">
        <v>8622</v>
      </c>
      <c r="P436" s="1" t="s">
        <v>3521</v>
      </c>
      <c r="Q436" s="1" t="s">
        <v>3547</v>
      </c>
      <c r="R436" s="1" t="s">
        <v>2397</v>
      </c>
      <c r="S436" s="1" t="s">
        <v>2128</v>
      </c>
      <c r="T436" s="1" t="s">
        <v>4117</v>
      </c>
      <c r="U436" s="1" t="s">
        <v>1931</v>
      </c>
      <c r="V436" s="1" t="s">
        <v>5073</v>
      </c>
      <c r="W436" s="1" t="s">
        <v>4638</v>
      </c>
      <c r="X436" s="1" t="s">
        <v>5049</v>
      </c>
      <c r="Y436" s="1" t="s">
        <v>1180</v>
      </c>
      <c r="Z436" s="1" t="s">
        <v>5020</v>
      </c>
      <c r="AA436" s="1" t="s">
        <v>8623</v>
      </c>
      <c r="AB436" s="1" t="s">
        <v>2873</v>
      </c>
      <c r="AC436" s="1" t="s">
        <v>2901</v>
      </c>
    </row>
    <row r="437" spans="1:29" ht="57" x14ac:dyDescent="0.45">
      <c r="A437" s="5" t="s">
        <v>431</v>
      </c>
      <c r="B437" s="2">
        <v>4004212</v>
      </c>
      <c r="C437" s="1" t="s">
        <v>8624</v>
      </c>
      <c r="D437" s="1" t="s">
        <v>8625</v>
      </c>
      <c r="E437" s="1" t="s">
        <v>3494</v>
      </c>
      <c r="F437" s="1" t="s">
        <v>2396</v>
      </c>
      <c r="G437" s="1" t="s">
        <v>3025</v>
      </c>
      <c r="H437" s="1" t="s">
        <v>8626</v>
      </c>
      <c r="I437" s="1" t="s">
        <v>5256</v>
      </c>
      <c r="J437" s="1" t="s">
        <v>5645</v>
      </c>
      <c r="K437" s="1" t="s">
        <v>3527</v>
      </c>
      <c r="L437" s="1" t="s">
        <v>3548</v>
      </c>
      <c r="M437" s="1" t="s">
        <v>7053</v>
      </c>
      <c r="N437" s="1" t="s">
        <v>1827</v>
      </c>
      <c r="O437" s="1" t="s">
        <v>6479</v>
      </c>
      <c r="P437" s="1" t="s">
        <v>3328</v>
      </c>
      <c r="Q437" s="1" t="s">
        <v>4107</v>
      </c>
      <c r="R437" s="1" t="s">
        <v>8627</v>
      </c>
      <c r="S437" s="1" t="s">
        <v>8370</v>
      </c>
      <c r="T437" s="1" t="s">
        <v>4071</v>
      </c>
      <c r="U437" s="1" t="s">
        <v>4182</v>
      </c>
      <c r="V437" s="1" t="s">
        <v>3251</v>
      </c>
      <c r="W437" s="1" t="s">
        <v>4183</v>
      </c>
      <c r="X437" s="1" t="s">
        <v>7767</v>
      </c>
      <c r="Y437" s="1" t="s">
        <v>2275</v>
      </c>
      <c r="Z437" s="1" t="s">
        <v>2276</v>
      </c>
      <c r="AA437" s="1" t="s">
        <v>8628</v>
      </c>
      <c r="AB437" s="1" t="s">
        <v>8629</v>
      </c>
      <c r="AC437" s="1" t="s">
        <v>3081</v>
      </c>
    </row>
    <row r="438" spans="1:29" ht="42.75" x14ac:dyDescent="0.45">
      <c r="A438" s="5" t="s">
        <v>432</v>
      </c>
      <c r="B438" s="2">
        <v>100253</v>
      </c>
      <c r="C438" s="1" t="s">
        <v>8630</v>
      </c>
      <c r="D438" s="1" t="s">
        <v>8631</v>
      </c>
      <c r="E438" s="1" t="s">
        <v>3058</v>
      </c>
      <c r="F438" s="1" t="s">
        <v>830</v>
      </c>
      <c r="G438" s="1" t="s">
        <v>8632</v>
      </c>
      <c r="H438" s="1" t="s">
        <v>8633</v>
      </c>
      <c r="I438" s="1" t="s">
        <v>8210</v>
      </c>
      <c r="J438" s="1" t="s">
        <v>8634</v>
      </c>
      <c r="K438" s="1" t="s">
        <v>8635</v>
      </c>
      <c r="L438" s="1" t="s">
        <v>510</v>
      </c>
      <c r="M438" s="1" t="s">
        <v>8636</v>
      </c>
      <c r="N438" s="1" t="s">
        <v>3427</v>
      </c>
      <c r="O438" s="1" t="s">
        <v>8637</v>
      </c>
      <c r="P438" s="1" t="s">
        <v>6666</v>
      </c>
      <c r="Q438" s="1" t="s">
        <v>8638</v>
      </c>
      <c r="R438" s="1" t="s">
        <v>3661</v>
      </c>
      <c r="S438" s="1" t="s">
        <v>8639</v>
      </c>
      <c r="T438" s="1" t="s">
        <v>4405</v>
      </c>
      <c r="U438" s="1" t="s">
        <v>7125</v>
      </c>
      <c r="V438" s="1" t="s">
        <v>8640</v>
      </c>
      <c r="W438" s="1" t="s">
        <v>8641</v>
      </c>
      <c r="X438" s="1" t="s">
        <v>7460</v>
      </c>
      <c r="Y438" s="1" t="s">
        <v>1275</v>
      </c>
      <c r="Z438" s="1" t="s">
        <v>6600</v>
      </c>
      <c r="AA438" s="1" t="s">
        <v>8642</v>
      </c>
      <c r="AB438" s="1" t="s">
        <v>8643</v>
      </c>
      <c r="AC438" s="1" t="s">
        <v>8644</v>
      </c>
    </row>
    <row r="439" spans="1:29" ht="57" x14ac:dyDescent="0.45">
      <c r="A439" s="5" t="s">
        <v>433</v>
      </c>
      <c r="B439" s="2">
        <v>4972803</v>
      </c>
      <c r="C439" s="1" t="s">
        <v>8645</v>
      </c>
      <c r="D439" s="1" t="s">
        <v>8646</v>
      </c>
      <c r="E439" s="1" t="s">
        <v>8121</v>
      </c>
      <c r="F439" s="1" t="s">
        <v>1334</v>
      </c>
      <c r="G439" s="1" t="s">
        <v>5099</v>
      </c>
      <c r="H439" s="1" t="s">
        <v>6584</v>
      </c>
      <c r="I439" s="1" t="s">
        <v>8647</v>
      </c>
      <c r="J439" s="1" t="s">
        <v>8648</v>
      </c>
      <c r="K439" s="1" t="s">
        <v>3372</v>
      </c>
      <c r="L439" s="1" t="s">
        <v>3371</v>
      </c>
      <c r="M439" s="1" t="s">
        <v>1481</v>
      </c>
      <c r="N439" s="1" t="s">
        <v>8649</v>
      </c>
      <c r="O439" s="1" t="s">
        <v>2861</v>
      </c>
      <c r="P439" s="1" t="s">
        <v>7613</v>
      </c>
      <c r="Q439" s="1" t="s">
        <v>7524</v>
      </c>
      <c r="R439" s="1" t="s">
        <v>3365</v>
      </c>
      <c r="S439" s="1" t="s">
        <v>5337</v>
      </c>
      <c r="T439" s="1" t="s">
        <v>8650</v>
      </c>
      <c r="U439" s="1" t="s">
        <v>8475</v>
      </c>
      <c r="V439" s="1" t="s">
        <v>3448</v>
      </c>
      <c r="W439" s="1" t="s">
        <v>4046</v>
      </c>
      <c r="X439" s="1" t="s">
        <v>7300</v>
      </c>
      <c r="Y439" s="1" t="s">
        <v>6938</v>
      </c>
      <c r="Z439" s="1" t="s">
        <v>6690</v>
      </c>
      <c r="AA439" s="1" t="s">
        <v>3013</v>
      </c>
      <c r="AB439" s="1" t="s">
        <v>6070</v>
      </c>
      <c r="AC439" s="1" t="s">
        <v>8651</v>
      </c>
    </row>
    <row r="440" spans="1:29" ht="57" x14ac:dyDescent="0.45">
      <c r="A440" s="5" t="s">
        <v>434</v>
      </c>
      <c r="B440" s="2">
        <v>4326091</v>
      </c>
      <c r="C440" s="1" t="s">
        <v>8652</v>
      </c>
      <c r="D440" s="1" t="s">
        <v>8653</v>
      </c>
      <c r="E440" s="1" t="s">
        <v>994</v>
      </c>
      <c r="F440" s="1" t="s">
        <v>1586</v>
      </c>
      <c r="G440" s="1" t="s">
        <v>8654</v>
      </c>
      <c r="H440" s="1" t="s">
        <v>8655</v>
      </c>
      <c r="I440" s="1" t="s">
        <v>8656</v>
      </c>
      <c r="J440" s="1" t="s">
        <v>548</v>
      </c>
      <c r="K440" s="1" t="s">
        <v>3110</v>
      </c>
      <c r="L440" s="1" t="s">
        <v>8657</v>
      </c>
      <c r="M440" s="1" t="s">
        <v>8658</v>
      </c>
      <c r="N440" s="1" t="s">
        <v>1024</v>
      </c>
      <c r="O440" s="1" t="s">
        <v>1268</v>
      </c>
      <c r="P440" s="1" t="s">
        <v>1942</v>
      </c>
      <c r="Q440" s="1" t="s">
        <v>8659</v>
      </c>
      <c r="R440" s="1" t="s">
        <v>8660</v>
      </c>
      <c r="S440" s="1" t="s">
        <v>2128</v>
      </c>
      <c r="T440" s="1" t="s">
        <v>8661</v>
      </c>
      <c r="U440" s="1" t="s">
        <v>3690</v>
      </c>
      <c r="V440" s="1" t="s">
        <v>2971</v>
      </c>
      <c r="W440" s="1" t="s">
        <v>4153</v>
      </c>
      <c r="X440" s="1" t="s">
        <v>7262</v>
      </c>
      <c r="Y440" s="1" t="s">
        <v>8662</v>
      </c>
      <c r="Z440" s="1" t="s">
        <v>8663</v>
      </c>
      <c r="AA440" s="1" t="s">
        <v>3690</v>
      </c>
      <c r="AB440" s="1" t="s">
        <v>4907</v>
      </c>
      <c r="AC440" s="1" t="s">
        <v>5903</v>
      </c>
    </row>
    <row r="441" spans="1:29" ht="42.75" x14ac:dyDescent="0.45">
      <c r="A441" s="5" t="s">
        <v>435</v>
      </c>
      <c r="B441" s="2">
        <v>4121019</v>
      </c>
      <c r="C441" s="1" t="s">
        <v>8664</v>
      </c>
      <c r="D441" s="1" t="s">
        <v>8665</v>
      </c>
      <c r="E441" s="1" t="s">
        <v>1497</v>
      </c>
      <c r="F441" s="1" t="s">
        <v>8666</v>
      </c>
      <c r="G441" s="1" t="s">
        <v>8667</v>
      </c>
      <c r="H441" s="1" t="s">
        <v>8668</v>
      </c>
      <c r="I441" s="1" t="s">
        <v>7917</v>
      </c>
      <c r="J441" s="1" t="s">
        <v>8669</v>
      </c>
      <c r="K441" s="1" t="s">
        <v>8670</v>
      </c>
      <c r="L441" s="1" t="s">
        <v>6364</v>
      </c>
      <c r="M441" s="1" t="s">
        <v>1725</v>
      </c>
      <c r="N441" s="1" t="s">
        <v>4128</v>
      </c>
      <c r="O441" s="1" t="s">
        <v>8671</v>
      </c>
      <c r="P441" s="1" t="s">
        <v>8672</v>
      </c>
      <c r="Q441" s="1" t="s">
        <v>2887</v>
      </c>
      <c r="R441" s="1" t="s">
        <v>8673</v>
      </c>
      <c r="S441" s="1" t="s">
        <v>7396</v>
      </c>
      <c r="T441" s="1" t="s">
        <v>8674</v>
      </c>
      <c r="U441" s="1" t="s">
        <v>7251</v>
      </c>
      <c r="V441" s="1" t="s">
        <v>8675</v>
      </c>
      <c r="W441" s="1" t="s">
        <v>8676</v>
      </c>
      <c r="X441" s="1" t="s">
        <v>6014</v>
      </c>
      <c r="Y441" s="1" t="s">
        <v>1325</v>
      </c>
      <c r="Z441" s="1" t="s">
        <v>8677</v>
      </c>
      <c r="AA441" s="1" t="s">
        <v>2809</v>
      </c>
      <c r="AB441" s="1" t="s">
        <v>1838</v>
      </c>
      <c r="AC441" s="1" t="s">
        <v>8678</v>
      </c>
    </row>
    <row r="442" spans="1:29" ht="57" x14ac:dyDescent="0.45">
      <c r="A442" s="5" t="s">
        <v>436</v>
      </c>
      <c r="B442" s="2">
        <v>4004214</v>
      </c>
      <c r="C442" s="1" t="s">
        <v>8679</v>
      </c>
      <c r="D442" s="1" t="s">
        <v>8680</v>
      </c>
      <c r="E442" s="1" t="s">
        <v>835</v>
      </c>
      <c r="F442" s="1" t="s">
        <v>2885</v>
      </c>
      <c r="G442" s="1" t="s">
        <v>7731</v>
      </c>
      <c r="H442" s="1" t="s">
        <v>3590</v>
      </c>
      <c r="I442" s="1" t="s">
        <v>3210</v>
      </c>
      <c r="J442" s="1" t="s">
        <v>5043</v>
      </c>
      <c r="K442" s="1" t="s">
        <v>665</v>
      </c>
      <c r="L442" s="1" t="s">
        <v>2273</v>
      </c>
      <c r="M442" s="1" t="s">
        <v>1840</v>
      </c>
      <c r="N442" s="1" t="s">
        <v>5200</v>
      </c>
      <c r="O442" s="1" t="s">
        <v>2209</v>
      </c>
      <c r="P442" s="1" t="s">
        <v>4920</v>
      </c>
      <c r="Q442" s="1" t="s">
        <v>5082</v>
      </c>
      <c r="R442" s="1" t="s">
        <v>8681</v>
      </c>
      <c r="S442" s="1" t="s">
        <v>3991</v>
      </c>
      <c r="T442" s="1" t="s">
        <v>3072</v>
      </c>
      <c r="U442" s="1" t="s">
        <v>1685</v>
      </c>
      <c r="V442" s="1" t="s">
        <v>6342</v>
      </c>
      <c r="W442" s="1" t="s">
        <v>8682</v>
      </c>
      <c r="X442" s="1" t="s">
        <v>4897</v>
      </c>
      <c r="Y442" s="1" t="s">
        <v>7318</v>
      </c>
      <c r="Z442" s="1" t="s">
        <v>8683</v>
      </c>
      <c r="AA442" s="1" t="s">
        <v>3252</v>
      </c>
      <c r="AB442" s="1" t="s">
        <v>1370</v>
      </c>
      <c r="AC442" s="1" t="s">
        <v>8684</v>
      </c>
    </row>
    <row r="443" spans="1:29" ht="57" x14ac:dyDescent="0.45">
      <c r="A443" s="5" t="s">
        <v>437</v>
      </c>
      <c r="B443" s="2">
        <v>100233</v>
      </c>
      <c r="C443" s="1" t="s">
        <v>8685</v>
      </c>
      <c r="D443" s="1" t="s">
        <v>8686</v>
      </c>
      <c r="E443" s="1" t="s">
        <v>3058</v>
      </c>
      <c r="F443" s="1" t="s">
        <v>4597</v>
      </c>
      <c r="G443" s="1" t="s">
        <v>8687</v>
      </c>
      <c r="H443" s="1" t="s">
        <v>2729</v>
      </c>
      <c r="I443" s="1" t="s">
        <v>2919</v>
      </c>
      <c r="J443" s="1" t="s">
        <v>8688</v>
      </c>
      <c r="K443" s="1" t="s">
        <v>8689</v>
      </c>
      <c r="L443" s="1" t="s">
        <v>8690</v>
      </c>
      <c r="M443" s="1" t="s">
        <v>2728</v>
      </c>
      <c r="N443" s="1" t="s">
        <v>8691</v>
      </c>
      <c r="O443" s="1" t="s">
        <v>8692</v>
      </c>
      <c r="P443" s="1" t="s">
        <v>8693</v>
      </c>
      <c r="Q443" s="1" t="s">
        <v>4858</v>
      </c>
      <c r="R443" s="1" t="s">
        <v>625</v>
      </c>
      <c r="S443" s="1" t="s">
        <v>2763</v>
      </c>
      <c r="T443" s="1" t="s">
        <v>8694</v>
      </c>
      <c r="U443" s="1" t="s">
        <v>8695</v>
      </c>
      <c r="V443" s="1" t="s">
        <v>8696</v>
      </c>
      <c r="W443" s="1" t="s">
        <v>2762</v>
      </c>
      <c r="X443" s="1" t="s">
        <v>8697</v>
      </c>
      <c r="Y443" s="1" t="s">
        <v>2329</v>
      </c>
      <c r="Z443" s="1" t="s">
        <v>2919</v>
      </c>
      <c r="AA443" s="1" t="s">
        <v>8698</v>
      </c>
      <c r="AB443" s="1" t="s">
        <v>8699</v>
      </c>
      <c r="AC443" s="1" t="s">
        <v>8700</v>
      </c>
    </row>
    <row r="444" spans="1:29" ht="57" x14ac:dyDescent="0.45">
      <c r="A444" s="5" t="s">
        <v>438</v>
      </c>
      <c r="B444" s="2">
        <v>4024242</v>
      </c>
      <c r="C444" s="1" t="s">
        <v>8701</v>
      </c>
      <c r="D444" s="1" t="s">
        <v>8702</v>
      </c>
      <c r="E444" s="1" t="s">
        <v>2629</v>
      </c>
      <c r="F444" s="1" t="s">
        <v>4179</v>
      </c>
      <c r="G444" s="1" t="s">
        <v>8439</v>
      </c>
      <c r="H444" s="1" t="s">
        <v>8703</v>
      </c>
      <c r="I444" s="1" t="s">
        <v>8704</v>
      </c>
      <c r="J444" s="1" t="s">
        <v>3511</v>
      </c>
      <c r="K444" s="1" t="s">
        <v>3789</v>
      </c>
      <c r="L444" s="1" t="s">
        <v>3785</v>
      </c>
      <c r="M444" s="1" t="s">
        <v>590</v>
      </c>
      <c r="N444" s="1" t="s">
        <v>2785</v>
      </c>
      <c r="O444" s="1" t="s">
        <v>8705</v>
      </c>
      <c r="P444" s="1" t="s">
        <v>8706</v>
      </c>
      <c r="Q444" s="1" t="s">
        <v>3330</v>
      </c>
      <c r="R444" s="1" t="s">
        <v>3223</v>
      </c>
      <c r="S444" s="1" t="s">
        <v>7654</v>
      </c>
      <c r="T444" s="1" t="s">
        <v>3144</v>
      </c>
      <c r="U444" s="1" t="s">
        <v>8707</v>
      </c>
      <c r="V444" s="1" t="s">
        <v>8708</v>
      </c>
      <c r="W444" s="1" t="s">
        <v>5789</v>
      </c>
      <c r="X444" s="1" t="s">
        <v>2284</v>
      </c>
      <c r="Y444" s="1" t="s">
        <v>5335</v>
      </c>
      <c r="Z444" s="1" t="s">
        <v>7999</v>
      </c>
      <c r="AA444" s="1" t="s">
        <v>3144</v>
      </c>
      <c r="AB444" s="1" t="s">
        <v>5584</v>
      </c>
      <c r="AC444" s="1" t="s">
        <v>5337</v>
      </c>
    </row>
    <row r="445" spans="1:29" ht="57" x14ac:dyDescent="0.45">
      <c r="A445" s="5" t="s">
        <v>439</v>
      </c>
      <c r="B445" s="2">
        <v>4211343</v>
      </c>
      <c r="C445" s="1" t="s">
        <v>8709</v>
      </c>
      <c r="D445" s="1" t="s">
        <v>8710</v>
      </c>
      <c r="E445" s="1" t="s">
        <v>2321</v>
      </c>
      <c r="F445" s="1" t="s">
        <v>5181</v>
      </c>
      <c r="G445" s="1" t="s">
        <v>3154</v>
      </c>
      <c r="H445" s="1" t="s">
        <v>8711</v>
      </c>
      <c r="I445" s="1" t="s">
        <v>3224</v>
      </c>
      <c r="J445" s="1" t="s">
        <v>5290</v>
      </c>
      <c r="K445" s="1" t="s">
        <v>8370</v>
      </c>
      <c r="L445" s="1" t="s">
        <v>8712</v>
      </c>
      <c r="M445" s="1" t="s">
        <v>8713</v>
      </c>
      <c r="N445" s="1" t="s">
        <v>2807</v>
      </c>
      <c r="O445" s="1" t="s">
        <v>8714</v>
      </c>
      <c r="P445" s="1" t="s">
        <v>7868</v>
      </c>
      <c r="Q445" s="1" t="s">
        <v>4365</v>
      </c>
      <c r="R445" s="1" t="s">
        <v>4157</v>
      </c>
      <c r="S445" s="1" t="s">
        <v>8715</v>
      </c>
      <c r="T445" s="1" t="s">
        <v>8672</v>
      </c>
      <c r="U445" s="1" t="s">
        <v>2448</v>
      </c>
      <c r="V445" s="1" t="s">
        <v>3993</v>
      </c>
      <c r="W445" s="1" t="s">
        <v>8716</v>
      </c>
      <c r="X445" s="1" t="s">
        <v>8717</v>
      </c>
      <c r="Y445" s="1" t="s">
        <v>8718</v>
      </c>
      <c r="Z445" s="1" t="s">
        <v>8719</v>
      </c>
      <c r="AA445" s="1" t="s">
        <v>8720</v>
      </c>
      <c r="AB445" s="1" t="s">
        <v>4158</v>
      </c>
      <c r="AC445" s="1" t="s">
        <v>8721</v>
      </c>
    </row>
    <row r="446" spans="1:29" ht="57" x14ac:dyDescent="0.45">
      <c r="A446" s="5" t="s">
        <v>440</v>
      </c>
      <c r="B446" s="2">
        <v>4086734</v>
      </c>
      <c r="C446" s="1" t="s">
        <v>8722</v>
      </c>
      <c r="D446" s="1" t="s">
        <v>8723</v>
      </c>
      <c r="E446" s="1" t="s">
        <v>5212</v>
      </c>
      <c r="F446" s="1" t="s">
        <v>3129</v>
      </c>
      <c r="G446" s="1" t="s">
        <v>3160</v>
      </c>
      <c r="H446" s="1" t="s">
        <v>8324</v>
      </c>
      <c r="I446" s="1" t="s">
        <v>2581</v>
      </c>
      <c r="J446" s="1" t="s">
        <v>5099</v>
      </c>
      <c r="K446" s="1" t="s">
        <v>1669</v>
      </c>
      <c r="L446" s="1" t="s">
        <v>767</v>
      </c>
      <c r="M446" s="1" t="s">
        <v>6290</v>
      </c>
      <c r="N446" s="1" t="s">
        <v>3443</v>
      </c>
      <c r="O446" s="1" t="s">
        <v>3013</v>
      </c>
      <c r="P446" s="1" t="s">
        <v>8724</v>
      </c>
      <c r="Q446" s="1" t="s">
        <v>8725</v>
      </c>
      <c r="R446" s="1" t="s">
        <v>4112</v>
      </c>
      <c r="S446" s="1" t="s">
        <v>3788</v>
      </c>
      <c r="T446" s="1" t="s">
        <v>8726</v>
      </c>
      <c r="U446" s="1" t="s">
        <v>6886</v>
      </c>
      <c r="V446" s="1" t="s">
        <v>8727</v>
      </c>
      <c r="W446" s="1" t="s">
        <v>3794</v>
      </c>
      <c r="X446" s="1" t="s">
        <v>4691</v>
      </c>
      <c r="Y446" s="1" t="s">
        <v>6081</v>
      </c>
      <c r="Z446" s="1" t="s">
        <v>8728</v>
      </c>
      <c r="AA446" s="1" t="s">
        <v>3443</v>
      </c>
      <c r="AB446" s="1" t="s">
        <v>770</v>
      </c>
      <c r="AC446" s="1" t="s">
        <v>5579</v>
      </c>
    </row>
    <row r="447" spans="1:29" ht="42.75" x14ac:dyDescent="0.45">
      <c r="A447" s="5" t="s">
        <v>441</v>
      </c>
      <c r="B447" s="2">
        <v>4092889</v>
      </c>
      <c r="C447" s="1" t="s">
        <v>8729</v>
      </c>
      <c r="D447" s="1" t="s">
        <v>8730</v>
      </c>
      <c r="E447" s="1" t="s">
        <v>8337</v>
      </c>
      <c r="F447" s="1" t="s">
        <v>3643</v>
      </c>
      <c r="G447" s="1" t="s">
        <v>4156</v>
      </c>
      <c r="H447" s="1" t="s">
        <v>7097</v>
      </c>
      <c r="I447" s="1" t="s">
        <v>8731</v>
      </c>
      <c r="J447" s="1" t="s">
        <v>8732</v>
      </c>
      <c r="K447" s="1" t="s">
        <v>1422</v>
      </c>
      <c r="L447" s="1" t="s">
        <v>6272</v>
      </c>
      <c r="M447" s="1" t="s">
        <v>7138</v>
      </c>
      <c r="N447" s="1" t="s">
        <v>8733</v>
      </c>
      <c r="O447" s="1" t="s">
        <v>8734</v>
      </c>
      <c r="P447" s="1" t="s">
        <v>5107</v>
      </c>
      <c r="Q447" s="1" t="s">
        <v>1404</v>
      </c>
      <c r="R447" s="1" t="s">
        <v>6259</v>
      </c>
      <c r="S447" s="1" t="s">
        <v>8735</v>
      </c>
      <c r="T447" s="1" t="s">
        <v>5126</v>
      </c>
      <c r="U447" s="1" t="s">
        <v>3115</v>
      </c>
      <c r="V447" s="1" t="s">
        <v>8736</v>
      </c>
      <c r="W447" s="1" t="s">
        <v>8737</v>
      </c>
      <c r="X447" s="1" t="s">
        <v>8738</v>
      </c>
      <c r="Y447" s="1" t="s">
        <v>7486</v>
      </c>
      <c r="Z447" s="1" t="s">
        <v>8739</v>
      </c>
      <c r="AA447" s="1" t="s">
        <v>1104</v>
      </c>
      <c r="AB447" s="1" t="s">
        <v>6793</v>
      </c>
      <c r="AC447" s="1" t="s">
        <v>7682</v>
      </c>
    </row>
    <row r="448" spans="1:29" ht="57" x14ac:dyDescent="0.45">
      <c r="A448" s="5" t="s">
        <v>442</v>
      </c>
      <c r="B448" s="2">
        <v>4208149</v>
      </c>
      <c r="C448" s="1" t="s">
        <v>8740</v>
      </c>
      <c r="D448" s="1" t="s">
        <v>8741</v>
      </c>
      <c r="E448" s="1" t="s">
        <v>487</v>
      </c>
      <c r="F448" s="1" t="s">
        <v>8742</v>
      </c>
      <c r="G448" s="1" t="s">
        <v>5266</v>
      </c>
      <c r="H448" s="1" t="s">
        <v>7694</v>
      </c>
      <c r="I448" s="1" t="s">
        <v>7903</v>
      </c>
      <c r="J448" s="1" t="s">
        <v>8743</v>
      </c>
      <c r="K448" s="1" t="s">
        <v>8744</v>
      </c>
      <c r="L448" s="1" t="s">
        <v>6998</v>
      </c>
      <c r="M448" s="1" t="s">
        <v>8745</v>
      </c>
      <c r="N448" s="1" t="s">
        <v>2503</v>
      </c>
      <c r="O448" s="1" t="s">
        <v>3069</v>
      </c>
      <c r="P448" s="1" t="s">
        <v>1673</v>
      </c>
      <c r="Q448" s="1" t="s">
        <v>6503</v>
      </c>
      <c r="R448" s="1" t="s">
        <v>5049</v>
      </c>
      <c r="S448" s="1" t="s">
        <v>3851</v>
      </c>
      <c r="T448" s="1" t="s">
        <v>5254</v>
      </c>
      <c r="U448" s="1" t="s">
        <v>8746</v>
      </c>
      <c r="V448" s="1" t="s">
        <v>8747</v>
      </c>
      <c r="W448" s="1" t="s">
        <v>2810</v>
      </c>
      <c r="X448" s="1" t="s">
        <v>1341</v>
      </c>
      <c r="Y448" s="1" t="s">
        <v>2800</v>
      </c>
      <c r="Z448" s="1" t="s">
        <v>8748</v>
      </c>
      <c r="AA448" s="1" t="s">
        <v>8749</v>
      </c>
      <c r="AB448" s="1" t="s">
        <v>8750</v>
      </c>
      <c r="AC448" s="1" t="s">
        <v>6119</v>
      </c>
    </row>
    <row r="449" spans="1:29" ht="42.75" x14ac:dyDescent="0.45">
      <c r="A449" s="5" t="s">
        <v>443</v>
      </c>
      <c r="B449" s="2">
        <v>4004265</v>
      </c>
      <c r="C449" s="1" t="s">
        <v>8751</v>
      </c>
      <c r="D449" s="1" t="s">
        <v>8752</v>
      </c>
      <c r="E449" s="1" t="s">
        <v>5179</v>
      </c>
      <c r="F449" s="1" t="s">
        <v>5859</v>
      </c>
      <c r="G449" s="1" t="s">
        <v>8753</v>
      </c>
      <c r="H449" s="1" t="s">
        <v>1488</v>
      </c>
      <c r="I449" s="1" t="s">
        <v>3878</v>
      </c>
      <c r="J449" s="1" t="s">
        <v>8754</v>
      </c>
      <c r="K449" s="1" t="s">
        <v>8755</v>
      </c>
      <c r="L449" s="1" t="s">
        <v>8506</v>
      </c>
      <c r="M449" s="1" t="s">
        <v>5675</v>
      </c>
      <c r="N449" s="1" t="s">
        <v>8314</v>
      </c>
      <c r="O449" s="1" t="s">
        <v>8756</v>
      </c>
      <c r="P449" s="1" t="s">
        <v>8110</v>
      </c>
      <c r="Q449" s="1" t="s">
        <v>3524</v>
      </c>
      <c r="R449" s="1" t="s">
        <v>6115</v>
      </c>
      <c r="S449" s="1" t="s">
        <v>8757</v>
      </c>
      <c r="T449" s="1" t="s">
        <v>8758</v>
      </c>
      <c r="U449" s="1" t="s">
        <v>5642</v>
      </c>
      <c r="V449" s="1" t="s">
        <v>8759</v>
      </c>
      <c r="W449" s="1" t="s">
        <v>4370</v>
      </c>
      <c r="X449" s="1" t="s">
        <v>8760</v>
      </c>
      <c r="Y449" s="1" t="s">
        <v>7104</v>
      </c>
      <c r="Z449" s="1" t="s">
        <v>8744</v>
      </c>
      <c r="AA449" s="1" t="s">
        <v>8761</v>
      </c>
      <c r="AB449" s="1" t="s">
        <v>2137</v>
      </c>
      <c r="AC449" s="1" t="s">
        <v>4912</v>
      </c>
    </row>
    <row r="450" spans="1:29" ht="99.75" x14ac:dyDescent="0.45">
      <c r="A450" s="5" t="s">
        <v>444</v>
      </c>
      <c r="B450" s="2">
        <v>4006321</v>
      </c>
      <c r="C450" s="1" t="s">
        <v>8762</v>
      </c>
      <c r="D450" s="1" t="s">
        <v>8763</v>
      </c>
      <c r="E450" s="1" t="s">
        <v>2070</v>
      </c>
      <c r="F450" s="1" t="s">
        <v>8764</v>
      </c>
      <c r="G450" s="1" t="s">
        <v>4509</v>
      </c>
      <c r="H450" s="1" t="s">
        <v>4199</v>
      </c>
      <c r="I450" s="1" t="s">
        <v>3866</v>
      </c>
      <c r="J450" s="1" t="s">
        <v>8765</v>
      </c>
      <c r="K450" s="1" t="s">
        <v>1452</v>
      </c>
      <c r="L450" s="1" t="s">
        <v>8766</v>
      </c>
      <c r="M450" s="1" t="s">
        <v>8460</v>
      </c>
      <c r="N450" s="1" t="s">
        <v>2206</v>
      </c>
      <c r="O450" s="1" t="s">
        <v>8767</v>
      </c>
      <c r="P450" s="1" t="s">
        <v>5848</v>
      </c>
      <c r="Q450" s="1" t="s">
        <v>6323</v>
      </c>
      <c r="R450" s="1" t="s">
        <v>8768</v>
      </c>
      <c r="S450" s="1" t="s">
        <v>8769</v>
      </c>
      <c r="T450" s="1" t="s">
        <v>2051</v>
      </c>
      <c r="U450" s="1" t="s">
        <v>3996</v>
      </c>
      <c r="V450" s="1" t="s">
        <v>6138</v>
      </c>
      <c r="W450" s="1" t="s">
        <v>3069</v>
      </c>
      <c r="X450" s="1" t="s">
        <v>667</v>
      </c>
      <c r="Y450" s="1" t="s">
        <v>8770</v>
      </c>
      <c r="Z450" s="1" t="s">
        <v>8771</v>
      </c>
      <c r="AA450" s="1" t="s">
        <v>8745</v>
      </c>
      <c r="AB450" s="1" t="s">
        <v>5917</v>
      </c>
      <c r="AC450" s="1" t="s">
        <v>8772</v>
      </c>
    </row>
    <row r="451" spans="1:29" ht="57" x14ac:dyDescent="0.45">
      <c r="A451" s="5" t="s">
        <v>445</v>
      </c>
      <c r="B451" s="2">
        <v>100369</v>
      </c>
      <c r="C451" s="1" t="s">
        <v>8773</v>
      </c>
      <c r="D451" s="1" t="s">
        <v>8774</v>
      </c>
      <c r="E451" s="1" t="s">
        <v>3058</v>
      </c>
      <c r="F451" s="1" t="s">
        <v>2428</v>
      </c>
      <c r="G451" s="1" t="s">
        <v>3084</v>
      </c>
      <c r="H451" s="1" t="s">
        <v>8775</v>
      </c>
      <c r="I451" s="1" t="s">
        <v>8776</v>
      </c>
      <c r="J451" s="1" t="s">
        <v>5964</v>
      </c>
      <c r="K451" s="1" t="s">
        <v>2576</v>
      </c>
      <c r="L451" s="1" t="s">
        <v>8777</v>
      </c>
      <c r="M451" s="1" t="s">
        <v>8778</v>
      </c>
      <c r="N451" s="1" t="s">
        <v>8779</v>
      </c>
      <c r="O451" s="1" t="s">
        <v>7516</v>
      </c>
      <c r="P451" s="1" t="s">
        <v>5883</v>
      </c>
      <c r="Q451" s="1" t="s">
        <v>8780</v>
      </c>
      <c r="R451" s="1" t="s">
        <v>8781</v>
      </c>
      <c r="S451" s="1" t="s">
        <v>8782</v>
      </c>
      <c r="T451" s="1" t="s">
        <v>8783</v>
      </c>
      <c r="U451" s="1" t="s">
        <v>4594</v>
      </c>
      <c r="V451" s="1" t="s">
        <v>8784</v>
      </c>
      <c r="W451" s="1" t="s">
        <v>5439</v>
      </c>
      <c r="X451" s="1" t="s">
        <v>5440</v>
      </c>
      <c r="Y451" s="1" t="s">
        <v>3949</v>
      </c>
      <c r="Z451" s="1" t="s">
        <v>8785</v>
      </c>
      <c r="AA451" s="1" t="s">
        <v>6526</v>
      </c>
      <c r="AB451" s="1" t="s">
        <v>2965</v>
      </c>
      <c r="AC451" s="1" t="s">
        <v>2335</v>
      </c>
    </row>
    <row r="452" spans="1:29" ht="71.25" x14ac:dyDescent="0.45">
      <c r="A452" s="5" t="s">
        <v>446</v>
      </c>
      <c r="B452" s="2">
        <v>4107971</v>
      </c>
      <c r="C452" s="1" t="s">
        <v>8786</v>
      </c>
      <c r="D452" s="1" t="s">
        <v>8787</v>
      </c>
      <c r="E452" s="1" t="s">
        <v>4641</v>
      </c>
      <c r="F452" s="1" t="s">
        <v>8788</v>
      </c>
      <c r="G452" s="1" t="s">
        <v>7230</v>
      </c>
      <c r="H452" s="1" t="s">
        <v>6392</v>
      </c>
      <c r="I452" s="1" t="s">
        <v>4278</v>
      </c>
      <c r="J452" s="1" t="s">
        <v>8789</v>
      </c>
      <c r="K452" s="1" t="s">
        <v>1438</v>
      </c>
      <c r="L452" s="1" t="s">
        <v>8790</v>
      </c>
      <c r="M452" s="1" t="s">
        <v>8791</v>
      </c>
      <c r="N452" s="1" t="s">
        <v>8792</v>
      </c>
      <c r="O452" s="1" t="s">
        <v>1501</v>
      </c>
      <c r="P452" s="1" t="s">
        <v>971</v>
      </c>
      <c r="Q452" s="1" t="s">
        <v>8454</v>
      </c>
      <c r="R452" s="1" t="s">
        <v>552</v>
      </c>
      <c r="S452" s="1" t="s">
        <v>4352</v>
      </c>
      <c r="T452" s="1" t="s">
        <v>4502</v>
      </c>
      <c r="U452" s="1" t="s">
        <v>3531</v>
      </c>
      <c r="V452" s="1" t="s">
        <v>4635</v>
      </c>
      <c r="W452" s="1" t="s">
        <v>8793</v>
      </c>
      <c r="X452" s="1" t="s">
        <v>8794</v>
      </c>
      <c r="Y452" s="1" t="s">
        <v>3909</v>
      </c>
      <c r="Z452" s="1" t="s">
        <v>864</v>
      </c>
      <c r="AA452" s="1" t="s">
        <v>8795</v>
      </c>
      <c r="AB452" s="1" t="s">
        <v>8796</v>
      </c>
      <c r="AC452" s="1" t="s">
        <v>8797</v>
      </c>
    </row>
    <row r="453" spans="1:29" ht="28.5" x14ac:dyDescent="0.45">
      <c r="A453" s="5" t="s">
        <v>447</v>
      </c>
      <c r="B453" s="2">
        <v>4810470</v>
      </c>
      <c r="C453" s="1" t="s">
        <v>8798</v>
      </c>
      <c r="D453" s="1" t="s">
        <v>8799</v>
      </c>
      <c r="E453" s="1" t="s">
        <v>5179</v>
      </c>
      <c r="F453" s="1" t="s">
        <v>3868</v>
      </c>
      <c r="G453" s="1" t="s">
        <v>8800</v>
      </c>
      <c r="H453" s="1" t="s">
        <v>3700</v>
      </c>
      <c r="I453" s="1" t="s">
        <v>8801</v>
      </c>
      <c r="J453" s="1" t="s">
        <v>8802</v>
      </c>
      <c r="K453" s="1" t="s">
        <v>8803</v>
      </c>
      <c r="L453" s="1" t="s">
        <v>1360</v>
      </c>
      <c r="M453" s="1" t="s">
        <v>8804</v>
      </c>
      <c r="N453" s="1" t="s">
        <v>3740</v>
      </c>
      <c r="O453" s="1" t="s">
        <v>3941</v>
      </c>
      <c r="P453" s="1" t="s">
        <v>7648</v>
      </c>
      <c r="Q453" s="1" t="s">
        <v>8805</v>
      </c>
      <c r="R453" s="1" t="s">
        <v>5794</v>
      </c>
      <c r="S453" s="1" t="s">
        <v>8806</v>
      </c>
      <c r="T453" s="1" t="s">
        <v>3753</v>
      </c>
      <c r="U453" s="1" t="s">
        <v>4064</v>
      </c>
      <c r="V453" s="1" t="s">
        <v>8807</v>
      </c>
      <c r="W453" s="1" t="s">
        <v>4684</v>
      </c>
      <c r="X453" s="1" t="s">
        <v>2062</v>
      </c>
      <c r="Y453" s="1" t="s">
        <v>8808</v>
      </c>
      <c r="Z453" s="1" t="s">
        <v>2786</v>
      </c>
      <c r="AA453" s="1" t="s">
        <v>8809</v>
      </c>
      <c r="AB453" s="1" t="s">
        <v>5717</v>
      </c>
      <c r="AC453" s="1" t="s">
        <v>3744</v>
      </c>
    </row>
    <row r="454" spans="1:29" ht="71.25" x14ac:dyDescent="0.45">
      <c r="A454" s="5" t="s">
        <v>448</v>
      </c>
      <c r="B454" s="2">
        <v>4421633</v>
      </c>
      <c r="C454" s="1" t="s">
        <v>8810</v>
      </c>
      <c r="D454" s="1" t="s">
        <v>8811</v>
      </c>
      <c r="E454" s="1" t="s">
        <v>1223</v>
      </c>
      <c r="F454" s="1" t="s">
        <v>8812</v>
      </c>
      <c r="G454" s="1" t="s">
        <v>8813</v>
      </c>
      <c r="H454" s="1" t="s">
        <v>8814</v>
      </c>
      <c r="I454" s="1" t="s">
        <v>8815</v>
      </c>
      <c r="J454" s="1" t="s">
        <v>8816</v>
      </c>
      <c r="K454" s="1" t="s">
        <v>8817</v>
      </c>
      <c r="L454" s="1" t="s">
        <v>8818</v>
      </c>
      <c r="M454" s="1" t="s">
        <v>8819</v>
      </c>
      <c r="N454" s="1" t="s">
        <v>8820</v>
      </c>
      <c r="O454" s="1" t="s">
        <v>8821</v>
      </c>
      <c r="P454" s="1" t="s">
        <v>8822</v>
      </c>
      <c r="Q454" s="1" t="s">
        <v>8823</v>
      </c>
      <c r="R454" s="1" t="s">
        <v>8824</v>
      </c>
      <c r="S454" s="1" t="s">
        <v>8825</v>
      </c>
      <c r="T454" s="1" t="s">
        <v>8826</v>
      </c>
      <c r="U454" s="1" t="s">
        <v>8827</v>
      </c>
      <c r="V454" s="1" t="s">
        <v>2541</v>
      </c>
      <c r="W454" s="1" t="s">
        <v>8828</v>
      </c>
      <c r="X454" s="1" t="s">
        <v>8829</v>
      </c>
      <c r="Y454" s="1" t="s">
        <v>8830</v>
      </c>
      <c r="Z454" s="1" t="s">
        <v>8831</v>
      </c>
      <c r="AA454" s="1" t="s">
        <v>8832</v>
      </c>
      <c r="AB454" s="1" t="s">
        <v>8833</v>
      </c>
      <c r="AC454" s="1" t="s">
        <v>8834</v>
      </c>
    </row>
    <row r="455" spans="1:29" ht="57" x14ac:dyDescent="0.45">
      <c r="A455" s="5" t="s">
        <v>449</v>
      </c>
      <c r="B455" s="2">
        <v>4004318</v>
      </c>
      <c r="C455" s="1" t="s">
        <v>8835</v>
      </c>
      <c r="D455" s="1" t="s">
        <v>8836</v>
      </c>
      <c r="E455" s="1" t="s">
        <v>5809</v>
      </c>
      <c r="F455" s="1" t="s">
        <v>1604</v>
      </c>
      <c r="G455" s="1" t="s">
        <v>7097</v>
      </c>
      <c r="H455" s="1" t="s">
        <v>8837</v>
      </c>
      <c r="I455" s="1" t="s">
        <v>1578</v>
      </c>
      <c r="J455" s="1" t="s">
        <v>8838</v>
      </c>
      <c r="K455" s="1" t="s">
        <v>8839</v>
      </c>
      <c r="L455" s="1" t="s">
        <v>4196</v>
      </c>
      <c r="M455" s="1" t="s">
        <v>7974</v>
      </c>
      <c r="N455" s="1" t="s">
        <v>926</v>
      </c>
      <c r="O455" s="1" t="s">
        <v>6783</v>
      </c>
      <c r="P455" s="1" t="s">
        <v>4512</v>
      </c>
      <c r="Q455" s="1" t="s">
        <v>3465</v>
      </c>
      <c r="R455" s="1" t="s">
        <v>8840</v>
      </c>
      <c r="S455" s="1" t="s">
        <v>4208</v>
      </c>
      <c r="T455" s="1" t="s">
        <v>7729</v>
      </c>
      <c r="U455" s="1" t="s">
        <v>3558</v>
      </c>
      <c r="V455" s="1" t="s">
        <v>8841</v>
      </c>
      <c r="W455" s="1" t="s">
        <v>7092</v>
      </c>
      <c r="X455" s="1" t="s">
        <v>8714</v>
      </c>
      <c r="Y455" s="1" t="s">
        <v>7093</v>
      </c>
      <c r="Z455" s="1" t="s">
        <v>8842</v>
      </c>
      <c r="AA455" s="1" t="s">
        <v>2126</v>
      </c>
      <c r="AB455" s="1" t="s">
        <v>917</v>
      </c>
      <c r="AC455" s="1" t="s">
        <v>8843</v>
      </c>
    </row>
    <row r="456" spans="1:29" ht="99.75" x14ac:dyDescent="0.45">
      <c r="A456" s="5" t="s">
        <v>450</v>
      </c>
      <c r="B456" s="2">
        <v>4159057</v>
      </c>
      <c r="C456" s="1" t="s">
        <v>8844</v>
      </c>
      <c r="D456" s="1" t="s">
        <v>8845</v>
      </c>
      <c r="E456" s="1" t="s">
        <v>2457</v>
      </c>
      <c r="F456" s="1" t="s">
        <v>2014</v>
      </c>
      <c r="G456" s="1" t="s">
        <v>8846</v>
      </c>
      <c r="H456" s="1" t="s">
        <v>2974</v>
      </c>
      <c r="I456" s="1" t="s">
        <v>8847</v>
      </c>
      <c r="J456" s="1" t="s">
        <v>6442</v>
      </c>
      <c r="K456" s="1" t="s">
        <v>8848</v>
      </c>
      <c r="L456" s="1" t="s">
        <v>8849</v>
      </c>
      <c r="M456" s="1" t="s">
        <v>8850</v>
      </c>
      <c r="N456" s="1" t="s">
        <v>8839</v>
      </c>
      <c r="O456" s="1" t="s">
        <v>6314</v>
      </c>
      <c r="P456" s="1" t="s">
        <v>1441</v>
      </c>
      <c r="Q456" s="1" t="s">
        <v>8851</v>
      </c>
      <c r="R456" s="1" t="s">
        <v>8852</v>
      </c>
      <c r="S456" s="1" t="s">
        <v>8853</v>
      </c>
      <c r="T456" s="1" t="s">
        <v>8854</v>
      </c>
      <c r="U456" s="1" t="s">
        <v>8855</v>
      </c>
      <c r="V456" s="1" t="s">
        <v>8081</v>
      </c>
      <c r="W456" s="1" t="s">
        <v>8856</v>
      </c>
      <c r="X456" s="1" t="s">
        <v>8857</v>
      </c>
      <c r="Y456" s="1" t="s">
        <v>8858</v>
      </c>
      <c r="Z456" s="1" t="s">
        <v>8859</v>
      </c>
      <c r="AA456" s="1" t="s">
        <v>8860</v>
      </c>
      <c r="AB456" s="1" t="s">
        <v>8861</v>
      </c>
      <c r="AC456" s="1" t="s">
        <v>8862</v>
      </c>
    </row>
    <row r="457" spans="1:29" ht="42.75" x14ac:dyDescent="0.45">
      <c r="A457" s="5" t="s">
        <v>451</v>
      </c>
      <c r="B457" s="2">
        <v>4988311</v>
      </c>
      <c r="C457" s="1" t="s">
        <v>8863</v>
      </c>
      <c r="D457" s="1" t="s">
        <v>8864</v>
      </c>
      <c r="E457" s="1" t="s">
        <v>8246</v>
      </c>
      <c r="F457" s="1" t="s">
        <v>8865</v>
      </c>
      <c r="G457" s="1" t="s">
        <v>8866</v>
      </c>
      <c r="H457" s="1" t="s">
        <v>8867</v>
      </c>
      <c r="I457" s="1" t="s">
        <v>8868</v>
      </c>
      <c r="J457" s="1" t="s">
        <v>8869</v>
      </c>
      <c r="K457" s="1" t="s">
        <v>8870</v>
      </c>
      <c r="L457" s="1" t="s">
        <v>8871</v>
      </c>
      <c r="M457" s="1" t="s">
        <v>8872</v>
      </c>
      <c r="N457" s="1" t="s">
        <v>8873</v>
      </c>
      <c r="O457" s="1" t="s">
        <v>2683</v>
      </c>
      <c r="P457" s="1" t="s">
        <v>8874</v>
      </c>
      <c r="Q457" s="1" t="s">
        <v>8875</v>
      </c>
      <c r="R457" s="1" t="s">
        <v>8876</v>
      </c>
      <c r="S457" s="1" t="s">
        <v>8877</v>
      </c>
      <c r="T457" s="1" t="s">
        <v>2700</v>
      </c>
      <c r="U457" s="1" t="s">
        <v>8878</v>
      </c>
      <c r="V457" s="1" t="s">
        <v>8879</v>
      </c>
      <c r="W457" s="1" t="s">
        <v>8880</v>
      </c>
      <c r="X457" s="1" t="s">
        <v>2698</v>
      </c>
      <c r="Y457" s="1" t="s">
        <v>2689</v>
      </c>
      <c r="Z457" s="1" t="s">
        <v>8881</v>
      </c>
      <c r="AA457" s="1" t="s">
        <v>8876</v>
      </c>
      <c r="AB457" s="1" t="s">
        <v>2695</v>
      </c>
      <c r="AC457" s="1" t="s">
        <v>8882</v>
      </c>
    </row>
    <row r="458" spans="1:29" ht="28.5" x14ac:dyDescent="0.45">
      <c r="A458" s="5" t="s">
        <v>452</v>
      </c>
      <c r="B458" s="2">
        <v>4057062</v>
      </c>
      <c r="C458" s="1" t="s">
        <v>8883</v>
      </c>
      <c r="D458" s="1" t="s">
        <v>8884</v>
      </c>
      <c r="E458" s="1" t="s">
        <v>755</v>
      </c>
      <c r="F458" s="1" t="s">
        <v>3506</v>
      </c>
      <c r="G458" s="1" t="s">
        <v>6088</v>
      </c>
      <c r="H458" s="1" t="s">
        <v>5261</v>
      </c>
      <c r="I458" s="1" t="s">
        <v>8885</v>
      </c>
      <c r="J458" s="1" t="s">
        <v>4685</v>
      </c>
      <c r="K458" s="1" t="s">
        <v>5251</v>
      </c>
      <c r="L458" s="1" t="s">
        <v>7044</v>
      </c>
      <c r="M458" s="1" t="s">
        <v>5910</v>
      </c>
      <c r="N458" s="1" t="s">
        <v>8886</v>
      </c>
      <c r="O458" s="1" t="s">
        <v>8887</v>
      </c>
      <c r="P458" s="1" t="s">
        <v>8316</v>
      </c>
      <c r="Q458" s="1" t="s">
        <v>2059</v>
      </c>
      <c r="R458" s="1" t="s">
        <v>2274</v>
      </c>
      <c r="S458" s="1" t="s">
        <v>6296</v>
      </c>
      <c r="T458" s="1" t="s">
        <v>666</v>
      </c>
      <c r="U458" s="1" t="s">
        <v>3202</v>
      </c>
      <c r="V458" s="1" t="s">
        <v>8888</v>
      </c>
      <c r="W458" s="1" t="s">
        <v>2792</v>
      </c>
      <c r="X458" s="1" t="s">
        <v>1361</v>
      </c>
      <c r="Y458" s="1" t="s">
        <v>8889</v>
      </c>
      <c r="Z458" s="1" t="s">
        <v>5916</v>
      </c>
      <c r="AA458" s="1" t="s">
        <v>5680</v>
      </c>
      <c r="AB458" s="1" t="s">
        <v>4686</v>
      </c>
      <c r="AC458" s="1" t="s">
        <v>8758</v>
      </c>
    </row>
    <row r="459" spans="1:29" ht="71.25" x14ac:dyDescent="0.45">
      <c r="A459" s="5" t="s">
        <v>453</v>
      </c>
      <c r="B459" s="2">
        <v>4094831</v>
      </c>
      <c r="C459" s="1" t="s">
        <v>8890</v>
      </c>
      <c r="D459" s="1" t="s">
        <v>8891</v>
      </c>
      <c r="E459" s="1" t="s">
        <v>8892</v>
      </c>
      <c r="F459" s="1" t="s">
        <v>5180</v>
      </c>
      <c r="G459" s="1" t="s">
        <v>5184</v>
      </c>
      <c r="H459" s="1" t="s">
        <v>5844</v>
      </c>
      <c r="I459" s="1" t="s">
        <v>2788</v>
      </c>
      <c r="J459" s="1" t="s">
        <v>5548</v>
      </c>
      <c r="K459" s="1" t="s">
        <v>1369</v>
      </c>
      <c r="L459" s="1" t="s">
        <v>1829</v>
      </c>
      <c r="M459" s="1" t="s">
        <v>2344</v>
      </c>
      <c r="N459" s="1" t="s">
        <v>2345</v>
      </c>
      <c r="O459" s="1" t="s">
        <v>8893</v>
      </c>
      <c r="P459" s="1" t="s">
        <v>3152</v>
      </c>
      <c r="Q459" s="1" t="s">
        <v>1392</v>
      </c>
      <c r="R459" s="1" t="s">
        <v>4485</v>
      </c>
      <c r="S459" s="1" t="s">
        <v>2845</v>
      </c>
      <c r="T459" s="1" t="s">
        <v>8894</v>
      </c>
      <c r="U459" s="1" t="s">
        <v>8895</v>
      </c>
      <c r="V459" s="1" t="s">
        <v>1389</v>
      </c>
      <c r="W459" s="1" t="s">
        <v>1206</v>
      </c>
      <c r="X459" s="1" t="s">
        <v>8896</v>
      </c>
      <c r="Y459" s="1" t="s">
        <v>8397</v>
      </c>
      <c r="Z459" s="1" t="s">
        <v>2081</v>
      </c>
      <c r="AA459" s="1" t="s">
        <v>8897</v>
      </c>
      <c r="AB459" s="1" t="s">
        <v>8898</v>
      </c>
      <c r="AC459" s="1" t="s">
        <v>8899</v>
      </c>
    </row>
    <row r="460" spans="1:29" ht="85.5" x14ac:dyDescent="0.45">
      <c r="A460" s="5" t="s">
        <v>454</v>
      </c>
      <c r="B460" s="2">
        <v>4376897</v>
      </c>
      <c r="C460" s="1" t="s">
        <v>8900</v>
      </c>
      <c r="D460" s="1" t="s">
        <v>8901</v>
      </c>
      <c r="E460" s="1" t="s">
        <v>8121</v>
      </c>
      <c r="F460" s="1" t="s">
        <v>8902</v>
      </c>
      <c r="G460" s="1" t="s">
        <v>8903</v>
      </c>
      <c r="H460" s="1" t="s">
        <v>8904</v>
      </c>
      <c r="I460" s="1" t="s">
        <v>8905</v>
      </c>
      <c r="J460" s="1" t="s">
        <v>8906</v>
      </c>
      <c r="K460" s="1" t="s">
        <v>8907</v>
      </c>
      <c r="L460" s="1" t="s">
        <v>8908</v>
      </c>
      <c r="M460" s="1" t="s">
        <v>8909</v>
      </c>
      <c r="N460" s="1" t="s">
        <v>1493</v>
      </c>
      <c r="O460" s="1" t="s">
        <v>4371</v>
      </c>
      <c r="P460" s="1" t="s">
        <v>8910</v>
      </c>
      <c r="Q460" s="1" t="s">
        <v>7105</v>
      </c>
      <c r="R460" s="1" t="s">
        <v>4633</v>
      </c>
      <c r="S460" s="1" t="s">
        <v>3314</v>
      </c>
      <c r="T460" s="1" t="s">
        <v>998</v>
      </c>
      <c r="U460" s="1" t="s">
        <v>7468</v>
      </c>
      <c r="V460" s="1" t="s">
        <v>5434</v>
      </c>
      <c r="W460" s="1" t="s">
        <v>8911</v>
      </c>
      <c r="X460" s="1" t="s">
        <v>6653</v>
      </c>
      <c r="Y460" s="1" t="s">
        <v>1907</v>
      </c>
      <c r="Z460" s="1" t="s">
        <v>5105</v>
      </c>
      <c r="AA460" s="1" t="s">
        <v>3775</v>
      </c>
      <c r="AB460" s="1" t="s">
        <v>8912</v>
      </c>
      <c r="AC460" s="1" t="s">
        <v>1745</v>
      </c>
    </row>
    <row r="461" spans="1:29" ht="57" x14ac:dyDescent="0.45">
      <c r="A461" s="5" t="s">
        <v>455</v>
      </c>
      <c r="B461" s="2">
        <v>4964205</v>
      </c>
      <c r="C461" s="1" t="s">
        <v>8913</v>
      </c>
      <c r="D461" s="1" t="s">
        <v>8914</v>
      </c>
      <c r="E461" s="1" t="s">
        <v>1748</v>
      </c>
      <c r="F461" s="1" t="s">
        <v>7401</v>
      </c>
      <c r="G461" s="1" t="s">
        <v>1202</v>
      </c>
      <c r="H461" s="1" t="s">
        <v>8915</v>
      </c>
      <c r="I461" s="1" t="s">
        <v>840</v>
      </c>
      <c r="J461" s="1" t="s">
        <v>4563</v>
      </c>
      <c r="K461" s="1" t="s">
        <v>1893</v>
      </c>
      <c r="L461" s="1" t="s">
        <v>7880</v>
      </c>
      <c r="M461" s="1" t="s">
        <v>8916</v>
      </c>
      <c r="N461" s="1" t="s">
        <v>1565</v>
      </c>
      <c r="O461" s="1" t="s">
        <v>6705</v>
      </c>
      <c r="P461" s="1" t="s">
        <v>3405</v>
      </c>
      <c r="Q461" s="1" t="s">
        <v>7879</v>
      </c>
      <c r="R461" s="1" t="s">
        <v>8917</v>
      </c>
      <c r="S461" s="1" t="s">
        <v>8918</v>
      </c>
      <c r="T461" s="1" t="s">
        <v>1127</v>
      </c>
      <c r="U461" s="1" t="s">
        <v>8919</v>
      </c>
      <c r="V461" s="1" t="s">
        <v>2333</v>
      </c>
      <c r="W461" s="1" t="s">
        <v>3955</v>
      </c>
      <c r="X461" s="1" t="s">
        <v>7523</v>
      </c>
      <c r="Y461" s="1" t="s">
        <v>8920</v>
      </c>
      <c r="Z461" s="1" t="s">
        <v>4547</v>
      </c>
      <c r="AA461" s="1" t="s">
        <v>5448</v>
      </c>
      <c r="AB461" s="1" t="s">
        <v>843</v>
      </c>
      <c r="AC461" s="1" t="s">
        <v>2563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Antoine Dely</dc:creator>
  <cp:lastModifiedBy>Antoine Dely</cp:lastModifiedBy>
  <dcterms:created xsi:type="dcterms:W3CDTF">2026-03-26T20:08:40Z</dcterms:created>
  <dcterms:modified xsi:type="dcterms:W3CDTF">2026-03-26T20:14:34Z</dcterms:modified>
</cp:coreProperties>
</file>